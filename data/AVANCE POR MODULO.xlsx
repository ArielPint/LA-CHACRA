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B6F339F8-F36C-4C9F-8D1A-BE4C386A8522}" xr6:coauthVersionLast="47" xr6:coauthVersionMax="47" xr10:uidLastSave="{00000000-0000-0000-0000-000000000000}"/>
  <bookViews>
    <workbookView xWindow="7740" yWindow="4350" windowWidth="17280" windowHeight="1050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10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BF13" i="2"/>
  <c r="BF14" i="2"/>
  <c r="CS14" i="2" s="1"/>
  <c r="BF15" i="2"/>
  <c r="CS15" i="2" s="1"/>
  <c r="BF16" i="2"/>
  <c r="CS16" i="2" s="1"/>
  <c r="BF17" i="2"/>
  <c r="CS17" i="2" s="1"/>
  <c r="BF18" i="2"/>
  <c r="CS18" i="2" s="1"/>
  <c r="BF19" i="2"/>
  <c r="CS19" i="2" s="1"/>
  <c r="BF20" i="2"/>
  <c r="CS20" i="2" s="1"/>
  <c r="BF21" i="2"/>
  <c r="CS21" i="2" s="1"/>
  <c r="BF22" i="2"/>
  <c r="CS22" i="2" s="1"/>
  <c r="BF23" i="2"/>
  <c r="CS23" i="2" s="1"/>
  <c r="BF24" i="2"/>
  <c r="CS24" i="2" s="1"/>
  <c r="BF25" i="2"/>
  <c r="CS25" i="2" s="1"/>
  <c r="BF26" i="2"/>
  <c r="CS26" i="2" s="1"/>
  <c r="BF27" i="2"/>
  <c r="CS27" i="2" s="1"/>
  <c r="BF28" i="2"/>
  <c r="CS28" i="2" s="1"/>
  <c r="BF29" i="2"/>
  <c r="CS29" i="2" s="1"/>
  <c r="BF30" i="2"/>
  <c r="BF31" i="2"/>
  <c r="BF32" i="2"/>
  <c r="BF33" i="2"/>
  <c r="CS33" i="2" s="1"/>
  <c r="BF34" i="2"/>
  <c r="CS34" i="2" s="1"/>
  <c r="BF35" i="2"/>
  <c r="CS35" i="2" s="1"/>
  <c r="BF36" i="2"/>
  <c r="CS36" i="2" s="1"/>
  <c r="BF37" i="2"/>
  <c r="CS37" i="2" s="1"/>
  <c r="BF38" i="2"/>
  <c r="CS38" i="2" s="1"/>
  <c r="BF39" i="2"/>
  <c r="CS39" i="2" s="1"/>
  <c r="BF40" i="2"/>
  <c r="CS40" i="2" s="1"/>
  <c r="BF41" i="2"/>
  <c r="CS41" i="2" s="1"/>
  <c r="BF42" i="2"/>
  <c r="CS42" i="2" s="1"/>
  <c r="BF43" i="2"/>
  <c r="CS43" i="2" s="1"/>
  <c r="BF44" i="2"/>
  <c r="BF45" i="2"/>
  <c r="BF46" i="2"/>
  <c r="CS46" i="2" s="1"/>
  <c r="BF47" i="2"/>
  <c r="CS47" i="2" s="1"/>
  <c r="BF48" i="2"/>
  <c r="BF49" i="2"/>
  <c r="CS49" i="2" s="1"/>
  <c r="BF50" i="2"/>
  <c r="CS50" i="2" s="1"/>
  <c r="BF51" i="2"/>
  <c r="CS51" i="2" s="1"/>
  <c r="BF52" i="2"/>
  <c r="BF53" i="2"/>
  <c r="CS53" i="2" s="1"/>
  <c r="BF54" i="2"/>
  <c r="CS54" i="2" s="1"/>
  <c r="BF55" i="2"/>
  <c r="CS55" i="2" s="1"/>
  <c r="BF56" i="2"/>
  <c r="CS56" i="2" s="1"/>
  <c r="BF57" i="2"/>
  <c r="CS57" i="2" s="1"/>
  <c r="BF58" i="2"/>
  <c r="BF59" i="2"/>
  <c r="BF60" i="2"/>
  <c r="CS60" i="2" s="1"/>
  <c r="BF61" i="2"/>
  <c r="CS61" i="2" s="1"/>
  <c r="BF62" i="2"/>
  <c r="CS62" i="2" s="1"/>
  <c r="BF63" i="2"/>
  <c r="CS63" i="2" s="1"/>
  <c r="BF64" i="2"/>
  <c r="CS64" i="2" s="1"/>
  <c r="BF65" i="2"/>
  <c r="CS65" i="2" s="1"/>
  <c r="BF66" i="2"/>
  <c r="CS66" i="2" s="1"/>
  <c r="BF67" i="2"/>
  <c r="CS67" i="2" s="1"/>
  <c r="BF68" i="2"/>
  <c r="CS68" i="2" s="1"/>
  <c r="BF69" i="2"/>
  <c r="CS69" i="2" s="1"/>
  <c r="BF70" i="2"/>
  <c r="CS70" i="2" s="1"/>
  <c r="BF71" i="2"/>
  <c r="CS71" i="2" s="1"/>
  <c r="BF72" i="2"/>
  <c r="BF73" i="2"/>
  <c r="BF74" i="2"/>
  <c r="BF75" i="2"/>
  <c r="CS75" i="2" s="1"/>
  <c r="BF76" i="2"/>
  <c r="CS76" i="2" s="1"/>
  <c r="BF77" i="2"/>
  <c r="CS77" i="2" s="1"/>
  <c r="BF78" i="2"/>
  <c r="CS78" i="2" s="1"/>
  <c r="BF79" i="2"/>
  <c r="CS79" i="2" s="1"/>
  <c r="BF80" i="2"/>
  <c r="CS80" i="2" s="1"/>
  <c r="BF81" i="2"/>
  <c r="CS81" i="2" s="1"/>
  <c r="BF82" i="2"/>
  <c r="CS82" i="2" s="1"/>
  <c r="BF83" i="2"/>
  <c r="CS83" i="2" s="1"/>
  <c r="BF84" i="2"/>
  <c r="CS84" i="2" s="1"/>
  <c r="BF85" i="2"/>
  <c r="CS85" i="2" s="1"/>
  <c r="BF86" i="2"/>
  <c r="BF87" i="2"/>
  <c r="BF88" i="2"/>
  <c r="BF89" i="2"/>
  <c r="BF90" i="2"/>
  <c r="BF91" i="2"/>
  <c r="CS91" i="2" s="1"/>
  <c r="BF92" i="2"/>
  <c r="BF93" i="2"/>
  <c r="CS93" i="2" s="1"/>
  <c r="BF94" i="2"/>
  <c r="CS94" i="2" s="1"/>
  <c r="BF95" i="2"/>
  <c r="CS95" i="2" s="1"/>
  <c r="BF96" i="2"/>
  <c r="CS96" i="2" s="1"/>
  <c r="BF97" i="2"/>
  <c r="CS97" i="2" s="1"/>
  <c r="BF98" i="2"/>
  <c r="CS98" i="2" s="1"/>
  <c r="BF99" i="2"/>
  <c r="CS99" i="2" s="1"/>
  <c r="BF100" i="2"/>
  <c r="BF101" i="2"/>
  <c r="BF102" i="2"/>
  <c r="CS102" i="2" s="1"/>
  <c r="BF103" i="2"/>
  <c r="CS103" i="2" s="1"/>
  <c r="BF104" i="2"/>
  <c r="CS104" i="2" s="1"/>
  <c r="BF105" i="2"/>
  <c r="CS105" i="2" s="1"/>
  <c r="BF106" i="2"/>
  <c r="CS106" i="2" s="1"/>
  <c r="BF107" i="2"/>
  <c r="CS107" i="2" s="1"/>
  <c r="BF108" i="2"/>
  <c r="CS108" i="2" s="1"/>
  <c r="BF109" i="2"/>
  <c r="CS109" i="2" s="1"/>
  <c r="BF110" i="2"/>
  <c r="CS110" i="2" s="1"/>
  <c r="BF111" i="2"/>
  <c r="CS111" i="2" s="1"/>
  <c r="BF112" i="2"/>
  <c r="CS112" i="2" s="1"/>
  <c r="BF113" i="2"/>
  <c r="CS113" i="2" s="1"/>
  <c r="BF114" i="2"/>
  <c r="BF115" i="2"/>
  <c r="BF116" i="2"/>
  <c r="BF117" i="2"/>
  <c r="BF118" i="2"/>
  <c r="CS118" i="2" s="1"/>
  <c r="BF119" i="2"/>
  <c r="BF120" i="2"/>
  <c r="CS120" i="2" s="1"/>
  <c r="BF121" i="2"/>
  <c r="CS121" i="2" s="1"/>
  <c r="BF122" i="2"/>
  <c r="BF123" i="2"/>
  <c r="CS123" i="2" s="1"/>
  <c r="BF124" i="2"/>
  <c r="CS124" i="2" s="1"/>
  <c r="BF125" i="2"/>
  <c r="CS125" i="2" s="1"/>
  <c r="BF126" i="2"/>
  <c r="CS126" i="2" s="1"/>
  <c r="BF127" i="2"/>
  <c r="CS127" i="2" s="1"/>
  <c r="BF128" i="2"/>
  <c r="BF129" i="2"/>
  <c r="BF130" i="2"/>
  <c r="BF131" i="2"/>
  <c r="CS131" i="2" s="1"/>
  <c r="BF132" i="2"/>
  <c r="CS132" i="2" s="1"/>
  <c r="BF133" i="2"/>
  <c r="CS133" i="2" s="1"/>
  <c r="BF134" i="2"/>
  <c r="CS134" i="2" s="1"/>
  <c r="BF135" i="2"/>
  <c r="CS135" i="2" s="1"/>
  <c r="BF136" i="2"/>
  <c r="CS136" i="2" s="1"/>
  <c r="BF137" i="2"/>
  <c r="CS137" i="2" s="1"/>
  <c r="BF138" i="2"/>
  <c r="CS138" i="2" s="1"/>
  <c r="BF139" i="2"/>
  <c r="CS139" i="2" s="1"/>
  <c r="BF140" i="2"/>
  <c r="CS140" i="2" s="1"/>
  <c r="BF141" i="2"/>
  <c r="CS141" i="2" s="1"/>
  <c r="BF142" i="2"/>
  <c r="BF143" i="2"/>
  <c r="BF144" i="2"/>
  <c r="CS144" i="2" s="1"/>
  <c r="BF145" i="2"/>
  <c r="CS145" i="2" s="1"/>
  <c r="BF146" i="2"/>
  <c r="CS146" i="2" s="1"/>
  <c r="BF147" i="2"/>
  <c r="CS147" i="2" s="1"/>
  <c r="BF148" i="2"/>
  <c r="CS148" i="2" s="1"/>
  <c r="BF149" i="2"/>
  <c r="CS149" i="2" s="1"/>
  <c r="BF150" i="2"/>
  <c r="CS150" i="2" s="1"/>
  <c r="BF151" i="2"/>
  <c r="CS151" i="2" s="1"/>
  <c r="BF152" i="2"/>
  <c r="CS152" i="2" s="1"/>
  <c r="BF153" i="2"/>
  <c r="CS153" i="2" s="1"/>
  <c r="BF154" i="2"/>
  <c r="CS154" i="2" s="1"/>
  <c r="BF155" i="2"/>
  <c r="CS155" i="2" s="1"/>
  <c r="BF156" i="2"/>
  <c r="BF157" i="2"/>
  <c r="BF158" i="2"/>
  <c r="BF159" i="2"/>
  <c r="CS159" i="2" s="1"/>
  <c r="BF160" i="2"/>
  <c r="CS160" i="2" s="1"/>
  <c r="BF161" i="2"/>
  <c r="CS161" i="2" s="1"/>
  <c r="BF162" i="2"/>
  <c r="CS162" i="2" s="1"/>
  <c r="BF163" i="2"/>
  <c r="CS163" i="2" s="1"/>
  <c r="BF164" i="2"/>
  <c r="BF165" i="2"/>
  <c r="CS165" i="2" s="1"/>
  <c r="BF166" i="2"/>
  <c r="CS166" i="2" s="1"/>
  <c r="BF167" i="2"/>
  <c r="CS167" i="2" s="1"/>
  <c r="BF168" i="2"/>
  <c r="CS168" i="2" s="1"/>
  <c r="BF169" i="2"/>
  <c r="CS169" i="2" s="1"/>
  <c r="BF170" i="2"/>
  <c r="BF171" i="2"/>
  <c r="BF172" i="2"/>
  <c r="BF173" i="2"/>
  <c r="CS173" i="2" s="1"/>
  <c r="BF174" i="2"/>
  <c r="CS174" i="2" s="1"/>
  <c r="BF175" i="2"/>
  <c r="CS175" i="2" s="1"/>
  <c r="BF176" i="2"/>
  <c r="CS176" i="2" s="1"/>
  <c r="BF177" i="2"/>
  <c r="CS177" i="2" s="1"/>
  <c r="BF178" i="2"/>
  <c r="CS178" i="2" s="1"/>
  <c r="BF179" i="2"/>
  <c r="CS179" i="2" s="1"/>
  <c r="BF180" i="2"/>
  <c r="BF181" i="2"/>
  <c r="CS181" i="2" s="1"/>
  <c r="BF182" i="2"/>
  <c r="CS182" i="2" s="1"/>
  <c r="BF183" i="2"/>
  <c r="CS183" i="2" s="1"/>
  <c r="BF184" i="2"/>
  <c r="BF185" i="2"/>
  <c r="CS185" i="2" s="1"/>
  <c r="BF186" i="2"/>
  <c r="CS186" i="2" s="1"/>
  <c r="BF187" i="2"/>
  <c r="CS187" i="2" s="1"/>
  <c r="BF188" i="2"/>
  <c r="CS188" i="2" s="1"/>
  <c r="BF189" i="2"/>
  <c r="CS189" i="2" s="1"/>
  <c r="BF190" i="2"/>
  <c r="CS190" i="2" s="1"/>
  <c r="BF191" i="2"/>
  <c r="CS191" i="2" s="1"/>
  <c r="BF192" i="2"/>
  <c r="CS192" i="2" s="1"/>
  <c r="BF193" i="2"/>
  <c r="CS193" i="2" s="1"/>
  <c r="BF194" i="2"/>
  <c r="CS194" i="2" s="1"/>
  <c r="BF195" i="2"/>
  <c r="CS195" i="2" s="1"/>
  <c r="BF196" i="2"/>
  <c r="CS196" i="2" s="1"/>
  <c r="BF197" i="2"/>
  <c r="CS197" i="2" s="1"/>
  <c r="BF198" i="2"/>
  <c r="BF199" i="2"/>
  <c r="BF200" i="2"/>
  <c r="BF201" i="2"/>
  <c r="BF202" i="2"/>
  <c r="BF203" i="2"/>
  <c r="CS203" i="2" s="1"/>
  <c r="BF204" i="2"/>
  <c r="CS204" i="2" s="1"/>
  <c r="BF205" i="2"/>
  <c r="CS205" i="2" s="1"/>
  <c r="BF206" i="2"/>
  <c r="CS206" i="2" s="1"/>
  <c r="BF207" i="2"/>
  <c r="CS207" i="2" s="1"/>
  <c r="BF208" i="2"/>
  <c r="CS208" i="2" s="1"/>
  <c r="BF209" i="2"/>
  <c r="CS209" i="2" s="1"/>
  <c r="BF210" i="2"/>
  <c r="CS210" i="2" s="1"/>
  <c r="BF211" i="2"/>
  <c r="CS211" i="2" s="1"/>
  <c r="BF212" i="2"/>
  <c r="CS212" i="2" s="1"/>
  <c r="BF213" i="2"/>
  <c r="BF214" i="2"/>
  <c r="BF215" i="2"/>
  <c r="CS215" i="2" s="1"/>
  <c r="BF216" i="2"/>
  <c r="CS216" i="2" s="1"/>
  <c r="BF217" i="2"/>
  <c r="CS217" i="2" s="1"/>
  <c r="BF218" i="2"/>
  <c r="CS218" i="2" s="1"/>
  <c r="BF219" i="2"/>
  <c r="CS219" i="2" s="1"/>
  <c r="BF220" i="2"/>
  <c r="CS220" i="2" s="1"/>
  <c r="BF221" i="2"/>
  <c r="CS221" i="2" s="1"/>
  <c r="BF222" i="2"/>
  <c r="BF223" i="2"/>
  <c r="CS223" i="2" s="1"/>
  <c r="BF224" i="2"/>
  <c r="CS224" i="2" s="1"/>
  <c r="BF225" i="2"/>
  <c r="CS225" i="2" s="1"/>
  <c r="BF226" i="2"/>
  <c r="BF227" i="2"/>
  <c r="CS227" i="2" s="1"/>
  <c r="BF228" i="2"/>
  <c r="CS228" i="2" s="1"/>
  <c r="BF229" i="2"/>
  <c r="CS229" i="2" s="1"/>
  <c r="BF230" i="2"/>
  <c r="CS230" i="2" s="1"/>
  <c r="BF231" i="2"/>
  <c r="CS231" i="2" s="1"/>
  <c r="BF232" i="2"/>
  <c r="CS232" i="2" s="1"/>
  <c r="BF233" i="2"/>
  <c r="CS233" i="2" s="1"/>
  <c r="BF234" i="2"/>
  <c r="CS234" i="2" s="1"/>
  <c r="BF235" i="2"/>
  <c r="CS235" i="2" s="1"/>
  <c r="BF236" i="2"/>
  <c r="CS236" i="2" s="1"/>
  <c r="BF237" i="2"/>
  <c r="CS237" i="2" s="1"/>
  <c r="BF238" i="2"/>
  <c r="CS238" i="2" s="1"/>
  <c r="BF239" i="2"/>
  <c r="CS239" i="2" s="1"/>
  <c r="BF240" i="2"/>
  <c r="BF241" i="2"/>
  <c r="BF242" i="2"/>
  <c r="CS242" i="2" s="1"/>
  <c r="BF243" i="2"/>
  <c r="BF244" i="2"/>
  <c r="BF245" i="2"/>
  <c r="CS245" i="2" s="1"/>
  <c r="BF246" i="2"/>
  <c r="CS246" i="2" s="1"/>
  <c r="BF247" i="2"/>
  <c r="CS247" i="2" s="1"/>
  <c r="BF248" i="2"/>
  <c r="CS248" i="2" s="1"/>
  <c r="BF249" i="2"/>
  <c r="CS249" i="2" s="1"/>
  <c r="BF250" i="2"/>
  <c r="CS250" i="2" s="1"/>
  <c r="BF251" i="2"/>
  <c r="CS251" i="2" s="1"/>
  <c r="BF252" i="2"/>
  <c r="CS252" i="2" s="1"/>
  <c r="BF253" i="2"/>
  <c r="CS253" i="2" s="1"/>
  <c r="BF254" i="2"/>
  <c r="BF255" i="2"/>
  <c r="BF256" i="2"/>
  <c r="BF257" i="2"/>
  <c r="CS257" i="2" s="1"/>
  <c r="BF258" i="2"/>
  <c r="CS258" i="2" s="1"/>
  <c r="BF259" i="2"/>
  <c r="CS259" i="2" s="1"/>
  <c r="BF260" i="2"/>
  <c r="CS260" i="2" s="1"/>
  <c r="BF261" i="2"/>
  <c r="CS261" i="2" s="1"/>
  <c r="BF262" i="2"/>
  <c r="BF263" i="2"/>
  <c r="CS263" i="2" s="1"/>
  <c r="BF264" i="2"/>
  <c r="BF265" i="2"/>
  <c r="CS265" i="2" s="1"/>
  <c r="BF266" i="2"/>
  <c r="CS266" i="2" s="1"/>
  <c r="BF267" i="2"/>
  <c r="CS267" i="2" s="1"/>
  <c r="BF268" i="2"/>
  <c r="BF269" i="2"/>
  <c r="CS269" i="2" s="1"/>
  <c r="BF270" i="2"/>
  <c r="CS270" i="2" s="1"/>
  <c r="BF271" i="2"/>
  <c r="CS271" i="2" s="1"/>
  <c r="BF272" i="2"/>
  <c r="CS272" i="2" s="1"/>
  <c r="BF273" i="2"/>
  <c r="CS273" i="2" s="1"/>
  <c r="BF274" i="2"/>
  <c r="CS274" i="2" s="1"/>
  <c r="BF275" i="2"/>
  <c r="CS275" i="2" s="1"/>
  <c r="BF276" i="2"/>
  <c r="CS276" i="2" s="1"/>
  <c r="BF277" i="2"/>
  <c r="CS277" i="2" s="1"/>
  <c r="BF278" i="2"/>
  <c r="CS278" i="2" s="1"/>
  <c r="BF279" i="2"/>
  <c r="CS279" i="2" s="1"/>
  <c r="BF280" i="2"/>
  <c r="CS280" i="2" s="1"/>
  <c r="BF281" i="2"/>
  <c r="CS281" i="2" s="1"/>
  <c r="BF282" i="2"/>
  <c r="BF283" i="2"/>
  <c r="BF284" i="2"/>
  <c r="BF285" i="2"/>
  <c r="BF286" i="2"/>
  <c r="CS286" i="2" s="1"/>
  <c r="BF287" i="2"/>
  <c r="CS287" i="2" s="1"/>
  <c r="BF288" i="2"/>
  <c r="CS288" i="2" s="1"/>
  <c r="BF289" i="2"/>
  <c r="CS289" i="2" s="1"/>
  <c r="BF290" i="2"/>
  <c r="CS290" i="2" s="1"/>
  <c r="BF291" i="2"/>
  <c r="CS291" i="2" s="1"/>
  <c r="BF292" i="2"/>
  <c r="CS292" i="2" s="1"/>
  <c r="BF293" i="2"/>
  <c r="CS293" i="2" s="1"/>
  <c r="BF294" i="2"/>
  <c r="CS294" i="2" s="1"/>
  <c r="BF295" i="2"/>
  <c r="CS295" i="2" s="1"/>
  <c r="BF296" i="2"/>
  <c r="BF297" i="2"/>
  <c r="BF298" i="2"/>
  <c r="BF299" i="2"/>
  <c r="CS299" i="2" s="1"/>
  <c r="BF300" i="2"/>
  <c r="CS300" i="2" s="1"/>
  <c r="BF301" i="2"/>
  <c r="CS301" i="2" s="1"/>
  <c r="BF302" i="2"/>
  <c r="CS302" i="2" s="1"/>
  <c r="BF303" i="2"/>
  <c r="CS303" i="2" s="1"/>
  <c r="BF304" i="2"/>
  <c r="CS304" i="2" s="1"/>
  <c r="BF305" i="2"/>
  <c r="CS305" i="2" s="1"/>
  <c r="BF306" i="2"/>
  <c r="CS306" i="2" s="1"/>
  <c r="BF307" i="2"/>
  <c r="CS307" i="2" s="1"/>
  <c r="BF308" i="2"/>
  <c r="CS308" i="2" s="1"/>
  <c r="BF309" i="2"/>
  <c r="CS309" i="2" s="1"/>
  <c r="BF310" i="2"/>
  <c r="BF311" i="2"/>
  <c r="CS311" i="2" s="1"/>
  <c r="BF312" i="2"/>
  <c r="CS312" i="2" s="1"/>
  <c r="BF313" i="2"/>
  <c r="CS313" i="2" s="1"/>
  <c r="BF314" i="2"/>
  <c r="CS314" i="2" s="1"/>
  <c r="BF315" i="2"/>
  <c r="CS315" i="2" s="1"/>
  <c r="BF316" i="2"/>
  <c r="CS316" i="2" s="1"/>
  <c r="BF317" i="2"/>
  <c r="CS317" i="2" s="1"/>
  <c r="BF318" i="2"/>
  <c r="CS318" i="2" s="1"/>
  <c r="BF319" i="2"/>
  <c r="CS319" i="2" s="1"/>
  <c r="BF320" i="2"/>
  <c r="CS320" i="2" s="1"/>
  <c r="BF321" i="2"/>
  <c r="CS321" i="2" s="1"/>
  <c r="BF322" i="2"/>
  <c r="CS322" i="2" s="1"/>
  <c r="BF323" i="2"/>
  <c r="CS323" i="2" s="1"/>
  <c r="BF324" i="2"/>
  <c r="BF325" i="2"/>
  <c r="BF326" i="2"/>
  <c r="BF327" i="2"/>
  <c r="CS327" i="2" s="1"/>
  <c r="BF328" i="2"/>
  <c r="CS328" i="2" s="1"/>
  <c r="BF329" i="2"/>
  <c r="CS329" i="2" s="1"/>
  <c r="BF330" i="2"/>
  <c r="CS330" i="2" s="1"/>
  <c r="BF331" i="2"/>
  <c r="BF332" i="2"/>
  <c r="CS332" i="2" s="1"/>
  <c r="BF333" i="2"/>
  <c r="CS333" i="2" s="1"/>
  <c r="BF334" i="2"/>
  <c r="CS334" i="2" s="1"/>
  <c r="BF335" i="2"/>
  <c r="CS335" i="2" s="1"/>
  <c r="BF336" i="2"/>
  <c r="CS336" i="2" s="1"/>
  <c r="BF337" i="2"/>
  <c r="CS337" i="2" s="1"/>
  <c r="BF338" i="2"/>
  <c r="BF339" i="2"/>
  <c r="BF340" i="2"/>
  <c r="BF341" i="2"/>
  <c r="BF342" i="2"/>
  <c r="BF343" i="2"/>
  <c r="CS343" i="2" s="1"/>
  <c r="BF344" i="2"/>
  <c r="CS344" i="2" s="1"/>
  <c r="BF345" i="2"/>
  <c r="CS345" i="2" s="1"/>
  <c r="BF346" i="2"/>
  <c r="CS346" i="2" s="1"/>
  <c r="BF347" i="2"/>
  <c r="CS347" i="2" s="1"/>
  <c r="BF348" i="2"/>
  <c r="CS348" i="2" s="1"/>
  <c r="BF349" i="2"/>
  <c r="CS349" i="2" s="1"/>
  <c r="BF350" i="2"/>
  <c r="CS350" i="2" s="1"/>
  <c r="BF351" i="2"/>
  <c r="CS351" i="2" s="1"/>
  <c r="BF352" i="2"/>
  <c r="BF353" i="2"/>
  <c r="BF354" i="2"/>
  <c r="BF355" i="2"/>
  <c r="CS355" i="2" s="1"/>
  <c r="BF356" i="2"/>
  <c r="CS356" i="2" s="1"/>
  <c r="BF357" i="2"/>
  <c r="CS357" i="2" s="1"/>
  <c r="BF358" i="2"/>
  <c r="CS358" i="2" s="1"/>
  <c r="BF359" i="2"/>
  <c r="CS359" i="2" s="1"/>
  <c r="BF360" i="2"/>
  <c r="CS360" i="2" s="1"/>
  <c r="BF361" i="2"/>
  <c r="CS361" i="2" s="1"/>
  <c r="BF362" i="2"/>
  <c r="CS362" i="2" s="1"/>
  <c r="BF363" i="2"/>
  <c r="CS363" i="2" s="1"/>
  <c r="BF364" i="2"/>
  <c r="CS364" i="2" s="1"/>
  <c r="BF365" i="2"/>
  <c r="CS365" i="2" s="1"/>
  <c r="BF366" i="2"/>
  <c r="BF367" i="2"/>
  <c r="BF368" i="2"/>
  <c r="BF369" i="2"/>
  <c r="BF370" i="2"/>
  <c r="CS370" i="2" s="1"/>
  <c r="BF371" i="2"/>
  <c r="BF372" i="2"/>
  <c r="CS372" i="2" s="1"/>
  <c r="BF373" i="2"/>
  <c r="CS373" i="2" s="1"/>
  <c r="BF374" i="2"/>
  <c r="CS374" i="2" s="1"/>
  <c r="BF375" i="2"/>
  <c r="CS375" i="2" s="1"/>
  <c r="BF376" i="2"/>
  <c r="CS376" i="2" s="1"/>
  <c r="BF377" i="2"/>
  <c r="CS377" i="2" s="1"/>
  <c r="BF378" i="2"/>
  <c r="CS378" i="2" s="1"/>
  <c r="BF379" i="2"/>
  <c r="CS379" i="2" s="1"/>
  <c r="BF380" i="2"/>
  <c r="BF381" i="2"/>
  <c r="BF382" i="2"/>
  <c r="BF383" i="2"/>
  <c r="BF384" i="2"/>
  <c r="CS384" i="2" s="1"/>
  <c r="BF385" i="2"/>
  <c r="CS385" i="2" s="1"/>
  <c r="BF386" i="2"/>
  <c r="CS386" i="2" s="1"/>
  <c r="BF387" i="2"/>
  <c r="CS387" i="2" s="1"/>
  <c r="BF388" i="2"/>
  <c r="CS388" i="2" s="1"/>
  <c r="BF389" i="2"/>
  <c r="CS389" i="2" s="1"/>
  <c r="BF390" i="2"/>
  <c r="CS390" i="2" s="1"/>
  <c r="BF391" i="2"/>
  <c r="CS391" i="2" s="1"/>
  <c r="BF392" i="2"/>
  <c r="CS392" i="2" s="1"/>
  <c r="BF393" i="2"/>
  <c r="CS393" i="2" s="1"/>
  <c r="BF394" i="2"/>
  <c r="BF395" i="2"/>
  <c r="BF396" i="2"/>
  <c r="BF397" i="2"/>
  <c r="CS397" i="2" s="1"/>
  <c r="BF398" i="2"/>
  <c r="BF399" i="2"/>
  <c r="BF400" i="2"/>
  <c r="CS400" i="2" s="1"/>
  <c r="BF401" i="2"/>
  <c r="CS401" i="2" s="1"/>
  <c r="BF402" i="2"/>
  <c r="CS402" i="2" s="1"/>
  <c r="BF403" i="2"/>
  <c r="CS403" i="2" s="1"/>
  <c r="BF404" i="2"/>
  <c r="CS404" i="2" s="1"/>
  <c r="BF405" i="2"/>
  <c r="CS405" i="2" s="1"/>
  <c r="BF406" i="2"/>
  <c r="CS406" i="2" s="1"/>
  <c r="BF407" i="2"/>
  <c r="CS407" i="2" s="1"/>
  <c r="BF408" i="2"/>
  <c r="CS408" i="2" s="1"/>
  <c r="BF409" i="2"/>
  <c r="BF410" i="2"/>
  <c r="BF411" i="2"/>
  <c r="BF412" i="2"/>
  <c r="CS412" i="2" s="1"/>
  <c r="BF413" i="2"/>
  <c r="CS413" i="2" s="1"/>
  <c r="BF414" i="2"/>
  <c r="CS414" i="2" s="1"/>
  <c r="BF415" i="2"/>
  <c r="CS415" i="2" s="1"/>
  <c r="BF416" i="2"/>
  <c r="CS416" i="2" s="1"/>
  <c r="BF417" i="2"/>
  <c r="CS417" i="2" s="1"/>
  <c r="BF418" i="2"/>
  <c r="CS418" i="2" s="1"/>
  <c r="BF419" i="2"/>
  <c r="CS419" i="2" s="1"/>
  <c r="BF420" i="2"/>
  <c r="CS420" i="2" s="1"/>
  <c r="BF421" i="2"/>
  <c r="CS421" i="2" s="1"/>
  <c r="BF422" i="2"/>
  <c r="BF423" i="2"/>
  <c r="CS423" i="2" s="1"/>
  <c r="BF424" i="2"/>
  <c r="CS424" i="2" s="1"/>
  <c r="BF425" i="2"/>
  <c r="CS425" i="2" s="1"/>
  <c r="BF426" i="2"/>
  <c r="CS426" i="2" s="1"/>
  <c r="BF427" i="2"/>
  <c r="CS427" i="2" s="1"/>
  <c r="BF428" i="2"/>
  <c r="CS428" i="2" s="1"/>
  <c r="BF429" i="2"/>
  <c r="CS429" i="2" s="1"/>
  <c r="BF430" i="2"/>
  <c r="CS430" i="2" s="1"/>
  <c r="BF431" i="2"/>
  <c r="CS431" i="2" s="1"/>
  <c r="BF432" i="2"/>
  <c r="CS432" i="2" s="1"/>
  <c r="BF433" i="2"/>
  <c r="CS433" i="2" s="1"/>
  <c r="BF434" i="2"/>
  <c r="CS434" i="2" s="1"/>
  <c r="BF435" i="2"/>
  <c r="CS435" i="2" s="1"/>
  <c r="BF436" i="2"/>
  <c r="BF437" i="2"/>
  <c r="BF438" i="2"/>
  <c r="CS438" i="2" s="1"/>
  <c r="BF439" i="2"/>
  <c r="CS439" i="2" s="1"/>
  <c r="BF440" i="2"/>
  <c r="CS440" i="2" s="1"/>
  <c r="BF441" i="2"/>
  <c r="CS441" i="2" s="1"/>
  <c r="BF442" i="2"/>
  <c r="CS442" i="2" s="1"/>
  <c r="BF443" i="2"/>
  <c r="CS443" i="2" s="1"/>
  <c r="BF444" i="2"/>
  <c r="BF445" i="2"/>
  <c r="CS445" i="2" s="1"/>
  <c r="BF446" i="2"/>
  <c r="CS446" i="2" s="1"/>
  <c r="BF447" i="2"/>
  <c r="CS447" i="2" s="1"/>
  <c r="BF448" i="2"/>
  <c r="CS448" i="2" s="1"/>
  <c r="BF449" i="2"/>
  <c r="CS449" i="2" s="1"/>
  <c r="BF450" i="2"/>
  <c r="BF451" i="2"/>
  <c r="BF452" i="2"/>
  <c r="BF453" i="2"/>
  <c r="CS453" i="2" s="1"/>
  <c r="BF454" i="2"/>
  <c r="BF455" i="2"/>
  <c r="CS455" i="2" s="1"/>
  <c r="BF456" i="2"/>
  <c r="CS456" i="2" s="1"/>
  <c r="BF457" i="2"/>
  <c r="CS457" i="2" s="1"/>
  <c r="BF458" i="2"/>
  <c r="CS458" i="2" s="1"/>
  <c r="BF459" i="2"/>
  <c r="CS459" i="2" s="1"/>
  <c r="BF460" i="2"/>
  <c r="CS460" i="2" s="1"/>
  <c r="BF461" i="2"/>
  <c r="CS461" i="2" s="1"/>
  <c r="BF462" i="2"/>
  <c r="CS462" i="2" s="1"/>
  <c r="BF463" i="2"/>
  <c r="CS463" i="2" s="1"/>
  <c r="BF464" i="2"/>
  <c r="BF465" i="2"/>
  <c r="BF466" i="2"/>
  <c r="BF467" i="2"/>
  <c r="BF468" i="2"/>
  <c r="CS468" i="2" s="1"/>
  <c r="BF469" i="2"/>
  <c r="BF470" i="2"/>
  <c r="CS470" i="2" s="1"/>
  <c r="BF471" i="2"/>
  <c r="CS471" i="2" s="1"/>
  <c r="BF472" i="2"/>
  <c r="CS472" i="2" s="1"/>
  <c r="BF473" i="2"/>
  <c r="CS473" i="2" s="1"/>
  <c r="BF474" i="2"/>
  <c r="CS474" i="2" s="1"/>
  <c r="BF475" i="2"/>
  <c r="CS475" i="2" s="1"/>
  <c r="BF476" i="2"/>
  <c r="CS476" i="2" s="1"/>
  <c r="BF477" i="2"/>
  <c r="CS477" i="2" s="1"/>
  <c r="BF478" i="2"/>
  <c r="BF479" i="2"/>
  <c r="BF480" i="2"/>
  <c r="BF481" i="2"/>
  <c r="CS481" i="2" s="1"/>
  <c r="BF482" i="2"/>
  <c r="CS482" i="2" s="1"/>
  <c r="BF483" i="2"/>
  <c r="CS483" i="2" s="1"/>
  <c r="BF484" i="2"/>
  <c r="CS484" i="2" s="1"/>
  <c r="BF485" i="2"/>
  <c r="CS485" i="2" s="1"/>
  <c r="BF486" i="2"/>
  <c r="BF487" i="2"/>
  <c r="CS487" i="2" s="1"/>
  <c r="BF488" i="2"/>
  <c r="CS488" i="2" s="1"/>
  <c r="BF489" i="2"/>
  <c r="CS489" i="2" s="1"/>
  <c r="BF490" i="2"/>
  <c r="CS490" i="2" s="1"/>
  <c r="BF491" i="2"/>
  <c r="CS491" i="2" s="1"/>
  <c r="BF492" i="2"/>
  <c r="BF493" i="2"/>
  <c r="BF494" i="2"/>
  <c r="BF495" i="2"/>
  <c r="CS495" i="2" s="1"/>
  <c r="BF496" i="2"/>
  <c r="CS496" i="2" s="1"/>
  <c r="BF497" i="2"/>
  <c r="CS497" i="2" s="1"/>
  <c r="BF498" i="2"/>
  <c r="CS498" i="2" s="1"/>
  <c r="BF499" i="2"/>
  <c r="CS499" i="2" s="1"/>
  <c r="BF500" i="2"/>
  <c r="CS500" i="2" s="1"/>
  <c r="BF501" i="2"/>
  <c r="CS501" i="2" s="1"/>
  <c r="BF502" i="2"/>
  <c r="CS502" i="2" s="1"/>
  <c r="BF503" i="2"/>
  <c r="CS503" i="2" s="1"/>
  <c r="BF504" i="2"/>
  <c r="CS504" i="2" s="1"/>
  <c r="BF505" i="2"/>
  <c r="CS505" i="2" s="1"/>
  <c r="BF506" i="2"/>
  <c r="BF507" i="2"/>
  <c r="BF508" i="2"/>
  <c r="BF509" i="2"/>
  <c r="BF510" i="2"/>
  <c r="CS510" i="2" s="1"/>
  <c r="BF511" i="2"/>
  <c r="CS511" i="2" s="1"/>
  <c r="BF512" i="2"/>
  <c r="CS512" i="2" s="1"/>
  <c r="BF513" i="2"/>
  <c r="CS513" i="2" s="1"/>
  <c r="BF514" i="2"/>
  <c r="CS514" i="2" s="1"/>
  <c r="BF515" i="2"/>
  <c r="CS515" i="2" s="1"/>
  <c r="BF516" i="2"/>
  <c r="CS516" i="2" s="1"/>
  <c r="BF517" i="2"/>
  <c r="CS517" i="2" s="1"/>
  <c r="BF518" i="2"/>
  <c r="CS518" i="2" s="1"/>
  <c r="BF519" i="2"/>
  <c r="CS519" i="2" s="1"/>
  <c r="BF520" i="2"/>
  <c r="BF521" i="2"/>
  <c r="BF522" i="2"/>
  <c r="BF523" i="2"/>
  <c r="BF524" i="2"/>
  <c r="BF525" i="2"/>
  <c r="CS525" i="2" s="1"/>
  <c r="BF526" i="2"/>
  <c r="BF527" i="2"/>
  <c r="BF528" i="2"/>
  <c r="CS528" i="2" s="1"/>
  <c r="BF529" i="2"/>
  <c r="CS529" i="2" s="1"/>
  <c r="BF530" i="2"/>
  <c r="BF531" i="2"/>
  <c r="CS531" i="2" s="1"/>
  <c r="BF532" i="2"/>
  <c r="CS532" i="2" s="1"/>
  <c r="BF533" i="2"/>
  <c r="CS533" i="2" s="1"/>
  <c r="BF534" i="2"/>
  <c r="BF535" i="2"/>
  <c r="BF536" i="2"/>
  <c r="BF537" i="2"/>
  <c r="CS537" i="2" s="1"/>
  <c r="BF538" i="2"/>
  <c r="CS538" i="2" s="1"/>
  <c r="BF539" i="2"/>
  <c r="CS539" i="2" s="1"/>
  <c r="BF540" i="2"/>
  <c r="CS540" i="2" s="1"/>
  <c r="BF541" i="2"/>
  <c r="CS541" i="2" s="1"/>
  <c r="BF542" i="2"/>
  <c r="CS542" i="2" s="1"/>
  <c r="BF543" i="2"/>
  <c r="CS543" i="2" s="1"/>
  <c r="BF544" i="2"/>
  <c r="CS544" i="2" s="1"/>
  <c r="BF545" i="2"/>
  <c r="CS545" i="2" s="1"/>
  <c r="BF546" i="2"/>
  <c r="CS546" i="2" s="1"/>
  <c r="BF547" i="2"/>
  <c r="CS547" i="2" s="1"/>
  <c r="BF548" i="2"/>
  <c r="BF549" i="2"/>
  <c r="BF550" i="2"/>
  <c r="BF551" i="2"/>
  <c r="BF552" i="2"/>
  <c r="BF553" i="2"/>
  <c r="BF554" i="2"/>
  <c r="CS554" i="2" s="1"/>
  <c r="BF555" i="2"/>
  <c r="CS555" i="2" s="1"/>
  <c r="BF556" i="2"/>
  <c r="CS556" i="2" s="1"/>
  <c r="BF557" i="2"/>
  <c r="CS557" i="2" s="1"/>
  <c r="BF558" i="2"/>
  <c r="CS558" i="2" s="1"/>
  <c r="BF559" i="2"/>
  <c r="CS559" i="2" s="1"/>
  <c r="BF560" i="2"/>
  <c r="CS560" i="2" s="1"/>
  <c r="BF561" i="2"/>
  <c r="CS561" i="2" s="1"/>
  <c r="BF562" i="2"/>
  <c r="BF563" i="2"/>
  <c r="BF564" i="2"/>
  <c r="BF565" i="2"/>
  <c r="CS565" i="2" s="1"/>
  <c r="BF566" i="2"/>
  <c r="CS566" i="2" s="1"/>
  <c r="BF567" i="2"/>
  <c r="CS567" i="2" s="1"/>
  <c r="BF568" i="2"/>
  <c r="CS568" i="2" s="1"/>
  <c r="BF569" i="2"/>
  <c r="CS569" i="2" s="1"/>
  <c r="BF570" i="2"/>
  <c r="BF571" i="2"/>
  <c r="CS571" i="2" s="1"/>
  <c r="BF572" i="2"/>
  <c r="CS572" i="2" s="1"/>
  <c r="BF573" i="2"/>
  <c r="CS573" i="2" s="1"/>
  <c r="BF574" i="2"/>
  <c r="CS574" i="2" s="1"/>
  <c r="BF575" i="2"/>
  <c r="CS575" i="2" s="1"/>
  <c r="BF576" i="2"/>
  <c r="BF577" i="2"/>
  <c r="BF578" i="2"/>
  <c r="BF579" i="2"/>
  <c r="CS579" i="2" s="1"/>
  <c r="BF580" i="2"/>
  <c r="CS580" i="2" s="1"/>
  <c r="BF581" i="2"/>
  <c r="CS581" i="2" s="1"/>
  <c r="BF582" i="2"/>
  <c r="CS582" i="2" s="1"/>
  <c r="BF583" i="2"/>
  <c r="CS583" i="2" s="1"/>
  <c r="BF584" i="2"/>
  <c r="CS584" i="2" s="1"/>
  <c r="BF585" i="2"/>
  <c r="CS585" i="2" s="1"/>
  <c r="BF586" i="2"/>
  <c r="CS586" i="2" s="1"/>
  <c r="BF587" i="2"/>
  <c r="CS587" i="2" s="1"/>
  <c r="BF588" i="2"/>
  <c r="CS588" i="2" s="1"/>
  <c r="BF589" i="2"/>
  <c r="CS589" i="2" s="1"/>
  <c r="BF590" i="2"/>
  <c r="BF591" i="2"/>
  <c r="BF592" i="2"/>
  <c r="BF593" i="2"/>
  <c r="CS593" i="2" s="1"/>
  <c r="BF594" i="2"/>
  <c r="BF595" i="2"/>
  <c r="CS595" i="2" s="1"/>
  <c r="BF596" i="2"/>
  <c r="CS596" i="2" s="1"/>
  <c r="BF597" i="2"/>
  <c r="CS597" i="2" s="1"/>
  <c r="BF598" i="2"/>
  <c r="CS598" i="2" s="1"/>
  <c r="BF599" i="2"/>
  <c r="CS599" i="2" s="1"/>
  <c r="BF600" i="2"/>
  <c r="CS600" i="2" s="1"/>
  <c r="BF601" i="2"/>
  <c r="CS601" i="2" s="1"/>
  <c r="BF602" i="2"/>
  <c r="CS602" i="2" s="1"/>
  <c r="BF603" i="2"/>
  <c r="CS603" i="2" s="1"/>
  <c r="BF604" i="2"/>
  <c r="CS604" i="2" s="1"/>
  <c r="BF605" i="2"/>
  <c r="BF606" i="2"/>
  <c r="BF607" i="2"/>
  <c r="CS607" i="2" s="1"/>
  <c r="BF608" i="2"/>
  <c r="CS608" i="2" s="1"/>
  <c r="BF609" i="2"/>
  <c r="CS609" i="2" s="1"/>
  <c r="BF610" i="2"/>
  <c r="CS610" i="2" s="1"/>
  <c r="BF611" i="2"/>
  <c r="CS611" i="2" s="1"/>
  <c r="BF612" i="2"/>
  <c r="CS612" i="2" s="1"/>
  <c r="BF613" i="2"/>
  <c r="CS613" i="2" s="1"/>
  <c r="BF614" i="2"/>
  <c r="BF615" i="2"/>
  <c r="CS615" i="2" s="1"/>
  <c r="BF616" i="2"/>
  <c r="CS616" i="2" s="1"/>
  <c r="BF617" i="2"/>
  <c r="CS617" i="2" s="1"/>
  <c r="BF618" i="2"/>
  <c r="BF619" i="2"/>
  <c r="CS619" i="2" s="1"/>
  <c r="BF620" i="2"/>
  <c r="CS620" i="2" s="1"/>
  <c r="BF621" i="2"/>
  <c r="CS621" i="2" s="1"/>
  <c r="BF622" i="2"/>
  <c r="CS622" i="2" s="1"/>
  <c r="BF623" i="2"/>
  <c r="CS623" i="2" s="1"/>
  <c r="BF624" i="2"/>
  <c r="CS624" i="2" s="1"/>
  <c r="BF625" i="2"/>
  <c r="CS625" i="2" s="1"/>
  <c r="BF626" i="2"/>
  <c r="CS626" i="2" s="1"/>
  <c r="BF627" i="2"/>
  <c r="CS627" i="2" s="1"/>
  <c r="BF628" i="2"/>
  <c r="CS628" i="2" s="1"/>
  <c r="BF629" i="2"/>
  <c r="CS629" i="2" s="1"/>
  <c r="BF630" i="2"/>
  <c r="CS630" i="2" s="1"/>
  <c r="BF631" i="2"/>
  <c r="CS631" i="2" s="1"/>
  <c r="BF632" i="2"/>
  <c r="BF633" i="2"/>
  <c r="BF634" i="2"/>
  <c r="CS634" i="2" s="1"/>
  <c r="BF635" i="2"/>
  <c r="BF636" i="2"/>
  <c r="BF637" i="2"/>
  <c r="CS637" i="2" s="1"/>
  <c r="BF638" i="2"/>
  <c r="CS638" i="2" s="1"/>
  <c r="BF639" i="2"/>
  <c r="CS639" i="2" s="1"/>
  <c r="BF640" i="2"/>
  <c r="BF641" i="2"/>
  <c r="CS641" i="2" s="1"/>
  <c r="BF642" i="2"/>
  <c r="CS642" i="2" s="1"/>
  <c r="BF643" i="2"/>
  <c r="CS643" i="2" s="1"/>
  <c r="BF644" i="2"/>
  <c r="CS644" i="2" s="1"/>
  <c r="BF645" i="2"/>
  <c r="CS645" i="2" s="1"/>
  <c r="BF646" i="2"/>
  <c r="BF647" i="2"/>
  <c r="BF648" i="2"/>
  <c r="BF649" i="2"/>
  <c r="CS649" i="2" s="1"/>
  <c r="BF650" i="2"/>
  <c r="BF651" i="2"/>
  <c r="CS651" i="2" s="1"/>
  <c r="BF652" i="2"/>
  <c r="CS652" i="2" s="1"/>
  <c r="BF653" i="2"/>
  <c r="CS653" i="2" s="1"/>
  <c r="BF654" i="2"/>
  <c r="CS654" i="2" s="1"/>
  <c r="BF655" i="2"/>
  <c r="CS655" i="2" s="1"/>
  <c r="BF656" i="2"/>
  <c r="CS656" i="2" s="1"/>
  <c r="BF657" i="2"/>
  <c r="CS657" i="2" s="1"/>
  <c r="BF658" i="2"/>
  <c r="CS658" i="2" s="1"/>
  <c r="BF659" i="2"/>
  <c r="CS659" i="2" s="1"/>
  <c r="BF660" i="2"/>
  <c r="BF661" i="2"/>
  <c r="BF662" i="2"/>
  <c r="BF663" i="2"/>
  <c r="CS663" i="2" s="1"/>
  <c r="BF664" i="2"/>
  <c r="CS664" i="2" s="1"/>
  <c r="BF665" i="2"/>
  <c r="CS665" i="2" s="1"/>
  <c r="BF666" i="2"/>
  <c r="CS666" i="2" s="1"/>
  <c r="BF667" i="2"/>
  <c r="CS667" i="2" s="1"/>
  <c r="BF668" i="2"/>
  <c r="CS668" i="2" s="1"/>
  <c r="BF669" i="2"/>
  <c r="CS669" i="2" s="1"/>
  <c r="BF670" i="2"/>
  <c r="CS670" i="2" s="1"/>
  <c r="BF671" i="2"/>
  <c r="CS671" i="2" s="1"/>
  <c r="BF672" i="2"/>
  <c r="CS672" i="2" s="1"/>
  <c r="BF673" i="2"/>
  <c r="CS673" i="2" s="1"/>
  <c r="BF674" i="2"/>
  <c r="BF675" i="2"/>
  <c r="BF676" i="2"/>
  <c r="BF677" i="2"/>
  <c r="CS677" i="2" s="1"/>
  <c r="BF678" i="2"/>
  <c r="CS678" i="2" s="1"/>
  <c r="BF679" i="2"/>
  <c r="CS679" i="2" s="1"/>
  <c r="BF680" i="2"/>
  <c r="CS680" i="2" s="1"/>
  <c r="BF681" i="2"/>
  <c r="CS681" i="2" s="1"/>
  <c r="BF682" i="2"/>
  <c r="CS682" i="2" s="1"/>
  <c r="BF683" i="2"/>
  <c r="CS683" i="2" s="1"/>
  <c r="BF684" i="2"/>
  <c r="CS684" i="2" s="1"/>
  <c r="BF685" i="2"/>
  <c r="CS685" i="2" s="1"/>
  <c r="BF686" i="2"/>
  <c r="CS686" i="2" s="1"/>
  <c r="BF687" i="2"/>
  <c r="CS687" i="2" s="1"/>
  <c r="BF688" i="2"/>
  <c r="BF689" i="2"/>
  <c r="BF690" i="2"/>
  <c r="BF691" i="2"/>
  <c r="BF692" i="2"/>
  <c r="CS692" i="2" s="1"/>
  <c r="BF693" i="2"/>
  <c r="CS693" i="2" s="1"/>
  <c r="BF694" i="2"/>
  <c r="CS694" i="2" s="1"/>
  <c r="BF695" i="2"/>
  <c r="CS695" i="2" s="1"/>
  <c r="BF696" i="2"/>
  <c r="CS696" i="2" s="1"/>
  <c r="BF697" i="2"/>
  <c r="CS697" i="2" s="1"/>
  <c r="BF698" i="2"/>
  <c r="CS698" i="2" s="1"/>
  <c r="BF699" i="2"/>
  <c r="CS699" i="2" s="1"/>
  <c r="BF700" i="2"/>
  <c r="CS700" i="2" s="1"/>
  <c r="BF701" i="2"/>
  <c r="CS701" i="2" s="1"/>
  <c r="BF702" i="2"/>
  <c r="BF703" i="2"/>
  <c r="BF704" i="2"/>
  <c r="BF705" i="2"/>
  <c r="CS705" i="2" s="1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CV354" i="2" s="1" a="1"/>
  <c r="CV354" i="2" s="1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CU41" i="2" s="1" a="1"/>
  <c r="CU41" i="2" s="1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CV98" i="2" s="1" a="1"/>
  <c r="CV98" i="2" s="1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2" i="2"/>
  <c r="CS13" i="2"/>
  <c r="CS30" i="2"/>
  <c r="CS31" i="2"/>
  <c r="CS32" i="2"/>
  <c r="CS44" i="2"/>
  <c r="CS45" i="2"/>
  <c r="CS48" i="2"/>
  <c r="CS52" i="2"/>
  <c r="CS58" i="2"/>
  <c r="CS59" i="2"/>
  <c r="CS72" i="2"/>
  <c r="CS73" i="2"/>
  <c r="CS74" i="2"/>
  <c r="CS86" i="2"/>
  <c r="CS87" i="2"/>
  <c r="CS88" i="2"/>
  <c r="CS89" i="2"/>
  <c r="CS90" i="2"/>
  <c r="CS92" i="2"/>
  <c r="CS100" i="2"/>
  <c r="CS101" i="2"/>
  <c r="CS114" i="2"/>
  <c r="CS115" i="2"/>
  <c r="CS116" i="2"/>
  <c r="CS117" i="2"/>
  <c r="CS119" i="2"/>
  <c r="CS122" i="2"/>
  <c r="CS128" i="2"/>
  <c r="CS129" i="2"/>
  <c r="CS130" i="2"/>
  <c r="CS142" i="2"/>
  <c r="CS143" i="2"/>
  <c r="CS156" i="2"/>
  <c r="CS157" i="2"/>
  <c r="CS158" i="2"/>
  <c r="CS164" i="2"/>
  <c r="CS170" i="2"/>
  <c r="CS171" i="2"/>
  <c r="CS172" i="2"/>
  <c r="CS180" i="2"/>
  <c r="CS184" i="2"/>
  <c r="CS198" i="2"/>
  <c r="CS199" i="2"/>
  <c r="CS200" i="2"/>
  <c r="CS201" i="2"/>
  <c r="CS202" i="2"/>
  <c r="CS213" i="2"/>
  <c r="CS214" i="2"/>
  <c r="CS222" i="2"/>
  <c r="CS226" i="2"/>
  <c r="CS240" i="2"/>
  <c r="CS241" i="2"/>
  <c r="CS243" i="2"/>
  <c r="CS244" i="2"/>
  <c r="CS254" i="2"/>
  <c r="CS255" i="2"/>
  <c r="CS256" i="2"/>
  <c r="CS262" i="2"/>
  <c r="CS264" i="2"/>
  <c r="CS268" i="2"/>
  <c r="CS282" i="2"/>
  <c r="CS283" i="2"/>
  <c r="CS284" i="2"/>
  <c r="CS285" i="2"/>
  <c r="CS296" i="2"/>
  <c r="CS297" i="2"/>
  <c r="CS298" i="2"/>
  <c r="CS310" i="2"/>
  <c r="CS324" i="2"/>
  <c r="CS325" i="2"/>
  <c r="CS326" i="2"/>
  <c r="CS331" i="2"/>
  <c r="CS338" i="2"/>
  <c r="CS339" i="2"/>
  <c r="CS340" i="2"/>
  <c r="CS341" i="2"/>
  <c r="CS342" i="2"/>
  <c r="CS352" i="2"/>
  <c r="CS353" i="2"/>
  <c r="CS354" i="2"/>
  <c r="CS366" i="2"/>
  <c r="CS367" i="2"/>
  <c r="CS368" i="2"/>
  <c r="CS369" i="2"/>
  <c r="CS371" i="2"/>
  <c r="CS380" i="2"/>
  <c r="CS381" i="2"/>
  <c r="CS382" i="2"/>
  <c r="CS383" i="2"/>
  <c r="CS394" i="2"/>
  <c r="CS395" i="2"/>
  <c r="CS396" i="2"/>
  <c r="CS398" i="2"/>
  <c r="CS399" i="2"/>
  <c r="CS409" i="2"/>
  <c r="CS410" i="2"/>
  <c r="CS411" i="2"/>
  <c r="CS422" i="2"/>
  <c r="CS436" i="2"/>
  <c r="CS437" i="2"/>
  <c r="CS444" i="2"/>
  <c r="CS450" i="2"/>
  <c r="CS451" i="2"/>
  <c r="CS452" i="2"/>
  <c r="CS454" i="2"/>
  <c r="CS464" i="2"/>
  <c r="CS465" i="2"/>
  <c r="CS466" i="2"/>
  <c r="CS467" i="2"/>
  <c r="CS469" i="2"/>
  <c r="CS478" i="2"/>
  <c r="CS479" i="2"/>
  <c r="CS480" i="2"/>
  <c r="CS486" i="2"/>
  <c r="CS492" i="2"/>
  <c r="CS493" i="2"/>
  <c r="CS494" i="2"/>
  <c r="CS506" i="2"/>
  <c r="CS507" i="2"/>
  <c r="CS508" i="2"/>
  <c r="CS509" i="2"/>
  <c r="CS520" i="2"/>
  <c r="CS521" i="2"/>
  <c r="CS522" i="2"/>
  <c r="CS523" i="2"/>
  <c r="CS524" i="2"/>
  <c r="CS526" i="2"/>
  <c r="CS527" i="2"/>
  <c r="CS530" i="2"/>
  <c r="CS534" i="2"/>
  <c r="CS535" i="2"/>
  <c r="CS536" i="2"/>
  <c r="CS548" i="2"/>
  <c r="CS549" i="2"/>
  <c r="CS550" i="2"/>
  <c r="CS551" i="2"/>
  <c r="CS552" i="2"/>
  <c r="CS553" i="2"/>
  <c r="CS562" i="2"/>
  <c r="CS563" i="2"/>
  <c r="CS564" i="2"/>
  <c r="CS570" i="2"/>
  <c r="CS576" i="2"/>
  <c r="CS577" i="2"/>
  <c r="CS578" i="2"/>
  <c r="CS590" i="2"/>
  <c r="CS591" i="2"/>
  <c r="CS592" i="2"/>
  <c r="CS594" i="2"/>
  <c r="CS605" i="2"/>
  <c r="CS606" i="2"/>
  <c r="CS614" i="2"/>
  <c r="CS618" i="2"/>
  <c r="CS632" i="2"/>
  <c r="CS633" i="2"/>
  <c r="CS635" i="2"/>
  <c r="CS636" i="2"/>
  <c r="CS640" i="2"/>
  <c r="CS646" i="2"/>
  <c r="CS647" i="2"/>
  <c r="CS648" i="2"/>
  <c r="CS650" i="2"/>
  <c r="CS660" i="2"/>
  <c r="CS661" i="2"/>
  <c r="CS662" i="2"/>
  <c r="CS674" i="2"/>
  <c r="CS675" i="2"/>
  <c r="CS676" i="2"/>
  <c r="CS688" i="2"/>
  <c r="CS689" i="2"/>
  <c r="CS690" i="2"/>
  <c r="CS691" i="2"/>
  <c r="CS702" i="2"/>
  <c r="CS703" i="2"/>
  <c r="CS704" i="2"/>
  <c r="CV322" i="2" l="1" a="1"/>
  <c r="CV322" i="2" s="1"/>
  <c r="CU530" i="2" a="1"/>
  <c r="CU530" i="2" s="1"/>
  <c r="CT365" i="2" a="1"/>
  <c r="CT365" i="2" s="1"/>
  <c r="CV61" i="2" a="1"/>
  <c r="CV61" i="2" s="1"/>
  <c r="CU653" i="2" a="1"/>
  <c r="CU653" i="2" s="1"/>
  <c r="CV685" i="2" a="1"/>
  <c r="CV685" i="2" s="1"/>
  <c r="CV643" i="2" a="1"/>
  <c r="CV643" i="2" s="1"/>
  <c r="CV447" i="2" a="1"/>
  <c r="CV447" i="2" s="1"/>
  <c r="CV577" i="2" a="1"/>
  <c r="CV577" i="2" s="1"/>
  <c r="CV381" i="2" a="1"/>
  <c r="CV381" i="2" s="1"/>
  <c r="CT217" i="2" a="1"/>
  <c r="CT217" i="2" s="1"/>
  <c r="CV63" i="2" a="1"/>
  <c r="CV63" i="2" s="1"/>
  <c r="CV602" i="2" a="1"/>
  <c r="CV602" i="2" s="1"/>
  <c r="CV508" i="2" a="1"/>
  <c r="CV508" i="2" s="1"/>
  <c r="CU354" i="2" a="1"/>
  <c r="CU354" i="2" s="1"/>
  <c r="CT32" i="2" a="1"/>
  <c r="CT32" i="2" s="1"/>
  <c r="CV414" i="2" a="1"/>
  <c r="CV414" i="2" s="1"/>
  <c r="CV688" i="2" a="1"/>
  <c r="CV688" i="2" s="1"/>
  <c r="CV618" i="2" a="1"/>
  <c r="CV618" i="2" s="1"/>
  <c r="CU426" i="2" a="1"/>
  <c r="CU426" i="2" s="1"/>
  <c r="CT656" i="2" a="1"/>
  <c r="CT656" i="2" s="1"/>
  <c r="CV656" i="2" a="1"/>
  <c r="CV656" i="2" s="1"/>
  <c r="CT703" i="2" a="1"/>
  <c r="CT703" i="2" s="1"/>
  <c r="CU688" i="2" a="1"/>
  <c r="CU688" i="2" s="1"/>
  <c r="CU700" i="2" a="1"/>
  <c r="CU700" i="2" s="1"/>
  <c r="CV700" i="2" a="1"/>
  <c r="CV700" i="2" s="1"/>
  <c r="CU616" i="2" a="1"/>
  <c r="CU616" i="2" s="1"/>
  <c r="CV616" i="2" a="1"/>
  <c r="CV616" i="2" s="1"/>
  <c r="CU210" i="2" a="1"/>
  <c r="CU210" i="2" s="1"/>
  <c r="CV634" i="2" a="1"/>
  <c r="CV634" i="2" s="1"/>
  <c r="CU282" i="2" a="1"/>
  <c r="CU282" i="2" s="1"/>
  <c r="CV532" i="2" a="1"/>
  <c r="CV532" i="2" s="1"/>
  <c r="CU662" i="2" a="1"/>
  <c r="CU662" i="2" s="1"/>
  <c r="CU254" i="2" a="1"/>
  <c r="CU254" i="2" s="1"/>
  <c r="CU687" i="2" a="1"/>
  <c r="CU687" i="2" s="1"/>
  <c r="CU644" i="2" a="1"/>
  <c r="CU644" i="2" s="1"/>
  <c r="CU420" i="2" a="1"/>
  <c r="CU420" i="2" s="1"/>
  <c r="CV378" i="2" a="1"/>
  <c r="CV378" i="2" s="1"/>
  <c r="CV266" i="2" a="1"/>
  <c r="CV266" i="2" s="1"/>
  <c r="CV224" i="2" a="1"/>
  <c r="CV224" i="2" s="1"/>
  <c r="CT196" i="2" a="1"/>
  <c r="CT196" i="2" s="1"/>
  <c r="CU196" i="2" a="1"/>
  <c r="CU196" i="2" s="1"/>
  <c r="CV196" i="2" a="1"/>
  <c r="CV196" i="2" s="1"/>
  <c r="CU84" i="2" a="1"/>
  <c r="CU84" i="2" s="1"/>
  <c r="CU42" i="2" a="1"/>
  <c r="CU42" i="2" s="1"/>
  <c r="CU14" i="2" a="1"/>
  <c r="CU14" i="2" s="1"/>
  <c r="CV14" i="2" a="1"/>
  <c r="CV14" i="2" s="1"/>
  <c r="CU704" i="2" a="1"/>
  <c r="CU704" i="2" s="1"/>
  <c r="CT704" i="2" a="1"/>
  <c r="CT704" i="2" s="1"/>
  <c r="CU564" i="2" a="1"/>
  <c r="CU564" i="2" s="1"/>
  <c r="CT550" i="2" a="1"/>
  <c r="CT550" i="2" s="1"/>
  <c r="CU550" i="2" a="1"/>
  <c r="CU550" i="2" s="1"/>
  <c r="CV550" i="2" a="1"/>
  <c r="CV550" i="2" s="1"/>
  <c r="CV480" i="2" a="1"/>
  <c r="CV480" i="2" s="1"/>
  <c r="CV438" i="2" a="1"/>
  <c r="CV438" i="2" s="1"/>
  <c r="CV382" i="2" a="1"/>
  <c r="CV382" i="2" s="1"/>
  <c r="CT270" i="2" a="1"/>
  <c r="CT270" i="2" s="1"/>
  <c r="CV242" i="2" a="1"/>
  <c r="CV242" i="2" s="1"/>
  <c r="CU116" i="2" a="1"/>
  <c r="CU116" i="2" s="1"/>
  <c r="CT88" i="2" a="1"/>
  <c r="CT88" i="2" s="1"/>
  <c r="CV74" i="2" a="1"/>
  <c r="CV74" i="2" s="1"/>
  <c r="CV4" i="2" a="1"/>
  <c r="CV4" i="2" s="1"/>
  <c r="CV666" i="2" a="1"/>
  <c r="CV666" i="2" s="1"/>
  <c r="CT554" i="2" a="1"/>
  <c r="CT554" i="2" s="1"/>
  <c r="CU540" i="2" a="1"/>
  <c r="CU540" i="2" s="1"/>
  <c r="CV540" i="2" a="1"/>
  <c r="CV540" i="2" s="1"/>
  <c r="CU526" i="2" a="1"/>
  <c r="CU526" i="2" s="1"/>
  <c r="CT526" i="2" a="1"/>
  <c r="CT526" i="2" s="1"/>
  <c r="CT512" i="2" a="1"/>
  <c r="CT512" i="2" s="1"/>
  <c r="CV512" i="2" a="1"/>
  <c r="CV512" i="2" s="1"/>
  <c r="CU456" i="2" a="1"/>
  <c r="CU456" i="2" s="1"/>
  <c r="CV456" i="2" a="1"/>
  <c r="CV456" i="2" s="1"/>
  <c r="CT428" i="2" a="1"/>
  <c r="CT428" i="2" s="1"/>
  <c r="CV428" i="2" a="1"/>
  <c r="CV428" i="2" s="1"/>
  <c r="CU400" i="2" a="1"/>
  <c r="CU400" i="2" s="1"/>
  <c r="CT400" i="2" a="1"/>
  <c r="CT400" i="2" s="1"/>
  <c r="CV372" i="2" a="1"/>
  <c r="CV372" i="2" s="1"/>
  <c r="CU358" i="2" a="1"/>
  <c r="CU358" i="2" s="1"/>
  <c r="CV358" i="2" a="1"/>
  <c r="CV358" i="2" s="1"/>
  <c r="CT358" i="2" a="1"/>
  <c r="CT358" i="2" s="1"/>
  <c r="CT288" i="2" a="1"/>
  <c r="CT288" i="2" s="1"/>
  <c r="CT232" i="2" a="1"/>
  <c r="CT232" i="2" s="1"/>
  <c r="CU232" i="2" a="1"/>
  <c r="CU232" i="2" s="1"/>
  <c r="CV232" i="2" a="1"/>
  <c r="CV232" i="2" s="1"/>
  <c r="CV162" i="2" a="1"/>
  <c r="CV162" i="2" s="1"/>
  <c r="CV134" i="2" a="1"/>
  <c r="CV134" i="2" s="1"/>
  <c r="CV106" i="2" a="1"/>
  <c r="CV106" i="2" s="1"/>
  <c r="CU8" i="2" a="1"/>
  <c r="CU8" i="2" s="1"/>
  <c r="CT642" i="2" a="1"/>
  <c r="CT642" i="2" s="1"/>
  <c r="CU516" i="2" a="1"/>
  <c r="CU516" i="2" s="1"/>
  <c r="CT432" i="2" a="1"/>
  <c r="CT432" i="2" s="1"/>
  <c r="CU376" i="2" a="1"/>
  <c r="CU376" i="2" s="1"/>
  <c r="CU306" i="2" a="1"/>
  <c r="CU306" i="2" s="1"/>
  <c r="CU222" i="2" a="1"/>
  <c r="CU222" i="2" s="1"/>
  <c r="CU138" i="2" a="1"/>
  <c r="CU138" i="2" s="1"/>
  <c r="CV110" i="2" a="1"/>
  <c r="CV110" i="2" s="1"/>
  <c r="CU82" i="2" a="1"/>
  <c r="CU82" i="2" s="1"/>
  <c r="CV82" i="2" a="1"/>
  <c r="CV82" i="2" s="1"/>
  <c r="CV40" i="2" a="1"/>
  <c r="CV40" i="2" s="1"/>
  <c r="CU40" i="2" a="1"/>
  <c r="CU40" i="2" s="1"/>
  <c r="CV12" i="2" a="1"/>
  <c r="CV12" i="2" s="1"/>
  <c r="CU12" i="2" a="1"/>
  <c r="CU12" i="2" s="1"/>
  <c r="CT12" i="2" a="1"/>
  <c r="CT12" i="2" s="1"/>
  <c r="CU506" i="2" a="1"/>
  <c r="CU506" i="2" s="1"/>
  <c r="CV492" i="2" a="1"/>
  <c r="CV492" i="2" s="1"/>
  <c r="CU492" i="2" a="1"/>
  <c r="CU492" i="2" s="1"/>
  <c r="CV464" i="2" a="1"/>
  <c r="CV464" i="2" s="1"/>
  <c r="CV422" i="2" a="1"/>
  <c r="CV422" i="2" s="1"/>
  <c r="CV394" i="2" a="1"/>
  <c r="CV394" i="2" s="1"/>
  <c r="CU380" i="2" a="1"/>
  <c r="CU380" i="2" s="1"/>
  <c r="CV380" i="2" a="1"/>
  <c r="CV380" i="2" s="1"/>
  <c r="CV366" i="2" a="1"/>
  <c r="CV366" i="2" s="1"/>
  <c r="CU366" i="2" a="1"/>
  <c r="CU366" i="2" s="1"/>
  <c r="CV338" i="2" a="1"/>
  <c r="CV338" i="2" s="1"/>
  <c r="CT212" i="2" a="1"/>
  <c r="CT212" i="2" s="1"/>
  <c r="CV184" i="2" a="1"/>
  <c r="CV184" i="2" s="1"/>
  <c r="CT184" i="2" a="1"/>
  <c r="CT184" i="2" s="1"/>
  <c r="CV170" i="2" a="1"/>
  <c r="CV170" i="2" s="1"/>
  <c r="CT170" i="2" a="1"/>
  <c r="CT170" i="2" s="1"/>
  <c r="CU2" i="2" a="1"/>
  <c r="CU2" i="2" s="1"/>
  <c r="CU636" i="2" a="1"/>
  <c r="CU636" i="2" s="1"/>
  <c r="CV608" i="2" a="1"/>
  <c r="CV608" i="2" s="1"/>
  <c r="CU608" i="2" a="1"/>
  <c r="CU608" i="2" s="1"/>
  <c r="CV594" i="2" a="1"/>
  <c r="CV594" i="2" s="1"/>
  <c r="CV580" i="2" a="1"/>
  <c r="CV580" i="2" s="1"/>
  <c r="CU580" i="2" a="1"/>
  <c r="CU580" i="2" s="1"/>
  <c r="CU566" i="2" a="1"/>
  <c r="CU566" i="2" s="1"/>
  <c r="CT566" i="2" a="1"/>
  <c r="CT566" i="2" s="1"/>
  <c r="CV566" i="2" a="1"/>
  <c r="CV566" i="2" s="1"/>
  <c r="CT552" i="2" a="1"/>
  <c r="CT552" i="2" s="1"/>
  <c r="CV552" i="2" a="1"/>
  <c r="CV552" i="2" s="1"/>
  <c r="CT510" i="2" a="1"/>
  <c r="CT510" i="2" s="1"/>
  <c r="CU510" i="2" a="1"/>
  <c r="CU510" i="2" s="1"/>
  <c r="CV510" i="2" a="1"/>
  <c r="CV510" i="2" s="1"/>
  <c r="CU328" i="2" a="1"/>
  <c r="CU328" i="2" s="1"/>
  <c r="CV272" i="2" a="1"/>
  <c r="CV272" i="2" s="1"/>
  <c r="CU272" i="2" a="1"/>
  <c r="CU272" i="2" s="1"/>
  <c r="CT272" i="2" a="1"/>
  <c r="CT272" i="2" s="1"/>
  <c r="CU146" i="2" a="1"/>
  <c r="CU146" i="2" s="1"/>
  <c r="CV146" i="2" a="1"/>
  <c r="CV146" i="2" s="1"/>
  <c r="CT335" i="2" a="1"/>
  <c r="CT335" i="2" s="1"/>
  <c r="CV153" i="2" a="1"/>
  <c r="CV153" i="2" s="1"/>
  <c r="CV661" i="2" a="1"/>
  <c r="CV661" i="2" s="1"/>
  <c r="CV647" i="2" a="1"/>
  <c r="CV647" i="2" s="1"/>
  <c r="CV437" i="2" a="1"/>
  <c r="CV437" i="2" s="1"/>
  <c r="CV227" i="2" a="1"/>
  <c r="CV227" i="2" s="1"/>
  <c r="CV609" i="2" a="1"/>
  <c r="CV609" i="2" s="1"/>
  <c r="CU697" i="2" a="1"/>
  <c r="CU697" i="2" s="1"/>
  <c r="CU557" i="2" a="1"/>
  <c r="CU557" i="2" s="1"/>
  <c r="CU459" i="2" a="1"/>
  <c r="CU459" i="2" s="1"/>
  <c r="CV361" i="2" a="1"/>
  <c r="CV361" i="2" s="1"/>
  <c r="CT645" i="2" a="1"/>
  <c r="CT645" i="2" s="1"/>
  <c r="CU266" i="2" a="1"/>
  <c r="CU266" i="2" s="1"/>
  <c r="CT179" i="2" a="1"/>
  <c r="CT179" i="2" s="1"/>
  <c r="CV95" i="2" a="1"/>
  <c r="CV95" i="2" s="1"/>
  <c r="CV617" i="2" a="1"/>
  <c r="CV617" i="2" s="1"/>
  <c r="CU607" i="2" a="1"/>
  <c r="CU607" i="2" s="1"/>
  <c r="CU247" i="2" a="1"/>
  <c r="CU247" i="2" s="1"/>
  <c r="CU353" i="2" a="1"/>
  <c r="CU353" i="2" s="1"/>
  <c r="CV315" i="2" a="1"/>
  <c r="CV315" i="2" s="1"/>
  <c r="CT655" i="2" a="1"/>
  <c r="CT655" i="2" s="1"/>
  <c r="CU291" i="2" a="1"/>
  <c r="CU291" i="2" s="1"/>
  <c r="CU686" i="2" a="1"/>
  <c r="CU686" i="2" s="1"/>
  <c r="CV672" i="2" a="1"/>
  <c r="CV672" i="2" s="1"/>
  <c r="CU672" i="2" a="1"/>
  <c r="CU672" i="2" s="1"/>
  <c r="CV588" i="2" a="1"/>
  <c r="CV588" i="2" s="1"/>
  <c r="CV574" i="2" a="1"/>
  <c r="CV574" i="2" s="1"/>
  <c r="CU574" i="2" a="1"/>
  <c r="CU574" i="2" s="1"/>
  <c r="CU546" i="2" a="1"/>
  <c r="CU546" i="2" s="1"/>
  <c r="CV546" i="2" a="1"/>
  <c r="CV546" i="2" s="1"/>
  <c r="CV518" i="2" a="1"/>
  <c r="CV518" i="2" s="1"/>
  <c r="CV462" i="2" a="1"/>
  <c r="CV462" i="2" s="1"/>
  <c r="CV448" i="2" a="1"/>
  <c r="CV448" i="2" s="1"/>
  <c r="CU448" i="2" a="1"/>
  <c r="CU448" i="2" s="1"/>
  <c r="CU392" i="2" a="1"/>
  <c r="CU392" i="2" s="1"/>
  <c r="CV308" i="2" a="1"/>
  <c r="CV308" i="2" s="1"/>
  <c r="CU280" i="2" a="1"/>
  <c r="CU280" i="2" s="1"/>
  <c r="CV280" i="2" a="1"/>
  <c r="CV280" i="2" s="1"/>
  <c r="CV252" i="2" a="1"/>
  <c r="CV252" i="2" s="1"/>
  <c r="CU182" i="2" a="1"/>
  <c r="CU182" i="2" s="1"/>
  <c r="CV168" i="2" a="1"/>
  <c r="CV168" i="2" s="1"/>
  <c r="CV154" i="2" a="1"/>
  <c r="CV154" i="2" s="1"/>
  <c r="CV70" i="2" a="1"/>
  <c r="CV70" i="2" s="1"/>
  <c r="CU56" i="2" a="1"/>
  <c r="CU56" i="2" s="1"/>
  <c r="CV690" i="2" a="1"/>
  <c r="CV690" i="2" s="1"/>
  <c r="CT676" i="2" a="1"/>
  <c r="CT676" i="2" s="1"/>
  <c r="CU676" i="2" a="1"/>
  <c r="CU676" i="2" s="1"/>
  <c r="CU620" i="2" a="1"/>
  <c r="CU620" i="2" s="1"/>
  <c r="CU606" i="2" a="1"/>
  <c r="CU606" i="2" s="1"/>
  <c r="CV606" i="2" a="1"/>
  <c r="CV606" i="2" s="1"/>
  <c r="CV578" i="2" a="1"/>
  <c r="CV578" i="2" s="1"/>
  <c r="CU494" i="2" a="1"/>
  <c r="CU494" i="2" s="1"/>
  <c r="CU424" i="2" a="1"/>
  <c r="CU424" i="2" s="1"/>
  <c r="CU368" i="2" a="1"/>
  <c r="CU368" i="2" s="1"/>
  <c r="CU340" i="2" a="1"/>
  <c r="CU340" i="2" s="1"/>
  <c r="CT340" i="2" a="1"/>
  <c r="CT340" i="2" s="1"/>
  <c r="CV298" i="2" a="1"/>
  <c r="CV298" i="2" s="1"/>
  <c r="CT284" i="2" a="1"/>
  <c r="CT284" i="2" s="1"/>
  <c r="CV284" i="2" a="1"/>
  <c r="CV284" i="2" s="1"/>
  <c r="CV256" i="2" a="1"/>
  <c r="CV256" i="2" s="1"/>
  <c r="CV228" i="2" a="1"/>
  <c r="CV228" i="2" s="1"/>
  <c r="CT200" i="2" a="1"/>
  <c r="CT200" i="2" s="1"/>
  <c r="CV200" i="2" a="1"/>
  <c r="CV200" i="2" s="1"/>
  <c r="CV186" i="2" a="1"/>
  <c r="CV186" i="2" s="1"/>
  <c r="CU144" i="2" a="1"/>
  <c r="CU144" i="2" s="1"/>
  <c r="CV144" i="2" a="1"/>
  <c r="CV144" i="2" s="1"/>
  <c r="CT144" i="2" a="1"/>
  <c r="CT144" i="2" s="1"/>
  <c r="CV130" i="2" a="1"/>
  <c r="CV130" i="2" s="1"/>
  <c r="CU102" i="2" a="1"/>
  <c r="CU102" i="2" s="1"/>
  <c r="CV46" i="2" a="1"/>
  <c r="CV46" i="2" s="1"/>
  <c r="CV694" i="2" a="1"/>
  <c r="CV694" i="2" s="1"/>
  <c r="CU652" i="2" a="1"/>
  <c r="CU652" i="2" s="1"/>
  <c r="CU638" i="2" a="1"/>
  <c r="CU638" i="2" s="1"/>
  <c r="CV638" i="2" a="1"/>
  <c r="CV638" i="2" s="1"/>
  <c r="CU624" i="2" a="1"/>
  <c r="CU624" i="2" s="1"/>
  <c r="CV624" i="2" a="1"/>
  <c r="CV624" i="2" s="1"/>
  <c r="CU596" i="2" a="1"/>
  <c r="CU596" i="2" s="1"/>
  <c r="CV596" i="2" a="1"/>
  <c r="CV596" i="2" s="1"/>
  <c r="CU582" i="2" a="1"/>
  <c r="CU582" i="2" s="1"/>
  <c r="CT582" i="2" a="1"/>
  <c r="CT582" i="2" s="1"/>
  <c r="CV568" i="2" a="1"/>
  <c r="CV568" i="2" s="1"/>
  <c r="CU484" i="2" a="1"/>
  <c r="CU484" i="2" s="1"/>
  <c r="CV470" i="2" a="1"/>
  <c r="CV470" i="2" s="1"/>
  <c r="CT470" i="2" a="1"/>
  <c r="CT470" i="2" s="1"/>
  <c r="CT386" i="2" a="1"/>
  <c r="CT386" i="2" s="1"/>
  <c r="CU386" i="2" a="1"/>
  <c r="CU386" i="2" s="1"/>
  <c r="CU316" i="2" a="1"/>
  <c r="CU316" i="2" s="1"/>
  <c r="CU302" i="2" a="1"/>
  <c r="CU302" i="2" s="1"/>
  <c r="CV274" i="2" a="1"/>
  <c r="CV274" i="2" s="1"/>
  <c r="CU218" i="2" a="1"/>
  <c r="CU218" i="2" s="1"/>
  <c r="CV218" i="2" a="1"/>
  <c r="CV218" i="2" s="1"/>
  <c r="CU204" i="2" a="1"/>
  <c r="CU204" i="2" s="1"/>
  <c r="CT204" i="2" a="1"/>
  <c r="CT204" i="2" s="1"/>
  <c r="CV204" i="2" a="1"/>
  <c r="CV204" i="2" s="1"/>
  <c r="CV176" i="2" a="1"/>
  <c r="CV176" i="2" s="1"/>
  <c r="CT148" i="2" a="1"/>
  <c r="CT148" i="2" s="1"/>
  <c r="CV120" i="2" a="1"/>
  <c r="CV120" i="2" s="1"/>
  <c r="CT78" i="2" a="1"/>
  <c r="CT78" i="2" s="1"/>
  <c r="CV64" i="2" a="1"/>
  <c r="CV64" i="2" s="1"/>
  <c r="CU64" i="2" a="1"/>
  <c r="CU64" i="2" s="1"/>
  <c r="CU50" i="2" a="1"/>
  <c r="CU50" i="2" s="1"/>
  <c r="CT50" i="2" a="1"/>
  <c r="CT50" i="2" s="1"/>
  <c r="CV50" i="2" a="1"/>
  <c r="CV50" i="2" s="1"/>
  <c r="CU22" i="2" a="1"/>
  <c r="CU22" i="2" s="1"/>
  <c r="CV698" i="2" a="1"/>
  <c r="CV698" i="2" s="1"/>
  <c r="CU684" i="2" a="1"/>
  <c r="CU684" i="2" s="1"/>
  <c r="CT684" i="2" a="1"/>
  <c r="CT684" i="2" s="1"/>
  <c r="CV670" i="2" a="1"/>
  <c r="CV670" i="2" s="1"/>
  <c r="CU628" i="2" a="1"/>
  <c r="CU628" i="2" s="1"/>
  <c r="CT614" i="2" a="1"/>
  <c r="CT614" i="2" s="1"/>
  <c r="CV614" i="2" a="1"/>
  <c r="CV614" i="2" s="1"/>
  <c r="CV586" i="2" a="1"/>
  <c r="CV586" i="2" s="1"/>
  <c r="CT586" i="2" a="1"/>
  <c r="CT586" i="2" s="1"/>
  <c r="CT572" i="2" a="1"/>
  <c r="CT572" i="2" s="1"/>
  <c r="CU572" i="2" a="1"/>
  <c r="CU572" i="2" s="1"/>
  <c r="CV558" i="2" a="1"/>
  <c r="CV558" i="2" s="1"/>
  <c r="CU558" i="2" a="1"/>
  <c r="CU558" i="2" s="1"/>
  <c r="CT544" i="2" a="1"/>
  <c r="CT544" i="2" s="1"/>
  <c r="CV502" i="2" a="1"/>
  <c r="CV502" i="2" s="1"/>
  <c r="CV488" i="2" a="1"/>
  <c r="CV488" i="2" s="1"/>
  <c r="CU474" i="2" a="1"/>
  <c r="CU474" i="2" s="1"/>
  <c r="CV460" i="2" a="1"/>
  <c r="CV460" i="2" s="1"/>
  <c r="CU460" i="2" a="1"/>
  <c r="CU460" i="2" s="1"/>
  <c r="CT418" i="2" a="1"/>
  <c r="CT418" i="2" s="1"/>
  <c r="CV418" i="2" a="1"/>
  <c r="CV418" i="2" s="1"/>
  <c r="CV404" i="2" a="1"/>
  <c r="CV404" i="2" s="1"/>
  <c r="CV390" i="2" a="1"/>
  <c r="CV390" i="2" s="1"/>
  <c r="CU362" i="2" a="1"/>
  <c r="CU362" i="2" s="1"/>
  <c r="CT334" i="2" a="1"/>
  <c r="CT334" i="2" s="1"/>
  <c r="CU334" i="2" a="1"/>
  <c r="CU334" i="2" s="1"/>
  <c r="CV334" i="2" a="1"/>
  <c r="CV334" i="2" s="1"/>
  <c r="CT320" i="2" a="1"/>
  <c r="CT320" i="2" s="1"/>
  <c r="CU292" i="2" a="1"/>
  <c r="CU292" i="2" s="1"/>
  <c r="CU264" i="2" a="1"/>
  <c r="CU264" i="2" s="1"/>
  <c r="CV264" i="2" a="1"/>
  <c r="CV264" i="2" s="1"/>
  <c r="CT250" i="2" a="1"/>
  <c r="CT250" i="2" s="1"/>
  <c r="CT236" i="2" a="1"/>
  <c r="CT236" i="2" s="1"/>
  <c r="CU236" i="2" a="1"/>
  <c r="CU236" i="2" s="1"/>
  <c r="CV208" i="2" a="1"/>
  <c r="CV208" i="2" s="1"/>
  <c r="CT194" i="2" a="1"/>
  <c r="CT194" i="2" s="1"/>
  <c r="CV194" i="2" a="1"/>
  <c r="CV194" i="2" s="1"/>
  <c r="CT180" i="2" a="1"/>
  <c r="CT180" i="2" s="1"/>
  <c r="CU166" i="2" a="1"/>
  <c r="CU166" i="2" s="1"/>
  <c r="CV166" i="2" a="1"/>
  <c r="CV166" i="2" s="1"/>
  <c r="CT152" i="2" a="1"/>
  <c r="CT152" i="2" s="1"/>
  <c r="CU152" i="2" a="1"/>
  <c r="CU152" i="2" s="1"/>
  <c r="CU96" i="2" a="1"/>
  <c r="CU96" i="2" s="1"/>
  <c r="CV702" i="2" a="1"/>
  <c r="CV702" i="2" s="1"/>
  <c r="CT674" i="2" a="1"/>
  <c r="CT674" i="2" s="1"/>
  <c r="CV674" i="2" a="1"/>
  <c r="CV674" i="2" s="1"/>
  <c r="CU646" i="2" a="1"/>
  <c r="CU646" i="2" s="1"/>
  <c r="CV646" i="2" a="1"/>
  <c r="CV646" i="2" s="1"/>
  <c r="CT646" i="2" a="1"/>
  <c r="CT646" i="2" s="1"/>
  <c r="CT632" i="2" a="1"/>
  <c r="CT632" i="2" s="1"/>
  <c r="CV632" i="2" a="1"/>
  <c r="CV632" i="2" s="1"/>
  <c r="CU604" i="2" a="1"/>
  <c r="CU604" i="2" s="1"/>
  <c r="CV604" i="2" a="1"/>
  <c r="CV604" i="2" s="1"/>
  <c r="CT590" i="2" a="1"/>
  <c r="CT590" i="2" s="1"/>
  <c r="CU590" i="2" a="1"/>
  <c r="CU590" i="2" s="1"/>
  <c r="CV590" i="2" a="1"/>
  <c r="CV590" i="2" s="1"/>
  <c r="CT576" i="2" a="1"/>
  <c r="CT576" i="2" s="1"/>
  <c r="CV576" i="2" a="1"/>
  <c r="CV576" i="2" s="1"/>
  <c r="CT562" i="2" a="1"/>
  <c r="CT562" i="2" s="1"/>
  <c r="CU548" i="2" a="1"/>
  <c r="CU548" i="2" s="1"/>
  <c r="CV548" i="2" a="1"/>
  <c r="CV548" i="2" s="1"/>
  <c r="CT534" i="2" a="1"/>
  <c r="CT534" i="2" s="1"/>
  <c r="CU534" i="2" a="1"/>
  <c r="CU534" i="2" s="1"/>
  <c r="CV520" i="2" a="1"/>
  <c r="CV520" i="2" s="1"/>
  <c r="CT520" i="2" a="1"/>
  <c r="CT520" i="2" s="1"/>
  <c r="CV478" i="2" a="1"/>
  <c r="CV478" i="2" s="1"/>
  <c r="CU450" i="2" a="1"/>
  <c r="CU450" i="2" s="1"/>
  <c r="CU436" i="2" a="1"/>
  <c r="CU436" i="2" s="1"/>
  <c r="CV436" i="2" a="1"/>
  <c r="CV436" i="2" s="1"/>
  <c r="CU352" i="2" a="1"/>
  <c r="CU352" i="2" s="1"/>
  <c r="CV324" i="2" a="1"/>
  <c r="CV324" i="2" s="1"/>
  <c r="CU296" i="2" a="1"/>
  <c r="CU296" i="2" s="1"/>
  <c r="CT268" i="2" a="1"/>
  <c r="CT268" i="2" s="1"/>
  <c r="CV268" i="2" a="1"/>
  <c r="CV268" i="2" s="1"/>
  <c r="CU240" i="2" a="1"/>
  <c r="CU240" i="2" s="1"/>
  <c r="CV240" i="2" a="1"/>
  <c r="CV240" i="2" s="1"/>
  <c r="CV226" i="2" a="1"/>
  <c r="CV226" i="2" s="1"/>
  <c r="CU156" i="2" a="1"/>
  <c r="CU156" i="2" s="1"/>
  <c r="CU142" i="2" a="1"/>
  <c r="CU142" i="2" s="1"/>
  <c r="CT142" i="2" a="1"/>
  <c r="CT142" i="2" s="1"/>
  <c r="CV142" i="2" a="1"/>
  <c r="CV142" i="2" s="1"/>
  <c r="CV128" i="2" a="1"/>
  <c r="CV128" i="2" s="1"/>
  <c r="CT128" i="2" a="1"/>
  <c r="CT128" i="2" s="1"/>
  <c r="CT114" i="2" a="1"/>
  <c r="CT114" i="2" s="1"/>
  <c r="CV114" i="2" a="1"/>
  <c r="CV114" i="2" s="1"/>
  <c r="CV86" i="2" a="1"/>
  <c r="CV86" i="2" s="1"/>
  <c r="CU72" i="2" a="1"/>
  <c r="CU72" i="2" s="1"/>
  <c r="CT72" i="2" a="1"/>
  <c r="CT72" i="2" s="1"/>
  <c r="CV72" i="2" a="1"/>
  <c r="CV72" i="2" s="1"/>
  <c r="CV58" i="2" a="1"/>
  <c r="CV58" i="2" s="1"/>
  <c r="CU30" i="2" a="1"/>
  <c r="CU30" i="2" s="1"/>
  <c r="CV30" i="2" a="1"/>
  <c r="CV30" i="2" s="1"/>
  <c r="CV16" i="2" a="1"/>
  <c r="CV16" i="2" s="1"/>
  <c r="CT16" i="2" a="1"/>
  <c r="CT16" i="2" s="1"/>
  <c r="CT692" i="2" a="1"/>
  <c r="CT692" i="2" s="1"/>
  <c r="CU678" i="2" a="1"/>
  <c r="CU678" i="2" s="1"/>
  <c r="CV678" i="2" a="1"/>
  <c r="CV678" i="2" s="1"/>
  <c r="CU664" i="2" a="1"/>
  <c r="CU664" i="2" s="1"/>
  <c r="CV664" i="2" a="1"/>
  <c r="CV664" i="2" s="1"/>
  <c r="CV650" i="2" a="1"/>
  <c r="CV650" i="2" s="1"/>
  <c r="CV622" i="2" a="1"/>
  <c r="CV622" i="2" s="1"/>
  <c r="CU538" i="2" a="1"/>
  <c r="CU538" i="2" s="1"/>
  <c r="CV524" i="2" a="1"/>
  <c r="CV524" i="2" s="1"/>
  <c r="CU524" i="2" a="1"/>
  <c r="CU524" i="2" s="1"/>
  <c r="CT524" i="2" a="1"/>
  <c r="CT524" i="2" s="1"/>
  <c r="CV496" i="2" a="1"/>
  <c r="CV496" i="2" s="1"/>
  <c r="CV482" i="2" a="1"/>
  <c r="CV482" i="2" s="1"/>
  <c r="CU482" i="2" a="1"/>
  <c r="CU482" i="2" s="1"/>
  <c r="CV468" i="2" a="1"/>
  <c r="CV468" i="2" s="1"/>
  <c r="CU468" i="2" a="1"/>
  <c r="CU468" i="2" s="1"/>
  <c r="CT468" i="2" a="1"/>
  <c r="CT468" i="2" s="1"/>
  <c r="CV454" i="2" a="1"/>
  <c r="CV454" i="2" s="1"/>
  <c r="CT454" i="2" a="1"/>
  <c r="CT454" i="2" s="1"/>
  <c r="CU440" i="2" a="1"/>
  <c r="CU440" i="2" s="1"/>
  <c r="CT440" i="2" a="1"/>
  <c r="CT440" i="2" s="1"/>
  <c r="CV426" i="2" a="1"/>
  <c r="CV426" i="2" s="1"/>
  <c r="CT412" i="2" a="1"/>
  <c r="CT412" i="2" s="1"/>
  <c r="CU412" i="2" a="1"/>
  <c r="CU412" i="2" s="1"/>
  <c r="CV412" i="2" a="1"/>
  <c r="CV412" i="2" s="1"/>
  <c r="CV398" i="2" a="1"/>
  <c r="CV398" i="2" s="1"/>
  <c r="CU370" i="2" a="1"/>
  <c r="CU370" i="2" s="1"/>
  <c r="CV370" i="2" a="1"/>
  <c r="CV370" i="2" s="1"/>
  <c r="CV356" i="2" a="1"/>
  <c r="CV356" i="2" s="1"/>
  <c r="CT356" i="2" a="1"/>
  <c r="CT356" i="2" s="1"/>
  <c r="CU342" i="2" a="1"/>
  <c r="CU342" i="2" s="1"/>
  <c r="CV342" i="2" a="1"/>
  <c r="CV342" i="2" s="1"/>
  <c r="CV314" i="2" a="1"/>
  <c r="CV314" i="2" s="1"/>
  <c r="CU300" i="2" a="1"/>
  <c r="CU300" i="2" s="1"/>
  <c r="CV300" i="2" a="1"/>
  <c r="CV300" i="2" s="1"/>
  <c r="CU258" i="2" a="1"/>
  <c r="CU258" i="2" s="1"/>
  <c r="CV258" i="2" a="1"/>
  <c r="CV258" i="2" s="1"/>
  <c r="CV244" i="2" a="1"/>
  <c r="CV244" i="2" s="1"/>
  <c r="CU244" i="2" a="1"/>
  <c r="CU244" i="2" s="1"/>
  <c r="CT230" i="2" a="1"/>
  <c r="CT230" i="2" s="1"/>
  <c r="CU230" i="2" a="1"/>
  <c r="CU230" i="2" s="1"/>
  <c r="CV216" i="2" a="1"/>
  <c r="CV216" i="2" s="1"/>
  <c r="CV202" i="2" a="1"/>
  <c r="CV202" i="2" s="1"/>
  <c r="CU202" i="2" a="1"/>
  <c r="CU202" i="2" s="1"/>
  <c r="CU174" i="2" a="1"/>
  <c r="CU174" i="2" s="1"/>
  <c r="CV174" i="2" a="1"/>
  <c r="CV174" i="2" s="1"/>
  <c r="CT160" i="2" a="1"/>
  <c r="CT160" i="2" s="1"/>
  <c r="CV160" i="2" a="1"/>
  <c r="CV160" i="2" s="1"/>
  <c r="CT132" i="2" a="1"/>
  <c r="CT132" i="2" s="1"/>
  <c r="CT118" i="2" a="1"/>
  <c r="CT118" i="2" s="1"/>
  <c r="CV118" i="2" a="1"/>
  <c r="CV118" i="2" s="1"/>
  <c r="CU104" i="2" a="1"/>
  <c r="CU104" i="2" s="1"/>
  <c r="CT104" i="2" a="1"/>
  <c r="CT104" i="2" s="1"/>
  <c r="CV104" i="2" a="1"/>
  <c r="CV104" i="2" s="1"/>
  <c r="CT90" i="2" a="1"/>
  <c r="CT90" i="2" s="1"/>
  <c r="CV90" i="2" a="1"/>
  <c r="CV90" i="2" s="1"/>
  <c r="CU76" i="2" a="1"/>
  <c r="CU76" i="2" s="1"/>
  <c r="CV62" i="2" a="1"/>
  <c r="CV62" i="2" s="1"/>
  <c r="CV48" i="2" a="1"/>
  <c r="CV48" i="2" s="1"/>
  <c r="CU34" i="2" a="1"/>
  <c r="CU34" i="2" s="1"/>
  <c r="CT34" i="2" a="1"/>
  <c r="CT34" i="2" s="1"/>
  <c r="CU20" i="2" a="1"/>
  <c r="CU20" i="2" s="1"/>
  <c r="CV20" i="2" a="1"/>
  <c r="CV20" i="2" s="1"/>
  <c r="CV6" i="2" a="1"/>
  <c r="CV6" i="2" s="1"/>
  <c r="CT6" i="2" a="1"/>
  <c r="CT6" i="2" s="1"/>
  <c r="CT696" i="2" a="1"/>
  <c r="CT696" i="2" s="1"/>
  <c r="CV696" i="2" a="1"/>
  <c r="CV696" i="2" s="1"/>
  <c r="CU696" i="2" a="1"/>
  <c r="CU696" i="2" s="1"/>
  <c r="CU682" i="2" a="1"/>
  <c r="CU682" i="2" s="1"/>
  <c r="CT682" i="2" a="1"/>
  <c r="CT682" i="2" s="1"/>
  <c r="CV682" i="2" a="1"/>
  <c r="CV682" i="2" s="1"/>
  <c r="CT668" i="2" a="1"/>
  <c r="CT668" i="2" s="1"/>
  <c r="CV668" i="2" a="1"/>
  <c r="CV668" i="2" s="1"/>
  <c r="CU668" i="2" a="1"/>
  <c r="CU668" i="2" s="1"/>
  <c r="CT654" i="2" a="1"/>
  <c r="CT654" i="2" s="1"/>
  <c r="CV654" i="2" a="1"/>
  <c r="CV654" i="2" s="1"/>
  <c r="CT640" i="2" a="1"/>
  <c r="CT640" i="2" s="1"/>
  <c r="CU640" i="2" a="1"/>
  <c r="CU640" i="2" s="1"/>
  <c r="CV640" i="2" a="1"/>
  <c r="CV640" i="2" s="1"/>
  <c r="CT626" i="2" a="1"/>
  <c r="CT626" i="2" s="1"/>
  <c r="CU626" i="2" a="1"/>
  <c r="CU626" i="2" s="1"/>
  <c r="CV626" i="2" a="1"/>
  <c r="CV626" i="2" s="1"/>
  <c r="CT612" i="2" a="1"/>
  <c r="CT612" i="2" s="1"/>
  <c r="CV612" i="2" a="1"/>
  <c r="CV612" i="2" s="1"/>
  <c r="CU612" i="2" a="1"/>
  <c r="CU612" i="2" s="1"/>
  <c r="CT598" i="2" a="1"/>
  <c r="CT598" i="2" s="1"/>
  <c r="CU598" i="2" a="1"/>
  <c r="CU598" i="2" s="1"/>
  <c r="CV598" i="2" a="1"/>
  <c r="CV598" i="2" s="1"/>
  <c r="CU584" i="2" a="1"/>
  <c r="CU584" i="2" s="1"/>
  <c r="CV584" i="2" a="1"/>
  <c r="CV584" i="2" s="1"/>
  <c r="CT584" i="2" a="1"/>
  <c r="CT584" i="2" s="1"/>
  <c r="CT570" i="2" a="1"/>
  <c r="CT570" i="2" s="1"/>
  <c r="CU570" i="2" a="1"/>
  <c r="CU570" i="2" s="1"/>
  <c r="CV570" i="2" a="1"/>
  <c r="CV570" i="2" s="1"/>
  <c r="CU556" i="2" a="1"/>
  <c r="CU556" i="2" s="1"/>
  <c r="CT556" i="2" a="1"/>
  <c r="CT556" i="2" s="1"/>
  <c r="CV556" i="2" a="1"/>
  <c r="CV556" i="2" s="1"/>
  <c r="CU542" i="2" a="1"/>
  <c r="CU542" i="2" s="1"/>
  <c r="CT542" i="2" a="1"/>
  <c r="CT542" i="2" s="1"/>
  <c r="CV542" i="2" a="1"/>
  <c r="CV542" i="2" s="1"/>
  <c r="CU528" i="2" a="1"/>
  <c r="CU528" i="2" s="1"/>
  <c r="CT528" i="2" a="1"/>
  <c r="CT528" i="2" s="1"/>
  <c r="CV528" i="2" a="1"/>
  <c r="CV528" i="2" s="1"/>
  <c r="CV514" i="2" a="1"/>
  <c r="CV514" i="2" s="1"/>
  <c r="CT514" i="2" a="1"/>
  <c r="CT514" i="2" s="1"/>
  <c r="CU514" i="2" a="1"/>
  <c r="CU514" i="2" s="1"/>
  <c r="CT500" i="2" a="1"/>
  <c r="CT500" i="2" s="1"/>
  <c r="CU500" i="2" a="1"/>
  <c r="CU500" i="2" s="1"/>
  <c r="CV500" i="2" a="1"/>
  <c r="CV500" i="2" s="1"/>
  <c r="CT486" i="2" a="1"/>
  <c r="CT486" i="2" s="1"/>
  <c r="CU486" i="2" a="1"/>
  <c r="CU486" i="2" s="1"/>
  <c r="CV486" i="2" a="1"/>
  <c r="CV486" i="2" s="1"/>
  <c r="CT472" i="2" a="1"/>
  <c r="CT472" i="2" s="1"/>
  <c r="CU472" i="2" a="1"/>
  <c r="CU472" i="2" s="1"/>
  <c r="CV472" i="2" a="1"/>
  <c r="CV472" i="2" s="1"/>
  <c r="CT458" i="2" a="1"/>
  <c r="CT458" i="2" s="1"/>
  <c r="CV458" i="2" a="1"/>
  <c r="CV458" i="2" s="1"/>
  <c r="CU458" i="2" a="1"/>
  <c r="CU458" i="2" s="1"/>
  <c r="CT444" i="2" a="1"/>
  <c r="CT444" i="2" s="1"/>
  <c r="CV444" i="2" a="1"/>
  <c r="CV444" i="2" s="1"/>
  <c r="CU444" i="2" a="1"/>
  <c r="CU444" i="2" s="1"/>
  <c r="CU430" i="2" a="1"/>
  <c r="CU430" i="2" s="1"/>
  <c r="CV430" i="2" a="1"/>
  <c r="CV430" i="2" s="1"/>
  <c r="CT430" i="2" a="1"/>
  <c r="CT430" i="2" s="1"/>
  <c r="CT388" i="2" a="1"/>
  <c r="CT388" i="2" s="1"/>
  <c r="CV388" i="2" a="1"/>
  <c r="CV388" i="2" s="1"/>
  <c r="CU388" i="2" a="1"/>
  <c r="CU388" i="2" s="1"/>
  <c r="CV96" i="2" a="1"/>
  <c r="CV96" i="2" s="1"/>
  <c r="CT617" i="2" a="1"/>
  <c r="CT617" i="2" s="1"/>
  <c r="CU559" i="2" a="1"/>
  <c r="CU559" i="2" s="1"/>
  <c r="CV545" i="2" a="1"/>
  <c r="CV545" i="2" s="1"/>
  <c r="CT531" i="2" a="1"/>
  <c r="CT531" i="2" s="1"/>
  <c r="CV195" i="2" a="1"/>
  <c r="CV195" i="2" s="1"/>
  <c r="CV13" i="2" a="1"/>
  <c r="CV13" i="2" s="1"/>
  <c r="CV703" i="2" a="1"/>
  <c r="CV703" i="2" s="1"/>
  <c r="CU591" i="2" a="1"/>
  <c r="CU591" i="2" s="1"/>
  <c r="CV395" i="2" a="1"/>
  <c r="CV395" i="2" s="1"/>
  <c r="CV325" i="2" a="1"/>
  <c r="CV325" i="2" s="1"/>
  <c r="CV115" i="2" a="1"/>
  <c r="CV115" i="2" s="1"/>
  <c r="CV87" i="2" a="1"/>
  <c r="CV87" i="2" s="1"/>
  <c r="CU539" i="2" a="1"/>
  <c r="CU539" i="2" s="1"/>
  <c r="CV161" i="2" a="1"/>
  <c r="CV161" i="2" s="1"/>
  <c r="CV49" i="2" a="1"/>
  <c r="CV49" i="2" s="1"/>
  <c r="CV683" i="2" a="1"/>
  <c r="CV683" i="2" s="1"/>
  <c r="CV669" i="2" a="1"/>
  <c r="CV669" i="2" s="1"/>
  <c r="CU655" i="2" a="1"/>
  <c r="CU655" i="2" s="1"/>
  <c r="CT529" i="2" a="1"/>
  <c r="CT529" i="2" s="1"/>
  <c r="CV515" i="2" a="1"/>
  <c r="CV515" i="2" s="1"/>
  <c r="CV487" i="2" a="1"/>
  <c r="CV487" i="2" s="1"/>
  <c r="CT221" i="2" a="1"/>
  <c r="CT221" i="2" s="1"/>
  <c r="CT95" i="2" a="1"/>
  <c r="CT95" i="2" s="1"/>
  <c r="CV81" i="2" a="1"/>
  <c r="CV81" i="2" s="1"/>
  <c r="CV673" i="2" a="1"/>
  <c r="CV673" i="2" s="1"/>
  <c r="CV659" i="2" a="1"/>
  <c r="CV659" i="2" s="1"/>
  <c r="CV631" i="2" a="1"/>
  <c r="CV631" i="2" s="1"/>
  <c r="CU603" i="2" a="1"/>
  <c r="CU603" i="2" s="1"/>
  <c r="CV589" i="2" a="1"/>
  <c r="CV589" i="2" s="1"/>
  <c r="CV575" i="2" a="1"/>
  <c r="CV575" i="2" s="1"/>
  <c r="CV561" i="2" a="1"/>
  <c r="CV561" i="2" s="1"/>
  <c r="CV519" i="2" a="1"/>
  <c r="CV519" i="2" s="1"/>
  <c r="CV435" i="2" a="1"/>
  <c r="CV435" i="2" s="1"/>
  <c r="CV379" i="2" a="1"/>
  <c r="CV379" i="2" s="1"/>
  <c r="CV365" i="2" a="1"/>
  <c r="CV365" i="2" s="1"/>
  <c r="CV337" i="2" a="1"/>
  <c r="CV337" i="2" s="1"/>
  <c r="CV323" i="2" a="1"/>
  <c r="CV323" i="2" s="1"/>
  <c r="CV267" i="2" a="1"/>
  <c r="CV267" i="2" s="1"/>
  <c r="CV211" i="2" a="1"/>
  <c r="CV211" i="2" s="1"/>
  <c r="CU183" i="2" a="1"/>
  <c r="CU183" i="2" s="1"/>
  <c r="CV155" i="2" a="1"/>
  <c r="CV155" i="2" s="1"/>
  <c r="CV29" i="2" a="1"/>
  <c r="CV29" i="2" s="1"/>
  <c r="CU677" i="2" a="1"/>
  <c r="CU677" i="2" s="1"/>
  <c r="CV565" i="2" a="1"/>
  <c r="CV565" i="2" s="1"/>
  <c r="CV537" i="2" a="1"/>
  <c r="CV537" i="2" s="1"/>
  <c r="CV467" i="2" a="1"/>
  <c r="CV467" i="2" s="1"/>
  <c r="CU411" i="2" a="1"/>
  <c r="CU411" i="2" s="1"/>
  <c r="CV369" i="2" a="1"/>
  <c r="CV369" i="2" s="1"/>
  <c r="CV355" i="2" a="1"/>
  <c r="CV355" i="2" s="1"/>
  <c r="CV341" i="2" a="1"/>
  <c r="CV341" i="2" s="1"/>
  <c r="CV285" i="2" a="1"/>
  <c r="CV285" i="2" s="1"/>
  <c r="CU229" i="2" a="1"/>
  <c r="CU229" i="2" s="1"/>
  <c r="CT173" i="2" a="1"/>
  <c r="CT173" i="2" s="1"/>
  <c r="CT145" i="2" a="1"/>
  <c r="CT145" i="2" s="1"/>
  <c r="CV103" i="2" a="1"/>
  <c r="CV103" i="2" s="1"/>
  <c r="CV47" i="2" a="1"/>
  <c r="CV47" i="2" s="1"/>
  <c r="CV5" i="2" a="1"/>
  <c r="CV5" i="2" s="1"/>
  <c r="CU639" i="2" a="1"/>
  <c r="CU639" i="2" s="1"/>
  <c r="CV569" i="2" a="1"/>
  <c r="CV569" i="2" s="1"/>
  <c r="CT484" i="2" a="1"/>
  <c r="CT484" i="2" s="1"/>
  <c r="CV671" i="2" a="1"/>
  <c r="CV671" i="2" s="1"/>
  <c r="CV615" i="2" a="1"/>
  <c r="CV615" i="2" s="1"/>
  <c r="CV307" i="2" a="1"/>
  <c r="CV307" i="2" s="1"/>
  <c r="CV251" i="2" a="1"/>
  <c r="CV251" i="2" s="1"/>
  <c r="CU195" i="2" a="1"/>
  <c r="CU195" i="2" s="1"/>
  <c r="CV139" i="2" a="1"/>
  <c r="CV139" i="2" s="1"/>
  <c r="CV689" i="2" a="1"/>
  <c r="CV689" i="2" s="1"/>
  <c r="CU661" i="2" a="1"/>
  <c r="CU661" i="2" s="1"/>
  <c r="CU619" i="2" a="1"/>
  <c r="CU619" i="2" s="1"/>
  <c r="CV521" i="2" a="1"/>
  <c r="CV521" i="2" s="1"/>
  <c r="CU493" i="2" a="1"/>
  <c r="CU493" i="2" s="1"/>
  <c r="CV451" i="2" a="1"/>
  <c r="CV451" i="2" s="1"/>
  <c r="CV423" i="2" a="1"/>
  <c r="CV423" i="2" s="1"/>
  <c r="CT367" i="2" a="1"/>
  <c r="CT367" i="2" s="1"/>
  <c r="CT366" i="2" a="1"/>
  <c r="CT366" i="2" s="1"/>
  <c r="CV662" i="2" a="1"/>
  <c r="CV662" i="2" s="1"/>
  <c r="CU694" i="2" a="1"/>
  <c r="CU694" i="2" s="1"/>
  <c r="CV210" i="2" a="1"/>
  <c r="CV210" i="2" s="1"/>
  <c r="CU654" i="2" a="1"/>
  <c r="CU654" i="2" s="1"/>
  <c r="CU614" i="2" a="1"/>
  <c r="CU614" i="2" s="1"/>
  <c r="CV138" i="2" a="1"/>
  <c r="CV138" i="2" s="1"/>
  <c r="CT416" i="2" a="1"/>
  <c r="CT416" i="2" s="1"/>
  <c r="CV416" i="2" a="1"/>
  <c r="CV416" i="2" s="1"/>
  <c r="CU416" i="2" a="1"/>
  <c r="CU416" i="2" s="1"/>
  <c r="CU402" i="2" a="1"/>
  <c r="CU402" i="2" s="1"/>
  <c r="CT402" i="2" a="1"/>
  <c r="CT402" i="2" s="1"/>
  <c r="CT374" i="2" a="1"/>
  <c r="CT374" i="2" s="1"/>
  <c r="CU374" i="2" a="1"/>
  <c r="CU374" i="2" s="1"/>
  <c r="CV374" i="2" a="1"/>
  <c r="CV374" i="2" s="1"/>
  <c r="CT360" i="2" a="1"/>
  <c r="CT360" i="2" s="1"/>
  <c r="CV360" i="2" a="1"/>
  <c r="CV360" i="2" s="1"/>
  <c r="CU360" i="2" a="1"/>
  <c r="CU360" i="2" s="1"/>
  <c r="CU346" i="2" a="1"/>
  <c r="CU346" i="2" s="1"/>
  <c r="CT346" i="2" a="1"/>
  <c r="CT346" i="2" s="1"/>
  <c r="CU332" i="2" a="1"/>
  <c r="CU332" i="2" s="1"/>
  <c r="CT332" i="2" a="1"/>
  <c r="CT332" i="2" s="1"/>
  <c r="CV318" i="2" a="1"/>
  <c r="CV318" i="2" s="1"/>
  <c r="CU318" i="2" a="1"/>
  <c r="CU318" i="2" s="1"/>
  <c r="CT318" i="2" a="1"/>
  <c r="CT318" i="2" s="1"/>
  <c r="CT304" i="2" a="1"/>
  <c r="CT304" i="2" s="1"/>
  <c r="CU304" i="2" a="1"/>
  <c r="CU304" i="2" s="1"/>
  <c r="CV304" i="2" a="1"/>
  <c r="CV304" i="2" s="1"/>
  <c r="CT290" i="2" a="1"/>
  <c r="CT290" i="2" s="1"/>
  <c r="CU290" i="2" a="1"/>
  <c r="CU290" i="2" s="1"/>
  <c r="CT276" i="2" a="1"/>
  <c r="CT276" i="2" s="1"/>
  <c r="CU276" i="2" a="1"/>
  <c r="CU276" i="2" s="1"/>
  <c r="CV276" i="2" a="1"/>
  <c r="CV276" i="2" s="1"/>
  <c r="CT262" i="2" a="1"/>
  <c r="CT262" i="2" s="1"/>
  <c r="CV262" i="2" a="1"/>
  <c r="CV262" i="2" s="1"/>
  <c r="CU262" i="2" a="1"/>
  <c r="CU262" i="2" s="1"/>
  <c r="CT248" i="2" a="1"/>
  <c r="CT248" i="2" s="1"/>
  <c r="CV248" i="2" a="1"/>
  <c r="CV248" i="2" s="1"/>
  <c r="CU248" i="2" a="1"/>
  <c r="CU248" i="2" s="1"/>
  <c r="CU234" i="2" a="1"/>
  <c r="CU234" i="2" s="1"/>
  <c r="CT234" i="2" a="1"/>
  <c r="CT234" i="2" s="1"/>
  <c r="CV234" i="2" a="1"/>
  <c r="CV234" i="2" s="1"/>
  <c r="CV220" i="2" a="1"/>
  <c r="CV220" i="2" s="1"/>
  <c r="CU220" i="2" a="1"/>
  <c r="CU220" i="2" s="1"/>
  <c r="CT220" i="2" a="1"/>
  <c r="CT220" i="2" s="1"/>
  <c r="CU206" i="2" a="1"/>
  <c r="CU206" i="2" s="1"/>
  <c r="CT206" i="2" a="1"/>
  <c r="CT206" i="2" s="1"/>
  <c r="CV206" i="2" a="1"/>
  <c r="CV206" i="2" s="1"/>
  <c r="CT192" i="2" a="1"/>
  <c r="CT192" i="2" s="1"/>
  <c r="CU192" i="2" a="1"/>
  <c r="CU192" i="2" s="1"/>
  <c r="CV192" i="2" a="1"/>
  <c r="CV192" i="2" s="1"/>
  <c r="CU178" i="2" a="1"/>
  <c r="CU178" i="2" s="1"/>
  <c r="CT178" i="2" a="1"/>
  <c r="CT178" i="2" s="1"/>
  <c r="CV178" i="2" a="1"/>
  <c r="CV178" i="2" s="1"/>
  <c r="CU164" i="2" a="1"/>
  <c r="CU164" i="2" s="1"/>
  <c r="CV164" i="2" a="1"/>
  <c r="CV164" i="2" s="1"/>
  <c r="CT164" i="2" a="1"/>
  <c r="CT164" i="2" s="1"/>
  <c r="CU150" i="2" a="1"/>
  <c r="CU150" i="2" s="1"/>
  <c r="CT150" i="2" a="1"/>
  <c r="CT150" i="2" s="1"/>
  <c r="CV150" i="2" a="1"/>
  <c r="CV150" i="2" s="1"/>
  <c r="CU136" i="2" a="1"/>
  <c r="CU136" i="2" s="1"/>
  <c r="CT136" i="2" a="1"/>
  <c r="CT136" i="2" s="1"/>
  <c r="CV136" i="2" a="1"/>
  <c r="CV136" i="2" s="1"/>
  <c r="CU122" i="2" a="1"/>
  <c r="CU122" i="2" s="1"/>
  <c r="CV122" i="2" a="1"/>
  <c r="CV122" i="2" s="1"/>
  <c r="CT122" i="2" a="1"/>
  <c r="CT122" i="2" s="1"/>
  <c r="CU108" i="2" a="1"/>
  <c r="CU108" i="2" s="1"/>
  <c r="CV108" i="2" a="1"/>
  <c r="CV108" i="2" s="1"/>
  <c r="CT94" i="2" a="1"/>
  <c r="CT94" i="2" s="1"/>
  <c r="CU94" i="2" a="1"/>
  <c r="CU94" i="2" s="1"/>
  <c r="CV94" i="2" a="1"/>
  <c r="CV94" i="2" s="1"/>
  <c r="CU80" i="2" a="1"/>
  <c r="CU80" i="2" s="1"/>
  <c r="CT80" i="2" a="1"/>
  <c r="CT80" i="2" s="1"/>
  <c r="CU66" i="2" a="1"/>
  <c r="CU66" i="2" s="1"/>
  <c r="CT66" i="2" a="1"/>
  <c r="CT66" i="2" s="1"/>
  <c r="CV66" i="2" a="1"/>
  <c r="CV66" i="2" s="1"/>
  <c r="CU52" i="2" a="1"/>
  <c r="CU52" i="2" s="1"/>
  <c r="CT52" i="2" a="1"/>
  <c r="CT52" i="2" s="1"/>
  <c r="CV52" i="2" a="1"/>
  <c r="CV52" i="2" s="1"/>
  <c r="CU38" i="2" a="1"/>
  <c r="CU38" i="2" s="1"/>
  <c r="CT38" i="2" a="1"/>
  <c r="CT38" i="2" s="1"/>
  <c r="CV38" i="2" a="1"/>
  <c r="CV38" i="2" s="1"/>
  <c r="CU24" i="2" a="1"/>
  <c r="CU24" i="2" s="1"/>
  <c r="CV24" i="2" a="1"/>
  <c r="CV24" i="2" s="1"/>
  <c r="CT24" i="2" a="1"/>
  <c r="CT24" i="2" s="1"/>
  <c r="CU10" i="2" a="1"/>
  <c r="CU10" i="2" s="1"/>
  <c r="CV10" i="2" a="1"/>
  <c r="CV10" i="2" s="1"/>
  <c r="CT10" i="2" a="1"/>
  <c r="CT10" i="2" s="1"/>
  <c r="CV346" i="2" a="1"/>
  <c r="CV346" i="2" s="1"/>
  <c r="CU501" i="2" a="1"/>
  <c r="CU501" i="2" s="1"/>
  <c r="CV445" i="2" a="1"/>
  <c r="CV445" i="2" s="1"/>
  <c r="CV277" i="2" a="1"/>
  <c r="CV277" i="2" s="1"/>
  <c r="CU137" i="2" a="1"/>
  <c r="CU137" i="2" s="1"/>
  <c r="CV25" i="2" a="1"/>
  <c r="CV25" i="2" s="1"/>
  <c r="CU477" i="2" a="1"/>
  <c r="CU477" i="2" s="1"/>
  <c r="CV421" i="2" a="1"/>
  <c r="CV421" i="2" s="1"/>
  <c r="CU351" i="2" a="1"/>
  <c r="CU351" i="2" s="1"/>
  <c r="CV127" i="2" a="1"/>
  <c r="CV127" i="2" s="1"/>
  <c r="CV57" i="2" a="1"/>
  <c r="CV57" i="2" s="1"/>
  <c r="CU705" i="2" a="1"/>
  <c r="CU705" i="2" s="1"/>
  <c r="CV691" i="2" a="1"/>
  <c r="CV691" i="2" s="1"/>
  <c r="CV649" i="2" a="1"/>
  <c r="CV649" i="2" s="1"/>
  <c r="CV635" i="2" a="1"/>
  <c r="CV635" i="2" s="1"/>
  <c r="CV607" i="2" a="1"/>
  <c r="CV607" i="2" s="1"/>
  <c r="CV593" i="2" a="1"/>
  <c r="CV593" i="2" s="1"/>
  <c r="CV551" i="2" a="1"/>
  <c r="CV551" i="2" s="1"/>
  <c r="CV523" i="2" a="1"/>
  <c r="CV523" i="2" s="1"/>
  <c r="CV509" i="2" a="1"/>
  <c r="CV509" i="2" s="1"/>
  <c r="CV439" i="2" a="1"/>
  <c r="CV439" i="2" s="1"/>
  <c r="CV257" i="2" a="1"/>
  <c r="CV257" i="2" s="1"/>
  <c r="CT653" i="2" a="1"/>
  <c r="CT653" i="2" s="1"/>
  <c r="CU625" i="2" a="1"/>
  <c r="CU625" i="2" s="1"/>
  <c r="CV625" i="2" a="1"/>
  <c r="CV625" i="2" s="1"/>
  <c r="CT625" i="2" a="1"/>
  <c r="CT625" i="2" s="1"/>
  <c r="CV597" i="2" a="1"/>
  <c r="CV597" i="2" s="1"/>
  <c r="CT597" i="2" a="1"/>
  <c r="CT597" i="2" s="1"/>
  <c r="CU597" i="2" a="1"/>
  <c r="CU597" i="2" s="1"/>
  <c r="CT583" i="2" a="1"/>
  <c r="CT583" i="2" s="1"/>
  <c r="CV583" i="2" a="1"/>
  <c r="CV583" i="2" s="1"/>
  <c r="CU583" i="2" a="1"/>
  <c r="CU583" i="2" s="1"/>
  <c r="CT555" i="2" a="1"/>
  <c r="CT555" i="2" s="1"/>
  <c r="CV555" i="2" a="1"/>
  <c r="CV555" i="2" s="1"/>
  <c r="CU555" i="2" a="1"/>
  <c r="CU555" i="2" s="1"/>
  <c r="CU527" i="2" a="1"/>
  <c r="CU527" i="2" s="1"/>
  <c r="CT527" i="2" a="1"/>
  <c r="CT527" i="2" s="1"/>
  <c r="CT513" i="2" a="1"/>
  <c r="CT513" i="2" s="1"/>
  <c r="CV513" i="2" a="1"/>
  <c r="CV513" i="2" s="1"/>
  <c r="CU513" i="2" a="1"/>
  <c r="CU513" i="2" s="1"/>
  <c r="CT485" i="2" a="1"/>
  <c r="CT485" i="2" s="1"/>
  <c r="CU485" i="2" a="1"/>
  <c r="CU485" i="2" s="1"/>
  <c r="CV485" i="2" a="1"/>
  <c r="CV485" i="2" s="1"/>
  <c r="CU471" i="2" a="1"/>
  <c r="CU471" i="2" s="1"/>
  <c r="CT471" i="2" a="1"/>
  <c r="CT471" i="2" s="1"/>
  <c r="CT457" i="2" a="1"/>
  <c r="CT457" i="2" s="1"/>
  <c r="CV457" i="2" a="1"/>
  <c r="CV457" i="2" s="1"/>
  <c r="CU457" i="2" a="1"/>
  <c r="CU457" i="2" s="1"/>
  <c r="CV429" i="2" a="1"/>
  <c r="CV429" i="2" s="1"/>
  <c r="CU429" i="2" a="1"/>
  <c r="CU429" i="2" s="1"/>
  <c r="CV401" i="2" a="1"/>
  <c r="CV401" i="2" s="1"/>
  <c r="CU401" i="2" a="1"/>
  <c r="CU401" i="2" s="1"/>
  <c r="CT345" i="2" a="1"/>
  <c r="CT345" i="2" s="1"/>
  <c r="CT331" i="2" a="1"/>
  <c r="CT331" i="2" s="1"/>
  <c r="CV331" i="2" a="1"/>
  <c r="CV331" i="2" s="1"/>
  <c r="CV317" i="2" a="1"/>
  <c r="CV317" i="2" s="1"/>
  <c r="CU317" i="2" a="1"/>
  <c r="CU317" i="2" s="1"/>
  <c r="CT317" i="2" a="1"/>
  <c r="CT317" i="2" s="1"/>
  <c r="CV303" i="2" a="1"/>
  <c r="CV303" i="2" s="1"/>
  <c r="CU303" i="2" a="1"/>
  <c r="CU303" i="2" s="1"/>
  <c r="CT303" i="2" a="1"/>
  <c r="CT303" i="2" s="1"/>
  <c r="CT289" i="2" a="1"/>
  <c r="CT289" i="2" s="1"/>
  <c r="CV289" i="2" a="1"/>
  <c r="CV289" i="2" s="1"/>
  <c r="CT275" i="2" a="1"/>
  <c r="CT275" i="2" s="1"/>
  <c r="CU275" i="2" a="1"/>
  <c r="CU275" i="2" s="1"/>
  <c r="CV275" i="2" a="1"/>
  <c r="CV275" i="2" s="1"/>
  <c r="CU261" i="2" a="1"/>
  <c r="CU261" i="2" s="1"/>
  <c r="CT261" i="2" a="1"/>
  <c r="CT261" i="2" s="1"/>
  <c r="CT247" i="2" a="1"/>
  <c r="CT247" i="2" s="1"/>
  <c r="CV247" i="2" a="1"/>
  <c r="CV247" i="2" s="1"/>
  <c r="CU233" i="2" a="1"/>
  <c r="CU233" i="2" s="1"/>
  <c r="CT233" i="2" a="1"/>
  <c r="CT233" i="2" s="1"/>
  <c r="CU219" i="2" a="1"/>
  <c r="CU219" i="2" s="1"/>
  <c r="CV219" i="2" a="1"/>
  <c r="CV219" i="2" s="1"/>
  <c r="CT219" i="2" a="1"/>
  <c r="CT219" i="2" s="1"/>
  <c r="CU205" i="2" a="1"/>
  <c r="CU205" i="2" s="1"/>
  <c r="CV205" i="2" a="1"/>
  <c r="CV205" i="2" s="1"/>
  <c r="CT205" i="2" a="1"/>
  <c r="CT205" i="2" s="1"/>
  <c r="CT191" i="2" a="1"/>
  <c r="CT191" i="2" s="1"/>
  <c r="CU191" i="2" a="1"/>
  <c r="CU191" i="2" s="1"/>
  <c r="CV191" i="2" a="1"/>
  <c r="CV191" i="2" s="1"/>
  <c r="CT177" i="2" a="1"/>
  <c r="CT177" i="2" s="1"/>
  <c r="CU177" i="2" a="1"/>
  <c r="CU177" i="2" s="1"/>
  <c r="CT163" i="2" a="1"/>
  <c r="CT163" i="2" s="1"/>
  <c r="CU163" i="2" a="1"/>
  <c r="CU163" i="2" s="1"/>
  <c r="CV163" i="2" a="1"/>
  <c r="CV163" i="2" s="1"/>
  <c r="CU149" i="2" a="1"/>
  <c r="CU149" i="2" s="1"/>
  <c r="CV149" i="2" a="1"/>
  <c r="CV149" i="2" s="1"/>
  <c r="CT149" i="2" a="1"/>
  <c r="CT149" i="2" s="1"/>
  <c r="CU135" i="2" a="1"/>
  <c r="CU135" i="2" s="1"/>
  <c r="CT135" i="2" a="1"/>
  <c r="CT135" i="2" s="1"/>
  <c r="CV135" i="2" a="1"/>
  <c r="CV135" i="2" s="1"/>
  <c r="CT121" i="2" a="1"/>
  <c r="CT121" i="2" s="1"/>
  <c r="CU121" i="2" a="1"/>
  <c r="CU121" i="2" s="1"/>
  <c r="CU107" i="2" a="1"/>
  <c r="CU107" i="2" s="1"/>
  <c r="CV107" i="2" a="1"/>
  <c r="CV107" i="2" s="1"/>
  <c r="CT107" i="2" a="1"/>
  <c r="CT107" i="2" s="1"/>
  <c r="CT93" i="2" a="1"/>
  <c r="CT93" i="2" s="1"/>
  <c r="CV93" i="2" a="1"/>
  <c r="CV93" i="2" s="1"/>
  <c r="CU93" i="2" a="1"/>
  <c r="CU93" i="2" s="1"/>
  <c r="CT79" i="2" a="1"/>
  <c r="CT79" i="2" s="1"/>
  <c r="CU79" i="2" a="1"/>
  <c r="CU79" i="2" s="1"/>
  <c r="CV79" i="2" a="1"/>
  <c r="CV79" i="2" s="1"/>
  <c r="CV65" i="2" a="1"/>
  <c r="CV65" i="2" s="1"/>
  <c r="CT65" i="2" a="1"/>
  <c r="CT65" i="2" s="1"/>
  <c r="CU65" i="2" a="1"/>
  <c r="CU65" i="2" s="1"/>
  <c r="CT51" i="2" a="1"/>
  <c r="CT51" i="2" s="1"/>
  <c r="CV51" i="2" a="1"/>
  <c r="CV51" i="2" s="1"/>
  <c r="CU51" i="2" a="1"/>
  <c r="CU51" i="2" s="1"/>
  <c r="CU37" i="2" a="1"/>
  <c r="CU37" i="2" s="1"/>
  <c r="CT37" i="2" a="1"/>
  <c r="CT37" i="2" s="1"/>
  <c r="CV37" i="2" a="1"/>
  <c r="CV37" i="2" s="1"/>
  <c r="CT23" i="2" a="1"/>
  <c r="CT23" i="2" s="1"/>
  <c r="CU23" i="2" a="1"/>
  <c r="CU23" i="2" s="1"/>
  <c r="CV23" i="2" a="1"/>
  <c r="CV23" i="2" s="1"/>
  <c r="CU9" i="2" a="1"/>
  <c r="CU9" i="2" s="1"/>
  <c r="CV9" i="2" a="1"/>
  <c r="CV9" i="2" s="1"/>
  <c r="CT9" i="2" a="1"/>
  <c r="CT9" i="2" s="1"/>
  <c r="CV471" i="2" a="1"/>
  <c r="CV471" i="2" s="1"/>
  <c r="CU345" i="2" a="1"/>
  <c r="CU345" i="2" s="1"/>
  <c r="CU155" i="2" a="1"/>
  <c r="CU155" i="2" s="1"/>
  <c r="CT694" i="2" a="1"/>
  <c r="CT694" i="2" s="1"/>
  <c r="CU554" i="2" a="1"/>
  <c r="CU554" i="2" s="1"/>
  <c r="CU428" i="2" a="1"/>
  <c r="CU428" i="2" s="1"/>
  <c r="CT134" i="2" a="1"/>
  <c r="CT134" i="2" s="1"/>
  <c r="CT22" i="2" a="1"/>
  <c r="CT22" i="2" s="1"/>
  <c r="CV501" i="2" a="1"/>
  <c r="CV501" i="2" s="1"/>
  <c r="CV411" i="2" a="1"/>
  <c r="CV411" i="2" s="1"/>
  <c r="CV345" i="2" a="1"/>
  <c r="CV345" i="2" s="1"/>
  <c r="CV233" i="2" a="1"/>
  <c r="CV233" i="2" s="1"/>
  <c r="CV121" i="2" a="1"/>
  <c r="CV121" i="2" s="1"/>
  <c r="CU331" i="2" a="1"/>
  <c r="CU331" i="2" s="1"/>
  <c r="CT699" i="2" a="1"/>
  <c r="CT699" i="2" s="1"/>
  <c r="CU685" i="2" a="1"/>
  <c r="CU685" i="2" s="1"/>
  <c r="CT657" i="2" a="1"/>
  <c r="CT657" i="2" s="1"/>
  <c r="CU643" i="2" a="1"/>
  <c r="CU643" i="2" s="1"/>
  <c r="CU629" i="2" a="1"/>
  <c r="CU629" i="2" s="1"/>
  <c r="CT601" i="2" a="1"/>
  <c r="CT601" i="2" s="1"/>
  <c r="CU587" i="2" a="1"/>
  <c r="CU587" i="2" s="1"/>
  <c r="CU573" i="2" a="1"/>
  <c r="CU573" i="2" s="1"/>
  <c r="CT545" i="2" a="1"/>
  <c r="CT545" i="2" s="1"/>
  <c r="CV531" i="2" a="1"/>
  <c r="CV531" i="2" s="1"/>
  <c r="CT503" i="2" a="1"/>
  <c r="CT503" i="2" s="1"/>
  <c r="CV503" i="2" a="1"/>
  <c r="CV503" i="2" s="1"/>
  <c r="CT489" i="2" a="1"/>
  <c r="CT489" i="2" s="1"/>
  <c r="CT461" i="2" a="1"/>
  <c r="CT461" i="2" s="1"/>
  <c r="CU461" i="2" a="1"/>
  <c r="CU461" i="2" s="1"/>
  <c r="CT447" i="2" a="1"/>
  <c r="CT447" i="2" s="1"/>
  <c r="CU433" i="2" a="1"/>
  <c r="CU433" i="2" s="1"/>
  <c r="CV405" i="2" a="1"/>
  <c r="CV405" i="2" s="1"/>
  <c r="CU377" i="2" a="1"/>
  <c r="CU377" i="2" s="1"/>
  <c r="CU363" i="2" a="1"/>
  <c r="CU363" i="2" s="1"/>
  <c r="CV321" i="2" a="1"/>
  <c r="CV321" i="2" s="1"/>
  <c r="CU293" i="2" a="1"/>
  <c r="CU293" i="2" s="1"/>
  <c r="CU279" i="2" a="1"/>
  <c r="CU279" i="2" s="1"/>
  <c r="CU265" i="2" a="1"/>
  <c r="CU265" i="2" s="1"/>
  <c r="CV223" i="2" a="1"/>
  <c r="CV223" i="2" s="1"/>
  <c r="CU209" i="2" a="1"/>
  <c r="CU209" i="2" s="1"/>
  <c r="CV209" i="2" a="1"/>
  <c r="CV209" i="2" s="1"/>
  <c r="CU181" i="2" a="1"/>
  <c r="CU181" i="2" s="1"/>
  <c r="CU125" i="2" a="1"/>
  <c r="CU125" i="2" s="1"/>
  <c r="CV97" i="2" a="1"/>
  <c r="CV97" i="2" s="1"/>
  <c r="CU83" i="2" a="1"/>
  <c r="CU83" i="2" s="1"/>
  <c r="CU55" i="2" a="1"/>
  <c r="CU55" i="2" s="1"/>
  <c r="CT55" i="2" a="1"/>
  <c r="CT55" i="2" s="1"/>
  <c r="CV41" i="2" a="1"/>
  <c r="CV41" i="2" s="1"/>
  <c r="CU13" i="2" a="1"/>
  <c r="CU13" i="2" s="1"/>
  <c r="CT675" i="2" a="1"/>
  <c r="CT675" i="2" s="1"/>
  <c r="CV675" i="2" a="1"/>
  <c r="CV675" i="2" s="1"/>
  <c r="CT647" i="2" a="1"/>
  <c r="CT647" i="2" s="1"/>
  <c r="CU647" i="2" a="1"/>
  <c r="CU647" i="2" s="1"/>
  <c r="CT633" i="2" a="1"/>
  <c r="CT633" i="2" s="1"/>
  <c r="CU605" i="2" a="1"/>
  <c r="CU605" i="2" s="1"/>
  <c r="CT605" i="2" a="1"/>
  <c r="CT605" i="2" s="1"/>
  <c r="CU563" i="2" a="1"/>
  <c r="CU563" i="2" s="1"/>
  <c r="CU549" i="2" a="1"/>
  <c r="CU549" i="2" s="1"/>
  <c r="CU507" i="2" a="1"/>
  <c r="CU507" i="2" s="1"/>
  <c r="CV479" i="2" a="1"/>
  <c r="CV479" i="2" s="1"/>
  <c r="CU437" i="2" a="1"/>
  <c r="CU437" i="2" s="1"/>
  <c r="CU409" i="2" a="1"/>
  <c r="CU409" i="2" s="1"/>
  <c r="CT381" i="2" a="1"/>
  <c r="CT381" i="2" s="1"/>
  <c r="CT353" i="2" a="1"/>
  <c r="CT353" i="2" s="1"/>
  <c r="CU297" i="2" a="1"/>
  <c r="CU297" i="2" s="1"/>
  <c r="CV297" i="2" a="1"/>
  <c r="CV297" i="2" s="1"/>
  <c r="CT283" i="2" a="1"/>
  <c r="CT283" i="2" s="1"/>
  <c r="CU255" i="2" a="1"/>
  <c r="CU255" i="2" s="1"/>
  <c r="CU241" i="2" a="1"/>
  <c r="CU241" i="2" s="1"/>
  <c r="CV241" i="2" a="1"/>
  <c r="CV241" i="2" s="1"/>
  <c r="CV199" i="2" a="1"/>
  <c r="CV199" i="2" s="1"/>
  <c r="CT199" i="2" a="1"/>
  <c r="CT199" i="2" s="1"/>
  <c r="CV185" i="2" a="1"/>
  <c r="CV185" i="2" s="1"/>
  <c r="CT185" i="2" a="1"/>
  <c r="CT185" i="2" s="1"/>
  <c r="CV171" i="2" a="1"/>
  <c r="CV171" i="2" s="1"/>
  <c r="CV143" i="2" a="1"/>
  <c r="CV143" i="2" s="1"/>
  <c r="CT143" i="2" a="1"/>
  <c r="CT143" i="2" s="1"/>
  <c r="CV129" i="2" a="1"/>
  <c r="CV129" i="2" s="1"/>
  <c r="CV73" i="2" a="1"/>
  <c r="CV73" i="2" s="1"/>
  <c r="CT59" i="2" a="1"/>
  <c r="CT59" i="2" s="1"/>
  <c r="CV17" i="2" a="1"/>
  <c r="CV17" i="2" s="1"/>
  <c r="CT693" i="2" a="1"/>
  <c r="CT693" i="2" s="1"/>
  <c r="CV693" i="2" a="1"/>
  <c r="CV693" i="2" s="1"/>
  <c r="CU693" i="2" a="1"/>
  <c r="CU693" i="2" s="1"/>
  <c r="CT679" i="2" a="1"/>
  <c r="CT679" i="2" s="1"/>
  <c r="CU679" i="2" a="1"/>
  <c r="CU679" i="2" s="1"/>
  <c r="CV679" i="2" a="1"/>
  <c r="CV679" i="2" s="1"/>
  <c r="CT665" i="2" a="1"/>
  <c r="CT665" i="2" s="1"/>
  <c r="CV665" i="2" a="1"/>
  <c r="CV665" i="2" s="1"/>
  <c r="CU665" i="2" a="1"/>
  <c r="CU665" i="2" s="1"/>
  <c r="CT651" i="2" a="1"/>
  <c r="CT651" i="2" s="1"/>
  <c r="CU651" i="2" a="1"/>
  <c r="CU651" i="2" s="1"/>
  <c r="CV651" i="2" a="1"/>
  <c r="CV651" i="2" s="1"/>
  <c r="CT637" i="2" a="1"/>
  <c r="CT637" i="2" s="1"/>
  <c r="CV637" i="2" a="1"/>
  <c r="CV637" i="2" s="1"/>
  <c r="CT623" i="2" a="1"/>
  <c r="CT623" i="2" s="1"/>
  <c r="CU623" i="2" a="1"/>
  <c r="CU623" i="2" s="1"/>
  <c r="CV623" i="2" a="1"/>
  <c r="CV623" i="2" s="1"/>
  <c r="CT609" i="2" a="1"/>
  <c r="CT609" i="2" s="1"/>
  <c r="CU609" i="2" a="1"/>
  <c r="CU609" i="2" s="1"/>
  <c r="CT595" i="2" a="1"/>
  <c r="CT595" i="2" s="1"/>
  <c r="CV595" i="2" a="1"/>
  <c r="CV595" i="2" s="1"/>
  <c r="CT581" i="2" a="1"/>
  <c r="CT581" i="2" s="1"/>
  <c r="CU581" i="2" a="1"/>
  <c r="CU581" i="2" s="1"/>
  <c r="CT567" i="2" a="1"/>
  <c r="CT567" i="2" s="1"/>
  <c r="CV567" i="2" a="1"/>
  <c r="CV567" i="2" s="1"/>
  <c r="CU567" i="2" a="1"/>
  <c r="CU567" i="2" s="1"/>
  <c r="CT553" i="2" a="1"/>
  <c r="CT553" i="2" s="1"/>
  <c r="CU553" i="2" a="1"/>
  <c r="CU553" i="2" s="1"/>
  <c r="CV553" i="2" a="1"/>
  <c r="CV553" i="2" s="1"/>
  <c r="CT539" i="2" a="1"/>
  <c r="CT539" i="2" s="1"/>
  <c r="CV539" i="2" a="1"/>
  <c r="CV539" i="2" s="1"/>
  <c r="CT525" i="2" a="1"/>
  <c r="CT525" i="2" s="1"/>
  <c r="CV525" i="2" a="1"/>
  <c r="CV525" i="2" s="1"/>
  <c r="CU525" i="2" a="1"/>
  <c r="CU525" i="2" s="1"/>
  <c r="CT511" i="2" a="1"/>
  <c r="CT511" i="2" s="1"/>
  <c r="CU511" i="2" a="1"/>
  <c r="CU511" i="2" s="1"/>
  <c r="CT497" i="2" a="1"/>
  <c r="CT497" i="2" s="1"/>
  <c r="CV497" i="2" a="1"/>
  <c r="CV497" i="2" s="1"/>
  <c r="CU497" i="2" a="1"/>
  <c r="CU497" i="2" s="1"/>
  <c r="CT483" i="2" a="1"/>
  <c r="CT483" i="2" s="1"/>
  <c r="CU483" i="2" a="1"/>
  <c r="CU483" i="2" s="1"/>
  <c r="CT469" i="2" a="1"/>
  <c r="CT469" i="2" s="1"/>
  <c r="CV469" i="2" a="1"/>
  <c r="CV469" i="2" s="1"/>
  <c r="CU469" i="2" a="1"/>
  <c r="CU469" i="2" s="1"/>
  <c r="CT455" i="2" a="1"/>
  <c r="CT455" i="2" s="1"/>
  <c r="CU455" i="2" a="1"/>
  <c r="CU455" i="2" s="1"/>
  <c r="CT441" i="2" a="1"/>
  <c r="CT441" i="2" s="1"/>
  <c r="CV441" i="2" a="1"/>
  <c r="CV441" i="2" s="1"/>
  <c r="CU441" i="2" a="1"/>
  <c r="CU441" i="2" s="1"/>
  <c r="CT427" i="2" a="1"/>
  <c r="CT427" i="2" s="1"/>
  <c r="CU427" i="2" a="1"/>
  <c r="CU427" i="2" s="1"/>
  <c r="CV427" i="2" a="1"/>
  <c r="CV427" i="2" s="1"/>
  <c r="CT413" i="2" a="1"/>
  <c r="CT413" i="2" s="1"/>
  <c r="CU413" i="2" a="1"/>
  <c r="CU413" i="2" s="1"/>
  <c r="CV413" i="2" a="1"/>
  <c r="CV413" i="2" s="1"/>
  <c r="CT399" i="2" a="1"/>
  <c r="CT399" i="2" s="1"/>
  <c r="CU399" i="2" a="1"/>
  <c r="CU399" i="2" s="1"/>
  <c r="CT385" i="2" a="1"/>
  <c r="CT385" i="2" s="1"/>
  <c r="CV385" i="2" a="1"/>
  <c r="CV385" i="2" s="1"/>
  <c r="CU385" i="2" a="1"/>
  <c r="CU385" i="2" s="1"/>
  <c r="CT371" i="2" a="1"/>
  <c r="CT371" i="2" s="1"/>
  <c r="CV371" i="2" a="1"/>
  <c r="CV371" i="2" s="1"/>
  <c r="CU371" i="2" a="1"/>
  <c r="CU371" i="2" s="1"/>
  <c r="CT357" i="2" a="1"/>
  <c r="CT357" i="2" s="1"/>
  <c r="CU357" i="2" a="1"/>
  <c r="CU357" i="2" s="1"/>
  <c r="CV357" i="2" a="1"/>
  <c r="CV357" i="2" s="1"/>
  <c r="CT343" i="2" a="1"/>
  <c r="CT343" i="2" s="1"/>
  <c r="CV343" i="2" a="1"/>
  <c r="CV343" i="2" s="1"/>
  <c r="CU343" i="2" a="1"/>
  <c r="CU343" i="2" s="1"/>
  <c r="CT329" i="2" a="1"/>
  <c r="CT329" i="2" s="1"/>
  <c r="CU329" i="2" a="1"/>
  <c r="CU329" i="2" s="1"/>
  <c r="CV329" i="2" a="1"/>
  <c r="CV329" i="2" s="1"/>
  <c r="CT315" i="2" a="1"/>
  <c r="CT315" i="2" s="1"/>
  <c r="CU315" i="2" a="1"/>
  <c r="CU315" i="2" s="1"/>
  <c r="CT301" i="2" a="1"/>
  <c r="CT301" i="2" s="1"/>
  <c r="CU301" i="2" a="1"/>
  <c r="CU301" i="2" s="1"/>
  <c r="CT287" i="2" a="1"/>
  <c r="CT287" i="2" s="1"/>
  <c r="CV287" i="2" a="1"/>
  <c r="CV287" i="2" s="1"/>
  <c r="CU287" i="2" a="1"/>
  <c r="CU287" i="2" s="1"/>
  <c r="CT273" i="2" a="1"/>
  <c r="CT273" i="2" s="1"/>
  <c r="CV273" i="2" a="1"/>
  <c r="CV273" i="2" s="1"/>
  <c r="CU273" i="2" a="1"/>
  <c r="CU273" i="2" s="1"/>
  <c r="CT259" i="2" a="1"/>
  <c r="CT259" i="2" s="1"/>
  <c r="CU259" i="2" a="1"/>
  <c r="CU259" i="2" s="1"/>
  <c r="CV259" i="2" a="1"/>
  <c r="CV259" i="2" s="1"/>
  <c r="CT245" i="2" a="1"/>
  <c r="CT245" i="2" s="1"/>
  <c r="CV245" i="2" a="1"/>
  <c r="CV245" i="2" s="1"/>
  <c r="CT231" i="2" a="1"/>
  <c r="CT231" i="2" s="1"/>
  <c r="CU231" i="2" a="1"/>
  <c r="CU231" i="2" s="1"/>
  <c r="CV231" i="2" a="1"/>
  <c r="CV231" i="2" s="1"/>
  <c r="CU217" i="2" a="1"/>
  <c r="CU217" i="2" s="1"/>
  <c r="CT203" i="2" a="1"/>
  <c r="CT203" i="2" s="1"/>
  <c r="CV203" i="2" a="1"/>
  <c r="CV203" i="2" s="1"/>
  <c r="CU203" i="2" a="1"/>
  <c r="CU203" i="2" s="1"/>
  <c r="CT189" i="2" a="1"/>
  <c r="CT189" i="2" s="1"/>
  <c r="CV189" i="2" a="1"/>
  <c r="CV189" i="2" s="1"/>
  <c r="CU189" i="2" a="1"/>
  <c r="CU189" i="2" s="1"/>
  <c r="CU175" i="2" a="1"/>
  <c r="CU175" i="2" s="1"/>
  <c r="CV175" i="2" a="1"/>
  <c r="CV175" i="2" s="1"/>
  <c r="CT175" i="2" a="1"/>
  <c r="CT175" i="2" s="1"/>
  <c r="CU161" i="2" a="1"/>
  <c r="CU161" i="2" s="1"/>
  <c r="CT161" i="2" a="1"/>
  <c r="CT161" i="2" s="1"/>
  <c r="CT147" i="2" a="1"/>
  <c r="CT147" i="2" s="1"/>
  <c r="CV147" i="2" a="1"/>
  <c r="CV147" i="2" s="1"/>
  <c r="CU147" i="2" a="1"/>
  <c r="CU147" i="2" s="1"/>
  <c r="CV133" i="2" a="1"/>
  <c r="CV133" i="2" s="1"/>
  <c r="CT133" i="2" a="1"/>
  <c r="CT133" i="2" s="1"/>
  <c r="CU133" i="2" a="1"/>
  <c r="CU133" i="2" s="1"/>
  <c r="CT119" i="2" a="1"/>
  <c r="CT119" i="2" s="1"/>
  <c r="CU119" i="2" a="1"/>
  <c r="CU119" i="2" s="1"/>
  <c r="CV119" i="2" a="1"/>
  <c r="CV119" i="2" s="1"/>
  <c r="CT105" i="2" a="1"/>
  <c r="CT105" i="2" s="1"/>
  <c r="CU105" i="2" a="1"/>
  <c r="CU105" i="2" s="1"/>
  <c r="CV91" i="2" a="1"/>
  <c r="CV91" i="2" s="1"/>
  <c r="CU91" i="2" a="1"/>
  <c r="CU91" i="2" s="1"/>
  <c r="CU77" i="2" a="1"/>
  <c r="CU77" i="2" s="1"/>
  <c r="CV77" i="2" a="1"/>
  <c r="CV77" i="2" s="1"/>
  <c r="CT77" i="2" a="1"/>
  <c r="CT77" i="2" s="1"/>
  <c r="CU63" i="2" a="1"/>
  <c r="CU63" i="2" s="1"/>
  <c r="CT63" i="2" a="1"/>
  <c r="CT63" i="2" s="1"/>
  <c r="CT49" i="2" a="1"/>
  <c r="CT49" i="2" s="1"/>
  <c r="CU49" i="2" a="1"/>
  <c r="CU49" i="2" s="1"/>
  <c r="CV35" i="2" a="1"/>
  <c r="CV35" i="2" s="1"/>
  <c r="CT35" i="2" a="1"/>
  <c r="CT35" i="2" s="1"/>
  <c r="CU35" i="2" a="1"/>
  <c r="CU35" i="2" s="1"/>
  <c r="CV21" i="2" a="1"/>
  <c r="CV21" i="2" s="1"/>
  <c r="CT21" i="2" a="1"/>
  <c r="CT21" i="2" s="1"/>
  <c r="CU21" i="2" a="1"/>
  <c r="CU21" i="2" s="1"/>
  <c r="CT7" i="2" a="1"/>
  <c r="CT7" i="2" s="1"/>
  <c r="CU7" i="2" a="1"/>
  <c r="CU7" i="2" s="1"/>
  <c r="CV549" i="2" a="1"/>
  <c r="CV549" i="2" s="1"/>
  <c r="CV527" i="2" a="1"/>
  <c r="CV527" i="2" s="1"/>
  <c r="CV377" i="2" a="1"/>
  <c r="CV377" i="2" s="1"/>
  <c r="CU515" i="2" a="1"/>
  <c r="CU515" i="2" s="1"/>
  <c r="CU467" i="2" a="1"/>
  <c r="CU467" i="2" s="1"/>
  <c r="CU245" i="2" a="1"/>
  <c r="CU245" i="2" s="1"/>
  <c r="CV699" i="2" a="1"/>
  <c r="CV699" i="2" s="1"/>
  <c r="CV633" i="2" a="1"/>
  <c r="CV633" i="2" s="1"/>
  <c r="CV402" i="2" a="1"/>
  <c r="CV402" i="2" s="1"/>
  <c r="CV599" i="2" a="1"/>
  <c r="CV599" i="2" s="1"/>
  <c r="CV585" i="2" a="1"/>
  <c r="CV585" i="2" s="1"/>
  <c r="CV557" i="2" a="1"/>
  <c r="CV557" i="2" s="1"/>
  <c r="CT501" i="2" a="1"/>
  <c r="CT501" i="2" s="1"/>
  <c r="CU403" i="2" a="1"/>
  <c r="CU403" i="2" s="1"/>
  <c r="CV347" i="2" a="1"/>
  <c r="CV347" i="2" s="1"/>
  <c r="CV291" i="2" a="1"/>
  <c r="CV291" i="2" s="1"/>
  <c r="CT263" i="2" a="1"/>
  <c r="CT263" i="2" s="1"/>
  <c r="CU193" i="2" a="1"/>
  <c r="CU193" i="2" s="1"/>
  <c r="CU123" i="2" a="1"/>
  <c r="CU123" i="2" s="1"/>
  <c r="CT67" i="2" a="1"/>
  <c r="CT67" i="2" s="1"/>
  <c r="CU701" i="2" a="1"/>
  <c r="CU701" i="2" s="1"/>
  <c r="CV655" i="2" a="1"/>
  <c r="CV655" i="2" s="1"/>
  <c r="CV493" i="2" a="1"/>
  <c r="CV493" i="2" s="1"/>
  <c r="CV399" i="2" a="1"/>
  <c r="CV399" i="2" s="1"/>
  <c r="CV301" i="2" a="1"/>
  <c r="CV301" i="2" s="1"/>
  <c r="CV7" i="2" a="1"/>
  <c r="CV7" i="2" s="1"/>
  <c r="CU637" i="2" a="1"/>
  <c r="CU637" i="2" s="1"/>
  <c r="CU595" i="2" a="1"/>
  <c r="CU595" i="2" s="1"/>
  <c r="CT561" i="2" a="1"/>
  <c r="CT561" i="2" s="1"/>
  <c r="CT429" i="2" a="1"/>
  <c r="CT429" i="2" s="1"/>
  <c r="CV697" i="2" a="1"/>
  <c r="CV697" i="2" s="1"/>
  <c r="CV653" i="2" a="1"/>
  <c r="CV653" i="2" s="1"/>
  <c r="CV332" i="2" a="1"/>
  <c r="CV332" i="2" s="1"/>
  <c r="CV261" i="2" a="1"/>
  <c r="CV261" i="2" s="1"/>
  <c r="CU671" i="2" a="1"/>
  <c r="CU671" i="2" s="1"/>
  <c r="CT423" i="2" a="1"/>
  <c r="CT423" i="2" s="1"/>
  <c r="CV217" i="2" a="1"/>
  <c r="CV217" i="2" s="1"/>
  <c r="CV105" i="2" a="1"/>
  <c r="CV105" i="2" s="1"/>
  <c r="CT401" i="2" a="1"/>
  <c r="CT401" i="2" s="1"/>
  <c r="CU305" i="2" a="1"/>
  <c r="CU305" i="2" s="1"/>
  <c r="CV207" i="2" a="1"/>
  <c r="CV207" i="2" s="1"/>
  <c r="CV53" i="2" a="1"/>
  <c r="CV53" i="2" s="1"/>
  <c r="CV491" i="2" a="1"/>
  <c r="CV491" i="2" s="1"/>
  <c r="CT141" i="2" a="1"/>
  <c r="CT141" i="2" s="1"/>
  <c r="CV71" i="2" a="1"/>
  <c r="CV71" i="2" s="1"/>
  <c r="CV15" i="2" a="1"/>
  <c r="CV15" i="2" s="1"/>
  <c r="CU621" i="2" a="1"/>
  <c r="CU621" i="2" s="1"/>
  <c r="CU481" i="2" a="1"/>
  <c r="CU481" i="2" s="1"/>
  <c r="CV313" i="2" a="1"/>
  <c r="CV313" i="2" s="1"/>
  <c r="CV695" i="2" a="1"/>
  <c r="CV695" i="2" s="1"/>
  <c r="CT695" i="2" a="1"/>
  <c r="CT695" i="2" s="1"/>
  <c r="CU695" i="2" a="1"/>
  <c r="CU695" i="2" s="1"/>
  <c r="CU681" i="2" a="1"/>
  <c r="CU681" i="2" s="1"/>
  <c r="CT681" i="2" a="1"/>
  <c r="CT681" i="2" s="1"/>
  <c r="CV681" i="2" a="1"/>
  <c r="CV681" i="2" s="1"/>
  <c r="CV667" i="2" a="1"/>
  <c r="CV667" i="2" s="1"/>
  <c r="CU667" i="2" a="1"/>
  <c r="CU667" i="2" s="1"/>
  <c r="CT667" i="2" a="1"/>
  <c r="CT667" i="2" s="1"/>
  <c r="CT639" i="2" a="1"/>
  <c r="CT639" i="2" s="1"/>
  <c r="CV639" i="2" a="1"/>
  <c r="CV639" i="2" s="1"/>
  <c r="CV611" i="2" a="1"/>
  <c r="CV611" i="2" s="1"/>
  <c r="CU611" i="2" a="1"/>
  <c r="CU611" i="2" s="1"/>
  <c r="CT611" i="2" a="1"/>
  <c r="CT611" i="2" s="1"/>
  <c r="CT569" i="2" a="1"/>
  <c r="CT569" i="2" s="1"/>
  <c r="CU569" i="2" a="1"/>
  <c r="CU569" i="2" s="1"/>
  <c r="CT541" i="2" a="1"/>
  <c r="CT541" i="2" s="1"/>
  <c r="CU541" i="2" a="1"/>
  <c r="CU541" i="2" s="1"/>
  <c r="CV541" i="2" a="1"/>
  <c r="CV541" i="2" s="1"/>
  <c r="CV499" i="2" a="1"/>
  <c r="CV499" i="2" s="1"/>
  <c r="CU499" i="2" a="1"/>
  <c r="CU499" i="2" s="1"/>
  <c r="CT499" i="2" a="1"/>
  <c r="CT499" i="2" s="1"/>
  <c r="CT443" i="2" a="1"/>
  <c r="CT443" i="2" s="1"/>
  <c r="CV443" i="2" a="1"/>
  <c r="CV443" i="2" s="1"/>
  <c r="CU443" i="2" a="1"/>
  <c r="CU443" i="2" s="1"/>
  <c r="CT415" i="2" a="1"/>
  <c r="CT415" i="2" s="1"/>
  <c r="CU415" i="2" a="1"/>
  <c r="CU415" i="2" s="1"/>
  <c r="CV387" i="2" a="1"/>
  <c r="CV387" i="2" s="1"/>
  <c r="CT387" i="2" a="1"/>
  <c r="CT387" i="2" s="1"/>
  <c r="CU387" i="2" a="1"/>
  <c r="CU387" i="2" s="1"/>
  <c r="CU373" i="2" a="1"/>
  <c r="CU373" i="2" s="1"/>
  <c r="CT373" i="2" a="1"/>
  <c r="CT373" i="2" s="1"/>
  <c r="CV373" i="2" a="1"/>
  <c r="CV373" i="2" s="1"/>
  <c r="CU359" i="2" a="1"/>
  <c r="CU359" i="2" s="1"/>
  <c r="CT359" i="2" a="1"/>
  <c r="CT359" i="2" s="1"/>
  <c r="CV359" i="2" a="1"/>
  <c r="CV359" i="2" s="1"/>
  <c r="CV80" i="2" a="1"/>
  <c r="CV80" i="2" s="1"/>
  <c r="CT108" i="2" a="1"/>
  <c r="CT108" i="2" s="1"/>
  <c r="CV290" i="2" a="1"/>
  <c r="CV290" i="2" s="1"/>
  <c r="CU289" i="2" a="1"/>
  <c r="CU289" i="2" s="1"/>
  <c r="CV605" i="2" a="1"/>
  <c r="CV605" i="2" s="1"/>
  <c r="CV177" i="2" a="1"/>
  <c r="CV177" i="2" s="1"/>
  <c r="CU445" i="2" a="1"/>
  <c r="CU445" i="2" s="1"/>
  <c r="CV581" i="2" a="1"/>
  <c r="CV581" i="2" s="1"/>
  <c r="CV455" i="2" a="1"/>
  <c r="CV455" i="2" s="1"/>
  <c r="CU283" i="2" a="1"/>
  <c r="CU283" i="2" s="1"/>
  <c r="CT91" i="2" a="1"/>
  <c r="CT91" i="2" s="1"/>
  <c r="CV511" i="2" a="1"/>
  <c r="CV511" i="2" s="1"/>
  <c r="CV483" i="2" a="1"/>
  <c r="CV483" i="2" s="1"/>
  <c r="CV415" i="2" a="1"/>
  <c r="CV415" i="2" s="1"/>
  <c r="CT291" i="2" a="1"/>
  <c r="CT291" i="2" s="1"/>
  <c r="CT697" i="2" a="1"/>
  <c r="CT697" i="2" s="1"/>
  <c r="CT641" i="2" a="1"/>
  <c r="CT641" i="2" s="1"/>
  <c r="CT627" i="2" a="1"/>
  <c r="CT627" i="2" s="1"/>
  <c r="CT613" i="2" a="1"/>
  <c r="CT613" i="2" s="1"/>
  <c r="CV613" i="2" a="1"/>
  <c r="CV613" i="2" s="1"/>
  <c r="CT571" i="2" a="1"/>
  <c r="CT571" i="2" s="1"/>
  <c r="CT543" i="2" a="1"/>
  <c r="CT543" i="2" s="1"/>
  <c r="CT515" i="2" a="1"/>
  <c r="CT515" i="2" s="1"/>
  <c r="CT473" i="2" a="1"/>
  <c r="CT473" i="2" s="1"/>
  <c r="CT459" i="2" a="1"/>
  <c r="CT459" i="2" s="1"/>
  <c r="CU417" i="2" a="1"/>
  <c r="CU417" i="2" s="1"/>
  <c r="CV389" i="2" a="1"/>
  <c r="CV389" i="2" s="1"/>
  <c r="CU319" i="2" a="1"/>
  <c r="CU319" i="2" s="1"/>
  <c r="CT319" i="2" a="1"/>
  <c r="CT319" i="2" s="1"/>
  <c r="CT249" i="2" a="1"/>
  <c r="CT249" i="2" s="1"/>
  <c r="CT235" i="2" a="1"/>
  <c r="CT235" i="2" s="1"/>
  <c r="CU221" i="2" a="1"/>
  <c r="CU221" i="2" s="1"/>
  <c r="CT165" i="2" a="1"/>
  <c r="CT165" i="2" s="1"/>
  <c r="CV151" i="2" a="1"/>
  <c r="CV151" i="2" s="1"/>
  <c r="CT81" i="2" a="1"/>
  <c r="CT81" i="2" s="1"/>
  <c r="CT53" i="2" a="1"/>
  <c r="CT53" i="2" s="1"/>
  <c r="CT25" i="2" a="1"/>
  <c r="CT25" i="2" s="1"/>
  <c r="CU11" i="2" a="1"/>
  <c r="CU11" i="2" s="1"/>
  <c r="CV687" i="2" a="1"/>
  <c r="CV687" i="2" s="1"/>
  <c r="CT687" i="2" a="1"/>
  <c r="CT687" i="2" s="1"/>
  <c r="CU673" i="2" a="1"/>
  <c r="CU673" i="2" s="1"/>
  <c r="CT673" i="2" a="1"/>
  <c r="CT673" i="2" s="1"/>
  <c r="CU659" i="2" a="1"/>
  <c r="CU659" i="2" s="1"/>
  <c r="CV645" i="2" a="1"/>
  <c r="CV645" i="2" s="1"/>
  <c r="CT631" i="2" a="1"/>
  <c r="CT631" i="2" s="1"/>
  <c r="CU631" i="2" a="1"/>
  <c r="CU631" i="2" s="1"/>
  <c r="CT603" i="2" a="1"/>
  <c r="CT603" i="2" s="1"/>
  <c r="CU589" i="2" a="1"/>
  <c r="CU589" i="2" s="1"/>
  <c r="CU575" i="2" a="1"/>
  <c r="CU575" i="2" s="1"/>
  <c r="CT575" i="2" a="1"/>
  <c r="CT575" i="2" s="1"/>
  <c r="CU561" i="2" a="1"/>
  <c r="CU561" i="2" s="1"/>
  <c r="CU533" i="2" a="1"/>
  <c r="CU533" i="2" s="1"/>
  <c r="CT533" i="2" a="1"/>
  <c r="CT533" i="2" s="1"/>
  <c r="CV533" i="2" a="1"/>
  <c r="CV533" i="2" s="1"/>
  <c r="CU519" i="2" a="1"/>
  <c r="CU519" i="2" s="1"/>
  <c r="CV505" i="2" a="1"/>
  <c r="CV505" i="2" s="1"/>
  <c r="CU505" i="2" a="1"/>
  <c r="CU505" i="2" s="1"/>
  <c r="CT505" i="2" a="1"/>
  <c r="CT505" i="2" s="1"/>
  <c r="CT491" i="2" a="1"/>
  <c r="CT491" i="2" s="1"/>
  <c r="CU491" i="2" a="1"/>
  <c r="CU491" i="2" s="1"/>
  <c r="CT477" i="2" a="1"/>
  <c r="CT477" i="2" s="1"/>
  <c r="CV477" i="2" a="1"/>
  <c r="CV477" i="2" s="1"/>
  <c r="CT463" i="2" a="1"/>
  <c r="CT463" i="2" s="1"/>
  <c r="CV463" i="2" a="1"/>
  <c r="CV463" i="2" s="1"/>
  <c r="CT449" i="2" a="1"/>
  <c r="CT449" i="2" s="1"/>
  <c r="CU435" i="2" a="1"/>
  <c r="CU435" i="2" s="1"/>
  <c r="CT421" i="2" a="1"/>
  <c r="CT421" i="2" s="1"/>
  <c r="CU421" i="2" a="1"/>
  <c r="CU421" i="2" s="1"/>
  <c r="CU407" i="2" a="1"/>
  <c r="CU407" i="2" s="1"/>
  <c r="CT407" i="2" a="1"/>
  <c r="CT407" i="2" s="1"/>
  <c r="CV407" i="2" a="1"/>
  <c r="CV407" i="2" s="1"/>
  <c r="CV393" i="2" a="1"/>
  <c r="CV393" i="2" s="1"/>
  <c r="CU393" i="2" a="1"/>
  <c r="CU393" i="2" s="1"/>
  <c r="CU379" i="2" a="1"/>
  <c r="CU379" i="2" s="1"/>
  <c r="CV351" i="2" a="1"/>
  <c r="CV351" i="2" s="1"/>
  <c r="CU337" i="2" a="1"/>
  <c r="CU337" i="2" s="1"/>
  <c r="CU323" i="2" a="1"/>
  <c r="CU323" i="2" s="1"/>
  <c r="CV309" i="2" a="1"/>
  <c r="CV309" i="2" s="1"/>
  <c r="CT309" i="2" a="1"/>
  <c r="CT309" i="2" s="1"/>
  <c r="CT281" i="2" a="1"/>
  <c r="CT281" i="2" s="1"/>
  <c r="CU281" i="2" a="1"/>
  <c r="CU281" i="2" s="1"/>
  <c r="CU253" i="2" a="1"/>
  <c r="CU253" i="2" s="1"/>
  <c r="CV253" i="2" a="1"/>
  <c r="CV253" i="2" s="1"/>
  <c r="CV239" i="2" a="1"/>
  <c r="CV239" i="2" s="1"/>
  <c r="CU239" i="2" a="1"/>
  <c r="CU239" i="2" s="1"/>
  <c r="CV225" i="2" a="1"/>
  <c r="CV225" i="2" s="1"/>
  <c r="CT225" i="2" a="1"/>
  <c r="CT225" i="2" s="1"/>
  <c r="CT211" i="2" a="1"/>
  <c r="CT211" i="2" s="1"/>
  <c r="CV183" i="2" a="1"/>
  <c r="CV183" i="2" s="1"/>
  <c r="CT183" i="2" a="1"/>
  <c r="CT183" i="2" s="1"/>
  <c r="CV169" i="2" a="1"/>
  <c r="CV169" i="2" s="1"/>
  <c r="CT169" i="2" a="1"/>
  <c r="CT169" i="2" s="1"/>
  <c r="CT155" i="2" a="1"/>
  <c r="CT155" i="2" s="1"/>
  <c r="CT113" i="2" a="1"/>
  <c r="CT113" i="2" s="1"/>
  <c r="CV113" i="2" a="1"/>
  <c r="CV113" i="2" s="1"/>
  <c r="CU113" i="2" a="1"/>
  <c r="CU113" i="2" s="1"/>
  <c r="CV99" i="2" a="1"/>
  <c r="CV99" i="2" s="1"/>
  <c r="CV85" i="2" a="1"/>
  <c r="CV85" i="2" s="1"/>
  <c r="CU85" i="2" a="1"/>
  <c r="CU85" i="2" s="1"/>
  <c r="CT71" i="2" a="1"/>
  <c r="CT71" i="2" s="1"/>
  <c r="CU43" i="2" a="1"/>
  <c r="CU43" i="2" s="1"/>
  <c r="CU29" i="2" a="1"/>
  <c r="CU29" i="2" s="1"/>
  <c r="CU15" i="2" a="1"/>
  <c r="CU15" i="2" s="1"/>
  <c r="CT705" i="2" a="1"/>
  <c r="CT705" i="2" s="1"/>
  <c r="CV705" i="2" a="1"/>
  <c r="CV705" i="2" s="1"/>
  <c r="CT691" i="2" a="1"/>
  <c r="CT691" i="2" s="1"/>
  <c r="CU691" i="2" a="1"/>
  <c r="CU691" i="2" s="1"/>
  <c r="CT677" i="2" a="1"/>
  <c r="CT677" i="2" s="1"/>
  <c r="CV677" i="2" a="1"/>
  <c r="CV677" i="2" s="1"/>
  <c r="CU663" i="2" a="1"/>
  <c r="CU663" i="2" s="1"/>
  <c r="CT663" i="2" a="1"/>
  <c r="CT663" i="2" s="1"/>
  <c r="CV663" i="2" a="1"/>
  <c r="CV663" i="2" s="1"/>
  <c r="CU649" i="2" a="1"/>
  <c r="CU649" i="2" s="1"/>
  <c r="CT649" i="2" a="1"/>
  <c r="CT649" i="2" s="1"/>
  <c r="CT635" i="2" a="1"/>
  <c r="CT635" i="2" s="1"/>
  <c r="CU635" i="2" a="1"/>
  <c r="CU635" i="2" s="1"/>
  <c r="CV621" i="2" a="1"/>
  <c r="CV621" i="2" s="1"/>
  <c r="CT607" i="2" a="1"/>
  <c r="CT607" i="2" s="1"/>
  <c r="CU593" i="2" a="1"/>
  <c r="CU593" i="2" s="1"/>
  <c r="CT593" i="2" a="1"/>
  <c r="CT593" i="2" s="1"/>
  <c r="CV579" i="2" a="1"/>
  <c r="CV579" i="2" s="1"/>
  <c r="CT579" i="2" a="1"/>
  <c r="CT579" i="2" s="1"/>
  <c r="CU579" i="2" a="1"/>
  <c r="CU579" i="2" s="1"/>
  <c r="CT565" i="2" a="1"/>
  <c r="CT565" i="2" s="1"/>
  <c r="CU565" i="2" a="1"/>
  <c r="CU565" i="2" s="1"/>
  <c r="CT551" i="2" a="1"/>
  <c r="CT551" i="2" s="1"/>
  <c r="CU551" i="2" a="1"/>
  <c r="CU551" i="2" s="1"/>
  <c r="CT537" i="2" a="1"/>
  <c r="CT537" i="2" s="1"/>
  <c r="CU537" i="2" a="1"/>
  <c r="CU537" i="2" s="1"/>
  <c r="CT523" i="2" a="1"/>
  <c r="CT523" i="2" s="1"/>
  <c r="CU523" i="2" a="1"/>
  <c r="CU523" i="2" s="1"/>
  <c r="CU509" i="2" a="1"/>
  <c r="CU509" i="2" s="1"/>
  <c r="CT509" i="2" a="1"/>
  <c r="CT509" i="2" s="1"/>
  <c r="CT495" i="2" a="1"/>
  <c r="CT495" i="2" s="1"/>
  <c r="CU495" i="2" a="1"/>
  <c r="CU495" i="2" s="1"/>
  <c r="CV495" i="2" a="1"/>
  <c r="CV495" i="2" s="1"/>
  <c r="CV481" i="2" a="1"/>
  <c r="CV481" i="2" s="1"/>
  <c r="CT481" i="2" a="1"/>
  <c r="CT481" i="2" s="1"/>
  <c r="CT467" i="2" a="1"/>
  <c r="CT467" i="2" s="1"/>
  <c r="CV453" i="2" a="1"/>
  <c r="CV453" i="2" s="1"/>
  <c r="CU453" i="2" a="1"/>
  <c r="CU453" i="2" s="1"/>
  <c r="CT453" i="2" a="1"/>
  <c r="CT453" i="2" s="1"/>
  <c r="CU439" i="2" a="1"/>
  <c r="CU439" i="2" s="1"/>
  <c r="CT439" i="2" a="1"/>
  <c r="CT439" i="2" s="1"/>
  <c r="CT425" i="2" a="1"/>
  <c r="CT425" i="2" s="1"/>
  <c r="CV425" i="2" a="1"/>
  <c r="CV425" i="2" s="1"/>
  <c r="CU425" i="2" a="1"/>
  <c r="CU425" i="2" s="1"/>
  <c r="CT411" i="2" a="1"/>
  <c r="CT411" i="2" s="1"/>
  <c r="CV397" i="2" a="1"/>
  <c r="CV397" i="2" s="1"/>
  <c r="CT397" i="2" a="1"/>
  <c r="CT397" i="2" s="1"/>
  <c r="CU397" i="2" a="1"/>
  <c r="CU397" i="2" s="1"/>
  <c r="CT383" i="2" a="1"/>
  <c r="CT383" i="2" s="1"/>
  <c r="CV383" i="2" a="1"/>
  <c r="CV383" i="2" s="1"/>
  <c r="CU383" i="2" a="1"/>
  <c r="CU383" i="2" s="1"/>
  <c r="CT369" i="2" a="1"/>
  <c r="CT369" i="2" s="1"/>
  <c r="CT355" i="2" a="1"/>
  <c r="CT355" i="2" s="1"/>
  <c r="CU355" i="2" a="1"/>
  <c r="CU355" i="2" s="1"/>
  <c r="CU341" i="2" a="1"/>
  <c r="CU341" i="2" s="1"/>
  <c r="CT341" i="2" a="1"/>
  <c r="CT341" i="2" s="1"/>
  <c r="CV327" i="2" a="1"/>
  <c r="CV327" i="2" s="1"/>
  <c r="CU327" i="2" a="1"/>
  <c r="CU327" i="2" s="1"/>
  <c r="CT327" i="2" a="1"/>
  <c r="CT327" i="2" s="1"/>
  <c r="CT313" i="2" a="1"/>
  <c r="CT313" i="2" s="1"/>
  <c r="CU313" i="2" a="1"/>
  <c r="CU313" i="2" s="1"/>
  <c r="CU299" i="2" a="1"/>
  <c r="CU299" i="2" s="1"/>
  <c r="CT299" i="2" a="1"/>
  <c r="CT299" i="2" s="1"/>
  <c r="CT285" i="2" a="1"/>
  <c r="CT285" i="2" s="1"/>
  <c r="CU285" i="2" a="1"/>
  <c r="CU285" i="2" s="1"/>
  <c r="CV271" i="2" a="1"/>
  <c r="CV271" i="2" s="1"/>
  <c r="CU271" i="2" a="1"/>
  <c r="CU271" i="2" s="1"/>
  <c r="CT271" i="2" a="1"/>
  <c r="CT271" i="2" s="1"/>
  <c r="CT257" i="2" a="1"/>
  <c r="CT257" i="2" s="1"/>
  <c r="CU257" i="2" a="1"/>
  <c r="CU257" i="2" s="1"/>
  <c r="CU243" i="2" a="1"/>
  <c r="CU243" i="2" s="1"/>
  <c r="CT243" i="2" a="1"/>
  <c r="CT243" i="2" s="1"/>
  <c r="CV229" i="2" a="1"/>
  <c r="CV229" i="2" s="1"/>
  <c r="CT229" i="2" a="1"/>
  <c r="CT229" i="2" s="1"/>
  <c r="CT215" i="2" a="1"/>
  <c r="CT215" i="2" s="1"/>
  <c r="CU215" i="2" a="1"/>
  <c r="CU215" i="2" s="1"/>
  <c r="CV215" i="2" a="1"/>
  <c r="CV215" i="2" s="1"/>
  <c r="CT201" i="2" a="1"/>
  <c r="CT201" i="2" s="1"/>
  <c r="CU201" i="2" a="1"/>
  <c r="CU201" i="2" s="1"/>
  <c r="CV201" i="2" a="1"/>
  <c r="CV201" i="2" s="1"/>
  <c r="CT187" i="2" a="1"/>
  <c r="CT187" i="2" s="1"/>
  <c r="CU187" i="2" a="1"/>
  <c r="CU187" i="2" s="1"/>
  <c r="CV173" i="2" a="1"/>
  <c r="CV173" i="2" s="1"/>
  <c r="CU173" i="2" a="1"/>
  <c r="CU173" i="2" s="1"/>
  <c r="CU159" i="2" a="1"/>
  <c r="CU159" i="2" s="1"/>
  <c r="CV159" i="2" a="1"/>
  <c r="CV159" i="2" s="1"/>
  <c r="CT159" i="2" a="1"/>
  <c r="CT159" i="2" s="1"/>
  <c r="CU145" i="2" a="1"/>
  <c r="CU145" i="2" s="1"/>
  <c r="CV145" i="2" a="1"/>
  <c r="CV145" i="2" s="1"/>
  <c r="CU131" i="2" a="1"/>
  <c r="CU131" i="2" s="1"/>
  <c r="CT131" i="2" a="1"/>
  <c r="CT131" i="2" s="1"/>
  <c r="CV131" i="2" a="1"/>
  <c r="CV131" i="2" s="1"/>
  <c r="CT117" i="2" a="1"/>
  <c r="CT117" i="2" s="1"/>
  <c r="CV117" i="2" a="1"/>
  <c r="CV117" i="2" s="1"/>
  <c r="CU117" i="2" a="1"/>
  <c r="CU117" i="2" s="1"/>
  <c r="CU103" i="2" a="1"/>
  <c r="CU103" i="2" s="1"/>
  <c r="CT103" i="2" a="1"/>
  <c r="CT103" i="2" s="1"/>
  <c r="CU89" i="2" a="1"/>
  <c r="CU89" i="2" s="1"/>
  <c r="CV89" i="2" a="1"/>
  <c r="CV89" i="2" s="1"/>
  <c r="CT89" i="2" a="1"/>
  <c r="CT89" i="2" s="1"/>
  <c r="CT75" i="2" a="1"/>
  <c r="CT75" i="2" s="1"/>
  <c r="CV75" i="2" a="1"/>
  <c r="CV75" i="2" s="1"/>
  <c r="CU75" i="2" a="1"/>
  <c r="CU75" i="2" s="1"/>
  <c r="CT61" i="2" a="1"/>
  <c r="CT61" i="2" s="1"/>
  <c r="CU61" i="2" a="1"/>
  <c r="CU61" i="2" s="1"/>
  <c r="CU47" i="2" a="1"/>
  <c r="CU47" i="2" s="1"/>
  <c r="CT47" i="2" a="1"/>
  <c r="CT47" i="2" s="1"/>
  <c r="CV33" i="2" a="1"/>
  <c r="CV33" i="2" s="1"/>
  <c r="CU33" i="2" a="1"/>
  <c r="CU33" i="2" s="1"/>
  <c r="CT33" i="2" a="1"/>
  <c r="CT33" i="2" s="1"/>
  <c r="CT19" i="2" a="1"/>
  <c r="CT19" i="2" s="1"/>
  <c r="CU19" i="2" a="1"/>
  <c r="CU19" i="2" s="1"/>
  <c r="CV19" i="2" a="1"/>
  <c r="CV19" i="2" s="1"/>
  <c r="CT5" i="2" a="1"/>
  <c r="CT5" i="2" s="1"/>
  <c r="CV641" i="2" a="1"/>
  <c r="CV641" i="2" s="1"/>
  <c r="CV299" i="2" a="1"/>
  <c r="CV299" i="2" s="1"/>
  <c r="CV281" i="2" a="1"/>
  <c r="CV281" i="2" s="1"/>
  <c r="CV243" i="2" a="1"/>
  <c r="CV243" i="2" s="1"/>
  <c r="CV187" i="2" a="1"/>
  <c r="CV187" i="2" s="1"/>
  <c r="CU309" i="2" a="1"/>
  <c r="CU309" i="2" s="1"/>
  <c r="CU235" i="2" a="1"/>
  <c r="CU235" i="2" s="1"/>
  <c r="CU81" i="2" a="1"/>
  <c r="CU81" i="2" s="1"/>
  <c r="CU25" i="2" a="1"/>
  <c r="CU25" i="2" s="1"/>
  <c r="CT621" i="2" a="1"/>
  <c r="CT621" i="2" s="1"/>
  <c r="CT519" i="2" a="1"/>
  <c r="CT519" i="2" s="1"/>
  <c r="CU571" i="2" a="1"/>
  <c r="CU571" i="2" s="1"/>
  <c r="CU627" i="2" a="1"/>
  <c r="CU627" i="2" s="1"/>
  <c r="CV459" i="2" a="1"/>
  <c r="CV459" i="2" s="1"/>
  <c r="CV403" i="2" a="1"/>
  <c r="CV403" i="2" s="1"/>
  <c r="CU369" i="2" a="1"/>
  <c r="CU369" i="2" s="1"/>
  <c r="CU165" i="2" a="1"/>
  <c r="CU165" i="2" s="1"/>
  <c r="CU5" i="2" a="1"/>
  <c r="CU5" i="2" s="1"/>
  <c r="CV686" i="2" a="1"/>
  <c r="CV686" i="2" s="1"/>
  <c r="CU658" i="2" a="1"/>
  <c r="CU658" i="2" s="1"/>
  <c r="CV658" i="2" a="1"/>
  <c r="CV658" i="2" s="1"/>
  <c r="CV644" i="2" a="1"/>
  <c r="CV644" i="2" s="1"/>
  <c r="CU630" i="2" a="1"/>
  <c r="CU630" i="2" s="1"/>
  <c r="CV630" i="2" a="1"/>
  <c r="CV630" i="2" s="1"/>
  <c r="CU602" i="2" a="1"/>
  <c r="CU602" i="2" s="1"/>
  <c r="CU588" i="2" a="1"/>
  <c r="CU588" i="2" s="1"/>
  <c r="CU560" i="2" a="1"/>
  <c r="CU560" i="2" s="1"/>
  <c r="CV560" i="2" a="1"/>
  <c r="CV560" i="2" s="1"/>
  <c r="CU532" i="2" a="1"/>
  <c r="CU532" i="2" s="1"/>
  <c r="CU518" i="2" a="1"/>
  <c r="CU518" i="2" s="1"/>
  <c r="CU504" i="2" a="1"/>
  <c r="CU504" i="2" s="1"/>
  <c r="CV504" i="2" a="1"/>
  <c r="CV504" i="2" s="1"/>
  <c r="CV490" i="2" a="1"/>
  <c r="CV490" i="2" s="1"/>
  <c r="CU490" i="2" a="1"/>
  <c r="CU490" i="2" s="1"/>
  <c r="CU476" i="2" a="1"/>
  <c r="CU476" i="2" s="1"/>
  <c r="CV476" i="2" a="1"/>
  <c r="CV476" i="2" s="1"/>
  <c r="CU462" i="2" a="1"/>
  <c r="CU462" i="2" s="1"/>
  <c r="CU434" i="2" a="1"/>
  <c r="CU434" i="2" s="1"/>
  <c r="CV434" i="2" a="1"/>
  <c r="CV434" i="2" s="1"/>
  <c r="CV420" i="2" a="1"/>
  <c r="CV420" i="2" s="1"/>
  <c r="CU406" i="2" a="1"/>
  <c r="CU406" i="2" s="1"/>
  <c r="CV406" i="2" a="1"/>
  <c r="CV406" i="2" s="1"/>
  <c r="CV392" i="2" a="1"/>
  <c r="CV392" i="2" s="1"/>
  <c r="CU378" i="2" a="1"/>
  <c r="CU378" i="2" s="1"/>
  <c r="CU364" i="2" a="1"/>
  <c r="CU364" i="2" s="1"/>
  <c r="CV364" i="2" a="1"/>
  <c r="CV364" i="2" s="1"/>
  <c r="CV350" i="2" a="1"/>
  <c r="CV350" i="2" s="1"/>
  <c r="CU350" i="2" a="1"/>
  <c r="CU350" i="2" s="1"/>
  <c r="CV336" i="2" a="1"/>
  <c r="CV336" i="2" s="1"/>
  <c r="CU336" i="2" a="1"/>
  <c r="CU336" i="2" s="1"/>
  <c r="CU322" i="2" a="1"/>
  <c r="CU322" i="2" s="1"/>
  <c r="CU308" i="2" a="1"/>
  <c r="CU308" i="2" s="1"/>
  <c r="CU294" i="2" a="1"/>
  <c r="CU294" i="2" s="1"/>
  <c r="CV294" i="2" a="1"/>
  <c r="CV294" i="2" s="1"/>
  <c r="CU252" i="2" a="1"/>
  <c r="CU252" i="2" s="1"/>
  <c r="CT238" i="2" a="1"/>
  <c r="CT238" i="2" s="1"/>
  <c r="CV238" i="2" a="1"/>
  <c r="CV238" i="2" s="1"/>
  <c r="CU238" i="2" a="1"/>
  <c r="CU238" i="2" s="1"/>
  <c r="CT224" i="2" a="1"/>
  <c r="CT224" i="2" s="1"/>
  <c r="CU224" i="2" a="1"/>
  <c r="CU224" i="2" s="1"/>
  <c r="CT210" i="2" a="1"/>
  <c r="CT210" i="2" s="1"/>
  <c r="CT182" i="2" a="1"/>
  <c r="CT182" i="2" s="1"/>
  <c r="CV182" i="2" a="1"/>
  <c r="CV182" i="2" s="1"/>
  <c r="CU168" i="2" a="1"/>
  <c r="CU168" i="2" s="1"/>
  <c r="CT168" i="2" a="1"/>
  <c r="CT168" i="2" s="1"/>
  <c r="CT154" i="2" a="1"/>
  <c r="CT154" i="2" s="1"/>
  <c r="CU154" i="2" a="1"/>
  <c r="CU154" i="2" s="1"/>
  <c r="CV140" i="2" a="1"/>
  <c r="CV140" i="2" s="1"/>
  <c r="CT140" i="2" a="1"/>
  <c r="CT140" i="2" s="1"/>
  <c r="CU140" i="2" a="1"/>
  <c r="CU140" i="2" s="1"/>
  <c r="CT126" i="2" a="1"/>
  <c r="CT126" i="2" s="1"/>
  <c r="CV126" i="2" a="1"/>
  <c r="CV126" i="2" s="1"/>
  <c r="CU126" i="2" a="1"/>
  <c r="CU126" i="2" s="1"/>
  <c r="CT112" i="2" a="1"/>
  <c r="CT112" i="2" s="1"/>
  <c r="CV112" i="2" a="1"/>
  <c r="CV112" i="2" s="1"/>
  <c r="CU112" i="2" a="1"/>
  <c r="CU112" i="2" s="1"/>
  <c r="CT98" i="2" a="1"/>
  <c r="CT98" i="2" s="1"/>
  <c r="CU98" i="2" a="1"/>
  <c r="CU98" i="2" s="1"/>
  <c r="CT84" i="2" a="1"/>
  <c r="CT84" i="2" s="1"/>
  <c r="CV84" i="2" a="1"/>
  <c r="CV84" i="2" s="1"/>
  <c r="CT70" i="2" a="1"/>
  <c r="CT70" i="2" s="1"/>
  <c r="CU70" i="2" a="1"/>
  <c r="CU70" i="2" s="1"/>
  <c r="CT56" i="2" a="1"/>
  <c r="CT56" i="2" s="1"/>
  <c r="CV56" i="2" a="1"/>
  <c r="CV56" i="2" s="1"/>
  <c r="CT42" i="2" a="1"/>
  <c r="CT42" i="2" s="1"/>
  <c r="CV42" i="2" a="1"/>
  <c r="CV42" i="2" s="1"/>
  <c r="CT28" i="2" a="1"/>
  <c r="CT28" i="2" s="1"/>
  <c r="CU28" i="2" a="1"/>
  <c r="CU28" i="2" s="1"/>
  <c r="CV28" i="2" a="1"/>
  <c r="CV28" i="2" s="1"/>
  <c r="CT14" i="2" a="1"/>
  <c r="CT14" i="2" s="1"/>
  <c r="CV704" i="2" a="1"/>
  <c r="CV704" i="2" s="1"/>
  <c r="CT690" i="2" a="1"/>
  <c r="CT690" i="2" s="1"/>
  <c r="CU690" i="2" a="1"/>
  <c r="CU690" i="2" s="1"/>
  <c r="CV676" i="2" a="1"/>
  <c r="CV676" i="2" s="1"/>
  <c r="CT662" i="2" a="1"/>
  <c r="CT662" i="2" s="1"/>
  <c r="CT648" i="2" a="1"/>
  <c r="CT648" i="2" s="1"/>
  <c r="CV648" i="2" a="1"/>
  <c r="CV648" i="2" s="1"/>
  <c r="CU648" i="2" a="1"/>
  <c r="CU648" i="2" s="1"/>
  <c r="CU634" i="2" a="1"/>
  <c r="CU634" i="2" s="1"/>
  <c r="CT634" i="2" a="1"/>
  <c r="CT634" i="2" s="1"/>
  <c r="CT620" i="2" a="1"/>
  <c r="CT620" i="2" s="1"/>
  <c r="CV620" i="2" a="1"/>
  <c r="CV620" i="2" s="1"/>
  <c r="CT606" i="2" a="1"/>
  <c r="CT606" i="2" s="1"/>
  <c r="CU592" i="2" a="1"/>
  <c r="CU592" i="2" s="1"/>
  <c r="CV592" i="2" a="1"/>
  <c r="CV592" i="2" s="1"/>
  <c r="CT592" i="2" a="1"/>
  <c r="CT592" i="2" s="1"/>
  <c r="CT578" i="2" a="1"/>
  <c r="CT578" i="2" s="1"/>
  <c r="CU578" i="2" a="1"/>
  <c r="CU578" i="2" s="1"/>
  <c r="CT564" i="2" a="1"/>
  <c r="CT564" i="2" s="1"/>
  <c r="CV564" i="2" a="1"/>
  <c r="CV564" i="2" s="1"/>
  <c r="CT536" i="2" a="1"/>
  <c r="CT536" i="2" s="1"/>
  <c r="CU536" i="2" a="1"/>
  <c r="CU536" i="2" s="1"/>
  <c r="CV536" i="2" a="1"/>
  <c r="CV536" i="2" s="1"/>
  <c r="CV522" i="2" a="1"/>
  <c r="CV522" i="2" s="1"/>
  <c r="CT522" i="2" a="1"/>
  <c r="CT522" i="2" s="1"/>
  <c r="CU522" i="2" a="1"/>
  <c r="CU522" i="2" s="1"/>
  <c r="CT508" i="2" a="1"/>
  <c r="CT508" i="2" s="1"/>
  <c r="CU508" i="2" a="1"/>
  <c r="CU508" i="2" s="1"/>
  <c r="CV494" i="2" a="1"/>
  <c r="CV494" i="2" s="1"/>
  <c r="CT494" i="2" a="1"/>
  <c r="CT494" i="2" s="1"/>
  <c r="CU480" i="2" a="1"/>
  <c r="CU480" i="2" s="1"/>
  <c r="CT480" i="2" a="1"/>
  <c r="CT480" i="2" s="1"/>
  <c r="CT466" i="2" a="1"/>
  <c r="CT466" i="2" s="1"/>
  <c r="CU466" i="2" a="1"/>
  <c r="CU466" i="2" s="1"/>
  <c r="CV466" i="2" a="1"/>
  <c r="CV466" i="2" s="1"/>
  <c r="CT452" i="2" a="1"/>
  <c r="CT452" i="2" s="1"/>
  <c r="CV452" i="2" a="1"/>
  <c r="CV452" i="2" s="1"/>
  <c r="CU452" i="2" a="1"/>
  <c r="CU452" i="2" s="1"/>
  <c r="CU438" i="2" a="1"/>
  <c r="CU438" i="2" s="1"/>
  <c r="CT438" i="2" a="1"/>
  <c r="CT438" i="2" s="1"/>
  <c r="CV424" i="2" a="1"/>
  <c r="CV424" i="2" s="1"/>
  <c r="CT424" i="2" a="1"/>
  <c r="CT424" i="2" s="1"/>
  <c r="CT410" i="2" a="1"/>
  <c r="CT410" i="2" s="1"/>
  <c r="CV410" i="2" a="1"/>
  <c r="CV410" i="2" s="1"/>
  <c r="CU410" i="2" a="1"/>
  <c r="CU410" i="2" s="1"/>
  <c r="CV396" i="2" a="1"/>
  <c r="CV396" i="2" s="1"/>
  <c r="CU396" i="2" a="1"/>
  <c r="CU396" i="2" s="1"/>
  <c r="CT396" i="2" a="1"/>
  <c r="CT396" i="2" s="1"/>
  <c r="CT382" i="2" a="1"/>
  <c r="CT382" i="2" s="1"/>
  <c r="CU382" i="2" a="1"/>
  <c r="CU382" i="2" s="1"/>
  <c r="CV368" i="2" a="1"/>
  <c r="CV368" i="2" s="1"/>
  <c r="CT368" i="2" a="1"/>
  <c r="CT368" i="2" s="1"/>
  <c r="CT354" i="2" a="1"/>
  <c r="CT354" i="2" s="1"/>
  <c r="CV340" i="2" a="1"/>
  <c r="CV340" i="2" s="1"/>
  <c r="CT326" i="2" a="1"/>
  <c r="CT326" i="2" s="1"/>
  <c r="CV326" i="2" a="1"/>
  <c r="CV326" i="2" s="1"/>
  <c r="CU326" i="2" a="1"/>
  <c r="CU326" i="2" s="1"/>
  <c r="CU312" i="2" a="1"/>
  <c r="CU312" i="2" s="1"/>
  <c r="CT312" i="2" a="1"/>
  <c r="CT312" i="2" s="1"/>
  <c r="CV312" i="2" a="1"/>
  <c r="CV312" i="2" s="1"/>
  <c r="CT298" i="2" a="1"/>
  <c r="CT298" i="2" s="1"/>
  <c r="CU298" i="2" a="1"/>
  <c r="CU298" i="2" s="1"/>
  <c r="CU284" i="2" a="1"/>
  <c r="CU284" i="2" s="1"/>
  <c r="CV270" i="2" a="1"/>
  <c r="CV270" i="2" s="1"/>
  <c r="CU270" i="2" a="1"/>
  <c r="CU270" i="2" s="1"/>
  <c r="CU256" i="2" a="1"/>
  <c r="CU256" i="2" s="1"/>
  <c r="CT256" i="2" a="1"/>
  <c r="CT256" i="2" s="1"/>
  <c r="CU242" i="2" a="1"/>
  <c r="CU242" i="2" s="1"/>
  <c r="CT242" i="2" a="1"/>
  <c r="CT242" i="2" s="1"/>
  <c r="CT228" i="2" a="1"/>
  <c r="CT228" i="2" s="1"/>
  <c r="CU228" i="2" a="1"/>
  <c r="CU228" i="2" s="1"/>
  <c r="CT214" i="2" a="1"/>
  <c r="CT214" i="2" s="1"/>
  <c r="CV214" i="2" a="1"/>
  <c r="CV214" i="2" s="1"/>
  <c r="CU214" i="2" a="1"/>
  <c r="CU214" i="2" s="1"/>
  <c r="CU200" i="2" a="1"/>
  <c r="CU200" i="2" s="1"/>
  <c r="CT186" i="2" a="1"/>
  <c r="CT186" i="2" s="1"/>
  <c r="CU186" i="2" a="1"/>
  <c r="CU186" i="2" s="1"/>
  <c r="CV172" i="2" a="1"/>
  <c r="CV172" i="2" s="1"/>
  <c r="CT172" i="2" a="1"/>
  <c r="CT172" i="2" s="1"/>
  <c r="CU172" i="2" a="1"/>
  <c r="CU172" i="2" s="1"/>
  <c r="CT158" i="2" a="1"/>
  <c r="CT158" i="2" s="1"/>
  <c r="CU158" i="2" a="1"/>
  <c r="CU158" i="2" s="1"/>
  <c r="CV158" i="2" a="1"/>
  <c r="CV158" i="2" s="1"/>
  <c r="CU130" i="2" a="1"/>
  <c r="CU130" i="2" s="1"/>
  <c r="CT130" i="2" a="1"/>
  <c r="CT130" i="2" s="1"/>
  <c r="CT116" i="2" a="1"/>
  <c r="CT116" i="2" s="1"/>
  <c r="CV116" i="2" a="1"/>
  <c r="CV116" i="2" s="1"/>
  <c r="CT102" i="2" a="1"/>
  <c r="CT102" i="2" s="1"/>
  <c r="CV102" i="2" a="1"/>
  <c r="CV102" i="2" s="1"/>
  <c r="CU88" i="2" a="1"/>
  <c r="CU88" i="2" s="1"/>
  <c r="CV88" i="2" a="1"/>
  <c r="CV88" i="2" s="1"/>
  <c r="CT74" i="2" a="1"/>
  <c r="CT74" i="2" s="1"/>
  <c r="CU74" i="2" a="1"/>
  <c r="CU74" i="2" s="1"/>
  <c r="CT60" i="2" a="1"/>
  <c r="CT60" i="2" s="1"/>
  <c r="CV60" i="2" a="1"/>
  <c r="CV60" i="2" s="1"/>
  <c r="CU60" i="2" a="1"/>
  <c r="CU60" i="2" s="1"/>
  <c r="CU46" i="2" a="1"/>
  <c r="CU46" i="2" s="1"/>
  <c r="CT46" i="2" a="1"/>
  <c r="CT46" i="2" s="1"/>
  <c r="CU32" i="2" a="1"/>
  <c r="CU32" i="2" s="1"/>
  <c r="CV32" i="2" a="1"/>
  <c r="CV32" i="2" s="1"/>
  <c r="CT18" i="2" a="1"/>
  <c r="CT18" i="2" s="1"/>
  <c r="CV18" i="2" a="1"/>
  <c r="CV18" i="2" s="1"/>
  <c r="CU18" i="2" a="1"/>
  <c r="CU18" i="2" s="1"/>
  <c r="CT4" i="2" a="1"/>
  <c r="CT4" i="2" s="1"/>
  <c r="CU4" i="2" a="1"/>
  <c r="CU4" i="2" s="1"/>
  <c r="CU699" i="2" a="1"/>
  <c r="CU699" i="2" s="1"/>
  <c r="CT685" i="2" a="1"/>
  <c r="CT685" i="2" s="1"/>
  <c r="CT671" i="2" a="1"/>
  <c r="CT671" i="2" s="1"/>
  <c r="CV657" i="2" a="1"/>
  <c r="CV657" i="2" s="1"/>
  <c r="CU657" i="2" a="1"/>
  <c r="CU657" i="2" s="1"/>
  <c r="CT643" i="2" a="1"/>
  <c r="CT643" i="2" s="1"/>
  <c r="CT629" i="2" a="1"/>
  <c r="CT629" i="2" s="1"/>
  <c r="CV629" i="2" a="1"/>
  <c r="CV629" i="2" s="1"/>
  <c r="CT615" i="2" a="1"/>
  <c r="CT615" i="2" s="1"/>
  <c r="CU615" i="2" a="1"/>
  <c r="CU615" i="2" s="1"/>
  <c r="CU601" i="2" a="1"/>
  <c r="CU601" i="2" s="1"/>
  <c r="CV601" i="2" a="1"/>
  <c r="CV601" i="2" s="1"/>
  <c r="CT587" i="2" a="1"/>
  <c r="CT587" i="2" s="1"/>
  <c r="CV587" i="2" a="1"/>
  <c r="CV587" i="2" s="1"/>
  <c r="CV573" i="2" a="1"/>
  <c r="CV573" i="2" s="1"/>
  <c r="CT573" i="2" a="1"/>
  <c r="CT573" i="2" s="1"/>
  <c r="CV559" i="2" a="1"/>
  <c r="CV559" i="2" s="1"/>
  <c r="CT559" i="2" a="1"/>
  <c r="CT559" i="2" s="1"/>
  <c r="CU545" i="2" a="1"/>
  <c r="CU545" i="2" s="1"/>
  <c r="CU531" i="2" a="1"/>
  <c r="CU531" i="2" s="1"/>
  <c r="CT517" i="2" a="1"/>
  <c r="CT517" i="2" s="1"/>
  <c r="CU517" i="2" a="1"/>
  <c r="CU517" i="2" s="1"/>
  <c r="CV517" i="2" a="1"/>
  <c r="CV517" i="2" s="1"/>
  <c r="CU503" i="2" a="1"/>
  <c r="CU503" i="2" s="1"/>
  <c r="CV489" i="2" a="1"/>
  <c r="CV489" i="2" s="1"/>
  <c r="CU489" i="2" a="1"/>
  <c r="CU489" i="2" s="1"/>
  <c r="CT475" i="2" a="1"/>
  <c r="CT475" i="2" s="1"/>
  <c r="CU475" i="2" a="1"/>
  <c r="CU475" i="2" s="1"/>
  <c r="CV475" i="2" a="1"/>
  <c r="CV475" i="2" s="1"/>
  <c r="CV461" i="2" a="1"/>
  <c r="CV461" i="2" s="1"/>
  <c r="CU447" i="2" a="1"/>
  <c r="CU447" i="2" s="1"/>
  <c r="CT433" i="2" a="1"/>
  <c r="CT433" i="2" s="1"/>
  <c r="CV433" i="2" a="1"/>
  <c r="CV433" i="2" s="1"/>
  <c r="CT419" i="2" a="1"/>
  <c r="CT419" i="2" s="1"/>
  <c r="CU419" i="2" a="1"/>
  <c r="CU419" i="2" s="1"/>
  <c r="CV419" i="2" a="1"/>
  <c r="CV419" i="2" s="1"/>
  <c r="CT405" i="2" a="1"/>
  <c r="CT405" i="2" s="1"/>
  <c r="CU405" i="2" a="1"/>
  <c r="CU405" i="2" s="1"/>
  <c r="CV391" i="2" a="1"/>
  <c r="CV391" i="2" s="1"/>
  <c r="CU391" i="2" a="1"/>
  <c r="CU391" i="2" s="1"/>
  <c r="CT391" i="2" a="1"/>
  <c r="CT391" i="2" s="1"/>
  <c r="CT377" i="2" a="1"/>
  <c r="CT377" i="2" s="1"/>
  <c r="CT363" i="2" a="1"/>
  <c r="CT363" i="2" s="1"/>
  <c r="CV363" i="2" a="1"/>
  <c r="CV363" i="2" s="1"/>
  <c r="CU349" i="2" a="1"/>
  <c r="CU349" i="2" s="1"/>
  <c r="CT349" i="2" a="1"/>
  <c r="CT349" i="2" s="1"/>
  <c r="CV349" i="2" a="1"/>
  <c r="CV349" i="2" s="1"/>
  <c r="CV335" i="2" a="1"/>
  <c r="CV335" i="2" s="1"/>
  <c r="CU335" i="2" a="1"/>
  <c r="CU335" i="2" s="1"/>
  <c r="CT321" i="2" a="1"/>
  <c r="CT321" i="2" s="1"/>
  <c r="CU321" i="2" a="1"/>
  <c r="CU321" i="2" s="1"/>
  <c r="CT307" i="2" a="1"/>
  <c r="CT307" i="2" s="1"/>
  <c r="CU307" i="2" a="1"/>
  <c r="CU307" i="2" s="1"/>
  <c r="CT293" i="2" a="1"/>
  <c r="CT293" i="2" s="1"/>
  <c r="CV293" i="2" a="1"/>
  <c r="CV293" i="2" s="1"/>
  <c r="CT279" i="2" a="1"/>
  <c r="CT279" i="2" s="1"/>
  <c r="CV279" i="2" a="1"/>
  <c r="CV279" i="2" s="1"/>
  <c r="CV265" i="2" a="1"/>
  <c r="CV265" i="2" s="1"/>
  <c r="CT265" i="2" a="1"/>
  <c r="CT265" i="2" s="1"/>
  <c r="CT683" i="2" a="1"/>
  <c r="CT683" i="2" s="1"/>
  <c r="CU683" i="2" a="1"/>
  <c r="CU683" i="2" s="1"/>
  <c r="CT669" i="2" a="1"/>
  <c r="CT669" i="2" s="1"/>
  <c r="CU669" i="2" a="1"/>
  <c r="CU669" i="2" s="1"/>
  <c r="CU641" i="2" a="1"/>
  <c r="CU641" i="2" s="1"/>
  <c r="CV627" i="2" a="1"/>
  <c r="CV627" i="2" s="1"/>
  <c r="CU613" i="2" a="1"/>
  <c r="CU613" i="2" s="1"/>
  <c r="CT599" i="2" a="1"/>
  <c r="CT599" i="2" s="1"/>
  <c r="CU599" i="2" a="1"/>
  <c r="CU599" i="2" s="1"/>
  <c r="CT585" i="2" a="1"/>
  <c r="CT585" i="2" s="1"/>
  <c r="CU585" i="2" a="1"/>
  <c r="CU585" i="2" s="1"/>
  <c r="CV571" i="2" a="1"/>
  <c r="CV571" i="2" s="1"/>
  <c r="CT557" i="2" a="1"/>
  <c r="CT557" i="2" s="1"/>
  <c r="CV543" i="2" a="1"/>
  <c r="CV543" i="2" s="1"/>
  <c r="CU543" i="2" a="1"/>
  <c r="CU543" i="2" s="1"/>
  <c r="CV529" i="2" a="1"/>
  <c r="CV529" i="2" s="1"/>
  <c r="CU529" i="2" a="1"/>
  <c r="CU529" i="2" s="1"/>
  <c r="CT487" i="2" a="1"/>
  <c r="CT487" i="2" s="1"/>
  <c r="CU487" i="2" a="1"/>
  <c r="CU487" i="2" s="1"/>
  <c r="CV473" i="2" a="1"/>
  <c r="CV473" i="2" s="1"/>
  <c r="CT445" i="2" a="1"/>
  <c r="CT445" i="2" s="1"/>
  <c r="CV431" i="2" a="1"/>
  <c r="CV431" i="2" s="1"/>
  <c r="CU431" i="2" a="1"/>
  <c r="CU431" i="2" s="1"/>
  <c r="CT417" i="2" a="1"/>
  <c r="CT417" i="2" s="1"/>
  <c r="CV417" i="2" a="1"/>
  <c r="CV417" i="2" s="1"/>
  <c r="CT403" i="2" a="1"/>
  <c r="CT403" i="2" s="1"/>
  <c r="CT389" i="2" a="1"/>
  <c r="CT389" i="2" s="1"/>
  <c r="CU389" i="2" a="1"/>
  <c r="CU389" i="2" s="1"/>
  <c r="CT375" i="2" a="1"/>
  <c r="CT375" i="2" s="1"/>
  <c r="CV375" i="2" a="1"/>
  <c r="CV375" i="2" s="1"/>
  <c r="CU375" i="2" a="1"/>
  <c r="CU375" i="2" s="1"/>
  <c r="CT361" i="2" a="1"/>
  <c r="CT361" i="2" s="1"/>
  <c r="CU361" i="2" a="1"/>
  <c r="CU361" i="2" s="1"/>
  <c r="CT347" i="2" a="1"/>
  <c r="CT347" i="2" s="1"/>
  <c r="CU347" i="2" a="1"/>
  <c r="CU347" i="2" s="1"/>
  <c r="CT333" i="2" a="1"/>
  <c r="CT333" i="2" s="1"/>
  <c r="CU333" i="2" a="1"/>
  <c r="CU333" i="2" s="1"/>
  <c r="CV333" i="2" a="1"/>
  <c r="CV333" i="2" s="1"/>
  <c r="CV319" i="2" a="1"/>
  <c r="CV319" i="2" s="1"/>
  <c r="CT305" i="2" a="1"/>
  <c r="CT305" i="2" s="1"/>
  <c r="CV305" i="2" a="1"/>
  <c r="CV305" i="2" s="1"/>
  <c r="CT277" i="2" a="1"/>
  <c r="CT277" i="2" s="1"/>
  <c r="CU277" i="2" a="1"/>
  <c r="CU277" i="2" s="1"/>
  <c r="CV263" i="2" a="1"/>
  <c r="CV263" i="2" s="1"/>
  <c r="CU263" i="2" a="1"/>
  <c r="CU263" i="2" s="1"/>
  <c r="CU249" i="2" a="1"/>
  <c r="CU249" i="2" s="1"/>
  <c r="CV249" i="2" a="1"/>
  <c r="CV249" i="2" s="1"/>
  <c r="CV235" i="2" a="1"/>
  <c r="CV235" i="2" s="1"/>
  <c r="CV221" i="2" a="1"/>
  <c r="CV221" i="2" s="1"/>
  <c r="CT207" i="2" a="1"/>
  <c r="CT207" i="2" s="1"/>
  <c r="CU207" i="2" a="1"/>
  <c r="CU207" i="2" s="1"/>
  <c r="CV193" i="2" a="1"/>
  <c r="CV193" i="2" s="1"/>
  <c r="CT193" i="2" a="1"/>
  <c r="CT193" i="2" s="1"/>
  <c r="CU179" i="2" a="1"/>
  <c r="CU179" i="2" s="1"/>
  <c r="CV179" i="2" a="1"/>
  <c r="CV179" i="2" s="1"/>
  <c r="CV165" i="2" a="1"/>
  <c r="CV165" i="2" s="1"/>
  <c r="CT151" i="2" a="1"/>
  <c r="CT151" i="2" s="1"/>
  <c r="CU151" i="2" a="1"/>
  <c r="CU151" i="2" s="1"/>
  <c r="CV137" i="2" a="1"/>
  <c r="CV137" i="2" s="1"/>
  <c r="CT137" i="2" a="1"/>
  <c r="CT137" i="2" s="1"/>
  <c r="CT123" i="2" a="1"/>
  <c r="CT123" i="2" s="1"/>
  <c r="CV123" i="2" a="1"/>
  <c r="CV123" i="2" s="1"/>
  <c r="CT109" i="2" a="1"/>
  <c r="CT109" i="2" s="1"/>
  <c r="CU109" i="2" a="1"/>
  <c r="CU109" i="2" s="1"/>
  <c r="CV109" i="2" a="1"/>
  <c r="CV109" i="2" s="1"/>
  <c r="CU95" i="2" a="1"/>
  <c r="CU95" i="2" s="1"/>
  <c r="CU67" i="2" a="1"/>
  <c r="CU67" i="2" s="1"/>
  <c r="CV67" i="2" a="1"/>
  <c r="CV67" i="2" s="1"/>
  <c r="CU53" i="2" a="1"/>
  <c r="CU53" i="2" s="1"/>
  <c r="CV39" i="2" a="1"/>
  <c r="CV39" i="2" s="1"/>
  <c r="CU39" i="2" a="1"/>
  <c r="CU39" i="2" s="1"/>
  <c r="CT39" i="2" a="1"/>
  <c r="CT39" i="2" s="1"/>
  <c r="CT11" i="2" a="1"/>
  <c r="CT11" i="2" s="1"/>
  <c r="CV11" i="2" a="1"/>
  <c r="CV11" i="2" s="1"/>
  <c r="CU408" i="2" a="1"/>
  <c r="CU408" i="2" s="1"/>
  <c r="CU324" i="2" a="1"/>
  <c r="CU324" i="2" s="1"/>
  <c r="CU310" i="2" a="1"/>
  <c r="CU310" i="2" s="1"/>
  <c r="CU226" i="2" a="1"/>
  <c r="CU226" i="2" s="1"/>
  <c r="CV212" i="2" a="1"/>
  <c r="CV212" i="2" s="1"/>
  <c r="CT100" i="2" a="1"/>
  <c r="CT100" i="2" s="1"/>
  <c r="CT678" i="2" a="1"/>
  <c r="CT678" i="2" s="1"/>
  <c r="CT664" i="2" a="1"/>
  <c r="CT664" i="2" s="1"/>
  <c r="CT622" i="2" a="1"/>
  <c r="CT622" i="2" s="1"/>
  <c r="CT580" i="2" a="1"/>
  <c r="CT580" i="2" s="1"/>
  <c r="CT244" i="2" a="1"/>
  <c r="CT244" i="2" s="1"/>
  <c r="CU251" i="2" a="1"/>
  <c r="CU251" i="2" s="1"/>
  <c r="CT237" i="2" a="1"/>
  <c r="CT237" i="2" s="1"/>
  <c r="CV237" i="2" a="1"/>
  <c r="CV237" i="2" s="1"/>
  <c r="CU237" i="2" a="1"/>
  <c r="CU237" i="2" s="1"/>
  <c r="CT223" i="2" a="1"/>
  <c r="CT223" i="2" s="1"/>
  <c r="CU223" i="2" a="1"/>
  <c r="CU223" i="2" s="1"/>
  <c r="CT209" i="2" a="1"/>
  <c r="CT209" i="2" s="1"/>
  <c r="CT195" i="2" a="1"/>
  <c r="CT195" i="2" s="1"/>
  <c r="CV181" i="2" a="1"/>
  <c r="CV181" i="2" s="1"/>
  <c r="CT167" i="2" a="1"/>
  <c r="CT167" i="2" s="1"/>
  <c r="CU167" i="2" a="1"/>
  <c r="CU167" i="2" s="1"/>
  <c r="CV167" i="2" a="1"/>
  <c r="CV167" i="2" s="1"/>
  <c r="CT153" i="2" a="1"/>
  <c r="CT153" i="2" s="1"/>
  <c r="CT139" i="2" a="1"/>
  <c r="CT139" i="2" s="1"/>
  <c r="CU139" i="2" a="1"/>
  <c r="CU139" i="2" s="1"/>
  <c r="CT125" i="2" a="1"/>
  <c r="CT125" i="2" s="1"/>
  <c r="CV125" i="2" a="1"/>
  <c r="CV125" i="2" s="1"/>
  <c r="CT111" i="2" a="1"/>
  <c r="CT111" i="2" s="1"/>
  <c r="CU111" i="2" a="1"/>
  <c r="CU111" i="2" s="1"/>
  <c r="CV111" i="2" a="1"/>
  <c r="CV111" i="2" s="1"/>
  <c r="CU97" i="2" a="1"/>
  <c r="CU97" i="2" s="1"/>
  <c r="CT97" i="2" a="1"/>
  <c r="CT97" i="2" s="1"/>
  <c r="CT83" i="2" a="1"/>
  <c r="CT83" i="2" s="1"/>
  <c r="CV83" i="2" a="1"/>
  <c r="CV83" i="2" s="1"/>
  <c r="CV69" i="2" a="1"/>
  <c r="CV69" i="2" s="1"/>
  <c r="CT69" i="2" a="1"/>
  <c r="CT69" i="2" s="1"/>
  <c r="CV55" i="2" a="1"/>
  <c r="CV55" i="2" s="1"/>
  <c r="CT41" i="2" a="1"/>
  <c r="CT41" i="2" s="1"/>
  <c r="CU27" i="2" a="1"/>
  <c r="CU27" i="2" s="1"/>
  <c r="CT27" i="2" a="1"/>
  <c r="CT27" i="2" s="1"/>
  <c r="CV27" i="2" a="1"/>
  <c r="CV27" i="2" s="1"/>
  <c r="CT13" i="2" a="1"/>
  <c r="CT13" i="2" s="1"/>
  <c r="CU703" i="2" a="1"/>
  <c r="CU703" i="2" s="1"/>
  <c r="CU689" i="2" a="1"/>
  <c r="CU689" i="2" s="1"/>
  <c r="CU675" i="2" a="1"/>
  <c r="CU675" i="2" s="1"/>
  <c r="CT661" i="2" a="1"/>
  <c r="CT661" i="2" s="1"/>
  <c r="CU633" i="2" a="1"/>
  <c r="CU633" i="2" s="1"/>
  <c r="CT619" i="2" a="1"/>
  <c r="CT619" i="2" s="1"/>
  <c r="CV619" i="2" a="1"/>
  <c r="CV619" i="2" s="1"/>
  <c r="CT591" i="2" a="1"/>
  <c r="CT591" i="2" s="1"/>
  <c r="CV591" i="2" a="1"/>
  <c r="CV591" i="2" s="1"/>
  <c r="CU577" i="2" a="1"/>
  <c r="CU577" i="2" s="1"/>
  <c r="CT577" i="2" a="1"/>
  <c r="CT577" i="2" s="1"/>
  <c r="CV563" i="2" a="1"/>
  <c r="CV563" i="2" s="1"/>
  <c r="CT563" i="2" a="1"/>
  <c r="CT563" i="2" s="1"/>
  <c r="CT549" i="2" a="1"/>
  <c r="CT549" i="2" s="1"/>
  <c r="CU535" i="2" a="1"/>
  <c r="CU535" i="2" s="1"/>
  <c r="CT535" i="2" a="1"/>
  <c r="CT535" i="2" s="1"/>
  <c r="CV535" i="2" a="1"/>
  <c r="CV535" i="2" s="1"/>
  <c r="CT521" i="2" a="1"/>
  <c r="CT521" i="2" s="1"/>
  <c r="CU521" i="2" a="1"/>
  <c r="CU521" i="2" s="1"/>
  <c r="CT507" i="2" a="1"/>
  <c r="CT507" i="2" s="1"/>
  <c r="CV507" i="2" a="1"/>
  <c r="CV507" i="2" s="1"/>
  <c r="CT493" i="2" a="1"/>
  <c r="CT493" i="2" s="1"/>
  <c r="CU479" i="2" a="1"/>
  <c r="CU479" i="2" s="1"/>
  <c r="CT479" i="2" a="1"/>
  <c r="CT479" i="2" s="1"/>
  <c r="CT465" i="2" a="1"/>
  <c r="CT465" i="2" s="1"/>
  <c r="CV465" i="2" a="1"/>
  <c r="CV465" i="2" s="1"/>
  <c r="CU465" i="2" a="1"/>
  <c r="CU465" i="2" s="1"/>
  <c r="CU451" i="2" a="1"/>
  <c r="CU451" i="2" s="1"/>
  <c r="CT451" i="2" a="1"/>
  <c r="CT451" i="2" s="1"/>
  <c r="CT437" i="2" a="1"/>
  <c r="CT437" i="2" s="1"/>
  <c r="CU423" i="2" a="1"/>
  <c r="CU423" i="2" s="1"/>
  <c r="CT409" i="2" a="1"/>
  <c r="CT409" i="2" s="1"/>
  <c r="CV409" i="2" a="1"/>
  <c r="CV409" i="2" s="1"/>
  <c r="CU395" i="2" a="1"/>
  <c r="CU395" i="2" s="1"/>
  <c r="CT395" i="2" a="1"/>
  <c r="CT395" i="2" s="1"/>
  <c r="CU381" i="2" a="1"/>
  <c r="CU381" i="2" s="1"/>
  <c r="CU367" i="2" a="1"/>
  <c r="CU367" i="2" s="1"/>
  <c r="CV367" i="2" a="1"/>
  <c r="CV367" i="2" s="1"/>
  <c r="CV353" i="2" a="1"/>
  <c r="CV353" i="2" s="1"/>
  <c r="CT339" i="2" a="1"/>
  <c r="CT339" i="2" s="1"/>
  <c r="CU339" i="2" a="1"/>
  <c r="CU339" i="2" s="1"/>
  <c r="CV339" i="2" a="1"/>
  <c r="CV339" i="2" s="1"/>
  <c r="CU325" i="2" a="1"/>
  <c r="CU325" i="2" s="1"/>
  <c r="CT325" i="2" a="1"/>
  <c r="CT325" i="2" s="1"/>
  <c r="CT311" i="2" a="1"/>
  <c r="CT311" i="2" s="1"/>
  <c r="CV311" i="2" a="1"/>
  <c r="CV311" i="2" s="1"/>
  <c r="CU311" i="2" a="1"/>
  <c r="CU311" i="2" s="1"/>
  <c r="CT297" i="2" a="1"/>
  <c r="CT297" i="2" s="1"/>
  <c r="CV283" i="2" a="1"/>
  <c r="CV283" i="2" s="1"/>
  <c r="CT269" i="2" a="1"/>
  <c r="CT269" i="2" s="1"/>
  <c r="CU269" i="2" a="1"/>
  <c r="CU269" i="2" s="1"/>
  <c r="CV269" i="2" a="1"/>
  <c r="CV269" i="2" s="1"/>
  <c r="CV255" i="2" a="1"/>
  <c r="CV255" i="2" s="1"/>
  <c r="CT241" i="2" a="1"/>
  <c r="CT241" i="2" s="1"/>
  <c r="CT227" i="2" a="1"/>
  <c r="CT227" i="2" s="1"/>
  <c r="CU227" i="2" a="1"/>
  <c r="CU227" i="2" s="1"/>
  <c r="CV213" i="2" a="1"/>
  <c r="CV213" i="2" s="1"/>
  <c r="CT213" i="2" a="1"/>
  <c r="CT213" i="2" s="1"/>
  <c r="CU213" i="2" a="1"/>
  <c r="CU213" i="2" s="1"/>
  <c r="CU199" i="2" a="1"/>
  <c r="CU199" i="2" s="1"/>
  <c r="CU185" i="2" a="1"/>
  <c r="CU185" i="2" s="1"/>
  <c r="CU171" i="2" a="1"/>
  <c r="CU171" i="2" s="1"/>
  <c r="CT171" i="2" a="1"/>
  <c r="CT171" i="2" s="1"/>
  <c r="CU157" i="2" a="1"/>
  <c r="CU157" i="2" s="1"/>
  <c r="CT157" i="2" a="1"/>
  <c r="CT157" i="2" s="1"/>
  <c r="CV157" i="2" a="1"/>
  <c r="CV157" i="2" s="1"/>
  <c r="CU143" i="2" a="1"/>
  <c r="CU143" i="2" s="1"/>
  <c r="CU129" i="2" a="1"/>
  <c r="CU129" i="2" s="1"/>
  <c r="CU115" i="2" a="1"/>
  <c r="CU115" i="2" s="1"/>
  <c r="CT115" i="2" a="1"/>
  <c r="CT115" i="2" s="1"/>
  <c r="CU101" i="2" a="1"/>
  <c r="CU101" i="2" s="1"/>
  <c r="CT101" i="2" a="1"/>
  <c r="CT101" i="2" s="1"/>
  <c r="CV101" i="2" a="1"/>
  <c r="CV101" i="2" s="1"/>
  <c r="CU87" i="2" a="1"/>
  <c r="CU87" i="2" s="1"/>
  <c r="CT87" i="2" a="1"/>
  <c r="CT87" i="2" s="1"/>
  <c r="CU73" i="2" a="1"/>
  <c r="CU73" i="2" s="1"/>
  <c r="CT73" i="2" a="1"/>
  <c r="CT73" i="2" s="1"/>
  <c r="CU59" i="2" a="1"/>
  <c r="CU59" i="2" s="1"/>
  <c r="CV59" i="2" a="1"/>
  <c r="CV59" i="2" s="1"/>
  <c r="CU45" i="2" a="1"/>
  <c r="CU45" i="2" s="1"/>
  <c r="CT45" i="2" a="1"/>
  <c r="CT45" i="2" s="1"/>
  <c r="CV45" i="2" a="1"/>
  <c r="CV45" i="2" s="1"/>
  <c r="CU31" i="2" a="1"/>
  <c r="CU31" i="2" s="1"/>
  <c r="CT31" i="2" a="1"/>
  <c r="CT31" i="2" s="1"/>
  <c r="CV31" i="2" a="1"/>
  <c r="CV31" i="2" s="1"/>
  <c r="CU17" i="2" a="1"/>
  <c r="CU17" i="2" s="1"/>
  <c r="CT17" i="2" a="1"/>
  <c r="CT17" i="2" s="1"/>
  <c r="CU3" i="2" a="1"/>
  <c r="CU3" i="2" s="1"/>
  <c r="CT3" i="2" a="1"/>
  <c r="CT3" i="2" s="1"/>
  <c r="CV3" i="2" a="1"/>
  <c r="CV3" i="2" s="1"/>
  <c r="CU680" i="2" a="1"/>
  <c r="CU680" i="2" s="1"/>
  <c r="CT666" i="2" a="1"/>
  <c r="CT666" i="2" s="1"/>
  <c r="CT624" i="2" a="1"/>
  <c r="CT624" i="2" s="1"/>
  <c r="CV610" i="2" a="1"/>
  <c r="CV610" i="2" s="1"/>
  <c r="CV554" i="2" a="1"/>
  <c r="CV554" i="2" s="1"/>
  <c r="CV526" i="2" a="1"/>
  <c r="CV526" i="2" s="1"/>
  <c r="CU498" i="2" a="1"/>
  <c r="CU498" i="2" s="1"/>
  <c r="CU442" i="2" a="1"/>
  <c r="CU442" i="2" s="1"/>
  <c r="CV330" i="2" a="1"/>
  <c r="CV330" i="2" s="1"/>
  <c r="CV316" i="2" a="1"/>
  <c r="CV316" i="2" s="1"/>
  <c r="CU288" i="2" a="1"/>
  <c r="CU288" i="2" s="1"/>
  <c r="CU274" i="2" a="1"/>
  <c r="CU274" i="2" s="1"/>
  <c r="CV260" i="2" a="1"/>
  <c r="CV260" i="2" s="1"/>
  <c r="CT246" i="2" a="1"/>
  <c r="CT246" i="2" s="1"/>
  <c r="CU162" i="2" a="1"/>
  <c r="CU162" i="2" s="1"/>
  <c r="CU134" i="2" a="1"/>
  <c r="CU134" i="2" s="1"/>
  <c r="CT120" i="2" a="1"/>
  <c r="CT120" i="2" s="1"/>
  <c r="CV78" i="2" a="1"/>
  <c r="CV78" i="2" s="1"/>
  <c r="CV22" i="2" a="1"/>
  <c r="CV22" i="2" s="1"/>
  <c r="CV8" i="2" a="1"/>
  <c r="CV8" i="2" s="1"/>
  <c r="CT698" i="2" a="1"/>
  <c r="CT698" i="2" s="1"/>
  <c r="CU698" i="2" a="1"/>
  <c r="CU698" i="2" s="1"/>
  <c r="CV684" i="2" a="1"/>
  <c r="CV684" i="2" s="1"/>
  <c r="CT670" i="2" a="1"/>
  <c r="CT670" i="2" s="1"/>
  <c r="CU670" i="2" a="1"/>
  <c r="CU670" i="2" s="1"/>
  <c r="CU656" i="2" a="1"/>
  <c r="CU656" i="2" s="1"/>
  <c r="CV642" i="2" a="1"/>
  <c r="CV642" i="2" s="1"/>
  <c r="CU642" i="2" a="1"/>
  <c r="CU642" i="2" s="1"/>
  <c r="CT628" i="2" a="1"/>
  <c r="CT628" i="2" s="1"/>
  <c r="CV628" i="2" a="1"/>
  <c r="CV628" i="2" s="1"/>
  <c r="CT600" i="2" a="1"/>
  <c r="CT600" i="2" s="1"/>
  <c r="CU600" i="2" a="1"/>
  <c r="CU600" i="2" s="1"/>
  <c r="CV600" i="2" a="1"/>
  <c r="CV600" i="2" s="1"/>
  <c r="CU586" i="2" a="1"/>
  <c r="CU586" i="2" s="1"/>
  <c r="CV572" i="2" a="1"/>
  <c r="CV572" i="2" s="1"/>
  <c r="CT558" i="2" a="1"/>
  <c r="CT558" i="2" s="1"/>
  <c r="CV544" i="2" a="1"/>
  <c r="CV544" i="2" s="1"/>
  <c r="CU544" i="2" a="1"/>
  <c r="CU544" i="2" s="1"/>
  <c r="CT530" i="2" a="1"/>
  <c r="CT530" i="2" s="1"/>
  <c r="CV530" i="2" a="1"/>
  <c r="CV530" i="2" s="1"/>
  <c r="CT516" i="2" a="1"/>
  <c r="CT516" i="2" s="1"/>
  <c r="CV516" i="2" a="1"/>
  <c r="CV516" i="2" s="1"/>
  <c r="CT502" i="2" a="1"/>
  <c r="CT502" i="2" s="1"/>
  <c r="CU502" i="2" a="1"/>
  <c r="CU502" i="2" s="1"/>
  <c r="CU488" i="2" a="1"/>
  <c r="CU488" i="2" s="1"/>
  <c r="CT488" i="2" a="1"/>
  <c r="CT488" i="2" s="1"/>
  <c r="CT474" i="2" a="1"/>
  <c r="CT474" i="2" s="1"/>
  <c r="CV474" i="2" a="1"/>
  <c r="CV474" i="2" s="1"/>
  <c r="CT460" i="2" a="1"/>
  <c r="CT460" i="2" s="1"/>
  <c r="CU418" i="2" a="1"/>
  <c r="CU418" i="2" s="1"/>
  <c r="CV236" i="2" a="1"/>
  <c r="CV236" i="2" s="1"/>
  <c r="CU632" i="2" a="1"/>
  <c r="CU632" i="2" s="1"/>
  <c r="CV534" i="2" a="1"/>
  <c r="CV534" i="2" s="1"/>
  <c r="CT492" i="2" a="1"/>
  <c r="CT492" i="2" s="1"/>
  <c r="CU212" i="2" a="1"/>
  <c r="CU212" i="2" s="1"/>
  <c r="CU153" i="2" a="1"/>
  <c r="CU153" i="2" s="1"/>
  <c r="CT181" i="2" a="1"/>
  <c r="CT181" i="2" s="1"/>
  <c r="CU473" i="2" a="1"/>
  <c r="CU473" i="2" s="1"/>
  <c r="CU69" i="2" a="1"/>
  <c r="CU69" i="2" s="1"/>
  <c r="CT431" i="2" a="1"/>
  <c r="CT431" i="2" s="1"/>
  <c r="CT255" i="2" a="1"/>
  <c r="CT255" i="2" s="1"/>
  <c r="CT129" i="2" a="1"/>
  <c r="CT129" i="2" s="1"/>
  <c r="CT689" i="2" a="1"/>
  <c r="CT689" i="2" s="1"/>
  <c r="CT251" i="2" a="1"/>
  <c r="CT251" i="2" s="1"/>
  <c r="CV680" i="2" a="1"/>
  <c r="CV680" i="2" s="1"/>
  <c r="CT680" i="2" a="1"/>
  <c r="CT680" i="2" s="1"/>
  <c r="CU666" i="2" a="1"/>
  <c r="CU666" i="2" s="1"/>
  <c r="CT652" i="2" a="1"/>
  <c r="CT652" i="2" s="1"/>
  <c r="CV652" i="2" a="1"/>
  <c r="CV652" i="2" s="1"/>
  <c r="CT638" i="2" a="1"/>
  <c r="CT638" i="2" s="1"/>
  <c r="CT610" i="2" a="1"/>
  <c r="CT610" i="2" s="1"/>
  <c r="CU610" i="2" a="1"/>
  <c r="CU610" i="2" s="1"/>
  <c r="CT596" i="2" a="1"/>
  <c r="CT596" i="2" s="1"/>
  <c r="CV582" i="2" a="1"/>
  <c r="CV582" i="2" s="1"/>
  <c r="CT568" i="2" a="1"/>
  <c r="CT568" i="2" s="1"/>
  <c r="CU568" i="2" a="1"/>
  <c r="CU568" i="2" s="1"/>
  <c r="CT540" i="2" a="1"/>
  <c r="CT540" i="2" s="1"/>
  <c r="CU512" i="2" a="1"/>
  <c r="CU512" i="2" s="1"/>
  <c r="CV498" i="2" a="1"/>
  <c r="CV498" i="2" s="1"/>
  <c r="CT498" i="2" a="1"/>
  <c r="CT498" i="2" s="1"/>
  <c r="CV484" i="2" a="1"/>
  <c r="CV484" i="2" s="1"/>
  <c r="CU470" i="2" a="1"/>
  <c r="CU470" i="2" s="1"/>
  <c r="CT456" i="2" a="1"/>
  <c r="CT456" i="2" s="1"/>
  <c r="CT442" i="2" a="1"/>
  <c r="CT442" i="2" s="1"/>
  <c r="CV442" i="2" a="1"/>
  <c r="CV442" i="2" s="1"/>
  <c r="CT414" i="2" a="1"/>
  <c r="CT414" i="2" s="1"/>
  <c r="CU414" i="2" a="1"/>
  <c r="CU414" i="2" s="1"/>
  <c r="CV400" i="2" a="1"/>
  <c r="CV400" i="2" s="1"/>
  <c r="CV386" i="2" a="1"/>
  <c r="CV386" i="2" s="1"/>
  <c r="CU372" i="2" a="1"/>
  <c r="CU372" i="2" s="1"/>
  <c r="CT372" i="2" a="1"/>
  <c r="CT372" i="2" s="1"/>
  <c r="CU344" i="2" a="1"/>
  <c r="CU344" i="2" s="1"/>
  <c r="CV344" i="2" a="1"/>
  <c r="CV344" i="2" s="1"/>
  <c r="CT330" i="2" a="1"/>
  <c r="CT330" i="2" s="1"/>
  <c r="CU330" i="2" a="1"/>
  <c r="CU330" i="2" s="1"/>
  <c r="CT316" i="2" a="1"/>
  <c r="CT316" i="2" s="1"/>
  <c r="CV302" i="2" a="1"/>
  <c r="CV302" i="2" s="1"/>
  <c r="CT302" i="2" a="1"/>
  <c r="CT302" i="2" s="1"/>
  <c r="CV288" i="2" a="1"/>
  <c r="CV288" i="2" s="1"/>
  <c r="CT274" i="2" a="1"/>
  <c r="CT274" i="2" s="1"/>
  <c r="CU260" i="2" a="1"/>
  <c r="CU260" i="2" s="1"/>
  <c r="CU246" i="2" a="1"/>
  <c r="CU246" i="2" s="1"/>
  <c r="CV246" i="2" a="1"/>
  <c r="CV246" i="2" s="1"/>
  <c r="CT218" i="2" a="1"/>
  <c r="CT218" i="2" s="1"/>
  <c r="CT190" i="2" a="1"/>
  <c r="CT190" i="2" s="1"/>
  <c r="CU190" i="2" a="1"/>
  <c r="CU190" i="2" s="1"/>
  <c r="CV190" i="2" a="1"/>
  <c r="CV190" i="2" s="1"/>
  <c r="CU176" i="2" a="1"/>
  <c r="CU176" i="2" s="1"/>
  <c r="CT176" i="2" a="1"/>
  <c r="CT176" i="2" s="1"/>
  <c r="CT162" i="2" a="1"/>
  <c r="CT162" i="2" s="1"/>
  <c r="CU148" i="2" a="1"/>
  <c r="CU148" i="2" s="1"/>
  <c r="CV148" i="2" a="1"/>
  <c r="CV148" i="2" s="1"/>
  <c r="CU120" i="2" a="1"/>
  <c r="CU120" i="2" s="1"/>
  <c r="CT106" i="2" a="1"/>
  <c r="CT106" i="2" s="1"/>
  <c r="CU106" i="2" a="1"/>
  <c r="CU106" i="2" s="1"/>
  <c r="CT92" i="2" a="1"/>
  <c r="CT92" i="2" s="1"/>
  <c r="CU92" i="2" a="1"/>
  <c r="CU92" i="2" s="1"/>
  <c r="CV92" i="2" a="1"/>
  <c r="CV92" i="2" s="1"/>
  <c r="CU78" i="2" a="1"/>
  <c r="CU78" i="2" s="1"/>
  <c r="CT64" i="2" a="1"/>
  <c r="CT64" i="2" s="1"/>
  <c r="CT36" i="2" a="1"/>
  <c r="CT36" i="2" s="1"/>
  <c r="CU36" i="2" a="1"/>
  <c r="CU36" i="2" s="1"/>
  <c r="CV36" i="2" a="1"/>
  <c r="CV36" i="2" s="1"/>
  <c r="CT8" i="2" a="1"/>
  <c r="CT8" i="2" s="1"/>
  <c r="CV692" i="2" a="1"/>
  <c r="CV692" i="2" s="1"/>
  <c r="CU650" i="2" a="1"/>
  <c r="CU650" i="2" s="1"/>
  <c r="CT650" i="2" a="1"/>
  <c r="CT650" i="2" s="1"/>
  <c r="CT636" i="2" a="1"/>
  <c r="CT636" i="2" s="1"/>
  <c r="CV636" i="2" a="1"/>
  <c r="CV636" i="2" s="1"/>
  <c r="CT608" i="2" a="1"/>
  <c r="CT608" i="2" s="1"/>
  <c r="CU594" i="2" a="1"/>
  <c r="CU594" i="2" s="1"/>
  <c r="CU552" i="2" a="1"/>
  <c r="CU552" i="2" s="1"/>
  <c r="CT538" i="2" a="1"/>
  <c r="CT538" i="2" s="1"/>
  <c r="CV538" i="2" a="1"/>
  <c r="CV538" i="2" s="1"/>
  <c r="CT496" i="2" a="1"/>
  <c r="CT496" i="2" s="1"/>
  <c r="CU496" i="2" a="1"/>
  <c r="CU496" i="2" s="1"/>
  <c r="CT482" i="2" a="1"/>
  <c r="CT482" i="2" s="1"/>
  <c r="CU454" i="2" a="1"/>
  <c r="CU454" i="2" s="1"/>
  <c r="CV440" i="2" a="1"/>
  <c r="CV440" i="2" s="1"/>
  <c r="CT426" i="2" a="1"/>
  <c r="CT426" i="2" s="1"/>
  <c r="CT398" i="2" a="1"/>
  <c r="CT398" i="2" s="1"/>
  <c r="CU398" i="2" a="1"/>
  <c r="CU398" i="2" s="1"/>
  <c r="CV384" i="2" a="1"/>
  <c r="CV384" i="2" s="1"/>
  <c r="CT384" i="2" a="1"/>
  <c r="CT384" i="2" s="1"/>
  <c r="CT370" i="2" a="1"/>
  <c r="CT370" i="2" s="1"/>
  <c r="CU356" i="2" a="1"/>
  <c r="CU356" i="2" s="1"/>
  <c r="CT342" i="2" a="1"/>
  <c r="CT342" i="2" s="1"/>
  <c r="CV328" i="2" a="1"/>
  <c r="CV328" i="2" s="1"/>
  <c r="CT314" i="2" a="1"/>
  <c r="CT314" i="2" s="1"/>
  <c r="CU314" i="2" a="1"/>
  <c r="CU314" i="2" s="1"/>
  <c r="CT300" i="2" a="1"/>
  <c r="CT300" i="2" s="1"/>
  <c r="CT286" i="2" a="1"/>
  <c r="CT286" i="2" s="1"/>
  <c r="CU286" i="2" a="1"/>
  <c r="CU286" i="2" s="1"/>
  <c r="CV286" i="2" a="1"/>
  <c r="CV286" i="2" s="1"/>
  <c r="CT258" i="2" a="1"/>
  <c r="CT258" i="2" s="1"/>
  <c r="CV230" i="2" a="1"/>
  <c r="CV230" i="2" s="1"/>
  <c r="CU216" i="2" a="1"/>
  <c r="CU216" i="2" s="1"/>
  <c r="CT216" i="2" a="1"/>
  <c r="CT216" i="2" s="1"/>
  <c r="CT202" i="2" a="1"/>
  <c r="CT202" i="2" s="1"/>
  <c r="CT188" i="2" a="1"/>
  <c r="CT188" i="2" s="1"/>
  <c r="CV188" i="2" a="1"/>
  <c r="CV188" i="2" s="1"/>
  <c r="CU188" i="2" a="1"/>
  <c r="CU188" i="2" s="1"/>
  <c r="CT174" i="2" a="1"/>
  <c r="CT174" i="2" s="1"/>
  <c r="CU160" i="2" a="1"/>
  <c r="CU160" i="2" s="1"/>
  <c r="CT146" i="2" a="1"/>
  <c r="CT146" i="2" s="1"/>
  <c r="CU132" i="2" a="1"/>
  <c r="CU132" i="2" s="1"/>
  <c r="CV132" i="2" a="1"/>
  <c r="CV132" i="2" s="1"/>
  <c r="CU118" i="2" a="1"/>
  <c r="CU118" i="2" s="1"/>
  <c r="CU90" i="2" a="1"/>
  <c r="CU90" i="2" s="1"/>
  <c r="CT76" i="2" a="1"/>
  <c r="CT76" i="2" s="1"/>
  <c r="CV76" i="2" a="1"/>
  <c r="CV76" i="2" s="1"/>
  <c r="CU62" i="2" a="1"/>
  <c r="CU62" i="2" s="1"/>
  <c r="CT62" i="2" a="1"/>
  <c r="CT62" i="2" s="1"/>
  <c r="CT48" i="2" a="1"/>
  <c r="CT48" i="2" s="1"/>
  <c r="CU48" i="2" a="1"/>
  <c r="CU48" i="2" s="1"/>
  <c r="CV34" i="2" a="1"/>
  <c r="CV34" i="2" s="1"/>
  <c r="CT20" i="2" a="1"/>
  <c r="CT20" i="2" s="1"/>
  <c r="CU6" i="2" a="1"/>
  <c r="CU6" i="2" s="1"/>
  <c r="CV446" i="2" a="1"/>
  <c r="CV446" i="2" s="1"/>
  <c r="CU446" i="2" a="1"/>
  <c r="CU446" i="2" s="1"/>
  <c r="CT446" i="2" a="1"/>
  <c r="CT446" i="2" s="1"/>
  <c r="CV432" i="2" a="1"/>
  <c r="CV432" i="2" s="1"/>
  <c r="CU404" i="2" a="1"/>
  <c r="CU404" i="2" s="1"/>
  <c r="CT404" i="2" a="1"/>
  <c r="CT404" i="2" s="1"/>
  <c r="CT390" i="2" a="1"/>
  <c r="CT390" i="2" s="1"/>
  <c r="CU390" i="2" a="1"/>
  <c r="CU390" i="2" s="1"/>
  <c r="CV376" i="2" a="1"/>
  <c r="CV376" i="2" s="1"/>
  <c r="CT362" i="2" a="1"/>
  <c r="CT362" i="2" s="1"/>
  <c r="CT348" i="2" a="1"/>
  <c r="CT348" i="2" s="1"/>
  <c r="CV348" i="2" a="1"/>
  <c r="CV348" i="2" s="1"/>
  <c r="CU348" i="2" a="1"/>
  <c r="CU348" i="2" s="1"/>
  <c r="CU320" i="2" a="1"/>
  <c r="CU320" i="2" s="1"/>
  <c r="CV320" i="2" a="1"/>
  <c r="CV320" i="2" s="1"/>
  <c r="CT306" i="2" a="1"/>
  <c r="CT306" i="2" s="1"/>
  <c r="CT292" i="2" a="1"/>
  <c r="CT292" i="2" s="1"/>
  <c r="CT278" i="2" a="1"/>
  <c r="CT278" i="2" s="1"/>
  <c r="CV278" i="2" a="1"/>
  <c r="CV278" i="2" s="1"/>
  <c r="CU278" i="2" a="1"/>
  <c r="CU278" i="2" s="1"/>
  <c r="CT264" i="2" a="1"/>
  <c r="CT264" i="2" s="1"/>
  <c r="CV250" i="2" a="1"/>
  <c r="CV250" i="2" s="1"/>
  <c r="CU250" i="2" a="1"/>
  <c r="CU250" i="2" s="1"/>
  <c r="CV222" i="2" a="1"/>
  <c r="CV222" i="2" s="1"/>
  <c r="CT208" i="2" a="1"/>
  <c r="CT208" i="2" s="1"/>
  <c r="CU208" i="2" a="1"/>
  <c r="CU208" i="2" s="1"/>
  <c r="CU194" i="2" a="1"/>
  <c r="CU194" i="2" s="1"/>
  <c r="CV180" i="2" a="1"/>
  <c r="CV180" i="2" s="1"/>
  <c r="CU180" i="2" a="1"/>
  <c r="CU180" i="2" s="1"/>
  <c r="CT166" i="2" a="1"/>
  <c r="CT166" i="2" s="1"/>
  <c r="CV152" i="2" a="1"/>
  <c r="CV152" i="2" s="1"/>
  <c r="CT138" i="2" a="1"/>
  <c r="CT138" i="2" s="1"/>
  <c r="CU124" i="2" a="1"/>
  <c r="CU124" i="2" s="1"/>
  <c r="CV124" i="2" a="1"/>
  <c r="CV124" i="2" s="1"/>
  <c r="CT110" i="2" a="1"/>
  <c r="CT110" i="2" s="1"/>
  <c r="CU110" i="2" a="1"/>
  <c r="CU110" i="2" s="1"/>
  <c r="CT96" i="2" a="1"/>
  <c r="CT96" i="2" s="1"/>
  <c r="CT82" i="2" a="1"/>
  <c r="CT82" i="2" s="1"/>
  <c r="CT68" i="2" a="1"/>
  <c r="CT68" i="2" s="1"/>
  <c r="CU68" i="2" a="1"/>
  <c r="CU68" i="2" s="1"/>
  <c r="CV68" i="2" a="1"/>
  <c r="CV68" i="2" s="1"/>
  <c r="CT54" i="2" a="1"/>
  <c r="CT54" i="2" s="1"/>
  <c r="CU54" i="2" a="1"/>
  <c r="CU54" i="2" s="1"/>
  <c r="CV54" i="2" a="1"/>
  <c r="CV54" i="2" s="1"/>
  <c r="CT40" i="2" a="1"/>
  <c r="CT40" i="2" s="1"/>
  <c r="CU26" i="2" a="1"/>
  <c r="CU26" i="2" s="1"/>
  <c r="CV26" i="2" a="1"/>
  <c r="CV26" i="2" s="1"/>
  <c r="CT702" i="2" a="1"/>
  <c r="CT702" i="2" s="1"/>
  <c r="CT688" i="2" a="1"/>
  <c r="CT688" i="2" s="1"/>
  <c r="CU674" i="2" a="1"/>
  <c r="CU674" i="2" s="1"/>
  <c r="CU660" i="2" a="1"/>
  <c r="CU660" i="2" s="1"/>
  <c r="CV660" i="2" a="1"/>
  <c r="CV660" i="2" s="1"/>
  <c r="CT660" i="2" a="1"/>
  <c r="CT660" i="2" s="1"/>
  <c r="CT618" i="2" a="1"/>
  <c r="CT618" i="2" s="1"/>
  <c r="CU618" i="2" a="1"/>
  <c r="CU618" i="2" s="1"/>
  <c r="CT604" i="2" a="1"/>
  <c r="CT604" i="2" s="1"/>
  <c r="CU576" i="2" a="1"/>
  <c r="CU576" i="2" s="1"/>
  <c r="CU562" i="2" a="1"/>
  <c r="CU562" i="2" s="1"/>
  <c r="CT548" i="2" a="1"/>
  <c r="CT548" i="2" s="1"/>
  <c r="CU520" i="2" a="1"/>
  <c r="CU520" i="2" s="1"/>
  <c r="CT506" i="2" a="1"/>
  <c r="CT506" i="2" s="1"/>
  <c r="CV506" i="2" a="1"/>
  <c r="CV506" i="2" s="1"/>
  <c r="CT478" i="2" a="1"/>
  <c r="CT478" i="2" s="1"/>
  <c r="CU478" i="2" a="1"/>
  <c r="CU478" i="2" s="1"/>
  <c r="CU464" i="2" a="1"/>
  <c r="CU464" i="2" s="1"/>
  <c r="CT450" i="2" a="1"/>
  <c r="CT450" i="2" s="1"/>
  <c r="CV450" i="2" a="1"/>
  <c r="CV450" i="2" s="1"/>
  <c r="CT436" i="2" a="1"/>
  <c r="CT436" i="2" s="1"/>
  <c r="CU422" i="2" a="1"/>
  <c r="CU422" i="2" s="1"/>
  <c r="CT408" i="2" a="1"/>
  <c r="CT408" i="2" s="1"/>
  <c r="CV408" i="2" a="1"/>
  <c r="CV408" i="2" s="1"/>
  <c r="CT394" i="2" a="1"/>
  <c r="CT394" i="2" s="1"/>
  <c r="CT380" i="2" a="1"/>
  <c r="CT380" i="2" s="1"/>
  <c r="CT352" i="2" a="1"/>
  <c r="CT352" i="2" s="1"/>
  <c r="CV352" i="2" a="1"/>
  <c r="CV352" i="2" s="1"/>
  <c r="CU338" i="2" a="1"/>
  <c r="CU338" i="2" s="1"/>
  <c r="CT338" i="2" a="1"/>
  <c r="CT338" i="2" s="1"/>
  <c r="CT324" i="2" a="1"/>
  <c r="CT324" i="2" s="1"/>
  <c r="CV310" i="2" a="1"/>
  <c r="CV310" i="2" s="1"/>
  <c r="CT296" i="2" a="1"/>
  <c r="CT296" i="2" s="1"/>
  <c r="CV296" i="2" a="1"/>
  <c r="CV296" i="2" s="1"/>
  <c r="CT282" i="2" a="1"/>
  <c r="CT282" i="2" s="1"/>
  <c r="CU268" i="2" a="1"/>
  <c r="CU268" i="2" s="1"/>
  <c r="CV254" i="2" a="1"/>
  <c r="CV254" i="2" s="1"/>
  <c r="CT254" i="2" a="1"/>
  <c r="CT254" i="2" s="1"/>
  <c r="CT240" i="2" a="1"/>
  <c r="CT240" i="2" s="1"/>
  <c r="CT226" i="2" a="1"/>
  <c r="CT226" i="2" s="1"/>
  <c r="CT198" i="2" a="1"/>
  <c r="CT198" i="2" s="1"/>
  <c r="CU198" i="2" a="1"/>
  <c r="CU198" i="2" s="1"/>
  <c r="CV198" i="2" a="1"/>
  <c r="CV198" i="2" s="1"/>
  <c r="CU184" i="2" a="1"/>
  <c r="CU184" i="2" s="1"/>
  <c r="CU170" i="2" a="1"/>
  <c r="CU170" i="2" s="1"/>
  <c r="CT156" i="2" a="1"/>
  <c r="CT156" i="2" s="1"/>
  <c r="CV156" i="2" a="1"/>
  <c r="CV156" i="2" s="1"/>
  <c r="CU128" i="2" a="1"/>
  <c r="CU128" i="2" s="1"/>
  <c r="CU114" i="2" a="1"/>
  <c r="CU114" i="2" s="1"/>
  <c r="CV100" i="2" a="1"/>
  <c r="CV100" i="2" s="1"/>
  <c r="CU100" i="2" a="1"/>
  <c r="CU100" i="2" s="1"/>
  <c r="CT86" i="2" a="1"/>
  <c r="CT86" i="2" s="1"/>
  <c r="CT58" i="2" a="1"/>
  <c r="CT58" i="2" s="1"/>
  <c r="CU58" i="2" a="1"/>
  <c r="CU58" i="2" s="1"/>
  <c r="CT44" i="2" a="1"/>
  <c r="CT44" i="2" s="1"/>
  <c r="CU44" i="2" a="1"/>
  <c r="CU44" i="2" s="1"/>
  <c r="CV44" i="2" a="1"/>
  <c r="CV44" i="2" s="1"/>
  <c r="CT30" i="2" a="1"/>
  <c r="CT30" i="2" s="1"/>
  <c r="CU16" i="2" a="1"/>
  <c r="CU16" i="2" s="1"/>
  <c r="CV2" i="2" a="1"/>
  <c r="CV2" i="2" s="1"/>
  <c r="CT2" i="2" a="1"/>
  <c r="CT2" i="2" s="1"/>
  <c r="CT701" i="2" a="1"/>
  <c r="CT701" i="2" s="1"/>
  <c r="CT659" i="2" a="1"/>
  <c r="CT659" i="2" s="1"/>
  <c r="CU617" i="2" a="1"/>
  <c r="CU617" i="2" s="1"/>
  <c r="CV603" i="2" a="1"/>
  <c r="CV603" i="2" s="1"/>
  <c r="CT589" i="2" a="1"/>
  <c r="CT589" i="2" s="1"/>
  <c r="CU463" i="2" a="1"/>
  <c r="CU463" i="2" s="1"/>
  <c r="CT393" i="2" a="1"/>
  <c r="CT393" i="2" s="1"/>
  <c r="CT337" i="2" a="1"/>
  <c r="CT337" i="2" s="1"/>
  <c r="CT253" i="2" a="1"/>
  <c r="CT253" i="2" s="1"/>
  <c r="CU225" i="2" a="1"/>
  <c r="CU225" i="2" s="1"/>
  <c r="CU169" i="2" a="1"/>
  <c r="CU169" i="2" s="1"/>
  <c r="CT99" i="2" a="1"/>
  <c r="CT99" i="2" s="1"/>
  <c r="CU57" i="2" a="1"/>
  <c r="CU57" i="2" s="1"/>
  <c r="CT43" i="2" a="1"/>
  <c r="CT43" i="2" s="1"/>
  <c r="CT29" i="2" a="1"/>
  <c r="CT29" i="2" s="1"/>
  <c r="CT15" i="2" a="1"/>
  <c r="CT15" i="2" s="1"/>
  <c r="CU432" i="2" a="1"/>
  <c r="CU432" i="2" s="1"/>
  <c r="CT594" i="2" a="1"/>
  <c r="CT594" i="2" s="1"/>
  <c r="CT464" i="2" a="1"/>
  <c r="CT464" i="2" s="1"/>
  <c r="CT422" i="2" a="1"/>
  <c r="CT422" i="2" s="1"/>
  <c r="CV306" i="2" a="1"/>
  <c r="CV306" i="2" s="1"/>
  <c r="CU692" i="2" a="1"/>
  <c r="CU692" i="2" s="1"/>
  <c r="CT328" i="2" a="1"/>
  <c r="CT328" i="2" s="1"/>
  <c r="CT310" i="2" a="1"/>
  <c r="CT310" i="2" s="1"/>
  <c r="CV362" i="2" a="1"/>
  <c r="CV362" i="2" s="1"/>
  <c r="CU702" i="2" a="1"/>
  <c r="CU702" i="2" s="1"/>
  <c r="CU622" i="2" a="1"/>
  <c r="CU622" i="2" s="1"/>
  <c r="CV562" i="2" a="1"/>
  <c r="CV562" i="2" s="1"/>
  <c r="CV292" i="2" a="1"/>
  <c r="CV292" i="2" s="1"/>
  <c r="CV282" i="2" a="1"/>
  <c r="CV282" i="2" s="1"/>
  <c r="CU394" i="2" a="1"/>
  <c r="CU394" i="2" s="1"/>
  <c r="CU384" i="2" a="1"/>
  <c r="CU384" i="2" s="1"/>
  <c r="CU86" i="2" a="1"/>
  <c r="CU86" i="2" s="1"/>
  <c r="CT376" i="2" a="1"/>
  <c r="CT376" i="2" s="1"/>
  <c r="CT344" i="2" a="1"/>
  <c r="CT344" i="2" s="1"/>
  <c r="CT260" i="2" a="1"/>
  <c r="CT260" i="2" s="1"/>
  <c r="CU645" i="2" a="1"/>
  <c r="CU645" i="2" s="1"/>
  <c r="CT547" i="2" a="1"/>
  <c r="CT547" i="2" s="1"/>
  <c r="CU547" i="2" a="1"/>
  <c r="CU547" i="2" s="1"/>
  <c r="CU449" i="2" a="1"/>
  <c r="CU449" i="2" s="1"/>
  <c r="CT435" i="2" a="1"/>
  <c r="CT435" i="2" s="1"/>
  <c r="CT379" i="2" a="1"/>
  <c r="CT379" i="2" s="1"/>
  <c r="CU365" i="2" a="1"/>
  <c r="CU365" i="2" s="1"/>
  <c r="CT351" i="2" a="1"/>
  <c r="CT351" i="2" s="1"/>
  <c r="CT323" i="2" a="1"/>
  <c r="CT323" i="2" s="1"/>
  <c r="CT295" i="2" a="1"/>
  <c r="CT295" i="2" s="1"/>
  <c r="CT267" i="2" a="1"/>
  <c r="CT267" i="2" s="1"/>
  <c r="CT239" i="2" a="1"/>
  <c r="CT239" i="2" s="1"/>
  <c r="CU211" i="2" a="1"/>
  <c r="CU211" i="2" s="1"/>
  <c r="CT197" i="2" a="1"/>
  <c r="CT197" i="2" s="1"/>
  <c r="CU141" i="2" a="1"/>
  <c r="CU141" i="2" s="1"/>
  <c r="CU127" i="2" a="1"/>
  <c r="CU127" i="2" s="1"/>
  <c r="CT127" i="2" a="1"/>
  <c r="CT127" i="2" s="1"/>
  <c r="CT85" i="2" a="1"/>
  <c r="CT85" i="2" s="1"/>
  <c r="CU71" i="2" a="1"/>
  <c r="CU71" i="2" s="1"/>
  <c r="CV701" i="2" a="1"/>
  <c r="CV701" i="2" s="1"/>
  <c r="CV547" i="2" a="1"/>
  <c r="CV547" i="2" s="1"/>
  <c r="CV295" i="2" a="1"/>
  <c r="CV295" i="2" s="1"/>
  <c r="CV141" i="2" a="1"/>
  <c r="CV141" i="2" s="1"/>
  <c r="CU295" i="2" a="1"/>
  <c r="CU295" i="2" s="1"/>
  <c r="CU99" i="2" a="1"/>
  <c r="CU99" i="2" s="1"/>
  <c r="CV449" i="2" a="1"/>
  <c r="CV449" i="2" s="1"/>
  <c r="CV197" i="2" a="1"/>
  <c r="CV197" i="2" s="1"/>
  <c r="CV43" i="2" a="1"/>
  <c r="CV43" i="2" s="1"/>
  <c r="CU197" i="2" a="1"/>
  <c r="CU197" i="2" s="1"/>
  <c r="CT57" i="2" a="1"/>
  <c r="CT57" i="2" s="1"/>
  <c r="CU267" i="2" a="1"/>
  <c r="CU267" i="2" s="1"/>
  <c r="CT700" i="2" a="1"/>
  <c r="CT700" i="2" s="1"/>
  <c r="CT686" i="2" a="1"/>
  <c r="CT686" i="2" s="1"/>
  <c r="CT672" i="2" a="1"/>
  <c r="CT672" i="2" s="1"/>
  <c r="CT658" i="2" a="1"/>
  <c r="CT658" i="2" s="1"/>
  <c r="CT644" i="2" a="1"/>
  <c r="CT644" i="2" s="1"/>
  <c r="CT630" i="2" a="1"/>
  <c r="CT630" i="2" s="1"/>
  <c r="CT616" i="2" a="1"/>
  <c r="CT616" i="2" s="1"/>
  <c r="CT602" i="2" a="1"/>
  <c r="CT602" i="2" s="1"/>
  <c r="CT588" i="2" a="1"/>
  <c r="CT588" i="2" s="1"/>
  <c r="CT574" i="2" a="1"/>
  <c r="CT574" i="2" s="1"/>
  <c r="CT560" i="2" a="1"/>
  <c r="CT560" i="2" s="1"/>
  <c r="CT546" i="2" a="1"/>
  <c r="CT546" i="2" s="1"/>
  <c r="CT532" i="2" a="1"/>
  <c r="CT532" i="2" s="1"/>
  <c r="CT518" i="2" a="1"/>
  <c r="CT518" i="2" s="1"/>
  <c r="CT504" i="2" a="1"/>
  <c r="CT504" i="2" s="1"/>
  <c r="CT490" i="2" a="1"/>
  <c r="CT490" i="2" s="1"/>
  <c r="CT476" i="2" a="1"/>
  <c r="CT476" i="2" s="1"/>
  <c r="CT462" i="2" a="1"/>
  <c r="CT462" i="2" s="1"/>
  <c r="CT448" i="2" a="1"/>
  <c r="CT448" i="2" s="1"/>
  <c r="CT434" i="2" a="1"/>
  <c r="CT434" i="2" s="1"/>
  <c r="CT420" i="2" a="1"/>
  <c r="CT420" i="2" s="1"/>
  <c r="CT406" i="2" a="1"/>
  <c r="CT406" i="2" s="1"/>
  <c r="CT392" i="2" a="1"/>
  <c r="CT392" i="2" s="1"/>
  <c r="CT378" i="2" a="1"/>
  <c r="CT378" i="2" s="1"/>
  <c r="CT364" i="2" a="1"/>
  <c r="CT364" i="2" s="1"/>
  <c r="CT350" i="2" a="1"/>
  <c r="CT350" i="2" s="1"/>
  <c r="CT336" i="2" a="1"/>
  <c r="CT336" i="2" s="1"/>
  <c r="CT322" i="2" a="1"/>
  <c r="CT322" i="2" s="1"/>
  <c r="CT308" i="2" a="1"/>
  <c r="CT308" i="2" s="1"/>
  <c r="CT294" i="2" a="1"/>
  <c r="CT294" i="2" s="1"/>
  <c r="CT280" i="2" a="1"/>
  <c r="CT280" i="2" s="1"/>
  <c r="CT266" i="2" a="1"/>
  <c r="CT266" i="2" s="1"/>
  <c r="CT252" i="2" a="1"/>
  <c r="CT252" i="2" s="1"/>
  <c r="CT222" i="2" a="1"/>
  <c r="CT222" i="2" s="1"/>
  <c r="CT124" i="2" a="1"/>
  <c r="CT124" i="2" s="1"/>
  <c r="CT26" i="2" a="1"/>
  <c r="CT26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<sst xmlns="http://schemas.openxmlformats.org/spreadsheetml/2006/main" count="2743" uniqueCount="931">
  <si>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</si>
  <si>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</si>
  <si>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</si>
  <si>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</si>
  <si>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</si>
  <si>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</si>
  <si>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</si>
  <si>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</si>
  <si>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</si>
  <si>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</si>
  <si>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</si>
  <si>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</si>
  <si>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</si>
  <si>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</si>
  <si>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</si>
  <si>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</si>
  <si>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</si>
  <si>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</si>
  <si>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</si>
  <si>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</si>
  <si>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</si>
  <si>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</si>
  <si>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</si>
  <si>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</si>
  <si>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</si>
  <si>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</si>
  <si>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</si>
  <si>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</si>
  <si>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</si>
  <si>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</si>
  <si>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</si>
  <si>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</si>
  <si>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</si>
  <si>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</si>
  <si>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</si>
  <si>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</si>
  <si>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</si>
  <si>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</si>
  <si>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</si>
  <si>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</si>
  <si>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</si>
  <si>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</si>
  <si>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</si>
  <si>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</si>
  <si>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</si>
  <si>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</si>
  <si>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</si>
  <si>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</si>
  <si>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</si>
  <si>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</si>
  <si>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</si>
  <si>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</si>
  <si>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</si>
  <si>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</si>
  <si>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</si>
  <si>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</si>
  <si>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</si>
  <si>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</si>
  <si>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</si>
  <si>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</si>
  <si>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</si>
  <si>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</si>
  <si>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</si>
  <si>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</si>
  <si>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</si>
  <si>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</si>
  <si>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</si>
  <si>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</si>
  <si>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</si>
  <si>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</si>
  <si>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</si>
  <si>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</si>
  <si>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</si>
  <si>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</si>
  <si>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</si>
  <si>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</si>
  <si>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</si>
  <si>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</si>
  <si>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</si>
  <si>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</si>
  <si>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</si>
  <si>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</si>
  <si>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</si>
  <si>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</si>
  <si>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</si>
  <si>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</si>
  <si>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</si>
  <si>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</si>
  <si>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</si>
  <si>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</si>
  <si>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</si>
  <si>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</si>
  <si>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</si>
  <si>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</si>
  <si>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</si>
  <si>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</si>
  <si>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</si>
  <si>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</si>
  <si>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</si>
  <si>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</si>
  <si>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</si>
  <si>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</si>
  <si>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</si>
  <si>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</si>
  <si>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</si>
  <si>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</si>
  <si>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</si>
  <si>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</si>
  <si>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</si>
  <si>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</si>
  <si>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</si>
  <si>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</si>
  <si>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</si>
  <si>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</si>
  <si>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</si>
  <si>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</si>
  <si>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</si>
  <si>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</si>
  <si>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</si>
  <si>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</si>
  <si>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</si>
  <si>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</si>
  <si>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</si>
  <si>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</si>
  <si>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</si>
  <si>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</si>
  <si>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</si>
  <si>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</si>
  <si>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</si>
  <si>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</si>
  <si>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</si>
  <si>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</si>
  <si>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</si>
  <si>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</si>
  <si>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</si>
  <si>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</si>
  <si>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</si>
  <si>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</si>
  <si>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</si>
  <si>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</si>
  <si>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</si>
  <si>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</si>
  <si>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</si>
  <si>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</si>
  <si>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</si>
  <si>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</si>
  <si>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</si>
  <si>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</si>
  <si>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</si>
  <si>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</si>
  <si>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</si>
  <si>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</si>
  <si>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</si>
  <si>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</si>
  <si>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</si>
  <si>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</si>
  <si>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</si>
  <si>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</si>
  <si>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</si>
  <si>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</si>
  <si>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</si>
  <si>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</si>
  <si>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</si>
  <si>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</si>
  <si>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</si>
  <si>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</si>
  <si>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</si>
  <si>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</si>
  <si>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</si>
  <si>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</si>
  <si>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</si>
  <si>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</si>
  <si>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</si>
  <si>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</si>
  <si>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</si>
  <si>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</si>
  <si>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</si>
  <si>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</si>
  <si>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</si>
  <si>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</si>
  <si>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</si>
  <si>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</si>
  <si>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</si>
  <si>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</si>
  <si>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</si>
  <si>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</si>
  <si>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</si>
  <si>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</si>
  <si>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</si>
  <si>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</si>
  <si>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</si>
  <si>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</si>
  <si>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</si>
  <si>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</si>
  <si>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</si>
  <si>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</si>
  <si>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</si>
  <si>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</si>
  <si>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</si>
  <si>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</si>
  <si>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</si>
  <si>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</si>
  <si>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</si>
  <si>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</si>
  <si>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</si>
  <si>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</si>
  <si>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</si>
  <si>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</si>
  <si>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</si>
  <si>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</si>
  <si>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</si>
  <si>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</si>
  <si>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</si>
  <si>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</si>
  <si>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</si>
  <si>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</si>
  <si>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</si>
  <si>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</si>
  <si>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</si>
  <si>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</si>
  <si>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</si>
  <si>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</si>
  <si>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</si>
  <si>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</si>
  <si>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</si>
  <si>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</si>
  <si>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</si>
  <si>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</si>
  <si>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</si>
  <si>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</si>
  <si>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</si>
  <si>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</si>
  <si>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</si>
  <si>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</si>
  <si>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</si>
  <si>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</si>
  <si>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</si>
  <si>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</si>
  <si>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</si>
  <si>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</si>
  <si>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</si>
  <si>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</si>
  <si>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</si>
  <si>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</si>
  <si>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</si>
  <si>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</si>
  <si>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</si>
  <si>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</si>
  <si>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</si>
  <si>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</si>
  <si>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</si>
  <si>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</si>
  <si>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</si>
  <si>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</si>
  <si>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</si>
  <si>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</si>
  <si>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</si>
  <si>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</si>
  <si>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</si>
  <si>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</si>
  <si>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</si>
  <si>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</si>
  <si>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</si>
  <si>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</si>
  <si>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</si>
  <si>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</si>
  <si>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</si>
  <si>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</si>
  <si>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</si>
  <si>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</si>
  <si>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</si>
  <si>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</si>
  <si>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</si>
  <si>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</si>
  <si>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</si>
  <si>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</si>
  <si>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</si>
  <si>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</si>
  <si>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</si>
  <si>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</si>
  <si>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</si>
  <si>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</si>
  <si>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</si>
  <si>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</si>
  <si>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</si>
  <si>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</si>
  <si>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</si>
  <si>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</si>
  <si>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</si>
  <si>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</si>
  <si>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</si>
  <si>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</si>
  <si>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</si>
  <si>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</si>
  <si>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</si>
  <si>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</si>
  <si>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</si>
  <si>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</si>
  <si>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</si>
  <si>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</si>
  <si>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</si>
  <si>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</si>
  <si>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</si>
  <si>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</si>
  <si>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</si>
  <si>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</si>
  <si>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</si>
  <si>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</si>
  <si>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</si>
  <si>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</si>
  <si>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</si>
  <si>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</si>
  <si>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</si>
  <si>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</si>
  <si>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</si>
  <si>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</si>
  <si>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</si>
  <si>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</si>
  <si>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</si>
  <si>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</si>
  <si>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</si>
  <si>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</si>
  <si>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</si>
  <si>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</si>
  <si>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</si>
  <si>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</si>
  <si>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</si>
  <si>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</si>
  <si>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</si>
  <si>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</si>
  <si>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</si>
  <si>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</si>
  <si>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</si>
  <si>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</si>
  <si>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</si>
  <si>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</si>
  <si>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</si>
  <si>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</si>
  <si>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</si>
  <si>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</si>
  <si>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</si>
  <si>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</si>
  <si>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</si>
  <si>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</si>
  <si>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</si>
  <si>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</si>
  <si>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</si>
  <si>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</si>
  <si>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</si>
  <si>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</si>
  <si>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</si>
  <si>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</si>
  <si>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</si>
  <si>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</si>
  <si>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</si>
  <si>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</si>
  <si>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</si>
  <si>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</si>
  <si>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</si>
  <si>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</si>
  <si>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</si>
  <si>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</si>
  <si>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</si>
  <si>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</si>
  <si>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</si>
  <si>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</si>
  <si>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</si>
  <si>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</si>
  <si>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</si>
  <si>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</si>
  <si>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</si>
  <si>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</si>
  <si>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</si>
  <si>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</si>
  <si>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</si>
  <si>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</si>
  <si>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</si>
  <si>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</si>
  <si>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</si>
  <si>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</si>
  <si>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</si>
  <si>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</si>
  <si>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</si>
  <si>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</si>
  <si>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</si>
  <si>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</si>
  <si>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</si>
  <si>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</si>
  <si>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</si>
  <si>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</si>
  <si>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</si>
  <si>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</si>
  <si>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</si>
  <si>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</si>
  <si>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</si>
  <si>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</si>
  <si>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</si>
  <si>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</si>
  <si>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</si>
  <si>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</si>
  <si>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</si>
  <si>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</si>
  <si>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</si>
  <si>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</si>
  <si>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</si>
  <si>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</si>
  <si>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</si>
  <si>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</si>
  <si>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</si>
  <si>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</si>
  <si>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</si>
  <si>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</si>
  <si>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</si>
  <si>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</si>
  <si>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</si>
  <si>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</si>
  <si>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</si>
  <si>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</si>
  <si>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</si>
  <si>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</si>
  <si>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</si>
  <si>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</si>
  <si>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</si>
  <si>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</si>
  <si>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</si>
  <si>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</si>
  <si>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</si>
  <si>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</si>
  <si>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</si>
  <si>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</si>
  <si>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</si>
  <si>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</si>
  <si>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</si>
  <si>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</si>
  <si>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</si>
  <si>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</si>
  <si>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</si>
  <si>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</si>
  <si>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</si>
  <si>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</si>
  <si>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</si>
  <si>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</si>
  <si>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</si>
  <si>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</si>
  <si>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</si>
  <si>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</si>
  <si>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</si>
  <si>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</si>
  <si>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</si>
  <si>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</si>
  <si>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</si>
  <si>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</si>
  <si>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</si>
  <si>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</si>
  <si>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</si>
  <si>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</si>
  <si>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</si>
  <si>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</si>
  <si>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</si>
  <si>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</si>
  <si>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</si>
  <si>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</si>
  <si>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</si>
  <si>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</si>
  <si>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</si>
  <si>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</si>
  <si>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</si>
  <si>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</si>
  <si>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</si>
  <si>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</si>
  <si>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</si>
  <si>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</si>
  <si>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</si>
  <si>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</si>
  <si>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</si>
  <si>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</si>
  <si>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</si>
  <si>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</si>
  <si>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</si>
  <si>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</si>
  <si>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</si>
  <si>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</si>
  <si>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</si>
  <si>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</si>
  <si>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</si>
  <si>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</si>
  <si>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</si>
  <si>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</si>
  <si>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</si>
  <si>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</si>
  <si>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</si>
  <si>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</si>
  <si>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</si>
  <si>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</si>
  <si>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</si>
  <si>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</si>
  <si>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</si>
  <si>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</si>
  <si>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</si>
  <si>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</si>
  <si>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</si>
  <si>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</si>
  <si>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</si>
  <si>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</si>
  <si>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</si>
  <si>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</si>
  <si>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</si>
  <si>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</si>
  <si>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</si>
  <si>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</si>
  <si>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</si>
  <si>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</si>
  <si>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</si>
  <si>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</si>
  <si>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</si>
  <si>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</si>
  <si>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</si>
  <si>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</si>
  <si>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</si>
  <si>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</si>
  <si>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</si>
  <si>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</si>
  <si>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</si>
  <si>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</si>
  <si>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</si>
  <si>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</si>
  <si>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</si>
  <si>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</si>
  <si>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</si>
  <si>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</si>
  <si>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</si>
  <si>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</si>
  <si>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</si>
  <si>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</si>
  <si>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</si>
  <si>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</si>
  <si>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</si>
  <si>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</si>
  <si>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</si>
  <si>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</si>
  <si>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</si>
  <si>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</si>
  <si>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</si>
  <si>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</si>
  <si>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</si>
  <si>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</si>
  <si>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</si>
  <si>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</si>
  <si>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</si>
  <si>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</si>
  <si>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</si>
  <si>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</si>
  <si>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</si>
  <si>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</si>
  <si>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</si>
  <si>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</si>
  <si>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</si>
  <si>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</si>
  <si>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</si>
  <si>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</si>
  <si>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</si>
  <si>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</si>
  <si>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</si>
  <si>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</si>
  <si>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</si>
  <si>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</si>
  <si>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</si>
  <si>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</si>
  <si>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</si>
  <si>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</si>
  <si>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</si>
  <si>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</si>
  <si>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</si>
  <si>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</si>
  <si>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</si>
  <si>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</si>
  <si>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</si>
  <si>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</si>
  <si>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</si>
  <si>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</si>
  <si>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</si>
  <si>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</si>
  <si>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</si>
  <si>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</si>
  <si>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</si>
  <si>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</si>
  <si>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</si>
  <si>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</si>
  <si>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</si>
  <si>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</si>
  <si>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</si>
  <si>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</si>
  <si>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</si>
  <si>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</si>
  <si>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</si>
  <si>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</si>
  <si>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</si>
  <si>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</si>
  <si>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</si>
  <si>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</si>
  <si>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</si>
  <si>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</si>
  <si>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</si>
  <si>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</si>
  <si>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</si>
  <si>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</si>
  <si>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</si>
  <si>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</si>
  <si>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</si>
  <si>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</si>
  <si>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</si>
  <si>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</si>
  <si>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</si>
  <si>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</si>
  <si>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</si>
  <si>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</si>
  <si>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</si>
  <si>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</si>
  <si>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</si>
  <si>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</si>
  <si>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</si>
  <si>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</si>
  <si>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</si>
  <si>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</si>
  <si>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</si>
  <si>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</si>
  <si>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</si>
  <si>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</si>
  <si>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</si>
  <si>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</si>
  <si>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</si>
  <si>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</si>
  <si>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</si>
  <si>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</si>
  <si>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</si>
  <si>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</si>
  <si>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</si>
  <si>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</si>
  <si>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</si>
  <si>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</si>
  <si>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</si>
  <si>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</si>
  <si>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</si>
  <si>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</si>
  <si>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</si>
  <si>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</si>
  <si>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</si>
  <si>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</si>
  <si>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</si>
  <si>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</si>
  <si>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</si>
  <si>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</si>
  <si>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</si>
  <si>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</si>
  <si>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</si>
  <si>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</si>
  <si>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</si>
  <si>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</si>
  <si>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</si>
  <si>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</si>
  <si>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</si>
  <si>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</si>
  <si>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</si>
  <si>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</si>
  <si>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</si>
  <si>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</si>
  <si>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</si>
  <si>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</si>
  <si>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</si>
  <si>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</si>
  <si>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</si>
  <si>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</si>
  <si>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</si>
  <si>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</si>
  <si>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</si>
  <si>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</si>
  <si>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</si>
  <si>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</si>
  <si>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</si>
  <si>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</si>
  <si>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</si>
  <si>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</si>
  <si>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</si>
  <si>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</si>
  <si>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</si>
  <si>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</si>
  <si>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</si>
  <si>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</si>
  <si>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</si>
  <si>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</si>
  <si>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</si>
  <si>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</si>
  <si>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</si>
  <si>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</si>
  <si>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</si>
  <si>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</si>
  <si>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</si>
  <si>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</si>
  <si>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</si>
  <si>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</si>
  <si>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</si>
  <si>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</si>
  <si>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</si>
  <si>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</si>
  <si>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</si>
  <si>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</si>
  <si>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</si>
  <si>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</si>
  <si>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</si>
  <si>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</si>
  <si>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</si>
  <si>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</si>
  <si>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</si>
  <si>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</si>
  <si>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</si>
  <si>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</si>
  <si>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</si>
  <si>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</si>
  <si>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</si>
  <si>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</si>
  <si>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</si>
  <si>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</si>
  <si>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</si>
  <si>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</si>
  <si>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</si>
  <si>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</si>
  <si>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</si>
  <si>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</si>
  <si>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</si>
  <si>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</si>
  <si>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</si>
  <si>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</si>
  <si>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</si>
  <si>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</si>
  <si>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</si>
  <si>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</si>
  <si>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</si>
  <si>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</si>
  <si>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</si>
  <si>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</si>
  <si>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</si>
  <si>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</si>
  <si>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</si>
  <si>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</si>
  <si>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</si>
  <si>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</si>
  <si>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</si>
  <si>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</si>
  <si>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</si>
  <si>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</si>
  <si>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</si>
  <si>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</si>
  <si>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</si>
  <si>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</si>
  <si>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</si>
  <si>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</si>
  <si>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</si>
  <si>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</si>
  <si>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</si>
  <si>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</si>
  <si>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</si>
  <si>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</si>
  <si>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</si>
  <si>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</si>
  <si>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</si>
  <si>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</si>
  <si>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</si>
  <si>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</si>
  <si>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</si>
  <si>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</si>
  <si>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</si>
  <si>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</si>
  <si>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</si>
  <si>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</si>
  <si>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</si>
  <si>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</si>
  <si>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</si>
  <si>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</si>
  <si>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</si>
  <si>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</si>
  <si>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</si>
  <si>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</si>
  <si>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</si>
  <si>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</si>
  <si>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</si>
  <si>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</si>
  <si>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</si>
  <si>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</si>
  <si>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</si>
  <si>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</si>
  <si>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</si>
  <si>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</si>
  <si>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</si>
  <si>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</si>
  <si>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</si>
  <si>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</si>
  <si>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</si>
  <si>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</si>
  <si>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</si>
  <si>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</si>
  <si>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</si>
  <si>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</si>
  <si>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</si>
  <si>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</si>
  <si>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</si>
  <si>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</si>
  <si>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</si>
  <si>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</si>
  <si>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</si>
  <si>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</si>
  <si>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</si>
  <si>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</si>
  <si>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</si>
  <si>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</si>
  <si>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</si>
  <si>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</si>
  <si>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</si>
  <si>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</si>
  <si>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</si>
  <si>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</si>
  <si>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</si>
  <si>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</si>
  <si>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</si>
  <si>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</si>
  <si>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</si>
  <si>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</si>
  <si>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</si>
  <si>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</si>
  <si>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</si>
  <si>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</si>
  <si>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</si>
  <si>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</si>
  <si>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</si>
  <si>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</si>
  <si>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</si>
  <si>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</si>
  <si>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</si>
  <si>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</si>
  <si>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</si>
  <si>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</si>
  <si>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</si>
  <si>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</si>
  <si>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</si>
  <si>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</si>
  <si>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</si>
  <si>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</si>
  <si>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</si>
  <si>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</si>
  <si>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</si>
  <si>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</si>
  <si>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</si>
  <si>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</si>
  <si>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</si>
  <si>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</si>
  <si>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</si>
  <si>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</si>
  <si>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</si>
  <si>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</si>
  <si>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</si>
  <si>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</si>
  <si>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</si>
  <si>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</si>
  <si>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</si>
  <si>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</si>
  <si>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</si>
  <si>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</si>
  <si>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</si>
  <si>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</si>
  <si>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</si>
  <si>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</si>
  <si>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</si>
  <si>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</si>
  <si>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</si>
  <si>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</si>
  <si>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VENTILACIONES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</si>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</sst>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41" fontId="0" fillId="0" borderId="0" xfId="0" applyNumberFormat="1"/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</cellXfs>
  <cellStyles count="3">
    <cellStyle name="Millares [0]" xfId="1" builtinId="6"/>
    <cellStyle name="Normal" xfId="0" builtinId="0"/>
    <cellStyle name="Porcentaje" xfId="2" builtinId="5"/>
  </cellStyles>
  <dxfs count="164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9532143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201650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209.643174305558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26T00:00:00"/>
    </cacheField>
    <cacheField name="FECHA ULTIMO REGISTRO" numFmtId="14">
      <sharedItems containsSemiMixedTypes="0" containsNonDate="0" containsDate="1" containsString="0" minDate="1899-12-30T00:00:00" maxDate="2026-06-26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98" count="32">
        <m/>
        <n v="0"/>
        <n v="36"/>
        <n v="9"/>
        <n v="2"/>
        <n v="8"/>
        <n v="6"/>
        <n v="7"/>
        <n v="3"/>
        <n v="1"/>
        <n v="10"/>
        <n v="14"/>
        <n v="46198"/>
        <n v="4" u="1"/>
        <n v="12" u="1"/>
        <n v="5" u="1"/>
        <n v="13" u="1"/>
        <n v="19" u="1"/>
        <n v="46181" u="1"/>
        <n v="15" u="1"/>
        <n v="46177" u="1"/>
        <n v="26" u="1"/>
        <n v="46176" u="1"/>
        <n v="25" u="1"/>
        <n v="46175" u="1"/>
        <n v="24" u="1"/>
        <n v="46174" u="1"/>
        <n v="21" u="1"/>
        <n v="46171" u="1"/>
        <n v="20" u="1"/>
        <n v="23" u="1"/>
        <n v="46170" u="1"/>
      </sharedItems>
    </cacheField>
    <cacheField name="FECHA TERMINO" numFmtId="14">
      <sharedItems containsNonDate="0" containsDate="1" containsString="0" containsBlank="1" minDate="2026-05-08T00:00:00" maxDate="2026-06-26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55555555555555558"/>
        <n v="0.44444444444444442"/>
        <n v="0.22222222222222221"/>
        <n v="0"/>
        <n v="0.77777777777777779" u="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6">
        <n v="1"/>
        <n v="0.90909090909090917"/>
        <n v="0.54545454545454541"/>
        <n v="0.27272727272727271"/>
        <n v="0.63636363636363635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6">
        <n v="0"/>
        <n v="35"/>
        <n v="26"/>
        <n v="25"/>
        <n v="24"/>
        <n v="23"/>
        <n v="33"/>
        <n v="20"/>
        <n v="30"/>
        <n v="29"/>
        <n v="19"/>
        <n v="18"/>
        <n v="28"/>
        <n v="27"/>
        <n v="17"/>
        <n v="16"/>
        <n v="13"/>
        <n v="12"/>
        <n v="22"/>
        <n v="21"/>
        <n v="11"/>
        <n v="9"/>
        <n v="6"/>
        <n v="5"/>
        <n v="15"/>
        <n v="14"/>
        <n v="4"/>
        <n v="3"/>
        <n v="2"/>
        <n v="-1"/>
        <n v="10"/>
        <n v="8"/>
        <n v="-2"/>
        <n v="-3"/>
        <n v="7"/>
        <n v="-6"/>
        <n v="-7"/>
        <n v="-8"/>
        <n v="-9"/>
        <n v="1"/>
        <n v="-10"/>
        <n v="-5"/>
        <n v="-12" u="1"/>
        <n v="-11" u="1"/>
        <n v="-13" u="1"/>
        <n v="-14" u="1"/>
        <n v="-4" u="1"/>
        <n v="-17" u="1"/>
        <n v="-18" u="1"/>
        <n v="-19" u="1"/>
        <n v="-20" u="1"/>
        <n v="-21" u="1"/>
        <n v="-16" u="1"/>
        <n v="31" u="1"/>
        <n v="-15" u="1"/>
        <n v="-22" u="1"/>
        <n v="-23" u="1"/>
        <n v="-24" u="1"/>
        <n v="-25" u="1"/>
        <n v="-26" u="1"/>
        <n v="-29" u="1"/>
        <n v="34" u="1"/>
        <n v="-27" u="1"/>
        <n v="-28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14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4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9999999999999978"/>
    <d v="2026-04-11T00:00:00"/>
    <d v="2026-04-11T00:00:00"/>
    <d v="2026-06-15T00:00:00"/>
    <d v="2026-05-18T00:00:00"/>
    <x v="0"/>
    <d v="2026-06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7"/>
    <n v="2302600038"/>
    <x v="1"/>
    <n v="0.99999999999999978"/>
    <d v="2026-04-11T00:00:00"/>
    <d v="2026-04-11T00:00:00"/>
    <d v="2026-06-17T00:00:00"/>
    <d v="2026-05-18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8"/>
    <n v="2302600039"/>
    <x v="1"/>
    <n v="0.99999999999999978"/>
    <d v="2026-04-07T00:00:00"/>
    <d v="2026-04-07T00:00:00"/>
    <d v="2026-06-22T00:00:00"/>
    <d v="2026-05-19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9"/>
    <n v="2282600040"/>
    <x v="0"/>
    <n v="0.99999999999999978"/>
    <d v="2026-04-07T00:00:00"/>
    <d v="2026-04-07T00:00:00"/>
    <d v="2026-06-12T00:00:00"/>
    <d v="2026-05-1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99999999999999978"/>
    <d v="2026-04-17T00:00:00"/>
    <d v="2026-04-17T00:00:00"/>
    <d v="2026-06-18T00:00:00"/>
    <d v="2026-05-20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2"/>
    <n v="2302600043"/>
    <x v="1"/>
    <n v="0.99999999999999978"/>
    <d v="2026-04-15T00:00:00"/>
    <d v="2026-04-15T00:00:00"/>
    <d v="2026-06-22T00:00:00"/>
    <d v="2026-05-22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3"/>
    <n v="2282600044"/>
    <x v="0"/>
    <n v="0.99999999999999978"/>
    <d v="2026-04-15T00:00:00"/>
    <d v="2026-04-15T00:00:00"/>
    <d v="2026-06-17T00:00:00"/>
    <d v="2026-05-22T00:00:00"/>
    <x v="0"/>
    <d v="2026-06-1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4"/>
    <n v="2282600045"/>
    <x v="0"/>
    <n v="0.99999999999999978"/>
    <d v="2026-04-20T00:00:00"/>
    <d v="2026-04-20T00:00:00"/>
    <d v="2026-06-18T00:00:00"/>
    <d v="2026-05-25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5"/>
    <n v="2302600046"/>
    <x v="1"/>
    <n v="0.99999999999999978"/>
    <d v="2026-04-14T00:00:00"/>
    <d v="2026-04-14T00:00:00"/>
    <d v="2026-06-22T00:00:00"/>
    <d v="2026-05-25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6"/>
    <n v="2302600047"/>
    <x v="1"/>
    <n v="0.99999999999999978"/>
    <d v="2026-04-15T00:00:00"/>
    <d v="2026-04-15T00:00:00"/>
    <d v="2026-06-22T00:00:00"/>
    <d v="2026-05-26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7"/>
    <n v="2282600048"/>
    <x v="0"/>
    <n v="0.99999999999999978"/>
    <d v="2026-04-14T00:00:00"/>
    <d v="2026-04-14T00:00:00"/>
    <d v="2026-06-19T00:00:00"/>
    <d v="2026-05-26T00:00:00"/>
    <x v="0"/>
    <d v="2026-06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8"/>
    <n v="2282600049"/>
    <x v="0"/>
    <n v="0.99999999999999978"/>
    <d v="2026-04-22T00:00:00"/>
    <d v="2026-04-22T00:00:00"/>
    <d v="2026-06-18T00:00:00"/>
    <d v="2026-05-27T00:00:00"/>
    <x v="0"/>
    <d v="2026-06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9"/>
    <n v="2302600050"/>
    <x v="1"/>
    <n v="0.99999999999999978"/>
    <d v="2026-04-24T00:00:00"/>
    <d v="2026-04-24T00:00:00"/>
    <d v="2026-06-22T00:00:00"/>
    <d v="2026-05-27T00:00:00"/>
    <x v="0"/>
    <d v="2026-06-2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0"/>
    <n v="2302600051"/>
    <x v="1"/>
    <n v="0.99999999999999978"/>
    <d v="2026-04-28T00:00:00"/>
    <d v="2026-04-28T00:00:00"/>
    <d v="2026-06-24T00:00:00"/>
    <d v="2026-05-28T00:00:00"/>
    <x v="0"/>
    <d v="2026-06-2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1"/>
    <n v="2282600052"/>
    <x v="0"/>
    <n v="0.99999999999999978"/>
    <d v="2026-04-22T00:00:00"/>
    <d v="2026-04-22T00:00:00"/>
    <d v="2026-06-23T00:00:00"/>
    <d v="2026-05-28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2"/>
    <n v="2282600053"/>
    <x v="0"/>
    <n v="0.99999999999999978"/>
    <d v="2026-04-27T00:00:00"/>
    <d v="2026-04-27T00:00:00"/>
    <d v="2026-06-23T00:00:00"/>
    <d v="2026-05-29T00:00:00"/>
    <x v="0"/>
    <d v="2026-06-23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3"/>
    <n v="2302600054"/>
    <x v="1"/>
    <n v="0.99999999999999978"/>
    <d v="2026-04-29T00:00:00"/>
    <d v="2026-04-29T00:00:00"/>
    <d v="2026-06-25T00:00:00"/>
    <d v="2026-05-29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4"/>
    <n v="2302600055"/>
    <x v="1"/>
    <n v="0.98499999999999988"/>
    <d v="2026-04-24T00:00:00"/>
    <d v="2026-04-24T00:00:00"/>
    <d v="2026-06-25T00:00:00"/>
    <d v="2026-06-01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TERMINACIONES: LIMPIEZA FINAL"/>
    <s v="TERMINACIONES"/>
    <n v="1"/>
  </r>
  <r>
    <x v="1"/>
    <x v="55"/>
    <n v="2282600056"/>
    <x v="0"/>
    <n v="0.97499999999999987"/>
    <d v="2026-04-22T00:00:00"/>
    <d v="2026-04-22T00:00:00"/>
    <d v="2026-05-20T00:00:00"/>
    <d v="2026-06-01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ELÉCTRICO: ARTEFACTOS | TERMINACIONES: LIMPIEZA FINAL"/>
    <s v="ELÉCTRICO, TERMINACIONES"/>
    <n v="2"/>
  </r>
  <r>
    <x v="1"/>
    <x v="56"/>
    <n v="2282600057"/>
    <x v="0"/>
    <n v="0.99999999999999978"/>
    <d v="2026-05-04T00:00:00"/>
    <d v="2026-05-06T00:00:00"/>
    <d v="2026-06-25T00:00:00"/>
    <d v="2026-06-10T00:00:00"/>
    <x v="0"/>
    <d v="2026-06-2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57"/>
    <n v="2302600058"/>
    <x v="1"/>
    <n v="0.94499999999999984"/>
    <d v="2026-05-04T00:00:00"/>
    <d v="2026-05-05T00:00:00"/>
    <d v="2026-06-25T00:00:00"/>
    <d v="2026-06-10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1499999999999984"/>
    <n v="0.85135135135135098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1"/>
    <n v="1"/>
    <n v="1"/>
    <n v="1"/>
    <n v="1"/>
    <n v="1"/>
    <n v="0"/>
    <n v="1"/>
    <n v="0"/>
    <n v="1"/>
    <n v="1"/>
    <x v="2"/>
    <s v="TERMINACIONES: MOLDURAS, CELOSIAS, LIMPIEZA FINAL, REVESTIMIENTO INTERIOR BANO"/>
    <s v="TERMINACIONES"/>
    <n v="4"/>
  </r>
  <r>
    <x v="1"/>
    <x v="58"/>
    <n v="2302600059"/>
    <x v="1"/>
    <n v="0.91999999999999982"/>
    <d v="2026-05-05T00:00:00"/>
    <d v="2026-05-04T00:00:00"/>
    <d v="2026-06-25T00:00:00"/>
    <d v="2026-06-11T00:00:00"/>
    <x v="1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29999999999999982"/>
    <n v="0.81081081081081041"/>
    <n v="5.4054054054054036E-2"/>
    <n v="5.4054054054054036E-2"/>
    <n v="0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1"/>
    <n v="1"/>
    <n v="1"/>
    <n v="0"/>
    <n v="1"/>
    <n v="0"/>
    <n v="1"/>
    <n v="1"/>
    <x v="3"/>
    <s v="SANITARIOS: VENTILACIONES | TERMINACIONES: BARANDA BALCON, PILASTREO, LIMPIEZA FINAL, REVESTIMIENTO INTERIOR BANO"/>
    <s v="SANITARIOS, TERMINACIONES"/>
    <n v="5"/>
  </r>
  <r>
    <x v="1"/>
    <x v="59"/>
    <n v="2282600060"/>
    <x v="0"/>
    <n v="0.95999999999999985"/>
    <d v="2026-05-05T00:00:00"/>
    <d v="2026-05-07T00:00:00"/>
    <d v="2026-06-16T00:00:00"/>
    <d v="2026-06-11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3"/>
    <s v="ELÉCTRICO: ARTEFACTOS | TERMINACIONES: PILASTREO, LIMPIEZA FINAL"/>
    <s v="ELÉCTRICO, TERMINACIONES"/>
    <n v="3"/>
  </r>
  <r>
    <x v="1"/>
    <x v="60"/>
    <n v="2282600061"/>
    <x v="0"/>
    <n v="0.97499999999999987"/>
    <d v="2026-05-06T00:00:00"/>
    <d v="2026-05-08T00:00:00"/>
    <d v="2026-06-25T00:00:00"/>
    <d v="2026-06-12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ELÉCTRICO: ARTEFACTOS | TERMINACIONES: LIMPIEZA FINAL"/>
    <s v="ELÉCTRICO, TERMINACIONES"/>
    <n v="2"/>
  </r>
  <r>
    <x v="1"/>
    <x v="61"/>
    <n v="2302600062"/>
    <x v="1"/>
    <n v="0.79999999999999993"/>
    <d v="2026-05-06T00:00:00"/>
    <d v="2026-05-07T00:00:00"/>
    <d v="2026-06-23T00:00:00"/>
    <d v="2026-06-12T00:00:00"/>
    <x v="4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4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62"/>
    <n v="2302600063"/>
    <x v="1"/>
    <n v="0.7599999999999999"/>
    <d v="2026-05-07T00:00:00"/>
    <d v="2026-05-05T00:00:00"/>
    <d v="2026-06-17T00:00:00"/>
    <d v="2026-06-13T00:00:00"/>
    <x v="5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4999999999999992"/>
    <n v="0.67567567567567544"/>
    <n v="0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5"/>
    <s v="SANITARIOS: VENTILACIONES, WC, LAVAMANOS / LAVAPLATOS / LAVADERO | ELÉCTRICO: CABLEADO, ARTEFACTOS, TABLERO, CAJA PAU | TERMINACIONES: INSTALACION VINILICO, MOLDURAS, PILASTREO, PUERTAS ACCESO - LOGIA - BANO, CERRADURAS, LIMPIEZA FINAL, REVESTIMIENTO INTERIOR BANO, MUEBLE LAVAPLATOS"/>
    <s v="SANITARIOS, ELÉCTRICO, TERMINACIONES"/>
    <n v="15"/>
  </r>
  <r>
    <x v="1"/>
    <x v="63"/>
    <n v="2282600064"/>
    <x v="0"/>
    <n v="0.95499999999999985"/>
    <d v="2026-05-07T00:00:00"/>
    <d v="2026-05-07T00:00:00"/>
    <d v="2026-06-23T00:00:00"/>
    <d v="2026-06-13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5"/>
    <s v="ELÉCTRICO: ARTEFACTOS | TERMINACIONES: MOLDURAS, PILASTREO, LIMPIEZA FINAL"/>
    <s v="ELÉCTRICO, TERMINACIONES"/>
    <n v="4"/>
  </r>
  <r>
    <x v="2"/>
    <x v="64"/>
    <n v="2282600065"/>
    <x v="0"/>
    <n v="0.95999999999999985"/>
    <d v="2026-05-08T00:00:00"/>
    <d v="2026-05-11T00:00:00"/>
    <d v="2026-06-19T00:00:00"/>
    <d v="2026-06-03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6"/>
    <s v="ELÉCTRICO: ARTEFACTOS | TERMINACIONES: PILASTREO, LIMPIEZA FINAL"/>
    <s v="ELÉCTRICO, TERMINACIONES"/>
    <n v="3"/>
  </r>
  <r>
    <x v="2"/>
    <x v="65"/>
    <n v="2302600066"/>
    <x v="1"/>
    <n v="0.80999999999999994"/>
    <d v="2026-05-08T00:00:00"/>
    <d v="2026-05-12T00:00:00"/>
    <d v="2026-06-25T00:00:00"/>
    <d v="2026-06-13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5"/>
    <s v="SANITARIOS: VENTILACIONES, WC, LAVAMANOS / LAVAPLATOS / LAVADERO | ELÉCTRICO: ARTEFACTOS, TABLERO, CAJA PAU | TERMINACIONES: MOLDURAS, PILASTREO, PUERTAS ACCESO - LOGIA - BANO, CERRADURAS, LIMPIEZA FINAL, REVESTIMIENTO INTERIOR BANO, MUEBLE LAVAPLATOS"/>
    <s v="SANITARIOS, ELÉCTRICO, TERMINACIONES"/>
    <n v="13"/>
  </r>
  <r>
    <x v="2"/>
    <x v="66"/>
    <n v="2302600067"/>
    <x v="1"/>
    <n v="0.82499999999999984"/>
    <d v="2026-05-11T00:00:00"/>
    <d v="2026-05-16T00:00:00"/>
    <d v="2026-06-18T00:00:00"/>
    <d v="2026-06-16T00:00:00"/>
    <x v="7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31499999999999984"/>
    <n v="0.85135135135135098"/>
    <n v="5.4054054054054036E-2"/>
    <n v="5.4054054054054036E-2"/>
    <n v="0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0"/>
    <n v="1"/>
    <n v="1"/>
    <n v="1"/>
    <n v="1"/>
    <n v="1"/>
    <n v="1"/>
    <n v="0"/>
    <n v="1"/>
    <n v="1"/>
    <n v="0"/>
    <n v="1"/>
    <x v="7"/>
    <s v="SANITARIOS: VENTILACIONES, WC, LAVAMANOS / LAVAPLATOS / LAVADERO | ELÉCTRICO: CABLEADO, ARTEFACTOS, TABLERO, CAJA PAU | TERMINACIONES: BARANDA BALCON, MOLDURAS, PILASTREO, CELOSIAS, LIMPIEZA FINAL, MUEBLE LAVAPLATOS"/>
    <s v="SANITARIOS, ELÉCTRICO, TERMINACIONES"/>
    <n v="13"/>
  </r>
  <r>
    <x v="2"/>
    <x v="67"/>
    <n v="2282600068"/>
    <x v="0"/>
    <n v="0.92999999999999983"/>
    <d v="2026-05-11T00:00:00"/>
    <d v="2026-05-14T00:00:00"/>
    <d v="2026-06-22T00:00:00"/>
    <d v="2026-06-06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8"/>
    <s v="ELÉCTRICO: CABLEADO, ARTEFACTOS | TERMINACIONES: PILASTREO, LIMPIEZA FINAL"/>
    <s v="ELÉCTRICO, TERMINACIONES"/>
    <n v="4"/>
  </r>
  <r>
    <x v="2"/>
    <x v="68"/>
    <n v="2282600069"/>
    <x v="0"/>
    <n v="0.94499999999999984"/>
    <d v="2026-05-12T00:00:00"/>
    <d v="2026-05-14T00:00:00"/>
    <d v="2026-06-23T00:00:00"/>
    <d v="2026-06-0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9"/>
    <s v="ELÉCTRICO: CABLEADO, ARTEFACTOS | TERMINACIONES: LIMPIEZA FINAL"/>
    <s v="ELÉCTRICO, TERMINACIONES"/>
    <n v="3"/>
  </r>
  <r>
    <x v="2"/>
    <x v="69"/>
    <n v="2302600070"/>
    <x v="1"/>
    <n v="0.79999999999999982"/>
    <d v="2026-05-12T00:00:00"/>
    <d v="2026-05-16T00:00:00"/>
    <d v="2026-06-25T00:00:00"/>
    <d v="2026-06-17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8999999999999987"/>
    <n v="0.78378378378378344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0"/>
    <n v="1"/>
    <x v="10"/>
    <s v="SANITARIOS: VENTILACIONES, WC, LAVAMANOS / LAVAPLATOS / LAVADERO | ELÉCTRICO: CABLEADO, ARTEFACTOS, TABLERO, CAJA PAU | TERMINACIONES: BARANDA BALCON, MOLDURAS, PILASTREO, PUERTAS ACCESO - LOGIA - BANO, CERRADURAS, LIMPIEZA FINAL, MUEBLE LAVAPLATOS"/>
    <s v="SANITARIOS, ELÉCTRICO, TERMINACIONES"/>
    <n v="14"/>
  </r>
  <r>
    <x v="2"/>
    <x v="70"/>
    <n v="2302600071"/>
    <x v="1"/>
    <n v="0.80499999999999994"/>
    <d v="2026-05-13T00:00:00"/>
    <d v="2026-05-14T00:00:00"/>
    <d v="2026-06-24T00:00:00"/>
    <d v="2026-06-18T00:00:00"/>
    <x v="9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2649999999999999"/>
    <n v="0.716216216216216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1"/>
    <n v="1"/>
    <n v="1"/>
    <n v="1"/>
    <n v="1"/>
    <n v="0"/>
    <n v="0"/>
    <n v="0"/>
    <n v="1"/>
    <n v="0"/>
    <n v="0"/>
    <n v="1"/>
    <n v="1"/>
    <n v="1"/>
    <n v="0"/>
    <n v="1"/>
    <n v="0"/>
    <n v="0"/>
    <n v="1"/>
    <x v="11"/>
    <s v="SANITARIOS: VENTILACIONES, WC, LAVAMANOS / LAVAPLATOS / LAVADERO | ELÉCTRICO: ARTEFACTOS, TABLERO, CAJA PAU | TERMINACIONES: MOLDURAS, PILASTREO, CELOSIAS, PUERTAS ACCESO - LOGIA - BANO, CERRADURAS, LIMPIEZA FINAL, REVESTIMIENTO INTERIOR BANO, MUEBLE LAVAPLATOS"/>
    <s v="SANITARIOS, ELÉCTRICO, TERMINACIONES"/>
    <n v="14"/>
  </r>
  <r>
    <x v="2"/>
    <x v="71"/>
    <n v="2282600072"/>
    <x v="0"/>
    <n v="0.95999999999999985"/>
    <d v="2026-05-13T00:00:00"/>
    <d v="2026-05-12T00:00:00"/>
    <d v="2026-06-25T00:00:00"/>
    <d v="2026-06-0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12"/>
    <s v="ELÉCTRICO: ARTEFACTOS | TERMINACIONES: PILASTREO, LIMPIEZA FINAL"/>
    <s v="ELÉCTRICO, TERMINACIONES"/>
    <n v="3"/>
  </r>
  <r>
    <x v="2"/>
    <x v="72"/>
    <n v="2282600073"/>
    <x v="0"/>
    <n v="0.91999999999999982"/>
    <d v="2026-05-14T00:00:00"/>
    <d v="2026-05-25T00:00:00"/>
    <d v="2026-06-22T00:00:00"/>
    <d v="2026-06-09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3"/>
    <s v="ELÉCTRICO: CABLEADO, ARTEFACTOS | TERMINACIONES: MOLDURAS, PILASTREO, CELOSIAS, LIMPIEZA FINAL"/>
    <s v="ELÉCTRICO, TERMINACIONES"/>
    <n v="6"/>
  </r>
  <r>
    <x v="2"/>
    <x v="73"/>
    <n v="2302600074"/>
    <x v="1"/>
    <n v="0.7599999999999999"/>
    <d v="2026-05-14T00:00:00"/>
    <d v="2026-05-19T00:00:00"/>
    <d v="2026-06-24T00:00:00"/>
    <d v="2026-06-19T00:00:00"/>
    <x v="9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4"/>
    <s v="SANITARIOS: VENTILACIONES, TINA, WC, LAVAMANOS / LAVAPLATOS / LAVADERO | ELÉCTRICO: CABLEADO, ARTEFACTOS, TABLERO, CAJA PAU | TERMINACIONES: BARANDA BALCON, MOLDURAS, PILASTREO, PUERTAS ACCESO - LOGIA - BANO, CERRADURAS, LIMPIEZA FINAL, REVESTIMIENTO INTERIOR BANO, MUEBLE LAVAPLATOS"/>
    <s v="SANITARIOS, ELÉCTRICO, TERMINACIONES"/>
    <n v="16"/>
  </r>
  <r>
    <x v="2"/>
    <x v="74"/>
    <n v="2302600075"/>
    <x v="1"/>
    <n v="0.7599999999999999"/>
    <d v="2026-05-15T00:00:00"/>
    <d v="2026-05-18T00:00:00"/>
    <d v="2026-06-23T00:00:00"/>
    <d v="2026-06-20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5"/>
    <s v="SANITARIOS: VENTILACIONES, TINA, WC, LAVAMANOS / LAVAPLATOS / LAVADERO | ELÉCTRICO: CABLEADO, ARTEFACTOS, TABLERO, CAJA PAU | TERMINACIONES: BARANDA BALCON, MOLDURAS, PILASTREO, PUERTAS ACCESO - LOGIA - BANO, CERRADURAS, LIMPIEZA FINAL, REVESTIMIENTO INTERIOR BANO, MUEBLE LAVAPLATOS"/>
    <s v="SANITARIOS, ELÉCTRICO, TERMINACIONES"/>
    <n v="16"/>
  </r>
  <r>
    <x v="2"/>
    <x v="75"/>
    <n v="2282600076"/>
    <x v="0"/>
    <n v="0.8949999999999998"/>
    <d v="2026-05-15T00:00:00"/>
    <d v="2026-05-27T00:00:00"/>
    <d v="2026-06-24T00:00:00"/>
    <d v="2026-06-10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2"/>
    <s v="ELÉCTRICO: CABLEADO, ARTEFACTOS | TERMINACIONES: PINTURA EXTERIOR, MOLDURAS, PILASTREO, CELOSIAS, LIMPIEZA FINAL"/>
    <s v="ELÉCTRICO, TERMINACIONES"/>
    <n v="7"/>
  </r>
  <r>
    <x v="2"/>
    <x v="76"/>
    <n v="2282600077"/>
    <x v="0"/>
    <n v="0.8949999999999998"/>
    <d v="2026-05-18T00:00:00"/>
    <d v="2026-05-26T00:00:00"/>
    <d v="2026-06-15T00:00:00"/>
    <d v="2026-06-13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5"/>
    <s v="ELÉCTRICO: CABLEADO, ARTEFACTOS | TERMINACIONES: PINTURA EXTERIOR, MOLDURAS, PILASTREO, CELOSIAS, LIMPIEZA FINAL"/>
    <s v="ELÉCTRICO, TERMINACIONES"/>
    <n v="7"/>
  </r>
  <r>
    <x v="2"/>
    <x v="77"/>
    <n v="2302600078"/>
    <x v="1"/>
    <n v="0.7599999999999999"/>
    <d v="2026-05-18T00:00:00"/>
    <d v="2026-05-16T00:00:00"/>
    <d v="2026-06-25T00:00:00"/>
    <d v="2026-06-23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6"/>
    <s v="SANITARIOS: VENTILACIONES, TINA, WC, LAVAMANOS / LAVAPLATOS / LAVADERO | ELÉCTRICO: CABLEADO, ARTEFACTOS, TABLERO, CAJA PAU | TERMINACIONES: BARANDA BALCON, MOLDURAS, PILASTREO, PUERTAS ACCESO - LOGIA - BANO, CERRADURAS, LIMPIEZA FINAL, REVESTIMIENTO INTERIOR BANO, MUEBLE LAVAPLATOS"/>
    <s v="SANITARIOS, ELÉCTRICO, TERMINACIONES"/>
    <n v="16"/>
  </r>
  <r>
    <x v="2"/>
    <x v="78"/>
    <n v="2302600079"/>
    <x v="1"/>
    <n v="0.72"/>
    <d v="2026-05-19T00:00:00"/>
    <d v="2026-05-20T00:00:00"/>
    <d v="2026-06-24T00:00:00"/>
    <d v="2026-06-24T00:00:00"/>
    <x v="9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17"/>
    <s v="SANITARIOS: VENTILACIONES, WC, LAVAMANOS / LAVAPLATOS / LAVADERO | ELÉCTRICO: CABLEADO, ARTEFACTOS, TABLERO, CAJA PAU | TERMINACIONES: BARANDA BALCON, PINTURA EXTERIOR, ZOCALOS LOGIA, MOLDURAS, PILASTREO, CELOSIAS, PUERTAS ACCESO - LOGIA - BANO, CERRADURAS, LIMPIEZA FINAL, REVESTIMIENTO INTERIOR BANO, MUEBLE LAVAPLATOS"/>
    <s v="SANITARIOS, ELÉCTRICO, TERMINACIONES"/>
    <n v="18"/>
  </r>
  <r>
    <x v="2"/>
    <x v="79"/>
    <n v="2282600080"/>
    <x v="0"/>
    <n v="0.8949999999999998"/>
    <d v="2026-05-19T00:00:00"/>
    <d v="2026-05-26T00:00:00"/>
    <d v="2026-06-16T00:00:00"/>
    <d v="2026-06-14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8"/>
    <s v="ELÉCTRICO: CABLEADO, ARTEFACTOS | TERMINACIONES: PINTURA EXTERIOR, MOLDURAS, PILASTREO, CELOSIAS, LIMPIEZA FINAL"/>
    <s v="ELÉCTRICO, TERMINACIONES"/>
    <n v="7"/>
  </r>
  <r>
    <x v="2"/>
    <x v="80"/>
    <n v="2282600081"/>
    <x v="0"/>
    <n v="0.78499999999999992"/>
    <d v="2026-05-20T00:00:00"/>
    <d v="2026-05-29T00:00:00"/>
    <d v="2026-06-11T00:00:00"/>
    <d v="2026-06-15T00:00:00"/>
    <x v="1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0"/>
    <n v="1"/>
    <n v="1"/>
    <n v="0"/>
    <n v="0"/>
    <n v="1"/>
    <n v="1"/>
    <n v="1"/>
    <x v="19"/>
    <s v="ELÉCTRICO: CABLEADO, ARTEFACTOS | TERMINACIONES: VENTANAS, SMART PANEL, PINTURA EXTERIOR, MOLDURAS, PILASTREO, CELOSIAS, VENTANAS (TERM), CERRADURAS, REVESTIMIENTO INTERIOR ZONA SECA, LIMPIEZA FINAL, PUERTAS DORMITORIO"/>
    <s v="ELÉCTRICO, TERMINACIONES"/>
    <n v="13"/>
  </r>
  <r>
    <x v="2"/>
    <x v="81"/>
    <n v="2302600082"/>
    <x v="1"/>
    <n v="0.71"/>
    <d v="2026-05-20T00:00:00"/>
    <d v="2026-05-29T00:00:00"/>
    <d v="2026-06-25T00:00:00"/>
    <d v="2026-06-25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20999999999999991"/>
    <n v="0.56756756756756732"/>
    <n v="0"/>
    <n v="5.4054054054054036E-2"/>
    <n v="0"/>
    <n v="8.1081081081081058E-2"/>
    <n v="8.1081081081081058E-2"/>
    <n v="0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1"/>
    <n v="0"/>
    <n v="0"/>
    <n v="0"/>
    <n v="1"/>
    <n v="0"/>
    <n v="0"/>
    <n v="1"/>
    <n v="1"/>
    <n v="1"/>
    <n v="0"/>
    <n v="1"/>
    <n v="0"/>
    <n v="0"/>
    <n v="1"/>
    <x v="20"/>
    <s v="SANITARIOS: VENTILACIONES, TINA, WC, LAVAMANOS / LAVAPLATOS / LAVADERO | ELÉCTRICO: CABLEADO, ARTEFACTOS, TABLERO, CAJA PAU | TERMINACIONES: INSTALACION VINILICO, BARANDA BALCON, PINTURA EXTERIOR, MOLDURAS, PILASTREO, CELOSIAS, PUERTAS ACCESO - LOGIA - BANO, CERRADURAS, LIMPIEZA FINAL, REVESTIMIENTO INTERIOR BANO, MUEBLE LAVAPLATOS"/>
    <s v="SANITARIOS, ELÉCTRICO, TERMINACIONES"/>
    <n v="19"/>
  </r>
  <r>
    <x v="2"/>
    <x v="82"/>
    <n v="2302600083"/>
    <x v="1"/>
    <n v="0.65999999999999992"/>
    <d v="2026-05-22T00:00:00"/>
    <d v="2026-06-01T00:00:00"/>
    <d v="2026-06-24T00:00:00"/>
    <d v="2026-06-27T00:00:00"/>
    <x v="9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14999999999999997"/>
    <n v="0.40540540540540532"/>
    <n v="5.4054054054054036E-2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1"/>
    <s v="SANITARIOS: VENTILACIONES, WC, LAVAMANOS / LAVAPLATOS / LAVADERO | ELÉCTRICO: CABLEADO, ARTEFACTOS, TABLERO, CAJA PAU | TERMINACIONES: VENTANAS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2"/>
    <x v="83"/>
    <n v="2282600084"/>
    <x v="0"/>
    <n v="0.83499999999999985"/>
    <d v="2026-05-22T00:00:00"/>
    <d v="2026-05-29T00:00:00"/>
    <d v="2026-06-19T00:00:00"/>
    <d v="2026-06-17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4499999999999991"/>
    <n v="0.66216216216216195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1"/>
    <n v="1"/>
    <n v="1"/>
    <n v="1"/>
    <n v="0"/>
    <n v="1"/>
    <n v="1"/>
    <n v="1"/>
    <n v="1"/>
    <x v="10"/>
    <s v="ELÉCTRICO: CABLEADO, ARTEFACTOS | TERMINACIONES: VENTANAS, SMART PANEL, PINTURA EXTERIOR, MOLDURAS, PILASTREO, CELOSIAS, VENTANAS (TERM), LIMPIEZA FINAL"/>
    <s v="ELÉCTRICO, TERMINACIONES"/>
    <n v="10"/>
  </r>
  <r>
    <x v="2"/>
    <x v="84"/>
    <n v="2282600085"/>
    <x v="0"/>
    <n v="0.8949999999999998"/>
    <d v="2026-05-25T00:00:00"/>
    <d v="2026-05-29T00:00:00"/>
    <d v="2026-06-23T00:00:00"/>
    <d v="2026-06-20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1"/>
    <n v="1"/>
    <n v="1"/>
    <n v="1"/>
    <n v="0"/>
    <n v="1"/>
    <n v="1"/>
    <n v="1"/>
    <n v="1"/>
    <x v="15"/>
    <s v="ELÉCTRICO: CABLEADO, ARTEFACTOS | TERMINACIONES: PINTURA EXTERIOR, MOLDURAS, PILASTREO, CELOSIAS, LIMPIEZA FINAL"/>
    <s v="ELÉCTRICO, TERMINACIONES"/>
    <n v="7"/>
  </r>
  <r>
    <x v="2"/>
    <x v="85"/>
    <n v="2302600086"/>
    <x v="1"/>
    <n v="0.64999999999999991"/>
    <d v="2026-05-25T00:00:00"/>
    <d v="2026-06-03T00:00:00"/>
    <d v="2026-06-23T00:00:00"/>
    <d v="2026-06-30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.14999999999999997"/>
    <n v="0.40540540540540532"/>
    <n v="0"/>
    <n v="5.4054054054054036E-2"/>
    <n v="0"/>
    <n v="8.1081081081081058E-2"/>
    <n v="8.1081081081081058E-2"/>
    <n v="0"/>
    <n v="0"/>
    <n v="0"/>
    <n v="0"/>
    <n v="0"/>
    <n v="8.1081081081081058E-2"/>
    <n v="0"/>
    <n v="0"/>
    <n v="0"/>
    <n v="0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1"/>
    <n v="0"/>
    <n v="0"/>
    <n v="0"/>
    <n v="0"/>
    <n v="1"/>
    <n v="0"/>
    <n v="1"/>
    <n v="0"/>
    <n v="0"/>
    <n v="1"/>
    <x v="22"/>
    <s v="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REVESTIMIENTO INTERIOR ZONA SECA, REVESTIMIENTO INTERIOR ZONAS HUMEDAS, LIMPIEZA FINAL, REVESTIMIENTO INTERIOR BANO, MUEBLE LAVAPLATOS"/>
    <s v="SANITARIOS, ELÉCTRICO, TERMINACIONES"/>
    <n v="22"/>
  </r>
  <r>
    <x v="2"/>
    <x v="86"/>
    <n v="2302600087"/>
    <x v="1"/>
    <n v="0.71"/>
    <d v="2026-05-26T00:00:00"/>
    <d v="2026-05-29T00:00:00"/>
    <d v="2026-06-25T00:00:00"/>
    <d v="2026-07-01T00:00:00"/>
    <x v="1"/>
    <m/>
    <n v="0.43"/>
    <n v="1"/>
    <n v="0.27906976744186046"/>
    <n v="0.18604651162790697"/>
    <n v="0.2558139534883721"/>
    <n v="0.18604651162790697"/>
    <n v="9.3023255813953487E-2"/>
    <n v="0.05"/>
    <x v="2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19999999999999993"/>
    <n v="0.54054054054054035"/>
    <n v="5.4054054054054036E-2"/>
    <n v="5.4054054054054036E-2"/>
    <n v="0"/>
    <n v="8.1081081081081058E-2"/>
    <n v="8.1081081081081058E-2"/>
    <n v="0"/>
    <n v="5.4054054054054036E-2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0"/>
    <n v="1"/>
    <n v="0"/>
    <n v="0"/>
    <n v="0"/>
    <n v="0"/>
    <n v="0"/>
    <n v="0"/>
    <n v="1"/>
    <n v="1"/>
    <n v="1"/>
    <n v="0"/>
    <n v="1"/>
    <n v="0"/>
    <n v="0"/>
    <n v="1"/>
    <x v="23"/>
    <s v="SANITARIOS: VENTILACIONES, WC, LAVAMANOS / LAVAPLATOS / LAVADERO | ELÉCTRICO: CABLEADO, ARTEFACTOS, TABLERO, CAJA PAU | TERMINACIONES: VENTANAS, BARANDA BALCON, PINTURA EXTERIOR, MOLDURAS, PILASTREO, CELOSIAS, VENTANAS (TERM), PUERTAS ACCESO - LOGIA - BANO, CERRADURAS, LIMPIEZA FINAL, REVESTIMIENTO INTERIOR BANO, MUEBLE LAVAPLATOS"/>
    <s v="SANITARIOS, ELÉCTRICO, TERMINACIONES"/>
    <n v="19"/>
  </r>
  <r>
    <x v="2"/>
    <x v="87"/>
    <n v="2282600088"/>
    <x v="0"/>
    <n v="0.91999999999999982"/>
    <d v="2026-05-26T00:00:00"/>
    <d v="2026-05-29T00:00:00"/>
    <d v="2026-06-17T00:00:00"/>
    <d v="2026-06-21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24"/>
    <s v="ELÉCTRICO: CABLEADO, ARTEFACTOS | TERMINACIONES: MOLDURAS, PILASTREO, CELOSIAS, LIMPIEZA FINAL"/>
    <s v="ELÉCTRICO, TERMINACIONES"/>
    <n v="6"/>
  </r>
  <r>
    <x v="2"/>
    <x v="88"/>
    <n v="2282600089"/>
    <x v="0"/>
    <n v="0.83499999999999985"/>
    <d v="2026-05-27T00:00:00"/>
    <d v="2026-06-05T00:00:00"/>
    <d v="2026-06-23T00:00:00"/>
    <d v="2026-06-22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0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1"/>
    <n v="1"/>
    <n v="0"/>
    <n v="1"/>
    <n v="1"/>
    <n v="1"/>
    <n v="0"/>
    <n v="0"/>
    <n v="1"/>
    <n v="1"/>
    <n v="1"/>
    <x v="25"/>
    <s v="ELÉCTRICO: CABLEADO, ARTEFACTOS | TERMINACIONES: SMART PANEL, PINTURA EXTERIOR, MOLDURAS, PILASTREO, CELOSIAS, CERRADURAS, LIMPIEZA FINAL, PUERTAS DORMITORIO"/>
    <s v="ELÉCTRICO, TERMINACIONES"/>
    <n v="10"/>
  </r>
  <r>
    <x v="2"/>
    <x v="89"/>
    <n v="2302600090"/>
    <x v="1"/>
    <n v="0.53999999999999992"/>
    <d v="2026-05-27T00:00:00"/>
    <d v="2026-06-03T00:00:00"/>
    <d v="2026-06-25T00:00:00"/>
    <d v="2026-07-02T00:00:00"/>
    <x v="1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6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8"/>
  </r>
  <r>
    <x v="2"/>
    <x v="90"/>
    <n v="2302600091"/>
    <x v="1"/>
    <n v="0.55999999999999994"/>
    <d v="2026-05-28T00:00:00"/>
    <d v="2026-06-08T00:00:00"/>
    <d v="2026-06-18T00:00:00"/>
    <d v="2026-07-03T00:00:00"/>
    <x v="7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7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7"/>
  </r>
  <r>
    <x v="2"/>
    <x v="91"/>
    <n v="2282600092"/>
    <x v="0"/>
    <n v="0.77499999999999991"/>
    <d v="2026-05-28T00:00:00"/>
    <d v="2026-06-11T00:00:00"/>
    <d v="2026-06-22T00:00:00"/>
    <d v="2026-06-23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18499999999999994"/>
    <n v="0.49999999999999983"/>
    <n v="5.4054054054054036E-2"/>
    <n v="5.4054054054054036E-2"/>
    <n v="2.7027027027027018E-2"/>
    <n v="8.1081081081081058E-2"/>
    <n v="0"/>
    <n v="0"/>
    <n v="0"/>
    <n v="0"/>
    <n v="0"/>
    <n v="0"/>
    <n v="0"/>
    <n v="5.4054054054054036E-2"/>
    <n v="0"/>
    <n v="5.4054054054054036E-2"/>
    <n v="5.4054054054054036E-2"/>
    <n v="0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0"/>
    <n v="0"/>
    <n v="0"/>
    <n v="0"/>
    <n v="0"/>
    <n v="1"/>
    <n v="0"/>
    <n v="1"/>
    <n v="1"/>
    <n v="0"/>
    <n v="0"/>
    <n v="0"/>
    <n v="1"/>
    <n v="1"/>
    <n v="1"/>
    <x v="16"/>
    <s v="ELÉCTRICO: CABLEADO, ARTEFACTOS | TERMINACIONES: VENTANAS, SMART PANEL, PINTURA EXTERIOR, ZOCALOS LOGIA, MOLDURAS, PILASTREO, CELOSIAS, VENTANAS (TERM), CERRADURAS, MEMBRANA CIELO, LIMPIEZA FINAL, PUERTAS DORMITORIO"/>
    <s v="ELÉCTRICO, TERMINACIONES"/>
    <n v="14"/>
  </r>
  <r>
    <x v="2"/>
    <x v="92"/>
    <n v="2282600093"/>
    <x v="0"/>
    <n v="0.7649999999999999"/>
    <d v="2026-05-29T00:00:00"/>
    <d v="2026-06-11T00:00:00"/>
    <d v="2026-06-22T00:00:00"/>
    <d v="2026-06-24T00:00:00"/>
    <x v="8"/>
    <m/>
    <n v="0.38999999999999996"/>
    <n v="0.90697674418604646"/>
    <n v="0.27906976744186046"/>
    <n v="0.18604651162790697"/>
    <n v="0.2558139534883721"/>
    <n v="0.18604651162790697"/>
    <n v="0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0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7"/>
    <s v="OBRA GRUESA: BALCÓN | ELÉCTRICO: CABLEADO, ARTEFACTOS | TERMINACIONES: VENTANAS, SMART PANEL, PINTURA EXTERIOR, MOLDURAS, PILASTREO, CELOSIAS, VENTANAS (TERM), CERRADURAS, LIMPIEZA FINAL, PUERTAS DORMITORIO"/>
    <s v="OBRA GRUESA, ELÉCTRICO, TERMINACIONES"/>
    <n v="13"/>
  </r>
  <r>
    <x v="2"/>
    <x v="93"/>
    <n v="2302600094"/>
    <x v="1"/>
    <n v="0.57999999999999996"/>
    <d v="2026-05-29T00:00:00"/>
    <d v="2026-06-08T00:00:00"/>
    <d v="2026-06-22T00:00:00"/>
    <d v="2026-07-04T00:00:00"/>
    <x v="8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28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6"/>
  </r>
  <r>
    <x v="2"/>
    <x v="94"/>
    <n v="2302600095"/>
    <x v="1"/>
    <n v="0.57999999999999996"/>
    <d v="2026-06-01T00:00:00"/>
    <d v="2026-06-04T00:00:00"/>
    <d v="2026-06-25T00:00:00"/>
    <d v="2026-07-07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5.4054054054054036E-2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1"/>
    <n v="1"/>
    <n v="0"/>
    <n v="0"/>
    <n v="0"/>
    <n v="0"/>
    <n v="0"/>
    <x v="29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LIMPIEZA FINAL, PUERTAS DORMITORIO, REVESTIMIENTO INTERIOR BANO, MUEBLE LAVAPLATOS, IMPERMEABILIZACION BANO - COCINA LOGIA"/>
    <s v="SANITARIOS, ELÉCTRICO, TERMINACIONES"/>
    <n v="26"/>
  </r>
  <r>
    <x v="2"/>
    <x v="95"/>
    <n v="2282600096"/>
    <x v="0"/>
    <n v="0.86499999999999988"/>
    <d v="2026-06-01T00:00:00"/>
    <d v="2026-06-04T00:00:00"/>
    <d v="2026-06-23T00:00:00"/>
    <d v="2026-06-2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21"/>
    <s v="ELÉCTRICO: CABLEADO, ARTEFACTOS | TERMINACIONES: PINTURA EXTERIOR, MOLDURAS, PILASTREO, CELOSIAS, CERRADURAS, LIMPIEZA FINAL, PUERTAS DORMITORIO"/>
    <s v="ELÉCTRICO, TERMINACIONES"/>
    <n v="9"/>
  </r>
  <r>
    <x v="3"/>
    <x v="96"/>
    <n v="2282600097"/>
    <x v="0"/>
    <n v="0.80499999999999994"/>
    <d v="2026-06-02T00:00:00"/>
    <d v="2026-06-11T00:00:00"/>
    <d v="2026-06-25T00:00:00"/>
    <d v="2026-06-26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0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97"/>
    <n v="2302600098"/>
    <x v="1"/>
    <n v="0.5"/>
    <d v="2026-06-02T00:00:00"/>
    <d v="2026-06-11T00:00:00"/>
    <d v="2026-06-22T00:00:00"/>
    <d v="2026-07-06T00:00:00"/>
    <x v="8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SANITARIOS: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0"/>
  </r>
  <r>
    <x v="3"/>
    <x v="98"/>
    <n v="2302600099"/>
    <x v="1"/>
    <n v="0.38999999999999996"/>
    <d v="2026-06-03T00:00:00"/>
    <d v="2026-06-19T00:00:00"/>
    <d v="2026-06-22T00:00:00"/>
    <d v="2026-07-07T00:00:00"/>
    <x v="8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9"/>
    <n v="2282600100"/>
    <x v="0"/>
    <n v="0.80499999999999994"/>
    <d v="2026-06-03T00:00:00"/>
    <d v="2026-06-15T00:00:00"/>
    <d v="2026-06-25T00:00:00"/>
    <d v="2026-06-27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21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00"/>
    <n v="2282600101"/>
    <x v="0"/>
    <n v="0.38999999999999996"/>
    <d v="2026-06-04T00:00:00"/>
    <d v="2026-06-17T00:00:00"/>
    <d v="2026-06-19T00:00:00"/>
    <d v="2026-06-28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1"/>
    <n v="2302600102"/>
    <x v="1"/>
    <n v="0.55999999999999994"/>
    <d v="2026-06-04T00:00:00"/>
    <d v="2026-06-17T00:00:00"/>
    <d v="2026-06-25T00:00:00"/>
    <d v="2026-07-08T00:00:00"/>
    <x v="1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7.9999999999999974E-2"/>
    <n v="0.21621621621621614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0"/>
    <x v="32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, IMPERMEABILIZACION BANO - COCINA LOGIA"/>
    <s v="SANITARIOS, ELÉCTRICO, TERMINACIONES"/>
    <n v="27"/>
  </r>
  <r>
    <x v="3"/>
    <x v="102"/>
    <n v="2302600103"/>
    <x v="1"/>
    <n v="0.59"/>
    <d v="2026-06-05T00:00:00"/>
    <d v="2026-06-11T00:00:00"/>
    <d v="2026-06-25T00:00:00"/>
    <d v="2026-07-09T00:00:00"/>
    <x v="1"/>
    <m/>
    <n v="0.43"/>
    <n v="1"/>
    <n v="0.27906976744186046"/>
    <n v="0.18604651162790697"/>
    <n v="0.2558139534883721"/>
    <n v="0.18604651162790697"/>
    <n v="9.3023255813953487E-2"/>
    <n v="3.9999999999999994E-2"/>
    <x v="3"/>
    <n v="0.22222222222222221"/>
    <n v="0.22222222222222221"/>
    <n v="0"/>
    <n v="0"/>
    <n v="0"/>
    <n v="0"/>
    <n v="0.03"/>
    <x v="3"/>
    <n v="0.27272727272727271"/>
    <n v="0"/>
    <n v="0"/>
    <n v="0"/>
    <n v="0"/>
    <n v="8.9999999999999969E-2"/>
    <n v="0.24324324324324317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0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0"/>
    <n v="1"/>
    <n v="0"/>
    <n v="0"/>
    <n v="0"/>
    <n v="0"/>
    <n v="1"/>
    <x v="3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S HUMEDAS, LIMPIEZA FINAL, PUERTAS DORMITORIO, REVESTIMIENTO INTERIOR BANO, MUEBLE LAVAPLATOS"/>
    <s v="SANITARIOS, ELÉCTRICO, TERMINACIONES"/>
    <n v="25"/>
  </r>
  <r>
    <x v="3"/>
    <x v="103"/>
    <n v="2282600104"/>
    <x v="0"/>
    <n v="0.80499999999999994"/>
    <d v="2026-06-05T00:00:00"/>
    <d v="2026-06-11T00:00:00"/>
    <d v="2026-06-24T00:00:00"/>
    <d v="2026-06-29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4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3"/>
    <x v="104"/>
    <n v="2282600105"/>
    <x v="0"/>
    <n v="0.64999999999999991"/>
    <d v="2026-06-08T00:00:00"/>
    <d v="2026-06-16T00:00:00"/>
    <d v="2026-06-25T00:00:00"/>
    <d v="2026-07-02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6"/>
    <s v="ELÉCTRICO: CABLEADO, ARTEFACTOS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ELÉCTRICO, TERMINACIONES"/>
    <n v="21"/>
  </r>
  <r>
    <x v="3"/>
    <x v="105"/>
    <n v="2302600106"/>
    <x v="1"/>
    <n v="0.43999999999999995"/>
    <d v="2026-06-08T00:00:00"/>
    <d v="2026-06-17T00:00:00"/>
    <d v="2026-06-25T00:00:00"/>
    <d v="2026-07-12T00:00:00"/>
    <x v="1"/>
    <m/>
    <n v="0.38999999999999996"/>
    <n v="0.90697674418604646"/>
    <n v="0.27906976744186046"/>
    <n v="0.18604651162790697"/>
    <n v="0.2558139534883721"/>
    <n v="0.18604651162790697"/>
    <n v="0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2"/>
  </r>
  <r>
    <x v="3"/>
    <x v="106"/>
    <n v="2302600107"/>
    <x v="1"/>
    <n v="0.38999999999999996"/>
    <d v="2026-06-09T00:00:00"/>
    <d v="2026-06-23T00:00:00"/>
    <d v="2026-06-24T00:00:00"/>
    <d v="2026-07-13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7"/>
    <n v="2282600108"/>
    <x v="0"/>
    <n v="0.38999999999999996"/>
    <d v="2026-06-09T00:00:00"/>
    <d v="2026-06-23T00:00:00"/>
    <d v="2026-06-23T00:00:00"/>
    <d v="2026-07-03T00:00:00"/>
    <x v="4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8"/>
    <n v="2282600109"/>
    <x v="0"/>
    <n v="0.38999999999999996"/>
    <d v="2026-06-10T00:00:00"/>
    <d v="2026-06-23T00:00:00"/>
    <d v="2026-06-24T00:00:00"/>
    <d v="2026-07-04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9"/>
    <n v="2302600110"/>
    <x v="1"/>
    <n v="0.38999999999999996"/>
    <d v="2026-06-10T00:00:00"/>
    <d v="2026-06-24T00:00:00"/>
    <d v="2026-06-24T00:00:00"/>
    <d v="2026-07-14T00:00:00"/>
    <x v="9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10"/>
    <n v="2302600111"/>
    <x v="1"/>
    <n v="0.53999999999999992"/>
    <d v="2026-06-11T00:00:00"/>
    <d v="2026-06-17T00:00:00"/>
    <d v="2026-06-25T00:00:00"/>
    <d v="2026-07-15T00:00:00"/>
    <x v="1"/>
    <m/>
    <n v="0.43"/>
    <n v="1"/>
    <n v="0.27906976744186046"/>
    <n v="0.18604651162790697"/>
    <n v="0.2558139534883721"/>
    <n v="0.18604651162790697"/>
    <n v="9.3023255813953487E-2"/>
    <n v="1.9999999999999997E-2"/>
    <x v="4"/>
    <n v="0"/>
    <n v="0.22222222222222221"/>
    <n v="0"/>
    <n v="0"/>
    <n v="0"/>
    <n v="0"/>
    <n v="0.03"/>
    <x v="3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38"/>
    <s v="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8"/>
  </r>
  <r>
    <x v="3"/>
    <x v="111"/>
    <n v="2282600112"/>
    <x v="0"/>
    <n v="0.38999999999999996"/>
    <d v="2026-06-11T00:00:00"/>
    <d v="2026-06-19T00:00:00"/>
    <d v="2026-06-22T00:00:00"/>
    <d v="2026-07-05T00:00:00"/>
    <x v="8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12"/>
    <n v="2282600113"/>
    <x v="0"/>
    <n v="0.38999999999999996"/>
    <d v="2026-06-12T00:00:00"/>
    <d v="2026-06-25T00:00:00"/>
    <d v="2026-06-25T00:00:00"/>
    <d v="2026-07-06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13"/>
    <n v="2302600114"/>
    <x v="1"/>
    <n v="0.12"/>
    <d v="2026-06-12T00:00:00"/>
    <d v="2026-06-25T00:00:00"/>
    <d v="2026-06-25T00:00:00"/>
    <d v="2026-07-16T00:00:00"/>
    <x v="1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14"/>
    <n v="2302600115"/>
    <x v="1"/>
    <n v="0"/>
    <d v="2026-06-15T00:00:00"/>
    <m/>
    <d v="1899-12-30T00:00:00"/>
    <d v="2026-07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.12"/>
    <d v="2026-06-17T00:00:00"/>
    <d v="2026-06-25T00:00:00"/>
    <d v="2026-06-25T00:00:00"/>
    <d v="2026-07-11T00:00:00"/>
    <x v="1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20"/>
    <n v="2282600121"/>
    <x v="0"/>
    <n v="0"/>
    <d v="2026-06-18T00:00:00"/>
    <m/>
    <d v="1899-12-30T00:00:00"/>
    <d v="2026-07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2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1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44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m="1" x="64"/>
        <item m="1" x="65"/>
        <item m="1" x="60"/>
        <item m="1" x="63"/>
        <item m="1" x="62"/>
        <item m="1" x="59"/>
        <item m="1" x="58"/>
        <item m="1" x="57"/>
        <item m="1" x="56"/>
        <item m="1" x="55"/>
        <item m="1" x="51"/>
        <item m="1" x="50"/>
        <item m="1" x="49"/>
        <item m="1" x="48"/>
        <item m="1" x="47"/>
        <item m="1" x="52"/>
        <item m="1" x="54"/>
        <item m="1" x="45"/>
        <item m="1" x="44"/>
        <item m="1" x="42"/>
        <item m="1" x="43"/>
        <item x="40"/>
        <item x="38"/>
        <item x="37"/>
        <item x="36"/>
        <item x="35"/>
        <item x="41"/>
        <item m="1" x="46"/>
        <item x="33"/>
        <item x="32"/>
        <item x="29"/>
        <item x="0"/>
        <item x="39"/>
        <item x="28"/>
        <item x="27"/>
        <item x="26"/>
        <item x="23"/>
        <item x="22"/>
        <item x="34"/>
        <item x="31"/>
        <item x="21"/>
        <item x="30"/>
        <item x="20"/>
        <item x="17"/>
        <item x="16"/>
        <item x="25"/>
        <item x="24"/>
        <item x="15"/>
        <item x="14"/>
        <item x="11"/>
        <item x="10"/>
        <item x="7"/>
        <item x="19"/>
        <item x="18"/>
        <item x="5"/>
        <item x="4"/>
        <item x="3"/>
        <item x="2"/>
        <item x="13"/>
        <item x="12"/>
        <item x="9"/>
        <item x="8"/>
        <item m="1" x="53"/>
        <item x="6"/>
        <item m="1" x="61"/>
        <item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34">
    <i>
      <x v="1"/>
    </i>
    <i r="1">
      <x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55"/>
    </i>
    <i r="2">
      <x v="59"/>
    </i>
    <i r="2">
      <x v="60"/>
    </i>
    <i r="2">
      <x v="63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15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50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1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78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m="1" x="64"/>
        <item m="1" x="65"/>
        <item m="1" x="60"/>
        <item m="1" x="63"/>
        <item m="1" x="62"/>
        <item m="1" x="59"/>
        <item m="1" x="58"/>
        <item m="1" x="57"/>
        <item m="1" x="56"/>
        <item m="1" x="55"/>
        <item m="1" x="51"/>
        <item m="1" x="50"/>
        <item m="1" x="49"/>
        <item m="1" x="48"/>
        <item m="1" x="47"/>
        <item m="1" x="52"/>
        <item m="1" x="54"/>
        <item m="1" x="45"/>
        <item m="1" x="44"/>
        <item m="1" x="42"/>
        <item m="1" x="43"/>
        <item x="40"/>
        <item x="38"/>
        <item x="37"/>
        <item x="36"/>
        <item x="35"/>
        <item x="41"/>
        <item m="1" x="46"/>
        <item x="33"/>
        <item x="32"/>
        <item x="29"/>
        <item x="0"/>
        <item x="39"/>
        <item x="28"/>
        <item x="27"/>
        <item x="26"/>
        <item x="23"/>
        <item x="22"/>
        <item x="34"/>
        <item x="31"/>
        <item x="21"/>
        <item x="30"/>
        <item x="20"/>
        <item x="17"/>
        <item x="16"/>
        <item x="25"/>
        <item x="24"/>
        <item x="15"/>
        <item x="14"/>
        <item x="11"/>
        <item x="10"/>
        <item x="7"/>
        <item x="19"/>
        <item x="18"/>
        <item x="5"/>
        <item x="4"/>
        <item x="3"/>
        <item x="2"/>
        <item x="13"/>
        <item x="12"/>
        <item x="9"/>
        <item x="8"/>
        <item m="1" x="53"/>
        <item x="6"/>
        <item m="1" x="61"/>
        <item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9">
    <i>
      <x v="1"/>
    </i>
    <i r="1">
      <x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55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98"/>
    </i>
    <i r="2">
      <x v="101"/>
    </i>
    <i r="2">
      <x v="102"/>
    </i>
    <i r="2">
      <x v="105"/>
    </i>
    <i r="2">
      <x v="106"/>
    </i>
    <i r="2">
      <x v="109"/>
    </i>
    <i r="2">
      <x v="110"/>
    </i>
    <i r="2">
      <x v="113"/>
    </i>
    <i r="1">
      <x v="1"/>
    </i>
    <i r="2">
      <x v="96"/>
    </i>
    <i r="2">
      <x v="99"/>
    </i>
    <i r="2">
      <x v="100"/>
    </i>
    <i r="2">
      <x v="103"/>
    </i>
    <i r="2">
      <x v="104"/>
    </i>
    <i r="2">
      <x v="107"/>
    </i>
    <i r="2">
      <x v="108"/>
    </i>
    <i r="2">
      <x v="111"/>
    </i>
    <i r="2">
      <x v="112"/>
    </i>
    <i r="2">
      <x v="119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149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148">
      <pivotArea fieldPosition="0">
        <references count="1">
          <reference field="0" count="1">
            <x v="1"/>
          </reference>
        </references>
      </pivotArea>
    </format>
    <format dxfId="147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146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145">
      <pivotArea fieldPosition="0">
        <references count="1">
          <reference field="0" count="1">
            <x v="1"/>
          </reference>
        </references>
      </pivotArea>
    </format>
    <format dxfId="144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143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4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1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K18" firstHeaderRow="0" firstDataRow="1" firstDataCol="2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4"/>
        <item x="3"/>
        <item x="2"/>
        <item h="1" m="1" x="7"/>
        <item h="1" m="1" x="6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6">
        <item h="1" m="1" x="64"/>
        <item h="1" m="1" x="65"/>
        <item h="1" m="1" x="60"/>
        <item h="1" m="1" x="63"/>
        <item h="1" m="1" x="62"/>
        <item h="1" m="1" x="59"/>
        <item h="1" m="1" x="58"/>
        <item h="1" m="1" x="57"/>
        <item h="1" m="1" x="56"/>
        <item h="1" m="1" x="55"/>
        <item h="1" m="1" x="51"/>
        <item h="1" m="1" x="50"/>
        <item h="1" m="1" x="49"/>
        <item h="1" m="1" x="48"/>
        <item h="1" m="1" x="47"/>
        <item h="1" m="1" x="52"/>
        <item h="1" m="1" x="54"/>
        <item h="1" m="1" x="45"/>
        <item h="1" m="1" x="44"/>
        <item h="1" m="1" x="42"/>
        <item h="1" m="1" x="43"/>
        <item h="1" x="40"/>
        <item h="1" x="38"/>
        <item h="1" x="37"/>
        <item h="1" x="36"/>
        <item h="1" x="35"/>
        <item x="41"/>
        <item h="1" m="1" x="46"/>
        <item x="33"/>
        <item x="32"/>
        <item h="1" x="29"/>
        <item x="0"/>
        <item x="39"/>
        <item h="1" x="28"/>
        <item h="1" x="27"/>
        <item h="1" x="26"/>
        <item h="1" x="23"/>
        <item h="1" x="22"/>
        <item x="34"/>
        <item h="1" x="31"/>
        <item h="1" x="21"/>
        <item x="30"/>
        <item h="1" x="20"/>
        <item h="1" x="17"/>
        <item x="16"/>
        <item h="1" x="25"/>
        <item h="1" x="24"/>
        <item h="1" x="15"/>
        <item x="14"/>
        <item h="1" x="11"/>
        <item h="1" x="10"/>
        <item h="1" x="7"/>
        <item h="1" x="19"/>
        <item h="1" x="18"/>
        <item h="1" x="5"/>
        <item x="4"/>
        <item h="1" x="3"/>
        <item h="1" x="2"/>
        <item h="1" x="13"/>
        <item h="1" x="12"/>
        <item h="1" x="9"/>
        <item h="1" x="8"/>
        <item h="1" m="1" x="53"/>
        <item h="1" x="6"/>
        <item h="1" m="1" x="61"/>
        <item h="1"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9">
    <i>
      <x v="1"/>
    </i>
    <i r="1">
      <x v="61"/>
    </i>
    <i>
      <x v="2"/>
    </i>
    <i r="1">
      <x v="73"/>
    </i>
    <i r="1">
      <x v="77"/>
    </i>
    <i>
      <x v="3"/>
    </i>
    <i r="1">
      <x v="97"/>
    </i>
    <i r="1">
      <x v="101"/>
    </i>
    <i r="1">
      <x v="102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57" item="2" hier="-1"/>
  </pageFields>
  <dataFields count="8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VENTILACIONES " fld="66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139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38">
      <pivotArea fieldPosition="0">
        <references count="1">
          <reference field="0" count="1">
            <x v="1"/>
          </reference>
        </references>
      </pivotArea>
    </format>
    <format dxfId="137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36">
      <pivotArea fieldPosition="0">
        <references count="1">
          <reference field="0" count="1">
            <x v="2"/>
          </reference>
        </references>
      </pivotArea>
    </format>
    <format dxfId="135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34">
      <pivotArea fieldPosition="0">
        <references count="1">
          <reference field="0" count="1">
            <x v="1"/>
          </reference>
        </references>
      </pivotArea>
    </format>
    <format dxfId="133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32">
      <pivotArea fieldPosition="0">
        <references count="1">
          <reference field="0" count="1">
            <x v="2"/>
          </reference>
        </references>
      </pivotArea>
    </format>
    <format dxfId="131">
      <pivotArea field="0" type="button" dataOnly="0" labelOnly="1" outline="0" axis="axisRow" fieldPosition="0"/>
    </format>
    <format dxfId="130">
      <pivotArea field="1" type="button" dataOnly="0" labelOnly="1" outline="0" axis="axisRow" fieldPosition="1"/>
    </format>
    <format dxfId="129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25">
      <pivotArea field="0" type="button" dataOnly="0" labelOnly="1" outline="0" axis="axisRow" fieldPosition="0"/>
    </format>
    <format dxfId="124">
      <pivotArea field="1" type="button" dataOnly="0" labelOnly="1" outline="0" axis="axisRow" fieldPosition="1"/>
    </format>
    <format dxfId="123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22">
      <pivotArea outline="0" collapsedLevelsAreSubtotals="1" fieldPosition="0"/>
    </format>
    <format dxfId="121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20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19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18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17">
      <pivotArea outline="0" collapsedLevelsAreSubtotals="1" fieldPosition="0"/>
    </format>
    <format dxfId="116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115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114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113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112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111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1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15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6">
        <item x="5"/>
        <item x="3"/>
        <item x="2"/>
        <item x="4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6">
        <item h="1" m="1" x="64"/>
        <item h="1" m="1" x="65"/>
        <item h="1" m="1" x="60"/>
        <item h="1" m="1" x="63"/>
        <item h="1" m="1" x="62"/>
        <item h="1" m="1" x="59"/>
        <item h="1" m="1" x="58"/>
        <item h="1" m="1" x="57"/>
        <item h="1" m="1" x="56"/>
        <item h="1" m="1" x="55"/>
        <item h="1" m="1" x="51"/>
        <item h="1" m="1" x="50"/>
        <item h="1" m="1" x="49"/>
        <item h="1" m="1" x="48"/>
        <item h="1" m="1" x="47"/>
        <item h="1" m="1" x="52"/>
        <item h="1" m="1" x="54"/>
        <item h="1" m="1" x="45"/>
        <item h="1" m="1" x="44"/>
        <item h="1" m="1" x="42"/>
        <item h="1" m="1" x="43"/>
        <item h="1" x="40"/>
        <item h="1" x="38"/>
        <item h="1" x="37"/>
        <item h="1" x="36"/>
        <item h="1" x="35"/>
        <item h="1" x="41"/>
        <item h="1" m="1" x="46"/>
        <item h="1" x="33"/>
        <item h="1" x="32"/>
        <item h="1" x="29"/>
        <item x="0"/>
        <item x="39"/>
        <item h="1" x="28"/>
        <item h="1" x="27"/>
        <item h="1" x="26"/>
        <item h="1" x="23"/>
        <item h="1" x="22"/>
        <item x="34"/>
        <item h="1" x="31"/>
        <item h="1" x="21"/>
        <item x="30"/>
        <item h="1" x="20"/>
        <item h="1" x="17"/>
        <item x="16"/>
        <item h="1" x="25"/>
        <item h="1" x="24"/>
        <item h="1" x="15"/>
        <item x="14"/>
        <item h="1" x="11"/>
        <item h="1" x="10"/>
        <item h="1" x="7"/>
        <item h="1" x="19"/>
        <item h="1" x="18"/>
        <item h="1" x="5"/>
        <item x="4"/>
        <item h="1" x="3"/>
        <item h="1" x="2"/>
        <item h="1" x="13"/>
        <item h="1" x="12"/>
        <item h="1" x="9"/>
        <item h="1" x="8"/>
        <item h="1" m="1" x="53"/>
        <item h="1" x="6"/>
        <item h="1" m="1" x="61"/>
        <item h="1"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5">
    <i>
      <x v="1"/>
    </i>
    <i r="1">
      <x/>
    </i>
    <i r="2">
      <x v="61"/>
    </i>
    <i r="1">
      <x v="1"/>
    </i>
    <i r="2">
      <x v="60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110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1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1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29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1"/>
        <item x="9"/>
        <item x="4"/>
        <item x="8"/>
        <item m="1" x="13"/>
        <item m="1" x="15"/>
        <item x="6"/>
        <item x="7"/>
        <item x="5"/>
        <item x="3"/>
        <item x="10"/>
        <item m="1" x="14"/>
        <item m="1" x="16"/>
        <item x="11"/>
        <item m="1" x="19"/>
        <item m="1" x="17"/>
        <item m="1" x="29"/>
        <item m="1" x="27"/>
        <item m="1" x="30"/>
        <item m="1" x="25"/>
        <item m="1" x="23"/>
        <item m="1" x="21"/>
        <item x="2"/>
        <item m="1" x="31"/>
        <item m="1" x="28"/>
        <item m="1" x="26"/>
        <item m="1" x="24"/>
        <item m="1" x="22"/>
        <item m="1" x="20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6">
        <item h="1" m="1" x="64"/>
        <item h="1" m="1" x="65"/>
        <item h="1" m="1" x="60"/>
        <item h="1" m="1" x="63"/>
        <item h="1" m="1" x="62"/>
        <item h="1" m="1" x="59"/>
        <item h="1" m="1" x="58"/>
        <item h="1" m="1" x="57"/>
        <item h="1" m="1" x="56"/>
        <item h="1" m="1" x="55"/>
        <item h="1" m="1" x="51"/>
        <item h="1" m="1" x="50"/>
        <item h="1" m="1" x="49"/>
        <item h="1" m="1" x="48"/>
        <item h="1" m="1" x="47"/>
        <item h="1" m="1" x="52"/>
        <item h="1" m="1" x="54"/>
        <item h="1" m="1" x="45"/>
        <item h="1" m="1" x="44"/>
        <item h="1" m="1" x="42"/>
        <item h="1" m="1" x="43"/>
        <item h="1" x="40"/>
        <item h="1" x="38"/>
        <item h="1" x="37"/>
        <item h="1" x="36"/>
        <item h="1" x="35"/>
        <item h="1" x="41"/>
        <item h="1" m="1" x="46"/>
        <item h="1" x="33"/>
        <item h="1" x="32"/>
        <item h="1" x="29"/>
        <item x="0"/>
        <item x="39"/>
        <item h="1" x="28"/>
        <item h="1" x="27"/>
        <item h="1" x="26"/>
        <item h="1" x="23"/>
        <item h="1" x="22"/>
        <item x="34"/>
        <item h="1" x="31"/>
        <item h="1" x="21"/>
        <item x="30"/>
        <item h="1" x="20"/>
        <item h="1" x="17"/>
        <item x="16"/>
        <item h="1" x="25"/>
        <item h="1" x="24"/>
        <item h="1" x="15"/>
        <item x="14"/>
        <item h="1" x="11"/>
        <item h="1" x="10"/>
        <item h="1" x="7"/>
        <item h="1" x="19"/>
        <item h="1" x="18"/>
        <item h="1" x="5"/>
        <item x="4"/>
        <item h="1" x="3"/>
        <item h="1" x="2"/>
        <item h="1" x="13"/>
        <item h="1" x="12"/>
        <item h="1" x="9"/>
        <item h="1" x="8"/>
        <item h="1" m="1" x="53"/>
        <item h="1" x="6"/>
        <item h="1" m="1" x="61"/>
        <item h="1" x="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9">
    <i>
      <x v="1"/>
    </i>
    <i r="1">
      <x/>
    </i>
    <i r="2">
      <x v="61"/>
    </i>
    <i r="1">
      <x v="1"/>
    </i>
    <i r="2">
      <x v="60"/>
    </i>
    <i>
      <x v="2"/>
    </i>
    <i r="1">
      <x/>
    </i>
    <i r="2">
      <x v="73"/>
    </i>
    <i r="2">
      <x v="77"/>
    </i>
    <i r="1">
      <x v="1"/>
    </i>
    <i r="2">
      <x v="91"/>
    </i>
    <i>
      <x v="3"/>
    </i>
    <i r="1">
      <x/>
    </i>
    <i r="2">
      <x v="97"/>
    </i>
    <i r="1">
      <x v="1"/>
    </i>
    <i r="2">
      <x v="96"/>
    </i>
    <i r="2">
      <x v="103"/>
    </i>
    <i r="2">
      <x v="111"/>
    </i>
    <i r="2">
      <x v="112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106">
      <pivotArea field="3" type="button" dataOnly="0" labelOnly="1" outline="0" axis="axisRow" fieldPosition="1"/>
    </format>
    <format dxfId="105">
      <pivotArea field="1" type="button" dataOnly="0" labelOnly="1" outline="0" axis="axisRow" fieldPosition="2"/>
    </format>
    <format dxfId="104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03">
      <pivotArea field="3" type="button" dataOnly="0" labelOnly="1" outline="0" axis="axisRow" fieldPosition="1"/>
    </format>
    <format dxfId="102">
      <pivotArea field="1" type="button" dataOnly="0" labelOnly="1" outline="0" axis="axisRow" fieldPosition="2"/>
    </format>
    <format dxfId="101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100">
      <pivotArea field="3" type="button" dataOnly="0" labelOnly="1" outline="0" axis="axisRow" fieldPosition="1"/>
    </format>
    <format dxfId="99">
      <pivotArea field="1" type="button" dataOnly="0" labelOnly="1" outline="0" axis="axisRow" fieldPosition="2"/>
    </format>
    <format dxfId="98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97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96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95">
      <pivotArea outline="0" fieldPosition="0">
        <references count="1">
          <reference field="4294967294" count="1" selected="0">
            <x v="4"/>
          </reference>
        </references>
      </pivotArea>
    </format>
    <format dxfId="94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1" s="1"/>
        <i x="2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2">
        <i x="1" s="1"/>
        <i x="9" s="1"/>
        <i x="4" s="1"/>
        <i x="8" s="1"/>
        <i x="6" s="1"/>
        <i x="5" s="1"/>
        <i x="3" s="1"/>
        <i x="2" s="1"/>
        <i x="13" s="1" nd="1"/>
        <i x="15" s="1" nd="1"/>
        <i x="7" s="1" nd="1"/>
        <i x="10" s="1" nd="1"/>
        <i x="14" s="1" nd="1"/>
        <i x="16" s="1" nd="1"/>
        <i x="11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1" s="1"/>
        <i x="2" s="1"/>
        <i x="3" s="1"/>
        <i x="0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2">
        <i x="1" s="1"/>
        <i x="9" s="1"/>
        <i x="4" s="1"/>
        <i x="8" s="1"/>
        <i x="6" s="1"/>
        <i x="7" s="1"/>
        <i x="5" s="1"/>
        <i x="3" s="1"/>
        <i x="10" s="1"/>
        <i x="11" s="1"/>
        <i x="2" s="1"/>
        <i x="13" s="1" nd="1"/>
        <i x="15" s="1" nd="1"/>
        <i x="14" s="1" nd="1"/>
        <i x="16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2">
        <i x="1" s="1"/>
        <i x="9" s="1"/>
        <i x="4" s="1"/>
        <i x="8" s="1"/>
        <i x="13" s="1" nd="1"/>
        <i x="15" s="1" nd="1"/>
        <i x="6" s="1" nd="1"/>
        <i x="7" s="1" nd="1"/>
        <i x="5" s="1" nd="1"/>
        <i x="3" s="1" nd="1"/>
        <i x="10" s="1" nd="1"/>
        <i x="14" s="1" nd="1"/>
        <i x="16" s="1" nd="1"/>
        <i x="11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2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3"/>
        <i x="0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2">
        <i x="1" s="1"/>
        <i x="4" s="1"/>
        <i x="9" s="1" nd="1"/>
        <i x="8" s="1" nd="1"/>
        <i x="13" s="1" nd="1"/>
        <i x="15" s="1" nd="1"/>
        <i x="6" s="1" nd="1"/>
        <i x="7" s="1" nd="1"/>
        <i x="5" s="1" nd="1"/>
        <i x="3" s="1" nd="1"/>
        <i x="10" s="1" nd="1"/>
        <i x="14" s="1" nd="1"/>
        <i x="16" s="1" nd="1"/>
        <i x="11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2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1" s="1"/>
        <i x="2" s="1"/>
        <i x="3" s="1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2">
        <i x="1" s="1"/>
        <i x="9" s="1"/>
        <i x="4" s="1"/>
        <i x="8" s="1"/>
        <i x="13" s="1" nd="1"/>
        <i x="15" s="1" nd="1"/>
        <i x="6" s="1" nd="1"/>
        <i x="7" s="1" nd="1"/>
        <i x="5" s="1" nd="1"/>
        <i x="3" s="1" nd="1"/>
        <i x="10" s="1" nd="1"/>
        <i x="14" s="1" nd="1"/>
        <i x="16" s="1" nd="1"/>
        <i x="11" s="1" nd="1"/>
        <i x="19" s="1" nd="1"/>
        <i x="17" s="1" nd="1"/>
        <i x="29" s="1" nd="1"/>
        <i x="27" s="1" nd="1"/>
        <i x="30" s="1" nd="1"/>
        <i x="25" s="1" nd="1"/>
        <i x="23" s="1" nd="1"/>
        <i x="21" s="1" nd="1"/>
        <i x="2" s="1" nd="1"/>
        <i x="31" s="1" nd="1"/>
        <i x="28" s="1" nd="1"/>
        <i x="26" s="1" nd="1"/>
        <i x="24" s="1" nd="1"/>
        <i x="22" s="1" nd="1"/>
        <i x="20" s="1" nd="1"/>
        <i x="18" s="1" nd="1"/>
        <i x="12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6">
        <i x="40" s="1"/>
        <i x="38" s="1"/>
        <i x="37" s="1"/>
        <i x="36" s="1"/>
        <i x="35" s="1"/>
        <i x="41" s="1"/>
        <i x="33" s="1"/>
        <i x="32" s="1"/>
        <i x="29" s="1"/>
        <i x="0" s="1"/>
        <i x="39" s="1"/>
        <i x="28" s="1"/>
        <i x="27" s="1"/>
        <i x="26" s="1"/>
        <i x="34" s="1"/>
        <i x="31" s="1"/>
        <i x="21" s="1"/>
        <i x="30" s="1"/>
        <i x="5" s="1"/>
        <i x="4" s="1"/>
        <i x="3" s="1"/>
        <i x="2" s="1"/>
        <i x="1" s="1"/>
        <i x="64" s="1" nd="1"/>
        <i x="65" s="1" nd="1"/>
        <i x="60" s="1" nd="1"/>
        <i x="63" s="1" nd="1"/>
        <i x="62" s="1" nd="1"/>
        <i x="59" s="1" nd="1"/>
        <i x="58" s="1" nd="1"/>
        <i x="57" s="1" nd="1"/>
        <i x="56" s="1" nd="1"/>
        <i x="55" s="1" nd="1"/>
        <i x="51" s="1" nd="1"/>
        <i x="50" s="1" nd="1"/>
        <i x="49" s="1" nd="1"/>
        <i x="48" s="1" nd="1"/>
        <i x="47" s="1" nd="1"/>
        <i x="52" s="1" nd="1"/>
        <i x="54" s="1" nd="1"/>
        <i x="45" s="1" nd="1"/>
        <i x="44" s="1" nd="1"/>
        <i x="42" s="1" nd="1"/>
        <i x="43" s="1" nd="1"/>
        <i x="46" s="1" nd="1"/>
        <i x="23" s="1" nd="1"/>
        <i x="22" s="1" nd="1"/>
        <i x="20" s="1" nd="1"/>
        <i x="17" s="1" nd="1"/>
        <i x="16" s="1" nd="1"/>
        <i x="25" s="1" nd="1"/>
        <i x="24" s="1" nd="1"/>
        <i x="15" s="1" nd="1"/>
        <i x="14" s="1" nd="1"/>
        <i x="11" s="1" nd="1"/>
        <i x="10" s="1" nd="1"/>
        <i x="7" s="1" nd="1"/>
        <i x="19" s="1" nd="1"/>
        <i x="18" s="1" nd="1"/>
        <i x="13" s="1" nd="1"/>
        <i x="12" s="1" nd="1"/>
        <i x="9" s="1" nd="1"/>
        <i x="8" s="1" nd="1"/>
        <i x="53" s="1" nd="1"/>
        <i x="6" s="1" nd="1"/>
        <i x="61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6">
        <i x="40"/>
        <i x="38"/>
        <i x="37"/>
        <i x="36"/>
        <i x="35"/>
        <i x="41"/>
        <i x="33"/>
        <i x="32"/>
        <i x="29"/>
        <i x="0" s="1"/>
        <i x="39" s="1"/>
        <i x="28"/>
        <i x="27"/>
        <i x="26"/>
        <i x="23"/>
        <i x="22"/>
        <i x="34" s="1"/>
        <i x="31"/>
        <i x="21"/>
        <i x="30" s="1"/>
        <i x="20"/>
        <i x="17"/>
        <i x="16" s="1"/>
        <i x="25"/>
        <i x="24"/>
        <i x="15"/>
        <i x="14" s="1"/>
        <i x="11"/>
        <i x="10"/>
        <i x="7"/>
        <i x="19"/>
        <i x="18"/>
        <i x="5"/>
        <i x="4" s="1"/>
        <i x="3"/>
        <i x="2"/>
        <i x="13"/>
        <i x="12"/>
        <i x="9"/>
        <i x="8"/>
        <i x="6"/>
        <i x="1"/>
        <i x="64" nd="1"/>
        <i x="65" nd="1"/>
        <i x="60" nd="1"/>
        <i x="63" nd="1"/>
        <i x="62" nd="1"/>
        <i x="59" nd="1"/>
        <i x="58" nd="1"/>
        <i x="57" nd="1"/>
        <i x="56" nd="1"/>
        <i x="55" nd="1"/>
        <i x="51" nd="1"/>
        <i x="50" nd="1"/>
        <i x="49" nd="1"/>
        <i x="48" nd="1"/>
        <i x="47" nd="1"/>
        <i x="52" nd="1"/>
        <i x="54" nd="1"/>
        <i x="45" nd="1"/>
        <i x="44" nd="1"/>
        <i x="42" nd="1"/>
        <i x="43" nd="1"/>
        <i x="46" nd="1"/>
        <i x="53" nd="1"/>
        <i x="6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6">
        <i x="5"/>
        <i x="4" s="1"/>
        <i x="3"/>
        <i x="1"/>
        <i x="64" nd="1"/>
        <i x="65" nd="1"/>
        <i x="60" nd="1"/>
        <i x="63" nd="1"/>
        <i x="62" nd="1"/>
        <i x="59" nd="1"/>
        <i x="58" nd="1"/>
        <i x="57" nd="1"/>
        <i x="56" nd="1"/>
        <i x="55" nd="1"/>
        <i x="51" nd="1"/>
        <i x="50" nd="1"/>
        <i x="49" nd="1"/>
        <i x="48" nd="1"/>
        <i x="47" nd="1"/>
        <i x="52" nd="1"/>
        <i x="54" nd="1"/>
        <i x="45" nd="1"/>
        <i x="44" nd="1"/>
        <i x="42" nd="1"/>
        <i x="43" nd="1"/>
        <i x="40" nd="1"/>
        <i x="38" nd="1"/>
        <i x="37" nd="1"/>
        <i x="36" nd="1"/>
        <i x="35" nd="1"/>
        <i x="41" nd="1"/>
        <i x="46" nd="1"/>
        <i x="33" nd="1"/>
        <i x="32" nd="1"/>
        <i x="29" nd="1"/>
        <i x="0" s="1" nd="1"/>
        <i x="39" s="1" nd="1"/>
        <i x="28" nd="1"/>
        <i x="27" nd="1"/>
        <i x="26" nd="1"/>
        <i x="23" nd="1"/>
        <i x="22" nd="1"/>
        <i x="34" s="1" nd="1"/>
        <i x="31" nd="1"/>
        <i x="21" nd="1"/>
        <i x="30" s="1" nd="1"/>
        <i x="20" nd="1"/>
        <i x="17" nd="1"/>
        <i x="16" s="1" nd="1"/>
        <i x="25" nd="1"/>
        <i x="24" nd="1"/>
        <i x="15" nd="1"/>
        <i x="14" s="1" nd="1"/>
        <i x="11" nd="1"/>
        <i x="10" nd="1"/>
        <i x="7" nd="1"/>
        <i x="19" nd="1"/>
        <i x="18" nd="1"/>
        <i x="2" nd="1"/>
        <i x="13" nd="1"/>
        <i x="12" nd="1"/>
        <i x="9" nd="1"/>
        <i x="8" nd="1"/>
        <i x="53" nd="1"/>
        <i x="6" nd="1"/>
        <i x="61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6">
        <i x="2" s="1"/>
        <i x="1" s="1"/>
        <i x="5" s="1" nd="1"/>
        <i x="3" s="1" nd="1"/>
        <i x="4" s="1" nd="1"/>
        <i x="0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6">
        <i x="40" s="1"/>
        <i x="38" s="1"/>
        <i x="37" s="1"/>
        <i x="36" s="1"/>
        <i x="35" s="1"/>
        <i x="41" s="1"/>
        <i x="33" s="1"/>
        <i x="32" s="1"/>
        <i x="29" s="1"/>
        <i x="0" s="1"/>
        <i x="39" s="1"/>
        <i x="28" s="1"/>
        <i x="27" s="1"/>
        <i x="26" s="1"/>
        <i x="23" s="1"/>
        <i x="22" s="1"/>
        <i x="34" s="1"/>
        <i x="31" s="1"/>
        <i x="21" s="1"/>
        <i x="30" s="1"/>
        <i x="20" s="1"/>
        <i x="17" s="1"/>
        <i x="16" s="1"/>
        <i x="25" s="1"/>
        <i x="24" s="1"/>
        <i x="15" s="1"/>
        <i x="14" s="1"/>
        <i x="11" s="1"/>
        <i x="10" s="1"/>
        <i x="7" s="1"/>
        <i x="19" s="1"/>
        <i x="18" s="1"/>
        <i x="5" s="1"/>
        <i x="4" s="1"/>
        <i x="3" s="1"/>
        <i x="2" s="1"/>
        <i x="13" s="1"/>
        <i x="12" s="1"/>
        <i x="9" s="1"/>
        <i x="8" s="1"/>
        <i x="6" s="1"/>
        <i x="1" s="1"/>
        <i x="64" s="1" nd="1"/>
        <i x="65" s="1" nd="1"/>
        <i x="60" s="1" nd="1"/>
        <i x="63" s="1" nd="1"/>
        <i x="62" s="1" nd="1"/>
        <i x="59" s="1" nd="1"/>
        <i x="58" s="1" nd="1"/>
        <i x="57" s="1" nd="1"/>
        <i x="56" s="1" nd="1"/>
        <i x="55" s="1" nd="1"/>
        <i x="51" s="1" nd="1"/>
        <i x="50" s="1" nd="1"/>
        <i x="49" s="1" nd="1"/>
        <i x="48" s="1" nd="1"/>
        <i x="47" s="1" nd="1"/>
        <i x="52" s="1" nd="1"/>
        <i x="54" s="1" nd="1"/>
        <i x="45" s="1" nd="1"/>
        <i x="44" s="1" nd="1"/>
        <i x="42" s="1" nd="1"/>
        <i x="43" s="1" nd="1"/>
        <i x="46" s="1" nd="1"/>
        <i x="53" s="1" nd="1"/>
        <i x="61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6">
        <i x="40"/>
        <i x="38"/>
        <i x="37"/>
        <i x="36"/>
        <i x="35"/>
        <i x="33" s="1"/>
        <i x="32" s="1"/>
        <i x="29"/>
        <i x="0" s="1"/>
        <i x="28"/>
        <i x="27"/>
        <i x="26"/>
        <i x="23"/>
        <i x="22"/>
        <i x="21"/>
        <i x="20"/>
        <i x="17"/>
        <i x="16" s="1"/>
        <i x="15"/>
        <i x="14" s="1"/>
        <i x="11"/>
        <i x="10"/>
        <i x="7"/>
        <i x="5"/>
        <i x="4" s="1"/>
        <i x="3"/>
        <i x="64" nd="1"/>
        <i x="65" nd="1"/>
        <i x="60" nd="1"/>
        <i x="63" nd="1"/>
        <i x="62" nd="1"/>
        <i x="59" nd="1"/>
        <i x="58" nd="1"/>
        <i x="57" nd="1"/>
        <i x="56" nd="1"/>
        <i x="55" nd="1"/>
        <i x="51" nd="1"/>
        <i x="50" nd="1"/>
        <i x="49" nd="1"/>
        <i x="48" nd="1"/>
        <i x="47" nd="1"/>
        <i x="52" nd="1"/>
        <i x="54" nd="1"/>
        <i x="45" nd="1"/>
        <i x="44" nd="1"/>
        <i x="42" nd="1"/>
        <i x="43" nd="1"/>
        <i x="41" s="1" nd="1"/>
        <i x="46" nd="1"/>
        <i x="39" s="1" nd="1"/>
        <i x="34" s="1" nd="1"/>
        <i x="31" nd="1"/>
        <i x="30" s="1" nd="1"/>
        <i x="25" nd="1"/>
        <i x="24" nd="1"/>
        <i x="19" nd="1"/>
        <i x="18" nd="1"/>
        <i x="2" nd="1"/>
        <i x="13" nd="1"/>
        <i x="12" nd="1"/>
        <i x="9" nd="1"/>
        <i x="8" nd="1"/>
        <i x="53" nd="1"/>
        <i x="6" nd="1"/>
        <i x="61" nd="1"/>
        <i x="1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4" s="1"/>
        <i x="3" s="1"/>
        <i x="2" s="1"/>
        <i x="5" s="1" nd="1"/>
        <i x="7" nd="1"/>
        <i x="6" nd="1"/>
        <i x="1" s="1" nd="1"/>
        <i x="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9" columnCount="3" style="SlicerStyleDark6" rowHeight="257175"/>
  <slicer name="DIAS RETRASO" xr10:uid="{8F5C05B4-C5D1-46DB-956C-D8F878068469}" cache="SegmentaciónDeDatos_DIAS_RETRASO" caption="DIAS RETRASO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startItem="15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startItem="16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startItem="6" columnCount="3" style="SlicerStyleDark6" rowHeight="257175"/>
  <slicer name="DIAS RETRASO 1" xr10:uid="{28198CCC-8647-4CA6-AE21-52477E59E705}" cache="SegmentaciónDeDatos_DIAS_RETRASO1" caption="DIAS RETRASO" startItem="20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autoFilter ref="A1:CV705" xr:uid="{B31246C4-E2E1-4D48-9471-55D5994ADFC4}"/>
  <tableColumns count="100">
    <tableColumn id="1" xr3:uid="{CC01D0E6-5846-4187-87EB-14127EDCC871}" uniqueName="1" name="TORRE" queryTableFieldId="1" dataDxfId="163"/>
    <tableColumn id="2" xr3:uid="{E130894E-F6CA-4D5D-905F-4F1F366536F5}" uniqueName="2" name="N° MÓDULO" queryTableFieldId="2" dataDxfId="162"/>
    <tableColumn id="3" xr3:uid="{BFF2FF07-40FD-4F09-8007-2AF1CE9F45C4}" uniqueName="3" name="N° SERIE" queryTableFieldId="3"/>
    <tableColumn id="4" xr3:uid="{33BD3205-6122-4974-AC22-14FF964CBA44}" uniqueName="4" name="TIPO" queryTableFieldId="4" dataDxfId="161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160" tableBorderDxfId="159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158"/>
    <tableColumn id="2" xr3:uid="{9038CCEA-ADD0-4D49-AFF2-359752B71E85}" name="CATEGORIA" dataDxfId="157"/>
    <tableColumn id="3" xr3:uid="{71B32BC0-0A68-48A1-A6AD-BAD1CF9ECEE9}" name="PESO" dataDxfId="156"/>
    <tableColumn id="4" xr3:uid="{3E30F266-296D-4A97-B06C-DB9F66D56A96}" name="PESO POR PARTIDA" dataDxfId="155">
      <calculatedColumnFormula>C2/SUM(C$18:C$38)</calculatedColumnFormula>
    </tableColumn>
    <tableColumn id="5" xr3:uid="{AF139575-BD72-4422-8F18-D7158E40BE85}" name="PESO GRUPO" dataDxfId="154"/>
    <tableColumn id="9" xr3:uid="{4865F242-E371-4145-8AC7-4CE4A19AC892}" name="CATEGORIA2" dataDxfId="153"/>
    <tableColumn id="8" xr3:uid="{CC58262B-B4D1-4698-871C-EAAF1A3B0485}" name="PRIORIDAD" dataDxfId="152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topLeftCell="A97" workbookViewId="0">
      <selection activeCell="C109" sqref="C109"/>
    </sheetView>
  </sheetViews>
  <sheetFormatPr baseColWidth="10" defaultRowHeight="15" x14ac:dyDescent="0.25"/>
  <cols>
    <col min="1" max="1" width="9.42578125" bestFit="1" customWidth="1"/>
    <col min="2" max="2" width="14.140625" bestFit="1" customWidth="1"/>
    <col min="3" max="3" width="11.28515625" bestFit="1" customWidth="1"/>
    <col min="4" max="4" width="8.85546875" bestFit="1" customWidth="1"/>
    <col min="5" max="5" width="12.7109375" style="2" bestFit="1" customWidth="1"/>
    <col min="6" max="6" width="24.85546875" bestFit="1" customWidth="1"/>
    <col min="7" max="7" width="21" bestFit="1" customWidth="1"/>
    <col min="8" max="8" width="26.7109375" bestFit="1" customWidth="1"/>
    <col min="9" max="9" width="31.85546875" bestFit="1" customWidth="1"/>
    <col min="10" max="10" width="23.7109375" bestFit="1" customWidth="1"/>
    <col min="11" max="11" width="18.42578125" hidden="1" customWidth="1"/>
    <col min="12" max="12" width="24" style="3" hidden="1" customWidth="1"/>
    <col min="13" max="13" width="16.140625" style="3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3" style="3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3.7109375" style="3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8.7109375" style="3" customWidth="1"/>
    <col min="36" max="56" width="10.140625" style="3" hidden="1" customWidth="1"/>
    <col min="57" max="57" width="23.140625" style="3" bestFit="1" customWidth="1"/>
    <col min="58" max="58" width="20.85546875" bestFit="1" customWidth="1"/>
    <col min="59" max="59" width="13.85546875" bestFit="1" customWidth="1"/>
    <col min="60" max="60" width="8.5703125" bestFit="1" customWidth="1"/>
    <col min="61" max="61" width="13.140625" bestFit="1" customWidth="1"/>
    <col min="62" max="62" width="11" bestFit="1" customWidth="1"/>
    <col min="63" max="63" width="9.85546875" bestFit="1" customWidth="1"/>
    <col min="64" max="64" width="11.85546875" bestFit="1" customWidth="1"/>
    <col min="65" max="65" width="25" bestFit="1" customWidth="1"/>
    <col min="66" max="66" width="16.5703125" bestFit="1" customWidth="1"/>
    <col min="67" max="67" width="19" bestFit="1" customWidth="1"/>
    <col min="68" max="68" width="8.42578125" bestFit="1" customWidth="1"/>
    <col min="69" max="69" width="8.140625" bestFit="1" customWidth="1"/>
    <col min="70" max="70" width="40.28515625" bestFit="1" customWidth="1"/>
    <col min="71" max="71" width="18" bestFit="1" customWidth="1"/>
    <col min="72" max="72" width="14.140625" bestFit="1" customWidth="1"/>
    <col min="73" max="73" width="16" bestFit="1" customWidth="1"/>
    <col min="74" max="74" width="12.42578125" bestFit="1" customWidth="1"/>
    <col min="75" max="75" width="12.7109375" bestFit="1" customWidth="1"/>
    <col min="76" max="76" width="25.42578125" bestFit="1" customWidth="1"/>
    <col min="77" max="77" width="17.42578125" bestFit="1" customWidth="1"/>
    <col min="78" max="78" width="21.140625" bestFit="1" customWidth="1"/>
    <col min="79" max="79" width="17.42578125" bestFit="1" customWidth="1"/>
    <col min="80" max="80" width="16.7109375" bestFit="1" customWidth="1"/>
    <col min="81" max="81" width="21.7109375" bestFit="1" customWidth="1"/>
    <col min="82" max="82" width="19" bestFit="1" customWidth="1"/>
    <col min="83" max="83" width="14.5703125" bestFit="1" customWidth="1"/>
    <col min="84" max="84" width="15.140625" bestFit="1" customWidth="1"/>
    <col min="85" max="85" width="14.28515625" bestFit="1" customWidth="1"/>
    <col min="86" max="86" width="14.85546875" bestFit="1" customWidth="1"/>
    <col min="87" max="87" width="36" bestFit="1" customWidth="1"/>
    <col min="88" max="88" width="17.85546875" bestFit="1" customWidth="1"/>
    <col min="89" max="89" width="40.42578125" bestFit="1" customWidth="1"/>
    <col min="90" max="90" width="46" bestFit="1" customWidth="1"/>
    <col min="91" max="91" width="21.85546875" bestFit="1" customWidth="1"/>
    <col min="92" max="92" width="19.140625" bestFit="1" customWidth="1"/>
    <col min="93" max="93" width="26.140625" bestFit="1" customWidth="1"/>
    <col min="94" max="94" width="35.140625" bestFit="1" customWidth="1"/>
    <col min="95" max="95" width="24.5703125" bestFit="1" customWidth="1"/>
    <col min="96" max="96" width="46.5703125" bestFit="1" customWidth="1"/>
    <col min="97" max="97" width="17.28515625" style="40" bestFit="1" customWidth="1"/>
    <col min="98" max="98" width="81.140625" bestFit="1" customWidth="1"/>
    <col min="99" max="99" width="51.28515625" bestFit="1" customWidth="1"/>
    <col min="100" max="100" width="18.57031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930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904</v>
      </c>
      <c r="CT1" s="40" t="s">
        <v>909</v>
      </c>
      <c r="CU1" s="40" t="s">
        <v>910</v>
      </c>
      <c r="CV1" s="40" t="s">
        <v>905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3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4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3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4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3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4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3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4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3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4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3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4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3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4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3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4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3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4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3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4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3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4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3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4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3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4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3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4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3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4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3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4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3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4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3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4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3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4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3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4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3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4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3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4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3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4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3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4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3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4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3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4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3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4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3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4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3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4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3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4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3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4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3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4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46147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3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4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46159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3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4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46162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3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4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46151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3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4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0.99999999999999978</v>
      </c>
      <c r="F38" s="1">
        <v>46123</v>
      </c>
      <c r="G38" s="1">
        <v>46123</v>
      </c>
      <c r="H38" s="1">
        <v>46188</v>
      </c>
      <c r="I38" s="1">
        <v>46152</v>
      </c>
      <c r="K38" s="1">
        <v>46188</v>
      </c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0.36999999999999983</v>
      </c>
      <c r="AI38" s="3">
        <v>0.99999999999999956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1.3513513513513509E-2</v>
      </c>
      <c r="AR38" s="3">
        <v>4.0540540540540529E-2</v>
      </c>
      <c r="AS38" s="3">
        <v>1.3513513513513509E-2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4.0540540540540529E-2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MODULO TERMINADO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1</v>
      </c>
      <c r="CF38" s="3">
        <f>+IF(AVANCE[[#This Row],[PILASTREO]]=AR$2,100%,AVANCE[[#This Row],[PILASTREO]])</f>
        <v>1</v>
      </c>
      <c r="CG38" s="3">
        <f>+IF(AVANCE[[#This Row],[CELOSIAS]]=AS$2,100%,AVANCE[[#This Row],[CELOSIAS]])</f>
        <v>1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1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0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/>
      </c>
      <c r="CU38" s="43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/>
      </c>
      <c r="CV38" s="44" cm="1">
        <f t="array" ref="CV38">SUMPRODUCT(--(BG38:CR38&lt;1))</f>
        <v>0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0.99999999999999978</v>
      </c>
      <c r="F39" s="1">
        <v>46123</v>
      </c>
      <c r="G39" s="1">
        <v>46123</v>
      </c>
      <c r="H39" s="1">
        <v>46190</v>
      </c>
      <c r="I39" s="1">
        <v>46163</v>
      </c>
      <c r="K39" s="1">
        <v>46190</v>
      </c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0.09</v>
      </c>
      <c r="T39" s="3">
        <v>1</v>
      </c>
      <c r="U39" s="3">
        <v>0.22222222222222221</v>
      </c>
      <c r="V39" s="3">
        <v>0.22222222222222221</v>
      </c>
      <c r="W39" s="3">
        <v>0.1111111111111111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0.36999999999999983</v>
      </c>
      <c r="AI39" s="3">
        <v>0.99999999999999956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4.0540540540540529E-2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MODULO TERMINADO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1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1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0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/>
      </c>
      <c r="CU39" s="43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/>
      </c>
      <c r="CV39" s="44" cm="1">
        <f t="array" ref="CV39">SUMPRODUCT(--(BG39:CR39&lt;1))</f>
        <v>0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0.99999999999999978</v>
      </c>
      <c r="F40" s="1">
        <v>46119</v>
      </c>
      <c r="G40" s="1">
        <v>46119</v>
      </c>
      <c r="H40" s="1">
        <v>46195</v>
      </c>
      <c r="I40" s="1">
        <v>46159</v>
      </c>
      <c r="K40" s="1">
        <v>46195</v>
      </c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0.36999999999999983</v>
      </c>
      <c r="AI40" s="3">
        <v>0.99999999999999956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4.0540540540540529E-2</v>
      </c>
      <c r="BA40" s="3">
        <v>5.4054054054054036E-2</v>
      </c>
      <c r="BB40" s="3">
        <v>8.1081081081081058E-2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MODULO TERMINADO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1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1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0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/>
      </c>
      <c r="CU40" s="43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/>
      </c>
      <c r="CV40" s="44" cm="1">
        <f t="array" ref="CV40">SUMPRODUCT(--(BG40:CR40&lt;1))</f>
        <v>0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46148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3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4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46153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3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4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0.99999999999999978</v>
      </c>
      <c r="F43" s="1">
        <v>46129</v>
      </c>
      <c r="G43" s="1">
        <v>46129</v>
      </c>
      <c r="H43" s="1">
        <v>46191</v>
      </c>
      <c r="I43" s="1">
        <v>46169</v>
      </c>
      <c r="K43" s="1">
        <v>46191</v>
      </c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0.09</v>
      </c>
      <c r="T43" s="3">
        <v>1</v>
      </c>
      <c r="U43" s="3">
        <v>0.22222222222222221</v>
      </c>
      <c r="V43" s="3">
        <v>0.22222222222222221</v>
      </c>
      <c r="W43" s="3">
        <v>0.1111111111111111</v>
      </c>
      <c r="X43" s="3">
        <v>0.1111111111111111</v>
      </c>
      <c r="Y43" s="3">
        <v>0.1111111111111111</v>
      </c>
      <c r="Z43" s="3">
        <v>0.22222222222222221</v>
      </c>
      <c r="AA43" s="3">
        <v>0.11</v>
      </c>
      <c r="AB43" s="3">
        <v>1</v>
      </c>
      <c r="AC43" s="3">
        <v>0.27272727272727271</v>
      </c>
      <c r="AD43" s="3">
        <v>0.27272727272727271</v>
      </c>
      <c r="AE43" s="3">
        <v>9.0909090909090912E-2</v>
      </c>
      <c r="AF43" s="3">
        <v>0.18181818181818182</v>
      </c>
      <c r="AG43" s="3">
        <v>0.18181818181818182</v>
      </c>
      <c r="AH43" s="3">
        <v>0.36999999999999983</v>
      </c>
      <c r="AI43" s="3">
        <v>0.99999999999999956</v>
      </c>
      <c r="AJ43" s="3">
        <v>5.4054054054054036E-2</v>
      </c>
      <c r="AK43" s="3">
        <v>5.4054054054054036E-2</v>
      </c>
      <c r="AL43" s="3">
        <v>2.7027027027027018E-2</v>
      </c>
      <c r="AM43" s="3">
        <v>8.1081081081081058E-2</v>
      </c>
      <c r="AN43" s="3">
        <v>8.1081081081081058E-2</v>
      </c>
      <c r="AO43" s="3">
        <v>6.7567567567567557E-2</v>
      </c>
      <c r="AP43" s="3">
        <v>5.4054054054054036E-2</v>
      </c>
      <c r="AQ43" s="3">
        <v>1.3513513513513509E-2</v>
      </c>
      <c r="AR43" s="3">
        <v>4.0540540540540529E-2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4.0540540540540529E-2</v>
      </c>
      <c r="BA43" s="3">
        <v>5.4054054054054036E-2</v>
      </c>
      <c r="BB43" s="3">
        <v>8.1081081081081058E-2</v>
      </c>
      <c r="BC43" s="3">
        <v>1.3513513513513509E-2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MODULO TERMINADO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1</v>
      </c>
      <c r="BP43" s="3">
        <f>+IF(AVANCE[[#This Row],[TINA]]=X$2,100%,AVANCE[[#This Row],[TINA]])</f>
        <v>1</v>
      </c>
      <c r="BQ43" s="3">
        <f>+IF(AVANCE[[#This Row],[WC]]=Y$2,100%,AVANCE[[#This Row],[WC]])</f>
        <v>1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1</v>
      </c>
      <c r="BU43" s="3">
        <f>+IF(AVANCE[[#This Row],[ARTEFACTOS]]=AE$2,100%,AVANCE[[#This Row],[ARTEFACTOS]])</f>
        <v>1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1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1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1</v>
      </c>
      <c r="CF43" s="3">
        <f>+IF(AVANCE[[#This Row],[PILASTREO]]=AR$2,100%,AVANCE[[#This Row],[PILASTREO]])</f>
        <v>1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1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1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/>
      </c>
      <c r="CU43" s="43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/>
      </c>
      <c r="CV43" s="44" cm="1">
        <f t="array" ref="CV43">SUMPRODUCT(--(BG43:CR43&lt;1))</f>
        <v>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0.99999999999999978</v>
      </c>
      <c r="F44" s="1">
        <v>46127</v>
      </c>
      <c r="G44" s="1">
        <v>46127</v>
      </c>
      <c r="H44" s="1">
        <v>46195</v>
      </c>
      <c r="I44" s="1">
        <v>46167</v>
      </c>
      <c r="K44" s="1">
        <v>46195</v>
      </c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0.09</v>
      </c>
      <c r="T44" s="3">
        <v>1</v>
      </c>
      <c r="U44" s="3">
        <v>0.22222222222222221</v>
      </c>
      <c r="V44" s="3">
        <v>0.22222222222222221</v>
      </c>
      <c r="W44" s="3">
        <v>0.1111111111111111</v>
      </c>
      <c r="X44" s="3">
        <v>0.1111111111111111</v>
      </c>
      <c r="Y44" s="3">
        <v>0.1111111111111111</v>
      </c>
      <c r="Z44" s="3">
        <v>0.22222222222222221</v>
      </c>
      <c r="AA44" s="3">
        <v>0.11</v>
      </c>
      <c r="AB44" s="3">
        <v>1</v>
      </c>
      <c r="AC44" s="3">
        <v>0.27272727272727271</v>
      </c>
      <c r="AD44" s="3">
        <v>0.27272727272727271</v>
      </c>
      <c r="AE44" s="3">
        <v>9.0909090909090912E-2</v>
      </c>
      <c r="AF44" s="3">
        <v>0.18181818181818182</v>
      </c>
      <c r="AG44" s="3">
        <v>0.18181818181818182</v>
      </c>
      <c r="AH44" s="3">
        <v>0.36999999999999983</v>
      </c>
      <c r="AI44" s="3">
        <v>0.99999999999999956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1.3513513513513509E-2</v>
      </c>
      <c r="AR44" s="3">
        <v>4.0540540540540529E-2</v>
      </c>
      <c r="AS44" s="3">
        <v>1.3513513513513509E-2</v>
      </c>
      <c r="AT44" s="3">
        <v>8.1081081081081058E-2</v>
      </c>
      <c r="AU44" s="3">
        <v>5.4054054054054036E-2</v>
      </c>
      <c r="AV44" s="3">
        <v>2.7027027027027018E-2</v>
      </c>
      <c r="AW44" s="3">
        <v>5.4054054054054036E-2</v>
      </c>
      <c r="AX44" s="3">
        <v>5.4054054054054036E-2</v>
      </c>
      <c r="AY44" s="3">
        <v>2.7027027027027018E-2</v>
      </c>
      <c r="AZ44" s="3">
        <v>4.0540540540540529E-2</v>
      </c>
      <c r="BA44" s="3">
        <v>5.4054054054054036E-2</v>
      </c>
      <c r="BB44" s="3">
        <v>8.1081081081081058E-2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MODULO TERMINADO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1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1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1</v>
      </c>
      <c r="CF44" s="3">
        <f>+IF(AVANCE[[#This Row],[PILASTREO]]=AR$2,100%,AVANCE[[#This Row],[PILASTREO]])</f>
        <v>1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1</v>
      </c>
      <c r="CJ44" s="3">
        <f>+IF(AVANCE[[#This Row],[CERRADURAS]]=AV$2,100%,AVANCE[[#This Row],[CERRADURAS]])</f>
        <v>1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1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1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0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/>
      </c>
      <c r="CU44" s="43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/>
      </c>
      <c r="CV44" s="44" cm="1">
        <f t="array" ref="CV44">SUMPRODUCT(--(BG44:CR44&lt;1))</f>
        <v>0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0.99999999999999978</v>
      </c>
      <c r="F45" s="1">
        <v>46127</v>
      </c>
      <c r="G45" s="1">
        <v>46127</v>
      </c>
      <c r="H45" s="1">
        <v>46190</v>
      </c>
      <c r="I45" s="1">
        <v>46156</v>
      </c>
      <c r="K45" s="1">
        <v>46190</v>
      </c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0.36999999999999983</v>
      </c>
      <c r="AI45" s="3">
        <v>0.99999999999999956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4.0540540540540529E-2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MODULO TERMINADO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1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0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/>
      </c>
      <c r="CU45" s="43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/>
      </c>
      <c r="CV45" s="44" cm="1">
        <f t="array" ref="CV45">SUMPRODUCT(--(BG45:CR45&lt;1))</f>
        <v>0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0.99999999999999978</v>
      </c>
      <c r="F46" s="1">
        <v>46132</v>
      </c>
      <c r="G46" s="1">
        <v>46132</v>
      </c>
      <c r="H46" s="1">
        <v>46191</v>
      </c>
      <c r="I46" s="1">
        <v>46161</v>
      </c>
      <c r="K46" s="1">
        <v>46191</v>
      </c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0.11</v>
      </c>
      <c r="AB46" s="3">
        <v>1</v>
      </c>
      <c r="AC46" s="3">
        <v>0.27272727272727271</v>
      </c>
      <c r="AD46" s="3">
        <v>0.27272727272727271</v>
      </c>
      <c r="AE46" s="3">
        <v>9.0909090909090912E-2</v>
      </c>
      <c r="AF46" s="3">
        <v>0.18181818181818182</v>
      </c>
      <c r="AG46" s="3">
        <v>0.18181818181818182</v>
      </c>
      <c r="AH46" s="3">
        <v>0.36999999999999983</v>
      </c>
      <c r="AI46" s="3">
        <v>0.99999999999999956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1.3513513513513509E-2</v>
      </c>
      <c r="AT46" s="3">
        <v>8.1081081081081058E-2</v>
      </c>
      <c r="AU46" s="3">
        <v>5.4054054054054036E-2</v>
      </c>
      <c r="AV46" s="3">
        <v>2.7027027027027018E-2</v>
      </c>
      <c r="AW46" s="3">
        <v>5.4054054054054036E-2</v>
      </c>
      <c r="AX46" s="3">
        <v>5.4054054054054036E-2</v>
      </c>
      <c r="AY46" s="3">
        <v>2.7027027027027018E-2</v>
      </c>
      <c r="AZ46" s="3">
        <v>4.0540540540540529E-2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MODULO TERMINADO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1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1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1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1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0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/>
      </c>
      <c r="CU46" s="43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/>
      </c>
      <c r="CV46" s="44" cm="1">
        <f t="array" ref="CV46">SUMPRODUCT(--(BG46:CR46&lt;1))</f>
        <v>0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0.99999999999999978</v>
      </c>
      <c r="F47" s="1">
        <v>46126</v>
      </c>
      <c r="G47" s="1">
        <v>46126</v>
      </c>
      <c r="H47" s="1">
        <v>46195</v>
      </c>
      <c r="I47" s="1">
        <v>46166</v>
      </c>
      <c r="K47" s="1">
        <v>46195</v>
      </c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0.09</v>
      </c>
      <c r="T47" s="3">
        <v>1</v>
      </c>
      <c r="U47" s="3">
        <v>0.22222222222222221</v>
      </c>
      <c r="V47" s="3">
        <v>0.22222222222222221</v>
      </c>
      <c r="W47" s="3">
        <v>0.1111111111111111</v>
      </c>
      <c r="X47" s="3">
        <v>0.1111111111111111</v>
      </c>
      <c r="Y47" s="3">
        <v>0.1111111111111111</v>
      </c>
      <c r="Z47" s="3">
        <v>0.22222222222222221</v>
      </c>
      <c r="AA47" s="3">
        <v>0.11</v>
      </c>
      <c r="AB47" s="3">
        <v>1</v>
      </c>
      <c r="AC47" s="3">
        <v>0.27272727272727271</v>
      </c>
      <c r="AD47" s="3">
        <v>0.27272727272727271</v>
      </c>
      <c r="AE47" s="3">
        <v>9.0909090909090912E-2</v>
      </c>
      <c r="AF47" s="3">
        <v>0.18181818181818182</v>
      </c>
      <c r="AG47" s="3">
        <v>0.18181818181818182</v>
      </c>
      <c r="AH47" s="3">
        <v>0.36999999999999983</v>
      </c>
      <c r="AI47" s="3">
        <v>0.99999999999999956</v>
      </c>
      <c r="AJ47" s="3">
        <v>5.4054054054054036E-2</v>
      </c>
      <c r="AK47" s="3">
        <v>5.4054054054054036E-2</v>
      </c>
      <c r="AL47" s="3">
        <v>2.7027027027027018E-2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1.3513513513513509E-2</v>
      </c>
      <c r="AR47" s="3">
        <v>4.0540540540540529E-2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4.0540540540540529E-2</v>
      </c>
      <c r="BA47" s="3">
        <v>5.4054054054054036E-2</v>
      </c>
      <c r="BB47" s="3">
        <v>8.1081081081081058E-2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MODULO TERMINADO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1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1</v>
      </c>
      <c r="BV47" s="3">
        <f>+IF(AVANCE[[#This Row],[TABLERO]]=AF$2,100%,AVANCE[[#This Row],[TABLERO]])</f>
        <v>1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1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1</v>
      </c>
      <c r="CF47" s="3">
        <f>+IF(AVANCE[[#This Row],[PILASTREO]]=AR$2,100%,AVANCE[[#This Row],[PILASTREO]])</f>
        <v>1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1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1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0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/>
      </c>
      <c r="CU47" s="43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/>
      </c>
      <c r="CV47" s="44" cm="1">
        <f t="array" ref="CV47">SUMPRODUCT(--(BG47:CR47&lt;1))</f>
        <v>0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0.99999999999999978</v>
      </c>
      <c r="F48" s="1">
        <v>46127</v>
      </c>
      <c r="G48" s="1">
        <v>46127</v>
      </c>
      <c r="H48" s="1">
        <v>46195</v>
      </c>
      <c r="I48" s="1">
        <v>46167</v>
      </c>
      <c r="K48" s="1">
        <v>46195</v>
      </c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0.09</v>
      </c>
      <c r="T48" s="3">
        <v>1</v>
      </c>
      <c r="U48" s="3">
        <v>0.22222222222222221</v>
      </c>
      <c r="V48" s="3">
        <v>0.22222222222222221</v>
      </c>
      <c r="W48" s="3">
        <v>0.1111111111111111</v>
      </c>
      <c r="X48" s="3">
        <v>0.1111111111111111</v>
      </c>
      <c r="Y48" s="3">
        <v>0.1111111111111111</v>
      </c>
      <c r="Z48" s="3">
        <v>0.22222222222222221</v>
      </c>
      <c r="AA48" s="3">
        <v>0.11</v>
      </c>
      <c r="AB48" s="3">
        <v>1</v>
      </c>
      <c r="AC48" s="3">
        <v>0.27272727272727271</v>
      </c>
      <c r="AD48" s="3">
        <v>0.27272727272727271</v>
      </c>
      <c r="AE48" s="3">
        <v>9.0909090909090912E-2</v>
      </c>
      <c r="AF48" s="3">
        <v>0.18181818181818182</v>
      </c>
      <c r="AG48" s="3">
        <v>0.18181818181818182</v>
      </c>
      <c r="AH48" s="3">
        <v>0.36999999999999983</v>
      </c>
      <c r="AI48" s="3">
        <v>0.99999999999999956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1.3513513513513509E-2</v>
      </c>
      <c r="AR48" s="3">
        <v>4.0540540540540529E-2</v>
      </c>
      <c r="AS48" s="3">
        <v>1.3513513513513509E-2</v>
      </c>
      <c r="AT48" s="3">
        <v>8.1081081081081058E-2</v>
      </c>
      <c r="AU48" s="3">
        <v>5.4054054054054036E-2</v>
      </c>
      <c r="AV48" s="3">
        <v>2.7027027027027018E-2</v>
      </c>
      <c r="AW48" s="3">
        <v>5.4054054054054036E-2</v>
      </c>
      <c r="AX48" s="3">
        <v>5.4054054054054036E-2</v>
      </c>
      <c r="AY48" s="3">
        <v>2.7027027027027018E-2</v>
      </c>
      <c r="AZ48" s="3">
        <v>4.0540540540540529E-2</v>
      </c>
      <c r="BA48" s="3">
        <v>5.4054054054054036E-2</v>
      </c>
      <c r="BB48" s="3">
        <v>8.1081081081081058E-2</v>
      </c>
      <c r="BC48" s="3">
        <v>1.3513513513513509E-2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MODULO TERMINADO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1</v>
      </c>
      <c r="BP48" s="3">
        <f>+IF(AVANCE[[#This Row],[TINA]]=X$2,100%,AVANCE[[#This Row],[TINA]])</f>
        <v>1</v>
      </c>
      <c r="BQ48" s="3">
        <f>+IF(AVANCE[[#This Row],[WC]]=Y$2,100%,AVANCE[[#This Row],[WC]])</f>
        <v>1</v>
      </c>
      <c r="BR48" s="3">
        <f>+IF(AVANCE[[#This Row],[LAVAMANOS / LAVAPLATOS / LAVADERO]]=Z$2,100%,AVANCE[[#This Row],[LAVAMANOS / LAVAPLATOS / LAVADERO]])</f>
        <v>1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1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1</v>
      </c>
      <c r="CF48" s="3">
        <f>+IF(AVANCE[[#This Row],[PILASTREO]]=AR$2,100%,AVANCE[[#This Row],[PILASTREO]])</f>
        <v>1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1</v>
      </c>
      <c r="CJ48" s="3">
        <f>+IF(AVANCE[[#This Row],[CERRADURAS]]=AV$2,100%,AVANCE[[#This Row],[CERRADURAS]])</f>
        <v>1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1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1</v>
      </c>
      <c r="CQ48" s="3">
        <f>+IF(AVANCE[[#This Row],[MUEBLE LAVAPLATOS]]=BC$2,100%,AVANCE[[#This Row],[MUEBLE LAVAPLATOS]])</f>
        <v>1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0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/>
      </c>
      <c r="CU48" s="43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/>
      </c>
      <c r="CV48" s="44" cm="1">
        <f t="array" ref="CV48">SUMPRODUCT(--(BG48:CR48&lt;1))</f>
        <v>0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0.99999999999999978</v>
      </c>
      <c r="F49" s="1">
        <v>46126</v>
      </c>
      <c r="G49" s="1">
        <v>46126</v>
      </c>
      <c r="H49" s="1">
        <v>46192</v>
      </c>
      <c r="I49" s="1">
        <v>46155</v>
      </c>
      <c r="K49" s="1">
        <v>46192</v>
      </c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0.11</v>
      </c>
      <c r="AB49" s="3">
        <v>1</v>
      </c>
      <c r="AC49" s="3">
        <v>0.27272727272727271</v>
      </c>
      <c r="AD49" s="3">
        <v>0.27272727272727271</v>
      </c>
      <c r="AE49" s="3">
        <v>9.0909090909090912E-2</v>
      </c>
      <c r="AF49" s="3">
        <v>0.18181818181818182</v>
      </c>
      <c r="AG49" s="3">
        <v>0.18181818181818182</v>
      </c>
      <c r="AH49" s="3">
        <v>0.36999999999999983</v>
      </c>
      <c r="AI49" s="3">
        <v>0.99999999999999956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1.3513513513513509E-2</v>
      </c>
      <c r="AR49" s="3">
        <v>4.0540540540540529E-2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4.0540540540540529E-2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MODULO TERMINADO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1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1</v>
      </c>
      <c r="CF49" s="3">
        <f>+IF(AVANCE[[#This Row],[PILASTREO]]=AR$2,100%,AVANCE[[#This Row],[PILASTREO]])</f>
        <v>1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1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0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/>
      </c>
      <c r="CU49" s="43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/>
      </c>
      <c r="CV49" s="44" cm="1">
        <f t="array" ref="CV49">SUMPRODUCT(--(BG49:CR49&lt;1))</f>
        <v>0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0.99999999999999978</v>
      </c>
      <c r="F50" s="1">
        <v>46134</v>
      </c>
      <c r="G50" s="1">
        <v>46134</v>
      </c>
      <c r="H50" s="1">
        <v>46191</v>
      </c>
      <c r="I50" s="1">
        <v>46163</v>
      </c>
      <c r="K50" s="1">
        <v>46191</v>
      </c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0.11</v>
      </c>
      <c r="AB50" s="3">
        <v>1</v>
      </c>
      <c r="AC50" s="3">
        <v>0.27272727272727271</v>
      </c>
      <c r="AD50" s="3">
        <v>0.27272727272727271</v>
      </c>
      <c r="AE50" s="3">
        <v>9.0909090909090912E-2</v>
      </c>
      <c r="AF50" s="3">
        <v>0.18181818181818182</v>
      </c>
      <c r="AG50" s="3">
        <v>0.18181818181818182</v>
      </c>
      <c r="AH50" s="3">
        <v>0.36999999999999983</v>
      </c>
      <c r="AI50" s="3">
        <v>0.99999999999999956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4.0540540540540529E-2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4.0540540540540529E-2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MODULO TERMINADO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1</v>
      </c>
      <c r="BU50" s="3">
        <f>+IF(AVANCE[[#This Row],[ARTEFACTOS]]=AE$2,100%,AVANCE[[#This Row],[ARTEFACTOS]])</f>
        <v>1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1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1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0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/>
      </c>
      <c r="CU50" s="43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/>
      </c>
      <c r="CV50" s="44" cm="1">
        <f t="array" ref="CV50">SUMPRODUCT(--(BG50:CR50&lt;1))</f>
        <v>0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0.99999999999999978</v>
      </c>
      <c r="F51" s="1">
        <v>46136</v>
      </c>
      <c r="G51" s="1">
        <v>46136</v>
      </c>
      <c r="H51" s="1">
        <v>46195</v>
      </c>
      <c r="I51" s="1">
        <v>46176</v>
      </c>
      <c r="K51" s="1">
        <v>46195</v>
      </c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0.11</v>
      </c>
      <c r="AB51" s="3">
        <v>1</v>
      </c>
      <c r="AC51" s="3">
        <v>0.27272727272727271</v>
      </c>
      <c r="AD51" s="3">
        <v>0.27272727272727271</v>
      </c>
      <c r="AE51" s="3">
        <v>9.0909090909090912E-2</v>
      </c>
      <c r="AF51" s="3">
        <v>0.18181818181818182</v>
      </c>
      <c r="AG51" s="3">
        <v>0.18181818181818182</v>
      </c>
      <c r="AH51" s="3">
        <v>0.36999999999999983</v>
      </c>
      <c r="AI51" s="3">
        <v>0.99999999999999956</v>
      </c>
      <c r="AJ51" s="3">
        <v>5.4054054054054036E-2</v>
      </c>
      <c r="AK51" s="3">
        <v>5.4054054054054036E-2</v>
      </c>
      <c r="AL51" s="3">
        <v>2.7027027027027018E-2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1.3513513513513509E-2</v>
      </c>
      <c r="AR51" s="3">
        <v>4.0540540540540529E-2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4.0540540540540529E-2</v>
      </c>
      <c r="BA51" s="3">
        <v>5.4054054054054036E-2</v>
      </c>
      <c r="BB51" s="3">
        <v>8.1081081081081058E-2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MODULO TERMINADO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1</v>
      </c>
      <c r="BU51" s="3">
        <f>+IF(AVANCE[[#This Row],[ARTEFACTOS]]=AE$2,100%,AVANCE[[#This Row],[ARTEFACTOS]])</f>
        <v>1</v>
      </c>
      <c r="BV51" s="3">
        <f>+IF(AVANCE[[#This Row],[TABLERO]]=AF$2,100%,AVANCE[[#This Row],[TABLERO]])</f>
        <v>1</v>
      </c>
      <c r="BW51" s="3">
        <f>+IF(AVANCE[[#This Row],[CAJA PAU]]=AG$2,100%,AVANCE[[#This Row],[CAJA PAU]])</f>
        <v>1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1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1</v>
      </c>
      <c r="CF51" s="3">
        <f>+IF(AVANCE[[#This Row],[PILASTREO]]=AR$2,100%,AVANCE[[#This Row],[PILASTREO]])</f>
        <v>1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1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1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0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/>
      </c>
      <c r="CU51" s="43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/>
      </c>
      <c r="CV51" s="44" cm="1">
        <f t="array" ref="CV51">SUMPRODUCT(--(BG51:CR51&lt;1))</f>
        <v>0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0.99999999999999978</v>
      </c>
      <c r="F52" s="1">
        <v>46140</v>
      </c>
      <c r="G52" s="1">
        <v>46140</v>
      </c>
      <c r="H52" s="1">
        <v>46197</v>
      </c>
      <c r="I52" s="1">
        <v>46180</v>
      </c>
      <c r="K52" s="1">
        <v>46197</v>
      </c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0.09</v>
      </c>
      <c r="T52" s="3">
        <v>1</v>
      </c>
      <c r="U52" s="3">
        <v>0.22222222222222221</v>
      </c>
      <c r="V52" s="3">
        <v>0.22222222222222221</v>
      </c>
      <c r="W52" s="3">
        <v>0.1111111111111111</v>
      </c>
      <c r="X52" s="3">
        <v>0.1111111111111111</v>
      </c>
      <c r="Y52" s="3">
        <v>0.1111111111111111</v>
      </c>
      <c r="Z52" s="3">
        <v>0.22222222222222221</v>
      </c>
      <c r="AA52" s="3">
        <v>0.11</v>
      </c>
      <c r="AB52" s="3">
        <v>1</v>
      </c>
      <c r="AC52" s="3">
        <v>0.27272727272727271</v>
      </c>
      <c r="AD52" s="3">
        <v>0.27272727272727271</v>
      </c>
      <c r="AE52" s="3">
        <v>9.0909090909090912E-2</v>
      </c>
      <c r="AF52" s="3">
        <v>0.18181818181818182</v>
      </c>
      <c r="AG52" s="3">
        <v>0.18181818181818182</v>
      </c>
      <c r="AH52" s="3">
        <v>0.36999999999999983</v>
      </c>
      <c r="AI52" s="3">
        <v>0.99999999999999956</v>
      </c>
      <c r="AJ52" s="3">
        <v>5.4054054054054036E-2</v>
      </c>
      <c r="AK52" s="3">
        <v>5.4054054054054036E-2</v>
      </c>
      <c r="AL52" s="3">
        <v>2.7027027027027018E-2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1.3513513513513509E-2</v>
      </c>
      <c r="AR52" s="3">
        <v>4.0540540540540529E-2</v>
      </c>
      <c r="AS52" s="3">
        <v>1.3513513513513509E-2</v>
      </c>
      <c r="AT52" s="3">
        <v>8.1081081081081058E-2</v>
      </c>
      <c r="AU52" s="3">
        <v>5.4054054054054036E-2</v>
      </c>
      <c r="AV52" s="3">
        <v>2.7027027027027018E-2</v>
      </c>
      <c r="AW52" s="3">
        <v>5.4054054054054036E-2</v>
      </c>
      <c r="AX52" s="3">
        <v>5.4054054054054036E-2</v>
      </c>
      <c r="AY52" s="3">
        <v>2.7027027027027018E-2</v>
      </c>
      <c r="AZ52" s="3">
        <v>4.0540540540540529E-2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MODULO TERMINADO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1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1</v>
      </c>
      <c r="BV52" s="3">
        <f>+IF(AVANCE[[#This Row],[TABLERO]]=AF$2,100%,AVANCE[[#This Row],[TABLERO]])</f>
        <v>1</v>
      </c>
      <c r="BW52" s="3">
        <f>+IF(AVANCE[[#This Row],[CAJA PAU]]=AG$2,100%,AVANCE[[#This Row],[CAJA PAU]])</f>
        <v>1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1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1</v>
      </c>
      <c r="CF52" s="3">
        <f>+IF(AVANCE[[#This Row],[PILASTREO]]=AR$2,100%,AVANCE[[#This Row],[PILASTREO]])</f>
        <v>1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1</v>
      </c>
      <c r="CJ52" s="3">
        <f>+IF(AVANCE[[#This Row],[CERRADURAS]]=AV$2,100%,AVANCE[[#This Row],[CERRADURAS]])</f>
        <v>1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1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0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/>
      </c>
      <c r="CU52" s="43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/>
      </c>
      <c r="CV52" s="44" cm="1">
        <f t="array" ref="CV52">SUMPRODUCT(--(BG52:CR52&lt;1))</f>
        <v>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0.99999999999999978</v>
      </c>
      <c r="F53" s="1">
        <v>46134</v>
      </c>
      <c r="G53" s="1">
        <v>46134</v>
      </c>
      <c r="H53" s="1">
        <v>46196</v>
      </c>
      <c r="I53" s="1">
        <v>46163</v>
      </c>
      <c r="K53" s="1">
        <v>46196</v>
      </c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0.11</v>
      </c>
      <c r="AB53" s="3">
        <v>1</v>
      </c>
      <c r="AC53" s="3">
        <v>0.27272727272727271</v>
      </c>
      <c r="AD53" s="3">
        <v>0.27272727272727271</v>
      </c>
      <c r="AE53" s="3">
        <v>9.0909090909090912E-2</v>
      </c>
      <c r="AF53" s="3">
        <v>0.18181818181818182</v>
      </c>
      <c r="AG53" s="3">
        <v>0.18181818181818182</v>
      </c>
      <c r="AH53" s="3">
        <v>0.36999999999999983</v>
      </c>
      <c r="AI53" s="3">
        <v>0.99999999999999956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1.3513513513513509E-2</v>
      </c>
      <c r="AR53" s="3">
        <v>4.0540540540540529E-2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4.0540540540540529E-2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MODULO TERMINADO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1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1</v>
      </c>
      <c r="CF53" s="3">
        <f>+IF(AVANCE[[#This Row],[PILASTREO]]=AR$2,100%,AVANCE[[#This Row],[PILASTREO]])</f>
        <v>1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1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0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/>
      </c>
      <c r="CU53" s="43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/>
      </c>
      <c r="CV53" s="44" cm="1">
        <f t="array" ref="CV53">SUMPRODUCT(--(BG53:CR53&lt;1))</f>
        <v>0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0.99999999999999978</v>
      </c>
      <c r="F54" s="1">
        <v>46139</v>
      </c>
      <c r="G54" s="1">
        <v>46139</v>
      </c>
      <c r="H54" s="1">
        <v>46196</v>
      </c>
      <c r="I54" s="1">
        <v>46168</v>
      </c>
      <c r="K54" s="1">
        <v>46196</v>
      </c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0.11</v>
      </c>
      <c r="AB54" s="3">
        <v>1</v>
      </c>
      <c r="AC54" s="3">
        <v>0.27272727272727271</v>
      </c>
      <c r="AD54" s="3">
        <v>0.27272727272727271</v>
      </c>
      <c r="AE54" s="3">
        <v>9.0909090909090912E-2</v>
      </c>
      <c r="AF54" s="3">
        <v>0.18181818181818182</v>
      </c>
      <c r="AG54" s="3">
        <v>0.18181818181818182</v>
      </c>
      <c r="AH54" s="3">
        <v>0.36999999999999983</v>
      </c>
      <c r="AI54" s="3">
        <v>0.99999999999999956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1.3513513513513509E-2</v>
      </c>
      <c r="AR54" s="3">
        <v>4.0540540540540529E-2</v>
      </c>
      <c r="AS54" s="3">
        <v>1.3513513513513509E-2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4.0540540540540529E-2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MODULO TERMINADO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1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1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1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1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0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/>
      </c>
      <c r="CU54" s="43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/>
      </c>
      <c r="CV54" s="44" cm="1">
        <f t="array" ref="CV54">SUMPRODUCT(--(BG54:CR54&lt;1))</f>
        <v>0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0.99999999999999978</v>
      </c>
      <c r="F55" s="1">
        <v>46141</v>
      </c>
      <c r="G55" s="1">
        <v>46141</v>
      </c>
      <c r="H55" s="1">
        <v>46198</v>
      </c>
      <c r="I55" s="1">
        <v>46181</v>
      </c>
      <c r="K55" s="1">
        <v>46198</v>
      </c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0.09</v>
      </c>
      <c r="T55" s="3">
        <v>1</v>
      </c>
      <c r="U55" s="3">
        <v>0.22222222222222221</v>
      </c>
      <c r="V55" s="3">
        <v>0.22222222222222221</v>
      </c>
      <c r="W55" s="3">
        <v>0.1111111111111111</v>
      </c>
      <c r="X55" s="3">
        <v>0.1111111111111111</v>
      </c>
      <c r="Y55" s="3">
        <v>0.1111111111111111</v>
      </c>
      <c r="Z55" s="3">
        <v>0.22222222222222221</v>
      </c>
      <c r="AA55" s="3">
        <v>0.11</v>
      </c>
      <c r="AB55" s="3">
        <v>1</v>
      </c>
      <c r="AC55" s="3">
        <v>0.27272727272727271</v>
      </c>
      <c r="AD55" s="3">
        <v>0.27272727272727271</v>
      </c>
      <c r="AE55" s="3">
        <v>9.0909090909090912E-2</v>
      </c>
      <c r="AF55" s="3">
        <v>0.18181818181818182</v>
      </c>
      <c r="AG55" s="3">
        <v>0.18181818181818182</v>
      </c>
      <c r="AH55" s="3">
        <v>0.36999999999999983</v>
      </c>
      <c r="AI55" s="3">
        <v>0.99999999999999956</v>
      </c>
      <c r="AJ55" s="3">
        <v>5.4054054054054036E-2</v>
      </c>
      <c r="AK55" s="3">
        <v>5.4054054054054036E-2</v>
      </c>
      <c r="AL55" s="3">
        <v>2.7027027027027018E-2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1.3513513513513509E-2</v>
      </c>
      <c r="AR55" s="3">
        <v>4.0540540540540529E-2</v>
      </c>
      <c r="AS55" s="3">
        <v>1.3513513513513509E-2</v>
      </c>
      <c r="AT55" s="3">
        <v>8.1081081081081058E-2</v>
      </c>
      <c r="AU55" s="3">
        <v>5.4054054054054036E-2</v>
      </c>
      <c r="AV55" s="3">
        <v>2.7027027027027018E-2</v>
      </c>
      <c r="AW55" s="3">
        <v>5.4054054054054036E-2</v>
      </c>
      <c r="AX55" s="3">
        <v>5.4054054054054036E-2</v>
      </c>
      <c r="AY55" s="3">
        <v>2.7027027027027018E-2</v>
      </c>
      <c r="AZ55" s="3">
        <v>4.0540540540540529E-2</v>
      </c>
      <c r="BA55" s="3">
        <v>5.4054054054054036E-2</v>
      </c>
      <c r="BB55" s="3">
        <v>8.1081081081081058E-2</v>
      </c>
      <c r="BC55" s="3">
        <v>1.3513513513513509E-2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MODULO TERMINADO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1</v>
      </c>
      <c r="BP55" s="3">
        <f>+IF(AVANCE[[#This Row],[TINA]]=X$2,100%,AVANCE[[#This Row],[TINA]])</f>
        <v>1</v>
      </c>
      <c r="BQ55" s="3">
        <f>+IF(AVANCE[[#This Row],[WC]]=Y$2,100%,AVANCE[[#This Row],[WC]])</f>
        <v>1</v>
      </c>
      <c r="BR55" s="3">
        <f>+IF(AVANCE[[#This Row],[LAVAMANOS / LAVAPLATOS / LAVADERO]]=Z$2,100%,AVANCE[[#This Row],[LAVAMANOS / LAVAPLATOS / LAVADERO]])</f>
        <v>1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1</v>
      </c>
      <c r="BU55" s="3">
        <f>+IF(AVANCE[[#This Row],[ARTEFACTOS]]=AE$2,100%,AVANCE[[#This Row],[ARTEFACTOS]])</f>
        <v>1</v>
      </c>
      <c r="BV55" s="3">
        <f>+IF(AVANCE[[#This Row],[TABLERO]]=AF$2,100%,AVANCE[[#This Row],[TABLERO]])</f>
        <v>1</v>
      </c>
      <c r="BW55" s="3">
        <f>+IF(AVANCE[[#This Row],[CAJA PAU]]=AG$2,100%,AVANCE[[#This Row],[CAJA PAU]])</f>
        <v>1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1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1</v>
      </c>
      <c r="CF55" s="3">
        <f>+IF(AVANCE[[#This Row],[PILASTREO]]=AR$2,100%,AVANCE[[#This Row],[PILASTREO]])</f>
        <v>1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1</v>
      </c>
      <c r="CJ55" s="3">
        <f>+IF(AVANCE[[#This Row],[CERRADURAS]]=AV$2,100%,AVANCE[[#This Row],[CERRADURAS]])</f>
        <v>1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1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1</v>
      </c>
      <c r="CQ55" s="3">
        <f>+IF(AVANCE[[#This Row],[MUEBLE LAVAPLATOS]]=BC$2,100%,AVANCE[[#This Row],[MUEBLE LAVAPLATOS]])</f>
        <v>1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0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/>
      </c>
      <c r="CU55" s="43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/>
      </c>
      <c r="CV55" s="44" cm="1">
        <f t="array" ref="CV55">SUMPRODUCT(--(BG55:CR55&lt;1))</f>
        <v>0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0.99999999999999978</v>
      </c>
      <c r="F56" s="1">
        <v>46136</v>
      </c>
      <c r="G56" s="1">
        <v>46136</v>
      </c>
      <c r="H56" s="1">
        <v>46203</v>
      </c>
      <c r="I56" s="1">
        <v>46176</v>
      </c>
      <c r="K56" s="1">
        <v>46203</v>
      </c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0.09</v>
      </c>
      <c r="T56" s="3">
        <v>1</v>
      </c>
      <c r="U56" s="3">
        <v>0.22222222222222221</v>
      </c>
      <c r="V56" s="3">
        <v>0.22222222222222221</v>
      </c>
      <c r="W56" s="3">
        <v>0.1111111111111111</v>
      </c>
      <c r="X56" s="3">
        <v>0.1111111111111111</v>
      </c>
      <c r="Y56" s="3">
        <v>0.1111111111111111</v>
      </c>
      <c r="Z56" s="3">
        <v>0.22222222222222221</v>
      </c>
      <c r="AA56" s="3">
        <v>0.11</v>
      </c>
      <c r="AB56" s="3">
        <v>1</v>
      </c>
      <c r="AC56" s="3">
        <v>0.27272727272727271</v>
      </c>
      <c r="AD56" s="3">
        <v>0.27272727272727271</v>
      </c>
      <c r="AE56" s="3">
        <v>9.0909090909090912E-2</v>
      </c>
      <c r="AF56" s="3">
        <v>0.18181818181818182</v>
      </c>
      <c r="AG56" s="3">
        <v>0.18181818181818182</v>
      </c>
      <c r="AH56" s="3">
        <v>0.36999999999999983</v>
      </c>
      <c r="AI56" s="3">
        <v>0.99999999999999956</v>
      </c>
      <c r="AJ56" s="3">
        <v>5.4054054054054036E-2</v>
      </c>
      <c r="AK56" s="3">
        <v>5.4054054054054036E-2</v>
      </c>
      <c r="AL56" s="3">
        <v>2.7027027027027018E-2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1.3513513513513509E-2</v>
      </c>
      <c r="AR56" s="3">
        <v>4.0540540540540529E-2</v>
      </c>
      <c r="AS56" s="3">
        <v>1.3513513513513509E-2</v>
      </c>
      <c r="AT56" s="3">
        <v>8.1081081081081058E-2</v>
      </c>
      <c r="AU56" s="3">
        <v>5.4054054054054036E-2</v>
      </c>
      <c r="AV56" s="3">
        <v>2.7027027027027018E-2</v>
      </c>
      <c r="AW56" s="3">
        <v>5.4054054054054036E-2</v>
      </c>
      <c r="AX56" s="3">
        <v>5.4054054054054036E-2</v>
      </c>
      <c r="AY56" s="3">
        <v>2.7027027027027018E-2</v>
      </c>
      <c r="AZ56" s="3">
        <v>4.0540540540540529E-2</v>
      </c>
      <c r="BA56" s="3">
        <v>5.4054054054054036E-2</v>
      </c>
      <c r="BB56" s="3">
        <v>8.1081081081081058E-2</v>
      </c>
      <c r="BC56" s="3">
        <v>1.3513513513513509E-2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MODULO TERMINADO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1</v>
      </c>
      <c r="BP56" s="3">
        <f>+IF(AVANCE[[#This Row],[TINA]]=X$2,100%,AVANCE[[#This Row],[TINA]])</f>
        <v>1</v>
      </c>
      <c r="BQ56" s="3">
        <f>+IF(AVANCE[[#This Row],[WC]]=Y$2,100%,AVANCE[[#This Row],[WC]])</f>
        <v>1</v>
      </c>
      <c r="BR56" s="3">
        <f>+IF(AVANCE[[#This Row],[LAVAMANOS / LAVAPLATOS / LAVADERO]]=Z$2,100%,AVANCE[[#This Row],[LAVAMANOS / LAVAPLATOS / LAVADERO]])</f>
        <v>1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1</v>
      </c>
      <c r="BV56" s="3">
        <f>+IF(AVANCE[[#This Row],[TABLERO]]=AF$2,100%,AVANCE[[#This Row],[TABLERO]])</f>
        <v>1</v>
      </c>
      <c r="BW56" s="3">
        <f>+IF(AVANCE[[#This Row],[CAJA PAU]]=AG$2,100%,AVANCE[[#This Row],[CAJA PAU]])</f>
        <v>1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1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1</v>
      </c>
      <c r="CF56" s="3">
        <f>+IF(AVANCE[[#This Row],[PILASTREO]]=AR$2,100%,AVANCE[[#This Row],[PILASTREO]])</f>
        <v>1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1</v>
      </c>
      <c r="CJ56" s="3">
        <f>+IF(AVANCE[[#This Row],[CERRADURAS]]=AV$2,100%,AVANCE[[#This Row],[CERRADURAS]])</f>
        <v>1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1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1</v>
      </c>
      <c r="CQ56" s="3">
        <f>+IF(AVANCE[[#This Row],[MUEBLE LAVAPLATOS]]=BC$2,100%,AVANCE[[#This Row],[MUEBLE LAVAPLATOS]])</f>
        <v>1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0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/>
      </c>
      <c r="CU56" s="43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/>
      </c>
      <c r="CV56" s="44" cm="1">
        <f t="array" ref="CV56">SUMPRODUCT(--(BG56:CR56&lt;1))</f>
        <v>0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0.99999999999999978</v>
      </c>
      <c r="F57" s="1">
        <v>46134</v>
      </c>
      <c r="G57" s="1">
        <v>46134</v>
      </c>
      <c r="H57" s="1">
        <v>46199</v>
      </c>
      <c r="I57" s="1">
        <v>46163</v>
      </c>
      <c r="K57" s="1">
        <v>46199</v>
      </c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0.11</v>
      </c>
      <c r="AB57" s="3">
        <v>1</v>
      </c>
      <c r="AC57" s="3">
        <v>0.27272727272727271</v>
      </c>
      <c r="AD57" s="3">
        <v>0.27272727272727271</v>
      </c>
      <c r="AE57" s="3">
        <v>9.0909090909090912E-2</v>
      </c>
      <c r="AF57" s="3">
        <v>0.18181818181818182</v>
      </c>
      <c r="AG57" s="3">
        <v>0.18181818181818182</v>
      </c>
      <c r="AH57" s="3">
        <v>0.36999999999999983</v>
      </c>
      <c r="AI57" s="3">
        <v>0.99999999999999956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4.0540540540540529E-2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MODULO TERMINADO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1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1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0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/>
      </c>
      <c r="CU57" s="43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/>
      </c>
      <c r="CV57" s="44" cm="1">
        <f t="array" ref="CV57">SUMPRODUCT(--(BG57:CR57&lt;1))</f>
        <v>0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0.99999999999999978</v>
      </c>
      <c r="F58" s="1">
        <v>46146</v>
      </c>
      <c r="G58" s="1">
        <v>46148</v>
      </c>
      <c r="H58" s="1">
        <v>46198</v>
      </c>
      <c r="I58" s="1">
        <v>46175</v>
      </c>
      <c r="K58" s="1">
        <v>46198</v>
      </c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0.11</v>
      </c>
      <c r="AB58" s="3">
        <v>1</v>
      </c>
      <c r="AC58" s="3">
        <v>0.27272727272727271</v>
      </c>
      <c r="AD58" s="3">
        <v>0.27272727272727271</v>
      </c>
      <c r="AE58" s="3">
        <v>9.0909090909090912E-2</v>
      </c>
      <c r="AF58" s="3">
        <v>0.18181818181818182</v>
      </c>
      <c r="AG58" s="3">
        <v>0.18181818181818182</v>
      </c>
      <c r="AH58" s="3">
        <v>0.36999999999999983</v>
      </c>
      <c r="AI58" s="3">
        <v>0.99999999999999956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1.3513513513513509E-2</v>
      </c>
      <c r="AR58" s="3">
        <v>4.0540540540540529E-2</v>
      </c>
      <c r="AS58" s="3">
        <v>1.3513513513513509E-2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4.0540540540540529E-2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MODULO TERMINADO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1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1</v>
      </c>
      <c r="CF58" s="3">
        <f>+IF(AVANCE[[#This Row],[PILASTREO]]=AR$2,100%,AVANCE[[#This Row],[PILASTREO]])</f>
        <v>1</v>
      </c>
      <c r="CG58" s="3">
        <f>+IF(AVANCE[[#This Row],[CELOSIAS]]=AS$2,100%,AVANCE[[#This Row],[CELOSIAS]])</f>
        <v>1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1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0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/>
      </c>
      <c r="CU58" s="43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/>
      </c>
      <c r="CV58" s="44" cm="1">
        <f t="array" ref="CV58">SUMPRODUCT(--(BG58:CR58&lt;1))</f>
        <v>0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0.99999999999999978</v>
      </c>
      <c r="F59" s="1">
        <v>46146</v>
      </c>
      <c r="G59" s="1">
        <v>46147</v>
      </c>
      <c r="H59" s="1">
        <v>46204</v>
      </c>
      <c r="I59" s="1">
        <v>46186</v>
      </c>
      <c r="K59" s="1">
        <v>46204</v>
      </c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0.09</v>
      </c>
      <c r="T59" s="3">
        <v>1</v>
      </c>
      <c r="U59" s="3">
        <v>0.22222222222222221</v>
      </c>
      <c r="V59" s="3">
        <v>0.22222222222222221</v>
      </c>
      <c r="W59" s="3">
        <v>0.1111111111111111</v>
      </c>
      <c r="X59" s="3">
        <v>0.1111111111111111</v>
      </c>
      <c r="Y59" s="3">
        <v>0.1111111111111111</v>
      </c>
      <c r="Z59" s="3">
        <v>0.22222222222222221</v>
      </c>
      <c r="AA59" s="3">
        <v>0.11</v>
      </c>
      <c r="AB59" s="3">
        <v>1</v>
      </c>
      <c r="AC59" s="3">
        <v>0.27272727272727271</v>
      </c>
      <c r="AD59" s="3">
        <v>0.27272727272727271</v>
      </c>
      <c r="AE59" s="3">
        <v>9.0909090909090912E-2</v>
      </c>
      <c r="AF59" s="3">
        <v>0.18181818181818182</v>
      </c>
      <c r="AG59" s="3">
        <v>0.18181818181818182</v>
      </c>
      <c r="AH59" s="3">
        <v>0.36999999999999983</v>
      </c>
      <c r="AI59" s="3">
        <v>0.99999999999999956</v>
      </c>
      <c r="AJ59" s="3">
        <v>5.4054054054054036E-2</v>
      </c>
      <c r="AK59" s="3">
        <v>5.4054054054054036E-2</v>
      </c>
      <c r="AL59" s="3">
        <v>2.7027027027027018E-2</v>
      </c>
      <c r="AM59" s="3">
        <v>8.1081081081081058E-2</v>
      </c>
      <c r="AN59" s="3">
        <v>8.1081081081081058E-2</v>
      </c>
      <c r="AO59" s="3">
        <v>6.7567567567567557E-2</v>
      </c>
      <c r="AP59" s="3">
        <v>5.4054054054054036E-2</v>
      </c>
      <c r="AQ59" s="3">
        <v>1.3513513513513509E-2</v>
      </c>
      <c r="AR59" s="3">
        <v>4.0540540540540529E-2</v>
      </c>
      <c r="AS59" s="3">
        <v>1.3513513513513509E-2</v>
      </c>
      <c r="AT59" s="3">
        <v>8.1081081081081058E-2</v>
      </c>
      <c r="AU59" s="3">
        <v>5.4054054054054036E-2</v>
      </c>
      <c r="AV59" s="3">
        <v>2.7027027027027018E-2</v>
      </c>
      <c r="AW59" s="3">
        <v>5.4054054054054036E-2</v>
      </c>
      <c r="AX59" s="3">
        <v>5.4054054054054036E-2</v>
      </c>
      <c r="AY59" s="3">
        <v>2.7027027027027018E-2</v>
      </c>
      <c r="AZ59" s="3">
        <v>4.0540540540540529E-2</v>
      </c>
      <c r="BA59" s="3">
        <v>5.4054054054054036E-2</v>
      </c>
      <c r="BB59" s="3">
        <v>8.1081081081081058E-2</v>
      </c>
      <c r="BC59" s="3">
        <v>1.3513513513513509E-2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MODULO TERMINADO</v>
      </c>
      <c r="BG59" s="3">
        <f>+IF(AVANCE[[#This Row],[VENTANAS]]=8.10810810810811%,100%,AVANCE[[#This Row],[VENTANAS]])</f>
        <v>1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1</v>
      </c>
      <c r="BP59" s="3">
        <f>+IF(AVANCE[[#This Row],[TINA]]=X$2,100%,AVANCE[[#This Row],[TINA]])</f>
        <v>1</v>
      </c>
      <c r="BQ59" s="3">
        <f>+IF(AVANCE[[#This Row],[WC]]=Y$2,100%,AVANCE[[#This Row],[WC]])</f>
        <v>1</v>
      </c>
      <c r="BR59" s="3">
        <f>+IF(AVANCE[[#This Row],[LAVAMANOS / LAVAPLATOS / LAVADERO]]=Z$2,100%,AVANCE[[#This Row],[LAVAMANOS / LAVAPLATOS / LAVADERO]])</f>
        <v>1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1</v>
      </c>
      <c r="BU59" s="3">
        <f>+IF(AVANCE[[#This Row],[ARTEFACTOS]]=AE$2,100%,AVANCE[[#This Row],[ARTEFACTOS]])</f>
        <v>1</v>
      </c>
      <c r="BV59" s="3">
        <f>+IF(AVANCE[[#This Row],[TABLERO]]=AF$2,100%,AVANCE[[#This Row],[TABLERO]])</f>
        <v>1</v>
      </c>
      <c r="BW59" s="3">
        <f>+IF(AVANCE[[#This Row],[CAJA PAU]]=AG$2,100%,AVANCE[[#This Row],[CAJA PAU]])</f>
        <v>1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1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1</v>
      </c>
      <c r="CD59" s="3">
        <f>+IF(AVANCE[[#This Row],[ZOCALOS LOGIA]]=AP$2,100%,AVANCE[[#This Row],[ZOCALOS LOGIA]])</f>
        <v>1</v>
      </c>
      <c r="CE59" s="3">
        <f>+IF(AVANCE[[#This Row],[MOLDURAS]]=AQ$2,100%,AVANCE[[#This Row],[MOLDURAS]])</f>
        <v>1</v>
      </c>
      <c r="CF59" s="3">
        <f>+IF(AVANCE[[#This Row],[PILASTREO]]=AR$2,100%,AVANCE[[#This Row],[PILASTREO]])</f>
        <v>1</v>
      </c>
      <c r="CG59" s="3">
        <f>+IF(AVANCE[[#This Row],[CELOSIAS]]=AS$2,100%,AVANCE[[#This Row],[CELOSIAS]])</f>
        <v>1</v>
      </c>
      <c r="CH59" s="3">
        <f>+IF(AVANCE[[#This Row],[VENTANAS]]=AT$2,100%,AVANCE[[#This Row],[VENTANAS]])</f>
        <v>1</v>
      </c>
      <c r="CI59" s="3">
        <f>+IF(AVANCE[[#This Row],[PUERTAS ACCESO - LOGIA - BANO]]=AU$2,100%,AVANCE[[#This Row],[PUERTAS ACCESO - LOGIA - BANO]])</f>
        <v>1</v>
      </c>
      <c r="CJ59" s="3">
        <f>+IF(AVANCE[[#This Row],[CERRADURAS]]=AV$2,100%,AVANCE[[#This Row],[CERRADURAS]])</f>
        <v>1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1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1</v>
      </c>
      <c r="CQ59" s="3">
        <f>+IF(AVANCE[[#This Row],[MUEBLE LAVAPLATOS]]=BC$2,100%,AVANCE[[#This Row],[MUEBLE LAVAPLATOS]])</f>
        <v>1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0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/>
      </c>
      <c r="CU59" s="43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/>
      </c>
      <c r="CV59" s="44" cm="1">
        <f t="array" ref="CV59">SUMPRODUCT(--(BG59:CR59&lt;1))</f>
        <v>0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0.99999999999999978</v>
      </c>
      <c r="F60" s="1">
        <v>46147</v>
      </c>
      <c r="G60" s="1">
        <v>46146</v>
      </c>
      <c r="H60" s="1">
        <v>46204</v>
      </c>
      <c r="I60" s="1">
        <v>46187</v>
      </c>
      <c r="K60" s="1">
        <v>46204</v>
      </c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0.09</v>
      </c>
      <c r="T60" s="3">
        <v>1</v>
      </c>
      <c r="U60" s="3">
        <v>0.22222222222222221</v>
      </c>
      <c r="V60" s="3">
        <v>0.22222222222222221</v>
      </c>
      <c r="W60" s="3">
        <v>0.1111111111111111</v>
      </c>
      <c r="X60" s="3">
        <v>0.1111111111111111</v>
      </c>
      <c r="Y60" s="3">
        <v>0.1111111111111111</v>
      </c>
      <c r="Z60" s="3">
        <v>0.22222222222222221</v>
      </c>
      <c r="AA60" s="3">
        <v>0.11</v>
      </c>
      <c r="AB60" s="3">
        <v>1</v>
      </c>
      <c r="AC60" s="3">
        <v>0.27272727272727271</v>
      </c>
      <c r="AD60" s="3">
        <v>0.27272727272727271</v>
      </c>
      <c r="AE60" s="3">
        <v>9.0909090909090912E-2</v>
      </c>
      <c r="AF60" s="3">
        <v>0.18181818181818182</v>
      </c>
      <c r="AG60" s="3">
        <v>0.18181818181818182</v>
      </c>
      <c r="AH60" s="3">
        <v>0.36999999999999983</v>
      </c>
      <c r="AI60" s="3">
        <v>0.99999999999999956</v>
      </c>
      <c r="AJ60" s="3">
        <v>5.4054054054054036E-2</v>
      </c>
      <c r="AK60" s="3">
        <v>5.4054054054054036E-2</v>
      </c>
      <c r="AL60" s="3">
        <v>2.7027027027027018E-2</v>
      </c>
      <c r="AM60" s="3">
        <v>8.1081081081081058E-2</v>
      </c>
      <c r="AN60" s="3">
        <v>8.1081081081081058E-2</v>
      </c>
      <c r="AO60" s="3">
        <v>6.7567567567567557E-2</v>
      </c>
      <c r="AP60" s="3">
        <v>5.4054054054054036E-2</v>
      </c>
      <c r="AQ60" s="3">
        <v>1.3513513513513509E-2</v>
      </c>
      <c r="AR60" s="3">
        <v>4.0540540540540529E-2</v>
      </c>
      <c r="AS60" s="3">
        <v>1.3513513513513509E-2</v>
      </c>
      <c r="AT60" s="3">
        <v>8.1081081081081058E-2</v>
      </c>
      <c r="AU60" s="3">
        <v>5.4054054054054036E-2</v>
      </c>
      <c r="AV60" s="3">
        <v>2.7027027027027018E-2</v>
      </c>
      <c r="AW60" s="3">
        <v>5.4054054054054036E-2</v>
      </c>
      <c r="AX60" s="3">
        <v>5.4054054054054036E-2</v>
      </c>
      <c r="AY60" s="3">
        <v>2.7027027027027018E-2</v>
      </c>
      <c r="AZ60" s="3">
        <v>4.0540540540540529E-2</v>
      </c>
      <c r="BA60" s="3">
        <v>5.4054054054054036E-2</v>
      </c>
      <c r="BB60" s="3">
        <v>8.1081081081081058E-2</v>
      </c>
      <c r="BC60" s="3">
        <v>1.3513513513513509E-2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MODULO TERMINADO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1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1</v>
      </c>
      <c r="BU60" s="3">
        <f>+IF(AVANCE[[#This Row],[ARTEFACTOS]]=AE$2,100%,AVANCE[[#This Row],[ARTEFACTOS]])</f>
        <v>1</v>
      </c>
      <c r="BV60" s="3">
        <f>+IF(AVANCE[[#This Row],[TABLERO]]=AF$2,100%,AVANCE[[#This Row],[TABLERO]])</f>
        <v>1</v>
      </c>
      <c r="BW60" s="3">
        <f>+IF(AVANCE[[#This Row],[CAJA PAU]]=AG$2,100%,AVANCE[[#This Row],[CAJA PAU]])</f>
        <v>1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1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1</v>
      </c>
      <c r="CE60" s="3">
        <f>+IF(AVANCE[[#This Row],[MOLDURAS]]=AQ$2,100%,AVANCE[[#This Row],[MOLDURAS]])</f>
        <v>1</v>
      </c>
      <c r="CF60" s="3">
        <f>+IF(AVANCE[[#This Row],[PILASTREO]]=AR$2,100%,AVANCE[[#This Row],[PILASTREO]])</f>
        <v>1</v>
      </c>
      <c r="CG60" s="3">
        <f>+IF(AVANCE[[#This Row],[CELOSIAS]]=AS$2,100%,AVANCE[[#This Row],[CELOSIAS]])</f>
        <v>1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1</v>
      </c>
      <c r="CJ60" s="3">
        <f>+IF(AVANCE[[#This Row],[CERRADURAS]]=AV$2,100%,AVANCE[[#This Row],[CERRADURAS]])</f>
        <v>1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1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1</v>
      </c>
      <c r="CQ60" s="3">
        <f>+IF(AVANCE[[#This Row],[MUEBLE LAVAPLATOS]]=BC$2,100%,AVANCE[[#This Row],[MUEBLE LAVAPLATOS]])</f>
        <v>1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0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/>
      </c>
      <c r="CU60" s="43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/>
      </c>
      <c r="CV60" s="44" cm="1">
        <f t="array" ref="CV60">SUMPRODUCT(--(BG60:CR60&lt;1))</f>
        <v>0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0.99999999999999978</v>
      </c>
      <c r="F61" s="1">
        <v>46147</v>
      </c>
      <c r="G61" s="1">
        <v>46149</v>
      </c>
      <c r="H61" s="1">
        <v>46203</v>
      </c>
      <c r="I61" s="1">
        <v>46176</v>
      </c>
      <c r="K61" s="1">
        <v>46203</v>
      </c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0.11</v>
      </c>
      <c r="AB61" s="3">
        <v>1</v>
      </c>
      <c r="AC61" s="3">
        <v>0.27272727272727271</v>
      </c>
      <c r="AD61" s="3">
        <v>0.27272727272727271</v>
      </c>
      <c r="AE61" s="3">
        <v>9.0909090909090912E-2</v>
      </c>
      <c r="AF61" s="3">
        <v>0.18181818181818182</v>
      </c>
      <c r="AG61" s="3">
        <v>0.18181818181818182</v>
      </c>
      <c r="AH61" s="3">
        <v>0.36999999999999983</v>
      </c>
      <c r="AI61" s="3">
        <v>0.99999999999999956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1.3513513513513509E-2</v>
      </c>
      <c r="AR61" s="3">
        <v>4.0540540540540529E-2</v>
      </c>
      <c r="AS61" s="3">
        <v>1.3513513513513509E-2</v>
      </c>
      <c r="AT61" s="3">
        <v>8.1081081081081058E-2</v>
      </c>
      <c r="AU61" s="3">
        <v>5.4054054054054036E-2</v>
      </c>
      <c r="AV61" s="3">
        <v>2.7027027027027018E-2</v>
      </c>
      <c r="AW61" s="3">
        <v>5.4054054054054036E-2</v>
      </c>
      <c r="AX61" s="3">
        <v>5.4054054054054036E-2</v>
      </c>
      <c r="AY61" s="3">
        <v>2.7027027027027018E-2</v>
      </c>
      <c r="AZ61" s="3">
        <v>4.0540540540540529E-2</v>
      </c>
      <c r="BA61" s="3">
        <v>5.4054054054054036E-2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MODULO TERMINADO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1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1</v>
      </c>
      <c r="CF61" s="3">
        <f>+IF(AVANCE[[#This Row],[PILASTREO]]=AR$2,100%,AVANCE[[#This Row],[PILASTREO]])</f>
        <v>1</v>
      </c>
      <c r="CG61" s="3">
        <f>+IF(AVANCE[[#This Row],[CELOSIAS]]=AS$2,100%,AVANCE[[#This Row],[CELOSIAS]])</f>
        <v>1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1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1</v>
      </c>
      <c r="CO61" s="3">
        <f>+IF(AVANCE[[#This Row],[PUERTAS DORMITORIO]]=BA$2,100%,AVANCE[[#This Row],[PUERTAS DORMITORIO]])</f>
        <v>1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0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/>
      </c>
      <c r="CU61" s="43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/>
      </c>
      <c r="CV61" s="44" cm="1">
        <f t="array" ref="CV61">SUMPRODUCT(--(BG61:CR61&lt;1))</f>
        <v>0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0.99999999999999978</v>
      </c>
      <c r="F62" s="1">
        <v>46148</v>
      </c>
      <c r="G62" s="1">
        <v>46150</v>
      </c>
      <c r="H62" s="1">
        <v>46203</v>
      </c>
      <c r="I62" s="1">
        <v>46177</v>
      </c>
      <c r="K62" s="1">
        <v>46203</v>
      </c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0.11</v>
      </c>
      <c r="AB62" s="3">
        <v>1</v>
      </c>
      <c r="AC62" s="3">
        <v>0.27272727272727271</v>
      </c>
      <c r="AD62" s="3">
        <v>0.27272727272727271</v>
      </c>
      <c r="AE62" s="3">
        <v>9.0909090909090912E-2</v>
      </c>
      <c r="AF62" s="3">
        <v>0.18181818181818182</v>
      </c>
      <c r="AG62" s="3">
        <v>0.18181818181818182</v>
      </c>
      <c r="AH62" s="3">
        <v>0.36999999999999983</v>
      </c>
      <c r="AI62" s="3">
        <v>0.99999999999999956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1.3513513513513509E-2</v>
      </c>
      <c r="AR62" s="3">
        <v>4.0540540540540529E-2</v>
      </c>
      <c r="AS62" s="3">
        <v>1.3513513513513509E-2</v>
      </c>
      <c r="AT62" s="3">
        <v>8.1081081081081058E-2</v>
      </c>
      <c r="AU62" s="3">
        <v>5.4054054054054036E-2</v>
      </c>
      <c r="AV62" s="3">
        <v>2.7027027027027018E-2</v>
      </c>
      <c r="AW62" s="3">
        <v>5.4054054054054036E-2</v>
      </c>
      <c r="AX62" s="3">
        <v>5.4054054054054036E-2</v>
      </c>
      <c r="AY62" s="3">
        <v>2.7027027027027018E-2</v>
      </c>
      <c r="AZ62" s="3">
        <v>4.0540540540540529E-2</v>
      </c>
      <c r="BA62" s="3">
        <v>5.4054054054054036E-2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MODULO TERMINADO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1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1</v>
      </c>
      <c r="CF62" s="3">
        <f>+IF(AVANCE[[#This Row],[PILASTREO]]=AR$2,100%,AVANCE[[#This Row],[PILASTREO]])</f>
        <v>1</v>
      </c>
      <c r="CG62" s="3">
        <f>+IF(AVANCE[[#This Row],[CELOSIAS]]=AS$2,100%,AVANCE[[#This Row],[CELOSIAS]])</f>
        <v>1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1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1</v>
      </c>
      <c r="CO62" s="3">
        <f>+IF(AVANCE[[#This Row],[PUERTAS DORMITORIO]]=BA$2,100%,AVANCE[[#This Row],[PUERTAS DORMITORIO]])</f>
        <v>1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0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/>
      </c>
      <c r="CU62" s="43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/>
      </c>
      <c r="CV62" s="44" cm="1">
        <f t="array" ref="CV62">SUMPRODUCT(--(BG62:CR62&lt;1))</f>
        <v>0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0.99999999999999978</v>
      </c>
      <c r="F63" s="1">
        <v>46148</v>
      </c>
      <c r="G63" s="1">
        <v>46149</v>
      </c>
      <c r="H63" s="1">
        <v>46205</v>
      </c>
      <c r="I63" s="1">
        <v>46188</v>
      </c>
      <c r="K63" s="1">
        <v>46205</v>
      </c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0.09</v>
      </c>
      <c r="T63" s="3">
        <v>1</v>
      </c>
      <c r="U63" s="3">
        <v>0.22222222222222221</v>
      </c>
      <c r="V63" s="3">
        <v>0.22222222222222221</v>
      </c>
      <c r="W63" s="3">
        <v>0.1111111111111111</v>
      </c>
      <c r="X63" s="3">
        <v>0.1111111111111111</v>
      </c>
      <c r="Y63" s="3">
        <v>0.1111111111111111</v>
      </c>
      <c r="Z63" s="3">
        <v>0.22222222222222221</v>
      </c>
      <c r="AA63" s="3">
        <v>0.11</v>
      </c>
      <c r="AB63" s="3">
        <v>1</v>
      </c>
      <c r="AC63" s="3">
        <v>0.27272727272727271</v>
      </c>
      <c r="AD63" s="3">
        <v>0.27272727272727271</v>
      </c>
      <c r="AE63" s="3">
        <v>9.0909090909090912E-2</v>
      </c>
      <c r="AF63" s="3">
        <v>0.18181818181818182</v>
      </c>
      <c r="AG63" s="3">
        <v>0.18181818181818182</v>
      </c>
      <c r="AH63" s="3">
        <v>0.36999999999999983</v>
      </c>
      <c r="AI63" s="3">
        <v>0.99999999999999956</v>
      </c>
      <c r="AJ63" s="3">
        <v>5.4054054054054036E-2</v>
      </c>
      <c r="AK63" s="3">
        <v>5.4054054054054036E-2</v>
      </c>
      <c r="AL63" s="3">
        <v>2.7027027027027018E-2</v>
      </c>
      <c r="AM63" s="3">
        <v>8.1081081081081058E-2</v>
      </c>
      <c r="AN63" s="3">
        <v>8.1081081081081058E-2</v>
      </c>
      <c r="AO63" s="3">
        <v>6.7567567567567557E-2</v>
      </c>
      <c r="AP63" s="3">
        <v>5.4054054054054036E-2</v>
      </c>
      <c r="AQ63" s="3">
        <v>1.3513513513513509E-2</v>
      </c>
      <c r="AR63" s="3">
        <v>4.0540540540540529E-2</v>
      </c>
      <c r="AS63" s="3">
        <v>1.3513513513513509E-2</v>
      </c>
      <c r="AT63" s="3">
        <v>8.1081081081081058E-2</v>
      </c>
      <c r="AU63" s="3">
        <v>5.4054054054054036E-2</v>
      </c>
      <c r="AV63" s="3">
        <v>2.7027027027027018E-2</v>
      </c>
      <c r="AW63" s="3">
        <v>5.4054054054054036E-2</v>
      </c>
      <c r="AX63" s="3">
        <v>5.4054054054054036E-2</v>
      </c>
      <c r="AY63" s="3">
        <v>2.7027027027027018E-2</v>
      </c>
      <c r="AZ63" s="3">
        <v>4.0540540540540529E-2</v>
      </c>
      <c r="BA63" s="3">
        <v>5.4054054054054036E-2</v>
      </c>
      <c r="BB63" s="3">
        <v>8.1081081081081058E-2</v>
      </c>
      <c r="BC63" s="3">
        <v>1.3513513513513509E-2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MODULO TERMINADO</v>
      </c>
      <c r="BG63" s="3">
        <f>+IF(AVANCE[[#This Row],[VENTANAS]]=8.10810810810811%,100%,AVANCE[[#This Row],[VENTANAS]])</f>
        <v>1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1</v>
      </c>
      <c r="BP63" s="3">
        <f>+IF(AVANCE[[#This Row],[TINA]]=X$2,100%,AVANCE[[#This Row],[TINA]])</f>
        <v>1</v>
      </c>
      <c r="BQ63" s="3">
        <f>+IF(AVANCE[[#This Row],[WC]]=Y$2,100%,AVANCE[[#This Row],[WC]])</f>
        <v>1</v>
      </c>
      <c r="BR63" s="3">
        <f>+IF(AVANCE[[#This Row],[LAVAMANOS / LAVAPLATOS / LAVADERO]]=Z$2,100%,AVANCE[[#This Row],[LAVAMANOS / LAVAPLATOS / LAVADERO]])</f>
        <v>1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1</v>
      </c>
      <c r="BU63" s="3">
        <f>+IF(AVANCE[[#This Row],[ARTEFACTOS]]=AE$2,100%,AVANCE[[#This Row],[ARTEFACTOS]])</f>
        <v>1</v>
      </c>
      <c r="BV63" s="3">
        <f>+IF(AVANCE[[#This Row],[TABLERO]]=AF$2,100%,AVANCE[[#This Row],[TABLERO]])</f>
        <v>1</v>
      </c>
      <c r="BW63" s="3">
        <f>+IF(AVANCE[[#This Row],[CAJA PAU]]=AG$2,100%,AVANCE[[#This Row],[CAJA PAU]])</f>
        <v>1</v>
      </c>
      <c r="BX63" s="3">
        <f>+IF(AVANCE[[#This Row],[INSTALACION VINILICO]]=AJ$2,100%,AVANCE[[#This Row],[INSTALACION VINILICO]])</f>
        <v>1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1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1</v>
      </c>
      <c r="CC63" s="3">
        <f>+IF(AVANCE[[#This Row],[PINTURA EXTERIOR]]=AO$2,100%,AVANCE[[#This Row],[PINTURA EXTERIOR]])</f>
        <v>1</v>
      </c>
      <c r="CD63" s="3">
        <f>+IF(AVANCE[[#This Row],[ZOCALOS LOGIA]]=AP$2,100%,AVANCE[[#This Row],[ZOCALOS LOGIA]])</f>
        <v>1</v>
      </c>
      <c r="CE63" s="3">
        <f>+IF(AVANCE[[#This Row],[MOLDURAS]]=AQ$2,100%,AVANCE[[#This Row],[MOLDURAS]])</f>
        <v>1</v>
      </c>
      <c r="CF63" s="3">
        <f>+IF(AVANCE[[#This Row],[PILASTREO]]=AR$2,100%,AVANCE[[#This Row],[PILASTREO]])</f>
        <v>1</v>
      </c>
      <c r="CG63" s="3">
        <f>+IF(AVANCE[[#This Row],[CELOSIAS]]=AS$2,100%,AVANCE[[#This Row],[CELOSIAS]])</f>
        <v>1</v>
      </c>
      <c r="CH63" s="3">
        <f>+IF(AVANCE[[#This Row],[VENTANAS]]=AT$2,100%,AVANCE[[#This Row],[VENTANAS]])</f>
        <v>1</v>
      </c>
      <c r="CI63" s="3">
        <f>+IF(AVANCE[[#This Row],[PUERTAS ACCESO - LOGIA - BANO]]=AU$2,100%,AVANCE[[#This Row],[PUERTAS ACCESO - LOGIA - BANO]])</f>
        <v>1</v>
      </c>
      <c r="CJ63" s="3">
        <f>+IF(AVANCE[[#This Row],[CERRADURAS]]=AV$2,100%,AVANCE[[#This Row],[CERRADURAS]])</f>
        <v>1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1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1</v>
      </c>
      <c r="CQ63" s="3">
        <f>+IF(AVANCE[[#This Row],[MUEBLE LAVAPLATOS]]=BC$2,100%,AVANCE[[#This Row],[MUEBLE LAVAPLATOS]])</f>
        <v>1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0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/>
      </c>
      <c r="CU63" s="43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/>
      </c>
      <c r="CV63" s="44" cm="1">
        <f t="array" ref="CV63">SUMPRODUCT(--(BG63:CR63&lt;1))</f>
        <v>0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0.99999999999999978</v>
      </c>
      <c r="F64" s="1">
        <v>46149</v>
      </c>
      <c r="G64" s="1">
        <v>46147</v>
      </c>
      <c r="H64" s="1">
        <v>46206</v>
      </c>
      <c r="I64" s="1">
        <v>46189</v>
      </c>
      <c r="K64" s="1">
        <v>46206</v>
      </c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0.09</v>
      </c>
      <c r="T64" s="3">
        <v>1</v>
      </c>
      <c r="U64" s="3">
        <v>0.22222222222222221</v>
      </c>
      <c r="V64" s="3">
        <v>0.22222222222222221</v>
      </c>
      <c r="W64" s="3">
        <v>0.1111111111111111</v>
      </c>
      <c r="X64" s="3">
        <v>0.1111111111111111</v>
      </c>
      <c r="Y64" s="3">
        <v>0.1111111111111111</v>
      </c>
      <c r="Z64" s="3">
        <v>0.22222222222222221</v>
      </c>
      <c r="AA64" s="3">
        <v>0.11</v>
      </c>
      <c r="AB64" s="3">
        <v>1</v>
      </c>
      <c r="AC64" s="3">
        <v>0.27272727272727271</v>
      </c>
      <c r="AD64" s="3">
        <v>0.27272727272727271</v>
      </c>
      <c r="AE64" s="3">
        <v>9.0909090909090912E-2</v>
      </c>
      <c r="AF64" s="3">
        <v>0.18181818181818182</v>
      </c>
      <c r="AG64" s="3">
        <v>0.18181818181818182</v>
      </c>
      <c r="AH64" s="3">
        <v>0.36999999999999983</v>
      </c>
      <c r="AI64" s="3">
        <v>0.99999999999999956</v>
      </c>
      <c r="AJ64" s="3">
        <v>5.4054054054054036E-2</v>
      </c>
      <c r="AK64" s="3">
        <v>5.4054054054054036E-2</v>
      </c>
      <c r="AL64" s="3">
        <v>2.7027027027027018E-2</v>
      </c>
      <c r="AM64" s="3">
        <v>8.1081081081081058E-2</v>
      </c>
      <c r="AN64" s="3">
        <v>8.1081081081081058E-2</v>
      </c>
      <c r="AO64" s="3">
        <v>6.7567567567567557E-2</v>
      </c>
      <c r="AP64" s="3">
        <v>5.4054054054054036E-2</v>
      </c>
      <c r="AQ64" s="3">
        <v>1.3513513513513509E-2</v>
      </c>
      <c r="AR64" s="3">
        <v>4.0540540540540529E-2</v>
      </c>
      <c r="AS64" s="3">
        <v>1.3513513513513509E-2</v>
      </c>
      <c r="AT64" s="3">
        <v>8.1081081081081058E-2</v>
      </c>
      <c r="AU64" s="3">
        <v>5.4054054054054036E-2</v>
      </c>
      <c r="AV64" s="3">
        <v>2.7027027027027018E-2</v>
      </c>
      <c r="AW64" s="3">
        <v>5.4054054054054036E-2</v>
      </c>
      <c r="AX64" s="3">
        <v>5.4054054054054036E-2</v>
      </c>
      <c r="AY64" s="3">
        <v>2.7027027027027018E-2</v>
      </c>
      <c r="AZ64" s="3">
        <v>4.0540540540540529E-2</v>
      </c>
      <c r="BA64" s="3">
        <v>5.4054054054054036E-2</v>
      </c>
      <c r="BB64" s="3">
        <v>8.1081081081081058E-2</v>
      </c>
      <c r="BC64" s="3">
        <v>1.3513513513513509E-2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MODULO TERMINADO</v>
      </c>
      <c r="BG64" s="3">
        <f>+IF(AVANCE[[#This Row],[VENTANAS]]=8.10810810810811%,100%,AVANCE[[#This Row],[VENTANAS]])</f>
        <v>1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1</v>
      </c>
      <c r="BP64" s="3">
        <f>+IF(AVANCE[[#This Row],[TINA]]=X$2,100%,AVANCE[[#This Row],[TINA]])</f>
        <v>1</v>
      </c>
      <c r="BQ64" s="3">
        <f>+IF(AVANCE[[#This Row],[WC]]=Y$2,100%,AVANCE[[#This Row],[WC]])</f>
        <v>1</v>
      </c>
      <c r="BR64" s="3">
        <f>+IF(AVANCE[[#This Row],[LAVAMANOS / LAVAPLATOS / LAVADERO]]=Z$2,100%,AVANCE[[#This Row],[LAVAMANOS / LAVAPLATOS / LAVADERO]])</f>
        <v>1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1</v>
      </c>
      <c r="BU64" s="3">
        <f>+IF(AVANCE[[#This Row],[ARTEFACTOS]]=AE$2,100%,AVANCE[[#This Row],[ARTEFACTOS]])</f>
        <v>1</v>
      </c>
      <c r="BV64" s="3">
        <f>+IF(AVANCE[[#This Row],[TABLERO]]=AF$2,100%,AVANCE[[#This Row],[TABLERO]])</f>
        <v>1</v>
      </c>
      <c r="BW64" s="3">
        <f>+IF(AVANCE[[#This Row],[CAJA PAU]]=AG$2,100%,AVANCE[[#This Row],[CAJA PAU]])</f>
        <v>1</v>
      </c>
      <c r="BX64" s="3">
        <f>+IF(AVANCE[[#This Row],[INSTALACION VINILICO]]=AJ$2,100%,AVANCE[[#This Row],[INSTALACION VINILICO]])</f>
        <v>1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1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1</v>
      </c>
      <c r="CE64" s="3">
        <f>+IF(AVANCE[[#This Row],[MOLDURAS]]=AQ$2,100%,AVANCE[[#This Row],[MOLDURAS]])</f>
        <v>1</v>
      </c>
      <c r="CF64" s="3">
        <f>+IF(AVANCE[[#This Row],[PILASTREO]]=AR$2,100%,AVANCE[[#This Row],[PILASTREO]])</f>
        <v>1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1</v>
      </c>
      <c r="CI64" s="3">
        <f>+IF(AVANCE[[#This Row],[PUERTAS ACCESO - LOGIA - BANO]]=AU$2,100%,AVANCE[[#This Row],[PUERTAS ACCESO - LOGIA - BANO]])</f>
        <v>1</v>
      </c>
      <c r="CJ64" s="3">
        <f>+IF(AVANCE[[#This Row],[CERRADURAS]]=AV$2,100%,AVANCE[[#This Row],[CERRADURAS]])</f>
        <v>1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1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1</v>
      </c>
      <c r="CQ64" s="3">
        <f>+IF(AVANCE[[#This Row],[MUEBLE LAVAPLATOS]]=BC$2,100%,AVANCE[[#This Row],[MUEBLE LAVAPLATOS]])</f>
        <v>1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0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/>
      </c>
      <c r="CU64" s="43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/>
      </c>
      <c r="CV64" s="44" cm="1">
        <f t="array" ref="CV64">SUMPRODUCT(--(BG64:CR64&lt;1))</f>
        <v>0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0.99999999999999978</v>
      </c>
      <c r="F65" s="1">
        <v>46149</v>
      </c>
      <c r="G65" s="1">
        <v>46149</v>
      </c>
      <c r="H65" s="1">
        <v>46205</v>
      </c>
      <c r="I65" s="1">
        <v>46178</v>
      </c>
      <c r="K65" s="1">
        <v>46205</v>
      </c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0.11</v>
      </c>
      <c r="AB65" s="3">
        <v>1</v>
      </c>
      <c r="AC65" s="3">
        <v>0.27272727272727271</v>
      </c>
      <c r="AD65" s="3">
        <v>0.27272727272727271</v>
      </c>
      <c r="AE65" s="3">
        <v>9.0909090909090912E-2</v>
      </c>
      <c r="AF65" s="3">
        <v>0.18181818181818182</v>
      </c>
      <c r="AG65" s="3">
        <v>0.18181818181818182</v>
      </c>
      <c r="AH65" s="3">
        <v>0.36999999999999983</v>
      </c>
      <c r="AI65" s="3">
        <v>0.99999999999999956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1.3513513513513509E-2</v>
      </c>
      <c r="AR65" s="3">
        <v>4.0540540540540529E-2</v>
      </c>
      <c r="AS65" s="3">
        <v>1.3513513513513509E-2</v>
      </c>
      <c r="AT65" s="3">
        <v>8.1081081081081058E-2</v>
      </c>
      <c r="AU65" s="3">
        <v>5.4054054054054036E-2</v>
      </c>
      <c r="AV65" s="3">
        <v>2.7027027027027018E-2</v>
      </c>
      <c r="AW65" s="3">
        <v>5.4054054054054036E-2</v>
      </c>
      <c r="AX65" s="3">
        <v>5.4054054054054036E-2</v>
      </c>
      <c r="AY65" s="3">
        <v>2.7027027027027018E-2</v>
      </c>
      <c r="AZ65" s="3">
        <v>4.0540540540540529E-2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MODULO TERMINADO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1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1</v>
      </c>
      <c r="CF65" s="3">
        <f>+IF(AVANCE[[#This Row],[PILASTREO]]=AR$2,100%,AVANCE[[#This Row],[PILASTREO]])</f>
        <v>1</v>
      </c>
      <c r="CG65" s="3">
        <f>+IF(AVANCE[[#This Row],[CELOSIAS]]=AS$2,100%,AVANCE[[#This Row],[CELOSIAS]])</f>
        <v>1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1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1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0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/>
      </c>
      <c r="CU65" s="43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/>
      </c>
      <c r="CV65" s="44" cm="1">
        <f t="array" ref="CV65">SUMPRODUCT(--(BG65:CR65&lt;1))</f>
        <v>0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0.99999999999999978</v>
      </c>
      <c r="F66" s="1">
        <v>46150</v>
      </c>
      <c r="G66" s="1">
        <v>46153</v>
      </c>
      <c r="H66" s="1">
        <v>46205</v>
      </c>
      <c r="I66" s="1">
        <v>46176</v>
      </c>
      <c r="K66" s="1">
        <v>46205</v>
      </c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0.11</v>
      </c>
      <c r="AB66" s="3">
        <v>1</v>
      </c>
      <c r="AC66" s="3">
        <v>0.27272727272727271</v>
      </c>
      <c r="AD66" s="3">
        <v>0.27272727272727271</v>
      </c>
      <c r="AE66" s="3">
        <v>9.0909090909090912E-2</v>
      </c>
      <c r="AF66" s="3">
        <v>0.18181818181818182</v>
      </c>
      <c r="AG66" s="3">
        <v>0.18181818181818182</v>
      </c>
      <c r="AH66" s="3">
        <v>0.36999999999999983</v>
      </c>
      <c r="AI66" s="3">
        <v>0.99999999999999956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1.3513513513513509E-2</v>
      </c>
      <c r="AR66" s="3">
        <v>4.0540540540540529E-2</v>
      </c>
      <c r="AS66" s="3">
        <v>1.3513513513513509E-2</v>
      </c>
      <c r="AT66" s="3">
        <v>8.1081081081081058E-2</v>
      </c>
      <c r="AU66" s="3">
        <v>5.4054054054054036E-2</v>
      </c>
      <c r="AV66" s="3">
        <v>2.7027027027027018E-2</v>
      </c>
      <c r="AW66" s="3">
        <v>5.4054054054054036E-2</v>
      </c>
      <c r="AX66" s="3">
        <v>5.4054054054054036E-2</v>
      </c>
      <c r="AY66" s="3">
        <v>2.7027027027027018E-2</v>
      </c>
      <c r="AZ66" s="3">
        <v>4.0540540540540529E-2</v>
      </c>
      <c r="BA66" s="3">
        <v>5.4054054054054036E-2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MODULO TERMINADO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1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1</v>
      </c>
      <c r="CF66" s="3">
        <f>+IF(AVANCE[[#This Row],[PILASTREO]]=AR$2,100%,AVANCE[[#This Row],[PILASTREO]])</f>
        <v>1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1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1</v>
      </c>
      <c r="CO66" s="3">
        <f>+IF(AVANCE[[#This Row],[PUERTAS DORMITORIO]]=BA$2,100%,AVANCE[[#This Row],[PUERTAS DORMITORIO]])</f>
        <v>1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0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/>
      </c>
      <c r="CU66" s="43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/>
      </c>
      <c r="CV66" s="44" cm="1">
        <f t="array" ref="CV66">SUMPRODUCT(--(BG66:CR66&lt;1))</f>
        <v>0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0.98499999999999988</v>
      </c>
      <c r="F67" s="1">
        <v>46150</v>
      </c>
      <c r="G67" s="1">
        <v>46154</v>
      </c>
      <c r="H67" s="1">
        <v>46209</v>
      </c>
      <c r="I67" s="1">
        <v>46186</v>
      </c>
      <c r="J67">
        <v>1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0.09</v>
      </c>
      <c r="T67" s="3">
        <v>1</v>
      </c>
      <c r="U67" s="3">
        <v>0.22222222222222221</v>
      </c>
      <c r="V67" s="3">
        <v>0.22222222222222221</v>
      </c>
      <c r="W67" s="3">
        <v>0.1111111111111111</v>
      </c>
      <c r="X67" s="3">
        <v>0.1111111111111111</v>
      </c>
      <c r="Y67" s="3">
        <v>0.1111111111111111</v>
      </c>
      <c r="Z67" s="3">
        <v>0.22222222222222221</v>
      </c>
      <c r="AA67" s="3">
        <v>0.11</v>
      </c>
      <c r="AB67" s="3">
        <v>1</v>
      </c>
      <c r="AC67" s="3">
        <v>0.27272727272727271</v>
      </c>
      <c r="AD67" s="3">
        <v>0.27272727272727271</v>
      </c>
      <c r="AE67" s="3">
        <v>9.0909090909090912E-2</v>
      </c>
      <c r="AF67" s="3">
        <v>0.18181818181818182</v>
      </c>
      <c r="AG67" s="3">
        <v>0.18181818181818182</v>
      </c>
      <c r="AH67" s="3">
        <v>0.35499999999999982</v>
      </c>
      <c r="AI67" s="3">
        <v>0.95945945945945899</v>
      </c>
      <c r="AJ67" s="3">
        <v>5.4054054054054036E-2</v>
      </c>
      <c r="AK67" s="3">
        <v>5.4054054054054036E-2</v>
      </c>
      <c r="AL67" s="3">
        <v>2.7027027027027018E-2</v>
      </c>
      <c r="AM67" s="3">
        <v>8.1081081081081058E-2</v>
      </c>
      <c r="AN67" s="3">
        <v>8.1081081081081058E-2</v>
      </c>
      <c r="AO67" s="3">
        <v>6.7567567567567557E-2</v>
      </c>
      <c r="AP67" s="3">
        <v>5.4054054054054036E-2</v>
      </c>
      <c r="AQ67" s="3">
        <v>1.3513513513513509E-2</v>
      </c>
      <c r="AR67" s="3">
        <v>4.0540540540540529E-2</v>
      </c>
      <c r="AS67" s="3">
        <v>1.3513513513513509E-2</v>
      </c>
      <c r="AT67" s="3">
        <v>8.1081081081081058E-2</v>
      </c>
      <c r="AU67" s="3">
        <v>5.4054054054054036E-2</v>
      </c>
      <c r="AV67" s="3">
        <v>2.7027027027027018E-2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8.1081081081081058E-2</v>
      </c>
      <c r="BC67" s="3">
        <v>1.3513513513513509E-2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1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1</v>
      </c>
      <c r="BP67" s="3">
        <f>+IF(AVANCE[[#This Row],[TINA]]=X$2,100%,AVANCE[[#This Row],[TINA]])</f>
        <v>1</v>
      </c>
      <c r="BQ67" s="3">
        <f>+IF(AVANCE[[#This Row],[WC]]=Y$2,100%,AVANCE[[#This Row],[WC]])</f>
        <v>1</v>
      </c>
      <c r="BR67" s="3">
        <f>+IF(AVANCE[[#This Row],[LAVAMANOS / LAVAPLATOS / LAVADERO]]=Z$2,100%,AVANCE[[#This Row],[LAVAMANOS / LAVAPLATOS / LAVADERO]])</f>
        <v>1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1</v>
      </c>
      <c r="BV67" s="3">
        <f>+IF(AVANCE[[#This Row],[TABLERO]]=AF$2,100%,AVANCE[[#This Row],[TABLERO]])</f>
        <v>1</v>
      </c>
      <c r="BW67" s="3">
        <f>+IF(AVANCE[[#This Row],[CAJA PAU]]=AG$2,100%,AVANCE[[#This Row],[CAJA PAU]])</f>
        <v>1</v>
      </c>
      <c r="BX67" s="3">
        <f>+IF(AVANCE[[#This Row],[INSTALACION VINILICO]]=AJ$2,100%,AVANCE[[#This Row],[INSTALACION VINILICO]])</f>
        <v>1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1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1</v>
      </c>
      <c r="CD67" s="3">
        <f>+IF(AVANCE[[#This Row],[ZOCALOS LOGIA]]=AP$2,100%,AVANCE[[#This Row],[ZOCALOS LOGIA]])</f>
        <v>1</v>
      </c>
      <c r="CE67" s="3">
        <f>+IF(AVANCE[[#This Row],[MOLDURAS]]=AQ$2,100%,AVANCE[[#This Row],[MOLDURAS]])</f>
        <v>1</v>
      </c>
      <c r="CF67" s="3">
        <f>+IF(AVANCE[[#This Row],[PILASTREO]]=AR$2,100%,AVANCE[[#This Row],[PILASTREO]])</f>
        <v>1</v>
      </c>
      <c r="CG67" s="3">
        <f>+IF(AVANCE[[#This Row],[CELOSIAS]]=AS$2,100%,AVANCE[[#This Row],[CELOSIAS]])</f>
        <v>1</v>
      </c>
      <c r="CH67" s="3">
        <f>+IF(AVANCE[[#This Row],[VENTANAS]]=AT$2,100%,AVANCE[[#This Row],[VENTANAS]])</f>
        <v>1</v>
      </c>
      <c r="CI67" s="3">
        <f>+IF(AVANCE[[#This Row],[PUERTAS ACCESO - LOGIA - BANO]]=AU$2,100%,AVANCE[[#This Row],[PUERTAS ACCESO - LOGIA - BANO]])</f>
        <v>1</v>
      </c>
      <c r="CJ67" s="3">
        <f>+IF(AVANCE[[#This Row],[CERRADURAS]]=AV$2,100%,AVANCE[[#This Row],[CERRADURAS]])</f>
        <v>1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1</v>
      </c>
      <c r="CQ67" s="3">
        <f>+IF(AVANCE[[#This Row],[MUEBLE LAVAPLATOS]]=BC$2,100%,AVANCE[[#This Row],[MUEBLE LAVAPLATOS]])</f>
        <v>1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24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TERMINACIONES: LIMPIEZA FINAL</v>
      </c>
      <c r="CU67" s="43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TERMINACIONES</v>
      </c>
      <c r="CV67" s="44" cm="1">
        <f t="array" ref="CV67">SUMPRODUCT(--(BG67:CR67&lt;1))</f>
        <v>1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0.97499999999999987</v>
      </c>
      <c r="F68" s="1">
        <v>46153</v>
      </c>
      <c r="G68" s="1">
        <v>46158</v>
      </c>
      <c r="H68" s="1">
        <v>46209</v>
      </c>
      <c r="I68" s="1">
        <v>46189</v>
      </c>
      <c r="J68">
        <v>1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0.08</v>
      </c>
      <c r="T68" s="3">
        <v>0.88888888888888895</v>
      </c>
      <c r="U68" s="3">
        <v>0.22222222222222221</v>
      </c>
      <c r="V68" s="3">
        <v>0.22222222222222221</v>
      </c>
      <c r="W68" s="3">
        <v>0</v>
      </c>
      <c r="X68" s="3">
        <v>0.1111111111111111</v>
      </c>
      <c r="Y68" s="3">
        <v>0.1111111111111111</v>
      </c>
      <c r="Z68" s="3">
        <v>0.22222222222222221</v>
      </c>
      <c r="AA68" s="3">
        <v>0.11</v>
      </c>
      <c r="AB68" s="3">
        <v>1</v>
      </c>
      <c r="AC68" s="3">
        <v>0.27272727272727271</v>
      </c>
      <c r="AD68" s="3">
        <v>0.27272727272727271</v>
      </c>
      <c r="AE68" s="3">
        <v>9.0909090909090912E-2</v>
      </c>
      <c r="AF68" s="3">
        <v>0.18181818181818182</v>
      </c>
      <c r="AG68" s="3">
        <v>0.18181818181818182</v>
      </c>
      <c r="AH68" s="3">
        <v>0.35499999999999982</v>
      </c>
      <c r="AI68" s="3">
        <v>0.95945945945945899</v>
      </c>
      <c r="AJ68" s="3">
        <v>5.4054054054054036E-2</v>
      </c>
      <c r="AK68" s="3">
        <v>5.4054054054054036E-2</v>
      </c>
      <c r="AL68" s="3">
        <v>2.7027027027027018E-2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1.3513513513513509E-2</v>
      </c>
      <c r="AR68" s="3">
        <v>4.0540540540540529E-2</v>
      </c>
      <c r="AS68" s="3">
        <v>1.3513513513513509E-2</v>
      </c>
      <c r="AT68" s="3">
        <v>8.1081081081081058E-2</v>
      </c>
      <c r="AU68" s="3">
        <v>5.4054054054054036E-2</v>
      </c>
      <c r="AV68" s="3">
        <v>2.7027027027027018E-2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8.1081081081081058E-2</v>
      </c>
      <c r="BC68" s="3">
        <v>1.3513513513513509E-2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1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1</v>
      </c>
      <c r="BQ68" s="3">
        <f>+IF(AVANCE[[#This Row],[WC]]=Y$2,100%,AVANCE[[#This Row],[WC]])</f>
        <v>1</v>
      </c>
      <c r="BR68" s="3">
        <f>+IF(AVANCE[[#This Row],[LAVAMANOS / LAVAPLATOS / LAVADERO]]=Z$2,100%,AVANCE[[#This Row],[LAVAMANOS / LAVAPLATOS / LAVADERO]])</f>
        <v>1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1</v>
      </c>
      <c r="BU68" s="3">
        <f>+IF(AVANCE[[#This Row],[ARTEFACTOS]]=AE$2,100%,AVANCE[[#This Row],[ARTEFACTOS]])</f>
        <v>1</v>
      </c>
      <c r="BV68" s="3">
        <f>+IF(AVANCE[[#This Row],[TABLERO]]=AF$2,100%,AVANCE[[#This Row],[TABLERO]])</f>
        <v>1</v>
      </c>
      <c r="BW68" s="3">
        <f>+IF(AVANCE[[#This Row],[CAJA PAU]]=AG$2,100%,AVANCE[[#This Row],[CAJA PAU]])</f>
        <v>1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1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1</v>
      </c>
      <c r="CF68" s="3">
        <f>+IF(AVANCE[[#This Row],[PILASTREO]]=AR$2,100%,AVANCE[[#This Row],[PILASTREO]])</f>
        <v>1</v>
      </c>
      <c r="CG68" s="3">
        <f>+IF(AVANCE[[#This Row],[CELOSIAS]]=AS$2,100%,AVANCE[[#This Row],[CELOSIAS]])</f>
        <v>1</v>
      </c>
      <c r="CH68" s="3">
        <f>+IF(AVANCE[[#This Row],[VENTANAS]]=AT$2,100%,AVANCE[[#This Row],[VENTANAS]])</f>
        <v>1</v>
      </c>
      <c r="CI68" s="3">
        <f>+IF(AVANCE[[#This Row],[PUERTAS ACCESO - LOGIA - BANO]]=AU$2,100%,AVANCE[[#This Row],[PUERTAS ACCESO - LOGIA - BANO]])</f>
        <v>1</v>
      </c>
      <c r="CJ68" s="3">
        <f>+IF(AVANCE[[#This Row],[CERRADURAS]]=AV$2,100%,AVANCE[[#This Row],[CERRADURAS]])</f>
        <v>1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1</v>
      </c>
      <c r="CQ68" s="3">
        <f>+IF(AVANCE[[#This Row],[MUEBLE LAVAPLATOS]]=BC$2,100%,AVANCE[[#This Row],[MUEBLE LAVAPLATOS]])</f>
        <v>1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21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 | TERMINACIONES: LIMPIEZA FINAL</v>
      </c>
      <c r="CU68" s="43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TERMINACIONES</v>
      </c>
      <c r="CV68" s="44" cm="1">
        <f t="array" ref="CV68">SUMPRODUCT(--(BG68:CR68&lt;1))</f>
        <v>2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0.99999999999999978</v>
      </c>
      <c r="F69" s="1">
        <v>46153</v>
      </c>
      <c r="G69" s="1">
        <v>46156</v>
      </c>
      <c r="H69" s="1">
        <v>46206</v>
      </c>
      <c r="I69" s="1">
        <v>46179</v>
      </c>
      <c r="K69" s="1">
        <v>46206</v>
      </c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0.11</v>
      </c>
      <c r="AB69" s="3">
        <v>1</v>
      </c>
      <c r="AC69" s="3">
        <v>0.27272727272727271</v>
      </c>
      <c r="AD69" s="3">
        <v>0.27272727272727271</v>
      </c>
      <c r="AE69" s="3">
        <v>9.0909090909090912E-2</v>
      </c>
      <c r="AF69" s="3">
        <v>0.18181818181818182</v>
      </c>
      <c r="AG69" s="3">
        <v>0.18181818181818182</v>
      </c>
      <c r="AH69" s="3">
        <v>0.36999999999999983</v>
      </c>
      <c r="AI69" s="3">
        <v>0.99999999999999956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1.3513513513513509E-2</v>
      </c>
      <c r="AR69" s="3">
        <v>4.0540540540540529E-2</v>
      </c>
      <c r="AS69" s="3">
        <v>1.3513513513513509E-2</v>
      </c>
      <c r="AT69" s="3">
        <v>8.1081081081081058E-2</v>
      </c>
      <c r="AU69" s="3">
        <v>5.4054054054054036E-2</v>
      </c>
      <c r="AV69" s="3">
        <v>2.7027027027027018E-2</v>
      </c>
      <c r="AW69" s="3">
        <v>5.4054054054054036E-2</v>
      </c>
      <c r="AX69" s="3">
        <v>5.4054054054054036E-2</v>
      </c>
      <c r="AY69" s="3">
        <v>2.7027027027027018E-2</v>
      </c>
      <c r="AZ69" s="3">
        <v>4.0540540540540529E-2</v>
      </c>
      <c r="BA69" s="3">
        <v>5.4054054054054036E-2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MODULO TERMINADO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1</v>
      </c>
      <c r="BU69" s="3">
        <f>+IF(AVANCE[[#This Row],[ARTEFACTOS]]=AE$2,100%,AVANCE[[#This Row],[ARTEFACTOS]])</f>
        <v>1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1</v>
      </c>
      <c r="CF69" s="3">
        <f>+IF(AVANCE[[#This Row],[PILASTREO]]=AR$2,100%,AVANCE[[#This Row],[PILASTREO]])</f>
        <v>1</v>
      </c>
      <c r="CG69" s="3">
        <f>+IF(AVANCE[[#This Row],[CELOSIAS]]=AS$2,100%,AVANCE[[#This Row],[CELOSIAS]])</f>
        <v>1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1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1</v>
      </c>
      <c r="CO69" s="3">
        <f>+IF(AVANCE[[#This Row],[PUERTAS DORMITORIO]]=BA$2,100%,AVANCE[[#This Row],[PUERTAS DORMITORIO]])</f>
        <v>1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0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/>
      </c>
      <c r="CU69" s="43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/>
      </c>
      <c r="CV69" s="44" cm="1">
        <f t="array" ref="CV69">SUMPRODUCT(--(BG69:CR69&lt;1))</f>
        <v>0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0.99999999999999978</v>
      </c>
      <c r="F70" s="1">
        <v>46154</v>
      </c>
      <c r="G70" s="1">
        <v>46156</v>
      </c>
      <c r="H70" s="1">
        <v>46206</v>
      </c>
      <c r="I70" s="1">
        <v>46180</v>
      </c>
      <c r="K70" s="1">
        <v>46206</v>
      </c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0.11</v>
      </c>
      <c r="AB70" s="3">
        <v>1</v>
      </c>
      <c r="AC70" s="3">
        <v>0.27272727272727271</v>
      </c>
      <c r="AD70" s="3">
        <v>0.27272727272727271</v>
      </c>
      <c r="AE70" s="3">
        <v>9.0909090909090912E-2</v>
      </c>
      <c r="AF70" s="3">
        <v>0.18181818181818182</v>
      </c>
      <c r="AG70" s="3">
        <v>0.18181818181818182</v>
      </c>
      <c r="AH70" s="3">
        <v>0.36999999999999983</v>
      </c>
      <c r="AI70" s="3">
        <v>0.99999999999999956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1.3513513513513509E-2</v>
      </c>
      <c r="AR70" s="3">
        <v>4.0540540540540529E-2</v>
      </c>
      <c r="AS70" s="3">
        <v>1.3513513513513509E-2</v>
      </c>
      <c r="AT70" s="3">
        <v>8.1081081081081058E-2</v>
      </c>
      <c r="AU70" s="3">
        <v>5.4054054054054036E-2</v>
      </c>
      <c r="AV70" s="3">
        <v>2.7027027027027018E-2</v>
      </c>
      <c r="AW70" s="3">
        <v>5.4054054054054036E-2</v>
      </c>
      <c r="AX70" s="3">
        <v>5.4054054054054036E-2</v>
      </c>
      <c r="AY70" s="3">
        <v>2.7027027027027018E-2</v>
      </c>
      <c r="AZ70" s="3">
        <v>4.0540540540540529E-2</v>
      </c>
      <c r="BA70" s="3">
        <v>5.4054054054054036E-2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MODULO TERMINADO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1</v>
      </c>
      <c r="BU70" s="3">
        <f>+IF(AVANCE[[#This Row],[ARTEFACTOS]]=AE$2,100%,AVANCE[[#This Row],[ARTEFACTOS]])</f>
        <v>1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1</v>
      </c>
      <c r="CF70" s="3">
        <f>+IF(AVANCE[[#This Row],[PILASTREO]]=AR$2,100%,AVANCE[[#This Row],[PILASTREO]])</f>
        <v>1</v>
      </c>
      <c r="CG70" s="3">
        <f>+IF(AVANCE[[#This Row],[CELOSIAS]]=AS$2,100%,AVANCE[[#This Row],[CELOSIAS]])</f>
        <v>1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1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1</v>
      </c>
      <c r="CO70" s="3">
        <f>+IF(AVANCE[[#This Row],[PUERTAS DORMITORIO]]=BA$2,100%,AVANCE[[#This Row],[PUERTAS DORMITORIO]])</f>
        <v>1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0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/>
      </c>
      <c r="CU70" s="43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/>
      </c>
      <c r="CV70" s="44" cm="1">
        <f t="array" ref="CV70">SUMPRODUCT(--(BG70:CR70&lt;1))</f>
        <v>0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0.98499999999999988</v>
      </c>
      <c r="F71" s="1">
        <v>46154</v>
      </c>
      <c r="G71" s="1">
        <v>46158</v>
      </c>
      <c r="H71" s="1">
        <v>46206</v>
      </c>
      <c r="I71" s="1">
        <v>46190</v>
      </c>
      <c r="J71">
        <v>4</v>
      </c>
      <c r="K71" s="1"/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0.09</v>
      </c>
      <c r="T71" s="3">
        <v>1</v>
      </c>
      <c r="U71" s="3">
        <v>0.22222222222222221</v>
      </c>
      <c r="V71" s="3">
        <v>0.22222222222222221</v>
      </c>
      <c r="W71" s="3">
        <v>0.1111111111111111</v>
      </c>
      <c r="X71" s="3">
        <v>0.1111111111111111</v>
      </c>
      <c r="Y71" s="3">
        <v>0.1111111111111111</v>
      </c>
      <c r="Z71" s="3">
        <v>0.22222222222222221</v>
      </c>
      <c r="AA71" s="3">
        <v>0.11</v>
      </c>
      <c r="AB71" s="3">
        <v>1</v>
      </c>
      <c r="AC71" s="3">
        <v>0.27272727272727271</v>
      </c>
      <c r="AD71" s="3">
        <v>0.27272727272727271</v>
      </c>
      <c r="AE71" s="3">
        <v>9.0909090909090912E-2</v>
      </c>
      <c r="AF71" s="3">
        <v>0.18181818181818182</v>
      </c>
      <c r="AG71" s="3">
        <v>0.18181818181818182</v>
      </c>
      <c r="AH71" s="3">
        <v>0.35499999999999982</v>
      </c>
      <c r="AI71" s="3">
        <v>0.95945945945945899</v>
      </c>
      <c r="AJ71" s="3">
        <v>5.4054054054054036E-2</v>
      </c>
      <c r="AK71" s="3">
        <v>5.4054054054054036E-2</v>
      </c>
      <c r="AL71" s="3">
        <v>2.7027027027027018E-2</v>
      </c>
      <c r="AM71" s="3">
        <v>8.1081081081081058E-2</v>
      </c>
      <c r="AN71" s="3">
        <v>8.1081081081081058E-2</v>
      </c>
      <c r="AO71" s="3">
        <v>6.7567567567567557E-2</v>
      </c>
      <c r="AP71" s="3">
        <v>5.4054054054054036E-2</v>
      </c>
      <c r="AQ71" s="3">
        <v>1.3513513513513509E-2</v>
      </c>
      <c r="AR71" s="3">
        <v>4.0540540540540529E-2</v>
      </c>
      <c r="AS71" s="3">
        <v>1.3513513513513509E-2</v>
      </c>
      <c r="AT71" s="3">
        <v>8.1081081081081058E-2</v>
      </c>
      <c r="AU71" s="3">
        <v>5.4054054054054036E-2</v>
      </c>
      <c r="AV71" s="3">
        <v>2.7027027027027018E-2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8.1081081081081058E-2</v>
      </c>
      <c r="BC71" s="3">
        <v>1.3513513513513509E-2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1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1</v>
      </c>
      <c r="BP71" s="3">
        <f>+IF(AVANCE[[#This Row],[TINA]]=X$2,100%,AVANCE[[#This Row],[TINA]])</f>
        <v>1</v>
      </c>
      <c r="BQ71" s="3">
        <f>+IF(AVANCE[[#This Row],[WC]]=Y$2,100%,AVANCE[[#This Row],[WC]])</f>
        <v>1</v>
      </c>
      <c r="BR71" s="3">
        <f>+IF(AVANCE[[#This Row],[LAVAMANOS / LAVAPLATOS / LAVADERO]]=Z$2,100%,AVANCE[[#This Row],[LAVAMANOS / LAVAPLATOS / LAVADERO]])</f>
        <v>1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1</v>
      </c>
      <c r="BU71" s="3">
        <f>+IF(AVANCE[[#This Row],[ARTEFACTOS]]=AE$2,100%,AVANCE[[#This Row],[ARTEFACTOS]])</f>
        <v>1</v>
      </c>
      <c r="BV71" s="3">
        <f>+IF(AVANCE[[#This Row],[TABLERO]]=AF$2,100%,AVANCE[[#This Row],[TABLERO]])</f>
        <v>1</v>
      </c>
      <c r="BW71" s="3">
        <f>+IF(AVANCE[[#This Row],[CAJA PAU]]=AG$2,100%,AVANCE[[#This Row],[CAJA PAU]])</f>
        <v>1</v>
      </c>
      <c r="BX71" s="3">
        <f>+IF(AVANCE[[#This Row],[INSTALACION VINILICO]]=AJ$2,100%,AVANCE[[#This Row],[INSTALACION VINILICO]])</f>
        <v>1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1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1</v>
      </c>
      <c r="CC71" s="3">
        <f>+IF(AVANCE[[#This Row],[PINTURA EXTERIOR]]=AO$2,100%,AVANCE[[#This Row],[PINTURA EXTERIOR]])</f>
        <v>1</v>
      </c>
      <c r="CD71" s="3">
        <f>+IF(AVANCE[[#This Row],[ZOCALOS LOGIA]]=AP$2,100%,AVANCE[[#This Row],[ZOCALOS LOGIA]])</f>
        <v>1</v>
      </c>
      <c r="CE71" s="3">
        <f>+IF(AVANCE[[#This Row],[MOLDURAS]]=AQ$2,100%,AVANCE[[#This Row],[MOLDURAS]])</f>
        <v>1</v>
      </c>
      <c r="CF71" s="3">
        <f>+IF(AVANCE[[#This Row],[PILASTREO]]=AR$2,100%,AVANCE[[#This Row],[PILASTREO]])</f>
        <v>1</v>
      </c>
      <c r="CG71" s="3">
        <f>+IF(AVANCE[[#This Row],[CELOSIAS]]=AS$2,100%,AVANCE[[#This Row],[CELOSIAS]])</f>
        <v>1</v>
      </c>
      <c r="CH71" s="3">
        <f>+IF(AVANCE[[#This Row],[VENTANAS]]=AT$2,100%,AVANCE[[#This Row],[VENTANAS]])</f>
        <v>1</v>
      </c>
      <c r="CI71" s="3">
        <f>+IF(AVANCE[[#This Row],[PUERTAS ACCESO - LOGIA - BANO]]=AU$2,100%,AVANCE[[#This Row],[PUERTAS ACCESO - LOGIA - BANO]])</f>
        <v>1</v>
      </c>
      <c r="CJ71" s="3">
        <f>+IF(AVANCE[[#This Row],[CERRADURAS]]=AV$2,100%,AVANCE[[#This Row],[CERRADURAS]])</f>
        <v>1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1</v>
      </c>
      <c r="CQ71" s="3">
        <f>+IF(AVANCE[[#This Row],[MUEBLE LAVAPLATOS]]=BC$2,100%,AVANCE[[#This Row],[MUEBLE LAVAPLATOS]])</f>
        <v>1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20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TERMINACIONES: LIMPIEZA FINAL</v>
      </c>
      <c r="CU71" s="43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TERMINACIONES</v>
      </c>
      <c r="CV71" s="44" cm="1">
        <f t="array" ref="CV71">SUMPRODUCT(--(BG71:CR71&lt;1))</f>
        <v>1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0.98499999999999988</v>
      </c>
      <c r="F72" s="1">
        <v>46155</v>
      </c>
      <c r="G72" s="1">
        <v>46156</v>
      </c>
      <c r="H72" s="1">
        <v>46209</v>
      </c>
      <c r="I72" s="1">
        <v>46191</v>
      </c>
      <c r="J72">
        <v>1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0.09</v>
      </c>
      <c r="T72" s="3">
        <v>1</v>
      </c>
      <c r="U72" s="3">
        <v>0.22222222222222221</v>
      </c>
      <c r="V72" s="3">
        <v>0.22222222222222221</v>
      </c>
      <c r="W72" s="3">
        <v>0.1111111111111111</v>
      </c>
      <c r="X72" s="3">
        <v>0.1111111111111111</v>
      </c>
      <c r="Y72" s="3">
        <v>0.1111111111111111</v>
      </c>
      <c r="Z72" s="3">
        <v>0.22222222222222221</v>
      </c>
      <c r="AA72" s="3">
        <v>0.11</v>
      </c>
      <c r="AB72" s="3">
        <v>1</v>
      </c>
      <c r="AC72" s="3">
        <v>0.27272727272727271</v>
      </c>
      <c r="AD72" s="3">
        <v>0.27272727272727271</v>
      </c>
      <c r="AE72" s="3">
        <v>9.0909090909090912E-2</v>
      </c>
      <c r="AF72" s="3">
        <v>0.18181818181818182</v>
      </c>
      <c r="AG72" s="3">
        <v>0.18181818181818182</v>
      </c>
      <c r="AH72" s="3">
        <v>0.35499999999999982</v>
      </c>
      <c r="AI72" s="3">
        <v>0.95945945945945899</v>
      </c>
      <c r="AJ72" s="3">
        <v>5.4054054054054036E-2</v>
      </c>
      <c r="AK72" s="3">
        <v>5.4054054054054036E-2</v>
      </c>
      <c r="AL72" s="3">
        <v>2.7027027027027018E-2</v>
      </c>
      <c r="AM72" s="3">
        <v>8.1081081081081058E-2</v>
      </c>
      <c r="AN72" s="3">
        <v>8.1081081081081058E-2</v>
      </c>
      <c r="AO72" s="3">
        <v>6.7567567567567557E-2</v>
      </c>
      <c r="AP72" s="3">
        <v>5.4054054054054036E-2</v>
      </c>
      <c r="AQ72" s="3">
        <v>1.3513513513513509E-2</v>
      </c>
      <c r="AR72" s="3">
        <v>4.0540540540540529E-2</v>
      </c>
      <c r="AS72" s="3">
        <v>1.3513513513513509E-2</v>
      </c>
      <c r="AT72" s="3">
        <v>8.1081081081081058E-2</v>
      </c>
      <c r="AU72" s="3">
        <v>5.4054054054054036E-2</v>
      </c>
      <c r="AV72" s="3">
        <v>2.7027027027027018E-2</v>
      </c>
      <c r="AW72" s="3">
        <v>5.4054054054054036E-2</v>
      </c>
      <c r="AX72" s="3">
        <v>5.4054054054054036E-2</v>
      </c>
      <c r="AY72" s="3">
        <v>2.7027027027027018E-2</v>
      </c>
      <c r="AZ72" s="3">
        <v>0</v>
      </c>
      <c r="BA72" s="3">
        <v>5.4054054054054036E-2</v>
      </c>
      <c r="BB72" s="3">
        <v>8.1081081081081058E-2</v>
      </c>
      <c r="BC72" s="3">
        <v>1.3513513513513509E-2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1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1</v>
      </c>
      <c r="BP72" s="3">
        <f>+IF(AVANCE[[#This Row],[TINA]]=X$2,100%,AVANCE[[#This Row],[TINA]])</f>
        <v>1</v>
      </c>
      <c r="BQ72" s="3">
        <f>+IF(AVANCE[[#This Row],[WC]]=Y$2,100%,AVANCE[[#This Row],[WC]])</f>
        <v>1</v>
      </c>
      <c r="BR72" s="3">
        <f>+IF(AVANCE[[#This Row],[LAVAMANOS / LAVAPLATOS / LAVADERO]]=Z$2,100%,AVANCE[[#This Row],[LAVAMANOS / LAVAPLATOS / LAVADERO]])</f>
        <v>1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1</v>
      </c>
      <c r="BV72" s="3">
        <f>+IF(AVANCE[[#This Row],[TABLERO]]=AF$2,100%,AVANCE[[#This Row],[TABLERO]])</f>
        <v>1</v>
      </c>
      <c r="BW72" s="3">
        <f>+IF(AVANCE[[#This Row],[CAJA PAU]]=AG$2,100%,AVANCE[[#This Row],[CAJA PAU]])</f>
        <v>1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1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1</v>
      </c>
      <c r="CD72" s="3">
        <f>+IF(AVANCE[[#This Row],[ZOCALOS LOGIA]]=AP$2,100%,AVANCE[[#This Row],[ZOCALOS LOGIA]])</f>
        <v>1</v>
      </c>
      <c r="CE72" s="3">
        <f>+IF(AVANCE[[#This Row],[MOLDURAS]]=AQ$2,100%,AVANCE[[#This Row],[MOLDURAS]])</f>
        <v>1</v>
      </c>
      <c r="CF72" s="3">
        <f>+IF(AVANCE[[#This Row],[PILASTREO]]=AR$2,100%,AVANCE[[#This Row],[PILASTREO]])</f>
        <v>1</v>
      </c>
      <c r="CG72" s="3">
        <f>+IF(AVANCE[[#This Row],[CELOSIAS]]=AS$2,100%,AVANCE[[#This Row],[CELOSIAS]])</f>
        <v>1</v>
      </c>
      <c r="CH72" s="3">
        <f>+IF(AVANCE[[#This Row],[VENTANAS]]=AT$2,100%,AVANCE[[#This Row],[VENTANAS]])</f>
        <v>1</v>
      </c>
      <c r="CI72" s="3">
        <f>+IF(AVANCE[[#This Row],[PUERTAS ACCESO - LOGIA - BANO]]=AU$2,100%,AVANCE[[#This Row],[PUERTAS ACCESO - LOGIA - BANO]])</f>
        <v>1</v>
      </c>
      <c r="CJ72" s="3">
        <f>+IF(AVANCE[[#This Row],[CERRADURAS]]=AV$2,100%,AVANCE[[#This Row],[CERRADURAS]])</f>
        <v>1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1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1</v>
      </c>
      <c r="CQ72" s="3">
        <f>+IF(AVANCE[[#This Row],[MUEBLE LAVAPLATOS]]=BC$2,100%,AVANCE[[#This Row],[MUEBLE LAVAPLATOS]])</f>
        <v>1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19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TERMINACIONES: LIMPIEZA FINAL</v>
      </c>
      <c r="CU72" s="43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TERMINACIONES</v>
      </c>
      <c r="CV72" s="44" cm="1">
        <f t="array" ref="CV72">SUMPRODUCT(--(BG72:CR72&lt;1))</f>
        <v>1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0.99999999999999978</v>
      </c>
      <c r="F73" s="1">
        <v>46155</v>
      </c>
      <c r="G73" s="1">
        <v>46154</v>
      </c>
      <c r="H73" s="1">
        <v>46210</v>
      </c>
      <c r="I73" s="1">
        <v>46181</v>
      </c>
      <c r="K73" s="1">
        <v>46210</v>
      </c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0.11</v>
      </c>
      <c r="AB73" s="3">
        <v>1</v>
      </c>
      <c r="AC73" s="3">
        <v>0.27272727272727271</v>
      </c>
      <c r="AD73" s="3">
        <v>0.27272727272727271</v>
      </c>
      <c r="AE73" s="3">
        <v>9.0909090909090912E-2</v>
      </c>
      <c r="AF73" s="3">
        <v>0.18181818181818182</v>
      </c>
      <c r="AG73" s="3">
        <v>0.18181818181818182</v>
      </c>
      <c r="AH73" s="3">
        <v>0.36999999999999983</v>
      </c>
      <c r="AI73" s="3">
        <v>0.99999999999999956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1.3513513513513509E-2</v>
      </c>
      <c r="AR73" s="3">
        <v>4.0540540540540529E-2</v>
      </c>
      <c r="AS73" s="3">
        <v>1.3513513513513509E-2</v>
      </c>
      <c r="AT73" s="3">
        <v>8.1081081081081058E-2</v>
      </c>
      <c r="AU73" s="3">
        <v>5.4054054054054036E-2</v>
      </c>
      <c r="AV73" s="3">
        <v>2.7027027027027018E-2</v>
      </c>
      <c r="AW73" s="3">
        <v>5.4054054054054036E-2</v>
      </c>
      <c r="AX73" s="3">
        <v>5.4054054054054036E-2</v>
      </c>
      <c r="AY73" s="3">
        <v>2.7027027027027018E-2</v>
      </c>
      <c r="AZ73" s="3">
        <v>4.0540540540540529E-2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MODULO TERMINADO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1</v>
      </c>
      <c r="BU73" s="3">
        <f>+IF(AVANCE[[#This Row],[ARTEFACTOS]]=AE$2,100%,AVANCE[[#This Row],[ARTEFACTOS]])</f>
        <v>1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1</v>
      </c>
      <c r="CF73" s="3">
        <f>+IF(AVANCE[[#This Row],[PILASTREO]]=AR$2,100%,AVANCE[[#This Row],[PILASTREO]])</f>
        <v>1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1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1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0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/>
      </c>
      <c r="CU73" s="43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/>
      </c>
      <c r="CV73" s="44" cm="1">
        <f t="array" ref="CV73">SUMPRODUCT(--(BG73:CR73&lt;1))</f>
        <v>0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0.98499999999999988</v>
      </c>
      <c r="F74" s="1">
        <v>46156</v>
      </c>
      <c r="G74" s="1">
        <v>46167</v>
      </c>
      <c r="H74" s="1">
        <v>46209</v>
      </c>
      <c r="I74" s="1">
        <v>46182</v>
      </c>
      <c r="J74">
        <v>1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0.11</v>
      </c>
      <c r="AB74" s="3">
        <v>1</v>
      </c>
      <c r="AC74" s="3">
        <v>0.27272727272727271</v>
      </c>
      <c r="AD74" s="3">
        <v>0.27272727272727271</v>
      </c>
      <c r="AE74" s="3">
        <v>9.0909090909090912E-2</v>
      </c>
      <c r="AF74" s="3">
        <v>0.18181818181818182</v>
      </c>
      <c r="AG74" s="3">
        <v>0.18181818181818182</v>
      </c>
      <c r="AH74" s="3">
        <v>0.35499999999999982</v>
      </c>
      <c r="AI74" s="3">
        <v>0.95945945945945899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6.7567567567567557E-2</v>
      </c>
      <c r="AP74" s="3">
        <v>5.4054054054054036E-2</v>
      </c>
      <c r="AQ74" s="3">
        <v>1.3513513513513509E-2</v>
      </c>
      <c r="AR74" s="3">
        <v>4.0540540540540529E-2</v>
      </c>
      <c r="AS74" s="3">
        <v>1.3513513513513509E-2</v>
      </c>
      <c r="AT74" s="3">
        <v>8.1081081081081058E-2</v>
      </c>
      <c r="AU74" s="3">
        <v>5.4054054054054036E-2</v>
      </c>
      <c r="AV74" s="3">
        <v>2.7027027027027018E-2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5.4054054054054036E-2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1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1</v>
      </c>
      <c r="BU74" s="3">
        <f>+IF(AVANCE[[#This Row],[ARTEFACTOS]]=AE$2,100%,AVANCE[[#This Row],[ARTEFACTOS]])</f>
        <v>1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1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1</v>
      </c>
      <c r="CF74" s="3">
        <f>+IF(AVANCE[[#This Row],[PILASTREO]]=AR$2,100%,AVANCE[[#This Row],[PILASTREO]])</f>
        <v>1</v>
      </c>
      <c r="CG74" s="3">
        <f>+IF(AVANCE[[#This Row],[CELOSIAS]]=AS$2,100%,AVANCE[[#This Row],[CELOSIAS]])</f>
        <v>1</v>
      </c>
      <c r="CH74" s="3">
        <f>+IF(AVANCE[[#This Row],[VENTANAS]]=AT$2,100%,AVANCE[[#This Row],[VENTANAS]])</f>
        <v>1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1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1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28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TERMINACIONES: LIMPIEZA FINAL</v>
      </c>
      <c r="CU74" s="43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TERMINACIONES</v>
      </c>
      <c r="CV74" s="44" cm="1">
        <f t="array" ref="CV74">SUMPRODUCT(--(BG74:CR74&lt;1))</f>
        <v>1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0.92999999999999983</v>
      </c>
      <c r="F75" s="1">
        <v>46156</v>
      </c>
      <c r="G75" s="1">
        <v>46161</v>
      </c>
      <c r="H75" s="1">
        <v>46209</v>
      </c>
      <c r="I75" s="1">
        <v>46192</v>
      </c>
      <c r="J75">
        <v>1</v>
      </c>
      <c r="K75" s="1"/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0.08</v>
      </c>
      <c r="T75" s="3">
        <v>0.88888888888888895</v>
      </c>
      <c r="U75" s="3">
        <v>0.22222222222222221</v>
      </c>
      <c r="V75" s="3">
        <v>0.22222222222222221</v>
      </c>
      <c r="W75" s="3">
        <v>0</v>
      </c>
      <c r="X75" s="3">
        <v>0.1111111111111111</v>
      </c>
      <c r="Y75" s="3">
        <v>0.1111111111111111</v>
      </c>
      <c r="Z75" s="3">
        <v>0.22222222222222221</v>
      </c>
      <c r="AA75" s="3">
        <v>0.08</v>
      </c>
      <c r="AB75" s="3">
        <v>0.72727272727272729</v>
      </c>
      <c r="AC75" s="3">
        <v>0.27272727272727271</v>
      </c>
      <c r="AD75" s="3">
        <v>0.27272727272727271</v>
      </c>
      <c r="AE75" s="3">
        <v>0</v>
      </c>
      <c r="AF75" s="3">
        <v>0</v>
      </c>
      <c r="AG75" s="3">
        <v>0.18181818181818182</v>
      </c>
      <c r="AH75" s="3">
        <v>0.33999999999999986</v>
      </c>
      <c r="AI75" s="3">
        <v>0.91891891891891853</v>
      </c>
      <c r="AJ75" s="3">
        <v>5.4054054054054036E-2</v>
      </c>
      <c r="AK75" s="3">
        <v>5.4054054054054036E-2</v>
      </c>
      <c r="AL75" s="3">
        <v>2.7027027027027018E-2</v>
      </c>
      <c r="AM75" s="3">
        <v>8.1081081081081058E-2</v>
      </c>
      <c r="AN75" s="3">
        <v>8.1081081081081058E-2</v>
      </c>
      <c r="AO75" s="3">
        <v>6.7567567567567557E-2</v>
      </c>
      <c r="AP75" s="3">
        <v>5.4054054054054036E-2</v>
      </c>
      <c r="AQ75" s="3">
        <v>1.3513513513513509E-2</v>
      </c>
      <c r="AR75" s="3">
        <v>0</v>
      </c>
      <c r="AS75" s="3">
        <v>1.3513513513513509E-2</v>
      </c>
      <c r="AT75" s="3">
        <v>8.1081081081081058E-2</v>
      </c>
      <c r="AU75" s="3">
        <v>5.4054054054054036E-2</v>
      </c>
      <c r="AV75" s="3">
        <v>2.7027027027027018E-2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8.1081081081081058E-2</v>
      </c>
      <c r="BC75" s="3">
        <v>1.3513513513513509E-2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1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1</v>
      </c>
      <c r="BQ75" s="3">
        <f>+IF(AVANCE[[#This Row],[WC]]=Y$2,100%,AVANCE[[#This Row],[WC]])</f>
        <v>1</v>
      </c>
      <c r="BR75" s="3">
        <f>+IF(AVANCE[[#This Row],[LAVAMANOS / LAVAPLATOS / LAVADERO]]=Z$2,100%,AVANCE[[#This Row],[LAVAMANOS / LAVAPLATOS / LAVADERO]])</f>
        <v>1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1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1</v>
      </c>
      <c r="BX75" s="3">
        <f>+IF(AVANCE[[#This Row],[INSTALACION VINILICO]]=AJ$2,100%,AVANCE[[#This Row],[INSTALACION VINILICO]])</f>
        <v>1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1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1</v>
      </c>
      <c r="CC75" s="3">
        <f>+IF(AVANCE[[#This Row],[PINTURA EXTERIOR]]=AO$2,100%,AVANCE[[#This Row],[PINTURA EXTERIOR]])</f>
        <v>1</v>
      </c>
      <c r="CD75" s="3">
        <f>+IF(AVANCE[[#This Row],[ZOCALOS LOGIA]]=AP$2,100%,AVANCE[[#This Row],[ZOCALOS LOGIA]])</f>
        <v>1</v>
      </c>
      <c r="CE75" s="3">
        <f>+IF(AVANCE[[#This Row],[MOLDURAS]]=AQ$2,100%,AVANCE[[#This Row],[MOLDURAS]])</f>
        <v>1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1</v>
      </c>
      <c r="CH75" s="3">
        <f>+IF(AVANCE[[#This Row],[VENTANAS]]=AT$2,100%,AVANCE[[#This Row],[VENTANAS]])</f>
        <v>1</v>
      </c>
      <c r="CI75" s="3">
        <f>+IF(AVANCE[[#This Row],[PUERTAS ACCESO - LOGIA - BANO]]=AU$2,100%,AVANCE[[#This Row],[PUERTAS ACCESO - LOGIA - BANO]])</f>
        <v>1</v>
      </c>
      <c r="CJ75" s="3">
        <f>+IF(AVANCE[[#This Row],[CERRADURAS]]=AV$2,100%,AVANCE[[#This Row],[CERRADURAS]])</f>
        <v>1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1</v>
      </c>
      <c r="CQ75" s="3">
        <f>+IF(AVANCE[[#This Row],[MUEBLE LAVAPLATOS]]=BC$2,100%,AVANCE[[#This Row],[MUEBLE LAVAPLATOS]])</f>
        <v>1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18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SANITARIOS: VENTILACIONES | ELÉCTRICO: ARTEFACTOS, TABLERO | TERMINACIONES: PILASTREO, LIMPIEZA FINAL</v>
      </c>
      <c r="CU75" s="43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SANITARIOS, ELÉCTRICO, TERMINACIONES</v>
      </c>
      <c r="CV75" s="44" cm="1">
        <f t="array" ref="CV75">SUMPRODUCT(--(BG75:CR75&lt;1))</f>
        <v>5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0.86499999999999999</v>
      </c>
      <c r="F76" s="1">
        <v>46157</v>
      </c>
      <c r="G76" s="1">
        <v>46160</v>
      </c>
      <c r="H76" s="1">
        <v>46209</v>
      </c>
      <c r="I76" s="1">
        <v>46193</v>
      </c>
      <c r="J76">
        <v>1</v>
      </c>
      <c r="K76" s="1"/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0.08</v>
      </c>
      <c r="T76" s="3">
        <v>0.88888888888888895</v>
      </c>
      <c r="U76" s="3">
        <v>0.22222222222222221</v>
      </c>
      <c r="V76" s="3">
        <v>0.22222222222222221</v>
      </c>
      <c r="W76" s="3">
        <v>0</v>
      </c>
      <c r="X76" s="3">
        <v>0.1111111111111111</v>
      </c>
      <c r="Y76" s="3">
        <v>0.1111111111111111</v>
      </c>
      <c r="Z76" s="3">
        <v>0.22222222222222221</v>
      </c>
      <c r="AA76" s="3">
        <v>0.06</v>
      </c>
      <c r="AB76" s="3">
        <v>0.54545454545454541</v>
      </c>
      <c r="AC76" s="3">
        <v>0.27272727272727271</v>
      </c>
      <c r="AD76" s="3">
        <v>0.27272727272727271</v>
      </c>
      <c r="AE76" s="3">
        <v>0</v>
      </c>
      <c r="AF76" s="3">
        <v>0</v>
      </c>
      <c r="AG76" s="3">
        <v>0</v>
      </c>
      <c r="AH76" s="3">
        <v>0.29499999999999987</v>
      </c>
      <c r="AI76" s="3">
        <v>0.79729729729729704</v>
      </c>
      <c r="AJ76" s="3">
        <v>5.4054054054054036E-2</v>
      </c>
      <c r="AK76" s="3">
        <v>5.4054054054054036E-2</v>
      </c>
      <c r="AL76" s="3">
        <v>2.7027027027027018E-2</v>
      </c>
      <c r="AM76" s="3">
        <v>8.1081081081081058E-2</v>
      </c>
      <c r="AN76" s="3">
        <v>8.1081081081081058E-2</v>
      </c>
      <c r="AO76" s="3">
        <v>6.7567567567567557E-2</v>
      </c>
      <c r="AP76" s="3">
        <v>5.4054054054054036E-2</v>
      </c>
      <c r="AQ76" s="3">
        <v>0</v>
      </c>
      <c r="AR76" s="3">
        <v>0</v>
      </c>
      <c r="AS76" s="3">
        <v>1.3513513513513509E-2</v>
      </c>
      <c r="AT76" s="3">
        <v>8.1081081081081058E-2</v>
      </c>
      <c r="AU76" s="3">
        <v>5.4054054054054036E-2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1.3513513513513509E-2</v>
      </c>
      <c r="BD76" s="3">
        <v>2.7027027027027018E-2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1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1</v>
      </c>
      <c r="BQ76" s="3">
        <f>+IF(AVANCE[[#This Row],[WC]]=Y$2,100%,AVANCE[[#This Row],[WC]])</f>
        <v>1</v>
      </c>
      <c r="BR76" s="3">
        <f>+IF(AVANCE[[#This Row],[LAVAMANOS / LAVAPLATOS / LAVADERO]]=Z$2,100%,AVANCE[[#This Row],[LAVAMANOS / LAVAPLATOS / LAVADERO]])</f>
        <v>1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1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1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1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1</v>
      </c>
      <c r="CC76" s="3">
        <f>+IF(AVANCE[[#This Row],[PINTURA EXTERIOR]]=AO$2,100%,AVANCE[[#This Row],[PINTURA EXTERIOR]])</f>
        <v>1</v>
      </c>
      <c r="CD76" s="3">
        <f>+IF(AVANCE[[#This Row],[ZOCALOS LOGIA]]=AP$2,100%,AVANCE[[#This Row],[ZOCALOS LOGIA]])</f>
        <v>1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1</v>
      </c>
      <c r="CH76" s="3">
        <f>+IF(AVANCE[[#This Row],[VENTANAS]]=AT$2,100%,AVANCE[[#This Row],[VENTANAS]])</f>
        <v>1</v>
      </c>
      <c r="CI76" s="3">
        <f>+IF(AVANCE[[#This Row],[PUERTAS ACCESO - LOGIA - BANO]]=AU$2,100%,AVANCE[[#This Row],[PUERTAS ACCESO - LOGIA - BANO]])</f>
        <v>1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1</v>
      </c>
      <c r="CR76" s="3">
        <f>+IF(AVANCE[[#This Row],[IMPERMEABILIZACION BANO - COCINA LOGIA]]=BD$2,100%,AVANCE[[#This Row],[IMPERMEABILIZACION BANO - COCINA LOGIA]])</f>
        <v>1</v>
      </c>
      <c r="CS76" s="40">
        <f ca="1">+IF(AVANCE[[#This Row],[ESTADO MODULO]]="PENDIENTE",(TODAY()-AVANCE[[#This Row],[FECHA TERMINO  PLANIFICADO]]),0)</f>
        <v>17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SANITARIOS: VENTILACIONES | ELÉCTRICO: ARTEFACTOS, TABLERO, CAJA PAU | TERMINACIONES: MOLDURAS, PILASTREO, CERRADURAS, LIMPIEZA FINAL, REVESTIMIENTO INTERIOR BANO</v>
      </c>
      <c r="CU76" s="43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SANITARIOS, ELÉCTRICO, TERMINACIONES</v>
      </c>
      <c r="CV76" s="44" cm="1">
        <f t="array" ref="CV76">SUMPRODUCT(--(BG76:CR76&lt;1))</f>
        <v>9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0.95499999999999985</v>
      </c>
      <c r="F77" s="1">
        <v>46157</v>
      </c>
      <c r="G77" s="1">
        <v>46169</v>
      </c>
      <c r="H77" s="1">
        <v>46210</v>
      </c>
      <c r="I77" s="1">
        <v>46183</v>
      </c>
      <c r="J77">
        <v>0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0.1</v>
      </c>
      <c r="AB77" s="3">
        <v>0.90909090909090917</v>
      </c>
      <c r="AC77" s="3">
        <v>0.27272727272727271</v>
      </c>
      <c r="AD77" s="3">
        <v>0.27272727272727271</v>
      </c>
      <c r="AE77" s="3">
        <v>0</v>
      </c>
      <c r="AF77" s="3">
        <v>0.18181818181818182</v>
      </c>
      <c r="AG77" s="3">
        <v>0.18181818181818182</v>
      </c>
      <c r="AH77" s="3">
        <v>0.33499999999999985</v>
      </c>
      <c r="AI77" s="3">
        <v>0.90540540540540504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8.1081081081081058E-2</v>
      </c>
      <c r="AO77" s="3">
        <v>6.7567567567567557E-2</v>
      </c>
      <c r="AP77" s="3">
        <v>5.4054054054054036E-2</v>
      </c>
      <c r="AQ77" s="3">
        <v>1.3513513513513509E-2</v>
      </c>
      <c r="AR77" s="3">
        <v>0</v>
      </c>
      <c r="AS77" s="3">
        <v>0</v>
      </c>
      <c r="AT77" s="3">
        <v>8.1081081081081058E-2</v>
      </c>
      <c r="AU77" s="3">
        <v>5.4054054054054036E-2</v>
      </c>
      <c r="AV77" s="3">
        <v>2.7027027027027018E-2</v>
      </c>
      <c r="AW77" s="3">
        <v>5.4054054054054036E-2</v>
      </c>
      <c r="AX77" s="3">
        <v>5.4054054054054036E-2</v>
      </c>
      <c r="AY77" s="3">
        <v>2.7027027027027018E-2</v>
      </c>
      <c r="AZ77" s="3">
        <v>0</v>
      </c>
      <c r="BA77" s="3">
        <v>5.4054054054054036E-2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1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1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1</v>
      </c>
      <c r="CC77" s="3">
        <f>+IF(AVANCE[[#This Row],[PINTURA EXTERIOR]]=AO$2,100%,AVANCE[[#This Row],[PINTURA EXTERIOR]])</f>
        <v>1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1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1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1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1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27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ELÉCTRICO: ARTEFACTOS | TERMINACIONES: PILASTREO, CELOSIAS, LIMPIEZA FINAL</v>
      </c>
      <c r="CU77" s="43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ELÉCTRICO, TERMINACIONES</v>
      </c>
      <c r="CV77" s="44" cm="1">
        <f t="array" ref="CV77">SUMPRODUCT(--(BG77:CR77&lt;1))</f>
        <v>4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0.97499999999999987</v>
      </c>
      <c r="F78" s="1">
        <v>46160</v>
      </c>
      <c r="G78" s="1">
        <v>46168</v>
      </c>
      <c r="H78" s="1">
        <v>46209</v>
      </c>
      <c r="I78" s="1">
        <v>46186</v>
      </c>
      <c r="J78">
        <v>1</v>
      </c>
      <c r="K78" s="1"/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0.1</v>
      </c>
      <c r="AB78" s="3">
        <v>0.90909090909090917</v>
      </c>
      <c r="AC78" s="3">
        <v>0.27272727272727271</v>
      </c>
      <c r="AD78" s="3">
        <v>0.27272727272727271</v>
      </c>
      <c r="AE78" s="3">
        <v>0</v>
      </c>
      <c r="AF78" s="3">
        <v>0.18181818181818182</v>
      </c>
      <c r="AG78" s="3">
        <v>0.18181818181818182</v>
      </c>
      <c r="AH78" s="3">
        <v>0.35499999999999982</v>
      </c>
      <c r="AI78" s="3">
        <v>0.95945945945945899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6.7567567567567557E-2</v>
      </c>
      <c r="AP78" s="3">
        <v>5.4054054054054036E-2</v>
      </c>
      <c r="AQ78" s="3">
        <v>1.3513513513513509E-2</v>
      </c>
      <c r="AR78" s="3">
        <v>4.0540540540540529E-2</v>
      </c>
      <c r="AS78" s="3">
        <v>1.3513513513513509E-2</v>
      </c>
      <c r="AT78" s="3">
        <v>8.1081081081081058E-2</v>
      </c>
      <c r="AU78" s="3">
        <v>5.4054054054054036E-2</v>
      </c>
      <c r="AV78" s="3">
        <v>2.7027027027027018E-2</v>
      </c>
      <c r="AW78" s="3">
        <v>5.4054054054054036E-2</v>
      </c>
      <c r="AX78" s="3">
        <v>5.4054054054054036E-2</v>
      </c>
      <c r="AY78" s="3">
        <v>2.7027027027027018E-2</v>
      </c>
      <c r="AZ78" s="3">
        <v>0</v>
      </c>
      <c r="BA78" s="3">
        <v>5.4054054054054036E-2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1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1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1</v>
      </c>
      <c r="CF78" s="3">
        <f>+IF(AVANCE[[#This Row],[PILASTREO]]=AR$2,100%,AVANCE[[#This Row],[PILASTREO]])</f>
        <v>1</v>
      </c>
      <c r="CG78" s="3">
        <f>+IF(AVANCE[[#This Row],[CELOSIAS]]=AS$2,100%,AVANCE[[#This Row],[CELOSIAS]])</f>
        <v>1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1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1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24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ELÉCTRICO: ARTEFACTOS | TERMINACIONES: LIMPIEZA FINAL</v>
      </c>
      <c r="CU78" s="43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ELÉCTRICO, TERMINACIONES</v>
      </c>
      <c r="CV78" s="44" cm="1">
        <f t="array" ref="CV78">SUMPRODUCT(--(BG78:CR78&lt;1))</f>
        <v>2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0.90499999999999992</v>
      </c>
      <c r="F79" s="1">
        <v>46160</v>
      </c>
      <c r="G79" s="1">
        <v>46158</v>
      </c>
      <c r="H79" s="1">
        <v>46209</v>
      </c>
      <c r="I79" s="1">
        <v>46196</v>
      </c>
      <c r="J79">
        <v>1</v>
      </c>
      <c r="K79" s="1"/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0.08</v>
      </c>
      <c r="T79" s="3">
        <v>0.88888888888888895</v>
      </c>
      <c r="U79" s="3">
        <v>0.22222222222222221</v>
      </c>
      <c r="V79" s="3">
        <v>0.22222222222222221</v>
      </c>
      <c r="W79" s="3">
        <v>0</v>
      </c>
      <c r="X79" s="3">
        <v>0.1111111111111111</v>
      </c>
      <c r="Y79" s="3">
        <v>0.1111111111111111</v>
      </c>
      <c r="Z79" s="3">
        <v>0.22222222222222221</v>
      </c>
      <c r="AA79" s="3">
        <v>0.06</v>
      </c>
      <c r="AB79" s="3">
        <v>0.54545454545454541</v>
      </c>
      <c r="AC79" s="3">
        <v>0.27272727272727271</v>
      </c>
      <c r="AD79" s="3">
        <v>0.27272727272727271</v>
      </c>
      <c r="AE79" s="3">
        <v>0</v>
      </c>
      <c r="AF79" s="3">
        <v>0</v>
      </c>
      <c r="AG79" s="3">
        <v>0</v>
      </c>
      <c r="AH79" s="3">
        <v>0.33499999999999985</v>
      </c>
      <c r="AI79" s="3">
        <v>0.90540540540540504</v>
      </c>
      <c r="AJ79" s="3">
        <v>5.4054054054054036E-2</v>
      </c>
      <c r="AK79" s="3">
        <v>5.4054054054054036E-2</v>
      </c>
      <c r="AL79" s="3">
        <v>2.7027027027027018E-2</v>
      </c>
      <c r="AM79" s="3">
        <v>8.1081081081081058E-2</v>
      </c>
      <c r="AN79" s="3">
        <v>8.1081081081081058E-2</v>
      </c>
      <c r="AO79" s="3">
        <v>6.7567567567567557E-2</v>
      </c>
      <c r="AP79" s="3">
        <v>5.4054054054054036E-2</v>
      </c>
      <c r="AQ79" s="3">
        <v>0</v>
      </c>
      <c r="AR79" s="3">
        <v>0</v>
      </c>
      <c r="AS79" s="3">
        <v>1.3513513513513509E-2</v>
      </c>
      <c r="AT79" s="3">
        <v>8.1081081081081058E-2</v>
      </c>
      <c r="AU79" s="3">
        <v>5.4054054054054036E-2</v>
      </c>
      <c r="AV79" s="3">
        <v>2.7027027027027018E-2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5.4054054054054036E-2</v>
      </c>
      <c r="BB79" s="3">
        <v>8.1081081081081058E-2</v>
      </c>
      <c r="BC79" s="3">
        <v>1.3513513513513509E-2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1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1</v>
      </c>
      <c r="BQ79" s="3">
        <f>+IF(AVANCE[[#This Row],[WC]]=Y$2,100%,AVANCE[[#This Row],[WC]])</f>
        <v>1</v>
      </c>
      <c r="BR79" s="3">
        <f>+IF(AVANCE[[#This Row],[LAVAMANOS / LAVAPLATOS / LAVADERO]]=Z$2,100%,AVANCE[[#This Row],[LAVAMANOS / LAVAPLATOS / LAVADERO]])</f>
        <v>1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1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1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1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1</v>
      </c>
      <c r="CC79" s="3">
        <f>+IF(AVANCE[[#This Row],[PINTURA EXTERIOR]]=AO$2,100%,AVANCE[[#This Row],[PINTURA EXTERIOR]])</f>
        <v>1</v>
      </c>
      <c r="CD79" s="3">
        <f>+IF(AVANCE[[#This Row],[ZOCALOS LOGIA]]=AP$2,100%,AVANCE[[#This Row],[ZOCALOS LOGIA]])</f>
        <v>1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1</v>
      </c>
      <c r="CH79" s="3">
        <f>+IF(AVANCE[[#This Row],[VENTANAS]]=AT$2,100%,AVANCE[[#This Row],[VENTANAS]])</f>
        <v>1</v>
      </c>
      <c r="CI79" s="3">
        <f>+IF(AVANCE[[#This Row],[PUERTAS ACCESO - LOGIA - BANO]]=AU$2,100%,AVANCE[[#This Row],[PUERTAS ACCESO - LOGIA - BANO]])</f>
        <v>1</v>
      </c>
      <c r="CJ79" s="3">
        <f>+IF(AVANCE[[#This Row],[CERRADURAS]]=AV$2,100%,AVANCE[[#This Row],[CERRADURAS]])</f>
        <v>1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1</v>
      </c>
      <c r="CP79" s="3">
        <f>+IF(AVANCE[[#This Row],[REVESTIMIENTO INTERIOR BANO]]=BB$2,100%,AVANCE[[#This Row],[REVESTIMIENTO INTERIOR BANO]])</f>
        <v>1</v>
      </c>
      <c r="CQ79" s="3">
        <f>+IF(AVANCE[[#This Row],[MUEBLE LAVAPLATOS]]=BC$2,100%,AVANCE[[#This Row],[MUEBLE LAVAPLATOS]])</f>
        <v>1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14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SANITARIOS: VENTILACIONES | ELÉCTRICO: ARTEFACTOS, TABLERO, CAJA PAU | TERMINACIONES: MOLDURAS, PILASTREO, LIMPIEZA FINAL</v>
      </c>
      <c r="CU79" s="43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SANITARIOS, ELÉCTRICO, TERMINACIONES</v>
      </c>
      <c r="CV79" s="44" cm="1">
        <f t="array" ref="CV79">SUMPRODUCT(--(BG79:CR79&lt;1))</f>
        <v>7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0.90499999999999992</v>
      </c>
      <c r="F80" s="1">
        <v>46161</v>
      </c>
      <c r="G80" s="1">
        <v>46162</v>
      </c>
      <c r="H80" s="1">
        <v>46210</v>
      </c>
      <c r="I80" s="1">
        <v>46197</v>
      </c>
      <c r="J80">
        <v>0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0.08</v>
      </c>
      <c r="T80" s="3">
        <v>0.88888888888888895</v>
      </c>
      <c r="U80" s="3">
        <v>0.22222222222222221</v>
      </c>
      <c r="V80" s="3">
        <v>0.22222222222222221</v>
      </c>
      <c r="W80" s="3">
        <v>0</v>
      </c>
      <c r="X80" s="3">
        <v>0.1111111111111111</v>
      </c>
      <c r="Y80" s="3">
        <v>0.1111111111111111</v>
      </c>
      <c r="Z80" s="3">
        <v>0.22222222222222221</v>
      </c>
      <c r="AA80" s="3">
        <v>0.06</v>
      </c>
      <c r="AB80" s="3">
        <v>0.54545454545454541</v>
      </c>
      <c r="AC80" s="3">
        <v>0.27272727272727271</v>
      </c>
      <c r="AD80" s="3">
        <v>0.27272727272727271</v>
      </c>
      <c r="AE80" s="3">
        <v>0</v>
      </c>
      <c r="AF80" s="3">
        <v>0</v>
      </c>
      <c r="AG80" s="3">
        <v>0</v>
      </c>
      <c r="AH80" s="3">
        <v>0.33499999999999985</v>
      </c>
      <c r="AI80" s="3">
        <v>0.90540540540540504</v>
      </c>
      <c r="AJ80" s="3">
        <v>5.4054054054054036E-2</v>
      </c>
      <c r="AK80" s="3">
        <v>5.4054054054054036E-2</v>
      </c>
      <c r="AL80" s="3">
        <v>2.7027027027027018E-2</v>
      </c>
      <c r="AM80" s="3">
        <v>8.1081081081081058E-2</v>
      </c>
      <c r="AN80" s="3">
        <v>8.1081081081081058E-2</v>
      </c>
      <c r="AO80" s="3">
        <v>6.7567567567567557E-2</v>
      </c>
      <c r="AP80" s="3">
        <v>5.4054054054054036E-2</v>
      </c>
      <c r="AQ80" s="3">
        <v>0</v>
      </c>
      <c r="AR80" s="3">
        <v>0</v>
      </c>
      <c r="AS80" s="3">
        <v>1.3513513513513509E-2</v>
      </c>
      <c r="AT80" s="3">
        <v>8.1081081081081058E-2</v>
      </c>
      <c r="AU80" s="3">
        <v>5.4054054054054036E-2</v>
      </c>
      <c r="AV80" s="3">
        <v>2.7027027027027018E-2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5.4054054054054036E-2</v>
      </c>
      <c r="BB80" s="3">
        <v>8.1081081081081058E-2</v>
      </c>
      <c r="BC80" s="3">
        <v>1.3513513513513509E-2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1</v>
      </c>
      <c r="BQ80" s="3">
        <f>+IF(AVANCE[[#This Row],[WC]]=Y$2,100%,AVANCE[[#This Row],[WC]])</f>
        <v>1</v>
      </c>
      <c r="BR80" s="3">
        <f>+IF(AVANCE[[#This Row],[LAVAMANOS / LAVAPLATOS / LAVADERO]]=Z$2,100%,AVANCE[[#This Row],[LAVAMANOS / LAVAPLATOS / LAVADERO]])</f>
        <v>1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1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1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1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1</v>
      </c>
      <c r="CC80" s="3">
        <f>+IF(AVANCE[[#This Row],[PINTURA EXTERIOR]]=AO$2,100%,AVANCE[[#This Row],[PINTURA EXTERIOR]])</f>
        <v>1</v>
      </c>
      <c r="CD80" s="3">
        <f>+IF(AVANCE[[#This Row],[ZOCALOS LOGIA]]=AP$2,100%,AVANCE[[#This Row],[ZOCALOS LOGIA]])</f>
        <v>1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1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1</v>
      </c>
      <c r="CJ80" s="3">
        <f>+IF(AVANCE[[#This Row],[CERRADURAS]]=AV$2,100%,AVANCE[[#This Row],[CERRADURAS]])</f>
        <v>1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1</v>
      </c>
      <c r="CQ80" s="3">
        <f>+IF(AVANCE[[#This Row],[MUEBLE LAVAPLATOS]]=BC$2,100%,AVANCE[[#This Row],[MUEBLE LAVAPLATOS]])</f>
        <v>1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13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SANITARIOS: VENTILACIONES | ELÉCTRICO: ARTEFACTOS, TABLERO, CAJA PAU | TERMINACIONES: MOLDURAS, PILASTREO, LIMPIEZA FINAL</v>
      </c>
      <c r="CU80" s="43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SANITARIOS, ELÉCTRICO, TERMINACIONES</v>
      </c>
      <c r="CV80" s="44" cm="1">
        <f t="array" ref="CV80">SUMPRODUCT(--(BG80:CR80&lt;1))</f>
        <v>7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0.95999999999999985</v>
      </c>
      <c r="F81" s="1">
        <v>46161</v>
      </c>
      <c r="G81" s="1">
        <v>46168</v>
      </c>
      <c r="H81" s="1">
        <v>46209</v>
      </c>
      <c r="I81" s="1">
        <v>46187</v>
      </c>
      <c r="J81">
        <v>1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0.1</v>
      </c>
      <c r="AB81" s="3">
        <v>0.90909090909090917</v>
      </c>
      <c r="AC81" s="3">
        <v>0.27272727272727271</v>
      </c>
      <c r="AD81" s="3">
        <v>0.27272727272727271</v>
      </c>
      <c r="AE81" s="3">
        <v>0</v>
      </c>
      <c r="AF81" s="3">
        <v>0.18181818181818182</v>
      </c>
      <c r="AG81" s="3">
        <v>0.18181818181818182</v>
      </c>
      <c r="AH81" s="3">
        <v>0.33999999999999986</v>
      </c>
      <c r="AI81" s="3">
        <v>0.91891891891891853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6.7567567567567557E-2</v>
      </c>
      <c r="AP81" s="3">
        <v>5.4054054054054036E-2</v>
      </c>
      <c r="AQ81" s="3">
        <v>1.3513513513513509E-2</v>
      </c>
      <c r="AR81" s="3">
        <v>0</v>
      </c>
      <c r="AS81" s="3">
        <v>1.3513513513513509E-2</v>
      </c>
      <c r="AT81" s="3">
        <v>8.1081081081081058E-2</v>
      </c>
      <c r="AU81" s="3">
        <v>5.4054054054054036E-2</v>
      </c>
      <c r="AV81" s="3">
        <v>2.7027027027027018E-2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5.4054054054054036E-2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1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1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1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1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1</v>
      </c>
      <c r="CH81" s="3">
        <f>+IF(AVANCE[[#This Row],[VENTANAS]]=AT$2,100%,AVANCE[[#This Row],[VENTANAS]])</f>
        <v>1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1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1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23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ELÉCTRICO: ARTEFACTOS | TERMINACIONES: PILASTREO, LIMPIEZA FINAL</v>
      </c>
      <c r="CU81" s="43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ELÉCTRICO, TERMINACIONES</v>
      </c>
      <c r="CV81" s="44" cm="1">
        <f t="array" ref="CV81">SUMPRODUCT(--(BG81:CR81&lt;1))</f>
        <v>3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0.8949999999999998</v>
      </c>
      <c r="F82" s="1">
        <v>46162</v>
      </c>
      <c r="G82" s="1">
        <v>46171</v>
      </c>
      <c r="H82" s="1">
        <v>46210</v>
      </c>
      <c r="I82" s="1">
        <v>46188</v>
      </c>
      <c r="J82">
        <v>0</v>
      </c>
      <c r="K82" s="1"/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6.9999999999999993E-2</v>
      </c>
      <c r="AB82" s="3">
        <v>0.63636363636363635</v>
      </c>
      <c r="AC82" s="3">
        <v>0.27272727272727271</v>
      </c>
      <c r="AD82" s="3">
        <v>0</v>
      </c>
      <c r="AE82" s="3">
        <v>0</v>
      </c>
      <c r="AF82" s="3">
        <v>0.18181818181818182</v>
      </c>
      <c r="AG82" s="3">
        <v>0.18181818181818182</v>
      </c>
      <c r="AH82" s="3">
        <v>0.30499999999999988</v>
      </c>
      <c r="AI82" s="3">
        <v>0.82432432432432401</v>
      </c>
      <c r="AJ82" s="3">
        <v>5.4054054054054036E-2</v>
      </c>
      <c r="AK82" s="3">
        <v>5.4054054054054036E-2</v>
      </c>
      <c r="AL82" s="3">
        <v>2.7027027027027018E-2</v>
      </c>
      <c r="AM82" s="3">
        <v>8.1081081081081058E-2</v>
      </c>
      <c r="AN82" s="3">
        <v>8.1081081081081058E-2</v>
      </c>
      <c r="AO82" s="3">
        <v>0</v>
      </c>
      <c r="AP82" s="3">
        <v>5.4054054054054036E-2</v>
      </c>
      <c r="AQ82" s="3">
        <v>0</v>
      </c>
      <c r="AR82" s="3">
        <v>0</v>
      </c>
      <c r="AS82" s="3">
        <v>0</v>
      </c>
      <c r="AT82" s="3">
        <v>8.1081081081081058E-2</v>
      </c>
      <c r="AU82" s="3">
        <v>5.4054054054054036E-2</v>
      </c>
      <c r="AV82" s="3">
        <v>2.7027027027027018E-2</v>
      </c>
      <c r="AW82" s="3">
        <v>5.4054054054054036E-2</v>
      </c>
      <c r="AX82" s="3">
        <v>5.4054054054054036E-2</v>
      </c>
      <c r="AY82" s="3">
        <v>2.7027027027027018E-2</v>
      </c>
      <c r="AZ82" s="3">
        <v>0</v>
      </c>
      <c r="BA82" s="3">
        <v>5.4054054054054036E-2</v>
      </c>
      <c r="BB82" s="3">
        <v>8.1081081081081058E-2</v>
      </c>
      <c r="BC82" s="3">
        <v>1.3513513513513509E-2</v>
      </c>
      <c r="BD82" s="3">
        <v>2.7027027027027018E-2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1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1</v>
      </c>
      <c r="BW82" s="3">
        <f>+IF(AVANCE[[#This Row],[CAJA PAU]]=AG$2,100%,AVANCE[[#This Row],[CAJA PAU]])</f>
        <v>1</v>
      </c>
      <c r="BX82" s="3">
        <f>+IF(AVANCE[[#This Row],[INSTALACION VINILICO]]=AJ$2,100%,AVANCE[[#This Row],[INSTALACION VINILICO]])</f>
        <v>1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1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1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1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1</v>
      </c>
      <c r="CI82" s="3">
        <f>+IF(AVANCE[[#This Row],[PUERTAS ACCESO - LOGIA - BANO]]=AU$2,100%,AVANCE[[#This Row],[PUERTAS ACCESO - LOGIA - BANO]])</f>
        <v>1</v>
      </c>
      <c r="CJ82" s="3">
        <f>+IF(AVANCE[[#This Row],[CERRADURAS]]=AV$2,100%,AVANCE[[#This Row],[CERRADURAS]])</f>
        <v>1</v>
      </c>
      <c r="CK82" s="3">
        <f>+IF(AVANCE[[#This Row],[REVESTIMIENTO INTERIOR ZONA SECA]]=AW$2,100%,AVANCE[[#This Row],[REVESTIMIENTO INTERIOR ZONA SECA]])</f>
        <v>1</v>
      </c>
      <c r="CL82" s="3">
        <f>+IF(AVANCE[[#This Row],[REVESTIMIENTO INTERIOR ZONAS HUMEDAS]]=AX$2,100%,AVANCE[[#This Row],[REVESTIMIENTO INTERIOR ZONAS HUMEDAS]])</f>
        <v>1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1</v>
      </c>
      <c r="CP82" s="3">
        <f>+IF(AVANCE[[#This Row],[REVESTIMIENTO INTERIOR BANO]]=BB$2,100%,AVANCE[[#This Row],[REVESTIMIENTO INTERIOR BANO]])</f>
        <v>1</v>
      </c>
      <c r="CQ82" s="3">
        <f>+IF(AVANCE[[#This Row],[MUEBLE LAVAPLATOS]]=BC$2,100%,AVANCE[[#This Row],[MUEBLE LAVAPLATOS]])</f>
        <v>1</v>
      </c>
      <c r="CR82" s="3">
        <f>+IF(AVANCE[[#This Row],[IMPERMEABILIZACION BANO - COCINA LOGIA]]=BD$2,100%,AVANCE[[#This Row],[IMPERMEABILIZACION BANO - COCINA LOGIA]])</f>
        <v>1</v>
      </c>
      <c r="CS82" s="40">
        <f ca="1">+IF(AVANCE[[#This Row],[ESTADO MODULO]]="PENDIENTE",(TODAY()-AVANCE[[#This Row],[FECHA TERMINO  PLANIFICADO]]),0)</f>
        <v>22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ELÉCTRICO: CABLEADO, ARTEFACTOS | TERMINACIONES: PINTURA EXTERIOR, MOLDURAS, PILASTREO, CELOSIAS, LIMPIEZA FINAL</v>
      </c>
      <c r="CU82" s="43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ELÉCTRICO, TERMINACIONES</v>
      </c>
      <c r="CV82" s="44" cm="1">
        <f t="array" ref="CV82">SUMPRODUCT(--(BG82:CR82&lt;1))</f>
        <v>7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0.8899999999999999</v>
      </c>
      <c r="F83" s="1">
        <v>46162</v>
      </c>
      <c r="G83" s="1">
        <v>46171</v>
      </c>
      <c r="H83" s="1">
        <v>46210</v>
      </c>
      <c r="I83" s="1">
        <v>46198</v>
      </c>
      <c r="J83">
        <v>0</v>
      </c>
      <c r="K83" s="1"/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0.08</v>
      </c>
      <c r="T83" s="3">
        <v>0.88888888888888895</v>
      </c>
      <c r="U83" s="3">
        <v>0.22222222222222221</v>
      </c>
      <c r="V83" s="3">
        <v>0.22222222222222221</v>
      </c>
      <c r="W83" s="3">
        <v>0</v>
      </c>
      <c r="X83" s="3">
        <v>0.1111111111111111</v>
      </c>
      <c r="Y83" s="3">
        <v>0.1111111111111111</v>
      </c>
      <c r="Z83" s="3">
        <v>0.22222222222222221</v>
      </c>
      <c r="AA83" s="3">
        <v>0.03</v>
      </c>
      <c r="AB83" s="3">
        <v>0.27272727272727271</v>
      </c>
      <c r="AC83" s="3">
        <v>0.27272727272727271</v>
      </c>
      <c r="AD83" s="3">
        <v>0</v>
      </c>
      <c r="AE83" s="3">
        <v>0</v>
      </c>
      <c r="AF83" s="3">
        <v>0</v>
      </c>
      <c r="AG83" s="3">
        <v>0</v>
      </c>
      <c r="AH83" s="3">
        <v>0.34999999999999981</v>
      </c>
      <c r="AI83" s="3">
        <v>0.9459459459459455</v>
      </c>
      <c r="AJ83" s="3">
        <v>5.4054054054054036E-2</v>
      </c>
      <c r="AK83" s="3">
        <v>5.4054054054054036E-2</v>
      </c>
      <c r="AL83" s="3">
        <v>2.7027027027027018E-2</v>
      </c>
      <c r="AM83" s="3">
        <v>8.1081081081081058E-2</v>
      </c>
      <c r="AN83" s="3">
        <v>8.1081081081081058E-2</v>
      </c>
      <c r="AO83" s="3">
        <v>6.7567567567567557E-2</v>
      </c>
      <c r="AP83" s="3">
        <v>5.4054054054054036E-2</v>
      </c>
      <c r="AQ83" s="3">
        <v>0</v>
      </c>
      <c r="AR83" s="3">
        <v>4.0540540540540529E-2</v>
      </c>
      <c r="AS83" s="3">
        <v>1.3513513513513509E-2</v>
      </c>
      <c r="AT83" s="3">
        <v>8.1081081081081058E-2</v>
      </c>
      <c r="AU83" s="3">
        <v>5.4054054054054036E-2</v>
      </c>
      <c r="AV83" s="3">
        <v>2.7027027027027018E-2</v>
      </c>
      <c r="AW83" s="3">
        <v>5.4054054054054036E-2</v>
      </c>
      <c r="AX83" s="3">
        <v>5.4054054054054036E-2</v>
      </c>
      <c r="AY83" s="3">
        <v>2.7027027027027018E-2</v>
      </c>
      <c r="AZ83" s="3">
        <v>0</v>
      </c>
      <c r="BA83" s="3">
        <v>5.4054054054054036E-2</v>
      </c>
      <c r="BB83" s="3">
        <v>8.1081081081081058E-2</v>
      </c>
      <c r="BC83" s="3">
        <v>1.3513513513513509E-2</v>
      </c>
      <c r="BD83" s="3">
        <v>2.7027027027027018E-2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1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1</v>
      </c>
      <c r="BQ83" s="3">
        <f>+IF(AVANCE[[#This Row],[WC]]=Y$2,100%,AVANCE[[#This Row],[WC]])</f>
        <v>1</v>
      </c>
      <c r="BR83" s="3">
        <f>+IF(AVANCE[[#This Row],[LAVAMANOS / LAVAPLATOS / LAVADERO]]=Z$2,100%,AVANCE[[#This Row],[LAVAMANOS / LAVAPLATOS / LAVADERO]])</f>
        <v>1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1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1</v>
      </c>
      <c r="CA83" s="3">
        <f>+IF(AVANCE[[#This Row],[OSB EXTERIOR]]=AM$2,100%,AVANCE[[#This Row],[OSB EXTERIOR]])</f>
        <v>1</v>
      </c>
      <c r="CB83" s="3">
        <f>+IF(AVANCE[[#This Row],[SMART PANEL]]=AN$2,100%,AVANCE[[#This Row],[SMART PANEL]])</f>
        <v>1</v>
      </c>
      <c r="CC83" s="3">
        <f>+IF(AVANCE[[#This Row],[PINTURA EXTERIOR]]=AO$2,100%,AVANCE[[#This Row],[PINTURA EXTERIOR]])</f>
        <v>1</v>
      </c>
      <c r="CD83" s="3">
        <f>+IF(AVANCE[[#This Row],[ZOCALOS LOGIA]]=AP$2,100%,AVANCE[[#This Row],[ZOCALOS LOGIA]])</f>
        <v>1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1</v>
      </c>
      <c r="CG83" s="3">
        <f>+IF(AVANCE[[#This Row],[CELOSIAS]]=AS$2,100%,AVANCE[[#This Row],[CELOSIAS]])</f>
        <v>1</v>
      </c>
      <c r="CH83" s="3">
        <f>+IF(AVANCE[[#This Row],[VENTANAS]]=AT$2,100%,AVANCE[[#This Row],[VENTANAS]])</f>
        <v>1</v>
      </c>
      <c r="CI83" s="3">
        <f>+IF(AVANCE[[#This Row],[PUERTAS ACCESO - LOGIA - BANO]]=AU$2,100%,AVANCE[[#This Row],[PUERTAS ACCESO - LOGIA - BANO]])</f>
        <v>1</v>
      </c>
      <c r="CJ83" s="3">
        <f>+IF(AVANCE[[#This Row],[CERRADURAS]]=AV$2,100%,AVANCE[[#This Row],[CERRADURAS]])</f>
        <v>1</v>
      </c>
      <c r="CK83" s="3">
        <f>+IF(AVANCE[[#This Row],[REVESTIMIENTO INTERIOR ZONA SECA]]=AW$2,100%,AVANCE[[#This Row],[REVESTIMIENTO INTERIOR ZONA SECA]])</f>
        <v>1</v>
      </c>
      <c r="CL83" s="3">
        <f>+IF(AVANCE[[#This Row],[REVESTIMIENTO INTERIOR ZONAS HUMEDAS]]=AX$2,100%,AVANCE[[#This Row],[REVESTIMIENTO INTERIOR ZONAS HUMEDAS]])</f>
        <v>1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1</v>
      </c>
      <c r="CP83" s="3">
        <f>+IF(AVANCE[[#This Row],[REVESTIMIENTO INTERIOR BANO]]=BB$2,100%,AVANCE[[#This Row],[REVESTIMIENTO INTERIOR BANO]])</f>
        <v>1</v>
      </c>
      <c r="CQ83" s="3">
        <f>+IF(AVANCE[[#This Row],[MUEBLE LAVAPLATOS]]=BC$2,100%,AVANCE[[#This Row],[MUEBLE LAVAPLATOS]])</f>
        <v>1</v>
      </c>
      <c r="CR83" s="3">
        <f>+IF(AVANCE[[#This Row],[IMPERMEABILIZACION BANO - COCINA LOGIA]]=BD$2,100%,AVANCE[[#This Row],[IMPERMEABILIZACION BANO - COCINA LOGIA]])</f>
        <v>1</v>
      </c>
      <c r="CS83" s="40">
        <f ca="1">+IF(AVANCE[[#This Row],[ESTADO MODULO]]="PENDIENTE",(TODAY()-AVANCE[[#This Row],[FECHA TERMINO  PLANIFICADO]]),0)</f>
        <v>12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SANITARIOS: VENTILACIONES | ELÉCTRICO: CABLEADO, ARTEFACTOS, TABLERO, CAJA PAU | TERMINACIONES: MOLDURAS, LIMPIEZA FINAL</v>
      </c>
      <c r="CU83" s="43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SANITARIOS, ELÉCTRICO, TERMINACIONES</v>
      </c>
      <c r="CV83" s="44" cm="1">
        <f t="array" ref="CV83">SUMPRODUCT(--(BG83:CR83&lt;1))</f>
        <v>7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0.85999999999999988</v>
      </c>
      <c r="F84" s="1">
        <v>46164</v>
      </c>
      <c r="G84" s="1">
        <v>46174</v>
      </c>
      <c r="H84" s="1">
        <v>46210</v>
      </c>
      <c r="I84" s="1">
        <v>46200</v>
      </c>
      <c r="J84">
        <v>0</v>
      </c>
      <c r="K84" s="1"/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0.08</v>
      </c>
      <c r="T84" s="3">
        <v>0.88888888888888895</v>
      </c>
      <c r="U84" s="3">
        <v>0.22222222222222221</v>
      </c>
      <c r="V84" s="3">
        <v>0.22222222222222221</v>
      </c>
      <c r="W84" s="3">
        <v>0</v>
      </c>
      <c r="X84" s="3">
        <v>0.1111111111111111</v>
      </c>
      <c r="Y84" s="3">
        <v>0.1111111111111111</v>
      </c>
      <c r="Z84" s="3">
        <v>0.22222222222222221</v>
      </c>
      <c r="AA84" s="3">
        <v>0.03</v>
      </c>
      <c r="AB84" s="3">
        <v>0.27272727272727271</v>
      </c>
      <c r="AC84" s="3">
        <v>0.27272727272727271</v>
      </c>
      <c r="AD84" s="3">
        <v>0</v>
      </c>
      <c r="AE84" s="3">
        <v>0</v>
      </c>
      <c r="AF84" s="3">
        <v>0</v>
      </c>
      <c r="AG84" s="3">
        <v>0</v>
      </c>
      <c r="AH84" s="3">
        <v>0.31999999999999984</v>
      </c>
      <c r="AI84" s="3">
        <v>0.86486486486486447</v>
      </c>
      <c r="AJ84" s="3">
        <v>5.4054054054054036E-2</v>
      </c>
      <c r="AK84" s="3">
        <v>5.4054054054054036E-2</v>
      </c>
      <c r="AL84" s="3">
        <v>0</v>
      </c>
      <c r="AM84" s="3">
        <v>8.1081081081081058E-2</v>
      </c>
      <c r="AN84" s="3">
        <v>8.1081081081081058E-2</v>
      </c>
      <c r="AO84" s="3">
        <v>6.7567567567567557E-2</v>
      </c>
      <c r="AP84" s="3">
        <v>5.4054054054054036E-2</v>
      </c>
      <c r="AQ84" s="3">
        <v>0</v>
      </c>
      <c r="AR84" s="3">
        <v>0</v>
      </c>
      <c r="AS84" s="3">
        <v>1.3513513513513509E-2</v>
      </c>
      <c r="AT84" s="3">
        <v>8.1081081081081058E-2</v>
      </c>
      <c r="AU84" s="3">
        <v>5.4054054054054036E-2</v>
      </c>
      <c r="AV84" s="3">
        <v>2.7027027027027018E-2</v>
      </c>
      <c r="AW84" s="3">
        <v>5.4054054054054036E-2</v>
      </c>
      <c r="AX84" s="3">
        <v>5.4054054054054036E-2</v>
      </c>
      <c r="AY84" s="3">
        <v>2.7027027027027018E-2</v>
      </c>
      <c r="AZ84" s="3">
        <v>0</v>
      </c>
      <c r="BA84" s="3">
        <v>5.4054054054054036E-2</v>
      </c>
      <c r="BB84" s="3">
        <v>8.1081081081081058E-2</v>
      </c>
      <c r="BC84" s="3">
        <v>0</v>
      </c>
      <c r="BD84" s="3">
        <v>2.7027027027027018E-2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1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1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1</v>
      </c>
      <c r="BQ84" s="3">
        <f>+IF(AVANCE[[#This Row],[WC]]=Y$2,100%,AVANCE[[#This Row],[WC]])</f>
        <v>1</v>
      </c>
      <c r="BR84" s="3">
        <f>+IF(AVANCE[[#This Row],[LAVAMANOS / LAVAPLATOS / LAVADERO]]=Z$2,100%,AVANCE[[#This Row],[LAVAMANOS / LAVAPLATOS / LAVADERO]])</f>
        <v>1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1</v>
      </c>
      <c r="BY84" s="3">
        <f>+IF(AVANCE[[#This Row],[OSB CUBIERTA]]=AK$2,100%,AVANCE[[#This Row],[OSB CUBIERTA]])</f>
        <v>1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1</v>
      </c>
      <c r="CB84" s="3">
        <f>+IF(AVANCE[[#This Row],[SMART PANEL]]=AN$2,100%,AVANCE[[#This Row],[SMART PANEL]])</f>
        <v>1</v>
      </c>
      <c r="CC84" s="3">
        <f>+IF(AVANCE[[#This Row],[PINTURA EXTERIOR]]=AO$2,100%,AVANCE[[#This Row],[PINTURA EXTERIOR]])</f>
        <v>1</v>
      </c>
      <c r="CD84" s="3">
        <f>+IF(AVANCE[[#This Row],[ZOCALOS LOGIA]]=AP$2,100%,AVANCE[[#This Row],[ZOCALOS LOGIA]])</f>
        <v>1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1</v>
      </c>
      <c r="CH84" s="3">
        <f>+IF(AVANCE[[#This Row],[VENTANAS]]=AT$2,100%,AVANCE[[#This Row],[VENTANAS]])</f>
        <v>1</v>
      </c>
      <c r="CI84" s="3">
        <f>+IF(AVANCE[[#This Row],[PUERTAS ACCESO - LOGIA - BANO]]=AU$2,100%,AVANCE[[#This Row],[PUERTAS ACCESO - LOGIA - BANO]])</f>
        <v>1</v>
      </c>
      <c r="CJ84" s="3">
        <f>+IF(AVANCE[[#This Row],[CERRADURAS]]=AV$2,100%,AVANCE[[#This Row],[CERRADURAS]])</f>
        <v>1</v>
      </c>
      <c r="CK84" s="3">
        <f>+IF(AVANCE[[#This Row],[REVESTIMIENTO INTERIOR ZONA SECA]]=AW$2,100%,AVANCE[[#This Row],[REVESTIMIENTO INTERIOR ZONA SECA]])</f>
        <v>1</v>
      </c>
      <c r="CL84" s="3">
        <f>+IF(AVANCE[[#This Row],[REVESTIMIENTO INTERIOR ZONAS HUMEDAS]]=AX$2,100%,AVANCE[[#This Row],[REVESTIMIENTO INTERIOR ZONAS HUMEDAS]])</f>
        <v>1</v>
      </c>
      <c r="CM84" s="3">
        <f>+IF(AVANCE[[#This Row],[MEMBRANA CIELO]]=AY$2,100%,AVANCE[[#This Row],[MEMBRANA CIELO]])</f>
        <v>1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1</v>
      </c>
      <c r="CP84" s="3">
        <f>+IF(AVANCE[[#This Row],[REVESTIMIENTO INTERIOR BANO]]=BB$2,100%,AVANCE[[#This Row],[REVESTIMIENTO INTERIOR BANO]])</f>
        <v>1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1</v>
      </c>
      <c r="CS84" s="40">
        <f ca="1">+IF(AVANCE[[#This Row],[ESTADO MODULO]]="PENDIENTE",(TODAY()-AVANCE[[#This Row],[FECHA TERMINO  PLANIFICADO]]),0)</f>
        <v>10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SANITARIOS: VENTILACIONES | ELÉCTRICO: CABLEADO, ARTEFACTOS, TABLERO, CAJA PAU | TERMINACIONES: BARANDA BALCON, MOLDURAS, PILASTREO, LIMPIEZA FINAL, MUEBLE LAVAPLATOS</v>
      </c>
      <c r="CU84" s="43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SANITARIOS, ELÉCTRICO, TERMINACIONES</v>
      </c>
      <c r="CV84" s="44" cm="1">
        <f t="array" ref="CV84">SUMPRODUCT(--(BG84:CR84&lt;1))</f>
        <v>10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0.9049999999999998</v>
      </c>
      <c r="F85" s="1">
        <v>46164</v>
      </c>
      <c r="G85" s="1">
        <v>46171</v>
      </c>
      <c r="H85" s="1">
        <v>46209</v>
      </c>
      <c r="I85" s="1">
        <v>46190</v>
      </c>
      <c r="J85">
        <v>1</v>
      </c>
      <c r="K85" s="1"/>
      <c r="L85" s="3">
        <v>0.43</v>
      </c>
      <c r="M85" s="3">
        <v>1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9.3023255813953487E-2</v>
      </c>
      <c r="S85" s="3">
        <v>0.09</v>
      </c>
      <c r="T85" s="3">
        <v>1</v>
      </c>
      <c r="U85" s="3">
        <v>0.22222222222222221</v>
      </c>
      <c r="V85" s="3">
        <v>0.22222222222222221</v>
      </c>
      <c r="W85" s="3">
        <v>0.1111111111111111</v>
      </c>
      <c r="X85" s="3">
        <v>0.1111111111111111</v>
      </c>
      <c r="Y85" s="3">
        <v>0.1111111111111111</v>
      </c>
      <c r="Z85" s="3">
        <v>0.22222222222222221</v>
      </c>
      <c r="AA85" s="3">
        <v>6.9999999999999993E-2</v>
      </c>
      <c r="AB85" s="3">
        <v>0.63636363636363635</v>
      </c>
      <c r="AC85" s="3">
        <v>0.27272727272727271</v>
      </c>
      <c r="AD85" s="3">
        <v>0</v>
      </c>
      <c r="AE85" s="3">
        <v>0</v>
      </c>
      <c r="AF85" s="3">
        <v>0.18181818181818182</v>
      </c>
      <c r="AG85" s="3">
        <v>0.18181818181818182</v>
      </c>
      <c r="AH85" s="3">
        <v>0.31499999999999984</v>
      </c>
      <c r="AI85" s="3">
        <v>0.85135135135135098</v>
      </c>
      <c r="AJ85" s="3">
        <v>5.4054054054054036E-2</v>
      </c>
      <c r="AK85" s="3">
        <v>5.4054054054054036E-2</v>
      </c>
      <c r="AL85" s="3">
        <v>2.7027027027027018E-2</v>
      </c>
      <c r="AM85" s="3">
        <v>8.1081081081081058E-2</v>
      </c>
      <c r="AN85" s="3">
        <v>8.1081081081081058E-2</v>
      </c>
      <c r="AO85" s="3">
        <v>0</v>
      </c>
      <c r="AP85" s="3">
        <v>5.4054054054054036E-2</v>
      </c>
      <c r="AQ85" s="3">
        <v>1.3513513513513509E-2</v>
      </c>
      <c r="AR85" s="3">
        <v>0</v>
      </c>
      <c r="AS85" s="3">
        <v>1.3513513513513509E-2</v>
      </c>
      <c r="AT85" s="3">
        <v>8.1081081081081058E-2</v>
      </c>
      <c r="AU85" s="3">
        <v>5.4054054054054036E-2</v>
      </c>
      <c r="AV85" s="3">
        <v>2.7027027027027018E-2</v>
      </c>
      <c r="AW85" s="3">
        <v>5.4054054054054036E-2</v>
      </c>
      <c r="AX85" s="3">
        <v>5.4054054054054036E-2</v>
      </c>
      <c r="AY85" s="3">
        <v>2.7027027027027018E-2</v>
      </c>
      <c r="AZ85" s="3">
        <v>0</v>
      </c>
      <c r="BA85" s="3">
        <v>5.4054054054054036E-2</v>
      </c>
      <c r="BB85" s="3">
        <v>8.1081081081081058E-2</v>
      </c>
      <c r="BC85" s="3">
        <v>1.3513513513513509E-2</v>
      </c>
      <c r="BD85" s="3">
        <v>2.7027027027027018E-2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1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1</v>
      </c>
      <c r="BM85" s="3">
        <f>+IF(AVANCE[[#This Row],[RED ALCANTARILLADO]]=U$2,100%,AVANCE[[#This Row],[RED ALCANTARILLADO]])</f>
        <v>1</v>
      </c>
      <c r="BN85" s="3">
        <f>+IF(AVANCE[[#This Row],[RED DE AGUA]]=V$2,100%,AVANCE[[#This Row],[RED DE AGUA]])</f>
        <v>1</v>
      </c>
      <c r="BO85" s="3">
        <f>+IF(AVANCE[[#This Row],[VENTILACIONES]]=W$2,100%,AVANCE[[#This Row],[VENTILACIONES]])</f>
        <v>1</v>
      </c>
      <c r="BP85" s="3">
        <f>+IF(AVANCE[[#This Row],[TINA]]=X$2,100%,AVANCE[[#This Row],[TINA]])</f>
        <v>1</v>
      </c>
      <c r="BQ85" s="3">
        <f>+IF(AVANCE[[#This Row],[WC]]=Y$2,100%,AVANCE[[#This Row],[WC]])</f>
        <v>1</v>
      </c>
      <c r="BR85" s="3">
        <f>+IF(AVANCE[[#This Row],[LAVAMANOS / LAVAPLATOS / LAVADERO]]=Z$2,100%,AVANCE[[#This Row],[LAVAMANOS / LAVAPLATOS / LAVADERO]])</f>
        <v>1</v>
      </c>
      <c r="BS85" s="3">
        <f>+IF(AVANCE[[#This Row],[CANALIZACIÓN]]=AC$2,100%,AVANCE[[#This Row],[CANALIZACIÓN]])</f>
        <v>1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1</v>
      </c>
      <c r="BW85" s="3">
        <f>+IF(AVANCE[[#This Row],[CAJA PAU]]=AG$2,100%,AVANCE[[#This Row],[CAJA PAU]])</f>
        <v>1</v>
      </c>
      <c r="BX85" s="3">
        <f>+IF(AVANCE[[#This Row],[INSTALACION VINILICO]]=AJ$2,100%,AVANCE[[#This Row],[INSTALACION VINILICO]])</f>
        <v>1</v>
      </c>
      <c r="BY85" s="3">
        <f>+IF(AVANCE[[#This Row],[OSB CUBIERTA]]=AK$2,100%,AVANCE[[#This Row],[OSB CUBIERTA]])</f>
        <v>1</v>
      </c>
      <c r="BZ85" s="3">
        <f>+IF(AVANCE[[#This Row],[BARANDA BALCON]]=AL$2,100%,AVANCE[[#This Row],[BARANDA BALCON]])</f>
        <v>1</v>
      </c>
      <c r="CA85" s="3">
        <f>+IF(AVANCE[[#This Row],[OSB EXTERIOR]]=AM$2,100%,AVANCE[[#This Row],[OSB EXTERIOR]])</f>
        <v>1</v>
      </c>
      <c r="CB85" s="3">
        <f>+IF(AVANCE[[#This Row],[SMART PANEL]]=AN$2,100%,AVANCE[[#This Row],[SMART PANEL]])</f>
        <v>1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1</v>
      </c>
      <c r="CE85" s="3">
        <f>+IF(AVANCE[[#This Row],[MOLDURAS]]=AQ$2,100%,AVANCE[[#This Row],[MOLDURAS]])</f>
        <v>1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1</v>
      </c>
      <c r="CH85" s="3">
        <f>+IF(AVANCE[[#This Row],[VENTANAS]]=AT$2,100%,AVANCE[[#This Row],[VENTANAS]])</f>
        <v>1</v>
      </c>
      <c r="CI85" s="3">
        <f>+IF(AVANCE[[#This Row],[PUERTAS ACCESO - LOGIA - BANO]]=AU$2,100%,AVANCE[[#This Row],[PUERTAS ACCESO - LOGIA - BANO]])</f>
        <v>1</v>
      </c>
      <c r="CJ85" s="3">
        <f>+IF(AVANCE[[#This Row],[CERRADURAS]]=AV$2,100%,AVANCE[[#This Row],[CERRADURAS]])</f>
        <v>1</v>
      </c>
      <c r="CK85" s="3">
        <f>+IF(AVANCE[[#This Row],[REVESTIMIENTO INTERIOR ZONA SECA]]=AW$2,100%,AVANCE[[#This Row],[REVESTIMIENTO INTERIOR ZONA SECA]])</f>
        <v>1</v>
      </c>
      <c r="CL85" s="3">
        <f>+IF(AVANCE[[#This Row],[REVESTIMIENTO INTERIOR ZONAS HUMEDAS]]=AX$2,100%,AVANCE[[#This Row],[REVESTIMIENTO INTERIOR ZONAS HUMEDAS]])</f>
        <v>1</v>
      </c>
      <c r="CM85" s="3">
        <f>+IF(AVANCE[[#This Row],[MEMBRANA CIELO]]=AY$2,100%,AVANCE[[#This Row],[MEMBRANA CIELO]])</f>
        <v>1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1</v>
      </c>
      <c r="CP85" s="3">
        <f>+IF(AVANCE[[#This Row],[REVESTIMIENTO INTERIOR BANO]]=BB$2,100%,AVANCE[[#This Row],[REVESTIMIENTO INTERIOR BANO]])</f>
        <v>1</v>
      </c>
      <c r="CQ85" s="3">
        <f>+IF(AVANCE[[#This Row],[MUEBLE LAVAPLATOS]]=BC$2,100%,AVANCE[[#This Row],[MUEBLE LAVAPLATOS]])</f>
        <v>1</v>
      </c>
      <c r="CR85" s="3">
        <f>+IF(AVANCE[[#This Row],[IMPERMEABILIZACION BANO - COCINA LOGIA]]=BD$2,100%,AVANCE[[#This Row],[IMPERMEABILIZACION BANO - COCINA LOGIA]])</f>
        <v>1</v>
      </c>
      <c r="CS85" s="40">
        <f ca="1">+IF(AVANCE[[#This Row],[ESTADO MODULO]]="PENDIENTE",(TODAY()-AVANCE[[#This Row],[FECHA TERMINO  PLANIFICADO]]),0)</f>
        <v>20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ELÉCTRICO: CABLEADO, ARTEFACTOS | TERMINACIONES: PINTURA EXTERIOR, PILASTREO, LIMPIEZA FINAL</v>
      </c>
      <c r="CU85" s="43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ELÉCTRICO, TERMINACIONES</v>
      </c>
      <c r="CV85" s="44" cm="1">
        <f t="array" ref="CV85">SUMPRODUCT(--(BG85:CR85&lt;1))</f>
        <v>5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0.92499999999999982</v>
      </c>
      <c r="F86" s="1">
        <v>46167</v>
      </c>
      <c r="G86" s="1">
        <v>46171</v>
      </c>
      <c r="H86" s="1">
        <v>46210</v>
      </c>
      <c r="I86" s="1">
        <v>46193</v>
      </c>
      <c r="J86">
        <v>0</v>
      </c>
      <c r="K86" s="1"/>
      <c r="L86" s="3">
        <v>0.43</v>
      </c>
      <c r="M86" s="3">
        <v>1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9.3023255813953487E-2</v>
      </c>
      <c r="S86" s="3">
        <v>0.09</v>
      </c>
      <c r="T86" s="3">
        <v>1</v>
      </c>
      <c r="U86" s="3">
        <v>0.22222222222222221</v>
      </c>
      <c r="V86" s="3">
        <v>0.22222222222222221</v>
      </c>
      <c r="W86" s="3">
        <v>0.1111111111111111</v>
      </c>
      <c r="X86" s="3">
        <v>0.1111111111111111</v>
      </c>
      <c r="Y86" s="3">
        <v>0.1111111111111111</v>
      </c>
      <c r="Z86" s="3">
        <v>0.22222222222222221</v>
      </c>
      <c r="AA86" s="3">
        <v>6.9999999999999993E-2</v>
      </c>
      <c r="AB86" s="3">
        <v>0.63636363636363635</v>
      </c>
      <c r="AC86" s="3">
        <v>0.27272727272727271</v>
      </c>
      <c r="AD86" s="3">
        <v>0</v>
      </c>
      <c r="AE86" s="3">
        <v>0</v>
      </c>
      <c r="AF86" s="3">
        <v>0.18181818181818182</v>
      </c>
      <c r="AG86" s="3">
        <v>0.18181818181818182</v>
      </c>
      <c r="AH86" s="3">
        <v>0.33499999999999985</v>
      </c>
      <c r="AI86" s="3">
        <v>0.90540540540540504</v>
      </c>
      <c r="AJ86" s="3">
        <v>5.4054054054054036E-2</v>
      </c>
      <c r="AK86" s="3">
        <v>5.4054054054054036E-2</v>
      </c>
      <c r="AL86" s="3">
        <v>2.7027027027027018E-2</v>
      </c>
      <c r="AM86" s="3">
        <v>8.1081081081081058E-2</v>
      </c>
      <c r="AN86" s="3">
        <v>8.1081081081081058E-2</v>
      </c>
      <c r="AO86" s="3">
        <v>6.7567567567567557E-2</v>
      </c>
      <c r="AP86" s="3">
        <v>5.4054054054054036E-2</v>
      </c>
      <c r="AQ86" s="3">
        <v>1.3513513513513509E-2</v>
      </c>
      <c r="AR86" s="3">
        <v>0</v>
      </c>
      <c r="AS86" s="3">
        <v>0</v>
      </c>
      <c r="AT86" s="3">
        <v>8.1081081081081058E-2</v>
      </c>
      <c r="AU86" s="3">
        <v>5.4054054054054036E-2</v>
      </c>
      <c r="AV86" s="3">
        <v>2.7027027027027018E-2</v>
      </c>
      <c r="AW86" s="3">
        <v>5.4054054054054036E-2</v>
      </c>
      <c r="AX86" s="3">
        <v>5.4054054054054036E-2</v>
      </c>
      <c r="AY86" s="3">
        <v>2.7027027027027018E-2</v>
      </c>
      <c r="AZ86" s="3">
        <v>0</v>
      </c>
      <c r="BA86" s="3">
        <v>5.4054054054054036E-2</v>
      </c>
      <c r="BB86" s="3">
        <v>8.1081081081081058E-2</v>
      </c>
      <c r="BC86" s="3">
        <v>1.3513513513513509E-2</v>
      </c>
      <c r="BD86" s="3">
        <v>2.7027027027027018E-2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1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1</v>
      </c>
      <c r="BM86" s="3">
        <f>+IF(AVANCE[[#This Row],[RED ALCANTARILLADO]]=U$2,100%,AVANCE[[#This Row],[RED ALCANTARILLADO]])</f>
        <v>1</v>
      </c>
      <c r="BN86" s="3">
        <f>+IF(AVANCE[[#This Row],[RED DE AGUA]]=V$2,100%,AVANCE[[#This Row],[RED DE AGUA]])</f>
        <v>1</v>
      </c>
      <c r="BO86" s="3">
        <f>+IF(AVANCE[[#This Row],[VENTILACIONES]]=W$2,100%,AVANCE[[#This Row],[VENTILACIONES]])</f>
        <v>1</v>
      </c>
      <c r="BP86" s="3">
        <f>+IF(AVANCE[[#This Row],[TINA]]=X$2,100%,AVANCE[[#This Row],[TINA]])</f>
        <v>1</v>
      </c>
      <c r="BQ86" s="3">
        <f>+IF(AVANCE[[#This Row],[WC]]=Y$2,100%,AVANCE[[#This Row],[WC]])</f>
        <v>1</v>
      </c>
      <c r="BR86" s="3">
        <f>+IF(AVANCE[[#This Row],[LAVAMANOS / LAVAPLATOS / LAVADERO]]=Z$2,100%,AVANCE[[#This Row],[LAVAMANOS / LAVAPLATOS / LAVADERO]])</f>
        <v>1</v>
      </c>
      <c r="BS86" s="3">
        <f>+IF(AVANCE[[#This Row],[CANALIZACIÓN]]=AC$2,100%,AVANCE[[#This Row],[CANALIZACIÓN]])</f>
        <v>1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1</v>
      </c>
      <c r="BW86" s="3">
        <f>+IF(AVANCE[[#This Row],[CAJA PAU]]=AG$2,100%,AVANCE[[#This Row],[CAJA PAU]])</f>
        <v>1</v>
      </c>
      <c r="BX86" s="3">
        <f>+IF(AVANCE[[#This Row],[INSTALACION VINILICO]]=AJ$2,100%,AVANCE[[#This Row],[INSTALACION VINILICO]])</f>
        <v>1</v>
      </c>
      <c r="BY86" s="3">
        <f>+IF(AVANCE[[#This Row],[OSB CUBIERTA]]=AK$2,100%,AVANCE[[#This Row],[OSB CUBIERTA]])</f>
        <v>1</v>
      </c>
      <c r="BZ86" s="3">
        <f>+IF(AVANCE[[#This Row],[BARANDA BALCON]]=AL$2,100%,AVANCE[[#This Row],[BARANDA BALCON]])</f>
        <v>1</v>
      </c>
      <c r="CA86" s="3">
        <f>+IF(AVANCE[[#This Row],[OSB EXTERIOR]]=AM$2,100%,AVANCE[[#This Row],[OSB EXTERIOR]])</f>
        <v>1</v>
      </c>
      <c r="CB86" s="3">
        <f>+IF(AVANCE[[#This Row],[SMART PANEL]]=AN$2,100%,AVANCE[[#This Row],[SMART PANEL]])</f>
        <v>1</v>
      </c>
      <c r="CC86" s="3">
        <f>+IF(AVANCE[[#This Row],[PINTURA EXTERIOR]]=AO$2,100%,AVANCE[[#This Row],[PINTURA EXTERIOR]])</f>
        <v>1</v>
      </c>
      <c r="CD86" s="3">
        <f>+IF(AVANCE[[#This Row],[ZOCALOS LOGIA]]=AP$2,100%,AVANCE[[#This Row],[ZOCALOS LOGIA]])</f>
        <v>1</v>
      </c>
      <c r="CE86" s="3">
        <f>+IF(AVANCE[[#This Row],[MOLDURAS]]=AQ$2,100%,AVANCE[[#This Row],[MOLDURAS]])</f>
        <v>1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1</v>
      </c>
      <c r="CI86" s="3">
        <f>+IF(AVANCE[[#This Row],[PUERTAS ACCESO - LOGIA - BANO]]=AU$2,100%,AVANCE[[#This Row],[PUERTAS ACCESO - LOGIA - BANO]])</f>
        <v>1</v>
      </c>
      <c r="CJ86" s="3">
        <f>+IF(AVANCE[[#This Row],[CERRADURAS]]=AV$2,100%,AVANCE[[#This Row],[CERRADURAS]])</f>
        <v>1</v>
      </c>
      <c r="CK86" s="3">
        <f>+IF(AVANCE[[#This Row],[REVESTIMIENTO INTERIOR ZONA SECA]]=AW$2,100%,AVANCE[[#This Row],[REVESTIMIENTO INTERIOR ZONA SECA]])</f>
        <v>1</v>
      </c>
      <c r="CL86" s="3">
        <f>+IF(AVANCE[[#This Row],[REVESTIMIENTO INTERIOR ZONAS HUMEDAS]]=AX$2,100%,AVANCE[[#This Row],[REVESTIMIENTO INTERIOR ZONAS HUMEDAS]])</f>
        <v>1</v>
      </c>
      <c r="CM86" s="3">
        <f>+IF(AVANCE[[#This Row],[MEMBRANA CIELO]]=AY$2,100%,AVANCE[[#This Row],[MEMBRANA CIELO]])</f>
        <v>1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1</v>
      </c>
      <c r="CP86" s="3">
        <f>+IF(AVANCE[[#This Row],[REVESTIMIENTO INTERIOR BANO]]=BB$2,100%,AVANCE[[#This Row],[REVESTIMIENTO INTERIOR BANO]])</f>
        <v>1</v>
      </c>
      <c r="CQ86" s="3">
        <f>+IF(AVANCE[[#This Row],[MUEBLE LAVAPLATOS]]=BC$2,100%,AVANCE[[#This Row],[MUEBLE LAVAPLATOS]])</f>
        <v>1</v>
      </c>
      <c r="CR86" s="3">
        <f>+IF(AVANCE[[#This Row],[IMPERMEABILIZACION BANO - COCINA LOGIA]]=BD$2,100%,AVANCE[[#This Row],[IMPERMEABILIZACION BANO - COCINA LOGIA]])</f>
        <v>1</v>
      </c>
      <c r="CS86" s="40">
        <f ca="1">+IF(AVANCE[[#This Row],[ESTADO MODULO]]="PENDIENTE",(TODAY()-AVANCE[[#This Row],[FECHA TERMINO  PLANIFICADO]]),0)</f>
        <v>17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ELÉCTRICO: CABLEADO, ARTEFACTOS | TERMINACIONES: PILASTREO, CELOSIAS, LIMPIEZA FINAL</v>
      </c>
      <c r="CU86" s="43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ELÉCTRICO, TERMINACIONES</v>
      </c>
      <c r="CV86" s="44" cm="1">
        <f t="array" ref="CV86">SUMPRODUCT(--(BG86:CR86&lt;1))</f>
        <v>5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0.79499999999999993</v>
      </c>
      <c r="F87" s="1">
        <v>46167</v>
      </c>
      <c r="G87" s="1">
        <v>46176</v>
      </c>
      <c r="H87" s="1">
        <v>46209</v>
      </c>
      <c r="I87" s="1">
        <v>46203</v>
      </c>
      <c r="J87">
        <v>1</v>
      </c>
      <c r="K87" s="1"/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0.08</v>
      </c>
      <c r="T87" s="3">
        <v>0.88888888888888895</v>
      </c>
      <c r="U87" s="3">
        <v>0.22222222222222221</v>
      </c>
      <c r="V87" s="3">
        <v>0.22222222222222221</v>
      </c>
      <c r="W87" s="3">
        <v>0</v>
      </c>
      <c r="X87" s="3">
        <v>0.1111111111111111</v>
      </c>
      <c r="Y87" s="3">
        <v>0.1111111111111111</v>
      </c>
      <c r="Z87" s="3">
        <v>0.22222222222222221</v>
      </c>
      <c r="AA87" s="3">
        <v>0.03</v>
      </c>
      <c r="AB87" s="3">
        <v>0.27272727272727271</v>
      </c>
      <c r="AC87" s="3">
        <v>0.27272727272727271</v>
      </c>
      <c r="AD87" s="3">
        <v>0</v>
      </c>
      <c r="AE87" s="3">
        <v>0</v>
      </c>
      <c r="AF87" s="3">
        <v>0</v>
      </c>
      <c r="AG87" s="3">
        <v>0</v>
      </c>
      <c r="AH87" s="3">
        <v>0.25499999999999989</v>
      </c>
      <c r="AI87" s="3">
        <v>0.68918918918918892</v>
      </c>
      <c r="AJ87" s="3">
        <v>5.4054054054054036E-2</v>
      </c>
      <c r="AK87" s="3">
        <v>5.4054054054054036E-2</v>
      </c>
      <c r="AL87" s="3">
        <v>2.7027027027027018E-2</v>
      </c>
      <c r="AM87" s="3">
        <v>8.1081081081081058E-2</v>
      </c>
      <c r="AN87" s="3">
        <v>8.1081081081081058E-2</v>
      </c>
      <c r="AO87" s="3">
        <v>6.7567567567567557E-2</v>
      </c>
      <c r="AP87" s="3">
        <v>5.4054054054054036E-2</v>
      </c>
      <c r="AQ87" s="3">
        <v>0</v>
      </c>
      <c r="AR87" s="3">
        <v>0</v>
      </c>
      <c r="AS87" s="3">
        <v>1.3513513513513509E-2</v>
      </c>
      <c r="AT87" s="3">
        <v>8.1081081081081058E-2</v>
      </c>
      <c r="AU87" s="3">
        <v>0</v>
      </c>
      <c r="AV87" s="3">
        <v>0</v>
      </c>
      <c r="AW87" s="3">
        <v>0</v>
      </c>
      <c r="AX87" s="3">
        <v>5.4054054054054036E-2</v>
      </c>
      <c r="AY87" s="3">
        <v>2.7027027027027018E-2</v>
      </c>
      <c r="AZ87" s="3">
        <v>0</v>
      </c>
      <c r="BA87" s="3">
        <v>5.4054054054054036E-2</v>
      </c>
      <c r="BB87" s="3">
        <v>0</v>
      </c>
      <c r="BC87" s="3">
        <v>1.3513513513513509E-2</v>
      </c>
      <c r="BD87" s="3">
        <v>2.7027027027027018E-2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1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1</v>
      </c>
      <c r="BN87" s="3">
        <f>+IF(AVANCE[[#This Row],[RED DE AGUA]]=V$2,100%,AVANCE[[#This Row],[RED DE AGUA]])</f>
        <v>1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1</v>
      </c>
      <c r="BQ87" s="3">
        <f>+IF(AVANCE[[#This Row],[WC]]=Y$2,100%,AVANCE[[#This Row],[WC]])</f>
        <v>1</v>
      </c>
      <c r="BR87" s="3">
        <f>+IF(AVANCE[[#This Row],[LAVAMANOS / LAVAPLATOS / LAVADERO]]=Z$2,100%,AVANCE[[#This Row],[LAVAMANOS / LAVAPLATOS / LAVADERO]])</f>
        <v>1</v>
      </c>
      <c r="BS87" s="3">
        <f>+IF(AVANCE[[#This Row],[CANALIZACIÓN]]=AC$2,100%,AVANCE[[#This Row],[CANALIZACIÓN]])</f>
        <v>1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1</v>
      </c>
      <c r="BY87" s="3">
        <f>+IF(AVANCE[[#This Row],[OSB CUBIERTA]]=AK$2,100%,AVANCE[[#This Row],[OSB CUBIERTA]])</f>
        <v>1</v>
      </c>
      <c r="BZ87" s="3">
        <f>+IF(AVANCE[[#This Row],[BARANDA BALCON]]=AL$2,100%,AVANCE[[#This Row],[BARANDA BALCON]])</f>
        <v>1</v>
      </c>
      <c r="CA87" s="3">
        <f>+IF(AVANCE[[#This Row],[OSB EXTERIOR]]=AM$2,100%,AVANCE[[#This Row],[OSB EXTERIOR]])</f>
        <v>1</v>
      </c>
      <c r="CB87" s="3">
        <f>+IF(AVANCE[[#This Row],[SMART PANEL]]=AN$2,100%,AVANCE[[#This Row],[SMART PANEL]])</f>
        <v>1</v>
      </c>
      <c r="CC87" s="3">
        <f>+IF(AVANCE[[#This Row],[PINTURA EXTERIOR]]=AO$2,100%,AVANCE[[#This Row],[PINTURA EXTERIOR]])</f>
        <v>1</v>
      </c>
      <c r="CD87" s="3">
        <f>+IF(AVANCE[[#This Row],[ZOCALOS LOGIA]]=AP$2,100%,AVANCE[[#This Row],[ZOCALOS LOGIA]])</f>
        <v>1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1</v>
      </c>
      <c r="CH87" s="3">
        <f>+IF(AVANCE[[#This Row],[VENTANAS]]=AT$2,100%,AVANCE[[#This Row],[VENTANAS]])</f>
        <v>1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1</v>
      </c>
      <c r="CM87" s="3">
        <f>+IF(AVANCE[[#This Row],[MEMBRANA CIELO]]=AY$2,100%,AVANCE[[#This Row],[MEMBRANA CIELO]])</f>
        <v>1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1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1</v>
      </c>
      <c r="CR87" s="3">
        <f>+IF(AVANCE[[#This Row],[IMPERMEABILIZACION BANO - COCINA LOGIA]]=BD$2,100%,AVANCE[[#This Row],[IMPERMEABILIZACION BANO - COCINA LOGIA]])</f>
        <v>1</v>
      </c>
      <c r="CS87" s="40">
        <f ca="1">+IF(AVANCE[[#This Row],[ESTADO MODULO]]="PENDIENTE",(TODAY()-AVANCE[[#This Row],[FECHA TERMINO  PLANIFICADO]]),0)</f>
        <v>7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SANITARIOS: VENTILACIONES | ELÉCTRICO: CABLEADO, ARTEFACTOS, TABLERO, CAJA PAU | TERMINACIONES: MOLDURAS, PILASTREO, PUERTAS ACCESO - LOGIA - BANO, CERRADURAS, REVESTIMIENTO INTERIOR ZONA SECA, LIMPIEZA FINAL, REVESTIMIENTO INTERIOR BANO</v>
      </c>
      <c r="CU87" s="43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SANITARIOS, ELÉCTRICO, TERMINACIONES</v>
      </c>
      <c r="CV87" s="44" cm="1">
        <f t="array" ref="CV87">SUMPRODUCT(--(BG87:CR87&lt;1))</f>
        <v>12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0.80499999999999994</v>
      </c>
      <c r="F88" s="1">
        <v>46168</v>
      </c>
      <c r="G88" s="1">
        <v>46171</v>
      </c>
      <c r="H88" s="1">
        <v>46206</v>
      </c>
      <c r="I88" s="1">
        <v>46204</v>
      </c>
      <c r="J88">
        <v>4</v>
      </c>
      <c r="K88" s="1"/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0.08</v>
      </c>
      <c r="T88" s="3">
        <v>0.88888888888888895</v>
      </c>
      <c r="U88" s="3">
        <v>0.22222222222222221</v>
      </c>
      <c r="V88" s="3">
        <v>0.22222222222222221</v>
      </c>
      <c r="W88" s="3">
        <v>0</v>
      </c>
      <c r="X88" s="3">
        <v>0.1111111111111111</v>
      </c>
      <c r="Y88" s="3">
        <v>0.1111111111111111</v>
      </c>
      <c r="Z88" s="3">
        <v>0.22222222222222221</v>
      </c>
      <c r="AA88" s="3">
        <v>0.03</v>
      </c>
      <c r="AB88" s="3">
        <v>0.27272727272727271</v>
      </c>
      <c r="AC88" s="3">
        <v>0.27272727272727271</v>
      </c>
      <c r="AD88" s="3">
        <v>0</v>
      </c>
      <c r="AE88" s="3">
        <v>0</v>
      </c>
      <c r="AF88" s="3">
        <v>0</v>
      </c>
      <c r="AG88" s="3">
        <v>0</v>
      </c>
      <c r="AH88" s="3">
        <v>0.2649999999999999</v>
      </c>
      <c r="AI88" s="3">
        <v>0.7162162162162159</v>
      </c>
      <c r="AJ88" s="3">
        <v>5.4054054054054036E-2</v>
      </c>
      <c r="AK88" s="3">
        <v>5.4054054054054036E-2</v>
      </c>
      <c r="AL88" s="3">
        <v>0</v>
      </c>
      <c r="AM88" s="3">
        <v>8.1081081081081058E-2</v>
      </c>
      <c r="AN88" s="3">
        <v>8.1081081081081058E-2</v>
      </c>
      <c r="AO88" s="3">
        <v>0</v>
      </c>
      <c r="AP88" s="3">
        <v>5.4054054054054036E-2</v>
      </c>
      <c r="AQ88" s="3">
        <v>0</v>
      </c>
      <c r="AR88" s="3">
        <v>0</v>
      </c>
      <c r="AS88" s="3">
        <v>1.3513513513513509E-2</v>
      </c>
      <c r="AT88" s="3">
        <v>8.1081081081081058E-2</v>
      </c>
      <c r="AU88" s="3">
        <v>5.4054054054054036E-2</v>
      </c>
      <c r="AV88" s="3">
        <v>2.7027027027027018E-2</v>
      </c>
      <c r="AW88" s="3">
        <v>5.4054054054054036E-2</v>
      </c>
      <c r="AX88" s="3">
        <v>5.4054054054054036E-2</v>
      </c>
      <c r="AY88" s="3">
        <v>2.7027027027027018E-2</v>
      </c>
      <c r="AZ88" s="3">
        <v>0</v>
      </c>
      <c r="BA88" s="3">
        <v>5.4054054054054036E-2</v>
      </c>
      <c r="BB88" s="3">
        <v>0</v>
      </c>
      <c r="BC88" s="3">
        <v>0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1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1</v>
      </c>
      <c r="BQ88" s="3">
        <f>+IF(AVANCE[[#This Row],[WC]]=Y$2,100%,AVANCE[[#This Row],[WC]])</f>
        <v>1</v>
      </c>
      <c r="BR88" s="3">
        <f>+IF(AVANCE[[#This Row],[LAVAMANOS / LAVAPLATOS / LAVADERO]]=Z$2,100%,AVANCE[[#This Row],[LAVAMANOS / LAVAPLATOS / LAVADERO]])</f>
        <v>1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1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1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1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1</v>
      </c>
      <c r="CH88" s="3">
        <f>+IF(AVANCE[[#This Row],[VENTANAS]]=AT$2,100%,AVANCE[[#This Row],[VENTANAS]])</f>
        <v>1</v>
      </c>
      <c r="CI88" s="3">
        <f>+IF(AVANCE[[#This Row],[PUERTAS ACCESO - LOGIA - BANO]]=AU$2,100%,AVANCE[[#This Row],[PUERTAS ACCESO - LOGIA - BANO]])</f>
        <v>1</v>
      </c>
      <c r="CJ88" s="3">
        <f>+IF(AVANCE[[#This Row],[CERRADURAS]]=AV$2,100%,AVANCE[[#This Row],[CERRADURAS]])</f>
        <v>1</v>
      </c>
      <c r="CK88" s="3">
        <f>+IF(AVANCE[[#This Row],[REVESTIMIENTO INTERIOR ZONA SECA]]=AW$2,100%,AVANCE[[#This Row],[REVESTIMIENTO INTERIOR ZONA SECA]])</f>
        <v>1</v>
      </c>
      <c r="CL88" s="3">
        <f>+IF(AVANCE[[#This Row],[REVESTIMIENTO INTERIOR ZONAS HUMEDAS]]=AX$2,100%,AVANCE[[#This Row],[REVESTIMIENTO INTERIOR ZONAS HUMEDAS]])</f>
        <v>1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6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SANITARIOS: VENTILACIONES | ELÉCTRICO: CABLEADO, ARTEFACTOS, TABLERO, CAJA PAU | TERMINACIONES: BARANDA BALCON, PINTURA EXTERIOR, MOLDURAS, PILASTREO, LIMPIEZA FINAL, REVESTIMIENTO INTERIOR BANO, MUEBLE LAVAPLATOS</v>
      </c>
      <c r="CU88" s="43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SANITARIOS, ELÉCTRICO, TERMINACIONES</v>
      </c>
      <c r="CV88" s="44" cm="1">
        <f t="array" ref="CV88">SUMPRODUCT(--(BG88:CR88&lt;1))</f>
        <v>12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0.92499999999999982</v>
      </c>
      <c r="F89" s="1">
        <v>46168</v>
      </c>
      <c r="G89" s="1">
        <v>46171</v>
      </c>
      <c r="H89" s="1">
        <v>46199</v>
      </c>
      <c r="I89" s="1">
        <v>46194</v>
      </c>
      <c r="J89">
        <v>11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0.33499999999999985</v>
      </c>
      <c r="AI89" s="3">
        <v>0.90540540540540504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0</v>
      </c>
      <c r="AR89" s="3">
        <v>0</v>
      </c>
      <c r="AS89" s="3">
        <v>1.3513513513513509E-2</v>
      </c>
      <c r="AT89" s="3">
        <v>8.1081081081081058E-2</v>
      </c>
      <c r="AU89" s="3">
        <v>5.4054054054054036E-2</v>
      </c>
      <c r="AV89" s="3">
        <v>2.7027027027027018E-2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5.4054054054054036E-2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1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1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1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16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MOLDURAS, PILASTREO, LIMPIEZA FINAL</v>
      </c>
      <c r="CU89" s="43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4" cm="1">
        <f t="array" ref="CV89">SUMPRODUCT(--(BG89:CR89&lt;1))</f>
        <v>5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0.8949999999999998</v>
      </c>
      <c r="F90" s="1">
        <v>46169</v>
      </c>
      <c r="G90" s="1">
        <v>46178</v>
      </c>
      <c r="H90" s="1">
        <v>46210</v>
      </c>
      <c r="I90" s="1">
        <v>46195</v>
      </c>
      <c r="J90">
        <v>0</v>
      </c>
      <c r="K90" s="1"/>
      <c r="L90" s="3">
        <v>0.43</v>
      </c>
      <c r="M90" s="3">
        <v>1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9.3023255813953487E-2</v>
      </c>
      <c r="S90" s="3">
        <v>0.09</v>
      </c>
      <c r="T90" s="3">
        <v>1</v>
      </c>
      <c r="U90" s="3">
        <v>0.22222222222222221</v>
      </c>
      <c r="V90" s="3">
        <v>0.22222222222222221</v>
      </c>
      <c r="W90" s="3">
        <v>0.1111111111111111</v>
      </c>
      <c r="X90" s="3">
        <v>0.1111111111111111</v>
      </c>
      <c r="Y90" s="3">
        <v>0.1111111111111111</v>
      </c>
      <c r="Z90" s="3">
        <v>0.22222222222222221</v>
      </c>
      <c r="AA90" s="3">
        <v>6.9999999999999993E-2</v>
      </c>
      <c r="AB90" s="3">
        <v>0.63636363636363635</v>
      </c>
      <c r="AC90" s="3">
        <v>0.27272727272727271</v>
      </c>
      <c r="AD90" s="3">
        <v>0</v>
      </c>
      <c r="AE90" s="3">
        <v>0</v>
      </c>
      <c r="AF90" s="3">
        <v>0.18181818181818182</v>
      </c>
      <c r="AG90" s="3">
        <v>0.18181818181818182</v>
      </c>
      <c r="AH90" s="3">
        <v>0.30499999999999988</v>
      </c>
      <c r="AI90" s="3">
        <v>0.82432432432432401</v>
      </c>
      <c r="AJ90" s="3">
        <v>5.4054054054054036E-2</v>
      </c>
      <c r="AK90" s="3">
        <v>5.4054054054054036E-2</v>
      </c>
      <c r="AL90" s="3">
        <v>2.7027027027027018E-2</v>
      </c>
      <c r="AM90" s="3">
        <v>8.1081081081081058E-2</v>
      </c>
      <c r="AN90" s="3">
        <v>8.1081081081081058E-2</v>
      </c>
      <c r="AO90" s="3">
        <v>0</v>
      </c>
      <c r="AP90" s="3">
        <v>5.4054054054054036E-2</v>
      </c>
      <c r="AQ90" s="3">
        <v>0</v>
      </c>
      <c r="AR90" s="3">
        <v>0</v>
      </c>
      <c r="AS90" s="3">
        <v>0</v>
      </c>
      <c r="AT90" s="3">
        <v>8.1081081081081058E-2</v>
      </c>
      <c r="AU90" s="3">
        <v>5.4054054054054036E-2</v>
      </c>
      <c r="AV90" s="3">
        <v>2.7027027027027018E-2</v>
      </c>
      <c r="AW90" s="3">
        <v>5.4054054054054036E-2</v>
      </c>
      <c r="AX90" s="3">
        <v>5.4054054054054036E-2</v>
      </c>
      <c r="AY90" s="3">
        <v>2.7027027027027018E-2</v>
      </c>
      <c r="AZ90" s="3">
        <v>0</v>
      </c>
      <c r="BA90" s="3">
        <v>5.4054054054054036E-2</v>
      </c>
      <c r="BB90" s="3">
        <v>8.1081081081081058E-2</v>
      </c>
      <c r="BC90" s="3">
        <v>1.3513513513513509E-2</v>
      </c>
      <c r="BD90" s="3">
        <v>2.7027027027027018E-2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1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1</v>
      </c>
      <c r="BM90" s="3">
        <f>+IF(AVANCE[[#This Row],[RED ALCANTARILLADO]]=U$2,100%,AVANCE[[#This Row],[RED ALCANTARILLADO]])</f>
        <v>1</v>
      </c>
      <c r="BN90" s="3">
        <f>+IF(AVANCE[[#This Row],[RED DE AGUA]]=V$2,100%,AVANCE[[#This Row],[RED DE AGUA]])</f>
        <v>1</v>
      </c>
      <c r="BO90" s="3">
        <f>+IF(AVANCE[[#This Row],[VENTILACIONES]]=W$2,100%,AVANCE[[#This Row],[VENTILACIONES]])</f>
        <v>1</v>
      </c>
      <c r="BP90" s="3">
        <f>+IF(AVANCE[[#This Row],[TINA]]=X$2,100%,AVANCE[[#This Row],[TINA]])</f>
        <v>1</v>
      </c>
      <c r="BQ90" s="3">
        <f>+IF(AVANCE[[#This Row],[WC]]=Y$2,100%,AVANCE[[#This Row],[WC]])</f>
        <v>1</v>
      </c>
      <c r="BR90" s="3">
        <f>+IF(AVANCE[[#This Row],[LAVAMANOS / LAVAPLATOS / LAVADERO]]=Z$2,100%,AVANCE[[#This Row],[LAVAMANOS / LAVAPLATOS / LAVADERO]])</f>
        <v>1</v>
      </c>
      <c r="BS90" s="3">
        <f>+IF(AVANCE[[#This Row],[CANALIZACIÓN]]=AC$2,100%,AVANCE[[#This Row],[CANALIZACIÓN]])</f>
        <v>1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1</v>
      </c>
      <c r="BW90" s="3">
        <f>+IF(AVANCE[[#This Row],[CAJA PAU]]=AG$2,100%,AVANCE[[#This Row],[CAJA PAU]])</f>
        <v>1</v>
      </c>
      <c r="BX90" s="3">
        <f>+IF(AVANCE[[#This Row],[INSTALACION VINILICO]]=AJ$2,100%,AVANCE[[#This Row],[INSTALACION VINILICO]])</f>
        <v>1</v>
      </c>
      <c r="BY90" s="3">
        <f>+IF(AVANCE[[#This Row],[OSB CUBIERTA]]=AK$2,100%,AVANCE[[#This Row],[OSB CUBIERTA]])</f>
        <v>1</v>
      </c>
      <c r="BZ90" s="3">
        <f>+IF(AVANCE[[#This Row],[BARANDA BALCON]]=AL$2,100%,AVANCE[[#This Row],[BARANDA BALCON]])</f>
        <v>1</v>
      </c>
      <c r="CA90" s="3">
        <f>+IF(AVANCE[[#This Row],[OSB EXTERIOR]]=AM$2,100%,AVANCE[[#This Row],[OSB EXTERIOR]])</f>
        <v>1</v>
      </c>
      <c r="CB90" s="3">
        <f>+IF(AVANCE[[#This Row],[SMART PANEL]]=AN$2,100%,AVANCE[[#This Row],[SMART PANEL]])</f>
        <v>1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1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1</v>
      </c>
      <c r="CI90" s="3">
        <f>+IF(AVANCE[[#This Row],[PUERTAS ACCESO - LOGIA - BANO]]=AU$2,100%,AVANCE[[#This Row],[PUERTAS ACCESO - LOGIA - BANO]])</f>
        <v>1</v>
      </c>
      <c r="CJ90" s="3">
        <f>+IF(AVANCE[[#This Row],[CERRADURAS]]=AV$2,100%,AVANCE[[#This Row],[CERRADURAS]])</f>
        <v>1</v>
      </c>
      <c r="CK90" s="3">
        <f>+IF(AVANCE[[#This Row],[REVESTIMIENTO INTERIOR ZONA SECA]]=AW$2,100%,AVANCE[[#This Row],[REVESTIMIENTO INTERIOR ZONA SECA]])</f>
        <v>1</v>
      </c>
      <c r="CL90" s="3">
        <f>+IF(AVANCE[[#This Row],[REVESTIMIENTO INTERIOR ZONAS HUMEDAS]]=AX$2,100%,AVANCE[[#This Row],[REVESTIMIENTO INTERIOR ZONAS HUMEDAS]])</f>
        <v>1</v>
      </c>
      <c r="CM90" s="3">
        <f>+IF(AVANCE[[#This Row],[MEMBRANA CIELO]]=AY$2,100%,AVANCE[[#This Row],[MEMBRANA CIELO]])</f>
        <v>1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1</v>
      </c>
      <c r="CP90" s="3">
        <f>+IF(AVANCE[[#This Row],[REVESTIMIENTO INTERIOR BANO]]=BB$2,100%,AVANCE[[#This Row],[REVESTIMIENTO INTERIOR BANO]])</f>
        <v>1</v>
      </c>
      <c r="CQ90" s="3">
        <f>+IF(AVANCE[[#This Row],[MUEBLE LAVAPLATOS]]=BC$2,100%,AVANCE[[#This Row],[MUEBLE LAVAPLATOS]])</f>
        <v>1</v>
      </c>
      <c r="CR90" s="3">
        <f>+IF(AVANCE[[#This Row],[IMPERMEABILIZACION BANO - COCINA LOGIA]]=BD$2,100%,AVANCE[[#This Row],[IMPERMEABILIZACION BANO - COCINA LOGIA]])</f>
        <v>1</v>
      </c>
      <c r="CS90" s="40">
        <f ca="1">+IF(AVANCE[[#This Row],[ESTADO MODULO]]="PENDIENTE",(TODAY()-AVANCE[[#This Row],[FECHA TERMINO  PLANIFICADO]]),0)</f>
        <v>15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ELÉCTRICO: CABLEADO, ARTEFACTOS | TERMINACIONES: PINTURA EXTERIOR, MOLDURAS, PILASTREO, CELOSIAS, LIMPIEZA FINAL</v>
      </c>
      <c r="CU90" s="43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ELÉCTRICO, TERMINACIONES</v>
      </c>
      <c r="CV90" s="44" cm="1">
        <f t="array" ref="CV90">SUMPRODUCT(--(BG90:CR90&lt;1))</f>
        <v>7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0.62</v>
      </c>
      <c r="F91" s="1">
        <v>46169</v>
      </c>
      <c r="G91" s="1">
        <v>46176</v>
      </c>
      <c r="H91" s="1">
        <v>46210</v>
      </c>
      <c r="I91" s="1">
        <v>46205</v>
      </c>
      <c r="J91">
        <v>0</v>
      </c>
      <c r="K91" s="1"/>
      <c r="L91" s="3">
        <v>0.43</v>
      </c>
      <c r="M91" s="3">
        <v>1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9.3023255813953487E-2</v>
      </c>
      <c r="S91" s="3">
        <v>0.05</v>
      </c>
      <c r="T91" s="3">
        <v>0.55555555555555558</v>
      </c>
      <c r="U91" s="3">
        <v>0.22222222222222221</v>
      </c>
      <c r="V91" s="3">
        <v>0.22222222222222221</v>
      </c>
      <c r="W91" s="3">
        <v>0</v>
      </c>
      <c r="X91" s="3">
        <v>0.1111111111111111</v>
      </c>
      <c r="Y91" s="3">
        <v>0</v>
      </c>
      <c r="Z91" s="3">
        <v>0</v>
      </c>
      <c r="AA91" s="3">
        <v>0.03</v>
      </c>
      <c r="AB91" s="3">
        <v>0.27272727272727271</v>
      </c>
      <c r="AC91" s="3">
        <v>0.27272727272727271</v>
      </c>
      <c r="AD91" s="3">
        <v>0</v>
      </c>
      <c r="AE91" s="3">
        <v>0</v>
      </c>
      <c r="AF91" s="3">
        <v>0</v>
      </c>
      <c r="AG91" s="3">
        <v>0</v>
      </c>
      <c r="AH91" s="3">
        <v>0.10999999999999996</v>
      </c>
      <c r="AI91" s="3">
        <v>0.2972972972972972</v>
      </c>
      <c r="AJ91" s="3">
        <v>5.4054054054054036E-2</v>
      </c>
      <c r="AK91" s="3">
        <v>5.4054054054054036E-2</v>
      </c>
      <c r="AL91" s="3">
        <v>0</v>
      </c>
      <c r="AM91" s="3">
        <v>8.1081081081081058E-2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5.4054054054054036E-2</v>
      </c>
      <c r="AY91" s="3">
        <v>2.7027027027027018E-2</v>
      </c>
      <c r="AZ91" s="3">
        <v>0</v>
      </c>
      <c r="BA91" s="3">
        <v>0</v>
      </c>
      <c r="BB91" s="3">
        <v>0</v>
      </c>
      <c r="BC91" s="3">
        <v>0</v>
      </c>
      <c r="BD91" s="3">
        <v>2.7027027027027018E-2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1</v>
      </c>
      <c r="BM91" s="3">
        <f>+IF(AVANCE[[#This Row],[RED ALCANTARILLADO]]=U$2,100%,AVANCE[[#This Row],[RED ALCANTARILLADO]])</f>
        <v>1</v>
      </c>
      <c r="BN91" s="3">
        <f>+IF(AVANCE[[#This Row],[RED DE AGUA]]=V$2,100%,AVANCE[[#This Row],[RED DE AGUA]])</f>
        <v>1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1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1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1</v>
      </c>
      <c r="BY91" s="3">
        <f>+IF(AVANCE[[#This Row],[OSB CUBIERTA]]=AK$2,100%,AVANCE[[#This Row],[OSB CUBIERTA]])</f>
        <v>1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1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1</v>
      </c>
      <c r="CM91" s="3">
        <f>+IF(AVANCE[[#This Row],[MEMBRANA CIELO]]=AY$2,100%,AVANCE[[#This Row],[MEMBRANA CIELO]])</f>
        <v>1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1</v>
      </c>
      <c r="CS91" s="40">
        <f ca="1">+IF(AVANCE[[#This Row],[ESTADO MODULO]]="PENDIENTE",(TODAY()-AVANCE[[#This Row],[FECHA TERMINO  PLANIFICADO]]),0)</f>
        <v>5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SANITARIOS: VENTILACIONES, WC, LAVAMANOS / LAVAPLATOS / LAVADERO | ELÉCTRICO: CABLEADO, ARTEFACTOS, TABLERO, CAJA PAU | TERMINACIONES: VENTANAS, BARANDA BALCON, SMART PANEL, PINTURA EXTERIOR, ZOCALOS LOGIA, MOLDURAS, PILASTREO, CELOSIAS, VENTANAS (TERM), PUERTAS ACCESO - LOGIA - BANO, CERRADURAS, REVESTIMIENTO INTERIOR ZONA SECA, LIMPIEZA FINAL, PUERTAS DORMITORIO, REVESTIMIENTO INTERIOR BANO, MUEBLE LAVAPLATOS</v>
      </c>
      <c r="CU91" s="43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SANITARIOS, ELÉCTRICO, TERMINACIONES</v>
      </c>
      <c r="CV91" s="44" cm="1">
        <f t="array" ref="CV91">SUMPRODUCT(--(BG91:CR91&lt;1))</f>
        <v>23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0.6399999999999999</v>
      </c>
      <c r="F92" s="1">
        <v>46170</v>
      </c>
      <c r="G92" s="1">
        <v>46181</v>
      </c>
      <c r="H92" s="1">
        <v>46206</v>
      </c>
      <c r="I92" s="1">
        <v>46206</v>
      </c>
      <c r="J92">
        <v>4</v>
      </c>
      <c r="K92" s="1"/>
      <c r="L92" s="3">
        <v>0.43</v>
      </c>
      <c r="M92" s="3">
        <v>1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9.3023255813953487E-2</v>
      </c>
      <c r="S92" s="3">
        <v>3.9999999999999994E-2</v>
      </c>
      <c r="T92" s="3">
        <v>0.44444444444444442</v>
      </c>
      <c r="U92" s="3">
        <v>0.22222222222222221</v>
      </c>
      <c r="V92" s="3">
        <v>0.22222222222222221</v>
      </c>
      <c r="W92" s="3">
        <v>0</v>
      </c>
      <c r="X92" s="3">
        <v>0</v>
      </c>
      <c r="Y92" s="3">
        <v>0</v>
      </c>
      <c r="Z92" s="3">
        <v>0</v>
      </c>
      <c r="AA92" s="3">
        <v>0.03</v>
      </c>
      <c r="AB92" s="3">
        <v>0.27272727272727271</v>
      </c>
      <c r="AC92" s="3">
        <v>0.27272727272727271</v>
      </c>
      <c r="AD92" s="3">
        <v>0</v>
      </c>
      <c r="AE92" s="3">
        <v>0</v>
      </c>
      <c r="AF92" s="3">
        <v>0</v>
      </c>
      <c r="AG92" s="3">
        <v>0</v>
      </c>
      <c r="AH92" s="3">
        <v>0.13999999999999996</v>
      </c>
      <c r="AI92" s="3">
        <v>0.37837837837837829</v>
      </c>
      <c r="AJ92" s="3">
        <v>0</v>
      </c>
      <c r="AK92" s="3">
        <v>5.4054054054054036E-2</v>
      </c>
      <c r="AL92" s="3">
        <v>0</v>
      </c>
      <c r="AM92" s="3">
        <v>8.1081081081081058E-2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8.1081081081081058E-2</v>
      </c>
      <c r="AU92" s="3">
        <v>0</v>
      </c>
      <c r="AV92" s="3">
        <v>0</v>
      </c>
      <c r="AW92" s="3">
        <v>0</v>
      </c>
      <c r="AX92" s="3">
        <v>5.4054054054054036E-2</v>
      </c>
      <c r="AY92" s="3">
        <v>2.7027027027027018E-2</v>
      </c>
      <c r="AZ92" s="3">
        <v>0</v>
      </c>
      <c r="BA92" s="3">
        <v>5.4054054054054036E-2</v>
      </c>
      <c r="BB92" s="3">
        <v>0</v>
      </c>
      <c r="BC92" s="3">
        <v>0</v>
      </c>
      <c r="BD92" s="3">
        <v>2.7027027027027018E-2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1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1</v>
      </c>
      <c r="BM92" s="3">
        <f>+IF(AVANCE[[#This Row],[RED ALCANTARILLADO]]=U$2,100%,AVANCE[[#This Row],[RED ALCANTARILLADO]])</f>
        <v>1</v>
      </c>
      <c r="BN92" s="3">
        <f>+IF(AVANCE[[#This Row],[RED DE AGUA]]=V$2,100%,AVANCE[[#This Row],[RED DE AGUA]])</f>
        <v>1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1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1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1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1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1</v>
      </c>
      <c r="CM92" s="3">
        <f>+IF(AVANCE[[#This Row],[MEMBRANA CIELO]]=AY$2,100%,AVANCE[[#This Row],[MEMBRANA CIELO]])</f>
        <v>1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1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1</v>
      </c>
      <c r="CS92" s="40">
        <f ca="1">+IF(AVANCE[[#This Row],[ESTADO MODULO]]="PENDIENTE",(TODAY()-AVANCE[[#This Row],[FECHA TERMINO  PLANIFICADO]]),0)</f>
        <v>4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REVESTIMIENTO INTERIOR ZONA SECA, LIMPIEZA FINAL, REVESTIMIENTO INTERIOR BANO, MUEBLE LAVAPLATOS</v>
      </c>
      <c r="CU92" s="43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SANITARIOS, ELÉCTRICO, TERMINACIONES</v>
      </c>
      <c r="CV92" s="44" cm="1">
        <f t="array" ref="CV92">SUMPRODUCT(--(BG92:CR92&lt;1))</f>
        <v>22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0.79499999999999993</v>
      </c>
      <c r="F93" s="1">
        <v>46170</v>
      </c>
      <c r="G93" s="1">
        <v>46184</v>
      </c>
      <c r="H93" s="1">
        <v>46195</v>
      </c>
      <c r="I93" s="1">
        <v>46196</v>
      </c>
      <c r="J93">
        <v>15</v>
      </c>
      <c r="K93" s="1"/>
      <c r="L93" s="3">
        <v>0.43</v>
      </c>
      <c r="M93" s="3">
        <v>1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9.3023255813953487E-2</v>
      </c>
      <c r="S93" s="3">
        <v>0.09</v>
      </c>
      <c r="T93" s="3">
        <v>1</v>
      </c>
      <c r="U93" s="3">
        <v>0.22222222222222221</v>
      </c>
      <c r="V93" s="3">
        <v>0.22222222222222221</v>
      </c>
      <c r="W93" s="3">
        <v>0.1111111111111111</v>
      </c>
      <c r="X93" s="3">
        <v>0.1111111111111111</v>
      </c>
      <c r="Y93" s="3">
        <v>0.1111111111111111</v>
      </c>
      <c r="Z93" s="3">
        <v>0.22222222222222221</v>
      </c>
      <c r="AA93" s="3">
        <v>6.9999999999999993E-2</v>
      </c>
      <c r="AB93" s="3">
        <v>0.63636363636363635</v>
      </c>
      <c r="AC93" s="3">
        <v>0.27272727272727271</v>
      </c>
      <c r="AD93" s="3">
        <v>0</v>
      </c>
      <c r="AE93" s="3">
        <v>0</v>
      </c>
      <c r="AF93" s="3">
        <v>0.18181818181818182</v>
      </c>
      <c r="AG93" s="3">
        <v>0.18181818181818182</v>
      </c>
      <c r="AH93" s="3">
        <v>0.2049999999999999</v>
      </c>
      <c r="AI93" s="3">
        <v>0.55405405405405384</v>
      </c>
      <c r="AJ93" s="3">
        <v>5.4054054054054036E-2</v>
      </c>
      <c r="AK93" s="3">
        <v>5.4054054054054036E-2</v>
      </c>
      <c r="AL93" s="3">
        <v>2.7027027027027018E-2</v>
      </c>
      <c r="AM93" s="3">
        <v>8.1081081081081058E-2</v>
      </c>
      <c r="AN93" s="3">
        <v>0</v>
      </c>
      <c r="AO93" s="3">
        <v>0</v>
      </c>
      <c r="AP93" s="3">
        <v>5.4054054054054036E-2</v>
      </c>
      <c r="AQ93" s="3">
        <v>0</v>
      </c>
      <c r="AR93" s="3">
        <v>0</v>
      </c>
      <c r="AS93" s="3">
        <v>0</v>
      </c>
      <c r="AT93" s="3">
        <v>0</v>
      </c>
      <c r="AU93" s="3">
        <v>5.4054054054054036E-2</v>
      </c>
      <c r="AV93" s="3">
        <v>0</v>
      </c>
      <c r="AW93" s="3">
        <v>5.4054054054054036E-2</v>
      </c>
      <c r="AX93" s="3">
        <v>5.4054054054054036E-2</v>
      </c>
      <c r="AY93" s="3">
        <v>0</v>
      </c>
      <c r="AZ93" s="3">
        <v>0</v>
      </c>
      <c r="BA93" s="3">
        <v>0</v>
      </c>
      <c r="BB93" s="3">
        <v>8.1081081081081058E-2</v>
      </c>
      <c r="BC93" s="3">
        <v>1.3513513513513509E-2</v>
      </c>
      <c r="BD93" s="3">
        <v>2.7027027027027018E-2</v>
      </c>
      <c r="BE93">
        <v>28.87</v>
      </c>
      <c r="BF93" s="3" t="str">
        <f>+IF(AVANCE[[#This Row],[% AVANCE]]=100%,"MODULO TERMINADO",IF(AVANCE[[#This Row],[FECHA INICIO REAL]]="","MODULO NO INICIADO","PENDIENTE"))</f>
        <v>PENDIENTE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1</v>
      </c>
      <c r="BM93" s="3">
        <f>+IF(AVANCE[[#This Row],[RED ALCANTARILLADO]]=U$2,100%,AVANCE[[#This Row],[RED ALCANTARILLADO]])</f>
        <v>1</v>
      </c>
      <c r="BN93" s="3">
        <f>+IF(AVANCE[[#This Row],[RED DE AGUA]]=V$2,100%,AVANCE[[#This Row],[RED DE AGUA]])</f>
        <v>1</v>
      </c>
      <c r="BO93" s="3">
        <f>+IF(AVANCE[[#This Row],[VENTILACIONES]]=W$2,100%,AVANCE[[#This Row],[VENTILACIONES]])</f>
        <v>1</v>
      </c>
      <c r="BP93" s="3">
        <f>+IF(AVANCE[[#This Row],[TINA]]=X$2,100%,AVANCE[[#This Row],[TINA]])</f>
        <v>1</v>
      </c>
      <c r="BQ93" s="3">
        <f>+IF(AVANCE[[#This Row],[WC]]=Y$2,100%,AVANCE[[#This Row],[WC]])</f>
        <v>1</v>
      </c>
      <c r="BR93" s="3">
        <f>+IF(AVANCE[[#This Row],[LAVAMANOS / LAVAPLATOS / LAVADERO]]=Z$2,100%,AVANCE[[#This Row],[LAVAMANOS / LAVAPLATOS / LAVADERO]])</f>
        <v>1</v>
      </c>
      <c r="BS93" s="3">
        <f>+IF(AVANCE[[#This Row],[CANALIZACIÓN]]=AC$2,100%,AVANCE[[#This Row],[CANALIZACIÓN]])</f>
        <v>1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1</v>
      </c>
      <c r="BW93" s="3">
        <f>+IF(AVANCE[[#This Row],[CAJA PAU]]=AG$2,100%,AVANCE[[#This Row],[CAJA PAU]])</f>
        <v>1</v>
      </c>
      <c r="BX93" s="3">
        <f>+IF(AVANCE[[#This Row],[INSTALACION VINILICO]]=AJ$2,100%,AVANCE[[#This Row],[INSTALACION VINILICO]])</f>
        <v>1</v>
      </c>
      <c r="BY93" s="3">
        <f>+IF(AVANCE[[#This Row],[OSB CUBIERTA]]=AK$2,100%,AVANCE[[#This Row],[OSB CUBIERTA]])</f>
        <v>1</v>
      </c>
      <c r="BZ93" s="3">
        <f>+IF(AVANCE[[#This Row],[BARANDA BALCON]]=AL$2,100%,AVANCE[[#This Row],[BARANDA BALCON]])</f>
        <v>1</v>
      </c>
      <c r="CA93" s="3">
        <f>+IF(AVANCE[[#This Row],[OSB EXTERIOR]]=AM$2,100%,AVANCE[[#This Row],[OSB EXTERIOR]])</f>
        <v>1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1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1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1</v>
      </c>
      <c r="CL93" s="3">
        <f>+IF(AVANCE[[#This Row],[REVESTIMIENTO INTERIOR ZONAS HUMEDAS]]=AX$2,100%,AVANCE[[#This Row],[REVESTIMIENTO INTERIOR ZONAS HUMEDAS]])</f>
        <v>1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1</v>
      </c>
      <c r="CQ93" s="3">
        <f>+IF(AVANCE[[#This Row],[MUEBLE LAVAPLATOS]]=BC$2,100%,AVANCE[[#This Row],[MUEBLE LAVAPLATOS]])</f>
        <v>1</v>
      </c>
      <c r="CR93" s="3">
        <f>+IF(AVANCE[[#This Row],[IMPERMEABILIZACION BANO - COCINA LOGIA]]=BD$2,100%,AVANCE[[#This Row],[IMPERMEABILIZACION BANO - COCINA LOGIA]])</f>
        <v>1</v>
      </c>
      <c r="CS93" s="40">
        <f ca="1">+IF(AVANCE[[#This Row],[ESTADO MODULO]]="PENDIENTE",(TODAY()-AVANCE[[#This Row],[FECHA TERMINO  PLANIFICADO]]),0)</f>
        <v>14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ELÉCTRICO: CABLEADO, ARTEFACTOS | TERMINACIONES: VENTANAS, SMART PANEL, PINTURA EXTERIOR, MOLDURAS, PILASTREO, CELOSIAS, VENTANAS (TERM), CERRADURAS, MEMBRANA CIELO, LIMPIEZA FINAL, PUERTAS DORMITORIO</v>
      </c>
      <c r="CU93" s="43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ELÉCTRICO, TERMINACIONES</v>
      </c>
      <c r="CV93" s="44" cm="1">
        <f t="array" ref="CV93">SUMPRODUCT(--(BG93:CR93&lt;1))</f>
        <v>13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0.7649999999999999</v>
      </c>
      <c r="F94" s="1">
        <v>46171</v>
      </c>
      <c r="G94" s="1">
        <v>46184</v>
      </c>
      <c r="H94" s="1">
        <v>46195</v>
      </c>
      <c r="I94" s="1">
        <v>46197</v>
      </c>
      <c r="J94">
        <v>15</v>
      </c>
      <c r="K94" s="1"/>
      <c r="L94" s="3">
        <v>0.38999999999999996</v>
      </c>
      <c r="M94" s="3">
        <v>0.90697674418604646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0</v>
      </c>
      <c r="S94" s="3">
        <v>0.09</v>
      </c>
      <c r="T94" s="3">
        <v>1</v>
      </c>
      <c r="U94" s="3">
        <v>0.22222222222222221</v>
      </c>
      <c r="V94" s="3">
        <v>0.22222222222222221</v>
      </c>
      <c r="W94" s="3">
        <v>0.1111111111111111</v>
      </c>
      <c r="X94" s="3">
        <v>0.1111111111111111</v>
      </c>
      <c r="Y94" s="3">
        <v>0.1111111111111111</v>
      </c>
      <c r="Z94" s="3">
        <v>0.22222222222222221</v>
      </c>
      <c r="AA94" s="3">
        <v>6.9999999999999993E-2</v>
      </c>
      <c r="AB94" s="3">
        <v>0.63636363636363635</v>
      </c>
      <c r="AC94" s="3">
        <v>0.27272727272727271</v>
      </c>
      <c r="AD94" s="3">
        <v>0</v>
      </c>
      <c r="AE94" s="3">
        <v>0</v>
      </c>
      <c r="AF94" s="3">
        <v>0.18181818181818182</v>
      </c>
      <c r="AG94" s="3">
        <v>0.18181818181818182</v>
      </c>
      <c r="AH94" s="3">
        <v>0.21499999999999994</v>
      </c>
      <c r="AI94" s="3">
        <v>0.58108108108108092</v>
      </c>
      <c r="AJ94" s="3">
        <v>5.4054054054054036E-2</v>
      </c>
      <c r="AK94" s="3">
        <v>5.4054054054054036E-2</v>
      </c>
      <c r="AL94" s="3">
        <v>2.7027027027027018E-2</v>
      </c>
      <c r="AM94" s="3">
        <v>8.1081081081081058E-2</v>
      </c>
      <c r="AN94" s="3">
        <v>0</v>
      </c>
      <c r="AO94" s="3">
        <v>0</v>
      </c>
      <c r="AP94" s="3">
        <v>5.4054054054054036E-2</v>
      </c>
      <c r="AQ94" s="3">
        <v>0</v>
      </c>
      <c r="AR94" s="3">
        <v>0</v>
      </c>
      <c r="AS94" s="3">
        <v>0</v>
      </c>
      <c r="AT94" s="3">
        <v>0</v>
      </c>
      <c r="AU94" s="3">
        <v>5.4054054054054036E-2</v>
      </c>
      <c r="AV94" s="3">
        <v>0</v>
      </c>
      <c r="AW94" s="3">
        <v>5.4054054054054036E-2</v>
      </c>
      <c r="AX94" s="3">
        <v>5.4054054054054036E-2</v>
      </c>
      <c r="AY94" s="3">
        <v>2.7027027027027018E-2</v>
      </c>
      <c r="AZ94" s="3">
        <v>0</v>
      </c>
      <c r="BA94" s="3">
        <v>0</v>
      </c>
      <c r="BB94" s="3">
        <v>8.1081081081081058E-2</v>
      </c>
      <c r="BC94" s="3">
        <v>1.3513513513513509E-2</v>
      </c>
      <c r="BD94" s="3">
        <v>2.7027027027027018E-2</v>
      </c>
      <c r="BE94">
        <v>28.87</v>
      </c>
      <c r="BF94" s="3" t="str">
        <f>+IF(AVANCE[[#This Row],[% AVANCE]]=100%,"MODULO TERMINADO",IF(AVANCE[[#This Row],[FECHA INICIO REAL]]="","MODULO NO INICIADO","PENDIENTE"))</f>
        <v>PENDIENTE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1</v>
      </c>
      <c r="BN94" s="3">
        <f>+IF(AVANCE[[#This Row],[RED DE AGUA]]=V$2,100%,AVANCE[[#This Row],[RED DE AGUA]])</f>
        <v>1</v>
      </c>
      <c r="BO94" s="3">
        <f>+IF(AVANCE[[#This Row],[VENTILACIONES]]=W$2,100%,AVANCE[[#This Row],[VENTILACIONES]])</f>
        <v>1</v>
      </c>
      <c r="BP94" s="3">
        <f>+IF(AVANCE[[#This Row],[TINA]]=X$2,100%,AVANCE[[#This Row],[TINA]])</f>
        <v>1</v>
      </c>
      <c r="BQ94" s="3">
        <f>+IF(AVANCE[[#This Row],[WC]]=Y$2,100%,AVANCE[[#This Row],[WC]])</f>
        <v>1</v>
      </c>
      <c r="BR94" s="3">
        <f>+IF(AVANCE[[#This Row],[LAVAMANOS / LAVAPLATOS / LAVADERO]]=Z$2,100%,AVANCE[[#This Row],[LAVAMANOS / LAVAPLATOS / LAVADERO]])</f>
        <v>1</v>
      </c>
      <c r="BS94" s="3">
        <f>+IF(AVANCE[[#This Row],[CANALIZACIÓN]]=AC$2,100%,AVANCE[[#This Row],[CANALIZACIÓN]])</f>
        <v>1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1</v>
      </c>
      <c r="BW94" s="3">
        <f>+IF(AVANCE[[#This Row],[CAJA PAU]]=AG$2,100%,AVANCE[[#This Row],[CAJA PAU]])</f>
        <v>1</v>
      </c>
      <c r="BX94" s="3">
        <f>+IF(AVANCE[[#This Row],[INSTALACION VINILICO]]=AJ$2,100%,AVANCE[[#This Row],[INSTALACION VINILICO]])</f>
        <v>1</v>
      </c>
      <c r="BY94" s="3">
        <f>+IF(AVANCE[[#This Row],[OSB CUBIERTA]]=AK$2,100%,AVANCE[[#This Row],[OSB CUBIERTA]])</f>
        <v>1</v>
      </c>
      <c r="BZ94" s="3">
        <f>+IF(AVANCE[[#This Row],[BARANDA BALCON]]=AL$2,100%,AVANCE[[#This Row],[BARANDA BALCON]])</f>
        <v>1</v>
      </c>
      <c r="CA94" s="3">
        <f>+IF(AVANCE[[#This Row],[OSB EXTERIOR]]=AM$2,100%,AVANCE[[#This Row],[OSB EXTERIOR]])</f>
        <v>1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1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1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1</v>
      </c>
      <c r="CL94" s="3">
        <f>+IF(AVANCE[[#This Row],[REVESTIMIENTO INTERIOR ZONAS HUMEDAS]]=AX$2,100%,AVANCE[[#This Row],[REVESTIMIENTO INTERIOR ZONAS HUMEDAS]])</f>
        <v>1</v>
      </c>
      <c r="CM94" s="3">
        <f>+IF(AVANCE[[#This Row],[MEMBRANA CIELO]]=AY$2,100%,AVANCE[[#This Row],[MEMBRANA CIELO]])</f>
        <v>1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1</v>
      </c>
      <c r="CQ94" s="3">
        <f>+IF(AVANCE[[#This Row],[MUEBLE LAVAPLATOS]]=BC$2,100%,AVANCE[[#This Row],[MUEBLE LAVAPLATOS]])</f>
        <v>1</v>
      </c>
      <c r="CR94" s="3">
        <f>+IF(AVANCE[[#This Row],[IMPERMEABILIZACION BANO - COCINA LOGIA]]=BD$2,100%,AVANCE[[#This Row],[IMPERMEABILIZACION BANO - COCINA LOGIA]])</f>
        <v>1</v>
      </c>
      <c r="CS94" s="40">
        <f ca="1">+IF(AVANCE[[#This Row],[ESTADO MODULO]]="PENDIENTE",(TODAY()-AVANCE[[#This Row],[FECHA TERMINO  PLANIFICADO]]),0)</f>
        <v>13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BALCÓN | ELÉCTRICO: CABLEADO, ARTEFACTOS | TERMINACIONES: VENTANAS, SMART PANEL, PINTURA EXTERIOR, MOLDURAS, PILASTREO, CELOSIAS, VENTANAS (TERM), CERRADURAS, LIMPIEZA FINAL, PUERTAS DORMITORIO</v>
      </c>
      <c r="CU94" s="43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ELÉCTRICO, TERMINACIONES</v>
      </c>
      <c r="CV94" s="44" cm="1">
        <f t="array" ref="CV94">SUMPRODUCT(--(BG94:CR94&lt;1))</f>
        <v>13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0.68499999999999994</v>
      </c>
      <c r="F95" s="1">
        <v>46171</v>
      </c>
      <c r="G95" s="1">
        <v>46181</v>
      </c>
      <c r="H95" s="1">
        <v>46209</v>
      </c>
      <c r="I95" s="1">
        <v>46207</v>
      </c>
      <c r="J95">
        <v>1</v>
      </c>
      <c r="K95" s="1"/>
      <c r="L95" s="3">
        <v>0.43</v>
      </c>
      <c r="M95" s="3">
        <v>1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9.3023255813953487E-2</v>
      </c>
      <c r="S95" s="3">
        <v>3.9999999999999994E-2</v>
      </c>
      <c r="T95" s="3">
        <v>0.44444444444444442</v>
      </c>
      <c r="U95" s="3">
        <v>0.22222222222222221</v>
      </c>
      <c r="V95" s="3">
        <v>0.22222222222222221</v>
      </c>
      <c r="W95" s="3">
        <v>0</v>
      </c>
      <c r="X95" s="3">
        <v>0</v>
      </c>
      <c r="Y95" s="3">
        <v>0</v>
      </c>
      <c r="Z95" s="3">
        <v>0</v>
      </c>
      <c r="AA95" s="3">
        <v>0.03</v>
      </c>
      <c r="AB95" s="3">
        <v>0.27272727272727271</v>
      </c>
      <c r="AC95" s="3">
        <v>0.27272727272727271</v>
      </c>
      <c r="AD95" s="3">
        <v>0</v>
      </c>
      <c r="AE95" s="3">
        <v>0</v>
      </c>
      <c r="AF95" s="3">
        <v>0</v>
      </c>
      <c r="AG95" s="3">
        <v>0</v>
      </c>
      <c r="AH95" s="3">
        <v>0.18499999999999997</v>
      </c>
      <c r="AI95" s="3">
        <v>0.49999999999999989</v>
      </c>
      <c r="AJ95" s="3">
        <v>5.4054054054054036E-2</v>
      </c>
      <c r="AK95" s="3">
        <v>5.4054054054054036E-2</v>
      </c>
      <c r="AL95" s="3">
        <v>0</v>
      </c>
      <c r="AM95" s="3">
        <v>8.1081081081081058E-2</v>
      </c>
      <c r="AN95" s="3">
        <v>8.1081081081081058E-2</v>
      </c>
      <c r="AO95" s="3">
        <v>0</v>
      </c>
      <c r="AP95" s="3">
        <v>5.4054054054054036E-2</v>
      </c>
      <c r="AQ95" s="3">
        <v>0</v>
      </c>
      <c r="AR95" s="3">
        <v>0</v>
      </c>
      <c r="AS95" s="3">
        <v>1.3513513513513509E-2</v>
      </c>
      <c r="AT95" s="3">
        <v>0</v>
      </c>
      <c r="AU95" s="3">
        <v>0</v>
      </c>
      <c r="AV95" s="3">
        <v>0</v>
      </c>
      <c r="AW95" s="3">
        <v>0</v>
      </c>
      <c r="AX95" s="3">
        <v>5.4054054054054036E-2</v>
      </c>
      <c r="AY95" s="3">
        <v>2.7027027027027018E-2</v>
      </c>
      <c r="AZ95" s="3">
        <v>0</v>
      </c>
      <c r="BA95" s="3">
        <v>5.4054054054054036E-2</v>
      </c>
      <c r="BB95" s="3">
        <v>0</v>
      </c>
      <c r="BC95" s="3">
        <v>0</v>
      </c>
      <c r="BD95" s="3">
        <v>2.7027027027027018E-2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1</v>
      </c>
      <c r="BM95" s="3">
        <f>+IF(AVANCE[[#This Row],[RED ALCANTARILLADO]]=U$2,100%,AVANCE[[#This Row],[RED ALCANTARILLADO]])</f>
        <v>1</v>
      </c>
      <c r="BN95" s="3">
        <f>+IF(AVANCE[[#This Row],[RED DE AGUA]]=V$2,100%,AVANCE[[#This Row],[RED DE AGUA]])</f>
        <v>1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1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1</v>
      </c>
      <c r="BY95" s="3">
        <f>+IF(AVANCE[[#This Row],[OSB CUBIERTA]]=AK$2,100%,AVANCE[[#This Row],[OSB CUBIERTA]])</f>
        <v>1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1</v>
      </c>
      <c r="CB95" s="3">
        <f>+IF(AVANCE[[#This Row],[SMART PANEL]]=AN$2,100%,AVANCE[[#This Row],[SMART PANEL]])</f>
        <v>1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1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1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1</v>
      </c>
      <c r="CM95" s="3">
        <f>+IF(AVANCE[[#This Row],[MEMBRANA CIELO]]=AY$2,100%,AVANCE[[#This Row],[MEMBRANA CIELO]])</f>
        <v>1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1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1</v>
      </c>
      <c r="CS95" s="40">
        <f ca="1">+IF(AVANCE[[#This Row],[ESTADO MODULO]]="PENDIENTE",(TODAY()-AVANCE[[#This Row],[FECHA TERMINO  PLANIFICADO]]),0)</f>
        <v>3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SANITARIOS: VENTILACIONES, TINA, WC, LAVAMANOS / LAVAPLATOS / LAVADERO | ELÉCTRICO: CABLEADO, ARTEFACTOS, TABLERO, CAJA PAU | TERMINACIONES: VENTANAS, BARANDA BALCON, PINTURA EXTERIOR, MOLDURAS, PILASTREO, VENTANAS (TERM), PUERTAS ACCESO - LOGIA - BANO, CERRADURAS, REVESTIMIENTO INTERIOR ZONA SECA, LIMPIEZA FINAL, REVESTIMIENTO INTERIOR BANO, MUEBLE LAVAPLATOS</v>
      </c>
      <c r="CU95" s="43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SANITARIOS, ELÉCTRICO, TERMINACIONES</v>
      </c>
      <c r="CV95" s="44" cm="1">
        <f t="array" ref="CV95">SUMPRODUCT(--(BG95:CR95&lt;1))</f>
        <v>20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0.74999999999999989</v>
      </c>
      <c r="F96" s="1">
        <v>46174</v>
      </c>
      <c r="G96" s="1">
        <v>46177</v>
      </c>
      <c r="H96" s="1">
        <v>46209</v>
      </c>
      <c r="I96" s="1">
        <v>46210</v>
      </c>
      <c r="J96">
        <v>1</v>
      </c>
      <c r="K96" s="1"/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0.05</v>
      </c>
      <c r="T96" s="3">
        <v>0.55555555555555558</v>
      </c>
      <c r="U96" s="3">
        <v>0.22222222222222221</v>
      </c>
      <c r="V96" s="3">
        <v>0.22222222222222221</v>
      </c>
      <c r="W96" s="3">
        <v>0</v>
      </c>
      <c r="X96" s="3">
        <v>0.1111111111111111</v>
      </c>
      <c r="Y96" s="3">
        <v>0</v>
      </c>
      <c r="Z96" s="3">
        <v>0</v>
      </c>
      <c r="AA96" s="3">
        <v>0.03</v>
      </c>
      <c r="AB96" s="3">
        <v>0.27272727272727271</v>
      </c>
      <c r="AC96" s="3">
        <v>0.27272727272727271</v>
      </c>
      <c r="AD96" s="3">
        <v>0</v>
      </c>
      <c r="AE96" s="3">
        <v>0</v>
      </c>
      <c r="AF96" s="3">
        <v>0</v>
      </c>
      <c r="AG96" s="3">
        <v>0</v>
      </c>
      <c r="AH96" s="3">
        <v>0.23999999999999988</v>
      </c>
      <c r="AI96" s="3">
        <v>0.64864864864864835</v>
      </c>
      <c r="AJ96" s="3">
        <v>5.4054054054054036E-2</v>
      </c>
      <c r="AK96" s="3">
        <v>5.4054054054054036E-2</v>
      </c>
      <c r="AL96" s="3">
        <v>0</v>
      </c>
      <c r="AM96" s="3">
        <v>8.1081081081081058E-2</v>
      </c>
      <c r="AN96" s="3">
        <v>8.1081081081081058E-2</v>
      </c>
      <c r="AO96" s="3">
        <v>6.7567567567567557E-2</v>
      </c>
      <c r="AP96" s="3">
        <v>5.4054054054054036E-2</v>
      </c>
      <c r="AQ96" s="3">
        <v>0</v>
      </c>
      <c r="AR96" s="3">
        <v>0</v>
      </c>
      <c r="AS96" s="3">
        <v>1.3513513513513509E-2</v>
      </c>
      <c r="AT96" s="3">
        <v>8.1081081081081058E-2</v>
      </c>
      <c r="AU96" s="3">
        <v>0</v>
      </c>
      <c r="AV96" s="3">
        <v>0</v>
      </c>
      <c r="AW96" s="3">
        <v>0</v>
      </c>
      <c r="AX96" s="3">
        <v>5.4054054054054036E-2</v>
      </c>
      <c r="AY96" s="3">
        <v>2.7027027027027018E-2</v>
      </c>
      <c r="AZ96" s="3">
        <v>0</v>
      </c>
      <c r="BA96" s="3">
        <v>5.4054054054054036E-2</v>
      </c>
      <c r="BB96" s="3">
        <v>0</v>
      </c>
      <c r="BC96" s="3">
        <v>0</v>
      </c>
      <c r="BD96" s="3">
        <v>2.7027027027027018E-2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1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1</v>
      </c>
      <c r="BN96" s="3">
        <f>+IF(AVANCE[[#This Row],[RED DE AGUA]]=V$2,100%,AVANCE[[#This Row],[RED DE AGUA]])</f>
        <v>1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1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1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1</v>
      </c>
      <c r="BY96" s="3">
        <f>+IF(AVANCE[[#This Row],[OSB CUBIERTA]]=AK$2,100%,AVANCE[[#This Row],[OSB CUBIERTA]])</f>
        <v>1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1</v>
      </c>
      <c r="CB96" s="3">
        <f>+IF(AVANCE[[#This Row],[SMART PANEL]]=AN$2,100%,AVANCE[[#This Row],[SMART PANEL]])</f>
        <v>1</v>
      </c>
      <c r="CC96" s="3">
        <f>+IF(AVANCE[[#This Row],[PINTURA EXTERIOR]]=AO$2,100%,AVANCE[[#This Row],[PINTURA EXTERIOR]])</f>
        <v>1</v>
      </c>
      <c r="CD96" s="3">
        <f>+IF(AVANCE[[#This Row],[ZOCALOS LOGIA]]=AP$2,100%,AVANCE[[#This Row],[ZOCALOS LOGIA]])</f>
        <v>1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1</v>
      </c>
      <c r="CH96" s="3">
        <f>+IF(AVANCE[[#This Row],[VENTANAS]]=AT$2,100%,AVANCE[[#This Row],[VENTANAS]])</f>
        <v>1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1</v>
      </c>
      <c r="CM96" s="3">
        <f>+IF(AVANCE[[#This Row],[MEMBRANA CIELO]]=AY$2,100%,AVANCE[[#This Row],[MEMBRANA CIELO]])</f>
        <v>1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1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1</v>
      </c>
      <c r="CS96" s="40">
        <f ca="1">+IF(AVANCE[[#This Row],[ESTADO MODULO]]="PENDIENTE",(TODAY()-AVANCE[[#This Row],[FECHA TERMINO  PLANIFICADO]]),0)</f>
        <v>0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SANITARIOS: VENTILACIONES, WC, LAVAMANOS / LAVAPLATOS / LAVADERO | ELÉCTRICO: CABLEADO, ARTEFACTOS, TABLERO, CAJA PAU | TERMINACIONES: BARANDA BALCON, MOLDURAS, PILASTREO, PUERTAS ACCESO - LOGIA - BANO, CERRADURAS, REVESTIMIENTO INTERIOR ZONA SECA, LIMPIEZA FINAL, REVESTIMIENTO INTERIOR BANO, MUEBLE LAVAPLATOS</v>
      </c>
      <c r="CU96" s="43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SANITARIOS, ELÉCTRICO, TERMINACIONES</v>
      </c>
      <c r="CV96" s="44" cm="1">
        <f t="array" ref="CV96">SUMPRODUCT(--(BG96:CR96&lt;1))</f>
        <v>16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0.92999999999999983</v>
      </c>
      <c r="F97" s="1">
        <v>46174</v>
      </c>
      <c r="G97" s="1">
        <v>46177</v>
      </c>
      <c r="H97" s="1">
        <v>46209</v>
      </c>
      <c r="I97" s="1">
        <v>46200</v>
      </c>
      <c r="J97">
        <v>1</v>
      </c>
      <c r="K97" s="1"/>
      <c r="L97" s="3">
        <v>0.43</v>
      </c>
      <c r="M97" s="3">
        <v>1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9.3023255813953487E-2</v>
      </c>
      <c r="S97" s="3">
        <v>0.09</v>
      </c>
      <c r="T97" s="3">
        <v>1</v>
      </c>
      <c r="U97" s="3">
        <v>0.22222222222222221</v>
      </c>
      <c r="V97" s="3">
        <v>0.22222222222222221</v>
      </c>
      <c r="W97" s="3">
        <v>0.1111111111111111</v>
      </c>
      <c r="X97" s="3">
        <v>0.1111111111111111</v>
      </c>
      <c r="Y97" s="3">
        <v>0.1111111111111111</v>
      </c>
      <c r="Z97" s="3">
        <v>0.22222222222222221</v>
      </c>
      <c r="AA97" s="3">
        <v>6.9999999999999993E-2</v>
      </c>
      <c r="AB97" s="3">
        <v>0.63636363636363635</v>
      </c>
      <c r="AC97" s="3">
        <v>0.27272727272727271</v>
      </c>
      <c r="AD97" s="3">
        <v>0</v>
      </c>
      <c r="AE97" s="3">
        <v>0</v>
      </c>
      <c r="AF97" s="3">
        <v>0.18181818181818182</v>
      </c>
      <c r="AG97" s="3">
        <v>0.18181818181818182</v>
      </c>
      <c r="AH97" s="3">
        <v>0.33999999999999986</v>
      </c>
      <c r="AI97" s="3">
        <v>0.91891891891891853</v>
      </c>
      <c r="AJ97" s="3">
        <v>5.4054054054054036E-2</v>
      </c>
      <c r="AK97" s="3">
        <v>5.4054054054054036E-2</v>
      </c>
      <c r="AL97" s="3">
        <v>2.7027027027027018E-2</v>
      </c>
      <c r="AM97" s="3">
        <v>8.1081081081081058E-2</v>
      </c>
      <c r="AN97" s="3">
        <v>8.1081081081081058E-2</v>
      </c>
      <c r="AO97" s="3">
        <v>6.7567567567567557E-2</v>
      </c>
      <c r="AP97" s="3">
        <v>5.4054054054054036E-2</v>
      </c>
      <c r="AQ97" s="3">
        <v>1.3513513513513509E-2</v>
      </c>
      <c r="AR97" s="3">
        <v>0</v>
      </c>
      <c r="AS97" s="3">
        <v>1.3513513513513509E-2</v>
      </c>
      <c r="AT97" s="3">
        <v>8.1081081081081058E-2</v>
      </c>
      <c r="AU97" s="3">
        <v>5.4054054054054036E-2</v>
      </c>
      <c r="AV97" s="3">
        <v>2.7027027027027018E-2</v>
      </c>
      <c r="AW97" s="3">
        <v>5.4054054054054036E-2</v>
      </c>
      <c r="AX97" s="3">
        <v>5.4054054054054036E-2</v>
      </c>
      <c r="AY97" s="3">
        <v>2.7027027027027018E-2</v>
      </c>
      <c r="AZ97" s="3">
        <v>0</v>
      </c>
      <c r="BA97" s="3">
        <v>5.4054054054054036E-2</v>
      </c>
      <c r="BB97" s="3">
        <v>8.1081081081081058E-2</v>
      </c>
      <c r="BC97" s="3">
        <v>1.3513513513513509E-2</v>
      </c>
      <c r="BD97" s="3">
        <v>2.7027027027027018E-2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1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1</v>
      </c>
      <c r="BM97" s="3">
        <f>+IF(AVANCE[[#This Row],[RED ALCANTARILLADO]]=U$2,100%,AVANCE[[#This Row],[RED ALCANTARILLADO]])</f>
        <v>1</v>
      </c>
      <c r="BN97" s="3">
        <f>+IF(AVANCE[[#This Row],[RED DE AGUA]]=V$2,100%,AVANCE[[#This Row],[RED DE AGUA]])</f>
        <v>1</v>
      </c>
      <c r="BO97" s="3">
        <f>+IF(AVANCE[[#This Row],[VENTILACIONES]]=W$2,100%,AVANCE[[#This Row],[VENTILACIONES]])</f>
        <v>1</v>
      </c>
      <c r="BP97" s="3">
        <f>+IF(AVANCE[[#This Row],[TINA]]=X$2,100%,AVANCE[[#This Row],[TINA]])</f>
        <v>1</v>
      </c>
      <c r="BQ97" s="3">
        <f>+IF(AVANCE[[#This Row],[WC]]=Y$2,100%,AVANCE[[#This Row],[WC]])</f>
        <v>1</v>
      </c>
      <c r="BR97" s="3">
        <f>+IF(AVANCE[[#This Row],[LAVAMANOS / LAVAPLATOS / LAVADERO]]=Z$2,100%,AVANCE[[#This Row],[LAVAMANOS / LAVAPLATOS / LAVADERO]])</f>
        <v>1</v>
      </c>
      <c r="BS97" s="3">
        <f>+IF(AVANCE[[#This Row],[CANALIZACIÓN]]=AC$2,100%,AVANCE[[#This Row],[CANALIZACIÓN]])</f>
        <v>1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1</v>
      </c>
      <c r="BW97" s="3">
        <f>+IF(AVANCE[[#This Row],[CAJA PAU]]=AG$2,100%,AVANCE[[#This Row],[CAJA PAU]])</f>
        <v>1</v>
      </c>
      <c r="BX97" s="3">
        <f>+IF(AVANCE[[#This Row],[INSTALACION VINILICO]]=AJ$2,100%,AVANCE[[#This Row],[INSTALACION VINILICO]])</f>
        <v>1</v>
      </c>
      <c r="BY97" s="3">
        <f>+IF(AVANCE[[#This Row],[OSB CUBIERTA]]=AK$2,100%,AVANCE[[#This Row],[OSB CUBIERTA]])</f>
        <v>1</v>
      </c>
      <c r="BZ97" s="3">
        <f>+IF(AVANCE[[#This Row],[BARANDA BALCON]]=AL$2,100%,AVANCE[[#This Row],[BARANDA BALCON]])</f>
        <v>1</v>
      </c>
      <c r="CA97" s="3">
        <f>+IF(AVANCE[[#This Row],[OSB EXTERIOR]]=AM$2,100%,AVANCE[[#This Row],[OSB EXTERIOR]])</f>
        <v>1</v>
      </c>
      <c r="CB97" s="3">
        <f>+IF(AVANCE[[#This Row],[SMART PANEL]]=AN$2,100%,AVANCE[[#This Row],[SMART PANEL]])</f>
        <v>1</v>
      </c>
      <c r="CC97" s="3">
        <f>+IF(AVANCE[[#This Row],[PINTURA EXTERIOR]]=AO$2,100%,AVANCE[[#This Row],[PINTURA EXTERIOR]])</f>
        <v>1</v>
      </c>
      <c r="CD97" s="3">
        <f>+IF(AVANCE[[#This Row],[ZOCALOS LOGIA]]=AP$2,100%,AVANCE[[#This Row],[ZOCALOS LOGIA]])</f>
        <v>1</v>
      </c>
      <c r="CE97" s="3">
        <f>+IF(AVANCE[[#This Row],[MOLDURAS]]=AQ$2,100%,AVANCE[[#This Row],[MOLDURAS]])</f>
        <v>1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1</v>
      </c>
      <c r="CH97" s="3">
        <f>+IF(AVANCE[[#This Row],[VENTANAS]]=AT$2,100%,AVANCE[[#This Row],[VENTANAS]])</f>
        <v>1</v>
      </c>
      <c r="CI97" s="3">
        <f>+IF(AVANCE[[#This Row],[PUERTAS ACCESO - LOGIA - BANO]]=AU$2,100%,AVANCE[[#This Row],[PUERTAS ACCESO - LOGIA - BANO]])</f>
        <v>1</v>
      </c>
      <c r="CJ97" s="3">
        <f>+IF(AVANCE[[#This Row],[CERRADURAS]]=AV$2,100%,AVANCE[[#This Row],[CERRADURAS]])</f>
        <v>1</v>
      </c>
      <c r="CK97" s="3">
        <f>+IF(AVANCE[[#This Row],[REVESTIMIENTO INTERIOR ZONA SECA]]=AW$2,100%,AVANCE[[#This Row],[REVESTIMIENTO INTERIOR ZONA SECA]])</f>
        <v>1</v>
      </c>
      <c r="CL97" s="3">
        <f>+IF(AVANCE[[#This Row],[REVESTIMIENTO INTERIOR ZONAS HUMEDAS]]=AX$2,100%,AVANCE[[#This Row],[REVESTIMIENTO INTERIOR ZONAS HUMEDAS]])</f>
        <v>1</v>
      </c>
      <c r="CM97" s="3">
        <f>+IF(AVANCE[[#This Row],[MEMBRANA CIELO]]=AY$2,100%,AVANCE[[#This Row],[MEMBRANA CIELO]])</f>
        <v>1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1</v>
      </c>
      <c r="CP97" s="3">
        <f>+IF(AVANCE[[#This Row],[REVESTIMIENTO INTERIOR BANO]]=BB$2,100%,AVANCE[[#This Row],[REVESTIMIENTO INTERIOR BANO]])</f>
        <v>1</v>
      </c>
      <c r="CQ97" s="3">
        <f>+IF(AVANCE[[#This Row],[MUEBLE LAVAPLATOS]]=BC$2,100%,AVANCE[[#This Row],[MUEBLE LAVAPLATOS]])</f>
        <v>1</v>
      </c>
      <c r="CR97" s="3">
        <f>+IF(AVANCE[[#This Row],[IMPERMEABILIZACION BANO - COCINA LOGIA]]=BD$2,100%,AVANCE[[#This Row],[IMPERMEABILIZACION BANO - COCINA LOGIA]])</f>
        <v>1</v>
      </c>
      <c r="CS97" s="40">
        <f ca="1">+IF(AVANCE[[#This Row],[ESTADO MODULO]]="PENDIENTE",(TODAY()-AVANCE[[#This Row],[FECHA TERMINO  PLANIFICADO]]),0)</f>
        <v>10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ELÉCTRICO: CABLEADO, ARTEFACTOS | TERMINACIONES: PILASTREO, LIMPIEZA FINAL</v>
      </c>
      <c r="CU97" s="43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ELÉCTRICO, TERMINACIONES</v>
      </c>
      <c r="CV97" s="44" cm="1">
        <f t="array" ref="CV97">SUMPRODUCT(--(BG97:CR97&lt;1))</f>
        <v>4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0.86499999999999988</v>
      </c>
      <c r="F98" s="1">
        <v>46175</v>
      </c>
      <c r="G98" s="1">
        <v>46184</v>
      </c>
      <c r="H98" s="1">
        <v>46210</v>
      </c>
      <c r="I98" s="1">
        <v>46199</v>
      </c>
      <c r="J98">
        <v>0</v>
      </c>
      <c r="K98" s="1"/>
      <c r="L98" s="3">
        <v>0.43</v>
      </c>
      <c r="M98" s="3">
        <v>1</v>
      </c>
      <c r="N98" s="3">
        <v>0.27906976744186046</v>
      </c>
      <c r="O98" s="3">
        <v>0.18604651162790697</v>
      </c>
      <c r="P98" s="3">
        <v>0.2558139534883721</v>
      </c>
      <c r="Q98" s="3">
        <v>0.18604651162790697</v>
      </c>
      <c r="R98" s="3">
        <v>9.3023255813953487E-2</v>
      </c>
      <c r="S98" s="3">
        <v>0.09</v>
      </c>
      <c r="T98" s="3">
        <v>1</v>
      </c>
      <c r="U98" s="3">
        <v>0.22222222222222221</v>
      </c>
      <c r="V98" s="3">
        <v>0.22222222222222221</v>
      </c>
      <c r="W98" s="3">
        <v>0.1111111111111111</v>
      </c>
      <c r="X98" s="3">
        <v>0.1111111111111111</v>
      </c>
      <c r="Y98" s="3">
        <v>0.1111111111111111</v>
      </c>
      <c r="Z98" s="3">
        <v>0.22222222222222221</v>
      </c>
      <c r="AA98" s="3">
        <v>6.9999999999999993E-2</v>
      </c>
      <c r="AB98" s="3">
        <v>0.63636363636363635</v>
      </c>
      <c r="AC98" s="3">
        <v>0.27272727272727271</v>
      </c>
      <c r="AD98" s="3">
        <v>0</v>
      </c>
      <c r="AE98" s="3">
        <v>0</v>
      </c>
      <c r="AF98" s="3">
        <v>0.18181818181818182</v>
      </c>
      <c r="AG98" s="3">
        <v>0.18181818181818182</v>
      </c>
      <c r="AH98" s="3">
        <v>0.27499999999999991</v>
      </c>
      <c r="AI98" s="3">
        <v>0.74324324324324298</v>
      </c>
      <c r="AJ98" s="3">
        <v>5.4054054054054036E-2</v>
      </c>
      <c r="AK98" s="3">
        <v>5.4054054054054036E-2</v>
      </c>
      <c r="AL98" s="3">
        <v>2.7027027027027018E-2</v>
      </c>
      <c r="AM98" s="3">
        <v>8.1081081081081058E-2</v>
      </c>
      <c r="AN98" s="3">
        <v>8.1081081081081058E-2</v>
      </c>
      <c r="AO98" s="3">
        <v>0</v>
      </c>
      <c r="AP98" s="3">
        <v>5.4054054054054036E-2</v>
      </c>
      <c r="AQ98" s="3">
        <v>0</v>
      </c>
      <c r="AR98" s="3">
        <v>0</v>
      </c>
      <c r="AS98" s="3">
        <v>0</v>
      </c>
      <c r="AT98" s="3">
        <v>8.1081081081081058E-2</v>
      </c>
      <c r="AU98" s="3">
        <v>5.4054054054054036E-2</v>
      </c>
      <c r="AV98" s="3">
        <v>0</v>
      </c>
      <c r="AW98" s="3">
        <v>5.4054054054054036E-2</v>
      </c>
      <c r="AX98" s="3">
        <v>5.4054054054054036E-2</v>
      </c>
      <c r="AY98" s="3">
        <v>2.7027027027027018E-2</v>
      </c>
      <c r="AZ98" s="3">
        <v>0</v>
      </c>
      <c r="BA98" s="3">
        <v>0</v>
      </c>
      <c r="BB98" s="3">
        <v>8.1081081081081058E-2</v>
      </c>
      <c r="BC98" s="3">
        <v>1.3513513513513509E-2</v>
      </c>
      <c r="BD98" s="3">
        <v>2.7027027027027018E-2</v>
      </c>
      <c r="BE98">
        <v>28.87</v>
      </c>
      <c r="BF98" s="3" t="str">
        <f>+IF(AVANCE[[#This Row],[% AVANCE]]=100%,"MODULO TERMINADO",IF(AVANCE[[#This Row],[FECHA INICIO REAL]]="","MODULO NO INICIADO","PENDIENTE"))</f>
        <v>PENDIENTE</v>
      </c>
      <c r="BG98" s="3">
        <f>+IF(AVANCE[[#This Row],[VENTANAS]]=8.10810810810811%,100%,AVANCE[[#This Row],[VENTANAS]])</f>
        <v>1</v>
      </c>
      <c r="BH98" s="3">
        <f>+IF(AVANCE[[#This Row],[PISO]]=N$2,100%,AVANCE[[#This Row],[PISO]])</f>
        <v>1</v>
      </c>
      <c r="BI98" s="3">
        <f>+IF(AVANCE[[#This Row],[TABIQUES]]=O$2,100%,AVANCE[[#This Row],[TABIQUES]])</f>
        <v>1</v>
      </c>
      <c r="BJ98" s="3">
        <f>+IF(AVANCE[[#This Row],[MUROS]]=P$2,100%,AVANCE[[#This Row],[MUROS]])</f>
        <v>1</v>
      </c>
      <c r="BK98" s="3">
        <f>+IF(AVANCE[[#This Row],[CIELO]]=Q$2,100%,AVANCE[[#This Row],[CIELO]])</f>
        <v>1</v>
      </c>
      <c r="BL98" s="3">
        <f>+IF(AVANCE[[#This Row],[BALCÓN]]=R$2,100%,AVANCE[[#This Row],[BALCÓN]])</f>
        <v>1</v>
      </c>
      <c r="BM98" s="3">
        <f>+IF(AVANCE[[#This Row],[RED ALCANTARILLADO]]=U$2,100%,AVANCE[[#This Row],[RED ALCANTARILLADO]])</f>
        <v>1</v>
      </c>
      <c r="BN98" s="3">
        <f>+IF(AVANCE[[#This Row],[RED DE AGUA]]=V$2,100%,AVANCE[[#This Row],[RED DE AGUA]])</f>
        <v>1</v>
      </c>
      <c r="BO98" s="3">
        <f>+IF(AVANCE[[#This Row],[VENTILACIONES]]=W$2,100%,AVANCE[[#This Row],[VENTILACIONES]])</f>
        <v>1</v>
      </c>
      <c r="BP98" s="3">
        <f>+IF(AVANCE[[#This Row],[TINA]]=X$2,100%,AVANCE[[#This Row],[TINA]])</f>
        <v>1</v>
      </c>
      <c r="BQ98" s="3">
        <f>+IF(AVANCE[[#This Row],[WC]]=Y$2,100%,AVANCE[[#This Row],[WC]])</f>
        <v>1</v>
      </c>
      <c r="BR98" s="3">
        <f>+IF(AVANCE[[#This Row],[LAVAMANOS / LAVAPLATOS / LAVADERO]]=Z$2,100%,AVANCE[[#This Row],[LAVAMANOS / LAVAPLATOS / LAVADERO]])</f>
        <v>1</v>
      </c>
      <c r="BS98" s="3">
        <f>+IF(AVANCE[[#This Row],[CANALIZACIÓN]]=AC$2,100%,AVANCE[[#This Row],[CANALIZACIÓN]])</f>
        <v>1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1</v>
      </c>
      <c r="BW98" s="3">
        <f>+IF(AVANCE[[#This Row],[CAJA PAU]]=AG$2,100%,AVANCE[[#This Row],[CAJA PAU]])</f>
        <v>1</v>
      </c>
      <c r="BX98" s="3">
        <f>+IF(AVANCE[[#This Row],[INSTALACION VINILICO]]=AJ$2,100%,AVANCE[[#This Row],[INSTALACION VINILICO]])</f>
        <v>1</v>
      </c>
      <c r="BY98" s="3">
        <f>+IF(AVANCE[[#This Row],[OSB CUBIERTA]]=AK$2,100%,AVANCE[[#This Row],[OSB CUBIERTA]])</f>
        <v>1</v>
      </c>
      <c r="BZ98" s="3">
        <f>+IF(AVANCE[[#This Row],[BARANDA BALCON]]=AL$2,100%,AVANCE[[#This Row],[BARANDA BALCON]])</f>
        <v>1</v>
      </c>
      <c r="CA98" s="3">
        <f>+IF(AVANCE[[#This Row],[OSB EXTERIOR]]=AM$2,100%,AVANCE[[#This Row],[OSB EXTERIOR]])</f>
        <v>1</v>
      </c>
      <c r="CB98" s="3">
        <f>+IF(AVANCE[[#This Row],[SMART PANEL]]=AN$2,100%,AVANCE[[#This Row],[SMART PANEL]])</f>
        <v>1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1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1</v>
      </c>
      <c r="CI98" s="3">
        <f>+IF(AVANCE[[#This Row],[PUERTAS ACCESO - LOGIA - BANO]]=AU$2,100%,AVANCE[[#This Row],[PUERTAS ACCESO - LOGIA - BANO]])</f>
        <v>1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1</v>
      </c>
      <c r="CL98" s="3">
        <f>+IF(AVANCE[[#This Row],[REVESTIMIENTO INTERIOR ZONAS HUMEDAS]]=AX$2,100%,AVANCE[[#This Row],[REVESTIMIENTO INTERIOR ZONAS HUMEDAS]])</f>
        <v>1</v>
      </c>
      <c r="CM98" s="3">
        <f>+IF(AVANCE[[#This Row],[MEMBRANA CIELO]]=AY$2,100%,AVANCE[[#This Row],[MEMBRANA CIELO]])</f>
        <v>1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1</v>
      </c>
      <c r="CQ98" s="3">
        <f>+IF(AVANCE[[#This Row],[MUEBLE LAVAPLATOS]]=BC$2,100%,AVANCE[[#This Row],[MUEBLE LAVAPLATOS]])</f>
        <v>1</v>
      </c>
      <c r="CR98" s="3">
        <f>+IF(AVANCE[[#This Row],[IMPERMEABILIZACION BANO - COCINA LOGIA]]=BD$2,100%,AVANCE[[#This Row],[IMPERMEABILIZACION BANO - COCINA LOGIA]])</f>
        <v>1</v>
      </c>
      <c r="CS98" s="40">
        <f ca="1">+IF(AVANCE[[#This Row],[ESTADO MODULO]]="PENDIENTE",(TODAY()-AVANCE[[#This Row],[FECHA TERMINO  PLANIFICADO]]),0)</f>
        <v>11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ELÉCTRICO: CABLEADO, ARTEFACTOS | TERMINACIONES: PINTURA EXTERIOR, MOLDURAS, PILASTREO, CELOSIAS, CERRADURAS, LIMPIEZA FINAL, PUERTAS DORMITORIO</v>
      </c>
      <c r="CU98" s="43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ELÉCTRICO, TERMINACIONES</v>
      </c>
      <c r="CV98" s="44" cm="1">
        <f t="array" ref="CV98">SUMPRODUCT(--(BG98:CR98&lt;1))</f>
        <v>9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0.59</v>
      </c>
      <c r="F99" s="1">
        <v>46175</v>
      </c>
      <c r="G99" s="1">
        <v>46184</v>
      </c>
      <c r="H99" s="1">
        <v>46209</v>
      </c>
      <c r="I99" s="1">
        <v>46209</v>
      </c>
      <c r="J99">
        <v>1</v>
      </c>
      <c r="K99" s="1"/>
      <c r="L99" s="3">
        <v>0.43</v>
      </c>
      <c r="M99" s="3">
        <v>1</v>
      </c>
      <c r="N99" s="3">
        <v>0.27906976744186046</v>
      </c>
      <c r="O99" s="3">
        <v>0.18604651162790697</v>
      </c>
      <c r="P99" s="3">
        <v>0.2558139534883721</v>
      </c>
      <c r="Q99" s="3">
        <v>0.18604651162790697</v>
      </c>
      <c r="R99" s="3">
        <v>9.3023255813953487E-2</v>
      </c>
      <c r="S99" s="3">
        <v>3.9999999999999994E-2</v>
      </c>
      <c r="T99" s="3">
        <v>0.44444444444444442</v>
      </c>
      <c r="U99" s="3">
        <v>0.22222222222222221</v>
      </c>
      <c r="V99" s="3">
        <v>0.22222222222222221</v>
      </c>
      <c r="W99" s="3">
        <v>0</v>
      </c>
      <c r="X99" s="3">
        <v>0</v>
      </c>
      <c r="Y99" s="3">
        <v>0</v>
      </c>
      <c r="Z99" s="3">
        <v>0</v>
      </c>
      <c r="AA99" s="3">
        <v>0.03</v>
      </c>
      <c r="AB99" s="3">
        <v>0.27272727272727271</v>
      </c>
      <c r="AC99" s="3">
        <v>0.27272727272727271</v>
      </c>
      <c r="AD99" s="3">
        <v>0</v>
      </c>
      <c r="AE99" s="3">
        <v>0</v>
      </c>
      <c r="AF99" s="3">
        <v>0</v>
      </c>
      <c r="AG99" s="3">
        <v>0</v>
      </c>
      <c r="AH99" s="3">
        <v>8.9999999999999969E-2</v>
      </c>
      <c r="AI99" s="3">
        <v>0.24324324324324317</v>
      </c>
      <c r="AJ99" s="3">
        <v>0</v>
      </c>
      <c r="AK99" s="3">
        <v>5.4054054054054036E-2</v>
      </c>
      <c r="AL99" s="3">
        <v>0</v>
      </c>
      <c r="AM99" s="3">
        <v>8.1081081081081058E-2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2.7027027027027018E-2</v>
      </c>
      <c r="AZ99" s="3">
        <v>0</v>
      </c>
      <c r="BA99" s="3">
        <v>5.4054054054054036E-2</v>
      </c>
      <c r="BB99" s="3">
        <v>0</v>
      </c>
      <c r="BC99" s="3">
        <v>0</v>
      </c>
      <c r="BD99" s="3">
        <v>2.7027027027027018E-2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1</v>
      </c>
      <c r="BI99" s="3">
        <f>+IF(AVANCE[[#This Row],[TABIQUES]]=O$2,100%,AVANCE[[#This Row],[TABIQUES]])</f>
        <v>1</v>
      </c>
      <c r="BJ99" s="3">
        <f>+IF(AVANCE[[#This Row],[MUROS]]=P$2,100%,AVANCE[[#This Row],[MUROS]])</f>
        <v>1</v>
      </c>
      <c r="BK99" s="3">
        <f>+IF(AVANCE[[#This Row],[CIELO]]=Q$2,100%,AVANCE[[#This Row],[CIELO]])</f>
        <v>1</v>
      </c>
      <c r="BL99" s="3">
        <f>+IF(AVANCE[[#This Row],[BALCÓN]]=R$2,100%,AVANCE[[#This Row],[BALCÓN]])</f>
        <v>1</v>
      </c>
      <c r="BM99" s="3">
        <f>+IF(AVANCE[[#This Row],[RED ALCANTARILLADO]]=U$2,100%,AVANCE[[#This Row],[RED ALCANTARILLADO]])</f>
        <v>1</v>
      </c>
      <c r="BN99" s="3">
        <f>+IF(AVANCE[[#This Row],[RED DE AGUA]]=V$2,100%,AVANCE[[#This Row],[RED DE AGUA]])</f>
        <v>1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1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1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1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1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1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1</v>
      </c>
      <c r="CS99" s="40">
        <f ca="1">+IF(AVANCE[[#This Row],[ESTADO MODULO]]="PENDIENTE",(TODAY()-AVANCE[[#This Row],[FECHA TERMINO  PLANIFICADO]]),0)</f>
        <v>1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</v>
      </c>
      <c r="CU99" s="43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SANITARIOS, ELÉCTRICO, TERMINACIONES</v>
      </c>
      <c r="CV99" s="44" cm="1">
        <f t="array" ref="CV99">SUMPRODUCT(--(BG99:CR99&lt;1))</f>
        <v>25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0.55999999999999994</v>
      </c>
      <c r="F100" s="1">
        <v>46176</v>
      </c>
      <c r="G100" s="1">
        <v>46192</v>
      </c>
      <c r="H100" s="1">
        <v>46204</v>
      </c>
      <c r="I100" s="1">
        <v>46210</v>
      </c>
      <c r="J100">
        <v>6</v>
      </c>
      <c r="K100" s="1"/>
      <c r="L100" s="3">
        <v>0.43</v>
      </c>
      <c r="M100" s="3">
        <v>1</v>
      </c>
      <c r="N100" s="3">
        <v>0.27906976744186046</v>
      </c>
      <c r="O100" s="3">
        <v>0.18604651162790697</v>
      </c>
      <c r="P100" s="3">
        <v>0.2558139534883721</v>
      </c>
      <c r="Q100" s="3">
        <v>0.18604651162790697</v>
      </c>
      <c r="R100" s="3">
        <v>9.3023255813953487E-2</v>
      </c>
      <c r="S100" s="3">
        <v>3.9999999999999994E-2</v>
      </c>
      <c r="T100" s="3">
        <v>0.44444444444444442</v>
      </c>
      <c r="U100" s="3">
        <v>0.22222222222222221</v>
      </c>
      <c r="V100" s="3">
        <v>0.22222222222222221</v>
      </c>
      <c r="W100" s="3">
        <v>0</v>
      </c>
      <c r="X100" s="3">
        <v>0</v>
      </c>
      <c r="Y100" s="3">
        <v>0</v>
      </c>
      <c r="Z100" s="3">
        <v>0</v>
      </c>
      <c r="AA100" s="3">
        <v>0.03</v>
      </c>
      <c r="AB100" s="3">
        <v>0.27272727272727271</v>
      </c>
      <c r="AC100" s="3">
        <v>0.27272727272727271</v>
      </c>
      <c r="AD100" s="3">
        <v>0</v>
      </c>
      <c r="AE100" s="3">
        <v>0</v>
      </c>
      <c r="AF100" s="3">
        <v>0</v>
      </c>
      <c r="AG100" s="3">
        <v>0</v>
      </c>
      <c r="AH100" s="3">
        <v>5.9999999999999984E-2</v>
      </c>
      <c r="AI100" s="3">
        <v>0.16216216216216212</v>
      </c>
      <c r="AJ100" s="3">
        <v>0</v>
      </c>
      <c r="AK100" s="3">
        <v>5.4054054054054036E-2</v>
      </c>
      <c r="AL100" s="3">
        <v>0</v>
      </c>
      <c r="AM100" s="3">
        <v>8.1081081081081058E-2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2.7027027027027018E-2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PENDIENTE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1</v>
      </c>
      <c r="BI100" s="3">
        <f>+IF(AVANCE[[#This Row],[TABIQUES]]=O$2,100%,AVANCE[[#This Row],[TABIQUES]])</f>
        <v>1</v>
      </c>
      <c r="BJ100" s="3">
        <f>+IF(AVANCE[[#This Row],[MUROS]]=P$2,100%,AVANCE[[#This Row],[MUROS]])</f>
        <v>1</v>
      </c>
      <c r="BK100" s="3">
        <f>+IF(AVANCE[[#This Row],[CIELO]]=Q$2,100%,AVANCE[[#This Row],[CIELO]])</f>
        <v>1</v>
      </c>
      <c r="BL100" s="3">
        <f>+IF(AVANCE[[#This Row],[BALCÓN]]=R$2,100%,AVANCE[[#This Row],[BALCÓN]])</f>
        <v>1</v>
      </c>
      <c r="BM100" s="3">
        <f>+IF(AVANCE[[#This Row],[RED ALCANTARILLADO]]=U$2,100%,AVANCE[[#This Row],[RED ALCANTARILLADO]])</f>
        <v>1</v>
      </c>
      <c r="BN100" s="3">
        <f>+IF(AVANCE[[#This Row],[RED DE AGUA]]=V$2,100%,AVANCE[[#This Row],[RED DE AGUA]])</f>
        <v>1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1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1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1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1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00" s="43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SANITARIOS, ELÉCTRICO, TERMINACIONES</v>
      </c>
      <c r="CV100" s="44" cm="1">
        <f t="array" ref="CV100">SUMPRODUCT(--(BG100:CR100&lt;1))</f>
        <v>27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0.80499999999999994</v>
      </c>
      <c r="F101" s="1">
        <v>46176</v>
      </c>
      <c r="G101" s="1">
        <v>46188</v>
      </c>
      <c r="H101" s="1">
        <v>46198</v>
      </c>
      <c r="I101" s="1">
        <v>46200</v>
      </c>
      <c r="J101">
        <v>12</v>
      </c>
      <c r="K101" s="1"/>
      <c r="L101" s="3">
        <v>0.43</v>
      </c>
      <c r="M101" s="3">
        <v>1</v>
      </c>
      <c r="N101" s="3">
        <v>0.27906976744186046</v>
      </c>
      <c r="O101" s="3">
        <v>0.18604651162790697</v>
      </c>
      <c r="P101" s="3">
        <v>0.2558139534883721</v>
      </c>
      <c r="Q101" s="3">
        <v>0.18604651162790697</v>
      </c>
      <c r="R101" s="3">
        <v>9.3023255813953487E-2</v>
      </c>
      <c r="S101" s="3">
        <v>0.09</v>
      </c>
      <c r="T101" s="3">
        <v>1</v>
      </c>
      <c r="U101" s="3">
        <v>0.22222222222222221</v>
      </c>
      <c r="V101" s="3">
        <v>0.22222222222222221</v>
      </c>
      <c r="W101" s="3">
        <v>0.1111111111111111</v>
      </c>
      <c r="X101" s="3">
        <v>0.1111111111111111</v>
      </c>
      <c r="Y101" s="3">
        <v>0.1111111111111111</v>
      </c>
      <c r="Z101" s="3">
        <v>0.22222222222222221</v>
      </c>
      <c r="AA101" s="3">
        <v>6.9999999999999993E-2</v>
      </c>
      <c r="AB101" s="3">
        <v>0.63636363636363635</v>
      </c>
      <c r="AC101" s="3">
        <v>0.27272727272727271</v>
      </c>
      <c r="AD101" s="3">
        <v>0</v>
      </c>
      <c r="AE101" s="3">
        <v>0</v>
      </c>
      <c r="AF101" s="3">
        <v>0.18181818181818182</v>
      </c>
      <c r="AG101" s="3">
        <v>0.18181818181818182</v>
      </c>
      <c r="AH101" s="3">
        <v>0.21499999999999994</v>
      </c>
      <c r="AI101" s="3">
        <v>0.58108108108108092</v>
      </c>
      <c r="AJ101" s="3">
        <v>5.4054054054054036E-2</v>
      </c>
      <c r="AK101" s="3">
        <v>5.4054054054054036E-2</v>
      </c>
      <c r="AL101" s="3">
        <v>2.7027027027027018E-2</v>
      </c>
      <c r="AM101" s="3">
        <v>8.1081081081081058E-2</v>
      </c>
      <c r="AN101" s="3">
        <v>0</v>
      </c>
      <c r="AO101" s="3">
        <v>0</v>
      </c>
      <c r="AP101" s="3">
        <v>5.4054054054054036E-2</v>
      </c>
      <c r="AQ101" s="3">
        <v>0</v>
      </c>
      <c r="AR101" s="3">
        <v>0</v>
      </c>
      <c r="AS101" s="3">
        <v>0</v>
      </c>
      <c r="AT101" s="3">
        <v>0</v>
      </c>
      <c r="AU101" s="3">
        <v>5.4054054054054036E-2</v>
      </c>
      <c r="AV101" s="3">
        <v>0</v>
      </c>
      <c r="AW101" s="3">
        <v>5.4054054054054036E-2</v>
      </c>
      <c r="AX101" s="3">
        <v>5.4054054054054036E-2</v>
      </c>
      <c r="AY101" s="3">
        <v>2.7027027027027018E-2</v>
      </c>
      <c r="AZ101" s="3">
        <v>0</v>
      </c>
      <c r="BA101" s="3">
        <v>0</v>
      </c>
      <c r="BB101" s="3">
        <v>8.1081081081081058E-2</v>
      </c>
      <c r="BC101" s="3">
        <v>1.3513513513513509E-2</v>
      </c>
      <c r="BD101" s="3">
        <v>2.7027027027027018E-2</v>
      </c>
      <c r="BE101">
        <v>28.87</v>
      </c>
      <c r="BF101" s="3" t="str">
        <f>+IF(AVANCE[[#This Row],[% AVANCE]]=100%,"MODULO TERMINADO",IF(AVANCE[[#This Row],[FECHA INICIO REAL]]="","MODULO NO INICIADO","PENDIENTE"))</f>
        <v>PENDIENTE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1</v>
      </c>
      <c r="BI101" s="3">
        <f>+IF(AVANCE[[#This Row],[TABIQUES]]=O$2,100%,AVANCE[[#This Row],[TABIQUES]])</f>
        <v>1</v>
      </c>
      <c r="BJ101" s="3">
        <f>+IF(AVANCE[[#This Row],[MUROS]]=P$2,100%,AVANCE[[#This Row],[MUROS]])</f>
        <v>1</v>
      </c>
      <c r="BK101" s="3">
        <f>+IF(AVANCE[[#This Row],[CIELO]]=Q$2,100%,AVANCE[[#This Row],[CIELO]])</f>
        <v>1</v>
      </c>
      <c r="BL101" s="3">
        <f>+IF(AVANCE[[#This Row],[BALCÓN]]=R$2,100%,AVANCE[[#This Row],[BALCÓN]])</f>
        <v>1</v>
      </c>
      <c r="BM101" s="3">
        <f>+IF(AVANCE[[#This Row],[RED ALCANTARILLADO]]=U$2,100%,AVANCE[[#This Row],[RED ALCANTARILLADO]])</f>
        <v>1</v>
      </c>
      <c r="BN101" s="3">
        <f>+IF(AVANCE[[#This Row],[RED DE AGUA]]=V$2,100%,AVANCE[[#This Row],[RED DE AGUA]])</f>
        <v>1</v>
      </c>
      <c r="BO101" s="3">
        <f>+IF(AVANCE[[#This Row],[VENTILACIONES]]=W$2,100%,AVANCE[[#This Row],[VENTILACIONES]])</f>
        <v>1</v>
      </c>
      <c r="BP101" s="3">
        <f>+IF(AVANCE[[#This Row],[TINA]]=X$2,100%,AVANCE[[#This Row],[TINA]])</f>
        <v>1</v>
      </c>
      <c r="BQ101" s="3">
        <f>+IF(AVANCE[[#This Row],[WC]]=Y$2,100%,AVANCE[[#This Row],[WC]])</f>
        <v>1</v>
      </c>
      <c r="BR101" s="3">
        <f>+IF(AVANCE[[#This Row],[LAVAMANOS / LAVAPLATOS / LAVADERO]]=Z$2,100%,AVANCE[[#This Row],[LAVAMANOS / LAVAPLATOS / LAVADERO]])</f>
        <v>1</v>
      </c>
      <c r="BS101" s="3">
        <f>+IF(AVANCE[[#This Row],[CANALIZACIÓN]]=AC$2,100%,AVANCE[[#This Row],[CANALIZACIÓN]])</f>
        <v>1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1</v>
      </c>
      <c r="BW101" s="3">
        <f>+IF(AVANCE[[#This Row],[CAJA PAU]]=AG$2,100%,AVANCE[[#This Row],[CAJA PAU]])</f>
        <v>1</v>
      </c>
      <c r="BX101" s="3">
        <f>+IF(AVANCE[[#This Row],[INSTALACION VINILICO]]=AJ$2,100%,AVANCE[[#This Row],[INSTALACION VINILICO]])</f>
        <v>1</v>
      </c>
      <c r="BY101" s="3">
        <f>+IF(AVANCE[[#This Row],[OSB CUBIERTA]]=AK$2,100%,AVANCE[[#This Row],[OSB CUBIERTA]])</f>
        <v>1</v>
      </c>
      <c r="BZ101" s="3">
        <f>+IF(AVANCE[[#This Row],[BARANDA BALCON]]=AL$2,100%,AVANCE[[#This Row],[BARANDA BALCON]])</f>
        <v>1</v>
      </c>
      <c r="CA101" s="3">
        <f>+IF(AVANCE[[#This Row],[OSB EXTERIOR]]=AM$2,100%,AVANCE[[#This Row],[OSB EXTERIOR]])</f>
        <v>1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1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1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1</v>
      </c>
      <c r="CL101" s="3">
        <f>+IF(AVANCE[[#This Row],[REVESTIMIENTO INTERIOR ZONAS HUMEDAS]]=AX$2,100%,AVANCE[[#This Row],[REVESTIMIENTO INTERIOR ZONAS HUMEDAS]])</f>
        <v>1</v>
      </c>
      <c r="CM101" s="3">
        <f>+IF(AVANCE[[#This Row],[MEMBRANA CIELO]]=AY$2,100%,AVANCE[[#This Row],[MEMBRANA CIELO]])</f>
        <v>1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1</v>
      </c>
      <c r="CQ101" s="3">
        <f>+IF(AVANCE[[#This Row],[MUEBLE LAVAPLATOS]]=BC$2,100%,AVANCE[[#This Row],[MUEBLE LAVAPLATOS]])</f>
        <v>1</v>
      </c>
      <c r="CR101" s="3">
        <f>+IF(AVANCE[[#This Row],[IMPERMEABILIZACION BANO - COCINA LOGIA]]=BD$2,100%,AVANCE[[#This Row],[IMPERMEABILIZACION BANO - COCINA LOGIA]])</f>
        <v>1</v>
      </c>
      <c r="CS101" s="40">
        <f ca="1">+IF(AVANCE[[#This Row],[ESTADO MODULO]]="PENDIENTE",(TODAY()-AVANCE[[#This Row],[FECHA TERMINO  PLANIFICADO]]),0)</f>
        <v>10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01" s="43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ELÉCTRICO, TERMINACIONES</v>
      </c>
      <c r="CV101" s="44" cm="1">
        <f t="array" ref="CV101">SUMPRODUCT(--(BG101:CR101&lt;1))</f>
        <v>12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0.80499999999999994</v>
      </c>
      <c r="F102" s="1">
        <v>46177</v>
      </c>
      <c r="G102" s="1">
        <v>46190</v>
      </c>
      <c r="H102" s="1">
        <v>46210</v>
      </c>
      <c r="I102" s="1">
        <v>46201</v>
      </c>
      <c r="J102">
        <v>0</v>
      </c>
      <c r="K102" s="1"/>
      <c r="L102" s="3">
        <v>0.43</v>
      </c>
      <c r="M102" s="3">
        <v>1</v>
      </c>
      <c r="N102" s="3">
        <v>0.27906976744186046</v>
      </c>
      <c r="O102" s="3">
        <v>0.18604651162790697</v>
      </c>
      <c r="P102" s="3">
        <v>0.2558139534883721</v>
      </c>
      <c r="Q102" s="3">
        <v>0.18604651162790697</v>
      </c>
      <c r="R102" s="3">
        <v>9.3023255813953487E-2</v>
      </c>
      <c r="S102" s="3">
        <v>0.09</v>
      </c>
      <c r="T102" s="3">
        <v>1</v>
      </c>
      <c r="U102" s="3">
        <v>0.22222222222222221</v>
      </c>
      <c r="V102" s="3">
        <v>0.22222222222222221</v>
      </c>
      <c r="W102" s="3">
        <v>0.1111111111111111</v>
      </c>
      <c r="X102" s="3">
        <v>0.1111111111111111</v>
      </c>
      <c r="Y102" s="3">
        <v>0.1111111111111111</v>
      </c>
      <c r="Z102" s="3">
        <v>0.22222222222222221</v>
      </c>
      <c r="AA102" s="3">
        <v>6.9999999999999993E-2</v>
      </c>
      <c r="AB102" s="3">
        <v>0.63636363636363635</v>
      </c>
      <c r="AC102" s="3">
        <v>0.27272727272727271</v>
      </c>
      <c r="AD102" s="3">
        <v>0</v>
      </c>
      <c r="AE102" s="3">
        <v>0</v>
      </c>
      <c r="AF102" s="3">
        <v>0.18181818181818182</v>
      </c>
      <c r="AG102" s="3">
        <v>0.18181818181818182</v>
      </c>
      <c r="AH102" s="3">
        <v>0.21499999999999994</v>
      </c>
      <c r="AI102" s="3">
        <v>0.58108108108108092</v>
      </c>
      <c r="AJ102" s="3">
        <v>5.4054054054054036E-2</v>
      </c>
      <c r="AK102" s="3">
        <v>5.4054054054054036E-2</v>
      </c>
      <c r="AL102" s="3">
        <v>2.7027027027027018E-2</v>
      </c>
      <c r="AM102" s="3">
        <v>8.1081081081081058E-2</v>
      </c>
      <c r="AN102" s="3">
        <v>0</v>
      </c>
      <c r="AO102" s="3">
        <v>0</v>
      </c>
      <c r="AP102" s="3">
        <v>5.4054054054054036E-2</v>
      </c>
      <c r="AQ102" s="3">
        <v>0</v>
      </c>
      <c r="AR102" s="3">
        <v>0</v>
      </c>
      <c r="AS102" s="3">
        <v>0</v>
      </c>
      <c r="AT102" s="3">
        <v>0</v>
      </c>
      <c r="AU102" s="3">
        <v>5.4054054054054036E-2</v>
      </c>
      <c r="AV102" s="3">
        <v>0</v>
      </c>
      <c r="AW102" s="3">
        <v>5.4054054054054036E-2</v>
      </c>
      <c r="AX102" s="3">
        <v>5.4054054054054036E-2</v>
      </c>
      <c r="AY102" s="3">
        <v>2.7027027027027018E-2</v>
      </c>
      <c r="AZ102" s="3">
        <v>0</v>
      </c>
      <c r="BA102" s="3">
        <v>0</v>
      </c>
      <c r="BB102" s="3">
        <v>8.1081081081081058E-2</v>
      </c>
      <c r="BC102" s="3">
        <v>1.3513513513513509E-2</v>
      </c>
      <c r="BD102" s="3">
        <v>2.7027027027027018E-2</v>
      </c>
      <c r="BE102">
        <v>28.87</v>
      </c>
      <c r="BF102" s="3" t="str">
        <f>+IF(AVANCE[[#This Row],[% AVANCE]]=100%,"MODULO TERMINADO",IF(AVANCE[[#This Row],[FECHA INICIO REAL]]="","MODULO NO INICIADO","PENDIENTE"))</f>
        <v>PENDIENTE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1</v>
      </c>
      <c r="BI102" s="3">
        <f>+IF(AVANCE[[#This Row],[TABIQUES]]=O$2,100%,AVANCE[[#This Row],[TABIQUES]])</f>
        <v>1</v>
      </c>
      <c r="BJ102" s="3">
        <f>+IF(AVANCE[[#This Row],[MUROS]]=P$2,100%,AVANCE[[#This Row],[MUROS]])</f>
        <v>1</v>
      </c>
      <c r="BK102" s="3">
        <f>+IF(AVANCE[[#This Row],[CIELO]]=Q$2,100%,AVANCE[[#This Row],[CIELO]])</f>
        <v>1</v>
      </c>
      <c r="BL102" s="3">
        <f>+IF(AVANCE[[#This Row],[BALCÓN]]=R$2,100%,AVANCE[[#This Row],[BALCÓN]])</f>
        <v>1</v>
      </c>
      <c r="BM102" s="3">
        <f>+IF(AVANCE[[#This Row],[RED ALCANTARILLADO]]=U$2,100%,AVANCE[[#This Row],[RED ALCANTARILLADO]])</f>
        <v>1</v>
      </c>
      <c r="BN102" s="3">
        <f>+IF(AVANCE[[#This Row],[RED DE AGUA]]=V$2,100%,AVANCE[[#This Row],[RED DE AGUA]])</f>
        <v>1</v>
      </c>
      <c r="BO102" s="3">
        <f>+IF(AVANCE[[#This Row],[VENTILACIONES]]=W$2,100%,AVANCE[[#This Row],[VENTILACIONES]])</f>
        <v>1</v>
      </c>
      <c r="BP102" s="3">
        <f>+IF(AVANCE[[#This Row],[TINA]]=X$2,100%,AVANCE[[#This Row],[TINA]])</f>
        <v>1</v>
      </c>
      <c r="BQ102" s="3">
        <f>+IF(AVANCE[[#This Row],[WC]]=Y$2,100%,AVANCE[[#This Row],[WC]])</f>
        <v>1</v>
      </c>
      <c r="BR102" s="3">
        <f>+IF(AVANCE[[#This Row],[LAVAMANOS / LAVAPLATOS / LAVADERO]]=Z$2,100%,AVANCE[[#This Row],[LAVAMANOS / LAVAPLATOS / LAVADERO]])</f>
        <v>1</v>
      </c>
      <c r="BS102" s="3">
        <f>+IF(AVANCE[[#This Row],[CANALIZACIÓN]]=AC$2,100%,AVANCE[[#This Row],[CANALIZACIÓN]])</f>
        <v>1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1</v>
      </c>
      <c r="BW102" s="3">
        <f>+IF(AVANCE[[#This Row],[CAJA PAU]]=AG$2,100%,AVANCE[[#This Row],[CAJA PAU]])</f>
        <v>1</v>
      </c>
      <c r="BX102" s="3">
        <f>+IF(AVANCE[[#This Row],[INSTALACION VINILICO]]=AJ$2,100%,AVANCE[[#This Row],[INSTALACION VINILICO]])</f>
        <v>1</v>
      </c>
      <c r="BY102" s="3">
        <f>+IF(AVANCE[[#This Row],[OSB CUBIERTA]]=AK$2,100%,AVANCE[[#This Row],[OSB CUBIERTA]])</f>
        <v>1</v>
      </c>
      <c r="BZ102" s="3">
        <f>+IF(AVANCE[[#This Row],[BARANDA BALCON]]=AL$2,100%,AVANCE[[#This Row],[BARANDA BALCON]])</f>
        <v>1</v>
      </c>
      <c r="CA102" s="3">
        <f>+IF(AVANCE[[#This Row],[OSB EXTERIOR]]=AM$2,100%,AVANCE[[#This Row],[OSB EXTERIOR]])</f>
        <v>1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1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1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1</v>
      </c>
      <c r="CL102" s="3">
        <f>+IF(AVANCE[[#This Row],[REVESTIMIENTO INTERIOR ZONAS HUMEDAS]]=AX$2,100%,AVANCE[[#This Row],[REVESTIMIENTO INTERIOR ZONAS HUMEDAS]])</f>
        <v>1</v>
      </c>
      <c r="CM102" s="3">
        <f>+IF(AVANCE[[#This Row],[MEMBRANA CIELO]]=AY$2,100%,AVANCE[[#This Row],[MEMBRANA CIELO]])</f>
        <v>1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1</v>
      </c>
      <c r="CQ102" s="3">
        <f>+IF(AVANCE[[#This Row],[MUEBLE LAVAPLATOS]]=BC$2,100%,AVANCE[[#This Row],[MUEBLE LAVAPLATOS]])</f>
        <v>1</v>
      </c>
      <c r="CR102" s="3">
        <f>+IF(AVANCE[[#This Row],[IMPERMEABILIZACION BANO - COCINA LOGIA]]=BD$2,100%,AVANCE[[#This Row],[IMPERMEABILIZACION BANO - COCINA LOGIA]])</f>
        <v>1</v>
      </c>
      <c r="CS102" s="40">
        <f ca="1">+IF(AVANCE[[#This Row],[ESTADO MODULO]]="PENDIENTE",(TODAY()-AVANCE[[#This Row],[FECHA TERMINO  PLANIFICADO]]),0)</f>
        <v>9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102" s="43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ELÉCTRICO, TERMINACIONES</v>
      </c>
      <c r="CV102" s="44" cm="1">
        <f t="array" ref="CV102">SUMPRODUCT(--(BG102:CR102&lt;1))</f>
        <v>12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0.66999999999999993</v>
      </c>
      <c r="F103" s="1">
        <v>46177</v>
      </c>
      <c r="G103" s="1">
        <v>46190</v>
      </c>
      <c r="H103" s="1">
        <v>46205</v>
      </c>
      <c r="I103" s="1">
        <v>46211</v>
      </c>
      <c r="J103">
        <v>5</v>
      </c>
      <c r="K103" s="1"/>
      <c r="L103" s="3">
        <v>0.43</v>
      </c>
      <c r="M103" s="3">
        <v>1</v>
      </c>
      <c r="N103" s="3">
        <v>0.27906976744186046</v>
      </c>
      <c r="O103" s="3">
        <v>0.18604651162790697</v>
      </c>
      <c r="P103" s="3">
        <v>0.2558139534883721</v>
      </c>
      <c r="Q103" s="3">
        <v>0.18604651162790697</v>
      </c>
      <c r="R103" s="3">
        <v>9.3023255813953487E-2</v>
      </c>
      <c r="S103" s="3">
        <v>3.9999999999999994E-2</v>
      </c>
      <c r="T103" s="3">
        <v>0.44444444444444442</v>
      </c>
      <c r="U103" s="3">
        <v>0.22222222222222221</v>
      </c>
      <c r="V103" s="3">
        <v>0.22222222222222221</v>
      </c>
      <c r="W103" s="3">
        <v>0</v>
      </c>
      <c r="X103" s="3">
        <v>0</v>
      </c>
      <c r="Y103" s="3">
        <v>0</v>
      </c>
      <c r="Z103" s="3">
        <v>0</v>
      </c>
      <c r="AA103" s="3">
        <v>0.03</v>
      </c>
      <c r="AB103" s="3">
        <v>0.27272727272727271</v>
      </c>
      <c r="AC103" s="3">
        <v>0.27272727272727271</v>
      </c>
      <c r="AD103" s="3">
        <v>0</v>
      </c>
      <c r="AE103" s="3">
        <v>0</v>
      </c>
      <c r="AF103" s="3">
        <v>0</v>
      </c>
      <c r="AG103" s="3">
        <v>0</v>
      </c>
      <c r="AH103" s="3">
        <v>0.16999999999999996</v>
      </c>
      <c r="AI103" s="3">
        <v>0.45945945945945937</v>
      </c>
      <c r="AJ103" s="3">
        <v>0</v>
      </c>
      <c r="AK103" s="3">
        <v>5.4054054054054036E-2</v>
      </c>
      <c r="AL103" s="3">
        <v>0</v>
      </c>
      <c r="AM103" s="3">
        <v>8.1081081081081058E-2</v>
      </c>
      <c r="AN103" s="3">
        <v>8.1081081081081058E-2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8.1081081081081058E-2</v>
      </c>
      <c r="AU103" s="3">
        <v>0</v>
      </c>
      <c r="AV103" s="3">
        <v>0</v>
      </c>
      <c r="AW103" s="3">
        <v>5.4054054054054036E-2</v>
      </c>
      <c r="AX103" s="3">
        <v>0</v>
      </c>
      <c r="AY103" s="3">
        <v>2.7027027027027018E-2</v>
      </c>
      <c r="AZ103" s="3">
        <v>0</v>
      </c>
      <c r="BA103" s="3">
        <v>5.4054054054054036E-2</v>
      </c>
      <c r="BB103" s="3">
        <v>0</v>
      </c>
      <c r="BC103" s="3">
        <v>0</v>
      </c>
      <c r="BD103" s="3">
        <v>2.7027027027027018E-2</v>
      </c>
      <c r="BE103">
        <v>31.32</v>
      </c>
      <c r="BF103" s="3" t="str">
        <f>+IF(AVANCE[[#This Row],[% AVANCE]]=100%,"MODULO TERMINADO",IF(AVANCE[[#This Row],[FECHA INICIO REAL]]="","MODULO NO INICIADO","PENDIENTE"))</f>
        <v>PENDIENTE</v>
      </c>
      <c r="BG103" s="3">
        <f>+IF(AVANCE[[#This Row],[VENTANAS]]=8.10810810810811%,100%,AVANCE[[#This Row],[VENTANAS]])</f>
        <v>1</v>
      </c>
      <c r="BH103" s="3">
        <f>+IF(AVANCE[[#This Row],[PISO]]=N$2,100%,AVANCE[[#This Row],[PISO]])</f>
        <v>1</v>
      </c>
      <c r="BI103" s="3">
        <f>+IF(AVANCE[[#This Row],[TABIQUES]]=O$2,100%,AVANCE[[#This Row],[TABIQUES]])</f>
        <v>1</v>
      </c>
      <c r="BJ103" s="3">
        <f>+IF(AVANCE[[#This Row],[MUROS]]=P$2,100%,AVANCE[[#This Row],[MUROS]])</f>
        <v>1</v>
      </c>
      <c r="BK103" s="3">
        <f>+IF(AVANCE[[#This Row],[CIELO]]=Q$2,100%,AVANCE[[#This Row],[CIELO]])</f>
        <v>1</v>
      </c>
      <c r="BL103" s="3">
        <f>+IF(AVANCE[[#This Row],[BALCÓN]]=R$2,100%,AVANCE[[#This Row],[BALCÓN]])</f>
        <v>1</v>
      </c>
      <c r="BM103" s="3">
        <f>+IF(AVANCE[[#This Row],[RED ALCANTARILLADO]]=U$2,100%,AVANCE[[#This Row],[RED ALCANTARILLADO]])</f>
        <v>1</v>
      </c>
      <c r="BN103" s="3">
        <f>+IF(AVANCE[[#This Row],[RED DE AGUA]]=V$2,100%,AVANCE[[#This Row],[RED DE AGUA]])</f>
        <v>1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1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1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1</v>
      </c>
      <c r="CB103" s="3">
        <f>+IF(AVANCE[[#This Row],[SMART PANEL]]=AN$2,100%,AVANCE[[#This Row],[SMART PANEL]])</f>
        <v>1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1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1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1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1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1</v>
      </c>
      <c r="CS103" s="40">
        <f ca="1">+IF(AVANCE[[#This Row],[ESTADO MODULO]]="PENDIENTE",(TODAY()-AVANCE[[#This Row],[FECHA TERMINO  PLANIFICADO]]),0)</f>
        <v>-1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SANITARIOS: VENTILACIONES, TINA, WC, LAVAMANOS / LAVAPLATOS / LAVADERO | ELÉCTRICO: CABLEADO, ARTEFACTOS, TABLERO, CAJA PAU | TERMINACIONES: INSTALACION VINILICO, BARANDA BALCON, PINTURA EXTERIOR, ZOCALOS LOGIA, MOLDURAS, PILASTREO, CELOSIAS, PUERTAS ACCESO - LOGIA - BANO, CERRADURAS, REVESTIMIENTO INTERIOR ZONAS HUMEDAS, LIMPIEZA FINAL, REVESTIMIENTO INTERIOR BANO, MUEBLE LAVAPLATOS</v>
      </c>
      <c r="CU103" s="43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SANITARIOS, ELÉCTRICO, TERMINACIONES</v>
      </c>
      <c r="CV103" s="44" cm="1">
        <f t="array" ref="CV103">SUMPRODUCT(--(BG103:CR103&lt;1))</f>
        <v>21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0.69</v>
      </c>
      <c r="F104" s="1">
        <v>46178</v>
      </c>
      <c r="G104" s="1">
        <v>46184</v>
      </c>
      <c r="H104" s="1">
        <v>46210</v>
      </c>
      <c r="I104" s="1">
        <v>46212</v>
      </c>
      <c r="J104">
        <v>0</v>
      </c>
      <c r="K104" s="1"/>
      <c r="L104" s="3">
        <v>0.43</v>
      </c>
      <c r="M104" s="3">
        <v>1</v>
      </c>
      <c r="N104" s="3">
        <v>0.27906976744186046</v>
      </c>
      <c r="O104" s="3">
        <v>0.18604651162790697</v>
      </c>
      <c r="P104" s="3">
        <v>0.2558139534883721</v>
      </c>
      <c r="Q104" s="3">
        <v>0.18604651162790697</v>
      </c>
      <c r="R104" s="3">
        <v>9.3023255813953487E-2</v>
      </c>
      <c r="S104" s="3">
        <v>0.05</v>
      </c>
      <c r="T104" s="3">
        <v>0.55555555555555558</v>
      </c>
      <c r="U104" s="3">
        <v>0.22222222222222221</v>
      </c>
      <c r="V104" s="3">
        <v>0.22222222222222221</v>
      </c>
      <c r="W104" s="3">
        <v>0</v>
      </c>
      <c r="X104" s="3">
        <v>0.1111111111111111</v>
      </c>
      <c r="Y104" s="3">
        <v>0</v>
      </c>
      <c r="Z104" s="3">
        <v>0</v>
      </c>
      <c r="AA104" s="3">
        <v>0.03</v>
      </c>
      <c r="AB104" s="3">
        <v>0.27272727272727271</v>
      </c>
      <c r="AC104" s="3">
        <v>0.27272727272727271</v>
      </c>
      <c r="AD104" s="3">
        <v>0</v>
      </c>
      <c r="AE104" s="3">
        <v>0</v>
      </c>
      <c r="AF104" s="3">
        <v>0</v>
      </c>
      <c r="AG104" s="3">
        <v>0</v>
      </c>
      <c r="AH104" s="3">
        <v>0.17999999999999997</v>
      </c>
      <c r="AI104" s="3">
        <v>0.4864864864864864</v>
      </c>
      <c r="AJ104" s="3">
        <v>5.4054054054054036E-2</v>
      </c>
      <c r="AK104" s="3">
        <v>5.4054054054054036E-2</v>
      </c>
      <c r="AL104" s="3">
        <v>0</v>
      </c>
      <c r="AM104" s="3">
        <v>8.1081081081081058E-2</v>
      </c>
      <c r="AN104" s="3">
        <v>8.1081081081081058E-2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5.4054054054054036E-2</v>
      </c>
      <c r="AX104" s="3">
        <v>5.4054054054054036E-2</v>
      </c>
      <c r="AY104" s="3">
        <v>2.7027027027027018E-2</v>
      </c>
      <c r="AZ104" s="3">
        <v>0</v>
      </c>
      <c r="BA104" s="3">
        <v>5.4054054054054036E-2</v>
      </c>
      <c r="BB104" s="3">
        <v>0</v>
      </c>
      <c r="BC104" s="3">
        <v>0</v>
      </c>
      <c r="BD104" s="3">
        <v>2.7027027027027018E-2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1</v>
      </c>
      <c r="BJ104" s="3">
        <f>+IF(AVANCE[[#This Row],[MUROS]]=P$2,100%,AVANCE[[#This Row],[MUROS]])</f>
        <v>1</v>
      </c>
      <c r="BK104" s="3">
        <f>+IF(AVANCE[[#This Row],[CIELO]]=Q$2,100%,AVANCE[[#This Row],[CIELO]])</f>
        <v>1</v>
      </c>
      <c r="BL104" s="3">
        <f>+IF(AVANCE[[#This Row],[BALCÓN]]=R$2,100%,AVANCE[[#This Row],[BALCÓN]])</f>
        <v>1</v>
      </c>
      <c r="BM104" s="3">
        <f>+IF(AVANCE[[#This Row],[RED ALCANTARILLADO]]=U$2,100%,AVANCE[[#This Row],[RED ALCANTARILLADO]])</f>
        <v>1</v>
      </c>
      <c r="BN104" s="3">
        <f>+IF(AVANCE[[#This Row],[RED DE AGUA]]=V$2,100%,AVANCE[[#This Row],[RED DE AGUA]])</f>
        <v>1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1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1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1</v>
      </c>
      <c r="BY104" s="3">
        <f>+IF(AVANCE[[#This Row],[OSB CUBIERTA]]=AK$2,100%,AVANCE[[#This Row],[OSB CUBIERTA]])</f>
        <v>1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1</v>
      </c>
      <c r="CB104" s="3">
        <f>+IF(AVANCE[[#This Row],[SMART PANEL]]=AN$2,100%,AVANCE[[#This Row],[SMART PANEL]])</f>
        <v>1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1</v>
      </c>
      <c r="CL104" s="3">
        <f>+IF(AVANCE[[#This Row],[REVESTIMIENTO INTERIOR ZONAS HUMEDAS]]=AX$2,100%,AVANCE[[#This Row],[REVESTIMIENTO INTERIOR ZONAS HUMEDAS]])</f>
        <v>1</v>
      </c>
      <c r="CM104" s="3">
        <f>+IF(AVANCE[[#This Row],[MEMBRANA CIELO]]=AY$2,100%,AVANCE[[#This Row],[MEMBRANA CIELO]])</f>
        <v>1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1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1</v>
      </c>
      <c r="CS104" s="40">
        <f ca="1">+IF(AVANCE[[#This Row],[ESTADO MODULO]]="PENDIENTE",(TODAY()-AVANCE[[#This Row],[FECHA TERMINO  PLANIFICADO]]),0)</f>
        <v>-2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SANITARIOS: VENTILACIONES, WC, LAVAMANOS / LAVAPLATOS / LAVADERO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</v>
      </c>
      <c r="CU104" s="43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SANITARIOS, ELÉCTRICO, TERMINACIONES</v>
      </c>
      <c r="CV104" s="44" cm="1">
        <f t="array" ref="CV104">SUMPRODUCT(--(BG104:CR104&lt;1))</f>
        <v>20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0.92999999999999983</v>
      </c>
      <c r="F105" s="1">
        <v>46178</v>
      </c>
      <c r="G105" s="1">
        <v>46184</v>
      </c>
      <c r="H105" s="1">
        <v>46210</v>
      </c>
      <c r="I105" s="1">
        <v>46202</v>
      </c>
      <c r="J105">
        <v>0</v>
      </c>
      <c r="K105" s="1"/>
      <c r="L105" s="3">
        <v>0.43</v>
      </c>
      <c r="M105" s="3">
        <v>1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9.3023255813953487E-2</v>
      </c>
      <c r="S105" s="3">
        <v>0.09</v>
      </c>
      <c r="T105" s="3">
        <v>1</v>
      </c>
      <c r="U105" s="3">
        <v>0.22222222222222221</v>
      </c>
      <c r="V105" s="3">
        <v>0.22222222222222221</v>
      </c>
      <c r="W105" s="3">
        <v>0.1111111111111111</v>
      </c>
      <c r="X105" s="3">
        <v>0.1111111111111111</v>
      </c>
      <c r="Y105" s="3">
        <v>0.1111111111111111</v>
      </c>
      <c r="Z105" s="3">
        <v>0.22222222222222221</v>
      </c>
      <c r="AA105" s="3">
        <v>6.9999999999999993E-2</v>
      </c>
      <c r="AB105" s="3">
        <v>0.63636363636363635</v>
      </c>
      <c r="AC105" s="3">
        <v>0.27272727272727271</v>
      </c>
      <c r="AD105" s="3">
        <v>0</v>
      </c>
      <c r="AE105" s="3">
        <v>0</v>
      </c>
      <c r="AF105" s="3">
        <v>0.18181818181818182</v>
      </c>
      <c r="AG105" s="3">
        <v>0.18181818181818182</v>
      </c>
      <c r="AH105" s="3">
        <v>0.33999999999999986</v>
      </c>
      <c r="AI105" s="3">
        <v>0.91891891891891853</v>
      </c>
      <c r="AJ105" s="3">
        <v>5.4054054054054036E-2</v>
      </c>
      <c r="AK105" s="3">
        <v>5.4054054054054036E-2</v>
      </c>
      <c r="AL105" s="3">
        <v>2.7027027027027018E-2</v>
      </c>
      <c r="AM105" s="3">
        <v>8.1081081081081058E-2</v>
      </c>
      <c r="AN105" s="3">
        <v>8.1081081081081058E-2</v>
      </c>
      <c r="AO105" s="3">
        <v>6.7567567567567557E-2</v>
      </c>
      <c r="AP105" s="3">
        <v>5.4054054054054036E-2</v>
      </c>
      <c r="AQ105" s="3">
        <v>1.3513513513513509E-2</v>
      </c>
      <c r="AR105" s="3">
        <v>0</v>
      </c>
      <c r="AS105" s="3">
        <v>1.3513513513513509E-2</v>
      </c>
      <c r="AT105" s="3">
        <v>8.1081081081081058E-2</v>
      </c>
      <c r="AU105" s="3">
        <v>5.4054054054054036E-2</v>
      </c>
      <c r="AV105" s="3">
        <v>2.7027027027027018E-2</v>
      </c>
      <c r="AW105" s="3">
        <v>5.4054054054054036E-2</v>
      </c>
      <c r="AX105" s="3">
        <v>5.4054054054054036E-2</v>
      </c>
      <c r="AY105" s="3">
        <v>2.7027027027027018E-2</v>
      </c>
      <c r="AZ105" s="3">
        <v>0</v>
      </c>
      <c r="BA105" s="3">
        <v>5.4054054054054036E-2</v>
      </c>
      <c r="BB105" s="3">
        <v>8.1081081081081058E-2</v>
      </c>
      <c r="BC105" s="3">
        <v>1.3513513513513509E-2</v>
      </c>
      <c r="BD105" s="3">
        <v>2.7027027027027018E-2</v>
      </c>
      <c r="BE105">
        <v>28.87</v>
      </c>
      <c r="BF105" s="3" t="str">
        <f>+IF(AVANCE[[#This Row],[% AVANCE]]=100%,"MODULO TERMINADO",IF(AVANCE[[#This Row],[FECHA INICIO REAL]]="","MODULO NO INICIADO","PENDIENTE"))</f>
        <v>PENDIENTE</v>
      </c>
      <c r="BG105" s="3">
        <f>+IF(AVANCE[[#This Row],[VENTANAS]]=8.10810810810811%,100%,AVANCE[[#This Row],[VENTANAS]])</f>
        <v>1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1</v>
      </c>
      <c r="BM105" s="3">
        <f>+IF(AVANCE[[#This Row],[RED ALCANTARILLADO]]=U$2,100%,AVANCE[[#This Row],[RED ALCANTARILLADO]])</f>
        <v>1</v>
      </c>
      <c r="BN105" s="3">
        <f>+IF(AVANCE[[#This Row],[RED DE AGUA]]=V$2,100%,AVANCE[[#This Row],[RED DE AGUA]])</f>
        <v>1</v>
      </c>
      <c r="BO105" s="3">
        <f>+IF(AVANCE[[#This Row],[VENTILACIONES]]=W$2,100%,AVANCE[[#This Row],[VENTILACIONES]])</f>
        <v>1</v>
      </c>
      <c r="BP105" s="3">
        <f>+IF(AVANCE[[#This Row],[TINA]]=X$2,100%,AVANCE[[#This Row],[TINA]])</f>
        <v>1</v>
      </c>
      <c r="BQ105" s="3">
        <f>+IF(AVANCE[[#This Row],[WC]]=Y$2,100%,AVANCE[[#This Row],[WC]])</f>
        <v>1</v>
      </c>
      <c r="BR105" s="3">
        <f>+IF(AVANCE[[#This Row],[LAVAMANOS / LAVAPLATOS / LAVADERO]]=Z$2,100%,AVANCE[[#This Row],[LAVAMANOS / LAVAPLATOS / LAVADERO]])</f>
        <v>1</v>
      </c>
      <c r="BS105" s="3">
        <f>+IF(AVANCE[[#This Row],[CANALIZACIÓN]]=AC$2,100%,AVANCE[[#This Row],[CANALIZACIÓN]])</f>
        <v>1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1</v>
      </c>
      <c r="BW105" s="3">
        <f>+IF(AVANCE[[#This Row],[CAJA PAU]]=AG$2,100%,AVANCE[[#This Row],[CAJA PAU]])</f>
        <v>1</v>
      </c>
      <c r="BX105" s="3">
        <f>+IF(AVANCE[[#This Row],[INSTALACION VINILICO]]=AJ$2,100%,AVANCE[[#This Row],[INSTALACION VINILICO]])</f>
        <v>1</v>
      </c>
      <c r="BY105" s="3">
        <f>+IF(AVANCE[[#This Row],[OSB CUBIERTA]]=AK$2,100%,AVANCE[[#This Row],[OSB CUBIERTA]])</f>
        <v>1</v>
      </c>
      <c r="BZ105" s="3">
        <f>+IF(AVANCE[[#This Row],[BARANDA BALCON]]=AL$2,100%,AVANCE[[#This Row],[BARANDA BALCON]])</f>
        <v>1</v>
      </c>
      <c r="CA105" s="3">
        <f>+IF(AVANCE[[#This Row],[OSB EXTERIOR]]=AM$2,100%,AVANCE[[#This Row],[OSB EXTERIOR]])</f>
        <v>1</v>
      </c>
      <c r="CB105" s="3">
        <f>+IF(AVANCE[[#This Row],[SMART PANEL]]=AN$2,100%,AVANCE[[#This Row],[SMART PANEL]])</f>
        <v>1</v>
      </c>
      <c r="CC105" s="3">
        <f>+IF(AVANCE[[#This Row],[PINTURA EXTERIOR]]=AO$2,100%,AVANCE[[#This Row],[PINTURA EXTERIOR]])</f>
        <v>1</v>
      </c>
      <c r="CD105" s="3">
        <f>+IF(AVANCE[[#This Row],[ZOCALOS LOGIA]]=AP$2,100%,AVANCE[[#This Row],[ZOCALOS LOGIA]])</f>
        <v>1</v>
      </c>
      <c r="CE105" s="3">
        <f>+IF(AVANCE[[#This Row],[MOLDURAS]]=AQ$2,100%,AVANCE[[#This Row],[MOLDURAS]])</f>
        <v>1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1</v>
      </c>
      <c r="CH105" s="3">
        <f>+IF(AVANCE[[#This Row],[VENTANAS]]=AT$2,100%,AVANCE[[#This Row],[VENTANAS]])</f>
        <v>1</v>
      </c>
      <c r="CI105" s="3">
        <f>+IF(AVANCE[[#This Row],[PUERTAS ACCESO - LOGIA - BANO]]=AU$2,100%,AVANCE[[#This Row],[PUERTAS ACCESO - LOGIA - BANO]])</f>
        <v>1</v>
      </c>
      <c r="CJ105" s="3">
        <f>+IF(AVANCE[[#This Row],[CERRADURAS]]=AV$2,100%,AVANCE[[#This Row],[CERRADURAS]])</f>
        <v>1</v>
      </c>
      <c r="CK105" s="3">
        <f>+IF(AVANCE[[#This Row],[REVESTIMIENTO INTERIOR ZONA SECA]]=AW$2,100%,AVANCE[[#This Row],[REVESTIMIENTO INTERIOR ZONA SECA]])</f>
        <v>1</v>
      </c>
      <c r="CL105" s="3">
        <f>+IF(AVANCE[[#This Row],[REVESTIMIENTO INTERIOR ZONAS HUMEDAS]]=AX$2,100%,AVANCE[[#This Row],[REVESTIMIENTO INTERIOR ZONAS HUMEDAS]])</f>
        <v>1</v>
      </c>
      <c r="CM105" s="3">
        <f>+IF(AVANCE[[#This Row],[MEMBRANA CIELO]]=AY$2,100%,AVANCE[[#This Row],[MEMBRANA CIELO]])</f>
        <v>1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1</v>
      </c>
      <c r="CP105" s="3">
        <f>+IF(AVANCE[[#This Row],[REVESTIMIENTO INTERIOR BANO]]=BB$2,100%,AVANCE[[#This Row],[REVESTIMIENTO INTERIOR BANO]])</f>
        <v>1</v>
      </c>
      <c r="CQ105" s="3">
        <f>+IF(AVANCE[[#This Row],[MUEBLE LAVAPLATOS]]=BC$2,100%,AVANCE[[#This Row],[MUEBLE LAVAPLATOS]])</f>
        <v>1</v>
      </c>
      <c r="CR105" s="3">
        <f>+IF(AVANCE[[#This Row],[IMPERMEABILIZACION BANO - COCINA LOGIA]]=BD$2,100%,AVANCE[[#This Row],[IMPERMEABILIZACION BANO - COCINA LOGIA]])</f>
        <v>1</v>
      </c>
      <c r="CS105" s="40">
        <f ca="1">+IF(AVANCE[[#This Row],[ESTADO MODULO]]="PENDIENTE",(TODAY()-AVANCE[[#This Row],[FECHA TERMINO  PLANIFICADO]]),0)</f>
        <v>8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ELÉCTRICO: CABLEADO, ARTEFACTOS | TERMINACIONES: PILASTREO, LIMPIEZA FINAL</v>
      </c>
      <c r="CU105" s="43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ELÉCTRICO, TERMINACIONES</v>
      </c>
      <c r="CV105" s="44" cm="1">
        <f t="array" ref="CV105">SUMPRODUCT(--(BG105:CR105&lt;1))</f>
        <v>4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0.86499999999999988</v>
      </c>
      <c r="F106" s="1">
        <v>46181</v>
      </c>
      <c r="G106" s="1">
        <v>46189</v>
      </c>
      <c r="H106" s="1">
        <v>46204</v>
      </c>
      <c r="I106" s="1">
        <v>46205</v>
      </c>
      <c r="J106">
        <v>6</v>
      </c>
      <c r="K106" s="1"/>
      <c r="L106" s="3">
        <v>0.43</v>
      </c>
      <c r="M106" s="3">
        <v>1</v>
      </c>
      <c r="N106" s="3">
        <v>0.27906976744186046</v>
      </c>
      <c r="O106" s="3">
        <v>0.18604651162790697</v>
      </c>
      <c r="P106" s="3">
        <v>0.2558139534883721</v>
      </c>
      <c r="Q106" s="3">
        <v>0.18604651162790697</v>
      </c>
      <c r="R106" s="3">
        <v>9.3023255813953487E-2</v>
      </c>
      <c r="S106" s="3">
        <v>0.09</v>
      </c>
      <c r="T106" s="3">
        <v>1</v>
      </c>
      <c r="U106" s="3">
        <v>0.22222222222222221</v>
      </c>
      <c r="V106" s="3">
        <v>0.22222222222222221</v>
      </c>
      <c r="W106" s="3">
        <v>0.1111111111111111</v>
      </c>
      <c r="X106" s="3">
        <v>0.1111111111111111</v>
      </c>
      <c r="Y106" s="3">
        <v>0.1111111111111111</v>
      </c>
      <c r="Z106" s="3">
        <v>0.22222222222222221</v>
      </c>
      <c r="AA106" s="3">
        <v>6.9999999999999993E-2</v>
      </c>
      <c r="AB106" s="3">
        <v>0.63636363636363635</v>
      </c>
      <c r="AC106" s="3">
        <v>0.27272727272727271</v>
      </c>
      <c r="AD106" s="3">
        <v>0</v>
      </c>
      <c r="AE106" s="3">
        <v>0</v>
      </c>
      <c r="AF106" s="3">
        <v>0.18181818181818182</v>
      </c>
      <c r="AG106" s="3">
        <v>0.18181818181818182</v>
      </c>
      <c r="AH106" s="3">
        <v>0.27499999999999991</v>
      </c>
      <c r="AI106" s="3">
        <v>0.74324324324324298</v>
      </c>
      <c r="AJ106" s="3">
        <v>5.4054054054054036E-2</v>
      </c>
      <c r="AK106" s="3">
        <v>5.4054054054054036E-2</v>
      </c>
      <c r="AL106" s="3">
        <v>2.7027027027027018E-2</v>
      </c>
      <c r="AM106" s="3">
        <v>8.1081081081081058E-2</v>
      </c>
      <c r="AN106" s="3">
        <v>8.1081081081081058E-2</v>
      </c>
      <c r="AO106" s="3">
        <v>0</v>
      </c>
      <c r="AP106" s="3">
        <v>5.4054054054054036E-2</v>
      </c>
      <c r="AQ106" s="3">
        <v>0</v>
      </c>
      <c r="AR106" s="3">
        <v>0</v>
      </c>
      <c r="AS106" s="3">
        <v>0</v>
      </c>
      <c r="AT106" s="3">
        <v>8.1081081081081058E-2</v>
      </c>
      <c r="AU106" s="3">
        <v>5.4054054054054036E-2</v>
      </c>
      <c r="AV106" s="3">
        <v>0</v>
      </c>
      <c r="AW106" s="3">
        <v>5.4054054054054036E-2</v>
      </c>
      <c r="AX106" s="3">
        <v>5.4054054054054036E-2</v>
      </c>
      <c r="AY106" s="3">
        <v>2.7027027027027018E-2</v>
      </c>
      <c r="AZ106" s="3">
        <v>0</v>
      </c>
      <c r="BA106" s="3">
        <v>0</v>
      </c>
      <c r="BB106" s="3">
        <v>8.1081081081081058E-2</v>
      </c>
      <c r="BC106" s="3">
        <v>1.3513513513513509E-2</v>
      </c>
      <c r="BD106" s="3">
        <v>2.7027027027027018E-2</v>
      </c>
      <c r="BE106">
        <v>28.87</v>
      </c>
      <c r="BF106" s="3" t="str">
        <f>+IF(AVANCE[[#This Row],[% AVANCE]]=100%,"MODULO TERMINADO",IF(AVANCE[[#This Row],[FECHA INICIO REAL]]="","MODULO NO INICIADO","PENDIENTE"))</f>
        <v>PENDIENTE</v>
      </c>
      <c r="BG106" s="3">
        <f>+IF(AVANCE[[#This Row],[VENTANAS]]=8.10810810810811%,100%,AVANCE[[#This Row],[VENTANAS]])</f>
        <v>1</v>
      </c>
      <c r="BH106" s="3">
        <f>+IF(AVANCE[[#This Row],[PISO]]=N$2,100%,AVANCE[[#This Row],[PISO]])</f>
        <v>1</v>
      </c>
      <c r="BI106" s="3">
        <f>+IF(AVANCE[[#This Row],[TABIQUES]]=O$2,100%,AVANCE[[#This Row],[TABIQUES]])</f>
        <v>1</v>
      </c>
      <c r="BJ106" s="3">
        <f>+IF(AVANCE[[#This Row],[MUROS]]=P$2,100%,AVANCE[[#This Row],[MUROS]])</f>
        <v>1</v>
      </c>
      <c r="BK106" s="3">
        <f>+IF(AVANCE[[#This Row],[CIELO]]=Q$2,100%,AVANCE[[#This Row],[CIELO]])</f>
        <v>1</v>
      </c>
      <c r="BL106" s="3">
        <f>+IF(AVANCE[[#This Row],[BALCÓN]]=R$2,100%,AVANCE[[#This Row],[BALCÓN]])</f>
        <v>1</v>
      </c>
      <c r="BM106" s="3">
        <f>+IF(AVANCE[[#This Row],[RED ALCANTARILLADO]]=U$2,100%,AVANCE[[#This Row],[RED ALCANTARILLADO]])</f>
        <v>1</v>
      </c>
      <c r="BN106" s="3">
        <f>+IF(AVANCE[[#This Row],[RED DE AGUA]]=V$2,100%,AVANCE[[#This Row],[RED DE AGUA]])</f>
        <v>1</v>
      </c>
      <c r="BO106" s="3">
        <f>+IF(AVANCE[[#This Row],[VENTILACIONES]]=W$2,100%,AVANCE[[#This Row],[VENTILACIONES]])</f>
        <v>1</v>
      </c>
      <c r="BP106" s="3">
        <f>+IF(AVANCE[[#This Row],[TINA]]=X$2,100%,AVANCE[[#This Row],[TINA]])</f>
        <v>1</v>
      </c>
      <c r="BQ106" s="3">
        <f>+IF(AVANCE[[#This Row],[WC]]=Y$2,100%,AVANCE[[#This Row],[WC]])</f>
        <v>1</v>
      </c>
      <c r="BR106" s="3">
        <f>+IF(AVANCE[[#This Row],[LAVAMANOS / LAVAPLATOS / LAVADERO]]=Z$2,100%,AVANCE[[#This Row],[LAVAMANOS / LAVAPLATOS / LAVADERO]])</f>
        <v>1</v>
      </c>
      <c r="BS106" s="3">
        <f>+IF(AVANCE[[#This Row],[CANALIZACIÓN]]=AC$2,100%,AVANCE[[#This Row],[CANALIZACIÓN]])</f>
        <v>1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1</v>
      </c>
      <c r="BW106" s="3">
        <f>+IF(AVANCE[[#This Row],[CAJA PAU]]=AG$2,100%,AVANCE[[#This Row],[CAJA PAU]])</f>
        <v>1</v>
      </c>
      <c r="BX106" s="3">
        <f>+IF(AVANCE[[#This Row],[INSTALACION VINILICO]]=AJ$2,100%,AVANCE[[#This Row],[INSTALACION VINILICO]])</f>
        <v>1</v>
      </c>
      <c r="BY106" s="3">
        <f>+IF(AVANCE[[#This Row],[OSB CUBIERTA]]=AK$2,100%,AVANCE[[#This Row],[OSB CUBIERTA]])</f>
        <v>1</v>
      </c>
      <c r="BZ106" s="3">
        <f>+IF(AVANCE[[#This Row],[BARANDA BALCON]]=AL$2,100%,AVANCE[[#This Row],[BARANDA BALCON]])</f>
        <v>1</v>
      </c>
      <c r="CA106" s="3">
        <f>+IF(AVANCE[[#This Row],[OSB EXTERIOR]]=AM$2,100%,AVANCE[[#This Row],[OSB EXTERIOR]])</f>
        <v>1</v>
      </c>
      <c r="CB106" s="3">
        <f>+IF(AVANCE[[#This Row],[SMART PANEL]]=AN$2,100%,AVANCE[[#This Row],[SMART PANEL]])</f>
        <v>1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1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1</v>
      </c>
      <c r="CI106" s="3">
        <f>+IF(AVANCE[[#This Row],[PUERTAS ACCESO - LOGIA - BANO]]=AU$2,100%,AVANCE[[#This Row],[PUERTAS ACCESO - LOGIA - BANO]])</f>
        <v>1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1</v>
      </c>
      <c r="CL106" s="3">
        <f>+IF(AVANCE[[#This Row],[REVESTIMIENTO INTERIOR ZONAS HUMEDAS]]=AX$2,100%,AVANCE[[#This Row],[REVESTIMIENTO INTERIOR ZONAS HUMEDAS]])</f>
        <v>1</v>
      </c>
      <c r="CM106" s="3">
        <f>+IF(AVANCE[[#This Row],[MEMBRANA CIELO]]=AY$2,100%,AVANCE[[#This Row],[MEMBRANA CIELO]])</f>
        <v>1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1</v>
      </c>
      <c r="CQ106" s="3">
        <f>+IF(AVANCE[[#This Row],[MUEBLE LAVAPLATOS]]=BC$2,100%,AVANCE[[#This Row],[MUEBLE LAVAPLATOS]])</f>
        <v>1</v>
      </c>
      <c r="CR106" s="3">
        <f>+IF(AVANCE[[#This Row],[IMPERMEABILIZACION BANO - COCINA LOGIA]]=BD$2,100%,AVANCE[[#This Row],[IMPERMEABILIZACION BANO - COCINA LOGIA]])</f>
        <v>1</v>
      </c>
      <c r="CS106" s="40">
        <f ca="1">+IF(AVANCE[[#This Row],[ESTADO MODULO]]="PENDIENTE",(TODAY()-AVANCE[[#This Row],[FECHA TERMINO  PLANIFICADO]]),0)</f>
        <v>5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ELÉCTRICO: CABLEADO, ARTEFACTOS | TERMINACIONES: PINTURA EXTERIOR, MOLDURAS, PILASTREO, CELOSIAS, CERRADURAS, LIMPIEZA FINAL, PUERTAS DORMITORIO</v>
      </c>
      <c r="CU106" s="43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ELÉCTRICO, TERMINACIONES</v>
      </c>
      <c r="CV106" s="44" cm="1">
        <f t="array" ref="CV106">SUMPRODUCT(--(BG106:CR106&lt;1))</f>
        <v>9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0.54999999999999993</v>
      </c>
      <c r="F107" s="1">
        <v>46181</v>
      </c>
      <c r="G107" s="1">
        <v>46190</v>
      </c>
      <c r="H107" s="1">
        <v>46205</v>
      </c>
      <c r="I107" s="1">
        <v>46215</v>
      </c>
      <c r="J107">
        <v>5</v>
      </c>
      <c r="K107" s="1"/>
      <c r="L107" s="3">
        <v>0.43</v>
      </c>
      <c r="M107" s="3">
        <v>1</v>
      </c>
      <c r="N107" s="3">
        <v>0.27906976744186046</v>
      </c>
      <c r="O107" s="3">
        <v>0.18604651162790697</v>
      </c>
      <c r="P107" s="3">
        <v>0.2558139534883721</v>
      </c>
      <c r="Q107" s="3">
        <v>0.18604651162790697</v>
      </c>
      <c r="R107" s="3">
        <v>9.3023255813953487E-2</v>
      </c>
      <c r="S107" s="3">
        <v>1.9999999999999997E-2</v>
      </c>
      <c r="T107" s="3">
        <v>0.22222222222222221</v>
      </c>
      <c r="U107" s="3">
        <v>0</v>
      </c>
      <c r="V107" s="3">
        <v>0.22222222222222221</v>
      </c>
      <c r="W107" s="3">
        <v>0</v>
      </c>
      <c r="X107" s="3">
        <v>0</v>
      </c>
      <c r="Y107" s="3">
        <v>0</v>
      </c>
      <c r="Z107" s="3">
        <v>0</v>
      </c>
      <c r="AA107" s="3">
        <v>0.03</v>
      </c>
      <c r="AB107" s="3">
        <v>0.27272727272727271</v>
      </c>
      <c r="AC107" s="3">
        <v>0.27272727272727271</v>
      </c>
      <c r="AD107" s="3">
        <v>0</v>
      </c>
      <c r="AE107" s="3">
        <v>0</v>
      </c>
      <c r="AF107" s="3">
        <v>0</v>
      </c>
      <c r="AG107" s="3">
        <v>0</v>
      </c>
      <c r="AH107" s="3">
        <v>6.9999999999999979E-2</v>
      </c>
      <c r="AI107" s="3">
        <v>0.18918918918918914</v>
      </c>
      <c r="AJ107" s="3">
        <v>0</v>
      </c>
      <c r="AK107" s="3">
        <v>5.4054054054054036E-2</v>
      </c>
      <c r="AL107" s="3">
        <v>0</v>
      </c>
      <c r="AM107" s="3">
        <v>8.1081081081081058E-2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2.7027027027027018E-2</v>
      </c>
      <c r="AZ107" s="3">
        <v>0</v>
      </c>
      <c r="BA107" s="3">
        <v>0</v>
      </c>
      <c r="BB107" s="3">
        <v>0</v>
      </c>
      <c r="BC107" s="3">
        <v>0</v>
      </c>
      <c r="BD107" s="3">
        <v>2.7027027027027018E-2</v>
      </c>
      <c r="BE107">
        <v>31.32</v>
      </c>
      <c r="BF107" s="3" t="str">
        <f>+IF(AVANCE[[#This Row],[% AVANCE]]=100%,"MODULO TERMINADO",IF(AVANCE[[#This Row],[FECHA INICIO REAL]]="","MODULO NO INICIADO","PENDIENTE"))</f>
        <v>PENDIENTE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1</v>
      </c>
      <c r="BI107" s="3">
        <f>+IF(AVANCE[[#This Row],[TABIQUES]]=O$2,100%,AVANCE[[#This Row],[TABIQUES]])</f>
        <v>1</v>
      </c>
      <c r="BJ107" s="3">
        <f>+IF(AVANCE[[#This Row],[MUROS]]=P$2,100%,AVANCE[[#This Row],[MUROS]])</f>
        <v>1</v>
      </c>
      <c r="BK107" s="3">
        <f>+IF(AVANCE[[#This Row],[CIELO]]=Q$2,100%,AVANCE[[#This Row],[CIELO]])</f>
        <v>1</v>
      </c>
      <c r="BL107" s="3">
        <f>+IF(AVANCE[[#This Row],[BALCÓN]]=R$2,100%,AVANCE[[#This Row],[BALCÓN]])</f>
        <v>1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1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1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1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1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1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1</v>
      </c>
      <c r="CS107" s="40">
        <f ca="1">+IF(AVANCE[[#This Row],[ESTADO MODULO]]="PENDIENTE",(TODAY()-AVANCE[[#This Row],[FECHA TERMINO  PLANIFICADO]]),0)</f>
        <v>-5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</v>
      </c>
      <c r="CU107" s="43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SANITARIOS, ELÉCTRICO, TERMINACIONES</v>
      </c>
      <c r="CV107" s="44" cm="1">
        <f t="array" ref="CV107">SUMPRODUCT(--(BG107:CR107&lt;1))</f>
        <v>27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0.55999999999999994</v>
      </c>
      <c r="F108" s="1">
        <v>46182</v>
      </c>
      <c r="G108" s="1">
        <v>46196</v>
      </c>
      <c r="H108" s="1">
        <v>46205</v>
      </c>
      <c r="I108" s="1">
        <v>46216</v>
      </c>
      <c r="J108">
        <v>5</v>
      </c>
      <c r="K108" s="1"/>
      <c r="L108" s="3">
        <v>0.43</v>
      </c>
      <c r="M108" s="3">
        <v>1</v>
      </c>
      <c r="N108" s="3">
        <v>0.27906976744186046</v>
      </c>
      <c r="O108" s="3">
        <v>0.18604651162790697</v>
      </c>
      <c r="P108" s="3">
        <v>0.2558139534883721</v>
      </c>
      <c r="Q108" s="3">
        <v>0.18604651162790697</v>
      </c>
      <c r="R108" s="3">
        <v>9.3023255813953487E-2</v>
      </c>
      <c r="S108" s="3">
        <v>3.9999999999999994E-2</v>
      </c>
      <c r="T108" s="3">
        <v>0.44444444444444442</v>
      </c>
      <c r="U108" s="3">
        <v>0.22222222222222221</v>
      </c>
      <c r="V108" s="3">
        <v>0.22222222222222221</v>
      </c>
      <c r="W108" s="3">
        <v>0</v>
      </c>
      <c r="X108" s="3">
        <v>0</v>
      </c>
      <c r="Y108" s="3">
        <v>0</v>
      </c>
      <c r="Z108" s="3">
        <v>0</v>
      </c>
      <c r="AA108" s="3">
        <v>0.03</v>
      </c>
      <c r="AB108" s="3">
        <v>0.27272727272727271</v>
      </c>
      <c r="AC108" s="3">
        <v>0.27272727272727271</v>
      </c>
      <c r="AD108" s="3">
        <v>0</v>
      </c>
      <c r="AE108" s="3">
        <v>0</v>
      </c>
      <c r="AF108" s="3">
        <v>0</v>
      </c>
      <c r="AG108" s="3">
        <v>0</v>
      </c>
      <c r="AH108" s="3">
        <v>5.9999999999999984E-2</v>
      </c>
      <c r="AI108" s="3">
        <v>0.16216216216216212</v>
      </c>
      <c r="AJ108" s="3">
        <v>0</v>
      </c>
      <c r="AK108" s="3">
        <v>5.4054054054054036E-2</v>
      </c>
      <c r="AL108" s="3">
        <v>0</v>
      </c>
      <c r="AM108" s="3">
        <v>8.1081081081081058E-2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2.7027027027027018E-2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PENDIENTE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1</v>
      </c>
      <c r="BI108" s="3">
        <f>+IF(AVANCE[[#This Row],[TABIQUES]]=O$2,100%,AVANCE[[#This Row],[TABIQUES]])</f>
        <v>1</v>
      </c>
      <c r="BJ108" s="3">
        <f>+IF(AVANCE[[#This Row],[MUROS]]=P$2,100%,AVANCE[[#This Row],[MUROS]])</f>
        <v>1</v>
      </c>
      <c r="BK108" s="3">
        <f>+IF(AVANCE[[#This Row],[CIELO]]=Q$2,100%,AVANCE[[#This Row],[CIELO]])</f>
        <v>1</v>
      </c>
      <c r="BL108" s="3">
        <f>+IF(AVANCE[[#This Row],[BALCÓN]]=R$2,100%,AVANCE[[#This Row],[BALCÓN]])</f>
        <v>1</v>
      </c>
      <c r="BM108" s="3">
        <f>+IF(AVANCE[[#This Row],[RED ALCANTARILLADO]]=U$2,100%,AVANCE[[#This Row],[RED ALCANTARILLADO]])</f>
        <v>1</v>
      </c>
      <c r="BN108" s="3">
        <f>+IF(AVANCE[[#This Row],[RED DE AGUA]]=V$2,100%,AVANCE[[#This Row],[RED DE AGUA]])</f>
        <v>1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1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1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1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1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-6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08" s="43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SANITARIOS, ELÉCTRICO, TERMINACIONES</v>
      </c>
      <c r="CV108" s="44" cm="1">
        <f t="array" ref="CV108">SUMPRODUCT(--(BG108:CR108&lt;1))</f>
        <v>27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0.77499999999999991</v>
      </c>
      <c r="F109" s="1">
        <v>46182</v>
      </c>
      <c r="G109" s="1">
        <v>46196</v>
      </c>
      <c r="H109" s="1">
        <v>46203</v>
      </c>
      <c r="I109" s="1">
        <v>46206</v>
      </c>
      <c r="J109">
        <v>7</v>
      </c>
      <c r="K109" s="1"/>
      <c r="L109" s="3">
        <v>0.43</v>
      </c>
      <c r="M109" s="3">
        <v>1</v>
      </c>
      <c r="N109" s="3">
        <v>0.27906976744186046</v>
      </c>
      <c r="O109" s="3">
        <v>0.18604651162790697</v>
      </c>
      <c r="P109" s="3">
        <v>0.2558139534883721</v>
      </c>
      <c r="Q109" s="3">
        <v>0.18604651162790697</v>
      </c>
      <c r="R109" s="3">
        <v>9.3023255813953487E-2</v>
      </c>
      <c r="S109" s="3">
        <v>0.09</v>
      </c>
      <c r="T109" s="3">
        <v>1</v>
      </c>
      <c r="U109" s="3">
        <v>0.22222222222222221</v>
      </c>
      <c r="V109" s="3">
        <v>0.22222222222222221</v>
      </c>
      <c r="W109" s="3">
        <v>0.1111111111111111</v>
      </c>
      <c r="X109" s="3">
        <v>0.1111111111111111</v>
      </c>
      <c r="Y109" s="3">
        <v>0.1111111111111111</v>
      </c>
      <c r="Z109" s="3">
        <v>0.22222222222222221</v>
      </c>
      <c r="AA109" s="3">
        <v>6.9999999999999993E-2</v>
      </c>
      <c r="AB109" s="3">
        <v>0.63636363636363635</v>
      </c>
      <c r="AC109" s="3">
        <v>0.27272727272727271</v>
      </c>
      <c r="AD109" s="3">
        <v>0</v>
      </c>
      <c r="AE109" s="3">
        <v>0</v>
      </c>
      <c r="AF109" s="3">
        <v>0.18181818181818182</v>
      </c>
      <c r="AG109" s="3">
        <v>0.18181818181818182</v>
      </c>
      <c r="AH109" s="3">
        <v>0.18499999999999994</v>
      </c>
      <c r="AI109" s="3">
        <v>0.49999999999999983</v>
      </c>
      <c r="AJ109" s="3">
        <v>5.4054054054054036E-2</v>
      </c>
      <c r="AK109" s="3">
        <v>5.4054054054054036E-2</v>
      </c>
      <c r="AL109" s="3">
        <v>0</v>
      </c>
      <c r="AM109" s="3">
        <v>8.1081081081081058E-2</v>
      </c>
      <c r="AN109" s="3">
        <v>0</v>
      </c>
      <c r="AO109" s="3">
        <v>0</v>
      </c>
      <c r="AP109" s="3">
        <v>5.4054054054054036E-2</v>
      </c>
      <c r="AQ109" s="3">
        <v>0</v>
      </c>
      <c r="AR109" s="3">
        <v>0</v>
      </c>
      <c r="AS109" s="3">
        <v>0</v>
      </c>
      <c r="AT109" s="3">
        <v>0</v>
      </c>
      <c r="AU109" s="3">
        <v>5.4054054054054036E-2</v>
      </c>
      <c r="AV109" s="3">
        <v>0</v>
      </c>
      <c r="AW109" s="3">
        <v>0</v>
      </c>
      <c r="AX109" s="3">
        <v>5.4054054054054036E-2</v>
      </c>
      <c r="AY109" s="3">
        <v>2.7027027027027018E-2</v>
      </c>
      <c r="AZ109" s="3">
        <v>0</v>
      </c>
      <c r="BA109" s="3">
        <v>0</v>
      </c>
      <c r="BB109" s="3">
        <v>8.1081081081081058E-2</v>
      </c>
      <c r="BC109" s="3">
        <v>1.3513513513513509E-2</v>
      </c>
      <c r="BD109" s="3">
        <v>2.7027027027027018E-2</v>
      </c>
      <c r="BE109">
        <v>28.87</v>
      </c>
      <c r="BF109" s="3" t="str">
        <f>+IF(AVANCE[[#This Row],[% AVANCE]]=100%,"MODULO TERMINADO",IF(AVANCE[[#This Row],[FECHA INICIO REAL]]="","MODULO NO INICIADO","PENDIENTE"))</f>
        <v>PENDIENTE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1</v>
      </c>
      <c r="BI109" s="3">
        <f>+IF(AVANCE[[#This Row],[TABIQUES]]=O$2,100%,AVANCE[[#This Row],[TABIQUES]])</f>
        <v>1</v>
      </c>
      <c r="BJ109" s="3">
        <f>+IF(AVANCE[[#This Row],[MUROS]]=P$2,100%,AVANCE[[#This Row],[MUROS]])</f>
        <v>1</v>
      </c>
      <c r="BK109" s="3">
        <f>+IF(AVANCE[[#This Row],[CIELO]]=Q$2,100%,AVANCE[[#This Row],[CIELO]])</f>
        <v>1</v>
      </c>
      <c r="BL109" s="3">
        <f>+IF(AVANCE[[#This Row],[BALCÓN]]=R$2,100%,AVANCE[[#This Row],[BALCÓN]])</f>
        <v>1</v>
      </c>
      <c r="BM109" s="3">
        <f>+IF(AVANCE[[#This Row],[RED ALCANTARILLADO]]=U$2,100%,AVANCE[[#This Row],[RED ALCANTARILLADO]])</f>
        <v>1</v>
      </c>
      <c r="BN109" s="3">
        <f>+IF(AVANCE[[#This Row],[RED DE AGUA]]=V$2,100%,AVANCE[[#This Row],[RED DE AGUA]])</f>
        <v>1</v>
      </c>
      <c r="BO109" s="3">
        <f>+IF(AVANCE[[#This Row],[VENTILACIONES]]=W$2,100%,AVANCE[[#This Row],[VENTILACIONES]])</f>
        <v>1</v>
      </c>
      <c r="BP109" s="3">
        <f>+IF(AVANCE[[#This Row],[TINA]]=X$2,100%,AVANCE[[#This Row],[TINA]])</f>
        <v>1</v>
      </c>
      <c r="BQ109" s="3">
        <f>+IF(AVANCE[[#This Row],[WC]]=Y$2,100%,AVANCE[[#This Row],[WC]])</f>
        <v>1</v>
      </c>
      <c r="BR109" s="3">
        <f>+IF(AVANCE[[#This Row],[LAVAMANOS / LAVAPLATOS / LAVADERO]]=Z$2,100%,AVANCE[[#This Row],[LAVAMANOS / LAVAPLATOS / LAVADERO]])</f>
        <v>1</v>
      </c>
      <c r="BS109" s="3">
        <f>+IF(AVANCE[[#This Row],[CANALIZACIÓN]]=AC$2,100%,AVANCE[[#This Row],[CANALIZACIÓN]])</f>
        <v>1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1</v>
      </c>
      <c r="BW109" s="3">
        <f>+IF(AVANCE[[#This Row],[CAJA PAU]]=AG$2,100%,AVANCE[[#This Row],[CAJA PAU]])</f>
        <v>1</v>
      </c>
      <c r="BX109" s="3">
        <f>+IF(AVANCE[[#This Row],[INSTALACION VINILICO]]=AJ$2,100%,AVANCE[[#This Row],[INSTALACION VINILICO]])</f>
        <v>1</v>
      </c>
      <c r="BY109" s="3">
        <f>+IF(AVANCE[[#This Row],[OSB CUBIERTA]]=AK$2,100%,AVANCE[[#This Row],[OSB CUBIERTA]])</f>
        <v>1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1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1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1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1</v>
      </c>
      <c r="CM109" s="3">
        <f>+IF(AVANCE[[#This Row],[MEMBRANA CIELO]]=AY$2,100%,AVANCE[[#This Row],[MEMBRANA CIELO]])</f>
        <v>1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1</v>
      </c>
      <c r="CQ109" s="3">
        <f>+IF(AVANCE[[#This Row],[MUEBLE LAVAPLATOS]]=BC$2,100%,AVANCE[[#This Row],[MUEBLE LAVAPLATOS]])</f>
        <v>1</v>
      </c>
      <c r="CR109" s="3">
        <f>+IF(AVANCE[[#This Row],[IMPERMEABILIZACION BANO - COCINA LOGIA]]=BD$2,100%,AVANCE[[#This Row],[IMPERMEABILIZACION BANO - COCINA LOGIA]])</f>
        <v>1</v>
      </c>
      <c r="CS109" s="40">
        <f ca="1">+IF(AVANCE[[#This Row],[ESTADO MODULO]]="PENDIENTE",(TODAY()-AVANCE[[#This Row],[FECHA TERMINO  PLANIFICADO]]),0)</f>
        <v>4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ELÉCTRICO: CABLEADO, ARTEFACTOS | TERMINACIONES: VENTANAS, BARANDA BALCON, SMART PANEL, PINTURA EXTERIOR, MOLDURAS, PILASTREO, CELOSIAS, VENTANAS (TERM), CERRADURAS, REVESTIMIENTO INTERIOR ZONA SECA, LIMPIEZA FINAL, PUERTAS DORMITORIO</v>
      </c>
      <c r="CU109" s="43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ELÉCTRICO, TERMINACIONES</v>
      </c>
      <c r="CV109" s="44" cm="1">
        <f t="array" ref="CV109">SUMPRODUCT(--(BG109:CR109&lt;1))</f>
        <v>14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0.74499999999999988</v>
      </c>
      <c r="F110" s="1">
        <v>46183</v>
      </c>
      <c r="G110" s="1">
        <v>46196</v>
      </c>
      <c r="H110" s="1">
        <v>46206</v>
      </c>
      <c r="I110" s="1">
        <v>46207</v>
      </c>
      <c r="J110">
        <v>4</v>
      </c>
      <c r="K110" s="1"/>
      <c r="L110" s="3">
        <v>0.38999999999999996</v>
      </c>
      <c r="M110" s="3">
        <v>0.90697674418604646</v>
      </c>
      <c r="N110" s="3">
        <v>0.27906976744186046</v>
      </c>
      <c r="O110" s="3">
        <v>0.18604651162790697</v>
      </c>
      <c r="P110" s="3">
        <v>0.2558139534883721</v>
      </c>
      <c r="Q110" s="3">
        <v>0.18604651162790697</v>
      </c>
      <c r="R110" s="3">
        <v>0</v>
      </c>
      <c r="S110" s="3">
        <v>0.09</v>
      </c>
      <c r="T110" s="3">
        <v>1</v>
      </c>
      <c r="U110" s="3">
        <v>0.22222222222222221</v>
      </c>
      <c r="V110" s="3">
        <v>0.22222222222222221</v>
      </c>
      <c r="W110" s="3">
        <v>0.1111111111111111</v>
      </c>
      <c r="X110" s="3">
        <v>0.1111111111111111</v>
      </c>
      <c r="Y110" s="3">
        <v>0.1111111111111111</v>
      </c>
      <c r="Z110" s="3">
        <v>0.22222222222222221</v>
      </c>
      <c r="AA110" s="3">
        <v>6.9999999999999993E-2</v>
      </c>
      <c r="AB110" s="3">
        <v>0.63636363636363635</v>
      </c>
      <c r="AC110" s="3">
        <v>0.27272727272727271</v>
      </c>
      <c r="AD110" s="3">
        <v>0</v>
      </c>
      <c r="AE110" s="3">
        <v>0</v>
      </c>
      <c r="AF110" s="3">
        <v>0.18181818181818182</v>
      </c>
      <c r="AG110" s="3">
        <v>0.18181818181818182</v>
      </c>
      <c r="AH110" s="3">
        <v>0.19499999999999992</v>
      </c>
      <c r="AI110" s="3">
        <v>0.52702702702702686</v>
      </c>
      <c r="AJ110" s="3">
        <v>5.4054054054054036E-2</v>
      </c>
      <c r="AK110" s="3">
        <v>5.4054054054054036E-2</v>
      </c>
      <c r="AL110" s="3">
        <v>2.7027027027027018E-2</v>
      </c>
      <c r="AM110" s="3">
        <v>8.1081081081081058E-2</v>
      </c>
      <c r="AN110" s="3">
        <v>0</v>
      </c>
      <c r="AO110" s="3">
        <v>0</v>
      </c>
      <c r="AP110" s="3">
        <v>5.4054054054054036E-2</v>
      </c>
      <c r="AQ110" s="3">
        <v>0</v>
      </c>
      <c r="AR110" s="3">
        <v>0</v>
      </c>
      <c r="AS110" s="3">
        <v>0</v>
      </c>
      <c r="AT110" s="3">
        <v>0</v>
      </c>
      <c r="AU110" s="3">
        <v>5.4054054054054036E-2</v>
      </c>
      <c r="AV110" s="3">
        <v>0</v>
      </c>
      <c r="AW110" s="3">
        <v>0</v>
      </c>
      <c r="AX110" s="3">
        <v>5.4054054054054036E-2</v>
      </c>
      <c r="AY110" s="3">
        <v>2.7027027027027018E-2</v>
      </c>
      <c r="AZ110" s="3">
        <v>0</v>
      </c>
      <c r="BA110" s="3">
        <v>0</v>
      </c>
      <c r="BB110" s="3">
        <v>8.1081081081081058E-2</v>
      </c>
      <c r="BC110" s="3">
        <v>1.3513513513513509E-2</v>
      </c>
      <c r="BD110" s="3">
        <v>2.7027027027027018E-2</v>
      </c>
      <c r="BE110">
        <v>28.87</v>
      </c>
      <c r="BF110" s="3" t="str">
        <f>+IF(AVANCE[[#This Row],[% AVANCE]]=100%,"MODULO TERMINADO",IF(AVANCE[[#This Row],[FECHA INICIO REAL]]="","MODULO NO INICIADO","PENDIENTE"))</f>
        <v>PENDIENTE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1</v>
      </c>
      <c r="BI110" s="3">
        <f>+IF(AVANCE[[#This Row],[TABIQUES]]=O$2,100%,AVANCE[[#This Row],[TABIQUES]])</f>
        <v>1</v>
      </c>
      <c r="BJ110" s="3">
        <f>+IF(AVANCE[[#This Row],[MUROS]]=P$2,100%,AVANCE[[#This Row],[MUROS]])</f>
        <v>1</v>
      </c>
      <c r="BK110" s="3">
        <f>+IF(AVANCE[[#This Row],[CIELO]]=Q$2,100%,AVANCE[[#This Row],[CIELO]])</f>
        <v>1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1</v>
      </c>
      <c r="BN110" s="3">
        <f>+IF(AVANCE[[#This Row],[RED DE AGUA]]=V$2,100%,AVANCE[[#This Row],[RED DE AGUA]])</f>
        <v>1</v>
      </c>
      <c r="BO110" s="3">
        <f>+IF(AVANCE[[#This Row],[VENTILACIONES]]=W$2,100%,AVANCE[[#This Row],[VENTILACIONES]])</f>
        <v>1</v>
      </c>
      <c r="BP110" s="3">
        <f>+IF(AVANCE[[#This Row],[TINA]]=X$2,100%,AVANCE[[#This Row],[TINA]])</f>
        <v>1</v>
      </c>
      <c r="BQ110" s="3">
        <f>+IF(AVANCE[[#This Row],[WC]]=Y$2,100%,AVANCE[[#This Row],[WC]])</f>
        <v>1</v>
      </c>
      <c r="BR110" s="3">
        <f>+IF(AVANCE[[#This Row],[LAVAMANOS / LAVAPLATOS / LAVADERO]]=Z$2,100%,AVANCE[[#This Row],[LAVAMANOS / LAVAPLATOS / LAVADERO]])</f>
        <v>1</v>
      </c>
      <c r="BS110" s="3">
        <f>+IF(AVANCE[[#This Row],[CANALIZACIÓN]]=AC$2,100%,AVANCE[[#This Row],[CANALIZACIÓN]])</f>
        <v>1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1</v>
      </c>
      <c r="BW110" s="3">
        <f>+IF(AVANCE[[#This Row],[CAJA PAU]]=AG$2,100%,AVANCE[[#This Row],[CAJA PAU]])</f>
        <v>1</v>
      </c>
      <c r="BX110" s="3">
        <f>+IF(AVANCE[[#This Row],[INSTALACION VINILICO]]=AJ$2,100%,AVANCE[[#This Row],[INSTALACION VINILICO]])</f>
        <v>1</v>
      </c>
      <c r="BY110" s="3">
        <f>+IF(AVANCE[[#This Row],[OSB CUBIERTA]]=AK$2,100%,AVANCE[[#This Row],[OSB CUBIERTA]])</f>
        <v>1</v>
      </c>
      <c r="BZ110" s="3">
        <f>+IF(AVANCE[[#This Row],[BARANDA BALCON]]=AL$2,100%,AVANCE[[#This Row],[BARANDA BALCON]])</f>
        <v>1</v>
      </c>
      <c r="CA110" s="3">
        <f>+IF(AVANCE[[#This Row],[OSB EXTERIOR]]=AM$2,100%,AVANCE[[#This Row],[OSB EXTERIOR]])</f>
        <v>1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1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1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1</v>
      </c>
      <c r="CM110" s="3">
        <f>+IF(AVANCE[[#This Row],[MEMBRANA CIELO]]=AY$2,100%,AVANCE[[#This Row],[MEMBRANA CIELO]])</f>
        <v>1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1</v>
      </c>
      <c r="CQ110" s="3">
        <f>+IF(AVANCE[[#This Row],[MUEBLE LAVAPLATOS]]=BC$2,100%,AVANCE[[#This Row],[MUEBLE LAVAPLATOS]])</f>
        <v>1</v>
      </c>
      <c r="CR110" s="3">
        <f>+IF(AVANCE[[#This Row],[IMPERMEABILIZACION BANO - COCINA LOGIA]]=BD$2,100%,AVANCE[[#This Row],[IMPERMEABILIZACION BANO - COCINA LOGIA]])</f>
        <v>1</v>
      </c>
      <c r="CS110" s="40">
        <f ca="1">+IF(AVANCE[[#This Row],[ESTADO MODULO]]="PENDIENTE",(TODAY()-AVANCE[[#This Row],[FECHA TERMINO  PLANIFICADO]]),0)</f>
        <v>3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BALCÓN | ELÉCTRICO: CABLEADO, ARTEFACTOS | TERMINACIONES: VENTANAS, SMART PANEL, PINTURA EXTERIOR, MOLDURAS, PILASTREO, CELOSIAS, VENTANAS (TERM), CERRADURAS, REVESTIMIENTO INTERIOR ZONA SECA, LIMPIEZA FINAL, PUERTAS DORMITORIO</v>
      </c>
      <c r="CU110" s="43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ELÉCTRICO, TERMINACIONES</v>
      </c>
      <c r="CV110" s="44" cm="1">
        <f t="array" ref="CV110">SUMPRODUCT(--(BG110:CR110&lt;1))</f>
        <v>14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0.55999999999999994</v>
      </c>
      <c r="F111" s="1">
        <v>46183</v>
      </c>
      <c r="G111" s="1">
        <v>46197</v>
      </c>
      <c r="H111" s="1">
        <v>46204</v>
      </c>
      <c r="I111" s="1">
        <v>46217</v>
      </c>
      <c r="J111">
        <v>6</v>
      </c>
      <c r="K111" s="1"/>
      <c r="L111" s="3">
        <v>0.43</v>
      </c>
      <c r="M111" s="3">
        <v>1</v>
      </c>
      <c r="N111" s="3">
        <v>0.27906976744186046</v>
      </c>
      <c r="O111" s="3">
        <v>0.18604651162790697</v>
      </c>
      <c r="P111" s="3">
        <v>0.2558139534883721</v>
      </c>
      <c r="Q111" s="3">
        <v>0.18604651162790697</v>
      </c>
      <c r="R111" s="3">
        <v>9.3023255813953487E-2</v>
      </c>
      <c r="S111" s="3">
        <v>3.9999999999999994E-2</v>
      </c>
      <c r="T111" s="3">
        <v>0.44444444444444442</v>
      </c>
      <c r="U111" s="3">
        <v>0.22222222222222221</v>
      </c>
      <c r="V111" s="3">
        <v>0.22222222222222221</v>
      </c>
      <c r="W111" s="3">
        <v>0</v>
      </c>
      <c r="X111" s="3">
        <v>0</v>
      </c>
      <c r="Y111" s="3">
        <v>0</v>
      </c>
      <c r="Z111" s="3">
        <v>0</v>
      </c>
      <c r="AA111" s="3">
        <v>0.03</v>
      </c>
      <c r="AB111" s="3">
        <v>0.27272727272727271</v>
      </c>
      <c r="AC111" s="3">
        <v>0.27272727272727271</v>
      </c>
      <c r="AD111" s="3">
        <v>0</v>
      </c>
      <c r="AE111" s="3">
        <v>0</v>
      </c>
      <c r="AF111" s="3">
        <v>0</v>
      </c>
      <c r="AG111" s="3">
        <v>0</v>
      </c>
      <c r="AH111" s="3">
        <v>5.9999999999999984E-2</v>
      </c>
      <c r="AI111" s="3">
        <v>0.16216216216216212</v>
      </c>
      <c r="AJ111" s="3">
        <v>0</v>
      </c>
      <c r="AK111" s="3">
        <v>5.4054054054054036E-2</v>
      </c>
      <c r="AL111" s="3">
        <v>0</v>
      </c>
      <c r="AM111" s="3">
        <v>8.1081081081081058E-2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2.7027027027027018E-2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PENDIENTE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1</v>
      </c>
      <c r="BI111" s="3">
        <f>+IF(AVANCE[[#This Row],[TABIQUES]]=O$2,100%,AVANCE[[#This Row],[TABIQUES]])</f>
        <v>1</v>
      </c>
      <c r="BJ111" s="3">
        <f>+IF(AVANCE[[#This Row],[MUROS]]=P$2,100%,AVANCE[[#This Row],[MUROS]])</f>
        <v>1</v>
      </c>
      <c r="BK111" s="3">
        <f>+IF(AVANCE[[#This Row],[CIELO]]=Q$2,100%,AVANCE[[#This Row],[CIELO]])</f>
        <v>1</v>
      </c>
      <c r="BL111" s="3">
        <f>+IF(AVANCE[[#This Row],[BALCÓN]]=R$2,100%,AVANCE[[#This Row],[BALCÓN]])</f>
        <v>1</v>
      </c>
      <c r="BM111" s="3">
        <f>+IF(AVANCE[[#This Row],[RED ALCANTARILLADO]]=U$2,100%,AVANCE[[#This Row],[RED ALCANTARILLADO]])</f>
        <v>1</v>
      </c>
      <c r="BN111" s="3">
        <f>+IF(AVANCE[[#This Row],[RED DE AGUA]]=V$2,100%,AVANCE[[#This Row],[RED DE AGUA]])</f>
        <v>1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1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1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1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1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-7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1" s="43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SANITARIOS, ELÉCTRICO, TERMINACIONES</v>
      </c>
      <c r="CV111" s="44" cm="1">
        <f t="array" ref="CV111">SUMPRODUCT(--(BG111:CR111&lt;1))</f>
        <v>27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0.53999999999999992</v>
      </c>
      <c r="F112" s="1">
        <v>46184</v>
      </c>
      <c r="G112" s="1">
        <v>46190</v>
      </c>
      <c r="H112" s="1">
        <v>46198</v>
      </c>
      <c r="I112" s="1">
        <v>46218</v>
      </c>
      <c r="J112">
        <v>12</v>
      </c>
      <c r="K112" s="1"/>
      <c r="L112" s="3">
        <v>0.43</v>
      </c>
      <c r="M112" s="3">
        <v>1</v>
      </c>
      <c r="N112" s="3">
        <v>0.27906976744186046</v>
      </c>
      <c r="O112" s="3">
        <v>0.18604651162790697</v>
      </c>
      <c r="P112" s="3">
        <v>0.2558139534883721</v>
      </c>
      <c r="Q112" s="3">
        <v>0.18604651162790697</v>
      </c>
      <c r="R112" s="3">
        <v>9.3023255813953487E-2</v>
      </c>
      <c r="S112" s="3">
        <v>1.9999999999999997E-2</v>
      </c>
      <c r="T112" s="3">
        <v>0.22222222222222221</v>
      </c>
      <c r="U112" s="3">
        <v>0</v>
      </c>
      <c r="V112" s="3">
        <v>0.22222222222222221</v>
      </c>
      <c r="W112" s="3">
        <v>0</v>
      </c>
      <c r="X112" s="3">
        <v>0</v>
      </c>
      <c r="Y112" s="3">
        <v>0</v>
      </c>
      <c r="Z112" s="3">
        <v>0</v>
      </c>
      <c r="AA112" s="3">
        <v>0.03</v>
      </c>
      <c r="AB112" s="3">
        <v>0.27272727272727271</v>
      </c>
      <c r="AC112" s="3">
        <v>0.27272727272727271</v>
      </c>
      <c r="AD112" s="3">
        <v>0</v>
      </c>
      <c r="AE112" s="3">
        <v>0</v>
      </c>
      <c r="AF112" s="3">
        <v>0</v>
      </c>
      <c r="AG112" s="3">
        <v>0</v>
      </c>
      <c r="AH112" s="3">
        <v>5.9999999999999984E-2</v>
      </c>
      <c r="AI112" s="3">
        <v>0.16216216216216212</v>
      </c>
      <c r="AJ112" s="3">
        <v>0</v>
      </c>
      <c r="AK112" s="3">
        <v>5.4054054054054036E-2</v>
      </c>
      <c r="AL112" s="3">
        <v>0</v>
      </c>
      <c r="AM112" s="3">
        <v>8.1081081081081058E-2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2.7027027027027018E-2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PENDIENTE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1</v>
      </c>
      <c r="BI112" s="3">
        <f>+IF(AVANCE[[#This Row],[TABIQUES]]=O$2,100%,AVANCE[[#This Row],[TABIQUES]])</f>
        <v>1</v>
      </c>
      <c r="BJ112" s="3">
        <f>+IF(AVANCE[[#This Row],[MUROS]]=P$2,100%,AVANCE[[#This Row],[MUROS]])</f>
        <v>1</v>
      </c>
      <c r="BK112" s="3">
        <f>+IF(AVANCE[[#This Row],[CIELO]]=Q$2,100%,AVANCE[[#This Row],[CIELO]])</f>
        <v>1</v>
      </c>
      <c r="BL112" s="3">
        <f>+IF(AVANCE[[#This Row],[BALCÓN]]=R$2,100%,AVANCE[[#This Row],[BALCÓN]])</f>
        <v>1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1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1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1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1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1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-8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2" s="43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SANITARIOS, ELÉCTRICO, TERMINACIONES</v>
      </c>
      <c r="CV112" s="44" cm="1">
        <f t="array" ref="CV112">SUMPRODUCT(--(BG112:CR112&lt;1))</f>
        <v>28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0.78499999999999992</v>
      </c>
      <c r="F113" s="1">
        <v>46184</v>
      </c>
      <c r="G113" s="1">
        <v>46192</v>
      </c>
      <c r="H113" s="1">
        <v>46199</v>
      </c>
      <c r="I113" s="1">
        <v>46208</v>
      </c>
      <c r="J113">
        <v>11</v>
      </c>
      <c r="K113" s="1"/>
      <c r="L113" s="3">
        <v>0.43</v>
      </c>
      <c r="M113" s="3">
        <v>1</v>
      </c>
      <c r="N113" s="3">
        <v>0.27906976744186046</v>
      </c>
      <c r="O113" s="3">
        <v>0.18604651162790697</v>
      </c>
      <c r="P113" s="3">
        <v>0.2558139534883721</v>
      </c>
      <c r="Q113" s="3">
        <v>0.18604651162790697</v>
      </c>
      <c r="R113" s="3">
        <v>9.3023255813953487E-2</v>
      </c>
      <c r="S113" s="3">
        <v>0.09</v>
      </c>
      <c r="T113" s="3">
        <v>1</v>
      </c>
      <c r="U113" s="3">
        <v>0.22222222222222221</v>
      </c>
      <c r="V113" s="3">
        <v>0.22222222222222221</v>
      </c>
      <c r="W113" s="3">
        <v>0.1111111111111111</v>
      </c>
      <c r="X113" s="3">
        <v>0.1111111111111111</v>
      </c>
      <c r="Y113" s="3">
        <v>0.1111111111111111</v>
      </c>
      <c r="Z113" s="3">
        <v>0.22222222222222221</v>
      </c>
      <c r="AA113" s="3">
        <v>6.9999999999999993E-2</v>
      </c>
      <c r="AB113" s="3">
        <v>0.63636363636363635</v>
      </c>
      <c r="AC113" s="3">
        <v>0.27272727272727271</v>
      </c>
      <c r="AD113" s="3">
        <v>0</v>
      </c>
      <c r="AE113" s="3">
        <v>0</v>
      </c>
      <c r="AF113" s="3">
        <v>0.18181818181818182</v>
      </c>
      <c r="AG113" s="3">
        <v>0.18181818181818182</v>
      </c>
      <c r="AH113" s="3">
        <v>0.19499999999999992</v>
      </c>
      <c r="AI113" s="3">
        <v>0.52702702702702686</v>
      </c>
      <c r="AJ113" s="3">
        <v>5.4054054054054036E-2</v>
      </c>
      <c r="AK113" s="3">
        <v>5.4054054054054036E-2</v>
      </c>
      <c r="AL113" s="3">
        <v>2.7027027027027018E-2</v>
      </c>
      <c r="AM113" s="3">
        <v>8.1081081081081058E-2</v>
      </c>
      <c r="AN113" s="3">
        <v>0</v>
      </c>
      <c r="AO113" s="3">
        <v>0</v>
      </c>
      <c r="AP113" s="3">
        <v>5.4054054054054036E-2</v>
      </c>
      <c r="AQ113" s="3">
        <v>0</v>
      </c>
      <c r="AR113" s="3">
        <v>0</v>
      </c>
      <c r="AS113" s="3">
        <v>0</v>
      </c>
      <c r="AT113" s="3">
        <v>0</v>
      </c>
      <c r="AU113" s="3">
        <v>5.4054054054054036E-2</v>
      </c>
      <c r="AV113" s="3">
        <v>0</v>
      </c>
      <c r="AW113" s="3">
        <v>0</v>
      </c>
      <c r="AX113" s="3">
        <v>5.4054054054054036E-2</v>
      </c>
      <c r="AY113" s="3">
        <v>2.7027027027027018E-2</v>
      </c>
      <c r="AZ113" s="3">
        <v>0</v>
      </c>
      <c r="BA113" s="3">
        <v>0</v>
      </c>
      <c r="BB113" s="3">
        <v>8.1081081081081058E-2</v>
      </c>
      <c r="BC113" s="3">
        <v>1.3513513513513509E-2</v>
      </c>
      <c r="BD113" s="3">
        <v>2.7027027027027018E-2</v>
      </c>
      <c r="BE113">
        <v>28.87</v>
      </c>
      <c r="BF113" s="3" t="str">
        <f>+IF(AVANCE[[#This Row],[% AVANCE]]=100%,"MODULO TERMINADO",IF(AVANCE[[#This Row],[FECHA INICIO REAL]]="","MODULO NO INICIADO","PENDIENTE"))</f>
        <v>PENDIENTE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1</v>
      </c>
      <c r="BI113" s="3">
        <f>+IF(AVANCE[[#This Row],[TABIQUES]]=O$2,100%,AVANCE[[#This Row],[TABIQUES]])</f>
        <v>1</v>
      </c>
      <c r="BJ113" s="3">
        <f>+IF(AVANCE[[#This Row],[MUROS]]=P$2,100%,AVANCE[[#This Row],[MUROS]])</f>
        <v>1</v>
      </c>
      <c r="BK113" s="3">
        <f>+IF(AVANCE[[#This Row],[CIELO]]=Q$2,100%,AVANCE[[#This Row],[CIELO]])</f>
        <v>1</v>
      </c>
      <c r="BL113" s="3">
        <f>+IF(AVANCE[[#This Row],[BALCÓN]]=R$2,100%,AVANCE[[#This Row],[BALCÓN]])</f>
        <v>1</v>
      </c>
      <c r="BM113" s="3">
        <f>+IF(AVANCE[[#This Row],[RED ALCANTARILLADO]]=U$2,100%,AVANCE[[#This Row],[RED ALCANTARILLADO]])</f>
        <v>1</v>
      </c>
      <c r="BN113" s="3">
        <f>+IF(AVANCE[[#This Row],[RED DE AGUA]]=V$2,100%,AVANCE[[#This Row],[RED DE AGUA]])</f>
        <v>1</v>
      </c>
      <c r="BO113" s="3">
        <f>+IF(AVANCE[[#This Row],[VENTILACIONES]]=W$2,100%,AVANCE[[#This Row],[VENTILACIONES]])</f>
        <v>1</v>
      </c>
      <c r="BP113" s="3">
        <f>+IF(AVANCE[[#This Row],[TINA]]=X$2,100%,AVANCE[[#This Row],[TINA]])</f>
        <v>1</v>
      </c>
      <c r="BQ113" s="3">
        <f>+IF(AVANCE[[#This Row],[WC]]=Y$2,100%,AVANCE[[#This Row],[WC]])</f>
        <v>1</v>
      </c>
      <c r="BR113" s="3">
        <f>+IF(AVANCE[[#This Row],[LAVAMANOS / LAVAPLATOS / LAVADERO]]=Z$2,100%,AVANCE[[#This Row],[LAVAMANOS / LAVAPLATOS / LAVADERO]])</f>
        <v>1</v>
      </c>
      <c r="BS113" s="3">
        <f>+IF(AVANCE[[#This Row],[CANALIZACIÓN]]=AC$2,100%,AVANCE[[#This Row],[CANALIZACIÓN]])</f>
        <v>1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1</v>
      </c>
      <c r="BW113" s="3">
        <f>+IF(AVANCE[[#This Row],[CAJA PAU]]=AG$2,100%,AVANCE[[#This Row],[CAJA PAU]])</f>
        <v>1</v>
      </c>
      <c r="BX113" s="3">
        <f>+IF(AVANCE[[#This Row],[INSTALACION VINILICO]]=AJ$2,100%,AVANCE[[#This Row],[INSTALACION VINILICO]])</f>
        <v>1</v>
      </c>
      <c r="BY113" s="3">
        <f>+IF(AVANCE[[#This Row],[OSB CUBIERTA]]=AK$2,100%,AVANCE[[#This Row],[OSB CUBIERTA]])</f>
        <v>1</v>
      </c>
      <c r="BZ113" s="3">
        <f>+IF(AVANCE[[#This Row],[BARANDA BALCON]]=AL$2,100%,AVANCE[[#This Row],[BARANDA BALCON]])</f>
        <v>1</v>
      </c>
      <c r="CA113" s="3">
        <f>+IF(AVANCE[[#This Row],[OSB EXTERIOR]]=AM$2,100%,AVANCE[[#This Row],[OSB EXTERIOR]])</f>
        <v>1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1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1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1</v>
      </c>
      <c r="CM113" s="3">
        <f>+IF(AVANCE[[#This Row],[MEMBRANA CIELO]]=AY$2,100%,AVANCE[[#This Row],[MEMBRANA CIELO]])</f>
        <v>1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1</v>
      </c>
      <c r="CQ113" s="3">
        <f>+IF(AVANCE[[#This Row],[MUEBLE LAVAPLATOS]]=BC$2,100%,AVANCE[[#This Row],[MUEBLE LAVAPLATOS]])</f>
        <v>1</v>
      </c>
      <c r="CR113" s="3">
        <f>+IF(AVANCE[[#This Row],[IMPERMEABILIZACION BANO - COCINA LOGIA]]=BD$2,100%,AVANCE[[#This Row],[IMPERMEABILIZACION BANO - COCINA LOGIA]])</f>
        <v>1</v>
      </c>
      <c r="CS113" s="40">
        <f ca="1">+IF(AVANCE[[#This Row],[ESTADO MODULO]]="PENDIENTE",(TODAY()-AVANCE[[#This Row],[FECHA TERMINO  PLANIFICADO]]),0)</f>
        <v>2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13" s="43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ELÉCTRICO, TERMINACIONES</v>
      </c>
      <c r="CV113" s="44" cm="1">
        <f t="array" ref="CV113">SUMPRODUCT(--(BG113:CR113&lt;1))</f>
        <v>13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0.70499999999999985</v>
      </c>
      <c r="F114" s="1">
        <v>46185</v>
      </c>
      <c r="G114" s="1">
        <v>46198</v>
      </c>
      <c r="H114" s="1">
        <v>46204</v>
      </c>
      <c r="I114" s="1">
        <v>46209</v>
      </c>
      <c r="J114">
        <v>6</v>
      </c>
      <c r="K114" s="1"/>
      <c r="L114" s="3">
        <v>0.38999999999999996</v>
      </c>
      <c r="M114" s="3">
        <v>0.90697674418604646</v>
      </c>
      <c r="N114" s="3">
        <v>0.27906976744186046</v>
      </c>
      <c r="O114" s="3">
        <v>0.18604651162790697</v>
      </c>
      <c r="P114" s="3">
        <v>0.2558139534883721</v>
      </c>
      <c r="Q114" s="3">
        <v>0.18604651162790697</v>
      </c>
      <c r="R114" s="3">
        <v>0</v>
      </c>
      <c r="S114" s="3">
        <v>0.09</v>
      </c>
      <c r="T114" s="3">
        <v>1</v>
      </c>
      <c r="U114" s="3">
        <v>0.22222222222222221</v>
      </c>
      <c r="V114" s="3">
        <v>0.22222222222222221</v>
      </c>
      <c r="W114" s="3">
        <v>0.1111111111111111</v>
      </c>
      <c r="X114" s="3">
        <v>0.1111111111111111</v>
      </c>
      <c r="Y114" s="3">
        <v>0.1111111111111111</v>
      </c>
      <c r="Z114" s="3">
        <v>0.22222222222222221</v>
      </c>
      <c r="AA114" s="3">
        <v>6.9999999999999993E-2</v>
      </c>
      <c r="AB114" s="3">
        <v>0.63636363636363635</v>
      </c>
      <c r="AC114" s="3">
        <v>0.27272727272727271</v>
      </c>
      <c r="AD114" s="3">
        <v>0</v>
      </c>
      <c r="AE114" s="3">
        <v>0</v>
      </c>
      <c r="AF114" s="3">
        <v>0.18181818181818182</v>
      </c>
      <c r="AG114" s="3">
        <v>0.18181818181818182</v>
      </c>
      <c r="AH114" s="3">
        <v>0.15499999999999994</v>
      </c>
      <c r="AI114" s="3">
        <v>0.4189189189189188</v>
      </c>
      <c r="AJ114" s="3">
        <v>5.4054054054054036E-2</v>
      </c>
      <c r="AK114" s="3">
        <v>5.4054054054054036E-2</v>
      </c>
      <c r="AL114" s="3">
        <v>2.7027027027027018E-2</v>
      </c>
      <c r="AM114" s="3">
        <v>8.1081081081081058E-2</v>
      </c>
      <c r="AN114" s="3">
        <v>0</v>
      </c>
      <c r="AO114" s="3">
        <v>0</v>
      </c>
      <c r="AP114" s="3">
        <v>5.4054054054054036E-2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2.7027027027027018E-2</v>
      </c>
      <c r="AZ114" s="3">
        <v>0</v>
      </c>
      <c r="BA114" s="3">
        <v>0</v>
      </c>
      <c r="BB114" s="3">
        <v>8.1081081081081058E-2</v>
      </c>
      <c r="BC114" s="3">
        <v>1.3513513513513509E-2</v>
      </c>
      <c r="BD114" s="3">
        <v>2.7027027027027018E-2</v>
      </c>
      <c r="BE114">
        <v>28.87</v>
      </c>
      <c r="BF114" s="3" t="str">
        <f>+IF(AVANCE[[#This Row],[% AVANCE]]=100%,"MODULO TERMINADO",IF(AVANCE[[#This Row],[FECHA INICIO REAL]]="","MODULO NO INICIADO","PENDIENTE"))</f>
        <v>PENDIENTE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1</v>
      </c>
      <c r="BI114" s="3">
        <f>+IF(AVANCE[[#This Row],[TABIQUES]]=O$2,100%,AVANCE[[#This Row],[TABIQUES]])</f>
        <v>1</v>
      </c>
      <c r="BJ114" s="3">
        <f>+IF(AVANCE[[#This Row],[MUROS]]=P$2,100%,AVANCE[[#This Row],[MUROS]])</f>
        <v>1</v>
      </c>
      <c r="BK114" s="3">
        <f>+IF(AVANCE[[#This Row],[CIELO]]=Q$2,100%,AVANCE[[#This Row],[CIELO]])</f>
        <v>1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1</v>
      </c>
      <c r="BN114" s="3">
        <f>+IF(AVANCE[[#This Row],[RED DE AGUA]]=V$2,100%,AVANCE[[#This Row],[RED DE AGUA]])</f>
        <v>1</v>
      </c>
      <c r="BO114" s="3">
        <f>+IF(AVANCE[[#This Row],[VENTILACIONES]]=W$2,100%,AVANCE[[#This Row],[VENTILACIONES]])</f>
        <v>1</v>
      </c>
      <c r="BP114" s="3">
        <f>+IF(AVANCE[[#This Row],[TINA]]=X$2,100%,AVANCE[[#This Row],[TINA]])</f>
        <v>1</v>
      </c>
      <c r="BQ114" s="3">
        <f>+IF(AVANCE[[#This Row],[WC]]=Y$2,100%,AVANCE[[#This Row],[WC]])</f>
        <v>1</v>
      </c>
      <c r="BR114" s="3">
        <f>+IF(AVANCE[[#This Row],[LAVAMANOS / LAVAPLATOS / LAVADERO]]=Z$2,100%,AVANCE[[#This Row],[LAVAMANOS / LAVAPLATOS / LAVADERO]])</f>
        <v>1</v>
      </c>
      <c r="BS114" s="3">
        <f>+IF(AVANCE[[#This Row],[CANALIZACIÓN]]=AC$2,100%,AVANCE[[#This Row],[CANALIZACIÓN]])</f>
        <v>1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1</v>
      </c>
      <c r="BW114" s="3">
        <f>+IF(AVANCE[[#This Row],[CAJA PAU]]=AG$2,100%,AVANCE[[#This Row],[CAJA PAU]])</f>
        <v>1</v>
      </c>
      <c r="BX114" s="3">
        <f>+IF(AVANCE[[#This Row],[INSTALACION VINILICO]]=AJ$2,100%,AVANCE[[#This Row],[INSTALACION VINILICO]])</f>
        <v>1</v>
      </c>
      <c r="BY114" s="3">
        <f>+IF(AVANCE[[#This Row],[OSB CUBIERTA]]=AK$2,100%,AVANCE[[#This Row],[OSB CUBIERTA]])</f>
        <v>1</v>
      </c>
      <c r="BZ114" s="3">
        <f>+IF(AVANCE[[#This Row],[BARANDA BALCON]]=AL$2,100%,AVANCE[[#This Row],[BARANDA BALCON]])</f>
        <v>1</v>
      </c>
      <c r="CA114" s="3">
        <f>+IF(AVANCE[[#This Row],[OSB EXTERIOR]]=AM$2,100%,AVANCE[[#This Row],[OSB EXTERIOR]])</f>
        <v>1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1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1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1</v>
      </c>
      <c r="CQ114" s="3">
        <f>+IF(AVANCE[[#This Row],[MUEBLE LAVAPLATOS]]=BC$2,100%,AVANCE[[#This Row],[MUEBLE LAVAPLATOS]])</f>
        <v>1</v>
      </c>
      <c r="CR114" s="3">
        <f>+IF(AVANCE[[#This Row],[IMPERMEABILIZACION BANO - COCINA LOGIA]]=BD$2,100%,AVANCE[[#This Row],[IMPERMEABILIZACION BANO - COCINA LOGIA]])</f>
        <v>1</v>
      </c>
      <c r="CS114" s="40">
        <f ca="1">+IF(AVANCE[[#This Row],[ESTADO MODULO]]="PENDIENTE",(TODAY()-AVANCE[[#This Row],[FECHA TERMINO  PLANIFICADO]]),0)</f>
        <v>1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BALCÓN | ELÉCTRICO: CABLEADO, ARTEFACTOS | TERMINACIONES: VENTANAS, SMART PANEL, PINTURA EXTERIOR, MOLDURAS, PILASTREO, CELOSIAS, VENTANAS (TERM), PUERTAS ACCESO - LOGIA - BANO, CERRADURAS, REVESTIMIENTO INTERIOR ZONA SECA, REVESTIMIENTO INTERIOR ZONAS HUMEDAS, LIMPIEZA FINAL, PUERTAS DORMITORIO</v>
      </c>
      <c r="CU114" s="43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ELÉCTRICO, TERMINACIONES</v>
      </c>
      <c r="CV114" s="44" cm="1">
        <f t="array" ref="CV114">SUMPRODUCT(--(BG114:CR114&lt;1))</f>
        <v>16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0.55999999999999994</v>
      </c>
      <c r="F115" s="1">
        <v>46185</v>
      </c>
      <c r="G115" s="1">
        <v>46198</v>
      </c>
      <c r="H115" s="1">
        <v>46210</v>
      </c>
      <c r="I115" s="1">
        <v>46219</v>
      </c>
      <c r="J115">
        <v>0</v>
      </c>
      <c r="K115" s="1"/>
      <c r="L115" s="3">
        <v>0.43</v>
      </c>
      <c r="M115" s="3">
        <v>1</v>
      </c>
      <c r="N115" s="3">
        <v>0.27906976744186046</v>
      </c>
      <c r="O115" s="3">
        <v>0.18604651162790697</v>
      </c>
      <c r="P115" s="3">
        <v>0.2558139534883721</v>
      </c>
      <c r="Q115" s="3">
        <v>0.18604651162790697</v>
      </c>
      <c r="R115" s="3">
        <v>9.3023255813953487E-2</v>
      </c>
      <c r="S115" s="3">
        <v>3.9999999999999994E-2</v>
      </c>
      <c r="T115" s="3">
        <v>0.44444444444444442</v>
      </c>
      <c r="U115" s="3">
        <v>0.22222222222222221</v>
      </c>
      <c r="V115" s="3">
        <v>0.22222222222222221</v>
      </c>
      <c r="W115" s="3">
        <v>0</v>
      </c>
      <c r="X115" s="3">
        <v>0</v>
      </c>
      <c r="Y115" s="3">
        <v>0</v>
      </c>
      <c r="Z115" s="3">
        <v>0</v>
      </c>
      <c r="AA115" s="3">
        <v>0.03</v>
      </c>
      <c r="AB115" s="3">
        <v>0.27272727272727271</v>
      </c>
      <c r="AC115" s="3">
        <v>0.27272727272727271</v>
      </c>
      <c r="AD115" s="3">
        <v>0</v>
      </c>
      <c r="AE115" s="3">
        <v>0</v>
      </c>
      <c r="AF115" s="3">
        <v>0</v>
      </c>
      <c r="AG115" s="3">
        <v>0</v>
      </c>
      <c r="AH115" s="3">
        <v>5.9999999999999984E-2</v>
      </c>
      <c r="AI115" s="3">
        <v>0.16216216216216212</v>
      </c>
      <c r="AJ115" s="3">
        <v>0</v>
      </c>
      <c r="AK115" s="3">
        <v>5.4054054054054036E-2</v>
      </c>
      <c r="AL115" s="3">
        <v>0</v>
      </c>
      <c r="AM115" s="3">
        <v>8.1081081081081058E-2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2.7027027027027018E-2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PENDIENTE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1</v>
      </c>
      <c r="BI115" s="3">
        <f>+IF(AVANCE[[#This Row],[TABIQUES]]=O$2,100%,AVANCE[[#This Row],[TABIQUES]])</f>
        <v>1</v>
      </c>
      <c r="BJ115" s="3">
        <f>+IF(AVANCE[[#This Row],[MUROS]]=P$2,100%,AVANCE[[#This Row],[MUROS]])</f>
        <v>1</v>
      </c>
      <c r="BK115" s="3">
        <f>+IF(AVANCE[[#This Row],[CIELO]]=Q$2,100%,AVANCE[[#This Row],[CIELO]])</f>
        <v>1</v>
      </c>
      <c r="BL115" s="3">
        <f>+IF(AVANCE[[#This Row],[BALCÓN]]=R$2,100%,AVANCE[[#This Row],[BALCÓN]])</f>
        <v>1</v>
      </c>
      <c r="BM115" s="3">
        <f>+IF(AVANCE[[#This Row],[RED ALCANTARILLADO]]=U$2,100%,AVANCE[[#This Row],[RED ALCANTARILLADO]])</f>
        <v>1</v>
      </c>
      <c r="BN115" s="3">
        <f>+IF(AVANCE[[#This Row],[RED DE AGUA]]=V$2,100%,AVANCE[[#This Row],[RED DE AGUA]])</f>
        <v>1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1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1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1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1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-9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5" s="43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SANITARIOS, ELÉCTRICO, TERMINACIONES</v>
      </c>
      <c r="CV115" s="44" cm="1">
        <f t="array" ref="CV115">SUMPRODUCT(--(BG115:CR115&lt;1))</f>
        <v>27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0.54999999999999993</v>
      </c>
      <c r="F116" s="1">
        <v>46188</v>
      </c>
      <c r="G116" s="1">
        <v>46199</v>
      </c>
      <c r="H116" s="1">
        <v>46210</v>
      </c>
      <c r="I116" s="1">
        <v>46222</v>
      </c>
      <c r="J116">
        <v>0</v>
      </c>
      <c r="K116" s="1"/>
      <c r="L116" s="3">
        <v>0.43</v>
      </c>
      <c r="M116" s="3">
        <v>1</v>
      </c>
      <c r="N116" s="3">
        <v>0.27906976744186046</v>
      </c>
      <c r="O116" s="3">
        <v>0.18604651162790697</v>
      </c>
      <c r="P116" s="3">
        <v>0.2558139534883721</v>
      </c>
      <c r="Q116" s="3">
        <v>0.18604651162790697</v>
      </c>
      <c r="R116" s="3">
        <v>9.3023255813953487E-2</v>
      </c>
      <c r="S116" s="3">
        <v>3.9999999999999994E-2</v>
      </c>
      <c r="T116" s="3">
        <v>0.44444444444444442</v>
      </c>
      <c r="U116" s="3">
        <v>0.22222222222222221</v>
      </c>
      <c r="V116" s="3">
        <v>0.22222222222222221</v>
      </c>
      <c r="W116" s="3">
        <v>0</v>
      </c>
      <c r="X116" s="3">
        <v>0</v>
      </c>
      <c r="Y116" s="3">
        <v>0</v>
      </c>
      <c r="Z116" s="3">
        <v>0</v>
      </c>
      <c r="AA116" s="3">
        <v>0.03</v>
      </c>
      <c r="AB116" s="3">
        <v>0.27272727272727271</v>
      </c>
      <c r="AC116" s="3">
        <v>0.27272727272727271</v>
      </c>
      <c r="AD116" s="3">
        <v>0</v>
      </c>
      <c r="AE116" s="3">
        <v>0</v>
      </c>
      <c r="AF116" s="3">
        <v>0</v>
      </c>
      <c r="AG116" s="3">
        <v>0</v>
      </c>
      <c r="AH116" s="3">
        <v>4.9999999999999982E-2</v>
      </c>
      <c r="AI116" s="3">
        <v>0.13513513513513509</v>
      </c>
      <c r="AJ116" s="3">
        <v>0</v>
      </c>
      <c r="AK116" s="3">
        <v>5.4054054054054036E-2</v>
      </c>
      <c r="AL116" s="3">
        <v>0</v>
      </c>
      <c r="AM116" s="3">
        <v>8.1081081081081058E-2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PENDIENTE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1</v>
      </c>
      <c r="BI116" s="3">
        <f>+IF(AVANCE[[#This Row],[TABIQUES]]=O$2,100%,AVANCE[[#This Row],[TABIQUES]])</f>
        <v>1</v>
      </c>
      <c r="BJ116" s="3">
        <f>+IF(AVANCE[[#This Row],[MUROS]]=P$2,100%,AVANCE[[#This Row],[MUROS]])</f>
        <v>1</v>
      </c>
      <c r="BK116" s="3">
        <f>+IF(AVANCE[[#This Row],[CIELO]]=Q$2,100%,AVANCE[[#This Row],[CIELO]])</f>
        <v>1</v>
      </c>
      <c r="BL116" s="3">
        <f>+IF(AVANCE[[#This Row],[BALCÓN]]=R$2,100%,AVANCE[[#This Row],[BALCÓN]])</f>
        <v>1</v>
      </c>
      <c r="BM116" s="3">
        <f>+IF(AVANCE[[#This Row],[RED ALCANTARILLADO]]=U$2,100%,AVANCE[[#This Row],[RED ALCANTARILLADO]])</f>
        <v>1</v>
      </c>
      <c r="BN116" s="3">
        <f>+IF(AVANCE[[#This Row],[RED DE AGUA]]=V$2,100%,AVANCE[[#This Row],[RED DE AGUA]])</f>
        <v>1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1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1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1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-12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3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SANITARIOS, ELÉCTRICO, TERMINACIONES</v>
      </c>
      <c r="CV116" s="44" cm="1">
        <f t="array" ref="CV116">SUMPRODUCT(--(BG116:CR116&lt;1))</f>
        <v>28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0.38999999999999996</v>
      </c>
      <c r="F117" s="1">
        <v>46188</v>
      </c>
      <c r="G117" s="1">
        <v>46199</v>
      </c>
      <c r="H117" s="1">
        <v>46204</v>
      </c>
      <c r="I117" s="1">
        <v>46212</v>
      </c>
      <c r="J117">
        <v>6</v>
      </c>
      <c r="K117" s="1"/>
      <c r="L117" s="3">
        <v>0.38999999999999996</v>
      </c>
      <c r="M117" s="3">
        <v>0.90697674418604646</v>
      </c>
      <c r="N117" s="3">
        <v>0.27906976744186046</v>
      </c>
      <c r="O117" s="3">
        <v>0.18604651162790697</v>
      </c>
      <c r="P117" s="3">
        <v>0.2558139534883721</v>
      </c>
      <c r="Q117" s="3">
        <v>0.18604651162790697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PENDIENTE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1</v>
      </c>
      <c r="BI117" s="3">
        <f>+IF(AVANCE[[#This Row],[TABIQUES]]=O$2,100%,AVANCE[[#This Row],[TABIQUES]])</f>
        <v>1</v>
      </c>
      <c r="BJ117" s="3">
        <f>+IF(AVANCE[[#This Row],[MUROS]]=P$2,100%,AVANCE[[#This Row],[MUROS]])</f>
        <v>1</v>
      </c>
      <c r="BK117" s="3">
        <f>+IF(AVANCE[[#This Row],[CIELO]]=Q$2,100%,AVANCE[[#This Row],[CIELO]])</f>
        <v>1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-2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3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4" cm="1">
        <f t="array" ref="CV117">SUMPRODUCT(--(BG117:CR117&lt;1))</f>
        <v>34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0.77999999999999992</v>
      </c>
      <c r="F118" s="1">
        <v>46189</v>
      </c>
      <c r="G118" s="1">
        <v>46199</v>
      </c>
      <c r="H118" s="1">
        <v>46209</v>
      </c>
      <c r="I118" s="1">
        <v>46213</v>
      </c>
      <c r="J118">
        <v>1</v>
      </c>
      <c r="K118" s="1"/>
      <c r="L118" s="3">
        <v>0.43</v>
      </c>
      <c r="M118" s="3">
        <v>1</v>
      </c>
      <c r="N118" s="3">
        <v>0.27906976744186046</v>
      </c>
      <c r="O118" s="3">
        <v>0.18604651162790697</v>
      </c>
      <c r="P118" s="3">
        <v>0.2558139534883721</v>
      </c>
      <c r="Q118" s="3">
        <v>0.18604651162790697</v>
      </c>
      <c r="R118" s="3">
        <v>9.3023255813953487E-2</v>
      </c>
      <c r="S118" s="3">
        <v>0.09</v>
      </c>
      <c r="T118" s="3">
        <v>1</v>
      </c>
      <c r="U118" s="3">
        <v>0.22222222222222221</v>
      </c>
      <c r="V118" s="3">
        <v>0.22222222222222221</v>
      </c>
      <c r="W118" s="3">
        <v>0.1111111111111111</v>
      </c>
      <c r="X118" s="3">
        <v>0.1111111111111111</v>
      </c>
      <c r="Y118" s="3">
        <v>0.1111111111111111</v>
      </c>
      <c r="Z118" s="3">
        <v>0.22222222222222221</v>
      </c>
      <c r="AA118" s="3">
        <v>6.9999999999999993E-2</v>
      </c>
      <c r="AB118" s="3">
        <v>0.63636363636363635</v>
      </c>
      <c r="AC118" s="3">
        <v>0.27272727272727271</v>
      </c>
      <c r="AD118" s="3">
        <v>0</v>
      </c>
      <c r="AE118" s="3">
        <v>0</v>
      </c>
      <c r="AF118" s="3">
        <v>0.18181818181818182</v>
      </c>
      <c r="AG118" s="3">
        <v>0.18181818181818182</v>
      </c>
      <c r="AH118" s="3">
        <v>0.18999999999999995</v>
      </c>
      <c r="AI118" s="3">
        <v>0.51351351351351338</v>
      </c>
      <c r="AJ118" s="3">
        <v>5.4054054054054036E-2</v>
      </c>
      <c r="AK118" s="3">
        <v>5.4054054054054036E-2</v>
      </c>
      <c r="AL118" s="3">
        <v>2.7027027027027018E-2</v>
      </c>
      <c r="AM118" s="3">
        <v>8.1081081081081058E-2</v>
      </c>
      <c r="AN118" s="3">
        <v>0</v>
      </c>
      <c r="AO118" s="3">
        <v>0</v>
      </c>
      <c r="AP118" s="3">
        <v>5.4054054054054036E-2</v>
      </c>
      <c r="AQ118" s="3">
        <v>0</v>
      </c>
      <c r="AR118" s="3">
        <v>0</v>
      </c>
      <c r="AS118" s="3">
        <v>0</v>
      </c>
      <c r="AT118" s="3">
        <v>0</v>
      </c>
      <c r="AU118" s="3">
        <v>5.4054054054054036E-2</v>
      </c>
      <c r="AV118" s="3">
        <v>0</v>
      </c>
      <c r="AW118" s="3">
        <v>0</v>
      </c>
      <c r="AX118" s="3">
        <v>5.4054054054054036E-2</v>
      </c>
      <c r="AY118" s="3">
        <v>2.7027027027027018E-2</v>
      </c>
      <c r="AZ118" s="3">
        <v>0</v>
      </c>
      <c r="BA118" s="3">
        <v>0</v>
      </c>
      <c r="BB118" s="3">
        <v>8.1081081081081058E-2</v>
      </c>
      <c r="BC118" s="3">
        <v>0</v>
      </c>
      <c r="BD118" s="3">
        <v>2.7027027027027018E-2</v>
      </c>
      <c r="BE118">
        <v>28.87</v>
      </c>
      <c r="BF118" s="3" t="str">
        <f>+IF(AVANCE[[#This Row],[% AVANCE]]=100%,"MODULO TERMINADO",IF(AVANCE[[#This Row],[FECHA INICIO REAL]]="","MODULO NO INICIADO","PENDIENTE"))</f>
        <v>PENDIENTE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1</v>
      </c>
      <c r="BI118" s="3">
        <f>+IF(AVANCE[[#This Row],[TABIQUES]]=O$2,100%,AVANCE[[#This Row],[TABIQUES]])</f>
        <v>1</v>
      </c>
      <c r="BJ118" s="3">
        <f>+IF(AVANCE[[#This Row],[MUROS]]=P$2,100%,AVANCE[[#This Row],[MUROS]])</f>
        <v>1</v>
      </c>
      <c r="BK118" s="3">
        <f>+IF(AVANCE[[#This Row],[CIELO]]=Q$2,100%,AVANCE[[#This Row],[CIELO]])</f>
        <v>1</v>
      </c>
      <c r="BL118" s="3">
        <f>+IF(AVANCE[[#This Row],[BALCÓN]]=R$2,100%,AVANCE[[#This Row],[BALCÓN]])</f>
        <v>1</v>
      </c>
      <c r="BM118" s="3">
        <f>+IF(AVANCE[[#This Row],[RED ALCANTARILLADO]]=U$2,100%,AVANCE[[#This Row],[RED ALCANTARILLADO]])</f>
        <v>1</v>
      </c>
      <c r="BN118" s="3">
        <f>+IF(AVANCE[[#This Row],[RED DE AGUA]]=V$2,100%,AVANCE[[#This Row],[RED DE AGUA]])</f>
        <v>1</v>
      </c>
      <c r="BO118" s="3">
        <f>+IF(AVANCE[[#This Row],[VENTILACIONES]]=W$2,100%,AVANCE[[#This Row],[VENTILACIONES]])</f>
        <v>1</v>
      </c>
      <c r="BP118" s="3">
        <f>+IF(AVANCE[[#This Row],[TINA]]=X$2,100%,AVANCE[[#This Row],[TINA]])</f>
        <v>1</v>
      </c>
      <c r="BQ118" s="3">
        <f>+IF(AVANCE[[#This Row],[WC]]=Y$2,100%,AVANCE[[#This Row],[WC]])</f>
        <v>1</v>
      </c>
      <c r="BR118" s="3">
        <f>+IF(AVANCE[[#This Row],[LAVAMANOS / LAVAPLATOS / LAVADERO]]=Z$2,100%,AVANCE[[#This Row],[LAVAMANOS / LAVAPLATOS / LAVADERO]])</f>
        <v>1</v>
      </c>
      <c r="BS118" s="3">
        <f>+IF(AVANCE[[#This Row],[CANALIZACIÓN]]=AC$2,100%,AVANCE[[#This Row],[CANALIZACIÓN]])</f>
        <v>1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1</v>
      </c>
      <c r="BW118" s="3">
        <f>+IF(AVANCE[[#This Row],[CAJA PAU]]=AG$2,100%,AVANCE[[#This Row],[CAJA PAU]])</f>
        <v>1</v>
      </c>
      <c r="BX118" s="3">
        <f>+IF(AVANCE[[#This Row],[INSTALACION VINILICO]]=AJ$2,100%,AVANCE[[#This Row],[INSTALACION VINILICO]])</f>
        <v>1</v>
      </c>
      <c r="BY118" s="3">
        <f>+IF(AVANCE[[#This Row],[OSB CUBIERTA]]=AK$2,100%,AVANCE[[#This Row],[OSB CUBIERTA]])</f>
        <v>1</v>
      </c>
      <c r="BZ118" s="3">
        <f>+IF(AVANCE[[#This Row],[BARANDA BALCON]]=AL$2,100%,AVANCE[[#This Row],[BARANDA BALCON]])</f>
        <v>1</v>
      </c>
      <c r="CA118" s="3">
        <f>+IF(AVANCE[[#This Row],[OSB EXTERIOR]]=AM$2,100%,AVANCE[[#This Row],[OSB EXTERIOR]])</f>
        <v>1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1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1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1</v>
      </c>
      <c r="CM118" s="3">
        <f>+IF(AVANCE[[#This Row],[MEMBRANA CIELO]]=AY$2,100%,AVANCE[[#This Row],[MEMBRANA CIELO]])</f>
        <v>1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1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1</v>
      </c>
      <c r="CS118" s="40">
        <f ca="1">+IF(AVANCE[[#This Row],[ESTADO MODULO]]="PENDIENTE",(TODAY()-AVANCE[[#This Row],[FECHA TERMINO  PLANIFICADO]]),0)</f>
        <v>-3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DORMITORIO, MUEBLE LAVAPLATOS</v>
      </c>
      <c r="CU118" s="43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ELÉCTRICO, TERMINACIONES</v>
      </c>
      <c r="CV118" s="44" cm="1">
        <f t="array" ref="CV118">SUMPRODUCT(--(BG118:CR118&lt;1))</f>
        <v>14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0.49999999999999994</v>
      </c>
      <c r="F119" s="1">
        <v>46189</v>
      </c>
      <c r="G119" s="1">
        <v>46199</v>
      </c>
      <c r="H119" s="1">
        <v>46210</v>
      </c>
      <c r="I119" s="1">
        <v>46223</v>
      </c>
      <c r="J119">
        <v>0</v>
      </c>
      <c r="K119" s="1"/>
      <c r="L119" s="3">
        <v>0.38999999999999996</v>
      </c>
      <c r="M119" s="3">
        <v>0.90697674418604646</v>
      </c>
      <c r="N119" s="3">
        <v>0.27906976744186046</v>
      </c>
      <c r="O119" s="3">
        <v>0.18604651162790697</v>
      </c>
      <c r="P119" s="3">
        <v>0.2558139534883721</v>
      </c>
      <c r="Q119" s="3">
        <v>0.18604651162790697</v>
      </c>
      <c r="R119" s="3">
        <v>0</v>
      </c>
      <c r="S119" s="3">
        <v>1.9999999999999997E-2</v>
      </c>
      <c r="T119" s="3">
        <v>0.22222222222222221</v>
      </c>
      <c r="U119" s="3">
        <v>0</v>
      </c>
      <c r="V119" s="3">
        <v>0.22222222222222221</v>
      </c>
      <c r="W119" s="3">
        <v>0</v>
      </c>
      <c r="X119" s="3">
        <v>0</v>
      </c>
      <c r="Y119" s="3">
        <v>0</v>
      </c>
      <c r="Z119" s="3">
        <v>0</v>
      </c>
      <c r="AA119" s="3">
        <v>0.03</v>
      </c>
      <c r="AB119" s="3">
        <v>0.27272727272727271</v>
      </c>
      <c r="AC119" s="3">
        <v>0.27272727272727271</v>
      </c>
      <c r="AD119" s="3">
        <v>0</v>
      </c>
      <c r="AE119" s="3">
        <v>0</v>
      </c>
      <c r="AF119" s="3">
        <v>0</v>
      </c>
      <c r="AG119" s="3">
        <v>0</v>
      </c>
      <c r="AH119" s="3">
        <v>5.9999999999999984E-2</v>
      </c>
      <c r="AI119" s="3">
        <v>0.16216216216216212</v>
      </c>
      <c r="AJ119" s="3">
        <v>0</v>
      </c>
      <c r="AK119" s="3">
        <v>5.4054054054054036E-2</v>
      </c>
      <c r="AL119" s="3">
        <v>0</v>
      </c>
      <c r="AM119" s="3">
        <v>8.1081081081081058E-2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2.7027027027027018E-2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PENDIENTE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1</v>
      </c>
      <c r="BI119" s="3">
        <f>+IF(AVANCE[[#This Row],[TABIQUES]]=O$2,100%,AVANCE[[#This Row],[TABIQUES]])</f>
        <v>1</v>
      </c>
      <c r="BJ119" s="3">
        <f>+IF(AVANCE[[#This Row],[MUROS]]=P$2,100%,AVANCE[[#This Row],[MUROS]])</f>
        <v>1</v>
      </c>
      <c r="BK119" s="3">
        <f>+IF(AVANCE[[#This Row],[CIELO]]=Q$2,100%,AVANCE[[#This Row],[CIELO]])</f>
        <v>1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1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1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1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1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1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-13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BALCÓN | SANITARIOS: RED ALCANTARILLADO,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19" s="43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4" cm="1">
        <f t="array" ref="CV119">SUMPRODUCT(--(BG119:CR119&lt;1))</f>
        <v>29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0.55999999999999994</v>
      </c>
      <c r="F120" s="1">
        <v>46190</v>
      </c>
      <c r="G120" s="1">
        <v>46199</v>
      </c>
      <c r="H120" s="1">
        <v>46206</v>
      </c>
      <c r="I120" s="1">
        <v>46224</v>
      </c>
      <c r="J120">
        <v>4</v>
      </c>
      <c r="K120" s="1"/>
      <c r="L120" s="3">
        <v>0.43</v>
      </c>
      <c r="M120" s="3">
        <v>1</v>
      </c>
      <c r="N120" s="3">
        <v>0.27906976744186046</v>
      </c>
      <c r="O120" s="3">
        <v>0.18604651162790697</v>
      </c>
      <c r="P120" s="3">
        <v>0.2558139534883721</v>
      </c>
      <c r="Q120" s="3">
        <v>0.18604651162790697</v>
      </c>
      <c r="R120" s="3">
        <v>9.3023255813953487E-2</v>
      </c>
      <c r="S120" s="3">
        <v>3.9999999999999994E-2</v>
      </c>
      <c r="T120" s="3">
        <v>0.44444444444444442</v>
      </c>
      <c r="U120" s="3">
        <v>0.22222222222222221</v>
      </c>
      <c r="V120" s="3">
        <v>0.22222222222222221</v>
      </c>
      <c r="W120" s="3">
        <v>0</v>
      </c>
      <c r="X120" s="3">
        <v>0</v>
      </c>
      <c r="Y120" s="3">
        <v>0</v>
      </c>
      <c r="Z120" s="3">
        <v>0</v>
      </c>
      <c r="AA120" s="3">
        <v>0.03</v>
      </c>
      <c r="AB120" s="3">
        <v>0.27272727272727271</v>
      </c>
      <c r="AC120" s="3">
        <v>0.27272727272727271</v>
      </c>
      <c r="AD120" s="3">
        <v>0</v>
      </c>
      <c r="AE120" s="3">
        <v>0</v>
      </c>
      <c r="AF120" s="3">
        <v>0</v>
      </c>
      <c r="AG120" s="3">
        <v>0</v>
      </c>
      <c r="AH120" s="3">
        <v>5.9999999999999984E-2</v>
      </c>
      <c r="AI120" s="3">
        <v>0.16216216216216212</v>
      </c>
      <c r="AJ120" s="3">
        <v>0</v>
      </c>
      <c r="AK120" s="3">
        <v>5.4054054054054036E-2</v>
      </c>
      <c r="AL120" s="3">
        <v>0</v>
      </c>
      <c r="AM120" s="3">
        <v>8.1081081081081058E-2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2.7027027027027018E-2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PENDIENTE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1</v>
      </c>
      <c r="BI120" s="3">
        <f>+IF(AVANCE[[#This Row],[TABIQUES]]=O$2,100%,AVANCE[[#This Row],[TABIQUES]])</f>
        <v>1</v>
      </c>
      <c r="BJ120" s="3">
        <f>+IF(AVANCE[[#This Row],[MUROS]]=P$2,100%,AVANCE[[#This Row],[MUROS]])</f>
        <v>1</v>
      </c>
      <c r="BK120" s="3">
        <f>+IF(AVANCE[[#This Row],[CIELO]]=Q$2,100%,AVANCE[[#This Row],[CIELO]])</f>
        <v>1</v>
      </c>
      <c r="BL120" s="3">
        <f>+IF(AVANCE[[#This Row],[BALCÓN]]=R$2,100%,AVANCE[[#This Row],[BALCÓN]])</f>
        <v>1</v>
      </c>
      <c r="BM120" s="3">
        <f>+IF(AVANCE[[#This Row],[RED ALCANTARILLADO]]=U$2,100%,AVANCE[[#This Row],[RED ALCANTARILLADO]])</f>
        <v>1</v>
      </c>
      <c r="BN120" s="3">
        <f>+IF(AVANCE[[#This Row],[RED DE AGUA]]=V$2,100%,AVANCE[[#This Row],[RED DE AGUA]])</f>
        <v>1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1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1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1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1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-14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120" s="43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SANITARIOS, ELÉCTRICO, TERMINACIONES</v>
      </c>
      <c r="CV120" s="44" cm="1">
        <f t="array" ref="CV120">SUMPRODUCT(--(BG120:CR120&lt;1))</f>
        <v>27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0.78499999999999992</v>
      </c>
      <c r="F121" s="1">
        <v>46190</v>
      </c>
      <c r="G121" s="1">
        <v>46198</v>
      </c>
      <c r="H121" s="1">
        <v>46209</v>
      </c>
      <c r="I121" s="1">
        <v>46214</v>
      </c>
      <c r="J121">
        <v>1</v>
      </c>
      <c r="K121" s="1"/>
      <c r="L121" s="3">
        <v>0.43</v>
      </c>
      <c r="M121" s="3">
        <v>1</v>
      </c>
      <c r="N121" s="3">
        <v>0.27906976744186046</v>
      </c>
      <c r="O121" s="3">
        <v>0.18604651162790697</v>
      </c>
      <c r="P121" s="3">
        <v>0.2558139534883721</v>
      </c>
      <c r="Q121" s="3">
        <v>0.18604651162790697</v>
      </c>
      <c r="R121" s="3">
        <v>9.3023255813953487E-2</v>
      </c>
      <c r="S121" s="3">
        <v>0.09</v>
      </c>
      <c r="T121" s="3">
        <v>1</v>
      </c>
      <c r="U121" s="3">
        <v>0.22222222222222221</v>
      </c>
      <c r="V121" s="3">
        <v>0.22222222222222221</v>
      </c>
      <c r="W121" s="3">
        <v>0.1111111111111111</v>
      </c>
      <c r="X121" s="3">
        <v>0.1111111111111111</v>
      </c>
      <c r="Y121" s="3">
        <v>0.1111111111111111</v>
      </c>
      <c r="Z121" s="3">
        <v>0.22222222222222221</v>
      </c>
      <c r="AA121" s="3">
        <v>6.9999999999999993E-2</v>
      </c>
      <c r="AB121" s="3">
        <v>0.63636363636363635</v>
      </c>
      <c r="AC121" s="3">
        <v>0.27272727272727271</v>
      </c>
      <c r="AD121" s="3">
        <v>0</v>
      </c>
      <c r="AE121" s="3">
        <v>0</v>
      </c>
      <c r="AF121" s="3">
        <v>0.18181818181818182</v>
      </c>
      <c r="AG121" s="3">
        <v>0.18181818181818182</v>
      </c>
      <c r="AH121" s="3">
        <v>0.19499999999999992</v>
      </c>
      <c r="AI121" s="3">
        <v>0.52702702702702686</v>
      </c>
      <c r="AJ121" s="3">
        <v>5.4054054054054036E-2</v>
      </c>
      <c r="AK121" s="3">
        <v>5.4054054054054036E-2</v>
      </c>
      <c r="AL121" s="3">
        <v>2.7027027027027018E-2</v>
      </c>
      <c r="AM121" s="3">
        <v>8.1081081081081058E-2</v>
      </c>
      <c r="AN121" s="3">
        <v>0</v>
      </c>
      <c r="AO121" s="3">
        <v>0</v>
      </c>
      <c r="AP121" s="3">
        <v>5.4054054054054036E-2</v>
      </c>
      <c r="AQ121" s="3">
        <v>0</v>
      </c>
      <c r="AR121" s="3">
        <v>0</v>
      </c>
      <c r="AS121" s="3">
        <v>0</v>
      </c>
      <c r="AT121" s="3">
        <v>0</v>
      </c>
      <c r="AU121" s="3">
        <v>5.4054054054054036E-2</v>
      </c>
      <c r="AV121" s="3">
        <v>0</v>
      </c>
      <c r="AW121" s="3">
        <v>0</v>
      </c>
      <c r="AX121" s="3">
        <v>5.4054054054054036E-2</v>
      </c>
      <c r="AY121" s="3">
        <v>2.7027027027027018E-2</v>
      </c>
      <c r="AZ121" s="3">
        <v>0</v>
      </c>
      <c r="BA121" s="3">
        <v>0</v>
      </c>
      <c r="BB121" s="3">
        <v>8.1081081081081058E-2</v>
      </c>
      <c r="BC121" s="3">
        <v>1.3513513513513509E-2</v>
      </c>
      <c r="BD121" s="3">
        <v>2.7027027027027018E-2</v>
      </c>
      <c r="BE121">
        <v>28.87</v>
      </c>
      <c r="BF121" s="3" t="str">
        <f>+IF(AVANCE[[#This Row],[% AVANCE]]=100%,"MODULO TERMINADO",IF(AVANCE[[#This Row],[FECHA INICIO REAL]]="","MODULO NO INICIADO","PENDIENTE"))</f>
        <v>PENDIENTE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1</v>
      </c>
      <c r="BI121" s="3">
        <f>+IF(AVANCE[[#This Row],[TABIQUES]]=O$2,100%,AVANCE[[#This Row],[TABIQUES]])</f>
        <v>1</v>
      </c>
      <c r="BJ121" s="3">
        <f>+IF(AVANCE[[#This Row],[MUROS]]=P$2,100%,AVANCE[[#This Row],[MUROS]])</f>
        <v>1</v>
      </c>
      <c r="BK121" s="3">
        <f>+IF(AVANCE[[#This Row],[CIELO]]=Q$2,100%,AVANCE[[#This Row],[CIELO]])</f>
        <v>1</v>
      </c>
      <c r="BL121" s="3">
        <f>+IF(AVANCE[[#This Row],[BALCÓN]]=R$2,100%,AVANCE[[#This Row],[BALCÓN]])</f>
        <v>1</v>
      </c>
      <c r="BM121" s="3">
        <f>+IF(AVANCE[[#This Row],[RED ALCANTARILLADO]]=U$2,100%,AVANCE[[#This Row],[RED ALCANTARILLADO]])</f>
        <v>1</v>
      </c>
      <c r="BN121" s="3">
        <f>+IF(AVANCE[[#This Row],[RED DE AGUA]]=V$2,100%,AVANCE[[#This Row],[RED DE AGUA]])</f>
        <v>1</v>
      </c>
      <c r="BO121" s="3">
        <f>+IF(AVANCE[[#This Row],[VENTILACIONES]]=W$2,100%,AVANCE[[#This Row],[VENTILACIONES]])</f>
        <v>1</v>
      </c>
      <c r="BP121" s="3">
        <f>+IF(AVANCE[[#This Row],[TINA]]=X$2,100%,AVANCE[[#This Row],[TINA]])</f>
        <v>1</v>
      </c>
      <c r="BQ121" s="3">
        <f>+IF(AVANCE[[#This Row],[WC]]=Y$2,100%,AVANCE[[#This Row],[WC]])</f>
        <v>1</v>
      </c>
      <c r="BR121" s="3">
        <f>+IF(AVANCE[[#This Row],[LAVAMANOS / LAVAPLATOS / LAVADERO]]=Z$2,100%,AVANCE[[#This Row],[LAVAMANOS / LAVAPLATOS / LAVADERO]])</f>
        <v>1</v>
      </c>
      <c r="BS121" s="3">
        <f>+IF(AVANCE[[#This Row],[CANALIZACIÓN]]=AC$2,100%,AVANCE[[#This Row],[CANALIZACIÓN]])</f>
        <v>1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1</v>
      </c>
      <c r="BW121" s="3">
        <f>+IF(AVANCE[[#This Row],[CAJA PAU]]=AG$2,100%,AVANCE[[#This Row],[CAJA PAU]])</f>
        <v>1</v>
      </c>
      <c r="BX121" s="3">
        <f>+IF(AVANCE[[#This Row],[INSTALACION VINILICO]]=AJ$2,100%,AVANCE[[#This Row],[INSTALACION VINILICO]])</f>
        <v>1</v>
      </c>
      <c r="BY121" s="3">
        <f>+IF(AVANCE[[#This Row],[OSB CUBIERTA]]=AK$2,100%,AVANCE[[#This Row],[OSB CUBIERTA]])</f>
        <v>1</v>
      </c>
      <c r="BZ121" s="3">
        <f>+IF(AVANCE[[#This Row],[BARANDA BALCON]]=AL$2,100%,AVANCE[[#This Row],[BARANDA BALCON]])</f>
        <v>1</v>
      </c>
      <c r="CA121" s="3">
        <f>+IF(AVANCE[[#This Row],[OSB EXTERIOR]]=AM$2,100%,AVANCE[[#This Row],[OSB EXTERIOR]])</f>
        <v>1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1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1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1</v>
      </c>
      <c r="CM121" s="3">
        <f>+IF(AVANCE[[#This Row],[MEMBRANA CIELO]]=AY$2,100%,AVANCE[[#This Row],[MEMBRANA CIELO]])</f>
        <v>1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1</v>
      </c>
      <c r="CQ121" s="3">
        <f>+IF(AVANCE[[#This Row],[MUEBLE LAVAPLATOS]]=BC$2,100%,AVANCE[[#This Row],[MUEBLE LAVAPLATOS]])</f>
        <v>1</v>
      </c>
      <c r="CR121" s="3">
        <f>+IF(AVANCE[[#This Row],[IMPERMEABILIZACION BANO - COCINA LOGIA]]=BD$2,100%,AVANCE[[#This Row],[IMPERMEABILIZACION BANO - COCINA LOGIA]])</f>
        <v>1</v>
      </c>
      <c r="CS121" s="40">
        <f ca="1">+IF(AVANCE[[#This Row],[ESTADO MODULO]]="PENDIENTE",(TODAY()-AVANCE[[#This Row],[FECHA TERMINO  PLANIFICADO]]),0)</f>
        <v>-4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ELÉCTRICO: CABLEADO, ARTEFACTOS | TERMINACIONES: VENTANAS, SMART PANEL, PINTURA EXTERIOR, MOLDURAS, PILASTREO, CELOSIAS, VENTANAS (TERM), CERRADURAS, REVESTIMIENTO INTERIOR ZONA SECA, LIMPIEZA FINAL, PUERTAS DORMITORIO</v>
      </c>
      <c r="CU121" s="43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ELÉCTRICO, TERMINACIONES</v>
      </c>
      <c r="CV121" s="44" cm="1">
        <f t="array" ref="CV121">SUMPRODUCT(--(BG121:CR121&lt;1))</f>
        <v>13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0.38999999999999996</v>
      </c>
      <c r="F122" s="1">
        <v>46191</v>
      </c>
      <c r="G122" s="1">
        <v>46206</v>
      </c>
      <c r="H122" s="1">
        <v>46209</v>
      </c>
      <c r="I122" s="1">
        <v>46215</v>
      </c>
      <c r="J122">
        <v>1</v>
      </c>
      <c r="K122" s="1"/>
      <c r="L122" s="3">
        <v>0.38999999999999996</v>
      </c>
      <c r="M122" s="3">
        <v>0.90697674418604646</v>
      </c>
      <c r="N122" s="3">
        <v>0.27906976744186046</v>
      </c>
      <c r="O122" s="3">
        <v>0.18604651162790697</v>
      </c>
      <c r="P122" s="3">
        <v>0.2558139534883721</v>
      </c>
      <c r="Q122" s="3">
        <v>0.18604651162790697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PENDIENTE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1</v>
      </c>
      <c r="BI122" s="3">
        <f>+IF(AVANCE[[#This Row],[TABIQUES]]=O$2,100%,AVANCE[[#This Row],[TABIQUES]])</f>
        <v>1</v>
      </c>
      <c r="BJ122" s="3">
        <f>+IF(AVANCE[[#This Row],[MUROS]]=P$2,100%,AVANCE[[#This Row],[MUROS]])</f>
        <v>1</v>
      </c>
      <c r="BK122" s="3">
        <f>+IF(AVANCE[[#This Row],[CIELO]]=Q$2,100%,AVANCE[[#This Row],[CIELO]])</f>
        <v>1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-5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3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4" cm="1">
        <f t="array" ref="CV122">SUMPRODUCT(--(BG122:CR122&lt;1))</f>
        <v>34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0.38999999999999996</v>
      </c>
      <c r="F123" s="1">
        <v>46191</v>
      </c>
      <c r="G123" s="1">
        <v>46205</v>
      </c>
      <c r="H123" s="1">
        <v>46206</v>
      </c>
      <c r="I123" s="1">
        <v>46225</v>
      </c>
      <c r="J123">
        <v>4</v>
      </c>
      <c r="K123" s="1"/>
      <c r="L123" s="3">
        <v>0.38999999999999996</v>
      </c>
      <c r="M123" s="3">
        <v>0.90697674418604646</v>
      </c>
      <c r="N123" s="3">
        <v>0.27906976744186046</v>
      </c>
      <c r="O123" s="3">
        <v>0.18604651162790697</v>
      </c>
      <c r="P123" s="3">
        <v>0.2558139534883721</v>
      </c>
      <c r="Q123" s="3">
        <v>0.18604651162790697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PENDIENTE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1</v>
      </c>
      <c r="BI123" s="3">
        <f>+IF(AVANCE[[#This Row],[TABIQUES]]=O$2,100%,AVANCE[[#This Row],[TABIQUES]])</f>
        <v>1</v>
      </c>
      <c r="BJ123" s="3">
        <f>+IF(AVANCE[[#This Row],[MUROS]]=P$2,100%,AVANCE[[#This Row],[MUROS]])</f>
        <v>1</v>
      </c>
      <c r="BK123" s="3">
        <f>+IF(AVANCE[[#This Row],[CIELO]]=Q$2,100%,AVANCE[[#This Row],[CIELO]])</f>
        <v>1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-15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3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4" cm="1">
        <f t="array" ref="CV123">SUMPRODUCT(--(BG123:CR123&lt;1))</f>
        <v>34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0.38999999999999996</v>
      </c>
      <c r="F124" s="1">
        <v>46192</v>
      </c>
      <c r="G124" s="1">
        <v>46206</v>
      </c>
      <c r="H124" s="1">
        <v>46210</v>
      </c>
      <c r="I124" s="1">
        <v>46226</v>
      </c>
      <c r="J124">
        <v>0</v>
      </c>
      <c r="K124" s="1"/>
      <c r="L124" s="3">
        <v>0.38999999999999996</v>
      </c>
      <c r="M124" s="3">
        <v>0.90697674418604646</v>
      </c>
      <c r="N124" s="3">
        <v>0.27906976744186046</v>
      </c>
      <c r="O124" s="3">
        <v>0.18604651162790697</v>
      </c>
      <c r="P124" s="3">
        <v>0.2558139534883721</v>
      </c>
      <c r="Q124" s="3">
        <v>0.18604651162790697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PENDIENTE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1</v>
      </c>
      <c r="BI124" s="3">
        <f>+IF(AVANCE[[#This Row],[TABIQUES]]=O$2,100%,AVANCE[[#This Row],[TABIQUES]])</f>
        <v>1</v>
      </c>
      <c r="BJ124" s="3">
        <f>+IF(AVANCE[[#This Row],[MUROS]]=P$2,100%,AVANCE[[#This Row],[MUROS]])</f>
        <v>1</v>
      </c>
      <c r="BK124" s="3">
        <f>+IF(AVANCE[[#This Row],[CIELO]]=Q$2,100%,AVANCE[[#This Row],[CIELO]])</f>
        <v>1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-16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3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4" cm="1">
        <f t="array" ref="CV124">SUMPRODUCT(--(BG124:CR124&lt;1))</f>
        <v>34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0.12</v>
      </c>
      <c r="F125" s="1">
        <v>46192</v>
      </c>
      <c r="G125" s="1">
        <v>46206</v>
      </c>
      <c r="H125" s="1">
        <v>46206</v>
      </c>
      <c r="I125" s="1">
        <v>46216</v>
      </c>
      <c r="J125">
        <v>4</v>
      </c>
      <c r="K125" s="1"/>
      <c r="L125" s="3">
        <v>0.12</v>
      </c>
      <c r="M125" s="3">
        <v>0.27906976744186046</v>
      </c>
      <c r="N125" s="3">
        <v>0.27906976744186046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PENDIENTE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1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-6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3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4" cm="1">
        <f t="array" ref="CV125">SUMPRODUCT(--(BG125:CR125&lt;1))</f>
        <v>37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0.38999999999999996</v>
      </c>
      <c r="F126" s="1">
        <v>46195</v>
      </c>
      <c r="G126" s="1">
        <v>46210</v>
      </c>
      <c r="H126" s="1">
        <v>46210</v>
      </c>
      <c r="I126" s="1">
        <v>46219</v>
      </c>
      <c r="J126">
        <v>0</v>
      </c>
      <c r="K126" s="1"/>
      <c r="L126" s="3">
        <v>0.38999999999999996</v>
      </c>
      <c r="M126" s="3">
        <v>0.90697674418604646</v>
      </c>
      <c r="N126" s="3">
        <v>0.27906976744186046</v>
      </c>
      <c r="O126" s="3">
        <v>0.18604651162790697</v>
      </c>
      <c r="P126" s="3">
        <v>0.2558139534883721</v>
      </c>
      <c r="Q126" s="3">
        <v>0.18604651162790697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PENDIENTE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1</v>
      </c>
      <c r="BI126" s="3">
        <f>+IF(AVANCE[[#This Row],[TABIQUES]]=O$2,100%,AVANCE[[#This Row],[TABIQUES]])</f>
        <v>1</v>
      </c>
      <c r="BJ126" s="3">
        <f>+IF(AVANCE[[#This Row],[MUROS]]=P$2,100%,AVANCE[[#This Row],[MUROS]])</f>
        <v>1</v>
      </c>
      <c r="BK126" s="3">
        <f>+IF(AVANCE[[#This Row],[CIELO]]=Q$2,100%,AVANCE[[#This Row],[CIELO]])</f>
        <v>1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-9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3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4" cm="1">
        <f t="array" ref="CV126">SUMPRODUCT(--(BG126:CR126&lt;1))</f>
        <v>34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0.12</v>
      </c>
      <c r="F127" s="1">
        <v>46195</v>
      </c>
      <c r="G127" s="1">
        <v>46206</v>
      </c>
      <c r="H127" s="1">
        <v>46206</v>
      </c>
      <c r="I127" s="1">
        <v>46229</v>
      </c>
      <c r="J127">
        <v>4</v>
      </c>
      <c r="K127" s="1"/>
      <c r="L127" s="3">
        <v>0.12</v>
      </c>
      <c r="M127" s="3">
        <v>0.27906976744186046</v>
      </c>
      <c r="N127" s="3">
        <v>0.27906976744186046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PENDIENTE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1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-19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3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4" cm="1">
        <f t="array" ref="CV127">SUMPRODUCT(--(BG127:CR127&lt;1))</f>
        <v>37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0.38999999999999996</v>
      </c>
      <c r="F128" s="1">
        <v>46196</v>
      </c>
      <c r="G128" s="1">
        <v>46205</v>
      </c>
      <c r="H128" s="1">
        <v>46206</v>
      </c>
      <c r="I128" s="1">
        <v>46230</v>
      </c>
      <c r="J128">
        <v>4</v>
      </c>
      <c r="K128" s="1"/>
      <c r="L128" s="3">
        <v>0.38999999999999996</v>
      </c>
      <c r="M128" s="3">
        <v>0.90697674418604646</v>
      </c>
      <c r="N128" s="3">
        <v>0.27906976744186046</v>
      </c>
      <c r="O128" s="3">
        <v>0.18604651162790697</v>
      </c>
      <c r="P128" s="3">
        <v>0.2558139534883721</v>
      </c>
      <c r="Q128" s="3">
        <v>0.18604651162790697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PENDIENTE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1</v>
      </c>
      <c r="BI128" s="3">
        <f>+IF(AVANCE[[#This Row],[TABIQUES]]=O$2,100%,AVANCE[[#This Row],[TABIQUES]])</f>
        <v>1</v>
      </c>
      <c r="BJ128" s="3">
        <f>+IF(AVANCE[[#This Row],[MUROS]]=P$2,100%,AVANCE[[#This Row],[MUROS]])</f>
        <v>1</v>
      </c>
      <c r="BK128" s="3">
        <f>+IF(AVANCE[[#This Row],[CIELO]]=Q$2,100%,AVANCE[[#This Row],[CIELO]])</f>
        <v>1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-20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3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4" cm="1">
        <f t="array" ref="CV128">SUMPRODUCT(--(BG128:CR128&lt;1))</f>
        <v>34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0.38999999999999996</v>
      </c>
      <c r="F129" s="1">
        <v>46196</v>
      </c>
      <c r="G129" s="1">
        <v>46205</v>
      </c>
      <c r="H129" s="1">
        <v>46206</v>
      </c>
      <c r="I129" s="1">
        <v>46220</v>
      </c>
      <c r="J129">
        <v>4</v>
      </c>
      <c r="K129" s="1"/>
      <c r="L129" s="3">
        <v>0.38999999999999996</v>
      </c>
      <c r="M129" s="3">
        <v>0.90697674418604646</v>
      </c>
      <c r="N129" s="3">
        <v>0.27906976744186046</v>
      </c>
      <c r="O129" s="3">
        <v>0.18604651162790697</v>
      </c>
      <c r="P129" s="3">
        <v>0.2558139534883721</v>
      </c>
      <c r="Q129" s="3">
        <v>0.18604651162790697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PENDIENTE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1</v>
      </c>
      <c r="BI129" s="3">
        <f>+IF(AVANCE[[#This Row],[TABIQUES]]=O$2,100%,AVANCE[[#This Row],[TABIQUES]])</f>
        <v>1</v>
      </c>
      <c r="BJ129" s="3">
        <f>+IF(AVANCE[[#This Row],[MUROS]]=P$2,100%,AVANCE[[#This Row],[MUROS]])</f>
        <v>1</v>
      </c>
      <c r="BK129" s="3">
        <f>+IF(AVANCE[[#This Row],[CIELO]]=Q$2,100%,AVANCE[[#This Row],[CIELO]])</f>
        <v>1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-10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3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4" cm="1">
        <f t="array" ref="CV129">SUMPRODUCT(--(BG129:CR129&lt;1))</f>
        <v>34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46210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3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4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46210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3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4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46210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3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4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46210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3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4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46210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3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4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46210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3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4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46210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3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4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46210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3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4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46210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3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4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46210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3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4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46210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3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4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46210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3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4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46210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3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4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46210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3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4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46210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3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4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46210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3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4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46210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3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4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46210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3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4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46210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3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4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46210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3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4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46210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3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4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46210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3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4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46210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3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4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46210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3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4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46210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3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4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46210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3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4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46210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3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4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46210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3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4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46210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3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4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46210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3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4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46210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3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4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46210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3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4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46210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3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4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46210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3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4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46210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3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4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46210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3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4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46210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3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4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46210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3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4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46210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3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4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46210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3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4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46210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3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4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46210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3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4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46210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3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4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46210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3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4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46210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3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4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46210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3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4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46210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3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4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46210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3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4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46210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3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4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46210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3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4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46210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3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4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46210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3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4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46210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3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4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46210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3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4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46210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3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4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46210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3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4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46210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3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4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46210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3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4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46210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3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4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46210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3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4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46210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3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4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46210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3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4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46210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3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4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46210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3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4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46210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3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4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46210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3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4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46210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3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4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46210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3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4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46210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3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4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46210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3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4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46210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3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4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46210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3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4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46210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3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4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46210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3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4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46210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3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4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46210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3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4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46210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3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4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46210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3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4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46210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3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4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46210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3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4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46210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3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4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46210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3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4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46210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3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4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46210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3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4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46210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3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4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46210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3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4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46210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3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4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46210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3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4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46210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3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4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46210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3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4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46210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3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4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46210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3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4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46210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3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4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46210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3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4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46210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3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4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46210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3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4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46210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3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4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46210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3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4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46210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3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4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46210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3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4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46210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3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4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46210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3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4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46210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3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4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46210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3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4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46210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3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4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46210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3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4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46210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3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4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46210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3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4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46210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3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4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46210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3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4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46210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3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4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46210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3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4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46210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3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4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46210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3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4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46210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3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4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46210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3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4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46210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3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4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46210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3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4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46210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3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4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46210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3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4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46210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3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4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46210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3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4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46210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3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4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46210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3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4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46210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3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4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46210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3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4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46210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3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4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46210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3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4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46210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3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4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46210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3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4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46210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3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4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46210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3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4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46210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3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4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46210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3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4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46210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3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4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46210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3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4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46210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3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4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46210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3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4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46210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3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4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46210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3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4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46210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3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4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46210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3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4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46210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3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4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46210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3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4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46210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3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4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46210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3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4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46210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3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4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46210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3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4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46210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3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4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46210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3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4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46210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3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4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46210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3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4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46210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3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4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46210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3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4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46210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3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4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46210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3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4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46210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3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4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46210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3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4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46210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3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4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46210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3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4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46210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3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4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46210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3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4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46210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3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4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46210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3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4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46210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3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4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46210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3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4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46210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3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4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46210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3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4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46210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3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4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46210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3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4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46210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3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4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46210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3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4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46210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3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4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46210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3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4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46210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3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4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46210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3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4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46210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3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4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46210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3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4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46210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3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4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46210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3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4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46210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3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4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46210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3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4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46210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3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4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46210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3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4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46210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3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4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46210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3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4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46210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3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4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46210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3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4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46210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3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4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46210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3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4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46210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3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4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46210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3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4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46210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3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4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46210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3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4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46210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3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4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46210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3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4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46210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3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4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46210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3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4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46210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3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4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46210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3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4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46210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3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4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46210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3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4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46210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3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4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46210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3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4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46210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3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4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46210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3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4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46210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3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4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46210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3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4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46210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3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4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46210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3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4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46210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3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4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46210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3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4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46210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3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4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46210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3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4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46210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3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4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46210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3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4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46210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3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4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46210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3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4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46210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3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4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46210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3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4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46210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3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4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46210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3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4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46210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3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4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46210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3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4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46210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3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4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46210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3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4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46210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3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4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46210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3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4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46210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3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4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46210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3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4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46210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3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4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46210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3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4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46210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3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4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46210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3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4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46210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3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4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46210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3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4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46210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3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4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46210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3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4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46210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3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4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46210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3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4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46210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3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4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46210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3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4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46210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3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4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46210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3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4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46210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3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4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46210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3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4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46210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3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4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46210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3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4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46210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3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4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46210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3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4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46210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3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4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46210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3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4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46210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3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4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46210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3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4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46210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3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4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46210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3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4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46210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3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4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46210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3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4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46210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3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4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46210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3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4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46210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3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4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46210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3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4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46210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3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4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46210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3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4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46210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3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4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46210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3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4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46210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3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4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46210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3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4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46210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3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4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46210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3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4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46210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3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4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46210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3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4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46210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3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4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46210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3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4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46210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3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4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46210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3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4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46210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3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4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46210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3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4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46210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3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4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46210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3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4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46210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3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4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46210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3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4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46210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3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4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46210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3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4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46210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3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4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46210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3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4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46210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3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4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46210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3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4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46210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3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4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46210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3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4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46210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3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4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46210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3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4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46210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3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4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46210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3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4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46210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3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4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46210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3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4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46210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3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4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46210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3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4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46210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3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4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46210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3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4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46210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3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4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46210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3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4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46210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3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4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46210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3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4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46210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3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4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46210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3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4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46210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3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4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46210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3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4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46210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3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4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46210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3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4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46210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3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4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46210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3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4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46210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3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4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46210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3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4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46210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3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4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46210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3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4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46210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3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4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46210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3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4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46210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3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4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46210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3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4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46210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3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4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46210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3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4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46210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3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4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46210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3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4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46210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3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4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46210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3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4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46210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3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4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46210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3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4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46210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3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4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46210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3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4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46210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3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4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46210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3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4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46210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3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4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46210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3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4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46210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3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4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46210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3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4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46210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3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4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46210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3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4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46210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3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4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46210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3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4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46210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3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4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46210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3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4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46210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3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4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46210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3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4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46210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3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4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46210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3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4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46210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3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4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46210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3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4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46210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3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4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46210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3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4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46210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3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4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46210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3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4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46210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3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4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46210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3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4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46210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3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4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46210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3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4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46210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3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4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46210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3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4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46210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3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4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46210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3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4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46210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3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4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46210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3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4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46210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3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4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46210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3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4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46210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3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4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46210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3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4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46210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3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4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46210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3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4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46210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3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4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46210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3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4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46210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3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4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46210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3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4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46210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3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4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46210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3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4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46210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3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4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46210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3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4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46210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3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4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46210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3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4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46210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3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4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46210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3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4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46210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3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4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46210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3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4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46210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3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4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46210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3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4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46210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3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4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46210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3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4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46210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3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4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46210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3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4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46210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3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4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46210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3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4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46210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3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4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46210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3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4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46210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3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4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46210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3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4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46210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3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4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46210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3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4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46210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3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4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46210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3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4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46210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3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4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46210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3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4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46210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3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4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46210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3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4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46210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3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4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46210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3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4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46210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3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4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46210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3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4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46210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3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4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46210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3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4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46210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3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4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46210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3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4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46210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3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4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46210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3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4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46210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3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4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46210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3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4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46210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3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4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46210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3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4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46210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3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4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46210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3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4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46210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3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4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46210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3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4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46210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3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4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46210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3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4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46210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3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4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46210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3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4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46210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3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4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46210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3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4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46210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3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4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46210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3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4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46210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3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4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46210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3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4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46210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3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4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46210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3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4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46210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3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4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46210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3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4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46210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3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4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46210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3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4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46210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3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4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46210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3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4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46210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3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4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46210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3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4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46210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3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4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46210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3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4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46210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3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4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46210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3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4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46210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3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4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46210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3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4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46210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3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4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46210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3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4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46210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3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4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46210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3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4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46210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3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4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46210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3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4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46210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3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4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46210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3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4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46210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3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4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46210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3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4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46210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3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4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46210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3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4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46210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3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4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46210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3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4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46210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3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4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46210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3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4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46210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3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4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46210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3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4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46210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3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4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46210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3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4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46210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3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4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46210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3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4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46210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3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4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46210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3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4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46210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3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4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46210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3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4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46210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3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4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46210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3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4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46210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3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4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46210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3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4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46210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3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4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46210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3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4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46210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3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4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46210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3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4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46210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3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4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46210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3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4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46210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3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4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46210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3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4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46210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3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4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46210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3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4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46210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3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4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46210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3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4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46210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3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4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46210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3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4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46210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3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4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46210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3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4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46210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3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4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46210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3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4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46210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3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4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46210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3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4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46210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3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4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46210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3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4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46210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3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4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46210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3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4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46210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3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4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46210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3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4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46210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3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4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46210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3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4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46210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3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4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46210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3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4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46210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3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4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46210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3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4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46210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3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4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46210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3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4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46210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3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4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46210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3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4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46210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3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4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46210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3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4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46210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3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4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46210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3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4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46210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3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4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46210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3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4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46210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3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4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46210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3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4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46210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3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4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46210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3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4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46210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3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4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46210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3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4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46210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3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4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46210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3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4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46210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3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4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46210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3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4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46210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3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4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46210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3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4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46210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3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4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46210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3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4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46210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3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4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46210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3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4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46210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3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4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46210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3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4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46210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3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4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46210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3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4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46210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3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4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46210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3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4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46210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3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4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46210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3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4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46210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3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4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46210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3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4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46210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3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4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46210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3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4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46210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3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4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46210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3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4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46210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3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4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46210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3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4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46210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3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4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46210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3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4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46210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3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4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46210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3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4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46210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3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4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46210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3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4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46210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3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4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46210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3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4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46210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3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4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46210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3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4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46210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3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4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46210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3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4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46210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3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4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46210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3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4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46210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3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4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46210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3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4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46210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3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4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46210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3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4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46210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3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4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46210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3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4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46210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3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4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46210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3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4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46210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3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4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46210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3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4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46210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3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4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46210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3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4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5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913</v>
      </c>
      <c r="G1" s="54" t="s">
        <v>912</v>
      </c>
      <c r="H1" s="21" t="s">
        <v>911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906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6" t="s">
        <v>914</v>
      </c>
      <c r="G2" s="50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6" t="s">
        <v>914</v>
      </c>
      <c r="G3" s="50">
        <v>4</v>
      </c>
      <c r="H3">
        <v>1</v>
      </c>
      <c r="I3" t="s">
        <v>908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6" t="s">
        <v>914</v>
      </c>
      <c r="G4" s="50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6" t="s">
        <v>914</v>
      </c>
      <c r="G5" s="50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7" t="s">
        <v>914</v>
      </c>
      <c r="G6" s="51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8" t="s">
        <v>914</v>
      </c>
      <c r="G7" s="52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8" t="s">
        <v>914</v>
      </c>
      <c r="G8" s="52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9" t="s">
        <v>914</v>
      </c>
      <c r="G9" s="53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9" t="s">
        <v>914</v>
      </c>
      <c r="G10" s="53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9" t="s">
        <v>914</v>
      </c>
      <c r="G11" s="53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9" t="s">
        <v>914</v>
      </c>
      <c r="G12" s="53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9" t="s">
        <v>914</v>
      </c>
      <c r="G13" s="53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9" t="s">
        <v>914</v>
      </c>
      <c r="G14" s="53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9" t="s">
        <v>914</v>
      </c>
      <c r="G15" s="53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9" t="s">
        <v>914</v>
      </c>
      <c r="G16" s="53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9" t="s">
        <v>914</v>
      </c>
      <c r="G17" s="53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9" t="s">
        <v>914</v>
      </c>
      <c r="G18" s="53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9" t="s">
        <v>914</v>
      </c>
      <c r="G19" s="53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9" t="s">
        <v>914</v>
      </c>
      <c r="G20" s="53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9" t="s">
        <v>914</v>
      </c>
      <c r="G21" s="53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9" t="s">
        <v>914</v>
      </c>
      <c r="G22" s="53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6" t="s">
        <v>916</v>
      </c>
      <c r="G23" s="50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7" t="s">
        <v>916</v>
      </c>
      <c r="G24" s="51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7" t="s">
        <v>916</v>
      </c>
      <c r="G25" s="51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7" t="s">
        <v>916</v>
      </c>
      <c r="G26" s="51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7" t="s">
        <v>916</v>
      </c>
      <c r="G27" s="51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8" t="s">
        <v>916</v>
      </c>
      <c r="G28" s="52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9" t="s">
        <v>916</v>
      </c>
      <c r="G29" s="53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9" t="s">
        <v>916</v>
      </c>
      <c r="G30" s="53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9" t="s">
        <v>916</v>
      </c>
      <c r="G31" s="53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8" t="s">
        <v>915</v>
      </c>
      <c r="G32" s="52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8" t="s">
        <v>915</v>
      </c>
      <c r="G33" s="52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8" t="s">
        <v>915</v>
      </c>
      <c r="G34" s="52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9" t="s">
        <v>915</v>
      </c>
      <c r="G35" s="53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9" t="s">
        <v>917</v>
      </c>
      <c r="G36" s="53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9" t="s">
        <v>917</v>
      </c>
      <c r="G37" s="53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9" t="s">
        <v>917</v>
      </c>
      <c r="G38" s="53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4" t="s">
        <v>922</v>
      </c>
      <c r="B1" s="75"/>
      <c r="C1" s="75"/>
      <c r="D1" s="75"/>
      <c r="E1" s="75"/>
      <c r="F1" s="75"/>
      <c r="G1" s="75"/>
      <c r="H1" s="76" t="s">
        <v>923</v>
      </c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</row>
    <row r="2" spans="1:29" x14ac:dyDescent="0.25">
      <c r="A2" s="77" t="s">
        <v>924</v>
      </c>
      <c r="B2" s="75"/>
      <c r="C2" s="75"/>
      <c r="D2" s="75"/>
      <c r="E2" s="75"/>
      <c r="F2" s="75"/>
      <c r="G2" s="75"/>
    </row>
    <row r="4" spans="1:29" x14ac:dyDescent="0.25">
      <c r="A4" s="63" t="s">
        <v>918</v>
      </c>
      <c r="B4" s="63" t="s">
        <v>784</v>
      </c>
      <c r="C4" s="63" t="s">
        <v>920</v>
      </c>
      <c r="D4" s="63" t="s">
        <v>919</v>
      </c>
      <c r="E4" s="63" t="s">
        <v>925</v>
      </c>
      <c r="F4" s="63" t="s">
        <v>926</v>
      </c>
      <c r="G4" s="63" t="s">
        <v>927</v>
      </c>
      <c r="H4" s="63">
        <v>1</v>
      </c>
      <c r="I4" s="63">
        <v>2</v>
      </c>
      <c r="J4" s="63">
        <v>3</v>
      </c>
      <c r="K4" s="63">
        <v>4</v>
      </c>
      <c r="L4" s="63">
        <v>5</v>
      </c>
      <c r="M4" s="63">
        <v>6</v>
      </c>
      <c r="N4" s="63">
        <v>7</v>
      </c>
      <c r="O4" s="63">
        <v>8</v>
      </c>
      <c r="P4" s="63">
        <v>9</v>
      </c>
      <c r="Q4" s="63">
        <v>10</v>
      </c>
      <c r="R4" s="63">
        <v>11</v>
      </c>
      <c r="S4" s="63">
        <v>12</v>
      </c>
      <c r="T4" s="63">
        <v>13</v>
      </c>
      <c r="U4" s="63">
        <v>14</v>
      </c>
      <c r="V4" s="63">
        <v>15</v>
      </c>
      <c r="W4" s="63">
        <v>16</v>
      </c>
      <c r="X4" s="63">
        <v>17</v>
      </c>
      <c r="Y4" s="63">
        <v>18</v>
      </c>
      <c r="Z4" s="63">
        <v>19</v>
      </c>
      <c r="AA4" s="63">
        <v>20</v>
      </c>
      <c r="AB4" s="63">
        <v>21</v>
      </c>
      <c r="AC4" s="63">
        <v>22</v>
      </c>
    </row>
    <row r="5" spans="1:29" x14ac:dyDescent="0.25">
      <c r="A5" s="56">
        <v>1</v>
      </c>
      <c r="B5" s="57" t="s">
        <v>789</v>
      </c>
      <c r="C5" s="64" t="s">
        <v>12</v>
      </c>
      <c r="D5" s="56" t="s">
        <v>914</v>
      </c>
      <c r="E5" s="56">
        <v>1</v>
      </c>
      <c r="F5" s="56">
        <v>1</v>
      </c>
      <c r="G5" s="56">
        <v>1</v>
      </c>
      <c r="H5" s="65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</row>
    <row r="6" spans="1:29" x14ac:dyDescent="0.25">
      <c r="A6" s="56">
        <v>2</v>
      </c>
      <c r="B6" s="57" t="s">
        <v>791</v>
      </c>
      <c r="C6" s="64" t="s">
        <v>12</v>
      </c>
      <c r="D6" s="56" t="s">
        <v>914</v>
      </c>
      <c r="E6" s="56">
        <v>1</v>
      </c>
      <c r="F6" s="56">
        <v>2</v>
      </c>
      <c r="G6" s="56">
        <v>2</v>
      </c>
      <c r="H6" s="66"/>
      <c r="I6" s="65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</row>
    <row r="7" spans="1:29" x14ac:dyDescent="0.25">
      <c r="A7" s="56">
        <v>3</v>
      </c>
      <c r="B7" s="57" t="s">
        <v>792</v>
      </c>
      <c r="C7" s="64" t="s">
        <v>12</v>
      </c>
      <c r="D7" s="56" t="s">
        <v>914</v>
      </c>
      <c r="E7" s="56">
        <v>1</v>
      </c>
      <c r="F7" s="56">
        <v>3</v>
      </c>
      <c r="G7" s="56">
        <v>3</v>
      </c>
      <c r="H7" s="66"/>
      <c r="I7" s="66"/>
      <c r="J7" s="65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</row>
    <row r="8" spans="1:29" x14ac:dyDescent="0.25">
      <c r="A8" s="56">
        <v>4</v>
      </c>
      <c r="B8" s="57" t="s">
        <v>790</v>
      </c>
      <c r="C8" s="64" t="s">
        <v>12</v>
      </c>
      <c r="D8" s="56" t="s">
        <v>914</v>
      </c>
      <c r="E8" s="56">
        <v>1</v>
      </c>
      <c r="F8" s="56">
        <v>4</v>
      </c>
      <c r="G8" s="56">
        <v>4</v>
      </c>
      <c r="H8" s="66"/>
      <c r="I8" s="66"/>
      <c r="J8" s="66"/>
      <c r="K8" s="65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</row>
    <row r="9" spans="1:29" x14ac:dyDescent="0.25">
      <c r="A9" s="56">
        <v>5</v>
      </c>
      <c r="B9" s="57" t="s">
        <v>21</v>
      </c>
      <c r="C9" s="67" t="s">
        <v>799</v>
      </c>
      <c r="D9" s="56" t="s">
        <v>914</v>
      </c>
      <c r="E9" s="56">
        <v>3</v>
      </c>
      <c r="F9" s="56">
        <v>4</v>
      </c>
      <c r="G9" s="56">
        <v>6</v>
      </c>
      <c r="H9" s="66"/>
      <c r="I9" s="66"/>
      <c r="J9" s="66"/>
      <c r="K9" s="68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</row>
    <row r="10" spans="1:29" x14ac:dyDescent="0.25">
      <c r="A10" s="56">
        <v>6</v>
      </c>
      <c r="B10" s="57" t="s">
        <v>20</v>
      </c>
      <c r="C10" s="67" t="s">
        <v>799</v>
      </c>
      <c r="D10" s="56" t="s">
        <v>914</v>
      </c>
      <c r="E10" s="56">
        <v>3</v>
      </c>
      <c r="F10" s="56">
        <v>4</v>
      </c>
      <c r="G10" s="56">
        <v>6</v>
      </c>
      <c r="H10" s="66"/>
      <c r="I10" s="66"/>
      <c r="J10" s="66"/>
      <c r="K10" s="68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</row>
    <row r="11" spans="1:29" x14ac:dyDescent="0.25">
      <c r="A11" s="56">
        <v>7</v>
      </c>
      <c r="B11" s="57" t="s">
        <v>794</v>
      </c>
      <c r="C11" s="69" t="s">
        <v>27</v>
      </c>
      <c r="D11" s="56" t="s">
        <v>914</v>
      </c>
      <c r="E11" s="56">
        <v>1</v>
      </c>
      <c r="F11" s="56">
        <v>5</v>
      </c>
      <c r="G11" s="56">
        <v>5</v>
      </c>
      <c r="H11" s="66"/>
      <c r="I11" s="66"/>
      <c r="J11" s="66"/>
      <c r="K11" s="66"/>
      <c r="L11" s="70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</row>
    <row r="12" spans="1:29" x14ac:dyDescent="0.25">
      <c r="A12" s="56">
        <v>8</v>
      </c>
      <c r="B12" s="57" t="s">
        <v>36</v>
      </c>
      <c r="C12" s="71" t="s">
        <v>34</v>
      </c>
      <c r="D12" s="56" t="s">
        <v>914</v>
      </c>
      <c r="E12" s="56">
        <v>1</v>
      </c>
      <c r="F12" s="56">
        <v>5</v>
      </c>
      <c r="G12" s="56">
        <v>5</v>
      </c>
      <c r="H12" s="66"/>
      <c r="I12" s="66"/>
      <c r="J12" s="66"/>
      <c r="K12" s="66"/>
      <c r="L12" s="72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</row>
    <row r="13" spans="1:29" x14ac:dyDescent="0.25">
      <c r="A13" s="56">
        <v>9</v>
      </c>
      <c r="B13" s="57" t="s">
        <v>38</v>
      </c>
      <c r="C13" s="71" t="s">
        <v>34</v>
      </c>
      <c r="D13" s="56" t="s">
        <v>917</v>
      </c>
      <c r="E13" s="56">
        <v>1</v>
      </c>
      <c r="F13" s="56">
        <v>5</v>
      </c>
      <c r="G13" s="56">
        <v>5</v>
      </c>
      <c r="H13" s="66"/>
      <c r="I13" s="66"/>
      <c r="J13" s="66"/>
      <c r="K13" s="66"/>
      <c r="L13" s="72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</row>
    <row r="14" spans="1:29" x14ac:dyDescent="0.25">
      <c r="A14" s="56">
        <v>10</v>
      </c>
      <c r="B14" s="57" t="s">
        <v>795</v>
      </c>
      <c r="C14" s="69" t="s">
        <v>27</v>
      </c>
      <c r="D14" s="56" t="s">
        <v>916</v>
      </c>
      <c r="E14" s="56">
        <v>2</v>
      </c>
      <c r="F14" s="56">
        <v>6</v>
      </c>
      <c r="G14" s="56">
        <v>7</v>
      </c>
      <c r="H14" s="66"/>
      <c r="I14" s="66"/>
      <c r="J14" s="66"/>
      <c r="K14" s="66"/>
      <c r="L14" s="66"/>
      <c r="M14" s="70"/>
      <c r="N14" s="70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</row>
    <row r="15" spans="1:29" x14ac:dyDescent="0.25">
      <c r="A15" s="56">
        <v>11</v>
      </c>
      <c r="B15" s="57" t="s">
        <v>50</v>
      </c>
      <c r="C15" s="71" t="s">
        <v>34</v>
      </c>
      <c r="D15" s="56" t="s">
        <v>914</v>
      </c>
      <c r="E15" s="56">
        <v>1</v>
      </c>
      <c r="F15" s="56">
        <v>6</v>
      </c>
      <c r="G15" s="56">
        <v>6</v>
      </c>
      <c r="H15" s="66"/>
      <c r="I15" s="66"/>
      <c r="J15" s="66"/>
      <c r="K15" s="66"/>
      <c r="L15" s="66"/>
      <c r="M15" s="72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</row>
    <row r="16" spans="1:29" x14ac:dyDescent="0.25">
      <c r="A16" s="56">
        <v>12</v>
      </c>
      <c r="B16" s="57" t="s">
        <v>39</v>
      </c>
      <c r="C16" s="71" t="s">
        <v>34</v>
      </c>
      <c r="D16" s="56" t="s">
        <v>917</v>
      </c>
      <c r="E16" s="56">
        <v>4</v>
      </c>
      <c r="F16" s="56">
        <v>6</v>
      </c>
      <c r="G16" s="56">
        <v>9</v>
      </c>
      <c r="H16" s="66"/>
      <c r="I16" s="66"/>
      <c r="J16" s="66"/>
      <c r="K16" s="66"/>
      <c r="L16" s="66"/>
      <c r="M16" s="72"/>
      <c r="N16" s="72"/>
      <c r="O16" s="72"/>
      <c r="P16" s="72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</row>
    <row r="17" spans="1:29" x14ac:dyDescent="0.25">
      <c r="A17" s="56">
        <v>13</v>
      </c>
      <c r="B17" s="57" t="s">
        <v>800</v>
      </c>
      <c r="C17" s="67" t="s">
        <v>799</v>
      </c>
      <c r="D17" s="56" t="s">
        <v>916</v>
      </c>
      <c r="E17" s="56">
        <v>2</v>
      </c>
      <c r="F17" s="56">
        <v>7</v>
      </c>
      <c r="G17" s="56">
        <v>8</v>
      </c>
      <c r="H17" s="66"/>
      <c r="I17" s="66"/>
      <c r="J17" s="66"/>
      <c r="K17" s="66"/>
      <c r="L17" s="66"/>
      <c r="M17" s="66"/>
      <c r="N17" s="68"/>
      <c r="O17" s="68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</row>
    <row r="18" spans="1:29" x14ac:dyDescent="0.25">
      <c r="A18" s="56">
        <v>14</v>
      </c>
      <c r="B18" s="57" t="s">
        <v>793</v>
      </c>
      <c r="C18" s="64" t="s">
        <v>12</v>
      </c>
      <c r="D18" s="56" t="s">
        <v>916</v>
      </c>
      <c r="E18" s="56">
        <v>3</v>
      </c>
      <c r="F18" s="56">
        <v>8</v>
      </c>
      <c r="G18" s="56">
        <v>10</v>
      </c>
      <c r="H18" s="66"/>
      <c r="I18" s="66"/>
      <c r="J18" s="66"/>
      <c r="K18" s="66"/>
      <c r="L18" s="66"/>
      <c r="M18" s="66"/>
      <c r="N18" s="66"/>
      <c r="O18" s="65"/>
      <c r="P18" s="65"/>
      <c r="Q18" s="65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</row>
    <row r="19" spans="1:29" x14ac:dyDescent="0.25">
      <c r="A19" s="56">
        <v>15</v>
      </c>
      <c r="B19" s="57" t="s">
        <v>801</v>
      </c>
      <c r="C19" s="71" t="s">
        <v>34</v>
      </c>
      <c r="D19" s="56" t="s">
        <v>914</v>
      </c>
      <c r="E19" s="56">
        <v>2</v>
      </c>
      <c r="F19" s="56">
        <v>8</v>
      </c>
      <c r="G19" s="56">
        <v>9</v>
      </c>
      <c r="H19" s="66"/>
      <c r="I19" s="66"/>
      <c r="J19" s="66"/>
      <c r="K19" s="66"/>
      <c r="L19" s="66"/>
      <c r="M19" s="66"/>
      <c r="N19" s="66"/>
      <c r="O19" s="72"/>
      <c r="P19" s="72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</row>
    <row r="20" spans="1:29" x14ac:dyDescent="0.25">
      <c r="A20" s="56">
        <v>16</v>
      </c>
      <c r="B20" s="57" t="s">
        <v>807</v>
      </c>
      <c r="C20" s="71" t="s">
        <v>34</v>
      </c>
      <c r="D20" s="56" t="s">
        <v>917</v>
      </c>
      <c r="E20" s="56">
        <v>2</v>
      </c>
      <c r="F20" s="56">
        <v>10</v>
      </c>
      <c r="G20" s="56">
        <v>11</v>
      </c>
      <c r="H20" s="66"/>
      <c r="I20" s="66"/>
      <c r="J20" s="66"/>
      <c r="K20" s="66"/>
      <c r="L20" s="66"/>
      <c r="M20" s="66"/>
      <c r="N20" s="66"/>
      <c r="O20" s="66"/>
      <c r="P20" s="66"/>
      <c r="Q20" s="72"/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</row>
    <row r="21" spans="1:29" x14ac:dyDescent="0.25">
      <c r="A21" s="56">
        <v>17</v>
      </c>
      <c r="B21" s="57" t="s">
        <v>803</v>
      </c>
      <c r="C21" s="71" t="s">
        <v>34</v>
      </c>
      <c r="D21" s="56" t="s">
        <v>914</v>
      </c>
      <c r="E21" s="56">
        <v>2</v>
      </c>
      <c r="F21" s="56">
        <v>10</v>
      </c>
      <c r="G21" s="56">
        <v>11</v>
      </c>
      <c r="H21" s="66"/>
      <c r="I21" s="66"/>
      <c r="J21" s="66"/>
      <c r="K21" s="66"/>
      <c r="L21" s="66"/>
      <c r="M21" s="66"/>
      <c r="N21" s="66"/>
      <c r="O21" s="66"/>
      <c r="P21" s="66"/>
      <c r="Q21" s="72"/>
      <c r="R21" s="72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x14ac:dyDescent="0.25">
      <c r="A22" s="56">
        <v>18</v>
      </c>
      <c r="B22" s="57" t="s">
        <v>802</v>
      </c>
      <c r="C22" s="71" t="s">
        <v>34</v>
      </c>
      <c r="D22" s="56" t="s">
        <v>914</v>
      </c>
      <c r="E22" s="56">
        <v>2</v>
      </c>
      <c r="F22" s="56">
        <v>10</v>
      </c>
      <c r="G22" s="56">
        <v>11</v>
      </c>
      <c r="H22" s="66"/>
      <c r="I22" s="66"/>
      <c r="J22" s="66"/>
      <c r="K22" s="66"/>
      <c r="L22" s="66"/>
      <c r="M22" s="66"/>
      <c r="N22" s="66"/>
      <c r="O22" s="66"/>
      <c r="P22" s="66"/>
      <c r="Q22" s="72"/>
      <c r="R22" s="72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</row>
    <row r="23" spans="1:29" x14ac:dyDescent="0.25">
      <c r="A23" s="56">
        <v>19</v>
      </c>
      <c r="B23" s="57" t="s">
        <v>815</v>
      </c>
      <c r="C23" s="71" t="s">
        <v>34</v>
      </c>
      <c r="D23" s="56" t="s">
        <v>916</v>
      </c>
      <c r="E23" s="56">
        <v>1</v>
      </c>
      <c r="F23" s="56">
        <v>11</v>
      </c>
      <c r="G23" s="56">
        <v>11</v>
      </c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</row>
    <row r="24" spans="1:29" x14ac:dyDescent="0.25">
      <c r="A24" s="56">
        <v>20</v>
      </c>
      <c r="B24" s="57" t="s">
        <v>804</v>
      </c>
      <c r="C24" s="71" t="s">
        <v>34</v>
      </c>
      <c r="D24" s="56" t="s">
        <v>914</v>
      </c>
      <c r="E24" s="56">
        <v>3</v>
      </c>
      <c r="F24" s="56">
        <v>12</v>
      </c>
      <c r="G24" s="56">
        <v>14</v>
      </c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72"/>
      <c r="T24" s="72"/>
      <c r="U24" s="72"/>
      <c r="V24" s="66"/>
      <c r="W24" s="66"/>
      <c r="X24" s="66"/>
      <c r="Y24" s="66"/>
      <c r="Z24" s="66"/>
      <c r="AA24" s="66"/>
      <c r="AB24" s="66"/>
      <c r="AC24" s="66"/>
    </row>
    <row r="25" spans="1:29" x14ac:dyDescent="0.25">
      <c r="A25" s="56">
        <v>21</v>
      </c>
      <c r="B25" s="57" t="s">
        <v>816</v>
      </c>
      <c r="C25" s="71" t="s">
        <v>34</v>
      </c>
      <c r="D25" s="56" t="s">
        <v>916</v>
      </c>
      <c r="E25" s="56">
        <v>2</v>
      </c>
      <c r="F25" s="56">
        <v>13</v>
      </c>
      <c r="G25" s="56">
        <v>14</v>
      </c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72"/>
      <c r="U25" s="72"/>
      <c r="V25" s="66"/>
      <c r="W25" s="66"/>
      <c r="X25" s="66"/>
      <c r="Y25" s="66"/>
      <c r="Z25" s="66"/>
      <c r="AA25" s="66"/>
      <c r="AB25" s="66"/>
      <c r="AC25" s="66"/>
    </row>
    <row r="26" spans="1:29" x14ac:dyDescent="0.25">
      <c r="A26" s="56">
        <v>22</v>
      </c>
      <c r="B26" s="57" t="s">
        <v>805</v>
      </c>
      <c r="C26" s="71" t="s">
        <v>34</v>
      </c>
      <c r="D26" s="56" t="s">
        <v>914</v>
      </c>
      <c r="E26" s="56">
        <v>2</v>
      </c>
      <c r="F26" s="56">
        <v>15</v>
      </c>
      <c r="G26" s="56">
        <v>16</v>
      </c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72"/>
      <c r="W26" s="72"/>
      <c r="X26" s="66"/>
      <c r="Y26" s="66"/>
      <c r="Z26" s="66"/>
      <c r="AA26" s="66"/>
      <c r="AB26" s="66"/>
      <c r="AC26" s="66"/>
    </row>
    <row r="27" spans="1:29" x14ac:dyDescent="0.25">
      <c r="A27" s="56">
        <v>23</v>
      </c>
      <c r="B27" s="57" t="s">
        <v>811</v>
      </c>
      <c r="C27" s="71" t="s">
        <v>34</v>
      </c>
      <c r="D27" s="56" t="s">
        <v>914</v>
      </c>
      <c r="E27" s="56">
        <v>3</v>
      </c>
      <c r="F27" s="56">
        <v>15</v>
      </c>
      <c r="G27" s="56">
        <v>17</v>
      </c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72"/>
      <c r="W27" s="72"/>
      <c r="X27" s="72"/>
      <c r="Y27" s="66"/>
      <c r="Z27" s="66"/>
      <c r="AA27" s="66"/>
      <c r="AB27" s="66"/>
      <c r="AC27" s="66"/>
    </row>
    <row r="28" spans="1:29" x14ac:dyDescent="0.25">
      <c r="A28" s="56">
        <v>24</v>
      </c>
      <c r="B28" s="57" t="s">
        <v>814</v>
      </c>
      <c r="C28" s="71" t="s">
        <v>34</v>
      </c>
      <c r="D28" s="56" t="s">
        <v>916</v>
      </c>
      <c r="E28" s="56">
        <v>1</v>
      </c>
      <c r="F28" s="56">
        <v>15</v>
      </c>
      <c r="G28" s="56">
        <v>15</v>
      </c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72"/>
      <c r="W28" s="66"/>
      <c r="X28" s="66"/>
      <c r="Y28" s="66"/>
      <c r="Z28" s="66"/>
      <c r="AA28" s="66"/>
      <c r="AB28" s="66"/>
      <c r="AC28" s="66"/>
    </row>
    <row r="29" spans="1:29" x14ac:dyDescent="0.25">
      <c r="A29" s="56">
        <v>25</v>
      </c>
      <c r="B29" s="57" t="s">
        <v>796</v>
      </c>
      <c r="C29" s="69" t="s">
        <v>27</v>
      </c>
      <c r="D29" s="56" t="s">
        <v>916</v>
      </c>
      <c r="E29" s="56">
        <v>1</v>
      </c>
      <c r="F29" s="56">
        <v>17</v>
      </c>
      <c r="G29" s="56">
        <v>17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70"/>
      <c r="Y29" s="66"/>
      <c r="Z29" s="66"/>
      <c r="AA29" s="66"/>
      <c r="AB29" s="66"/>
      <c r="AC29" s="66"/>
    </row>
    <row r="30" spans="1:29" x14ac:dyDescent="0.25">
      <c r="A30" s="56">
        <v>26</v>
      </c>
      <c r="B30" s="57" t="s">
        <v>23</v>
      </c>
      <c r="C30" s="67" t="s">
        <v>799</v>
      </c>
      <c r="D30" s="56" t="s">
        <v>915</v>
      </c>
      <c r="E30" s="56">
        <v>1</v>
      </c>
      <c r="F30" s="56">
        <v>17</v>
      </c>
      <c r="G30" s="56">
        <v>17</v>
      </c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8"/>
      <c r="Y30" s="66"/>
      <c r="Z30" s="66"/>
      <c r="AA30" s="66"/>
      <c r="AB30" s="66"/>
      <c r="AC30" s="66"/>
    </row>
    <row r="31" spans="1:29" x14ac:dyDescent="0.25">
      <c r="A31" s="56">
        <v>27</v>
      </c>
      <c r="B31" s="57" t="s">
        <v>797</v>
      </c>
      <c r="C31" s="69" t="s">
        <v>27</v>
      </c>
      <c r="D31" s="56" t="s">
        <v>916</v>
      </c>
      <c r="E31" s="56">
        <v>3</v>
      </c>
      <c r="F31" s="56">
        <v>18</v>
      </c>
      <c r="G31" s="56">
        <v>20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70"/>
      <c r="Z31" s="70"/>
      <c r="AA31" s="70"/>
      <c r="AB31" s="66"/>
      <c r="AC31" s="66"/>
    </row>
    <row r="32" spans="1:29" x14ac:dyDescent="0.25">
      <c r="A32" s="56">
        <v>28</v>
      </c>
      <c r="B32" s="57" t="s">
        <v>798</v>
      </c>
      <c r="C32" s="69" t="s">
        <v>27</v>
      </c>
      <c r="D32" s="56" t="s">
        <v>916</v>
      </c>
      <c r="E32" s="56">
        <v>1</v>
      </c>
      <c r="F32" s="56">
        <v>18</v>
      </c>
      <c r="G32" s="56">
        <v>18</v>
      </c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70"/>
      <c r="Z32" s="66"/>
      <c r="AA32" s="66"/>
      <c r="AB32" s="66"/>
      <c r="AC32" s="66"/>
    </row>
    <row r="33" spans="1:29" x14ac:dyDescent="0.25">
      <c r="A33" s="56">
        <v>29</v>
      </c>
      <c r="B33" s="57" t="s">
        <v>24</v>
      </c>
      <c r="C33" s="67" t="s">
        <v>799</v>
      </c>
      <c r="D33" s="56" t="s">
        <v>915</v>
      </c>
      <c r="E33" s="56">
        <v>1</v>
      </c>
      <c r="F33" s="56">
        <v>18</v>
      </c>
      <c r="G33" s="56">
        <v>18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8"/>
      <c r="Z33" s="66"/>
      <c r="AA33" s="66"/>
      <c r="AB33" s="66"/>
      <c r="AC33" s="66"/>
    </row>
    <row r="34" spans="1:29" x14ac:dyDescent="0.25">
      <c r="A34" s="56">
        <v>30</v>
      </c>
      <c r="B34" s="57" t="s">
        <v>808</v>
      </c>
      <c r="C34" s="71" t="s">
        <v>34</v>
      </c>
      <c r="D34" s="56" t="s">
        <v>914</v>
      </c>
      <c r="E34" s="56">
        <v>1</v>
      </c>
      <c r="F34" s="56">
        <v>18</v>
      </c>
      <c r="G34" s="56">
        <v>18</v>
      </c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72"/>
      <c r="Z34" s="66"/>
      <c r="AA34" s="66"/>
      <c r="AB34" s="66"/>
      <c r="AC34" s="66"/>
    </row>
    <row r="35" spans="1:29" x14ac:dyDescent="0.25">
      <c r="A35" s="56">
        <v>31</v>
      </c>
      <c r="B35" s="57" t="s">
        <v>25</v>
      </c>
      <c r="C35" s="67" t="s">
        <v>799</v>
      </c>
      <c r="D35" s="56" t="s">
        <v>915</v>
      </c>
      <c r="E35" s="56">
        <v>2</v>
      </c>
      <c r="F35" s="56">
        <v>19</v>
      </c>
      <c r="G35" s="56">
        <v>20</v>
      </c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8"/>
      <c r="AA35" s="68"/>
      <c r="AB35" s="66"/>
      <c r="AC35" s="66"/>
    </row>
    <row r="36" spans="1:29" x14ac:dyDescent="0.25">
      <c r="A36" s="56">
        <v>32</v>
      </c>
      <c r="B36" s="57" t="s">
        <v>806</v>
      </c>
      <c r="C36" s="71" t="s">
        <v>34</v>
      </c>
      <c r="D36" s="56" t="s">
        <v>915</v>
      </c>
      <c r="E36" s="56">
        <v>1</v>
      </c>
      <c r="F36" s="56">
        <v>19</v>
      </c>
      <c r="G36" s="56">
        <v>19</v>
      </c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72"/>
      <c r="AA36" s="66"/>
      <c r="AB36" s="66"/>
      <c r="AC36" s="66"/>
    </row>
    <row r="37" spans="1:29" x14ac:dyDescent="0.25">
      <c r="A37" s="56">
        <v>33</v>
      </c>
      <c r="B37" s="57" t="s">
        <v>921</v>
      </c>
      <c r="C37" s="71" t="s">
        <v>34</v>
      </c>
      <c r="D37" s="56" t="s">
        <v>914</v>
      </c>
      <c r="E37" s="56">
        <v>1</v>
      </c>
      <c r="F37" s="56">
        <v>19</v>
      </c>
      <c r="G37" s="56">
        <v>19</v>
      </c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72"/>
      <c r="AA37" s="66"/>
      <c r="AB37" s="66"/>
      <c r="AC37" s="66"/>
    </row>
    <row r="38" spans="1:29" x14ac:dyDescent="0.25">
      <c r="A38" s="56">
        <v>34</v>
      </c>
      <c r="B38" s="57" t="s">
        <v>813</v>
      </c>
      <c r="C38" s="71" t="s">
        <v>34</v>
      </c>
      <c r="D38" s="56" t="s">
        <v>914</v>
      </c>
      <c r="E38" s="56">
        <v>1</v>
      </c>
      <c r="F38" s="56">
        <v>19</v>
      </c>
      <c r="G38" s="56">
        <v>19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72"/>
      <c r="AA38" s="66"/>
      <c r="AB38" s="66"/>
      <c r="AC38" s="66"/>
    </row>
    <row r="39" spans="1:29" x14ac:dyDescent="0.25">
      <c r="A39" s="56">
        <v>35</v>
      </c>
      <c r="B39" s="57" t="s">
        <v>810</v>
      </c>
      <c r="C39" s="71" t="s">
        <v>34</v>
      </c>
      <c r="D39" s="56" t="s">
        <v>914</v>
      </c>
      <c r="E39" s="56">
        <v>1</v>
      </c>
      <c r="F39" s="56">
        <v>20</v>
      </c>
      <c r="G39" s="56">
        <v>20</v>
      </c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72"/>
      <c r="AB39" s="66"/>
      <c r="AC39" s="66"/>
    </row>
    <row r="40" spans="1:29" x14ac:dyDescent="0.25">
      <c r="A40" s="56">
        <v>36</v>
      </c>
      <c r="B40" s="57" t="s">
        <v>812</v>
      </c>
      <c r="C40" s="71" t="s">
        <v>34</v>
      </c>
      <c r="D40" s="56" t="s">
        <v>914</v>
      </c>
      <c r="E40" s="56">
        <v>1</v>
      </c>
      <c r="F40" s="56">
        <v>20</v>
      </c>
      <c r="G40" s="56">
        <v>20</v>
      </c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72"/>
      <c r="AB40" s="66"/>
      <c r="AC40" s="66"/>
    </row>
    <row r="41" spans="1:29" x14ac:dyDescent="0.25">
      <c r="A41" s="56">
        <v>37</v>
      </c>
      <c r="B41" s="57" t="s">
        <v>817</v>
      </c>
      <c r="C41" s="71" t="s">
        <v>34</v>
      </c>
      <c r="D41" s="56" t="s">
        <v>914</v>
      </c>
      <c r="E41" s="56">
        <v>2</v>
      </c>
      <c r="F41" s="56">
        <v>21</v>
      </c>
      <c r="G41" s="56">
        <v>22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72"/>
      <c r="AC41" s="72"/>
    </row>
    <row r="43" spans="1:29" x14ac:dyDescent="0.25">
      <c r="A43" s="78" t="s">
        <v>928</v>
      </c>
      <c r="B43" s="75"/>
      <c r="C43" s="75"/>
      <c r="D43" s="75"/>
      <c r="E43" s="75"/>
      <c r="F43" s="75"/>
      <c r="G43" s="58">
        <f>MAX(G5:G41)</f>
        <v>22</v>
      </c>
    </row>
    <row r="45" spans="1:29" x14ac:dyDescent="0.25">
      <c r="A45" s="34" t="s">
        <v>929</v>
      </c>
      <c r="B45" s="59"/>
      <c r="C45" s="34" t="s">
        <v>12</v>
      </c>
      <c r="D45" s="60"/>
      <c r="E45" s="34" t="s">
        <v>799</v>
      </c>
      <c r="F45" s="61"/>
      <c r="G45" s="34" t="s">
        <v>27</v>
      </c>
      <c r="H45" s="62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opLeftCell="A8" zoomScale="140" zoomScaleNormal="140" workbookViewId="0">
      <pane ySplit="3" topLeftCell="A11" activePane="bottomLeft" state="frozen"/>
      <selection activeCell="A8" sqref="A8"/>
      <selection pane="bottomLeft" activeCell="E26" sqref="E26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114</v>
      </c>
      <c r="E13" s="35">
        <v>1</v>
      </c>
      <c r="F13" s="35">
        <v>1</v>
      </c>
      <c r="G13" s="35">
        <v>1</v>
      </c>
      <c r="H13" s="35">
        <v>1</v>
      </c>
      <c r="I13" s="35">
        <v>0.95945945945945899</v>
      </c>
      <c r="J13" s="39">
        <v>0.98499999999999988</v>
      </c>
    </row>
    <row r="14" spans="2:10" x14ac:dyDescent="0.25">
      <c r="D14" t="s">
        <v>117</v>
      </c>
      <c r="E14" s="35">
        <v>1</v>
      </c>
      <c r="F14" s="35">
        <v>1</v>
      </c>
      <c r="G14" s="35">
        <v>1</v>
      </c>
      <c r="H14" s="35">
        <v>1</v>
      </c>
      <c r="I14" s="35">
        <v>0.85135135135135098</v>
      </c>
      <c r="J14" s="39">
        <v>0.94499999999999984</v>
      </c>
    </row>
    <row r="15" spans="2:10" x14ac:dyDescent="0.25">
      <c r="D15" t="s">
        <v>118</v>
      </c>
      <c r="E15" s="35">
        <v>1</v>
      </c>
      <c r="F15" s="35">
        <v>0.88888888888888895</v>
      </c>
      <c r="G15" s="35">
        <v>1</v>
      </c>
      <c r="H15" s="35">
        <v>1</v>
      </c>
      <c r="I15" s="35">
        <v>0.81081081081081041</v>
      </c>
      <c r="J15" s="39">
        <v>0.91999999999999982</v>
      </c>
    </row>
    <row r="16" spans="2:10" x14ac:dyDescent="0.25">
      <c r="D16" t="s">
        <v>121</v>
      </c>
      <c r="E16" s="35">
        <v>1</v>
      </c>
      <c r="F16" s="35">
        <v>0.55555555555555558</v>
      </c>
      <c r="G16" s="35">
        <v>0.54545454545454541</v>
      </c>
      <c r="H16" s="35">
        <v>1</v>
      </c>
      <c r="I16" s="35">
        <v>0.70270270270270241</v>
      </c>
      <c r="J16" s="39">
        <v>0.79999999999999993</v>
      </c>
    </row>
    <row r="17" spans="2:10" x14ac:dyDescent="0.25">
      <c r="D17" t="s">
        <v>122</v>
      </c>
      <c r="E17" s="35">
        <v>1</v>
      </c>
      <c r="F17" s="35">
        <v>0.55555555555555558</v>
      </c>
      <c r="G17" s="35">
        <v>0.27272727272727271</v>
      </c>
      <c r="H17" s="35">
        <v>1</v>
      </c>
      <c r="I17" s="35">
        <v>0.67567567567567544</v>
      </c>
      <c r="J17" s="39">
        <v>0.7599999999999999</v>
      </c>
    </row>
    <row r="18" spans="2:10" x14ac:dyDescent="0.25">
      <c r="C18" t="s">
        <v>58</v>
      </c>
      <c r="E18" s="35"/>
      <c r="F18" s="35"/>
      <c r="G18" s="35"/>
      <c r="H18" s="35"/>
      <c r="I18" s="35"/>
      <c r="J18" s="39"/>
    </row>
    <row r="19" spans="2:10" x14ac:dyDescent="0.25">
      <c r="D19" t="s">
        <v>115</v>
      </c>
      <c r="E19" s="35">
        <v>1</v>
      </c>
      <c r="F19" s="35">
        <v>1</v>
      </c>
      <c r="G19" s="35">
        <v>0.90909090909090917</v>
      </c>
      <c r="H19" s="35">
        <v>1</v>
      </c>
      <c r="I19" s="35">
        <v>0.95945945945945899</v>
      </c>
      <c r="J19" s="39">
        <v>0.97499999999999987</v>
      </c>
    </row>
    <row r="20" spans="2:10" x14ac:dyDescent="0.25">
      <c r="D20" t="s">
        <v>119</v>
      </c>
      <c r="E20" s="35">
        <v>1</v>
      </c>
      <c r="F20" s="35">
        <v>1</v>
      </c>
      <c r="G20" s="35">
        <v>0.90909090909090917</v>
      </c>
      <c r="H20" s="35">
        <v>1</v>
      </c>
      <c r="I20" s="35">
        <v>0.91891891891891853</v>
      </c>
      <c r="J20" s="39">
        <v>0.95999999999999985</v>
      </c>
    </row>
    <row r="21" spans="2:10" x14ac:dyDescent="0.25">
      <c r="D21" t="s">
        <v>120</v>
      </c>
      <c r="E21" s="35">
        <v>1</v>
      </c>
      <c r="F21" s="35">
        <v>1</v>
      </c>
      <c r="G21" s="35">
        <v>0.90909090909090917</v>
      </c>
      <c r="H21" s="35">
        <v>1</v>
      </c>
      <c r="I21" s="35">
        <v>0.95945945945945899</v>
      </c>
      <c r="J21" s="39">
        <v>0.97499999999999987</v>
      </c>
    </row>
    <row r="22" spans="2:10" x14ac:dyDescent="0.25">
      <c r="D22" t="s">
        <v>123</v>
      </c>
      <c r="E22" s="35">
        <v>1</v>
      </c>
      <c r="F22" s="35">
        <v>1</v>
      </c>
      <c r="G22" s="35">
        <v>0.90909090909090917</v>
      </c>
      <c r="H22" s="35">
        <v>1</v>
      </c>
      <c r="I22" s="35">
        <v>0.90540540540540504</v>
      </c>
      <c r="J22" s="39">
        <v>0.95499999999999985</v>
      </c>
    </row>
    <row r="23" spans="2:10" x14ac:dyDescent="0.25">
      <c r="B23" t="s">
        <v>157</v>
      </c>
      <c r="E23" s="35"/>
      <c r="F23" s="35"/>
      <c r="G23" s="35"/>
      <c r="H23" s="35"/>
      <c r="I23" s="35"/>
      <c r="J23" s="39"/>
    </row>
    <row r="24" spans="2:10" x14ac:dyDescent="0.25">
      <c r="C24" t="s">
        <v>60</v>
      </c>
      <c r="E24" s="35"/>
      <c r="F24" s="35"/>
      <c r="G24" s="35"/>
      <c r="H24" s="35"/>
      <c r="I24" s="35"/>
      <c r="J24" s="39"/>
    </row>
    <row r="25" spans="2:10" x14ac:dyDescent="0.25">
      <c r="D25" t="s">
        <v>159</v>
      </c>
      <c r="E25" s="35">
        <v>1</v>
      </c>
      <c r="F25" s="35">
        <v>0.44444444444444442</v>
      </c>
      <c r="G25" s="35">
        <v>0.27272727272727271</v>
      </c>
      <c r="H25" s="35">
        <v>0</v>
      </c>
      <c r="I25" s="35">
        <v>0</v>
      </c>
      <c r="J25" s="39">
        <v>0.5</v>
      </c>
    </row>
    <row r="26" spans="2:10" x14ac:dyDescent="0.25">
      <c r="D26" t="s">
        <v>160</v>
      </c>
      <c r="E26" s="35">
        <v>0.90697674418604646</v>
      </c>
      <c r="F26" s="35">
        <v>0</v>
      </c>
      <c r="G26" s="35">
        <v>0</v>
      </c>
      <c r="H26" s="35">
        <v>0</v>
      </c>
      <c r="I26" s="35">
        <v>0</v>
      </c>
      <c r="J26" s="39">
        <v>0.38999999999999996</v>
      </c>
    </row>
    <row r="27" spans="2:10" x14ac:dyDescent="0.25">
      <c r="D27" t="s">
        <v>163</v>
      </c>
      <c r="E27" s="35">
        <v>1</v>
      </c>
      <c r="F27" s="35">
        <v>0.22222222222222221</v>
      </c>
      <c r="G27" s="35">
        <v>0.27272727272727271</v>
      </c>
      <c r="H27" s="35">
        <v>0</v>
      </c>
      <c r="I27" s="35">
        <v>0.21621621621621614</v>
      </c>
      <c r="J27" s="39">
        <v>0.55999999999999994</v>
      </c>
    </row>
    <row r="28" spans="2:10" x14ac:dyDescent="0.25">
      <c r="D28" t="s">
        <v>164</v>
      </c>
      <c r="E28" s="35">
        <v>1</v>
      </c>
      <c r="F28" s="35">
        <v>0.44444444444444442</v>
      </c>
      <c r="G28" s="35">
        <v>0.27272727272727271</v>
      </c>
      <c r="H28" s="35">
        <v>0</v>
      </c>
      <c r="I28" s="35">
        <v>0.24324324324324317</v>
      </c>
      <c r="J28" s="39">
        <v>0.59</v>
      </c>
    </row>
    <row r="29" spans="2:10" x14ac:dyDescent="0.25">
      <c r="D29" t="s">
        <v>167</v>
      </c>
      <c r="E29" s="35">
        <v>0.90697674418604646</v>
      </c>
      <c r="F29" s="35">
        <v>0.22222222222222221</v>
      </c>
      <c r="G29" s="35">
        <v>0.27272727272727271</v>
      </c>
      <c r="H29" s="35">
        <v>0</v>
      </c>
      <c r="I29" s="35">
        <v>0</v>
      </c>
      <c r="J29" s="39">
        <v>0.43999999999999995</v>
      </c>
    </row>
    <row r="30" spans="2:10" x14ac:dyDescent="0.25">
      <c r="D30" t="s">
        <v>168</v>
      </c>
      <c r="E30" s="35">
        <v>0.90697674418604646</v>
      </c>
      <c r="F30" s="35">
        <v>0</v>
      </c>
      <c r="G30" s="35">
        <v>0</v>
      </c>
      <c r="H30" s="35">
        <v>0</v>
      </c>
      <c r="I30" s="35">
        <v>0</v>
      </c>
      <c r="J30" s="39">
        <v>0.38999999999999996</v>
      </c>
    </row>
    <row r="31" spans="2:10" x14ac:dyDescent="0.25">
      <c r="D31" t="s">
        <v>171</v>
      </c>
      <c r="E31" s="35">
        <v>0.90697674418604646</v>
      </c>
      <c r="F31" s="35">
        <v>0</v>
      </c>
      <c r="G31" s="35">
        <v>0</v>
      </c>
      <c r="H31" s="35">
        <v>0</v>
      </c>
      <c r="I31" s="35">
        <v>0</v>
      </c>
      <c r="J31" s="39">
        <v>0.38999999999999996</v>
      </c>
    </row>
    <row r="32" spans="2:10" x14ac:dyDescent="0.25">
      <c r="D32" t="s">
        <v>172</v>
      </c>
      <c r="E32" s="35">
        <v>1</v>
      </c>
      <c r="F32" s="35">
        <v>0.22222222222222221</v>
      </c>
      <c r="G32" s="35">
        <v>0.27272727272727271</v>
      </c>
      <c r="H32" s="35">
        <v>0</v>
      </c>
      <c r="I32" s="35">
        <v>0.16216216216216212</v>
      </c>
      <c r="J32" s="39">
        <v>0.53999999999999992</v>
      </c>
    </row>
    <row r="33" spans="3:10" x14ac:dyDescent="0.25">
      <c r="D33" t="s">
        <v>175</v>
      </c>
      <c r="E33" s="35">
        <v>0.27906976744186046</v>
      </c>
      <c r="F33" s="35">
        <v>0</v>
      </c>
      <c r="G33" s="35">
        <v>0</v>
      </c>
      <c r="H33" s="35">
        <v>0</v>
      </c>
      <c r="I33" s="35">
        <v>0</v>
      </c>
      <c r="J33" s="39">
        <v>0.12</v>
      </c>
    </row>
    <row r="34" spans="3:10" x14ac:dyDescent="0.25">
      <c r="C34" t="s">
        <v>58</v>
      </c>
      <c r="E34" s="35"/>
      <c r="F34" s="35"/>
      <c r="G34" s="35"/>
      <c r="H34" s="35"/>
      <c r="I34" s="35"/>
      <c r="J34" s="39"/>
    </row>
    <row r="35" spans="3:10" x14ac:dyDescent="0.25">
      <c r="D35" t="s">
        <v>158</v>
      </c>
      <c r="E35" s="35">
        <v>1</v>
      </c>
      <c r="F35" s="35">
        <v>1</v>
      </c>
      <c r="G35" s="35">
        <v>0.63636363636363635</v>
      </c>
      <c r="H35" s="35">
        <v>0</v>
      </c>
      <c r="I35" s="35">
        <v>0.58108108108108092</v>
      </c>
      <c r="J35" s="39">
        <v>0.80499999999999994</v>
      </c>
    </row>
    <row r="36" spans="3:10" x14ac:dyDescent="0.25">
      <c r="D36" t="s">
        <v>161</v>
      </c>
      <c r="E36" s="35">
        <v>1</v>
      </c>
      <c r="F36" s="35">
        <v>1</v>
      </c>
      <c r="G36" s="35">
        <v>0.63636363636363635</v>
      </c>
      <c r="H36" s="35">
        <v>0</v>
      </c>
      <c r="I36" s="35">
        <v>0.58108108108108092</v>
      </c>
      <c r="J36" s="39">
        <v>0.80499999999999994</v>
      </c>
    </row>
    <row r="37" spans="3:10" x14ac:dyDescent="0.25">
      <c r="D37" t="s">
        <v>162</v>
      </c>
      <c r="E37" s="35">
        <v>0.90697674418604646</v>
      </c>
      <c r="F37" s="35">
        <v>0</v>
      </c>
      <c r="G37" s="35">
        <v>0</v>
      </c>
      <c r="H37" s="35">
        <v>0</v>
      </c>
      <c r="I37" s="35">
        <v>0</v>
      </c>
      <c r="J37" s="39">
        <v>0.38999999999999996</v>
      </c>
    </row>
    <row r="38" spans="3:10" x14ac:dyDescent="0.25">
      <c r="D38" t="s">
        <v>165</v>
      </c>
      <c r="E38" s="35">
        <v>1</v>
      </c>
      <c r="F38" s="35">
        <v>1</v>
      </c>
      <c r="G38" s="35">
        <v>0.63636363636363635</v>
      </c>
      <c r="H38" s="35">
        <v>0</v>
      </c>
      <c r="I38" s="35">
        <v>0.58108108108108092</v>
      </c>
      <c r="J38" s="39">
        <v>0.80499999999999994</v>
      </c>
    </row>
    <row r="39" spans="3:10" x14ac:dyDescent="0.25">
      <c r="D39" t="s">
        <v>166</v>
      </c>
      <c r="E39" s="35">
        <v>1</v>
      </c>
      <c r="F39" s="35">
        <v>1</v>
      </c>
      <c r="G39" s="35">
        <v>0.63636363636363635</v>
      </c>
      <c r="H39" s="35">
        <v>0</v>
      </c>
      <c r="I39" s="35">
        <v>0.16216216216216212</v>
      </c>
      <c r="J39" s="39">
        <v>0.64999999999999991</v>
      </c>
    </row>
    <row r="40" spans="3:10" x14ac:dyDescent="0.25">
      <c r="D40" t="s">
        <v>169</v>
      </c>
      <c r="E40" s="35">
        <v>0.90697674418604646</v>
      </c>
      <c r="F40" s="35">
        <v>0</v>
      </c>
      <c r="G40" s="35">
        <v>0</v>
      </c>
      <c r="H40" s="35">
        <v>0</v>
      </c>
      <c r="I40" s="35">
        <v>0</v>
      </c>
      <c r="J40" s="39">
        <v>0.38999999999999996</v>
      </c>
    </row>
    <row r="41" spans="3:10" x14ac:dyDescent="0.25">
      <c r="D41" t="s">
        <v>170</v>
      </c>
      <c r="E41" s="35">
        <v>0.90697674418604646</v>
      </c>
      <c r="F41" s="35">
        <v>0</v>
      </c>
      <c r="G41" s="35">
        <v>0</v>
      </c>
      <c r="H41" s="35">
        <v>0</v>
      </c>
      <c r="I41" s="35">
        <v>0</v>
      </c>
      <c r="J41" s="39">
        <v>0.38999999999999996</v>
      </c>
    </row>
    <row r="42" spans="3:10" x14ac:dyDescent="0.25">
      <c r="D42" t="s">
        <v>173</v>
      </c>
      <c r="E42" s="35">
        <v>0.90697674418604646</v>
      </c>
      <c r="F42" s="35">
        <v>0</v>
      </c>
      <c r="G42" s="35">
        <v>0</v>
      </c>
      <c r="H42" s="35">
        <v>0</v>
      </c>
      <c r="I42" s="35">
        <v>0</v>
      </c>
      <c r="J42" s="39">
        <v>0.38999999999999996</v>
      </c>
    </row>
    <row r="43" spans="3:10" x14ac:dyDescent="0.25">
      <c r="D43" t="s">
        <v>174</v>
      </c>
      <c r="E43" s="35">
        <v>0.90697674418604646</v>
      </c>
      <c r="F43" s="35">
        <v>0</v>
      </c>
      <c r="G43" s="35">
        <v>0</v>
      </c>
      <c r="H43" s="35">
        <v>0</v>
      </c>
      <c r="I43" s="35">
        <v>0</v>
      </c>
      <c r="J43" s="39">
        <v>0.38999999999999996</v>
      </c>
    </row>
    <row r="44" spans="3:10" x14ac:dyDescent="0.25">
      <c r="D44" t="s">
        <v>181</v>
      </c>
      <c r="E44" s="35">
        <v>0.27906976744186046</v>
      </c>
      <c r="F44" s="35">
        <v>0</v>
      </c>
      <c r="G44" s="35">
        <v>0</v>
      </c>
      <c r="H44" s="35">
        <v>0</v>
      </c>
      <c r="I44" s="35">
        <v>0</v>
      </c>
      <c r="J44" s="39">
        <v>0.12</v>
      </c>
    </row>
    <row r="86" spans="6:12" x14ac:dyDescent="0.25">
      <c r="F86" s="42"/>
      <c r="G86" s="35"/>
      <c r="H86" s="35"/>
      <c r="I86" s="35"/>
      <c r="J86" s="35"/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55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55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E55:I1048576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114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117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118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121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122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4:13" x14ac:dyDescent="0.25">
      <c r="E17" t="s">
        <v>58</v>
      </c>
      <c r="G17" s="35"/>
      <c r="H17" s="35"/>
      <c r="I17" s="35"/>
      <c r="J17" s="35"/>
      <c r="K17" s="35"/>
      <c r="L17" s="35"/>
      <c r="M17"/>
    </row>
    <row r="18" spans="4:13" x14ac:dyDescent="0.25">
      <c r="F18" t="s">
        <v>115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4:13" x14ac:dyDescent="0.25">
      <c r="F19" t="s">
        <v>119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4:13" x14ac:dyDescent="0.25">
      <c r="F20" t="s">
        <v>120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4:13" x14ac:dyDescent="0.25">
      <c r="F21" t="s">
        <v>123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4:13" x14ac:dyDescent="0.25">
      <c r="D22" t="s">
        <v>124</v>
      </c>
      <c r="G22" s="35"/>
      <c r="H22" s="35"/>
      <c r="I22" s="35"/>
      <c r="J22" s="35"/>
      <c r="K22" s="35"/>
      <c r="L22" s="35"/>
      <c r="M22"/>
    </row>
    <row r="23" spans="4:13" x14ac:dyDescent="0.25">
      <c r="E23" t="s">
        <v>60</v>
      </c>
      <c r="G23" s="35"/>
      <c r="H23" s="35"/>
      <c r="I23" s="35"/>
      <c r="J23" s="35"/>
      <c r="K23" s="35"/>
      <c r="L23" s="35"/>
      <c r="M23"/>
    </row>
    <row r="24" spans="4:13" x14ac:dyDescent="0.25">
      <c r="F24" t="s">
        <v>126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4:13" x14ac:dyDescent="0.25">
      <c r="F25" t="s">
        <v>127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4:13" x14ac:dyDescent="0.25">
      <c r="F26" t="s">
        <v>130</v>
      </c>
      <c r="G26" s="35">
        <v>1</v>
      </c>
      <c r="H26" s="35">
        <v>1</v>
      </c>
      <c r="I26" s="35">
        <v>1</v>
      </c>
      <c r="J26" s="35">
        <v>1</v>
      </c>
      <c r="K26" s="35">
        <v>1</v>
      </c>
      <c r="L26" s="35">
        <v>1</v>
      </c>
      <c r="M26"/>
    </row>
    <row r="27" spans="4:13" x14ac:dyDescent="0.25">
      <c r="F27" t="s">
        <v>131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4:13" x14ac:dyDescent="0.25">
      <c r="F28" t="s">
        <v>134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4:13" x14ac:dyDescent="0.25">
      <c r="F29" t="s">
        <v>135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4:13" x14ac:dyDescent="0.25">
      <c r="F30" t="s">
        <v>138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4:13" x14ac:dyDescent="0.25">
      <c r="F31" t="s">
        <v>139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4:13" x14ac:dyDescent="0.25">
      <c r="F32" t="s">
        <v>142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5:13" x14ac:dyDescent="0.25">
      <c r="F33" t="s">
        <v>143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5:13" x14ac:dyDescent="0.25">
      <c r="F34" t="s">
        <v>146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5:13" x14ac:dyDescent="0.25">
      <c r="F35" t="s">
        <v>147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5:13" x14ac:dyDescent="0.25">
      <c r="F36" t="s">
        <v>150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5:13" x14ac:dyDescent="0.25">
      <c r="F37" t="s">
        <v>151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5:13" x14ac:dyDescent="0.25">
      <c r="F38" t="s">
        <v>154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5:13" x14ac:dyDescent="0.25">
      <c r="F39" t="s">
        <v>155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5:13" x14ac:dyDescent="0.25">
      <c r="E40" t="s">
        <v>58</v>
      </c>
      <c r="G40" s="35"/>
      <c r="H40" s="35"/>
      <c r="I40" s="35"/>
      <c r="J40" s="35"/>
      <c r="K40" s="35"/>
      <c r="L40" s="35"/>
      <c r="M40"/>
    </row>
    <row r="41" spans="5:13" x14ac:dyDescent="0.25">
      <c r="F41" t="s">
        <v>125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5:13" x14ac:dyDescent="0.25">
      <c r="F42" t="s">
        <v>128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5:13" x14ac:dyDescent="0.25">
      <c r="F43" t="s">
        <v>129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5:13" x14ac:dyDescent="0.25">
      <c r="F44" t="s">
        <v>132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5:13" x14ac:dyDescent="0.25">
      <c r="F45" t="s">
        <v>133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5:13" x14ac:dyDescent="0.25">
      <c r="F46" t="s">
        <v>136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5:13" x14ac:dyDescent="0.25">
      <c r="F47" t="s">
        <v>137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5:13" x14ac:dyDescent="0.25">
      <c r="F48" t="s">
        <v>140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4:13" x14ac:dyDescent="0.25">
      <c r="F49" t="s">
        <v>141</v>
      </c>
      <c r="G49" s="35">
        <v>1</v>
      </c>
      <c r="H49" s="35">
        <v>1</v>
      </c>
      <c r="I49" s="35">
        <v>1</v>
      </c>
      <c r="J49" s="35">
        <v>1</v>
      </c>
      <c r="K49" s="35">
        <v>1</v>
      </c>
      <c r="L49" s="35">
        <v>1</v>
      </c>
      <c r="M49"/>
    </row>
    <row r="50" spans="4:13" x14ac:dyDescent="0.25">
      <c r="F50" t="s">
        <v>144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4:13" x14ac:dyDescent="0.25">
      <c r="F51" t="s">
        <v>145</v>
      </c>
      <c r="G51" s="35">
        <v>1</v>
      </c>
      <c r="H51" s="35">
        <v>1</v>
      </c>
      <c r="I51" s="35">
        <v>1</v>
      </c>
      <c r="J51" s="35">
        <v>1</v>
      </c>
      <c r="K51" s="35">
        <v>1</v>
      </c>
      <c r="L51" s="35">
        <v>1</v>
      </c>
      <c r="M51"/>
    </row>
    <row r="52" spans="4:13" x14ac:dyDescent="0.25">
      <c r="F52" t="s">
        <v>148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4:13" x14ac:dyDescent="0.25">
      <c r="F53" t="s">
        <v>149</v>
      </c>
      <c r="G53" s="35">
        <v>1</v>
      </c>
      <c r="H53" s="35">
        <v>1</v>
      </c>
      <c r="I53" s="35">
        <v>1</v>
      </c>
      <c r="J53" s="35">
        <v>1</v>
      </c>
      <c r="K53" s="35">
        <v>1</v>
      </c>
      <c r="L53" s="35">
        <v>1</v>
      </c>
      <c r="M53"/>
    </row>
    <row r="54" spans="4:13" x14ac:dyDescent="0.25">
      <c r="F54" t="s">
        <v>152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4:13" x14ac:dyDescent="0.25">
      <c r="F55" t="s">
        <v>153</v>
      </c>
      <c r="G55" s="35">
        <v>1</v>
      </c>
      <c r="H55" s="35">
        <v>1</v>
      </c>
      <c r="I55" s="35">
        <v>1</v>
      </c>
      <c r="J55" s="35">
        <v>1</v>
      </c>
      <c r="K55" s="35">
        <v>0</v>
      </c>
      <c r="L55" s="35">
        <v>0.90697674418604646</v>
      </c>
      <c r="M55"/>
    </row>
    <row r="56" spans="4:13" x14ac:dyDescent="0.25">
      <c r="F56" t="s">
        <v>156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4:13" x14ac:dyDescent="0.25">
      <c r="D57" t="s">
        <v>157</v>
      </c>
      <c r="G57" s="35"/>
      <c r="H57" s="35"/>
      <c r="I57" s="35"/>
      <c r="J57" s="35"/>
      <c r="K57" s="35"/>
      <c r="L57" s="35"/>
      <c r="M57" s="35"/>
    </row>
    <row r="58" spans="4:13" x14ac:dyDescent="0.25">
      <c r="E58" t="s">
        <v>60</v>
      </c>
      <c r="G58" s="35"/>
      <c r="H58" s="35"/>
      <c r="I58" s="35"/>
      <c r="J58" s="35"/>
      <c r="K58" s="35"/>
      <c r="L58" s="35"/>
      <c r="M58" s="35"/>
    </row>
    <row r="59" spans="4:13" x14ac:dyDescent="0.25">
      <c r="F59" t="s">
        <v>159</v>
      </c>
      <c r="G59" s="35">
        <v>1</v>
      </c>
      <c r="H59" s="35">
        <v>1</v>
      </c>
      <c r="I59" s="35">
        <v>1</v>
      </c>
      <c r="J59" s="35">
        <v>1</v>
      </c>
      <c r="K59" s="35">
        <v>1</v>
      </c>
      <c r="L59" s="35">
        <v>1</v>
      </c>
      <c r="M59" s="35"/>
    </row>
    <row r="60" spans="4:13" x14ac:dyDescent="0.25">
      <c r="F60" t="s">
        <v>160</v>
      </c>
      <c r="G60" s="35">
        <v>1</v>
      </c>
      <c r="H60" s="35">
        <v>1</v>
      </c>
      <c r="I60" s="35">
        <v>1</v>
      </c>
      <c r="J60" s="35">
        <v>1</v>
      </c>
      <c r="K60" s="35">
        <v>0</v>
      </c>
      <c r="L60" s="35">
        <v>0.90697674418604646</v>
      </c>
      <c r="M60" s="35"/>
    </row>
    <row r="61" spans="4:13" x14ac:dyDescent="0.25">
      <c r="F61" t="s">
        <v>163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4:13" x14ac:dyDescent="0.25">
      <c r="F62" t="s">
        <v>164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4:13" x14ac:dyDescent="0.25">
      <c r="F63" t="s">
        <v>167</v>
      </c>
      <c r="G63" s="35">
        <v>1</v>
      </c>
      <c r="H63" s="35">
        <v>1</v>
      </c>
      <c r="I63" s="35">
        <v>1</v>
      </c>
      <c r="J63" s="35">
        <v>1</v>
      </c>
      <c r="K63" s="35">
        <v>0</v>
      </c>
      <c r="L63" s="35">
        <v>0.90697674418604646</v>
      </c>
      <c r="M63" s="35"/>
    </row>
    <row r="64" spans="4:13" x14ac:dyDescent="0.25">
      <c r="F64" t="s">
        <v>168</v>
      </c>
      <c r="G64" s="35">
        <v>1</v>
      </c>
      <c r="H64" s="35">
        <v>1</v>
      </c>
      <c r="I64" s="35">
        <v>1</v>
      </c>
      <c r="J64" s="35">
        <v>1</v>
      </c>
      <c r="K64" s="35">
        <v>0</v>
      </c>
      <c r="L64" s="35">
        <v>0.90697674418604646</v>
      </c>
      <c r="M64" s="35"/>
    </row>
    <row r="65" spans="5:13" x14ac:dyDescent="0.25">
      <c r="F65" t="s">
        <v>171</v>
      </c>
      <c r="G65" s="35">
        <v>1</v>
      </c>
      <c r="H65" s="35">
        <v>1</v>
      </c>
      <c r="I65" s="35">
        <v>1</v>
      </c>
      <c r="J65" s="35">
        <v>1</v>
      </c>
      <c r="K65" s="35">
        <v>0</v>
      </c>
      <c r="L65" s="35">
        <v>0.90697674418604646</v>
      </c>
      <c r="M65" s="35"/>
    </row>
    <row r="66" spans="5:13" x14ac:dyDescent="0.25">
      <c r="F66" t="s">
        <v>172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5:13" x14ac:dyDescent="0.25">
      <c r="F67" t="s">
        <v>175</v>
      </c>
      <c r="G67" s="35">
        <v>1</v>
      </c>
      <c r="H67" s="35">
        <v>0</v>
      </c>
      <c r="I67" s="35">
        <v>0</v>
      </c>
      <c r="J67" s="35">
        <v>0</v>
      </c>
      <c r="K67" s="35">
        <v>0</v>
      </c>
      <c r="L67" s="35">
        <v>0.27906976744186046</v>
      </c>
      <c r="M67" s="35"/>
    </row>
    <row r="68" spans="5:13" x14ac:dyDescent="0.25">
      <c r="E68" t="s">
        <v>58</v>
      </c>
      <c r="G68" s="35"/>
      <c r="H68" s="35"/>
      <c r="I68" s="35"/>
      <c r="J68" s="35"/>
      <c r="K68" s="35"/>
      <c r="L68" s="35"/>
      <c r="M68" s="35"/>
    </row>
    <row r="69" spans="5:13" x14ac:dyDescent="0.25">
      <c r="F69" t="s">
        <v>158</v>
      </c>
      <c r="G69" s="35">
        <v>1</v>
      </c>
      <c r="H69" s="35">
        <v>1</v>
      </c>
      <c r="I69" s="35">
        <v>1</v>
      </c>
      <c r="J69" s="35">
        <v>1</v>
      </c>
      <c r="K69" s="35">
        <v>1</v>
      </c>
      <c r="L69" s="35">
        <v>1</v>
      </c>
      <c r="M69" s="35"/>
    </row>
    <row r="70" spans="5:13" x14ac:dyDescent="0.25">
      <c r="F70" t="s">
        <v>161</v>
      </c>
      <c r="G70" s="35">
        <v>1</v>
      </c>
      <c r="H70" s="35">
        <v>1</v>
      </c>
      <c r="I70" s="35">
        <v>1</v>
      </c>
      <c r="J70" s="35">
        <v>1</v>
      </c>
      <c r="K70" s="35">
        <v>1</v>
      </c>
      <c r="L70" s="35">
        <v>1</v>
      </c>
      <c r="M70" s="35"/>
    </row>
    <row r="71" spans="5:13" x14ac:dyDescent="0.25">
      <c r="F71" t="s">
        <v>162</v>
      </c>
      <c r="G71" s="35">
        <v>1</v>
      </c>
      <c r="H71" s="35">
        <v>1</v>
      </c>
      <c r="I71" s="35">
        <v>1</v>
      </c>
      <c r="J71" s="35">
        <v>1</v>
      </c>
      <c r="K71" s="35">
        <v>0</v>
      </c>
      <c r="L71" s="35">
        <v>0.90697674418604646</v>
      </c>
      <c r="M71" s="35"/>
    </row>
    <row r="72" spans="5:13" x14ac:dyDescent="0.25">
      <c r="F72" t="s">
        <v>165</v>
      </c>
      <c r="G72" s="35">
        <v>1</v>
      </c>
      <c r="H72" s="35">
        <v>1</v>
      </c>
      <c r="I72" s="35">
        <v>1</v>
      </c>
      <c r="J72" s="35">
        <v>1</v>
      </c>
      <c r="K72" s="35">
        <v>1</v>
      </c>
      <c r="L72" s="35">
        <v>1</v>
      </c>
      <c r="M72" s="35"/>
    </row>
    <row r="73" spans="5:13" x14ac:dyDescent="0.25">
      <c r="F73" t="s">
        <v>166</v>
      </c>
      <c r="G73" s="35">
        <v>1</v>
      </c>
      <c r="H73" s="35">
        <v>1</v>
      </c>
      <c r="I73" s="35">
        <v>1</v>
      </c>
      <c r="J73" s="35">
        <v>1</v>
      </c>
      <c r="K73" s="35">
        <v>1</v>
      </c>
      <c r="L73" s="35">
        <v>1</v>
      </c>
      <c r="M73" s="35"/>
    </row>
    <row r="74" spans="5:13" x14ac:dyDescent="0.25">
      <c r="F74" t="s">
        <v>169</v>
      </c>
      <c r="G74" s="35">
        <v>1</v>
      </c>
      <c r="H74" s="35">
        <v>1</v>
      </c>
      <c r="I74" s="35">
        <v>1</v>
      </c>
      <c r="J74" s="35">
        <v>1</v>
      </c>
      <c r="K74" s="35">
        <v>0</v>
      </c>
      <c r="L74" s="35">
        <v>0.90697674418604646</v>
      </c>
      <c r="M74" s="35"/>
    </row>
    <row r="75" spans="5:13" x14ac:dyDescent="0.25">
      <c r="F75" t="s">
        <v>170</v>
      </c>
      <c r="G75" s="35">
        <v>1</v>
      </c>
      <c r="H75" s="35">
        <v>1</v>
      </c>
      <c r="I75" s="35">
        <v>1</v>
      </c>
      <c r="J75" s="35">
        <v>1</v>
      </c>
      <c r="K75" s="35">
        <v>0</v>
      </c>
      <c r="L75" s="35">
        <v>0.90697674418604646</v>
      </c>
      <c r="M75" s="35"/>
    </row>
    <row r="76" spans="5:13" x14ac:dyDescent="0.25">
      <c r="F76" t="s">
        <v>173</v>
      </c>
      <c r="G76" s="35">
        <v>1</v>
      </c>
      <c r="H76" s="35">
        <v>1</v>
      </c>
      <c r="I76" s="35">
        <v>1</v>
      </c>
      <c r="J76" s="35">
        <v>1</v>
      </c>
      <c r="K76" s="35">
        <v>0</v>
      </c>
      <c r="L76" s="35">
        <v>0.90697674418604646</v>
      </c>
      <c r="M76" s="35"/>
    </row>
    <row r="77" spans="5:13" x14ac:dyDescent="0.25">
      <c r="F77" t="s">
        <v>174</v>
      </c>
      <c r="G77" s="35">
        <v>1</v>
      </c>
      <c r="H77" s="35">
        <v>1</v>
      </c>
      <c r="I77" s="35">
        <v>1</v>
      </c>
      <c r="J77" s="35">
        <v>1</v>
      </c>
      <c r="K77" s="35">
        <v>0</v>
      </c>
      <c r="L77" s="35">
        <v>0.90697674418604646</v>
      </c>
      <c r="M77" s="35"/>
    </row>
    <row r="78" spans="5:13" x14ac:dyDescent="0.25">
      <c r="F78" t="s">
        <v>181</v>
      </c>
      <c r="G78" s="35">
        <v>1</v>
      </c>
      <c r="H78" s="35">
        <v>0</v>
      </c>
      <c r="I78" s="35">
        <v>0</v>
      </c>
      <c r="J78" s="35">
        <v>0</v>
      </c>
      <c r="K78" s="35">
        <v>0</v>
      </c>
      <c r="L78" s="35">
        <v>0.27906976744186046</v>
      </c>
      <c r="M78" s="35"/>
    </row>
    <row r="79" spans="5:13" x14ac:dyDescent="0.25">
      <c r="G79" s="36"/>
      <c r="H79" s="35"/>
      <c r="I79" s="35"/>
      <c r="J79" s="35"/>
      <c r="K79" s="35"/>
      <c r="L79" s="35"/>
      <c r="M79" s="35"/>
    </row>
    <row r="80" spans="5:13" x14ac:dyDescent="0.25">
      <c r="G80" s="36"/>
      <c r="H80" s="35"/>
      <c r="I80" s="35"/>
      <c r="J80" s="35"/>
      <c r="K80" s="35"/>
      <c r="L80" s="35"/>
      <c r="M80" s="35"/>
    </row>
    <row r="81" spans="6:13" x14ac:dyDescent="0.25">
      <c r="G81" s="36"/>
      <c r="H81" s="35"/>
      <c r="I81" s="35"/>
      <c r="J81" s="35"/>
      <c r="K81" s="35"/>
      <c r="L81" s="35"/>
      <c r="M81" s="35"/>
    </row>
    <row r="82" spans="6:13" x14ac:dyDescent="0.25">
      <c r="G82" s="36"/>
      <c r="H82" s="35"/>
      <c r="I82" s="35"/>
      <c r="J82" s="35"/>
      <c r="K82" s="35"/>
      <c r="L82" s="35"/>
      <c r="M82" s="35"/>
    </row>
    <row r="83" spans="6:13" x14ac:dyDescent="0.25">
      <c r="G83" s="36"/>
      <c r="H83" s="35"/>
      <c r="I83" s="35"/>
      <c r="J83" s="35"/>
      <c r="K83" s="35"/>
      <c r="L83" s="35"/>
      <c r="M83" s="35"/>
    </row>
    <row r="84" spans="6:13" x14ac:dyDescent="0.25">
      <c r="G84" s="36"/>
      <c r="H84" s="35"/>
      <c r="I84" s="35"/>
      <c r="J84" s="35"/>
      <c r="K84" s="35"/>
      <c r="L84" s="35"/>
      <c r="M84" s="35"/>
    </row>
    <row r="85" spans="6:13" x14ac:dyDescent="0.25">
      <c r="F85" s="36"/>
      <c r="G85" s="35"/>
      <c r="H85" s="35"/>
      <c r="I85" s="35"/>
      <c r="J85" s="35"/>
      <c r="K85" s="35"/>
      <c r="L85" s="3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G79:K1048576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8"/>
  <sheetViews>
    <sheetView topLeftCell="A7" zoomScale="160" zoomScaleNormal="160" workbookViewId="0">
      <selection activeCell="D44" sqref="D44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bestFit="1" customWidth="1"/>
    <col min="5" max="5" width="14.5703125" bestFit="1" customWidth="1"/>
    <col min="6" max="6" width="17.28515625" bestFit="1" customWidth="1"/>
    <col min="7" max="7" width="7.85546875" bestFit="1" customWidth="1"/>
    <col min="8" max="8" width="15.5703125" bestFit="1" customWidth="1"/>
    <col min="9" max="9" width="5.140625" bestFit="1" customWidth="1"/>
    <col min="10" max="10" width="4.28515625" bestFit="1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907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 s="38" t="s">
        <v>877</v>
      </c>
      <c r="L9"/>
    </row>
    <row r="10" spans="2:12" x14ac:dyDescent="0.25">
      <c r="B10" s="36" t="s">
        <v>91</v>
      </c>
      <c r="D10" s="36"/>
      <c r="E10" s="45"/>
      <c r="F10" s="35"/>
      <c r="G10" s="35"/>
      <c r="H10" s="35"/>
      <c r="I10" s="35"/>
      <c r="J10" s="35"/>
      <c r="K10" s="35"/>
    </row>
    <row r="11" spans="2:12" x14ac:dyDescent="0.25">
      <c r="B11" s="36"/>
      <c r="C11" s="36" t="s">
        <v>121</v>
      </c>
      <c r="D11" s="36">
        <v>2</v>
      </c>
      <c r="E11" s="45">
        <v>24</v>
      </c>
      <c r="F11" s="35">
        <v>1</v>
      </c>
      <c r="G11" s="35">
        <v>1</v>
      </c>
      <c r="H11" s="35">
        <v>0</v>
      </c>
      <c r="I11" s="35">
        <v>1</v>
      </c>
      <c r="J11" s="35">
        <v>0</v>
      </c>
      <c r="K11" s="35">
        <v>0</v>
      </c>
    </row>
    <row r="12" spans="2:12" x14ac:dyDescent="0.25">
      <c r="B12" s="36" t="s">
        <v>124</v>
      </c>
      <c r="D12" s="36"/>
      <c r="E12" s="45"/>
      <c r="F12" s="35"/>
      <c r="G12" s="35"/>
      <c r="H12" s="35"/>
      <c r="I12" s="35"/>
      <c r="J12" s="35"/>
      <c r="K12" s="35"/>
    </row>
    <row r="13" spans="2:12" x14ac:dyDescent="0.25">
      <c r="B13" s="36"/>
      <c r="C13" s="36" t="s">
        <v>134</v>
      </c>
      <c r="D13" s="36">
        <v>1</v>
      </c>
      <c r="E13" s="45">
        <v>17</v>
      </c>
      <c r="F13" s="35">
        <v>1</v>
      </c>
      <c r="G13" s="35">
        <v>1</v>
      </c>
      <c r="H13" s="35">
        <v>0</v>
      </c>
      <c r="I13" s="35">
        <v>0</v>
      </c>
      <c r="J13" s="35">
        <v>0</v>
      </c>
      <c r="K13" s="35">
        <v>0</v>
      </c>
    </row>
    <row r="14" spans="2:12" x14ac:dyDescent="0.25">
      <c r="B14" s="36"/>
      <c r="C14" s="36" t="s">
        <v>138</v>
      </c>
      <c r="D14" s="36">
        <v>0</v>
      </c>
      <c r="E14" s="45">
        <v>13</v>
      </c>
      <c r="F14" s="35">
        <v>1</v>
      </c>
      <c r="G14" s="35">
        <v>1</v>
      </c>
      <c r="H14" s="35">
        <v>0</v>
      </c>
      <c r="I14" s="35">
        <v>0</v>
      </c>
      <c r="J14" s="35">
        <v>0</v>
      </c>
      <c r="K14" s="35">
        <v>0</v>
      </c>
    </row>
    <row r="15" spans="2:12" x14ac:dyDescent="0.25">
      <c r="B15" t="s">
        <v>157</v>
      </c>
      <c r="D15" s="36"/>
      <c r="E15" s="45"/>
      <c r="F15" s="35"/>
      <c r="G15" s="35"/>
      <c r="H15" s="35"/>
      <c r="I15" s="35"/>
      <c r="J15" s="35"/>
      <c r="K15" s="35"/>
    </row>
    <row r="16" spans="2:12" x14ac:dyDescent="0.25">
      <c r="C16" t="s">
        <v>159</v>
      </c>
      <c r="D16" s="36">
        <v>3</v>
      </c>
      <c r="E16" s="45">
        <v>0</v>
      </c>
      <c r="F16" s="35">
        <v>1</v>
      </c>
      <c r="G16" s="35">
        <v>1</v>
      </c>
      <c r="H16" s="35">
        <v>0</v>
      </c>
      <c r="I16" s="35">
        <v>0</v>
      </c>
      <c r="J16" s="35">
        <v>0</v>
      </c>
      <c r="K16" s="35">
        <v>0</v>
      </c>
    </row>
    <row r="17" spans="3:11" x14ac:dyDescent="0.25">
      <c r="C17" t="s">
        <v>163</v>
      </c>
      <c r="D17" s="36">
        <v>0</v>
      </c>
      <c r="E17" s="45">
        <v>-2</v>
      </c>
      <c r="F17" s="35">
        <v>0</v>
      </c>
      <c r="G17" s="35">
        <v>1</v>
      </c>
      <c r="H17" s="35">
        <v>0</v>
      </c>
      <c r="I17" s="35">
        <v>0</v>
      </c>
      <c r="J17" s="35">
        <v>0</v>
      </c>
      <c r="K17" s="35">
        <v>0</v>
      </c>
    </row>
    <row r="18" spans="3:11" x14ac:dyDescent="0.25">
      <c r="C18" t="s">
        <v>164</v>
      </c>
      <c r="D18" s="36">
        <v>0</v>
      </c>
      <c r="E18" s="45">
        <v>-3</v>
      </c>
      <c r="F18" s="35">
        <v>1</v>
      </c>
      <c r="G18" s="35">
        <v>1</v>
      </c>
      <c r="H18" s="35">
        <v>0</v>
      </c>
      <c r="I18" s="35">
        <v>0</v>
      </c>
      <c r="J18" s="35">
        <v>0</v>
      </c>
      <c r="K18" s="35">
        <v>0</v>
      </c>
    </row>
  </sheetData>
  <conditionalFormatting pivot="1" sqref="F10:K18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15"/>
  <sheetViews>
    <sheetView topLeftCell="A6" zoomScale="140" zoomScaleNormal="140" workbookViewId="0">
      <selection activeCell="M28" sqref="M28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878</v>
      </c>
      <c r="F10" s="36" t="s">
        <v>879</v>
      </c>
      <c r="G10" s="36" t="s">
        <v>880</v>
      </c>
      <c r="H10" s="36" t="s">
        <v>881</v>
      </c>
      <c r="I10" s="36" t="s">
        <v>882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121</v>
      </c>
      <c r="E13" s="35">
        <v>1</v>
      </c>
      <c r="F13" s="35">
        <v>1</v>
      </c>
      <c r="G13" s="35">
        <v>0</v>
      </c>
      <c r="H13" s="35">
        <v>0</v>
      </c>
      <c r="I13" s="35">
        <v>0</v>
      </c>
      <c r="J13" s="35">
        <v>0.54545454545454541</v>
      </c>
    </row>
    <row r="14" spans="2:10" x14ac:dyDescent="0.25">
      <c r="C14" t="s">
        <v>58</v>
      </c>
      <c r="E14" s="35"/>
      <c r="F14" s="35"/>
      <c r="G14" s="35"/>
      <c r="H14" s="35"/>
      <c r="I14" s="35"/>
      <c r="J14" s="35"/>
    </row>
    <row r="15" spans="2:10" x14ac:dyDescent="0.25">
      <c r="D15" t="s">
        <v>120</v>
      </c>
      <c r="E15" s="35">
        <v>1</v>
      </c>
      <c r="F15" s="35">
        <v>1</v>
      </c>
      <c r="G15" s="35">
        <v>0</v>
      </c>
      <c r="H15" s="35">
        <v>1</v>
      </c>
      <c r="I15" s="35">
        <v>1</v>
      </c>
      <c r="J15" s="35">
        <v>0.90909090909090917</v>
      </c>
    </row>
  </sheetData>
  <conditionalFormatting pivot="1" sqref="E11:J15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58"/>
  <sheetViews>
    <sheetView topLeftCell="A4" zoomScaleNormal="100" workbookViewId="0">
      <selection activeCell="H41" sqref="H41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8.7109375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0.140625" bestFit="1" customWidth="1"/>
    <col min="14" max="14" width="9.42578125" bestFit="1" customWidth="1"/>
    <col min="15" max="15" width="8.85546875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6" width="15.140625" bestFit="1" customWidth="1"/>
    <col min="27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45" x14ac:dyDescent="0.25">
      <c r="B10" s="33" t="s">
        <v>0</v>
      </c>
      <c r="C10" s="37" t="s">
        <v>3</v>
      </c>
      <c r="D10" s="37" t="s">
        <v>1</v>
      </c>
      <c r="E10" s="38" t="s">
        <v>883</v>
      </c>
      <c r="F10" s="38" t="s">
        <v>884</v>
      </c>
      <c r="G10" s="38" t="s">
        <v>885</v>
      </c>
      <c r="H10" s="38" t="s">
        <v>886</v>
      </c>
      <c r="I10" s="38" t="s">
        <v>826</v>
      </c>
      <c r="J10" s="38" t="s">
        <v>887</v>
      </c>
      <c r="K10" s="38" t="s">
        <v>888</v>
      </c>
      <c r="L10" s="38" t="s">
        <v>889</v>
      </c>
      <c r="M10" s="38" t="s">
        <v>890</v>
      </c>
      <c r="N10" s="38" t="s">
        <v>891</v>
      </c>
      <c r="O10" s="38" t="s">
        <v>892</v>
      </c>
      <c r="P10" s="38" t="s">
        <v>893</v>
      </c>
      <c r="Q10" s="38" t="s">
        <v>894</v>
      </c>
      <c r="R10" s="38" t="s">
        <v>896</v>
      </c>
      <c r="S10" s="38" t="s">
        <v>895</v>
      </c>
      <c r="T10" s="38" t="s">
        <v>897</v>
      </c>
      <c r="U10" s="38" t="s">
        <v>898</v>
      </c>
      <c r="V10" s="38" t="s">
        <v>899</v>
      </c>
      <c r="W10" s="38" t="s">
        <v>900</v>
      </c>
      <c r="X10" s="38" t="s">
        <v>901</v>
      </c>
      <c r="Y10" s="38" t="s">
        <v>902</v>
      </c>
      <c r="Z10" s="38" t="s">
        <v>903</v>
      </c>
      <c r="AA10"/>
    </row>
    <row r="11" spans="2:27" x14ac:dyDescent="0.25">
      <c r="B11" t="s">
        <v>91</v>
      </c>
      <c r="D11"/>
      <c r="E11" s="35"/>
      <c r="F11" s="35"/>
      <c r="G11" s="35"/>
      <c r="H11" s="35"/>
      <c r="I11" s="73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3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121</v>
      </c>
      <c r="E13" s="35">
        <v>1</v>
      </c>
      <c r="F13" s="35">
        <v>1</v>
      </c>
      <c r="G13" s="35">
        <v>0</v>
      </c>
      <c r="H13" s="35">
        <v>1</v>
      </c>
      <c r="I13" s="73">
        <v>1</v>
      </c>
      <c r="J13" s="35">
        <v>1</v>
      </c>
      <c r="K13" s="35">
        <v>1</v>
      </c>
      <c r="L13" s="35">
        <v>1</v>
      </c>
      <c r="M13" s="35">
        <v>0</v>
      </c>
      <c r="N13" s="35">
        <v>0</v>
      </c>
      <c r="O13" s="35">
        <v>1</v>
      </c>
      <c r="P13" s="35">
        <v>0</v>
      </c>
      <c r="Q13" s="35">
        <v>0</v>
      </c>
      <c r="R13" s="35">
        <v>1</v>
      </c>
      <c r="S13" s="35">
        <v>1</v>
      </c>
      <c r="T13" s="35">
        <v>1</v>
      </c>
      <c r="U13" s="35">
        <v>1</v>
      </c>
      <c r="V13" s="35">
        <v>0</v>
      </c>
      <c r="W13" s="35">
        <v>0</v>
      </c>
      <c r="X13" s="35">
        <v>1</v>
      </c>
      <c r="Y13" s="35">
        <v>0</v>
      </c>
      <c r="Z13" s="35">
        <v>0.70270270270270241</v>
      </c>
    </row>
    <row r="14" spans="2:27" x14ac:dyDescent="0.25">
      <c r="C14" t="s">
        <v>58</v>
      </c>
      <c r="D14"/>
      <c r="E14" s="35"/>
      <c r="F14" s="35"/>
      <c r="G14" s="35"/>
      <c r="H14" s="35"/>
      <c r="I14" s="73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</row>
    <row r="15" spans="2:27" x14ac:dyDescent="0.25">
      <c r="D15" t="s">
        <v>120</v>
      </c>
      <c r="E15" s="35">
        <v>1</v>
      </c>
      <c r="F15" s="35">
        <v>1</v>
      </c>
      <c r="G15" s="35">
        <v>1</v>
      </c>
      <c r="H15" s="35">
        <v>1</v>
      </c>
      <c r="I15" s="73">
        <v>1</v>
      </c>
      <c r="J15" s="35">
        <v>1</v>
      </c>
      <c r="K15" s="35">
        <v>1</v>
      </c>
      <c r="L15" s="35">
        <v>1</v>
      </c>
      <c r="M15" s="35">
        <v>1</v>
      </c>
      <c r="N15" s="35">
        <v>1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1</v>
      </c>
      <c r="W15" s="35">
        <v>1</v>
      </c>
      <c r="X15" s="35">
        <v>1</v>
      </c>
      <c r="Y15" s="35">
        <v>0</v>
      </c>
      <c r="Z15" s="35">
        <v>0.95945945945945899</v>
      </c>
    </row>
    <row r="16" spans="2:27" x14ac:dyDescent="0.25">
      <c r="B16" t="s">
        <v>124</v>
      </c>
      <c r="D16"/>
      <c r="E16" s="35"/>
      <c r="F16" s="35"/>
      <c r="G16" s="35"/>
      <c r="H16" s="35"/>
      <c r="I16" s="73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spans="2:26" x14ac:dyDescent="0.25">
      <c r="C17" t="s">
        <v>60</v>
      </c>
      <c r="D17"/>
      <c r="E17" s="35"/>
      <c r="F17" s="35"/>
      <c r="G17" s="35"/>
      <c r="H17" s="35"/>
      <c r="I17" s="73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 spans="2:26" x14ac:dyDescent="0.25">
      <c r="D18" t="s">
        <v>134</v>
      </c>
      <c r="E18" s="35">
        <v>1</v>
      </c>
      <c r="F18" s="35">
        <v>1</v>
      </c>
      <c r="G18" s="35">
        <v>0</v>
      </c>
      <c r="H18" s="35">
        <v>1</v>
      </c>
      <c r="I18" s="73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0</v>
      </c>
      <c r="Q18" s="35">
        <v>0</v>
      </c>
      <c r="R18" s="35">
        <v>1</v>
      </c>
      <c r="S18" s="35">
        <v>1</v>
      </c>
      <c r="T18" s="35">
        <v>1</v>
      </c>
      <c r="U18" s="35">
        <v>1</v>
      </c>
      <c r="V18" s="35">
        <v>0</v>
      </c>
      <c r="W18" s="35">
        <v>0</v>
      </c>
      <c r="X18" s="35">
        <v>1</v>
      </c>
      <c r="Y18" s="35">
        <v>0</v>
      </c>
      <c r="Z18" s="35">
        <v>0.70270270270270241</v>
      </c>
    </row>
    <row r="19" spans="2:26" x14ac:dyDescent="0.25">
      <c r="D19" t="s">
        <v>138</v>
      </c>
      <c r="E19" s="35">
        <v>1</v>
      </c>
      <c r="F19" s="35">
        <v>1</v>
      </c>
      <c r="G19" s="35">
        <v>0</v>
      </c>
      <c r="H19" s="35">
        <v>1</v>
      </c>
      <c r="I19" s="73">
        <v>1</v>
      </c>
      <c r="J19" s="35">
        <v>1</v>
      </c>
      <c r="K19" s="35">
        <v>1</v>
      </c>
      <c r="L19" s="35">
        <v>1</v>
      </c>
      <c r="M19" s="35">
        <v>0</v>
      </c>
      <c r="N19" s="35">
        <v>0</v>
      </c>
      <c r="O19" s="35">
        <v>1</v>
      </c>
      <c r="P19" s="35">
        <v>0</v>
      </c>
      <c r="Q19" s="35">
        <v>0</v>
      </c>
      <c r="R19" s="35">
        <v>1</v>
      </c>
      <c r="S19" s="35">
        <v>1</v>
      </c>
      <c r="T19" s="35">
        <v>1</v>
      </c>
      <c r="U19" s="35">
        <v>1</v>
      </c>
      <c r="V19" s="35">
        <v>0</v>
      </c>
      <c r="W19" s="35">
        <v>0</v>
      </c>
      <c r="X19" s="35">
        <v>1</v>
      </c>
      <c r="Y19" s="35">
        <v>0</v>
      </c>
      <c r="Z19" s="35">
        <v>0.70270270270270241</v>
      </c>
    </row>
    <row r="20" spans="2:26" x14ac:dyDescent="0.25">
      <c r="C20" t="s">
        <v>58</v>
      </c>
      <c r="D20"/>
      <c r="E20" s="35"/>
      <c r="F20" s="35"/>
      <c r="G20" s="35"/>
      <c r="H20" s="35"/>
      <c r="I20" s="73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 spans="2:26" x14ac:dyDescent="0.25">
      <c r="D21" t="s">
        <v>152</v>
      </c>
      <c r="E21" s="35">
        <v>1</v>
      </c>
      <c r="F21" s="35">
        <v>1</v>
      </c>
      <c r="G21" s="35">
        <v>1</v>
      </c>
      <c r="H21" s="35">
        <v>1</v>
      </c>
      <c r="I21" s="73">
        <v>0</v>
      </c>
      <c r="J21" s="35">
        <v>0</v>
      </c>
      <c r="K21" s="35">
        <v>0</v>
      </c>
      <c r="L21" s="35">
        <v>0</v>
      </c>
      <c r="M21" s="35">
        <v>0</v>
      </c>
      <c r="N21" s="35">
        <v>0</v>
      </c>
      <c r="O21" s="35">
        <v>0</v>
      </c>
      <c r="P21" s="35">
        <v>1</v>
      </c>
      <c r="Q21" s="35">
        <v>0</v>
      </c>
      <c r="R21" s="35">
        <v>1</v>
      </c>
      <c r="S21" s="35">
        <v>1</v>
      </c>
      <c r="T21" s="35">
        <v>0</v>
      </c>
      <c r="U21" s="35">
        <v>0</v>
      </c>
      <c r="V21" s="35">
        <v>1</v>
      </c>
      <c r="W21" s="35">
        <v>1</v>
      </c>
      <c r="X21" s="35">
        <v>1</v>
      </c>
      <c r="Y21" s="35">
        <v>0</v>
      </c>
      <c r="Z21" s="35">
        <v>0.49999999999999983</v>
      </c>
    </row>
    <row r="22" spans="2:26" x14ac:dyDescent="0.25">
      <c r="B22" t="s">
        <v>157</v>
      </c>
      <c r="D22"/>
      <c r="E22" s="35"/>
      <c r="F22" s="35"/>
      <c r="G22" s="35"/>
      <c r="H22" s="35"/>
      <c r="I22" s="73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</row>
    <row r="23" spans="2:26" x14ac:dyDescent="0.25">
      <c r="C23" t="s">
        <v>60</v>
      </c>
      <c r="D23"/>
      <c r="E23" s="35"/>
      <c r="F23" s="35"/>
      <c r="G23" s="35"/>
      <c r="H23" s="35"/>
      <c r="I23" s="73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 spans="2:26" x14ac:dyDescent="0.25">
      <c r="D24" t="s">
        <v>159</v>
      </c>
      <c r="E24" s="35">
        <v>0</v>
      </c>
      <c r="F24" s="35">
        <v>0</v>
      </c>
      <c r="G24" s="35">
        <v>0</v>
      </c>
      <c r="H24" s="35">
        <v>0</v>
      </c>
      <c r="I24" s="73">
        <v>0</v>
      </c>
      <c r="J24" s="35">
        <v>0</v>
      </c>
      <c r="K24" s="35">
        <v>0</v>
      </c>
      <c r="L24" s="35">
        <v>0</v>
      </c>
      <c r="M24" s="35">
        <v>0</v>
      </c>
      <c r="N24" s="35">
        <v>0</v>
      </c>
      <c r="O24" s="35">
        <v>0</v>
      </c>
      <c r="P24" s="35">
        <v>0</v>
      </c>
      <c r="Q24" s="35">
        <v>0</v>
      </c>
      <c r="R24" s="35">
        <v>0</v>
      </c>
      <c r="S24" s="35">
        <v>0</v>
      </c>
      <c r="T24" s="35">
        <v>0</v>
      </c>
      <c r="U24" s="35">
        <v>0</v>
      </c>
      <c r="V24" s="35">
        <v>0</v>
      </c>
      <c r="W24" s="35">
        <v>0</v>
      </c>
      <c r="X24" s="35">
        <v>0</v>
      </c>
      <c r="Y24" s="35">
        <v>0</v>
      </c>
      <c r="Z24" s="35">
        <v>0</v>
      </c>
    </row>
    <row r="25" spans="2:26" x14ac:dyDescent="0.25">
      <c r="C25" t="s">
        <v>58</v>
      </c>
      <c r="D25"/>
      <c r="E25" s="35"/>
      <c r="F25" s="35"/>
      <c r="G25" s="35"/>
      <c r="H25" s="35"/>
      <c r="I25" s="73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spans="2:26" x14ac:dyDescent="0.25">
      <c r="D26" t="s">
        <v>158</v>
      </c>
      <c r="E26" s="35">
        <v>1</v>
      </c>
      <c r="F26" s="35">
        <v>1</v>
      </c>
      <c r="G26" s="35">
        <v>1</v>
      </c>
      <c r="H26" s="35">
        <v>1</v>
      </c>
      <c r="I26" s="73">
        <v>0</v>
      </c>
      <c r="J26" s="35">
        <v>0</v>
      </c>
      <c r="K26" s="35">
        <v>0</v>
      </c>
      <c r="L26" s="35">
        <v>1</v>
      </c>
      <c r="M26" s="35">
        <v>0</v>
      </c>
      <c r="N26" s="35">
        <v>0</v>
      </c>
      <c r="O26" s="35">
        <v>0</v>
      </c>
      <c r="P26" s="35">
        <v>1</v>
      </c>
      <c r="Q26" s="35">
        <v>0</v>
      </c>
      <c r="R26" s="35">
        <v>1</v>
      </c>
      <c r="S26" s="35">
        <v>1</v>
      </c>
      <c r="T26" s="35">
        <v>1</v>
      </c>
      <c r="U26" s="35">
        <v>0</v>
      </c>
      <c r="V26" s="35">
        <v>1</v>
      </c>
      <c r="W26" s="35">
        <v>1</v>
      </c>
      <c r="X26" s="35">
        <v>1</v>
      </c>
      <c r="Y26" s="35">
        <v>0</v>
      </c>
      <c r="Z26" s="35">
        <v>0.58108108108108092</v>
      </c>
    </row>
    <row r="27" spans="2:26" x14ac:dyDescent="0.25">
      <c r="D27" t="s">
        <v>165</v>
      </c>
      <c r="E27" s="35">
        <v>1</v>
      </c>
      <c r="F27" s="35">
        <v>1</v>
      </c>
      <c r="G27" s="35">
        <v>1</v>
      </c>
      <c r="H27" s="35">
        <v>1</v>
      </c>
      <c r="I27" s="73">
        <v>0</v>
      </c>
      <c r="J27" s="35">
        <v>0</v>
      </c>
      <c r="K27" s="35">
        <v>0</v>
      </c>
      <c r="L27" s="35">
        <v>1</v>
      </c>
      <c r="M27" s="35">
        <v>0</v>
      </c>
      <c r="N27" s="35">
        <v>0</v>
      </c>
      <c r="O27" s="35">
        <v>0</v>
      </c>
      <c r="P27" s="35">
        <v>1</v>
      </c>
      <c r="Q27" s="35">
        <v>0</v>
      </c>
      <c r="R27" s="35">
        <v>1</v>
      </c>
      <c r="S27" s="35">
        <v>1</v>
      </c>
      <c r="T27" s="35">
        <v>1</v>
      </c>
      <c r="U27" s="35">
        <v>0</v>
      </c>
      <c r="V27" s="35">
        <v>1</v>
      </c>
      <c r="W27" s="35">
        <v>1</v>
      </c>
      <c r="X27" s="35">
        <v>1</v>
      </c>
      <c r="Y27" s="35">
        <v>0</v>
      </c>
      <c r="Z27" s="35">
        <v>0.58108108108108092</v>
      </c>
    </row>
    <row r="28" spans="2:26" x14ac:dyDescent="0.25">
      <c r="D28" t="s">
        <v>173</v>
      </c>
      <c r="E28" s="35">
        <v>0</v>
      </c>
      <c r="F28" s="35">
        <v>0</v>
      </c>
      <c r="G28" s="35">
        <v>0</v>
      </c>
      <c r="H28" s="35">
        <v>0</v>
      </c>
      <c r="I28" s="73">
        <v>0</v>
      </c>
      <c r="J28" s="35">
        <v>0</v>
      </c>
      <c r="K28" s="35">
        <v>0</v>
      </c>
      <c r="L28" s="35">
        <v>0</v>
      </c>
      <c r="M28" s="35">
        <v>0</v>
      </c>
      <c r="N28" s="35">
        <v>0</v>
      </c>
      <c r="O28" s="35">
        <v>0</v>
      </c>
      <c r="P28" s="35">
        <v>0</v>
      </c>
      <c r="Q28" s="35">
        <v>0</v>
      </c>
      <c r="R28" s="35">
        <v>0</v>
      </c>
      <c r="S28" s="35">
        <v>0</v>
      </c>
      <c r="T28" s="35">
        <v>0</v>
      </c>
      <c r="U28" s="35">
        <v>0</v>
      </c>
      <c r="V28" s="35">
        <v>0</v>
      </c>
      <c r="W28" s="35">
        <v>0</v>
      </c>
      <c r="X28" s="35">
        <v>0</v>
      </c>
      <c r="Y28" s="35">
        <v>0</v>
      </c>
      <c r="Z28" s="35">
        <v>0</v>
      </c>
    </row>
    <row r="29" spans="2:26" x14ac:dyDescent="0.25">
      <c r="D29" t="s">
        <v>174</v>
      </c>
      <c r="E29" s="35">
        <v>0</v>
      </c>
      <c r="F29" s="35">
        <v>0</v>
      </c>
      <c r="G29" s="35">
        <v>0</v>
      </c>
      <c r="H29" s="35">
        <v>0</v>
      </c>
      <c r="I29" s="73">
        <v>0</v>
      </c>
      <c r="J29" s="35">
        <v>0</v>
      </c>
      <c r="K29" s="35">
        <v>0</v>
      </c>
      <c r="L29" s="35">
        <v>0</v>
      </c>
      <c r="M29" s="35">
        <v>0</v>
      </c>
      <c r="N29" s="35">
        <v>0</v>
      </c>
      <c r="O29" s="35">
        <v>0</v>
      </c>
      <c r="P29" s="35">
        <v>0</v>
      </c>
      <c r="Q29" s="35">
        <v>0</v>
      </c>
      <c r="R29" s="35">
        <v>0</v>
      </c>
      <c r="S29" s="35">
        <v>0</v>
      </c>
      <c r="T29" s="35">
        <v>0</v>
      </c>
      <c r="U29" s="35">
        <v>0</v>
      </c>
      <c r="V29" s="35">
        <v>0</v>
      </c>
      <c r="W29" s="35">
        <v>0</v>
      </c>
      <c r="X29" s="35">
        <v>0</v>
      </c>
      <c r="Y29" s="35">
        <v>0</v>
      </c>
      <c r="Z29" s="35">
        <v>0</v>
      </c>
    </row>
    <row r="30" spans="2:26" x14ac:dyDescent="0.25">
      <c r="D30"/>
      <c r="F30"/>
    </row>
    <row r="31" spans="2:26" x14ac:dyDescent="0.25">
      <c r="D31"/>
      <c r="F31"/>
    </row>
    <row r="32" spans="2:26" x14ac:dyDescent="0.25">
      <c r="D32"/>
      <c r="F32"/>
    </row>
    <row r="33" spans="4:6" x14ac:dyDescent="0.25">
      <c r="D33"/>
      <c r="F33"/>
    </row>
    <row r="34" spans="4:6" x14ac:dyDescent="0.25">
      <c r="D34"/>
      <c r="F34"/>
    </row>
    <row r="35" spans="4:6" x14ac:dyDescent="0.25">
      <c r="D35"/>
      <c r="F35"/>
    </row>
    <row r="36" spans="4:6" x14ac:dyDescent="0.25">
      <c r="D36"/>
      <c r="F36"/>
    </row>
    <row r="37" spans="4:6" x14ac:dyDescent="0.25">
      <c r="D37"/>
      <c r="F37"/>
    </row>
    <row r="38" spans="4:6" x14ac:dyDescent="0.25">
      <c r="D38"/>
      <c r="F38"/>
    </row>
    <row r="39" spans="4:6" x14ac:dyDescent="0.25">
      <c r="D39"/>
      <c r="F39"/>
    </row>
    <row r="40" spans="4:6" x14ac:dyDescent="0.25">
      <c r="D40"/>
      <c r="F40"/>
    </row>
    <row r="41" spans="4:6" x14ac:dyDescent="0.25">
      <c r="D41"/>
      <c r="F41"/>
    </row>
    <row r="42" spans="4:6" x14ac:dyDescent="0.25">
      <c r="D42"/>
      <c r="F42"/>
    </row>
    <row r="43" spans="4:6" x14ac:dyDescent="0.25">
      <c r="D43"/>
      <c r="F43"/>
    </row>
    <row r="44" spans="4:6" x14ac:dyDescent="0.25">
      <c r="D44"/>
      <c r="F44"/>
    </row>
    <row r="45" spans="4:6" x14ac:dyDescent="0.25">
      <c r="D45"/>
      <c r="F45"/>
    </row>
    <row r="46" spans="4:6" x14ac:dyDescent="0.25">
      <c r="D46"/>
      <c r="F46"/>
    </row>
    <row r="47" spans="4:6" x14ac:dyDescent="0.25">
      <c r="D47"/>
      <c r="F47"/>
    </row>
    <row r="48" spans="4:6" x14ac:dyDescent="0.25">
      <c r="D48"/>
      <c r="F48"/>
    </row>
    <row r="49" spans="4:6" x14ac:dyDescent="0.25">
      <c r="D49"/>
      <c r="F49"/>
    </row>
    <row r="50" spans="4:6" x14ac:dyDescent="0.25">
      <c r="D50"/>
      <c r="F50"/>
    </row>
    <row r="51" spans="4:6" x14ac:dyDescent="0.25">
      <c r="D51"/>
      <c r="F51"/>
    </row>
    <row r="52" spans="4:6" x14ac:dyDescent="0.25">
      <c r="D52"/>
      <c r="F52"/>
    </row>
    <row r="53" spans="4:6" x14ac:dyDescent="0.25">
      <c r="D53"/>
    </row>
    <row r="54" spans="4:6" x14ac:dyDescent="0.25">
      <c r="D54"/>
    </row>
    <row r="55" spans="4:6" x14ac:dyDescent="0.25">
      <c r="D55"/>
    </row>
    <row r="56" spans="4:6" x14ac:dyDescent="0.25">
      <c r="D56"/>
    </row>
    <row r="57" spans="4:6" x14ac:dyDescent="0.25">
      <c r="D57"/>
    </row>
    <row r="58" spans="4:6" x14ac:dyDescent="0.25">
      <c r="D58"/>
    </row>
  </sheetData>
  <conditionalFormatting pivot="1" sqref="E11:H29 J11:Z29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29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2026-07-07T21:39:22Z</dcterms:modified>
</cp:coreProperties>
</file>