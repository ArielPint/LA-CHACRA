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\PRODUCCION\"/>
    </mc:Choice>
  </mc:AlternateContent>
  <xr:revisionPtr revIDLastSave="0" documentId="13_ncr:1_{C17295C0-62CB-42B3-961D-CF843C6C72B3}" xr6:coauthVersionLast="47" xr6:coauthVersionMax="47" xr10:uidLastSave="{00000000-0000-0000-0000-000000000000}"/>
  <bookViews>
    <workbookView xWindow="-120" yWindow="-120" windowWidth="29040" windowHeight="18240" firstSheet="3" activeTab="7" xr2:uid="{2065F29B-6192-4C53-AA54-40DF86B8C2C1}"/>
  </bookViews>
  <sheets>
    <sheet name="BD_AVANCE" sheetId="2" state="hidden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BD_AVANCE!$A$1:$BD$705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4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E2" i="2" l="1"/>
  <c r="BE3" i="2"/>
  <c r="BE4" i="2"/>
  <c r="BE5" i="2"/>
  <c r="BE6" i="2"/>
  <c r="BE7" i="2"/>
  <c r="BE8" i="2"/>
  <c r="BE9" i="2"/>
  <c r="CR9" i="2" s="1"/>
  <c r="BE10" i="2"/>
  <c r="BE11" i="2"/>
  <c r="BE12" i="2"/>
  <c r="BE13" i="2"/>
  <c r="BE14" i="2"/>
  <c r="BE15" i="2"/>
  <c r="CR15" i="2" s="1"/>
  <c r="BE16" i="2"/>
  <c r="BE17" i="2"/>
  <c r="BE18" i="2"/>
  <c r="BE19" i="2"/>
  <c r="BE20" i="2"/>
  <c r="BE21" i="2"/>
  <c r="BE22" i="2"/>
  <c r="BE23" i="2"/>
  <c r="CR23" i="2" s="1"/>
  <c r="BE24" i="2"/>
  <c r="BE25" i="2"/>
  <c r="BE26" i="2"/>
  <c r="BE27" i="2"/>
  <c r="BE28" i="2"/>
  <c r="CR28" i="2" s="1"/>
  <c r="BE29" i="2"/>
  <c r="CR29" i="2" s="1"/>
  <c r="BE30" i="2"/>
  <c r="BE31" i="2"/>
  <c r="BE32" i="2"/>
  <c r="BE33" i="2"/>
  <c r="BE34" i="2"/>
  <c r="BE35" i="2"/>
  <c r="BE36" i="2"/>
  <c r="BE37" i="2"/>
  <c r="CR37" i="2" s="1"/>
  <c r="BE38" i="2"/>
  <c r="BE39" i="2"/>
  <c r="BE40" i="2"/>
  <c r="BE41" i="2"/>
  <c r="BE42" i="2"/>
  <c r="CR42" i="2" s="1"/>
  <c r="BE43" i="2"/>
  <c r="CR43" i="2" s="1"/>
  <c r="BE44" i="2"/>
  <c r="BE45" i="2"/>
  <c r="BE46" i="2"/>
  <c r="BE47" i="2"/>
  <c r="BE48" i="2"/>
  <c r="BE49" i="2"/>
  <c r="BE50" i="2"/>
  <c r="BE51" i="2"/>
  <c r="CR51" i="2" s="1"/>
  <c r="BE52" i="2"/>
  <c r="BE53" i="2"/>
  <c r="BE54" i="2"/>
  <c r="BE55" i="2"/>
  <c r="BE56" i="2"/>
  <c r="CR56" i="2" s="1"/>
  <c r="BE57" i="2"/>
  <c r="CR57" i="2" s="1"/>
  <c r="BE58" i="2"/>
  <c r="BE59" i="2"/>
  <c r="BE60" i="2"/>
  <c r="BE61" i="2"/>
  <c r="BE62" i="2"/>
  <c r="BE63" i="2"/>
  <c r="BE64" i="2"/>
  <c r="BE65" i="2"/>
  <c r="CR65" i="2" s="1"/>
  <c r="BE66" i="2"/>
  <c r="BE67" i="2"/>
  <c r="BE68" i="2"/>
  <c r="BE69" i="2"/>
  <c r="BE70" i="2"/>
  <c r="CR70" i="2" s="1"/>
  <c r="BE71" i="2"/>
  <c r="CR71" i="2" s="1"/>
  <c r="BE72" i="2"/>
  <c r="BE73" i="2"/>
  <c r="BE74" i="2"/>
  <c r="BE75" i="2"/>
  <c r="BE76" i="2"/>
  <c r="BE77" i="2"/>
  <c r="BE78" i="2"/>
  <c r="BE79" i="2"/>
  <c r="CR79" i="2" s="1"/>
  <c r="BE80" i="2"/>
  <c r="BE81" i="2"/>
  <c r="BE82" i="2"/>
  <c r="BE83" i="2"/>
  <c r="BE84" i="2"/>
  <c r="CR84" i="2" s="1"/>
  <c r="BE85" i="2"/>
  <c r="CR85" i="2" s="1"/>
  <c r="BE86" i="2"/>
  <c r="BE87" i="2"/>
  <c r="BE88" i="2"/>
  <c r="BE89" i="2"/>
  <c r="BE90" i="2"/>
  <c r="BE91" i="2"/>
  <c r="BE92" i="2"/>
  <c r="BE93" i="2"/>
  <c r="CR93" i="2" s="1"/>
  <c r="BE94" i="2"/>
  <c r="BE95" i="2"/>
  <c r="BE96" i="2"/>
  <c r="BE97" i="2"/>
  <c r="BE98" i="2"/>
  <c r="CR98" i="2" s="1"/>
  <c r="BE99" i="2"/>
  <c r="CR99" i="2" s="1"/>
  <c r="BE100" i="2"/>
  <c r="BE101" i="2"/>
  <c r="BE102" i="2"/>
  <c r="BE103" i="2"/>
  <c r="BE104" i="2"/>
  <c r="BE105" i="2"/>
  <c r="BE106" i="2"/>
  <c r="BE107" i="2"/>
  <c r="CR107" i="2" s="1"/>
  <c r="BE108" i="2"/>
  <c r="BE109" i="2"/>
  <c r="BE110" i="2"/>
  <c r="BE111" i="2"/>
  <c r="BE112" i="2"/>
  <c r="BE113" i="2"/>
  <c r="CR113" i="2" s="1"/>
  <c r="BE114" i="2"/>
  <c r="BE115" i="2"/>
  <c r="BE116" i="2"/>
  <c r="BE117" i="2"/>
  <c r="BE118" i="2"/>
  <c r="BE119" i="2"/>
  <c r="BE120" i="2"/>
  <c r="BE121" i="2"/>
  <c r="CR121" i="2" s="1"/>
  <c r="BE122" i="2"/>
  <c r="BE123" i="2"/>
  <c r="BE124" i="2"/>
  <c r="BE125" i="2"/>
  <c r="BE126" i="2"/>
  <c r="CR126" i="2" s="1"/>
  <c r="BE127" i="2"/>
  <c r="CR127" i="2" s="1"/>
  <c r="BE128" i="2"/>
  <c r="BE129" i="2"/>
  <c r="BE130" i="2"/>
  <c r="BE131" i="2"/>
  <c r="BE132" i="2"/>
  <c r="BE133" i="2"/>
  <c r="BE134" i="2"/>
  <c r="BE135" i="2"/>
  <c r="CR135" i="2" s="1"/>
  <c r="BE136" i="2"/>
  <c r="BE137" i="2"/>
  <c r="BE138" i="2"/>
  <c r="BE139" i="2"/>
  <c r="BE140" i="2"/>
  <c r="CR140" i="2" s="1"/>
  <c r="BE141" i="2"/>
  <c r="CR141" i="2" s="1"/>
  <c r="BE142" i="2"/>
  <c r="BE143" i="2"/>
  <c r="BE144" i="2"/>
  <c r="BE145" i="2"/>
  <c r="BE146" i="2"/>
  <c r="BE147" i="2"/>
  <c r="BE148" i="2"/>
  <c r="BE149" i="2"/>
  <c r="CR149" i="2" s="1"/>
  <c r="BE150" i="2"/>
  <c r="BE151" i="2"/>
  <c r="BE152" i="2"/>
  <c r="BE153" i="2"/>
  <c r="BE154" i="2"/>
  <c r="CR154" i="2" s="1"/>
  <c r="BE155" i="2"/>
  <c r="CR155" i="2" s="1"/>
  <c r="BE156" i="2"/>
  <c r="BE157" i="2"/>
  <c r="BE158" i="2"/>
  <c r="BE159" i="2"/>
  <c r="BE160" i="2"/>
  <c r="BE161" i="2"/>
  <c r="BE162" i="2"/>
  <c r="BE163" i="2"/>
  <c r="CR163" i="2" s="1"/>
  <c r="BE164" i="2"/>
  <c r="BE165" i="2"/>
  <c r="BE166" i="2"/>
  <c r="BE167" i="2"/>
  <c r="BE168" i="2"/>
  <c r="CR168" i="2" s="1"/>
  <c r="BE169" i="2"/>
  <c r="CR169" i="2" s="1"/>
  <c r="BE170" i="2"/>
  <c r="BE171" i="2"/>
  <c r="BE172" i="2"/>
  <c r="BE173" i="2"/>
  <c r="BE174" i="2"/>
  <c r="BE175" i="2"/>
  <c r="BE176" i="2"/>
  <c r="BE177" i="2"/>
  <c r="CR177" i="2" s="1"/>
  <c r="BE178" i="2"/>
  <c r="BE179" i="2"/>
  <c r="BE180" i="2"/>
  <c r="BE181" i="2"/>
  <c r="BE182" i="2"/>
  <c r="CR182" i="2" s="1"/>
  <c r="BE183" i="2"/>
  <c r="CR183" i="2" s="1"/>
  <c r="BE184" i="2"/>
  <c r="BE185" i="2"/>
  <c r="BE186" i="2"/>
  <c r="BE187" i="2"/>
  <c r="BE188" i="2"/>
  <c r="BE189" i="2"/>
  <c r="BE190" i="2"/>
  <c r="BE191" i="2"/>
  <c r="CR191" i="2" s="1"/>
  <c r="BE192" i="2"/>
  <c r="BE193" i="2"/>
  <c r="BE194" i="2"/>
  <c r="BE195" i="2"/>
  <c r="BE196" i="2"/>
  <c r="CR196" i="2" s="1"/>
  <c r="BE197" i="2"/>
  <c r="CR197" i="2" s="1"/>
  <c r="BE198" i="2"/>
  <c r="BE199" i="2"/>
  <c r="BE200" i="2"/>
  <c r="BE201" i="2"/>
  <c r="BE202" i="2"/>
  <c r="BE203" i="2"/>
  <c r="BE204" i="2"/>
  <c r="BE205" i="2"/>
  <c r="CR205" i="2" s="1"/>
  <c r="BE206" i="2"/>
  <c r="BE207" i="2"/>
  <c r="BE208" i="2"/>
  <c r="BE209" i="2"/>
  <c r="BE210" i="2"/>
  <c r="BE211" i="2"/>
  <c r="CR211" i="2" s="1"/>
  <c r="BE212" i="2"/>
  <c r="BE213" i="2"/>
  <c r="BE214" i="2"/>
  <c r="BE215" i="2"/>
  <c r="BE216" i="2"/>
  <c r="BE217" i="2"/>
  <c r="BE218" i="2"/>
  <c r="BE219" i="2"/>
  <c r="CR219" i="2" s="1"/>
  <c r="BE220" i="2"/>
  <c r="BE221" i="2"/>
  <c r="BE222" i="2"/>
  <c r="BE223" i="2"/>
  <c r="BE224" i="2"/>
  <c r="CR224" i="2" s="1"/>
  <c r="BE225" i="2"/>
  <c r="CR225" i="2" s="1"/>
  <c r="BE226" i="2"/>
  <c r="BE227" i="2"/>
  <c r="BE228" i="2"/>
  <c r="BE229" i="2"/>
  <c r="BE230" i="2"/>
  <c r="BE231" i="2"/>
  <c r="BE232" i="2"/>
  <c r="BE233" i="2"/>
  <c r="CR233" i="2" s="1"/>
  <c r="BE234" i="2"/>
  <c r="BE235" i="2"/>
  <c r="BE236" i="2"/>
  <c r="BE237" i="2"/>
  <c r="BE238" i="2"/>
  <c r="CR238" i="2" s="1"/>
  <c r="BE239" i="2"/>
  <c r="CR239" i="2" s="1"/>
  <c r="BE240" i="2"/>
  <c r="BE241" i="2"/>
  <c r="BE242" i="2"/>
  <c r="BE243" i="2"/>
  <c r="BE244" i="2"/>
  <c r="BE245" i="2"/>
  <c r="BE246" i="2"/>
  <c r="BE247" i="2"/>
  <c r="CR247" i="2" s="1"/>
  <c r="BE248" i="2"/>
  <c r="BE249" i="2"/>
  <c r="BE250" i="2"/>
  <c r="BE251" i="2"/>
  <c r="BE252" i="2"/>
  <c r="CR252" i="2" s="1"/>
  <c r="BE253" i="2"/>
  <c r="CR253" i="2" s="1"/>
  <c r="BE254" i="2"/>
  <c r="BE255" i="2"/>
  <c r="BE256" i="2"/>
  <c r="BE257" i="2"/>
  <c r="BE258" i="2"/>
  <c r="BE259" i="2"/>
  <c r="BE260" i="2"/>
  <c r="BE261" i="2"/>
  <c r="CR261" i="2" s="1"/>
  <c r="BE262" i="2"/>
  <c r="BE263" i="2"/>
  <c r="BE264" i="2"/>
  <c r="BE265" i="2"/>
  <c r="BE266" i="2"/>
  <c r="CR266" i="2" s="1"/>
  <c r="BE267" i="2"/>
  <c r="CR267" i="2" s="1"/>
  <c r="BE268" i="2"/>
  <c r="BE269" i="2"/>
  <c r="BE270" i="2"/>
  <c r="BE271" i="2"/>
  <c r="BE272" i="2"/>
  <c r="BE273" i="2"/>
  <c r="BE274" i="2"/>
  <c r="BE275" i="2"/>
  <c r="CR275" i="2" s="1"/>
  <c r="BE276" i="2"/>
  <c r="BE277" i="2"/>
  <c r="BE278" i="2"/>
  <c r="BE279" i="2"/>
  <c r="BE280" i="2"/>
  <c r="CR280" i="2" s="1"/>
  <c r="BE281" i="2"/>
  <c r="CR281" i="2" s="1"/>
  <c r="BE282" i="2"/>
  <c r="BE283" i="2"/>
  <c r="BE284" i="2"/>
  <c r="BE285" i="2"/>
  <c r="BE286" i="2"/>
  <c r="BE287" i="2"/>
  <c r="BE288" i="2"/>
  <c r="BE289" i="2"/>
  <c r="CR289" i="2" s="1"/>
  <c r="BE290" i="2"/>
  <c r="BE291" i="2"/>
  <c r="BE292" i="2"/>
  <c r="BE293" i="2"/>
  <c r="BE294" i="2"/>
  <c r="CR294" i="2" s="1"/>
  <c r="BE295" i="2"/>
  <c r="CR295" i="2" s="1"/>
  <c r="BE296" i="2"/>
  <c r="BE297" i="2"/>
  <c r="BE298" i="2"/>
  <c r="BE299" i="2"/>
  <c r="BE300" i="2"/>
  <c r="BE301" i="2"/>
  <c r="BE302" i="2"/>
  <c r="BE303" i="2"/>
  <c r="CR303" i="2" s="1"/>
  <c r="BE304" i="2"/>
  <c r="BE305" i="2"/>
  <c r="BE306" i="2"/>
  <c r="BE307" i="2"/>
  <c r="BE308" i="2"/>
  <c r="BE309" i="2"/>
  <c r="CR309" i="2" s="1"/>
  <c r="BE310" i="2"/>
  <c r="BE311" i="2"/>
  <c r="BE312" i="2"/>
  <c r="BE313" i="2"/>
  <c r="BE314" i="2"/>
  <c r="BE315" i="2"/>
  <c r="BE316" i="2"/>
  <c r="BE317" i="2"/>
  <c r="CR317" i="2" s="1"/>
  <c r="BE318" i="2"/>
  <c r="BE319" i="2"/>
  <c r="BE320" i="2"/>
  <c r="BE321" i="2"/>
  <c r="BE322" i="2"/>
  <c r="CR322" i="2" s="1"/>
  <c r="BE323" i="2"/>
  <c r="CR323" i="2" s="1"/>
  <c r="BE324" i="2"/>
  <c r="BE325" i="2"/>
  <c r="BE326" i="2"/>
  <c r="BE327" i="2"/>
  <c r="BE328" i="2"/>
  <c r="BE329" i="2"/>
  <c r="BE330" i="2"/>
  <c r="BE331" i="2"/>
  <c r="CR331" i="2" s="1"/>
  <c r="BE332" i="2"/>
  <c r="BE333" i="2"/>
  <c r="BE334" i="2"/>
  <c r="BE335" i="2"/>
  <c r="BE336" i="2"/>
  <c r="CR336" i="2" s="1"/>
  <c r="BE337" i="2"/>
  <c r="CR337" i="2" s="1"/>
  <c r="BE338" i="2"/>
  <c r="BE339" i="2"/>
  <c r="BE340" i="2"/>
  <c r="BE341" i="2"/>
  <c r="BE342" i="2"/>
  <c r="BE343" i="2"/>
  <c r="BE344" i="2"/>
  <c r="BE345" i="2"/>
  <c r="CR345" i="2" s="1"/>
  <c r="BE346" i="2"/>
  <c r="BE347" i="2"/>
  <c r="BE348" i="2"/>
  <c r="BE349" i="2"/>
  <c r="BE350" i="2"/>
  <c r="CR350" i="2" s="1"/>
  <c r="BE351" i="2"/>
  <c r="CR351" i="2" s="1"/>
  <c r="BE352" i="2"/>
  <c r="BE353" i="2"/>
  <c r="BE354" i="2"/>
  <c r="BE355" i="2"/>
  <c r="BE356" i="2"/>
  <c r="BE357" i="2"/>
  <c r="BE358" i="2"/>
  <c r="BE359" i="2"/>
  <c r="CR359" i="2" s="1"/>
  <c r="BE360" i="2"/>
  <c r="BE361" i="2"/>
  <c r="BE362" i="2"/>
  <c r="BE363" i="2"/>
  <c r="BE364" i="2"/>
  <c r="CR364" i="2" s="1"/>
  <c r="BE365" i="2"/>
  <c r="CR365" i="2" s="1"/>
  <c r="BE366" i="2"/>
  <c r="BE367" i="2"/>
  <c r="BE368" i="2"/>
  <c r="BE369" i="2"/>
  <c r="BE370" i="2"/>
  <c r="BE371" i="2"/>
  <c r="BE372" i="2"/>
  <c r="BE373" i="2"/>
  <c r="CR373" i="2" s="1"/>
  <c r="BE374" i="2"/>
  <c r="BE375" i="2"/>
  <c r="BE376" i="2"/>
  <c r="BE377" i="2"/>
  <c r="BE378" i="2"/>
  <c r="CR378" i="2" s="1"/>
  <c r="BE379" i="2"/>
  <c r="CR379" i="2" s="1"/>
  <c r="BE380" i="2"/>
  <c r="BE381" i="2"/>
  <c r="BE382" i="2"/>
  <c r="BE383" i="2"/>
  <c r="BE384" i="2"/>
  <c r="BE385" i="2"/>
  <c r="BE386" i="2"/>
  <c r="BE387" i="2"/>
  <c r="CR387" i="2" s="1"/>
  <c r="BE388" i="2"/>
  <c r="BE389" i="2"/>
  <c r="BE390" i="2"/>
  <c r="BE391" i="2"/>
  <c r="BE392" i="2"/>
  <c r="CR392" i="2" s="1"/>
  <c r="BE393" i="2"/>
  <c r="CR393" i="2" s="1"/>
  <c r="BE394" i="2"/>
  <c r="BE395" i="2"/>
  <c r="BE396" i="2"/>
  <c r="BE397" i="2"/>
  <c r="BE398" i="2"/>
  <c r="BE399" i="2"/>
  <c r="BE400" i="2"/>
  <c r="BE401" i="2"/>
  <c r="CR401" i="2" s="1"/>
  <c r="BE402" i="2"/>
  <c r="BE403" i="2"/>
  <c r="BE404" i="2"/>
  <c r="BE405" i="2"/>
  <c r="BE406" i="2"/>
  <c r="BE407" i="2"/>
  <c r="CR407" i="2" s="1"/>
  <c r="BE408" i="2"/>
  <c r="BE409" i="2"/>
  <c r="BE410" i="2"/>
  <c r="BE411" i="2"/>
  <c r="BE412" i="2"/>
  <c r="BE413" i="2"/>
  <c r="BE414" i="2"/>
  <c r="BE415" i="2"/>
  <c r="CR415" i="2" s="1"/>
  <c r="BE416" i="2"/>
  <c r="BE417" i="2"/>
  <c r="BE418" i="2"/>
  <c r="BE419" i="2"/>
  <c r="BE420" i="2"/>
  <c r="CR420" i="2" s="1"/>
  <c r="BE421" i="2"/>
  <c r="CR421" i="2" s="1"/>
  <c r="BE422" i="2"/>
  <c r="BE423" i="2"/>
  <c r="BE424" i="2"/>
  <c r="BE425" i="2"/>
  <c r="BE426" i="2"/>
  <c r="BE427" i="2"/>
  <c r="BE428" i="2"/>
  <c r="BE429" i="2"/>
  <c r="CR429" i="2" s="1"/>
  <c r="BE430" i="2"/>
  <c r="BE431" i="2"/>
  <c r="BE432" i="2"/>
  <c r="BE433" i="2"/>
  <c r="BE434" i="2"/>
  <c r="CR434" i="2" s="1"/>
  <c r="BE435" i="2"/>
  <c r="CR435" i="2" s="1"/>
  <c r="BE436" i="2"/>
  <c r="BE437" i="2"/>
  <c r="BE438" i="2"/>
  <c r="BE439" i="2"/>
  <c r="BE440" i="2"/>
  <c r="BE441" i="2"/>
  <c r="BE442" i="2"/>
  <c r="BE443" i="2"/>
  <c r="CR443" i="2" s="1"/>
  <c r="BE444" i="2"/>
  <c r="BE445" i="2"/>
  <c r="BE446" i="2"/>
  <c r="BE447" i="2"/>
  <c r="BE448" i="2"/>
  <c r="CR448" i="2" s="1"/>
  <c r="BE449" i="2"/>
  <c r="CR449" i="2" s="1"/>
  <c r="BE450" i="2"/>
  <c r="BE451" i="2"/>
  <c r="BE452" i="2"/>
  <c r="BE453" i="2"/>
  <c r="BE454" i="2"/>
  <c r="BE455" i="2"/>
  <c r="BE456" i="2"/>
  <c r="BE457" i="2"/>
  <c r="CR457" i="2" s="1"/>
  <c r="BE458" i="2"/>
  <c r="BE459" i="2"/>
  <c r="BE460" i="2"/>
  <c r="BE461" i="2"/>
  <c r="BE462" i="2"/>
  <c r="CR462" i="2" s="1"/>
  <c r="BE463" i="2"/>
  <c r="CR463" i="2" s="1"/>
  <c r="BE464" i="2"/>
  <c r="BE465" i="2"/>
  <c r="BE466" i="2"/>
  <c r="BE467" i="2"/>
  <c r="BE468" i="2"/>
  <c r="BE469" i="2"/>
  <c r="BE470" i="2"/>
  <c r="BE471" i="2"/>
  <c r="CR471" i="2" s="1"/>
  <c r="BE472" i="2"/>
  <c r="BE473" i="2"/>
  <c r="BE474" i="2"/>
  <c r="BE475" i="2"/>
  <c r="BE476" i="2"/>
  <c r="CR476" i="2" s="1"/>
  <c r="BE477" i="2"/>
  <c r="CR477" i="2" s="1"/>
  <c r="BE478" i="2"/>
  <c r="BE479" i="2"/>
  <c r="BE480" i="2"/>
  <c r="BE481" i="2"/>
  <c r="BE482" i="2"/>
  <c r="BE483" i="2"/>
  <c r="BE484" i="2"/>
  <c r="BE485" i="2"/>
  <c r="CR485" i="2" s="1"/>
  <c r="BE486" i="2"/>
  <c r="BE487" i="2"/>
  <c r="BE488" i="2"/>
  <c r="BE489" i="2"/>
  <c r="BE490" i="2"/>
  <c r="CR490" i="2" s="1"/>
  <c r="BE491" i="2"/>
  <c r="CR491" i="2" s="1"/>
  <c r="BE492" i="2"/>
  <c r="BE493" i="2"/>
  <c r="BE494" i="2"/>
  <c r="BE495" i="2"/>
  <c r="BE496" i="2"/>
  <c r="BE497" i="2"/>
  <c r="BE498" i="2"/>
  <c r="BE499" i="2"/>
  <c r="CR499" i="2" s="1"/>
  <c r="BE500" i="2"/>
  <c r="BE501" i="2"/>
  <c r="BE502" i="2"/>
  <c r="BE503" i="2"/>
  <c r="BE504" i="2"/>
  <c r="BE505" i="2"/>
  <c r="CR505" i="2" s="1"/>
  <c r="BE506" i="2"/>
  <c r="BE507" i="2"/>
  <c r="BE508" i="2"/>
  <c r="BE509" i="2"/>
  <c r="BE510" i="2"/>
  <c r="BE511" i="2"/>
  <c r="BE512" i="2"/>
  <c r="BE513" i="2"/>
  <c r="CR513" i="2" s="1"/>
  <c r="BE514" i="2"/>
  <c r="BE515" i="2"/>
  <c r="BE516" i="2"/>
  <c r="BE517" i="2"/>
  <c r="BE518" i="2"/>
  <c r="CR518" i="2" s="1"/>
  <c r="BE519" i="2"/>
  <c r="CR519" i="2" s="1"/>
  <c r="BE520" i="2"/>
  <c r="BE521" i="2"/>
  <c r="BE522" i="2"/>
  <c r="BE523" i="2"/>
  <c r="BE524" i="2"/>
  <c r="BE525" i="2"/>
  <c r="BE526" i="2"/>
  <c r="BE527" i="2"/>
  <c r="CR527" i="2" s="1"/>
  <c r="BE528" i="2"/>
  <c r="BE529" i="2"/>
  <c r="BE530" i="2"/>
  <c r="BE531" i="2"/>
  <c r="BE532" i="2"/>
  <c r="CR532" i="2" s="1"/>
  <c r="BE533" i="2"/>
  <c r="CR533" i="2" s="1"/>
  <c r="BE534" i="2"/>
  <c r="BE535" i="2"/>
  <c r="BE536" i="2"/>
  <c r="BE537" i="2"/>
  <c r="BE538" i="2"/>
  <c r="BE539" i="2"/>
  <c r="BE540" i="2"/>
  <c r="BE541" i="2"/>
  <c r="CR541" i="2" s="1"/>
  <c r="BE542" i="2"/>
  <c r="BE543" i="2"/>
  <c r="BE544" i="2"/>
  <c r="BE545" i="2"/>
  <c r="BE546" i="2"/>
  <c r="CR546" i="2" s="1"/>
  <c r="BE547" i="2"/>
  <c r="CR547" i="2" s="1"/>
  <c r="BE548" i="2"/>
  <c r="BE549" i="2"/>
  <c r="BE550" i="2"/>
  <c r="BE551" i="2"/>
  <c r="BE552" i="2"/>
  <c r="BE553" i="2"/>
  <c r="BE554" i="2"/>
  <c r="BE555" i="2"/>
  <c r="CR555" i="2" s="1"/>
  <c r="BE556" i="2"/>
  <c r="BE557" i="2"/>
  <c r="BE558" i="2"/>
  <c r="BE559" i="2"/>
  <c r="BE560" i="2"/>
  <c r="CR560" i="2" s="1"/>
  <c r="BE561" i="2"/>
  <c r="CR561" i="2" s="1"/>
  <c r="BE562" i="2"/>
  <c r="BE563" i="2"/>
  <c r="BE564" i="2"/>
  <c r="BE565" i="2"/>
  <c r="BE566" i="2"/>
  <c r="BE567" i="2"/>
  <c r="BE568" i="2"/>
  <c r="BE569" i="2"/>
  <c r="CR569" i="2" s="1"/>
  <c r="BE570" i="2"/>
  <c r="BE571" i="2"/>
  <c r="BE572" i="2"/>
  <c r="BE573" i="2"/>
  <c r="BE574" i="2"/>
  <c r="CR574" i="2" s="1"/>
  <c r="BE575" i="2"/>
  <c r="CR575" i="2" s="1"/>
  <c r="BE576" i="2"/>
  <c r="BE577" i="2"/>
  <c r="BE578" i="2"/>
  <c r="BE579" i="2"/>
  <c r="BE580" i="2"/>
  <c r="BE581" i="2"/>
  <c r="BE582" i="2"/>
  <c r="BE583" i="2"/>
  <c r="CR583" i="2" s="1"/>
  <c r="BE584" i="2"/>
  <c r="BE585" i="2"/>
  <c r="BE586" i="2"/>
  <c r="BE587" i="2"/>
  <c r="BE588" i="2"/>
  <c r="CR588" i="2" s="1"/>
  <c r="BE589" i="2"/>
  <c r="CR589" i="2" s="1"/>
  <c r="BE590" i="2"/>
  <c r="BE591" i="2"/>
  <c r="BE592" i="2"/>
  <c r="BE593" i="2"/>
  <c r="BE594" i="2"/>
  <c r="BE595" i="2"/>
  <c r="BE596" i="2"/>
  <c r="BE597" i="2"/>
  <c r="CR597" i="2" s="1"/>
  <c r="BE598" i="2"/>
  <c r="BE599" i="2"/>
  <c r="BE600" i="2"/>
  <c r="BE601" i="2"/>
  <c r="BE602" i="2"/>
  <c r="BE603" i="2"/>
  <c r="CR603" i="2" s="1"/>
  <c r="BE604" i="2"/>
  <c r="BE605" i="2"/>
  <c r="BE606" i="2"/>
  <c r="BE607" i="2"/>
  <c r="BE608" i="2"/>
  <c r="BE609" i="2"/>
  <c r="BE610" i="2"/>
  <c r="BE611" i="2"/>
  <c r="CR611" i="2" s="1"/>
  <c r="BE612" i="2"/>
  <c r="BE613" i="2"/>
  <c r="BE614" i="2"/>
  <c r="BE615" i="2"/>
  <c r="BE616" i="2"/>
  <c r="CR616" i="2" s="1"/>
  <c r="BE617" i="2"/>
  <c r="CR617" i="2" s="1"/>
  <c r="BE618" i="2"/>
  <c r="BE619" i="2"/>
  <c r="BE620" i="2"/>
  <c r="BE621" i="2"/>
  <c r="BE622" i="2"/>
  <c r="BE623" i="2"/>
  <c r="BE624" i="2"/>
  <c r="BE625" i="2"/>
  <c r="CR625" i="2" s="1"/>
  <c r="BE626" i="2"/>
  <c r="BE627" i="2"/>
  <c r="BE628" i="2"/>
  <c r="BE629" i="2"/>
  <c r="BE630" i="2"/>
  <c r="CR630" i="2" s="1"/>
  <c r="BE631" i="2"/>
  <c r="CR631" i="2" s="1"/>
  <c r="BE632" i="2"/>
  <c r="BE633" i="2"/>
  <c r="BE634" i="2"/>
  <c r="BE635" i="2"/>
  <c r="BE636" i="2"/>
  <c r="BE637" i="2"/>
  <c r="BE638" i="2"/>
  <c r="BE639" i="2"/>
  <c r="CR639" i="2" s="1"/>
  <c r="BE640" i="2"/>
  <c r="BE641" i="2"/>
  <c r="BE642" i="2"/>
  <c r="BE643" i="2"/>
  <c r="BE644" i="2"/>
  <c r="CR644" i="2" s="1"/>
  <c r="BE645" i="2"/>
  <c r="CR645" i="2" s="1"/>
  <c r="BE646" i="2"/>
  <c r="BE647" i="2"/>
  <c r="BE648" i="2"/>
  <c r="BE649" i="2"/>
  <c r="BE650" i="2"/>
  <c r="BE651" i="2"/>
  <c r="BE652" i="2"/>
  <c r="BE653" i="2"/>
  <c r="CR653" i="2" s="1"/>
  <c r="BE654" i="2"/>
  <c r="BE655" i="2"/>
  <c r="BE656" i="2"/>
  <c r="BE657" i="2"/>
  <c r="BE658" i="2"/>
  <c r="CR658" i="2" s="1"/>
  <c r="BE659" i="2"/>
  <c r="CR659" i="2" s="1"/>
  <c r="BE660" i="2"/>
  <c r="BE661" i="2"/>
  <c r="BE662" i="2"/>
  <c r="BE663" i="2"/>
  <c r="BE664" i="2"/>
  <c r="BE665" i="2"/>
  <c r="BE666" i="2"/>
  <c r="BE667" i="2"/>
  <c r="CR667" i="2" s="1"/>
  <c r="BE668" i="2"/>
  <c r="BE669" i="2"/>
  <c r="BE670" i="2"/>
  <c r="BE671" i="2"/>
  <c r="BE672" i="2"/>
  <c r="CR672" i="2" s="1"/>
  <c r="BE673" i="2"/>
  <c r="CR673" i="2" s="1"/>
  <c r="BE674" i="2"/>
  <c r="BE675" i="2"/>
  <c r="BE676" i="2"/>
  <c r="BE677" i="2"/>
  <c r="BE678" i="2"/>
  <c r="BE679" i="2"/>
  <c r="BE680" i="2"/>
  <c r="BE681" i="2"/>
  <c r="CR681" i="2" s="1"/>
  <c r="BE682" i="2"/>
  <c r="BE683" i="2"/>
  <c r="BE684" i="2"/>
  <c r="BE685" i="2"/>
  <c r="BE686" i="2"/>
  <c r="CR686" i="2" s="1"/>
  <c r="BE687" i="2"/>
  <c r="CR687" i="2" s="1"/>
  <c r="BE688" i="2"/>
  <c r="BE689" i="2"/>
  <c r="BE690" i="2"/>
  <c r="BE691" i="2"/>
  <c r="BE692" i="2"/>
  <c r="BE693" i="2"/>
  <c r="BE694" i="2"/>
  <c r="BE695" i="2"/>
  <c r="CR695" i="2" s="1"/>
  <c r="BE696" i="2"/>
  <c r="BE697" i="2"/>
  <c r="BE698" i="2"/>
  <c r="BE699" i="2"/>
  <c r="BE700" i="2"/>
  <c r="BE701" i="2"/>
  <c r="CR701" i="2" s="1"/>
  <c r="BE702" i="2"/>
  <c r="BE703" i="2"/>
  <c r="BE704" i="2"/>
  <c r="BE705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BF71" i="2"/>
  <c r="BF72" i="2"/>
  <c r="BF73" i="2"/>
  <c r="BF74" i="2"/>
  <c r="BF75" i="2"/>
  <c r="BF76" i="2"/>
  <c r="BF77" i="2"/>
  <c r="BF78" i="2"/>
  <c r="BF79" i="2"/>
  <c r="BF80" i="2"/>
  <c r="BF81" i="2"/>
  <c r="BF82" i="2"/>
  <c r="BF83" i="2"/>
  <c r="BF84" i="2"/>
  <c r="BF85" i="2"/>
  <c r="BF86" i="2"/>
  <c r="BF87" i="2"/>
  <c r="BF88" i="2"/>
  <c r="BF89" i="2"/>
  <c r="BF90" i="2"/>
  <c r="BF91" i="2"/>
  <c r="BF92" i="2"/>
  <c r="BF93" i="2"/>
  <c r="BF94" i="2"/>
  <c r="BF95" i="2"/>
  <c r="BF96" i="2"/>
  <c r="BF97" i="2"/>
  <c r="BF98" i="2"/>
  <c r="BF99" i="2"/>
  <c r="BF100" i="2"/>
  <c r="BF101" i="2"/>
  <c r="BF102" i="2"/>
  <c r="BF103" i="2"/>
  <c r="BF104" i="2"/>
  <c r="BF105" i="2"/>
  <c r="BF106" i="2"/>
  <c r="BF107" i="2"/>
  <c r="BF108" i="2"/>
  <c r="BF109" i="2"/>
  <c r="BF110" i="2"/>
  <c r="BF111" i="2"/>
  <c r="BF112" i="2"/>
  <c r="BF113" i="2"/>
  <c r="BF114" i="2"/>
  <c r="BF115" i="2"/>
  <c r="BF116" i="2"/>
  <c r="BF117" i="2"/>
  <c r="BF118" i="2"/>
  <c r="BF119" i="2"/>
  <c r="BF120" i="2"/>
  <c r="BF121" i="2"/>
  <c r="BF122" i="2"/>
  <c r="BF123" i="2"/>
  <c r="BF124" i="2"/>
  <c r="BF125" i="2"/>
  <c r="BF126" i="2"/>
  <c r="BF127" i="2"/>
  <c r="BF128" i="2"/>
  <c r="BF129" i="2"/>
  <c r="BF130" i="2"/>
  <c r="BF131" i="2"/>
  <c r="BF132" i="2"/>
  <c r="BF133" i="2"/>
  <c r="BF134" i="2"/>
  <c r="BF135" i="2"/>
  <c r="BF136" i="2"/>
  <c r="BF137" i="2"/>
  <c r="BF138" i="2"/>
  <c r="BF139" i="2"/>
  <c r="BF140" i="2"/>
  <c r="BF141" i="2"/>
  <c r="BF142" i="2"/>
  <c r="BF143" i="2"/>
  <c r="BF144" i="2"/>
  <c r="BF145" i="2"/>
  <c r="BF146" i="2"/>
  <c r="BF147" i="2"/>
  <c r="BF148" i="2"/>
  <c r="BF149" i="2"/>
  <c r="BF150" i="2"/>
  <c r="BF151" i="2"/>
  <c r="BF152" i="2"/>
  <c r="BF153" i="2"/>
  <c r="BF154" i="2"/>
  <c r="BF155" i="2"/>
  <c r="BF156" i="2"/>
  <c r="BF157" i="2"/>
  <c r="BF158" i="2"/>
  <c r="BF159" i="2"/>
  <c r="BF160" i="2"/>
  <c r="BF161" i="2"/>
  <c r="BF162" i="2"/>
  <c r="BF163" i="2"/>
  <c r="BF164" i="2"/>
  <c r="BF165" i="2"/>
  <c r="BF166" i="2"/>
  <c r="BF167" i="2"/>
  <c r="BF168" i="2"/>
  <c r="BF169" i="2"/>
  <c r="BF170" i="2"/>
  <c r="BF171" i="2"/>
  <c r="BF172" i="2"/>
  <c r="BF173" i="2"/>
  <c r="BF174" i="2"/>
  <c r="BF175" i="2"/>
  <c r="BF176" i="2"/>
  <c r="BF177" i="2"/>
  <c r="BF178" i="2"/>
  <c r="BF179" i="2"/>
  <c r="BF180" i="2"/>
  <c r="BF181" i="2"/>
  <c r="BF182" i="2"/>
  <c r="BF183" i="2"/>
  <c r="BF184" i="2"/>
  <c r="BF185" i="2"/>
  <c r="BF186" i="2"/>
  <c r="BF187" i="2"/>
  <c r="BF188" i="2"/>
  <c r="BF189" i="2"/>
  <c r="BF190" i="2"/>
  <c r="BF191" i="2"/>
  <c r="BF192" i="2"/>
  <c r="BF193" i="2"/>
  <c r="BF194" i="2"/>
  <c r="BF195" i="2"/>
  <c r="BF196" i="2"/>
  <c r="BF197" i="2"/>
  <c r="BF198" i="2"/>
  <c r="BF199" i="2"/>
  <c r="BF200" i="2"/>
  <c r="BF201" i="2"/>
  <c r="BF202" i="2"/>
  <c r="BF203" i="2"/>
  <c r="BF204" i="2"/>
  <c r="BF205" i="2"/>
  <c r="BF206" i="2"/>
  <c r="BF207" i="2"/>
  <c r="BF208" i="2"/>
  <c r="BF209" i="2"/>
  <c r="BF210" i="2"/>
  <c r="BF211" i="2"/>
  <c r="BF212" i="2"/>
  <c r="BF213" i="2"/>
  <c r="BF214" i="2"/>
  <c r="BF215" i="2"/>
  <c r="BF216" i="2"/>
  <c r="BF217" i="2"/>
  <c r="BF218" i="2"/>
  <c r="BF219" i="2"/>
  <c r="BF220" i="2"/>
  <c r="BF221" i="2"/>
  <c r="BF222" i="2"/>
  <c r="BF223" i="2"/>
  <c r="BF224" i="2"/>
  <c r="BF225" i="2"/>
  <c r="BF226" i="2"/>
  <c r="BF227" i="2"/>
  <c r="BF228" i="2"/>
  <c r="BF229" i="2"/>
  <c r="BF230" i="2"/>
  <c r="BF231" i="2"/>
  <c r="BF232" i="2"/>
  <c r="BF233" i="2"/>
  <c r="BF234" i="2"/>
  <c r="BF235" i="2"/>
  <c r="BF236" i="2"/>
  <c r="BF237" i="2"/>
  <c r="BF238" i="2"/>
  <c r="BF239" i="2"/>
  <c r="BF240" i="2"/>
  <c r="BF241" i="2"/>
  <c r="BF242" i="2"/>
  <c r="BF243" i="2"/>
  <c r="BF244" i="2"/>
  <c r="BF245" i="2"/>
  <c r="BF246" i="2"/>
  <c r="BF247" i="2"/>
  <c r="BF248" i="2"/>
  <c r="BF249" i="2"/>
  <c r="BF250" i="2"/>
  <c r="BF251" i="2"/>
  <c r="BF252" i="2"/>
  <c r="BF253" i="2"/>
  <c r="BF254" i="2"/>
  <c r="BF255" i="2"/>
  <c r="BF256" i="2"/>
  <c r="BF257" i="2"/>
  <c r="BF258" i="2"/>
  <c r="BF259" i="2"/>
  <c r="BF260" i="2"/>
  <c r="BF261" i="2"/>
  <c r="BF262" i="2"/>
  <c r="BF263" i="2"/>
  <c r="BF264" i="2"/>
  <c r="BF265" i="2"/>
  <c r="BF266" i="2"/>
  <c r="BF267" i="2"/>
  <c r="BF268" i="2"/>
  <c r="BF269" i="2"/>
  <c r="BF270" i="2"/>
  <c r="BF271" i="2"/>
  <c r="BF272" i="2"/>
  <c r="BF273" i="2"/>
  <c r="BF274" i="2"/>
  <c r="BF275" i="2"/>
  <c r="BF276" i="2"/>
  <c r="BF277" i="2"/>
  <c r="BF278" i="2"/>
  <c r="BF279" i="2"/>
  <c r="BF280" i="2"/>
  <c r="BF281" i="2"/>
  <c r="BF282" i="2"/>
  <c r="BF283" i="2"/>
  <c r="BF284" i="2"/>
  <c r="BF285" i="2"/>
  <c r="BF286" i="2"/>
  <c r="BF287" i="2"/>
  <c r="BF288" i="2"/>
  <c r="BF289" i="2"/>
  <c r="BF290" i="2"/>
  <c r="BF291" i="2"/>
  <c r="BF292" i="2"/>
  <c r="BF293" i="2"/>
  <c r="BF294" i="2"/>
  <c r="BF295" i="2"/>
  <c r="BF296" i="2"/>
  <c r="BF297" i="2"/>
  <c r="BF298" i="2"/>
  <c r="BF299" i="2"/>
  <c r="BF300" i="2"/>
  <c r="BF301" i="2"/>
  <c r="BF302" i="2"/>
  <c r="BF303" i="2"/>
  <c r="BF304" i="2"/>
  <c r="BF305" i="2"/>
  <c r="BF306" i="2"/>
  <c r="BF307" i="2"/>
  <c r="BF308" i="2"/>
  <c r="BF309" i="2"/>
  <c r="BF310" i="2"/>
  <c r="BF311" i="2"/>
  <c r="BF312" i="2"/>
  <c r="BF313" i="2"/>
  <c r="BF314" i="2"/>
  <c r="BF315" i="2"/>
  <c r="BF316" i="2"/>
  <c r="BF317" i="2"/>
  <c r="BF318" i="2"/>
  <c r="BF319" i="2"/>
  <c r="BF320" i="2"/>
  <c r="BF321" i="2"/>
  <c r="BF322" i="2"/>
  <c r="BF323" i="2"/>
  <c r="BF324" i="2"/>
  <c r="BF325" i="2"/>
  <c r="BF326" i="2"/>
  <c r="BF327" i="2"/>
  <c r="BF328" i="2"/>
  <c r="BF329" i="2"/>
  <c r="BF330" i="2"/>
  <c r="BF331" i="2"/>
  <c r="BF332" i="2"/>
  <c r="BF333" i="2"/>
  <c r="BF334" i="2"/>
  <c r="BF335" i="2"/>
  <c r="BF336" i="2"/>
  <c r="BF337" i="2"/>
  <c r="BF338" i="2"/>
  <c r="BF339" i="2"/>
  <c r="BF340" i="2"/>
  <c r="BF341" i="2"/>
  <c r="BF342" i="2"/>
  <c r="BF343" i="2"/>
  <c r="BF344" i="2"/>
  <c r="BF345" i="2"/>
  <c r="BF346" i="2"/>
  <c r="BF347" i="2"/>
  <c r="BF348" i="2"/>
  <c r="BF349" i="2"/>
  <c r="BF350" i="2"/>
  <c r="BF351" i="2"/>
  <c r="BF352" i="2"/>
  <c r="BF353" i="2"/>
  <c r="BF354" i="2"/>
  <c r="BF355" i="2"/>
  <c r="BF356" i="2"/>
  <c r="BF357" i="2"/>
  <c r="BF358" i="2"/>
  <c r="BF359" i="2"/>
  <c r="BF360" i="2"/>
  <c r="BF361" i="2"/>
  <c r="BF362" i="2"/>
  <c r="BF363" i="2"/>
  <c r="BF364" i="2"/>
  <c r="BF365" i="2"/>
  <c r="BF366" i="2"/>
  <c r="BF367" i="2"/>
  <c r="BF368" i="2"/>
  <c r="BF369" i="2"/>
  <c r="BF370" i="2"/>
  <c r="BF371" i="2"/>
  <c r="BF372" i="2"/>
  <c r="BF373" i="2"/>
  <c r="BF374" i="2"/>
  <c r="BF375" i="2"/>
  <c r="BF376" i="2"/>
  <c r="BF377" i="2"/>
  <c r="BF378" i="2"/>
  <c r="BF379" i="2"/>
  <c r="BF380" i="2"/>
  <c r="BF381" i="2"/>
  <c r="BF382" i="2"/>
  <c r="BF383" i="2"/>
  <c r="BF384" i="2"/>
  <c r="BF385" i="2"/>
  <c r="BF386" i="2"/>
  <c r="BF387" i="2"/>
  <c r="BF388" i="2"/>
  <c r="BF389" i="2"/>
  <c r="BF390" i="2"/>
  <c r="BF391" i="2"/>
  <c r="BF392" i="2"/>
  <c r="BF393" i="2"/>
  <c r="BF394" i="2"/>
  <c r="BF395" i="2"/>
  <c r="BF396" i="2"/>
  <c r="BF397" i="2"/>
  <c r="BF398" i="2"/>
  <c r="BF399" i="2"/>
  <c r="BF400" i="2"/>
  <c r="BF401" i="2"/>
  <c r="BF402" i="2"/>
  <c r="BF403" i="2"/>
  <c r="BF404" i="2"/>
  <c r="BF405" i="2"/>
  <c r="BF406" i="2"/>
  <c r="BF407" i="2"/>
  <c r="BF408" i="2"/>
  <c r="BF409" i="2"/>
  <c r="BF410" i="2"/>
  <c r="BF411" i="2"/>
  <c r="BF412" i="2"/>
  <c r="BF413" i="2"/>
  <c r="BF414" i="2"/>
  <c r="BF415" i="2"/>
  <c r="BF416" i="2"/>
  <c r="BF417" i="2"/>
  <c r="BF418" i="2"/>
  <c r="BF419" i="2"/>
  <c r="BF420" i="2"/>
  <c r="BF421" i="2"/>
  <c r="BF422" i="2"/>
  <c r="BF423" i="2"/>
  <c r="BF424" i="2"/>
  <c r="BF425" i="2"/>
  <c r="BF426" i="2"/>
  <c r="BF427" i="2"/>
  <c r="BF428" i="2"/>
  <c r="BF429" i="2"/>
  <c r="BF430" i="2"/>
  <c r="BF431" i="2"/>
  <c r="BF432" i="2"/>
  <c r="BF433" i="2"/>
  <c r="BF434" i="2"/>
  <c r="BF435" i="2"/>
  <c r="BF436" i="2"/>
  <c r="BF437" i="2"/>
  <c r="BF438" i="2"/>
  <c r="BF439" i="2"/>
  <c r="BF440" i="2"/>
  <c r="BF441" i="2"/>
  <c r="BF442" i="2"/>
  <c r="BF443" i="2"/>
  <c r="BF444" i="2"/>
  <c r="BF445" i="2"/>
  <c r="BF446" i="2"/>
  <c r="BF447" i="2"/>
  <c r="BF448" i="2"/>
  <c r="BF449" i="2"/>
  <c r="BF450" i="2"/>
  <c r="BF451" i="2"/>
  <c r="BF452" i="2"/>
  <c r="BF453" i="2"/>
  <c r="BF454" i="2"/>
  <c r="BF455" i="2"/>
  <c r="BF456" i="2"/>
  <c r="BF457" i="2"/>
  <c r="BF458" i="2"/>
  <c r="BF459" i="2"/>
  <c r="BF460" i="2"/>
  <c r="BF461" i="2"/>
  <c r="BF462" i="2"/>
  <c r="BF463" i="2"/>
  <c r="BF464" i="2"/>
  <c r="BF465" i="2"/>
  <c r="BF466" i="2"/>
  <c r="BF467" i="2"/>
  <c r="BF468" i="2"/>
  <c r="BF469" i="2"/>
  <c r="BF470" i="2"/>
  <c r="BF471" i="2"/>
  <c r="BF472" i="2"/>
  <c r="BF473" i="2"/>
  <c r="BF474" i="2"/>
  <c r="BF475" i="2"/>
  <c r="BF476" i="2"/>
  <c r="BF477" i="2"/>
  <c r="BF478" i="2"/>
  <c r="BF479" i="2"/>
  <c r="BF480" i="2"/>
  <c r="BF481" i="2"/>
  <c r="BF482" i="2"/>
  <c r="BF483" i="2"/>
  <c r="BF484" i="2"/>
  <c r="BF485" i="2"/>
  <c r="BF486" i="2"/>
  <c r="BF487" i="2"/>
  <c r="BF488" i="2"/>
  <c r="BF489" i="2"/>
  <c r="BF490" i="2"/>
  <c r="BF491" i="2"/>
  <c r="BF492" i="2"/>
  <c r="BF493" i="2"/>
  <c r="BF494" i="2"/>
  <c r="BF495" i="2"/>
  <c r="BF496" i="2"/>
  <c r="BF497" i="2"/>
  <c r="BF498" i="2"/>
  <c r="BF499" i="2"/>
  <c r="BF500" i="2"/>
  <c r="BF501" i="2"/>
  <c r="BF502" i="2"/>
  <c r="BF503" i="2"/>
  <c r="BF504" i="2"/>
  <c r="BF505" i="2"/>
  <c r="BF506" i="2"/>
  <c r="BF507" i="2"/>
  <c r="BF508" i="2"/>
  <c r="BF509" i="2"/>
  <c r="BF510" i="2"/>
  <c r="BF511" i="2"/>
  <c r="BF512" i="2"/>
  <c r="BF513" i="2"/>
  <c r="BF514" i="2"/>
  <c r="BF515" i="2"/>
  <c r="BF516" i="2"/>
  <c r="BF517" i="2"/>
  <c r="BF518" i="2"/>
  <c r="BF519" i="2"/>
  <c r="BF520" i="2"/>
  <c r="BF521" i="2"/>
  <c r="BF522" i="2"/>
  <c r="BF523" i="2"/>
  <c r="BF524" i="2"/>
  <c r="BF525" i="2"/>
  <c r="BF526" i="2"/>
  <c r="BF527" i="2"/>
  <c r="BF528" i="2"/>
  <c r="BF529" i="2"/>
  <c r="BF530" i="2"/>
  <c r="BF531" i="2"/>
  <c r="BF532" i="2"/>
  <c r="BF533" i="2"/>
  <c r="BF534" i="2"/>
  <c r="BF535" i="2"/>
  <c r="BF536" i="2"/>
  <c r="BF537" i="2"/>
  <c r="BF538" i="2"/>
  <c r="BF539" i="2"/>
  <c r="BF540" i="2"/>
  <c r="BF541" i="2"/>
  <c r="BF542" i="2"/>
  <c r="BF543" i="2"/>
  <c r="BF544" i="2"/>
  <c r="BF545" i="2"/>
  <c r="BF546" i="2"/>
  <c r="BF547" i="2"/>
  <c r="BF548" i="2"/>
  <c r="BF549" i="2"/>
  <c r="BF550" i="2"/>
  <c r="BF551" i="2"/>
  <c r="BF552" i="2"/>
  <c r="BF553" i="2"/>
  <c r="BF554" i="2"/>
  <c r="BF555" i="2"/>
  <c r="BF556" i="2"/>
  <c r="BF557" i="2"/>
  <c r="BF558" i="2"/>
  <c r="BF559" i="2"/>
  <c r="BF560" i="2"/>
  <c r="BF561" i="2"/>
  <c r="BF562" i="2"/>
  <c r="BF563" i="2"/>
  <c r="BF564" i="2"/>
  <c r="BF565" i="2"/>
  <c r="BF566" i="2"/>
  <c r="BF567" i="2"/>
  <c r="BF568" i="2"/>
  <c r="BF569" i="2"/>
  <c r="BF570" i="2"/>
  <c r="BF571" i="2"/>
  <c r="BF572" i="2"/>
  <c r="BF573" i="2"/>
  <c r="BF574" i="2"/>
  <c r="BF575" i="2"/>
  <c r="BF576" i="2"/>
  <c r="BF577" i="2"/>
  <c r="BF578" i="2"/>
  <c r="BF579" i="2"/>
  <c r="BF580" i="2"/>
  <c r="BF581" i="2"/>
  <c r="BF582" i="2"/>
  <c r="BF583" i="2"/>
  <c r="BF584" i="2"/>
  <c r="BF585" i="2"/>
  <c r="BF586" i="2"/>
  <c r="BF587" i="2"/>
  <c r="BF588" i="2"/>
  <c r="BF589" i="2"/>
  <c r="BF590" i="2"/>
  <c r="BF591" i="2"/>
  <c r="BF592" i="2"/>
  <c r="BF593" i="2"/>
  <c r="BF594" i="2"/>
  <c r="BF595" i="2"/>
  <c r="BF596" i="2"/>
  <c r="BF597" i="2"/>
  <c r="BF598" i="2"/>
  <c r="BF599" i="2"/>
  <c r="BF600" i="2"/>
  <c r="BF601" i="2"/>
  <c r="BF602" i="2"/>
  <c r="BF603" i="2"/>
  <c r="BF604" i="2"/>
  <c r="BF605" i="2"/>
  <c r="BF606" i="2"/>
  <c r="BF607" i="2"/>
  <c r="BF608" i="2"/>
  <c r="BF609" i="2"/>
  <c r="BF610" i="2"/>
  <c r="BF611" i="2"/>
  <c r="BF612" i="2"/>
  <c r="BF613" i="2"/>
  <c r="BF614" i="2"/>
  <c r="BF615" i="2"/>
  <c r="BF616" i="2"/>
  <c r="BF617" i="2"/>
  <c r="BF618" i="2"/>
  <c r="BF619" i="2"/>
  <c r="BF620" i="2"/>
  <c r="BF621" i="2"/>
  <c r="BF622" i="2"/>
  <c r="BF623" i="2"/>
  <c r="BF624" i="2"/>
  <c r="BF625" i="2"/>
  <c r="BF626" i="2"/>
  <c r="BF627" i="2"/>
  <c r="BF628" i="2"/>
  <c r="BF629" i="2"/>
  <c r="BF630" i="2"/>
  <c r="BF631" i="2"/>
  <c r="BF632" i="2"/>
  <c r="BF633" i="2"/>
  <c r="BF634" i="2"/>
  <c r="BF635" i="2"/>
  <c r="BF636" i="2"/>
  <c r="BF637" i="2"/>
  <c r="BF638" i="2"/>
  <c r="BF639" i="2"/>
  <c r="BF640" i="2"/>
  <c r="BF641" i="2"/>
  <c r="BF642" i="2"/>
  <c r="BF643" i="2"/>
  <c r="BF644" i="2"/>
  <c r="BF645" i="2"/>
  <c r="BF646" i="2"/>
  <c r="BF647" i="2"/>
  <c r="BF648" i="2"/>
  <c r="BF649" i="2"/>
  <c r="BF650" i="2"/>
  <c r="BF651" i="2"/>
  <c r="BF652" i="2"/>
  <c r="BF653" i="2"/>
  <c r="BF654" i="2"/>
  <c r="BF655" i="2"/>
  <c r="BF656" i="2"/>
  <c r="BF657" i="2"/>
  <c r="BF658" i="2"/>
  <c r="BF659" i="2"/>
  <c r="BF660" i="2"/>
  <c r="BF661" i="2"/>
  <c r="BF662" i="2"/>
  <c r="BF663" i="2"/>
  <c r="BF664" i="2"/>
  <c r="BF665" i="2"/>
  <c r="BF666" i="2"/>
  <c r="BF667" i="2"/>
  <c r="BF668" i="2"/>
  <c r="CU668" i="2" s="1" a="1"/>
  <c r="CU668" i="2" s="1"/>
  <c r="BF669" i="2"/>
  <c r="BF670" i="2"/>
  <c r="BF671" i="2"/>
  <c r="BF672" i="2"/>
  <c r="BF673" i="2"/>
  <c r="BF674" i="2"/>
  <c r="BF675" i="2"/>
  <c r="BF676" i="2"/>
  <c r="BF677" i="2"/>
  <c r="BF678" i="2"/>
  <c r="BF679" i="2"/>
  <c r="BF680" i="2"/>
  <c r="BF681" i="2"/>
  <c r="BF682" i="2"/>
  <c r="BF683" i="2"/>
  <c r="BF684" i="2"/>
  <c r="BF685" i="2"/>
  <c r="BF686" i="2"/>
  <c r="BF687" i="2"/>
  <c r="BF688" i="2"/>
  <c r="BF689" i="2"/>
  <c r="BF690" i="2"/>
  <c r="BF691" i="2"/>
  <c r="BF692" i="2"/>
  <c r="BF693" i="2"/>
  <c r="BF694" i="2"/>
  <c r="BF695" i="2"/>
  <c r="BF696" i="2"/>
  <c r="BF697" i="2"/>
  <c r="BF698" i="2"/>
  <c r="BF699" i="2"/>
  <c r="BF700" i="2"/>
  <c r="BF701" i="2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CU594" i="2" s="1" a="1"/>
  <c r="CU594" i="2" s="1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CU622" i="2" s="1" a="1"/>
  <c r="CU622" i="2" s="1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CU576" i="2" s="1" a="1"/>
  <c r="CU576" i="2" s="1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CT590" i="2" s="1" a="1"/>
  <c r="CT590" i="2" s="1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CU278" i="2" s="1" a="1"/>
  <c r="CU278" i="2" s="1"/>
  <c r="BI279" i="2"/>
  <c r="CU279" i="2" s="1" a="1"/>
  <c r="CU279" i="2" s="1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CU320" i="2" s="1" a="1"/>
  <c r="CU320" i="2" s="1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CU134" i="2" s="1" a="1"/>
  <c r="CU134" i="2" s="1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CU400" i="2" s="1" a="1"/>
  <c r="CU400" i="2" s="1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CT554" i="2" s="1" a="1"/>
  <c r="CT554" i="2" s="1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CU610" i="2" s="1" a="1"/>
  <c r="CU610" i="2" s="1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CU638" i="2" s="1" a="1"/>
  <c r="CU638" i="2" s="1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CU652" i="2" s="1" a="1"/>
  <c r="CU652" i="2" s="1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CS694" i="2" s="1" a="1"/>
  <c r="CS694" i="2" s="1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CU578" i="2" s="1" a="1"/>
  <c r="CU578" i="2" s="1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CT704" i="2" s="1" a="1"/>
  <c r="CT704" i="2" s="1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CU238" i="2" s="1" a="1"/>
  <c r="CU238" i="2" s="1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CT266" i="2" s="1" a="1"/>
  <c r="CT266" i="2" s="1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CU336" i="2" s="1" a="1"/>
  <c r="CU336" i="2" s="1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CU378" i="2" s="1" a="1"/>
  <c r="CU378" i="2" s="1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CU420" i="2" s="1" a="1"/>
  <c r="CU420" i="2" s="1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CT630" i="2" s="1" a="1"/>
  <c r="CT630" i="2" s="1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U26" i="2" s="1" a="1"/>
  <c r="CU26" i="2" s="1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U40" i="2" s="1" a="1"/>
  <c r="CU40" i="2" s="1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U82" i="2" s="1" a="1"/>
  <c r="CU82" i="2" s="1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U110" i="2" s="1" a="1"/>
  <c r="CU110" i="2" s="1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T124" i="2" s="1" a="1"/>
  <c r="CT124" i="2" s="1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U138" i="2" s="1" a="1"/>
  <c r="CU138" i="2" s="1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U166" i="2" s="1" a="1"/>
  <c r="CU166" i="2" s="1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U194" i="2" s="1" a="1"/>
  <c r="CU194" i="2" s="1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U208" i="2" s="1" a="1"/>
  <c r="CU208" i="2" s="1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U250" i="2" s="1" a="1"/>
  <c r="CU250" i="2" s="1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U292" i="2" s="1" a="1"/>
  <c r="CU292" i="2" s="1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T320" i="2" s="1" a="1"/>
  <c r="CT320" i="2" s="1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U334" i="2" s="1" a="1"/>
  <c r="CU334" i="2" s="1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T348" i="2" s="1" a="1"/>
  <c r="CT348" i="2" s="1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U376" i="2" s="1" a="1"/>
  <c r="CU376" i="2" s="1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U390" i="2" s="1" a="1"/>
  <c r="CU390" i="2" s="1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T404" i="2" s="1" a="1"/>
  <c r="CT404" i="2" s="1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U432" i="2" s="1" a="1"/>
  <c r="CU432" i="2" s="1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U446" i="2" s="1" a="1"/>
  <c r="CU446" i="2" s="1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U460" i="2" s="1" a="1"/>
  <c r="CU460" i="2" s="1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U474" i="2" s="1" a="1"/>
  <c r="CU474" i="2" s="1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U488" i="2" s="1" a="1"/>
  <c r="CU488" i="2" s="1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T502" i="2" s="1" a="1"/>
  <c r="CT502" i="2" s="1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T516" i="2" s="1" a="1"/>
  <c r="CT516" i="2" s="1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T530" i="2" s="1" a="1"/>
  <c r="CT530" i="2" s="1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T544" i="2" s="1" a="1"/>
  <c r="CT544" i="2" s="1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U558" i="2" s="1" a="1"/>
  <c r="CU558" i="2" s="1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U572" i="2" s="1" a="1"/>
  <c r="CU572" i="2" s="1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U586" i="2" s="1" a="1"/>
  <c r="CU586" i="2" s="1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T600" i="2" s="1" a="1"/>
  <c r="CT600" i="2" s="1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U614" i="2" s="1" a="1"/>
  <c r="CU614" i="2" s="1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T628" i="2" s="1" a="1"/>
  <c r="CT628" i="2" s="1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U642" i="2" s="1" a="1"/>
  <c r="CU642" i="2" s="1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U670" i="2" s="1" a="1"/>
  <c r="CU670" i="2" s="1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U684" i="2" s="1" a="1"/>
  <c r="CU684" i="2" s="1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U698" i="2" s="1" a="1"/>
  <c r="CU698" i="2" s="1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U8" i="2" s="1" a="1"/>
  <c r="CU8" i="2" s="1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U22" i="2" s="1" a="1"/>
  <c r="CU22" i="2" s="1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U36" i="2" s="1" a="1"/>
  <c r="CU36" i="2" s="1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U64" i="2" s="1" a="1"/>
  <c r="CU64" i="2" s="1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U106" i="2" s="1" a="1"/>
  <c r="CU106" i="2" s="1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U148" i="2" s="1" a="1"/>
  <c r="CU148" i="2" s="1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U162" i="2" s="1" a="1"/>
  <c r="CU162" i="2" s="1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U190" i="2" s="1" a="1"/>
  <c r="CU190" i="2" s="1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U204" i="2" s="1" a="1"/>
  <c r="CU204" i="2" s="1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U218" i="2" s="1" a="1"/>
  <c r="CU218" i="2" s="1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U232" i="2" s="1" a="1"/>
  <c r="CU232" i="2" s="1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U246" i="2" s="1" a="1"/>
  <c r="CU246" i="2" s="1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U260" i="2" s="1" a="1"/>
  <c r="CU260" i="2" s="1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U274" i="2" s="1" a="1"/>
  <c r="CU274" i="2" s="1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U288" i="2" s="1" a="1"/>
  <c r="CU288" i="2" s="1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U302" i="2" s="1" a="1"/>
  <c r="CU302" i="2" s="1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U316" i="2" s="1" a="1"/>
  <c r="CU316" i="2" s="1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U330" i="2" s="1" a="1"/>
  <c r="CU330" i="2" s="1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U344" i="2" s="1" a="1"/>
  <c r="CU344" i="2" s="1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U386" i="2" s="1" a="1"/>
  <c r="CU386" i="2" s="1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T400" i="2" s="1" a="1"/>
  <c r="CT400" i="2" s="1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U414" i="2" s="1" a="1"/>
  <c r="CU414" i="2" s="1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T428" i="2" s="1" a="1"/>
  <c r="CT428" i="2" s="1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U442" i="2" s="1" a="1"/>
  <c r="CU442" i="2" s="1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T456" i="2" s="1" a="1"/>
  <c r="CT456" i="2" s="1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U470" i="2" s="1" a="1"/>
  <c r="CU470" i="2" s="1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U484" i="2" s="1" a="1"/>
  <c r="CU484" i="2" s="1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U498" i="2" s="1" a="1"/>
  <c r="CU498" i="2" s="1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U526" i="2" s="1" a="1"/>
  <c r="CU526" i="2" s="1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T540" i="2" s="1" a="1"/>
  <c r="CT540" i="2" s="1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U554" i="2" s="1" a="1"/>
  <c r="CU554" i="2" s="1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T568" i="2" s="1" a="1"/>
  <c r="CT568" i="2" s="1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U582" i="2" s="1" a="1"/>
  <c r="CU582" i="2" s="1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U596" i="2" s="1" a="1"/>
  <c r="CU596" i="2" s="1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T610" i="2" s="1" a="1"/>
  <c r="CT610" i="2" s="1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U624" i="2" s="1" a="1"/>
  <c r="CU624" i="2" s="1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U666" i="2" s="1" a="1"/>
  <c r="CU666" i="2" s="1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U680" i="2" s="1" a="1"/>
  <c r="CU680" i="2" s="1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T4" i="2" s="1" a="1"/>
  <c r="CT4" i="2" s="1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U18" i="2" s="1" a="1"/>
  <c r="CU18" i="2" s="1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U74" i="2" s="1" a="1"/>
  <c r="CU74" i="2" s="1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U88" i="2" s="1" a="1"/>
  <c r="CU88" i="2" s="1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U116" i="2" s="1" a="1"/>
  <c r="CU116" i="2" s="1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U130" i="2" s="1" a="1"/>
  <c r="CU130" i="2" s="1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U200" i="2" s="1" a="1"/>
  <c r="CU200" i="2" s="1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U228" i="2" s="1" a="1"/>
  <c r="CU228" i="2" s="1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U242" i="2" s="1" a="1"/>
  <c r="CU242" i="2" s="1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U270" i="2" s="1" a="1"/>
  <c r="CU270" i="2" s="1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T298" i="2" s="1" a="1"/>
  <c r="CT298" i="2" s="1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U326" i="2" s="1" a="1"/>
  <c r="CU326" i="2" s="1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U340" i="2" s="1" a="1"/>
  <c r="CU340" i="2" s="1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U368" i="2" s="1" a="1"/>
  <c r="CU368" i="2" s="1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U396" i="2" s="1" a="1"/>
  <c r="CU396" i="2" s="1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T410" i="2" s="1" a="1"/>
  <c r="CT410" i="2" s="1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U424" i="2" s="1" a="1"/>
  <c r="CU424" i="2" s="1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U438" i="2" s="1" a="1"/>
  <c r="CU438" i="2" s="1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U466" i="2" s="1" a="1"/>
  <c r="CU466" i="2" s="1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U480" i="2" s="1" a="1"/>
  <c r="CU480" i="2" s="1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T494" i="2" s="1" a="1"/>
  <c r="CT494" i="2" s="1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U522" i="2" s="1" a="1"/>
  <c r="CU522" i="2" s="1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U536" i="2" s="1" a="1"/>
  <c r="CU536" i="2" s="1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U550" i="2" s="1" a="1"/>
  <c r="CU550" i="2" s="1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U564" i="2" s="1" a="1"/>
  <c r="CU564" i="2" s="1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U592" i="2" s="1" a="1"/>
  <c r="CU592" i="2" s="1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T606" i="2" s="1" a="1"/>
  <c r="CT606" i="2" s="1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U620" i="2" s="1" a="1"/>
  <c r="CU620" i="2" s="1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T648" i="2" s="1" a="1"/>
  <c r="CT648" i="2" s="1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U662" i="2" s="1" a="1"/>
  <c r="CU662" i="2" s="1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U676" i="2" s="1" a="1"/>
  <c r="CU676" i="2" s="1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U690" i="2" s="1" a="1"/>
  <c r="CU690" i="2" s="1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U704" i="2" s="1" a="1"/>
  <c r="CU704" i="2" s="1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U42" i="2" s="1" a="1"/>
  <c r="CU42" i="2" s="1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U112" i="2" s="1" a="1"/>
  <c r="CU112" i="2" s="1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U252" i="2" s="1" a="1"/>
  <c r="CU252" i="2" s="1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U266" i="2" s="1" a="1"/>
  <c r="CU266" i="2" s="1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U294" i="2" s="1" a="1"/>
  <c r="CU294" i="2" s="1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U308" i="2" s="1" a="1"/>
  <c r="CU308" i="2" s="1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U322" i="2" s="1" a="1"/>
  <c r="CU322" i="2" s="1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U350" i="2" s="1" a="1"/>
  <c r="CU350" i="2" s="1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U406" i="2" s="1" a="1"/>
  <c r="CU406" i="2" s="1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T420" i="2" s="1" a="1"/>
  <c r="CT420" i="2" s="1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T434" i="2" s="1" a="1"/>
  <c r="CT434" i="2" s="1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T476" i="2" s="1" a="1"/>
  <c r="CT476" i="2" s="1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U490" i="2" s="1" a="1"/>
  <c r="CU490" i="2" s="1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T504" i="2" s="1" a="1"/>
  <c r="CT504" i="2" s="1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U518" i="2" s="1" a="1"/>
  <c r="CU518" i="2" s="1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U532" i="2" s="1" a="1"/>
  <c r="CU532" i="2" s="1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U546" i="2" s="1" a="1"/>
  <c r="CU546" i="2" s="1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T560" i="2" s="1" a="1"/>
  <c r="CT560" i="2" s="1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U574" i="2" s="1" a="1"/>
  <c r="CU574" i="2" s="1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U602" i="2" s="1" a="1"/>
  <c r="CU602" i="2" s="1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U630" i="2" s="1" a="1"/>
  <c r="CU630" i="2" s="1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T644" i="2" s="1" a="1"/>
  <c r="CT644" i="2" s="1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U700" i="2" s="1" a="1"/>
  <c r="CU700" i="2" s="1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U10" i="2" s="1" a="1"/>
  <c r="CU10" i="2" s="1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S38" i="2" s="1" a="1"/>
  <c r="CS38" i="2" s="1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U108" i="2" s="1" a="1"/>
  <c r="CU108" i="2" s="1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U122" i="2" s="1" a="1"/>
  <c r="CU122" i="2" s="1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T388" i="2" s="1" a="1"/>
  <c r="CT388" i="2" s="1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T430" i="2" s="1" a="1"/>
  <c r="CT430" i="2" s="1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T444" i="2" s="1" a="1"/>
  <c r="CT444" i="2" s="1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T486" i="2" s="1" a="1"/>
  <c r="CT486" i="2" s="1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T696" i="2" s="1" a="1"/>
  <c r="CT696" i="2" s="1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U272" i="2" s="1" a="1"/>
  <c r="CU272" i="2" s="1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10" i="2"/>
  <c r="CR11" i="2"/>
  <c r="CR12" i="2"/>
  <c r="CR13" i="2"/>
  <c r="CR14" i="2"/>
  <c r="CR16" i="2"/>
  <c r="CR17" i="2"/>
  <c r="CR18" i="2"/>
  <c r="CR19" i="2"/>
  <c r="CR20" i="2"/>
  <c r="CR21" i="2"/>
  <c r="CR22" i="2"/>
  <c r="CR24" i="2"/>
  <c r="CR25" i="2"/>
  <c r="CR26" i="2"/>
  <c r="CR27" i="2"/>
  <c r="CR30" i="2"/>
  <c r="CR31" i="2"/>
  <c r="CR32" i="2"/>
  <c r="CR33" i="2"/>
  <c r="CR34" i="2"/>
  <c r="CR35" i="2"/>
  <c r="CR36" i="2"/>
  <c r="CR38" i="2"/>
  <c r="CR39" i="2"/>
  <c r="CR40" i="2"/>
  <c r="CR41" i="2"/>
  <c r="CR44" i="2"/>
  <c r="CR45" i="2"/>
  <c r="CR46" i="2"/>
  <c r="CR47" i="2"/>
  <c r="CR48" i="2"/>
  <c r="CR49" i="2"/>
  <c r="CR50" i="2"/>
  <c r="CR52" i="2"/>
  <c r="CR53" i="2"/>
  <c r="CR54" i="2"/>
  <c r="CR55" i="2"/>
  <c r="CR58" i="2"/>
  <c r="CR59" i="2"/>
  <c r="CR60" i="2"/>
  <c r="CR61" i="2"/>
  <c r="CR62" i="2"/>
  <c r="CR63" i="2"/>
  <c r="CR64" i="2"/>
  <c r="CR66" i="2"/>
  <c r="CR67" i="2"/>
  <c r="CR68" i="2"/>
  <c r="CR69" i="2"/>
  <c r="CR72" i="2"/>
  <c r="CR73" i="2"/>
  <c r="CR74" i="2"/>
  <c r="CR75" i="2"/>
  <c r="CR76" i="2"/>
  <c r="CR77" i="2"/>
  <c r="CR78" i="2"/>
  <c r="CR80" i="2"/>
  <c r="CR81" i="2"/>
  <c r="CR82" i="2"/>
  <c r="CR83" i="2"/>
  <c r="CR86" i="2"/>
  <c r="CR87" i="2"/>
  <c r="CR88" i="2"/>
  <c r="CR89" i="2"/>
  <c r="CR90" i="2"/>
  <c r="CR91" i="2"/>
  <c r="CR92" i="2"/>
  <c r="CR94" i="2"/>
  <c r="CR95" i="2"/>
  <c r="CR96" i="2"/>
  <c r="CR97" i="2"/>
  <c r="CR100" i="2"/>
  <c r="CR101" i="2"/>
  <c r="CR102" i="2"/>
  <c r="CR103" i="2"/>
  <c r="CR104" i="2"/>
  <c r="CR105" i="2"/>
  <c r="CR106" i="2"/>
  <c r="CR108" i="2"/>
  <c r="CR109" i="2"/>
  <c r="CR110" i="2"/>
  <c r="CR111" i="2"/>
  <c r="CR112" i="2"/>
  <c r="CR114" i="2"/>
  <c r="CR115" i="2"/>
  <c r="CR116" i="2"/>
  <c r="CR117" i="2"/>
  <c r="CR118" i="2"/>
  <c r="CR119" i="2"/>
  <c r="CR120" i="2"/>
  <c r="CR122" i="2"/>
  <c r="CR123" i="2"/>
  <c r="CR124" i="2"/>
  <c r="CR125" i="2"/>
  <c r="CR128" i="2"/>
  <c r="CR129" i="2"/>
  <c r="CR130" i="2"/>
  <c r="CR131" i="2"/>
  <c r="CR132" i="2"/>
  <c r="CR133" i="2"/>
  <c r="CR134" i="2"/>
  <c r="CR136" i="2"/>
  <c r="CR137" i="2"/>
  <c r="CR138" i="2"/>
  <c r="CR139" i="2"/>
  <c r="CR142" i="2"/>
  <c r="CR143" i="2"/>
  <c r="CR144" i="2"/>
  <c r="CR145" i="2"/>
  <c r="CR146" i="2"/>
  <c r="CR147" i="2"/>
  <c r="CR148" i="2"/>
  <c r="CR150" i="2"/>
  <c r="CR151" i="2"/>
  <c r="CR152" i="2"/>
  <c r="CR153" i="2"/>
  <c r="CR156" i="2"/>
  <c r="CR157" i="2"/>
  <c r="CR158" i="2"/>
  <c r="CR159" i="2"/>
  <c r="CR160" i="2"/>
  <c r="CR161" i="2"/>
  <c r="CR162" i="2"/>
  <c r="CR164" i="2"/>
  <c r="CR165" i="2"/>
  <c r="CR166" i="2"/>
  <c r="CR167" i="2"/>
  <c r="CR170" i="2"/>
  <c r="CR171" i="2"/>
  <c r="CR172" i="2"/>
  <c r="CR173" i="2"/>
  <c r="CR174" i="2"/>
  <c r="CR175" i="2"/>
  <c r="CR176" i="2"/>
  <c r="CR178" i="2"/>
  <c r="CR179" i="2"/>
  <c r="CR180" i="2"/>
  <c r="CR181" i="2"/>
  <c r="CR184" i="2"/>
  <c r="CR185" i="2"/>
  <c r="CR186" i="2"/>
  <c r="CR187" i="2"/>
  <c r="CR188" i="2"/>
  <c r="CR189" i="2"/>
  <c r="CR190" i="2"/>
  <c r="CR192" i="2"/>
  <c r="CR193" i="2"/>
  <c r="CR194" i="2"/>
  <c r="CR195" i="2"/>
  <c r="CR198" i="2"/>
  <c r="CR199" i="2"/>
  <c r="CR200" i="2"/>
  <c r="CR201" i="2"/>
  <c r="CR202" i="2"/>
  <c r="CR203" i="2"/>
  <c r="CR204" i="2"/>
  <c r="CR206" i="2"/>
  <c r="CR207" i="2"/>
  <c r="CR208" i="2"/>
  <c r="CR209" i="2"/>
  <c r="CR210" i="2"/>
  <c r="CR212" i="2"/>
  <c r="CR213" i="2"/>
  <c r="CR214" i="2"/>
  <c r="CR215" i="2"/>
  <c r="CR216" i="2"/>
  <c r="CR217" i="2"/>
  <c r="CR218" i="2"/>
  <c r="CR220" i="2"/>
  <c r="CR221" i="2"/>
  <c r="CR222" i="2"/>
  <c r="CR223" i="2"/>
  <c r="CR226" i="2"/>
  <c r="CR227" i="2"/>
  <c r="CR228" i="2"/>
  <c r="CR229" i="2"/>
  <c r="CR230" i="2"/>
  <c r="CR231" i="2"/>
  <c r="CR232" i="2"/>
  <c r="CR234" i="2"/>
  <c r="CR235" i="2"/>
  <c r="CR236" i="2"/>
  <c r="CR237" i="2"/>
  <c r="CR240" i="2"/>
  <c r="CR241" i="2"/>
  <c r="CR242" i="2"/>
  <c r="CR243" i="2"/>
  <c r="CR244" i="2"/>
  <c r="CR245" i="2"/>
  <c r="CR246" i="2"/>
  <c r="CR248" i="2"/>
  <c r="CR249" i="2"/>
  <c r="CR250" i="2"/>
  <c r="CR251" i="2"/>
  <c r="CR254" i="2"/>
  <c r="CR255" i="2"/>
  <c r="CR256" i="2"/>
  <c r="CR257" i="2"/>
  <c r="CR258" i="2"/>
  <c r="CR259" i="2"/>
  <c r="CR260" i="2"/>
  <c r="CR262" i="2"/>
  <c r="CR263" i="2"/>
  <c r="CR264" i="2"/>
  <c r="CR265" i="2"/>
  <c r="CR268" i="2"/>
  <c r="CR269" i="2"/>
  <c r="CR270" i="2"/>
  <c r="CR271" i="2"/>
  <c r="CR272" i="2"/>
  <c r="CR273" i="2"/>
  <c r="CR274" i="2"/>
  <c r="CR276" i="2"/>
  <c r="CR277" i="2"/>
  <c r="CR278" i="2"/>
  <c r="CR279" i="2"/>
  <c r="CR282" i="2"/>
  <c r="CR283" i="2"/>
  <c r="CR284" i="2"/>
  <c r="CR285" i="2"/>
  <c r="CR286" i="2"/>
  <c r="CR287" i="2"/>
  <c r="CR288" i="2"/>
  <c r="CR290" i="2"/>
  <c r="CR291" i="2"/>
  <c r="CR292" i="2"/>
  <c r="CR293" i="2"/>
  <c r="CR296" i="2"/>
  <c r="CR297" i="2"/>
  <c r="CR298" i="2"/>
  <c r="CR299" i="2"/>
  <c r="CR300" i="2"/>
  <c r="CR301" i="2"/>
  <c r="CR302" i="2"/>
  <c r="CR304" i="2"/>
  <c r="CR305" i="2"/>
  <c r="CR306" i="2"/>
  <c r="CR307" i="2"/>
  <c r="CR308" i="2"/>
  <c r="CR310" i="2"/>
  <c r="CR311" i="2"/>
  <c r="CR312" i="2"/>
  <c r="CR313" i="2"/>
  <c r="CR314" i="2"/>
  <c r="CR315" i="2"/>
  <c r="CR316" i="2"/>
  <c r="CR318" i="2"/>
  <c r="CR319" i="2"/>
  <c r="CR320" i="2"/>
  <c r="CR321" i="2"/>
  <c r="CR324" i="2"/>
  <c r="CR325" i="2"/>
  <c r="CR326" i="2"/>
  <c r="CR327" i="2"/>
  <c r="CR328" i="2"/>
  <c r="CR329" i="2"/>
  <c r="CR330" i="2"/>
  <c r="CR332" i="2"/>
  <c r="CR333" i="2"/>
  <c r="CR334" i="2"/>
  <c r="CR335" i="2"/>
  <c r="CR338" i="2"/>
  <c r="CR339" i="2"/>
  <c r="CR340" i="2"/>
  <c r="CR341" i="2"/>
  <c r="CR342" i="2"/>
  <c r="CR343" i="2"/>
  <c r="CR344" i="2"/>
  <c r="CR346" i="2"/>
  <c r="CR347" i="2"/>
  <c r="CR348" i="2"/>
  <c r="CR349" i="2"/>
  <c r="CR352" i="2"/>
  <c r="CR353" i="2"/>
  <c r="CR354" i="2"/>
  <c r="CR355" i="2"/>
  <c r="CR356" i="2"/>
  <c r="CR357" i="2"/>
  <c r="CR358" i="2"/>
  <c r="CR360" i="2"/>
  <c r="CR361" i="2"/>
  <c r="CR362" i="2"/>
  <c r="CR363" i="2"/>
  <c r="CR366" i="2"/>
  <c r="CR367" i="2"/>
  <c r="CR368" i="2"/>
  <c r="CR369" i="2"/>
  <c r="CR370" i="2"/>
  <c r="CR371" i="2"/>
  <c r="CR372" i="2"/>
  <c r="CR374" i="2"/>
  <c r="CR375" i="2"/>
  <c r="CR376" i="2"/>
  <c r="CR377" i="2"/>
  <c r="CR380" i="2"/>
  <c r="CR381" i="2"/>
  <c r="CR382" i="2"/>
  <c r="CR383" i="2"/>
  <c r="CR384" i="2"/>
  <c r="CR385" i="2"/>
  <c r="CR386" i="2"/>
  <c r="CR388" i="2"/>
  <c r="CR389" i="2"/>
  <c r="CR390" i="2"/>
  <c r="CR391" i="2"/>
  <c r="CR394" i="2"/>
  <c r="CR395" i="2"/>
  <c r="CR396" i="2"/>
  <c r="CR397" i="2"/>
  <c r="CR398" i="2"/>
  <c r="CR399" i="2"/>
  <c r="CR400" i="2"/>
  <c r="CR402" i="2"/>
  <c r="CR403" i="2"/>
  <c r="CR404" i="2"/>
  <c r="CR405" i="2"/>
  <c r="CR406" i="2"/>
  <c r="CR408" i="2"/>
  <c r="CR409" i="2"/>
  <c r="CR410" i="2"/>
  <c r="CR411" i="2"/>
  <c r="CR412" i="2"/>
  <c r="CR413" i="2"/>
  <c r="CR414" i="2"/>
  <c r="CR416" i="2"/>
  <c r="CR417" i="2"/>
  <c r="CR418" i="2"/>
  <c r="CR419" i="2"/>
  <c r="CR422" i="2"/>
  <c r="CR423" i="2"/>
  <c r="CR424" i="2"/>
  <c r="CR425" i="2"/>
  <c r="CR426" i="2"/>
  <c r="CR427" i="2"/>
  <c r="CR428" i="2"/>
  <c r="CR430" i="2"/>
  <c r="CR431" i="2"/>
  <c r="CR432" i="2"/>
  <c r="CR433" i="2"/>
  <c r="CR436" i="2"/>
  <c r="CR437" i="2"/>
  <c r="CR438" i="2"/>
  <c r="CR439" i="2"/>
  <c r="CR440" i="2"/>
  <c r="CR441" i="2"/>
  <c r="CR442" i="2"/>
  <c r="CR444" i="2"/>
  <c r="CR445" i="2"/>
  <c r="CR446" i="2"/>
  <c r="CR447" i="2"/>
  <c r="CR450" i="2"/>
  <c r="CR451" i="2"/>
  <c r="CR452" i="2"/>
  <c r="CR453" i="2"/>
  <c r="CR454" i="2"/>
  <c r="CR455" i="2"/>
  <c r="CR456" i="2"/>
  <c r="CR458" i="2"/>
  <c r="CR459" i="2"/>
  <c r="CR460" i="2"/>
  <c r="CR461" i="2"/>
  <c r="CR464" i="2"/>
  <c r="CR465" i="2"/>
  <c r="CR466" i="2"/>
  <c r="CR467" i="2"/>
  <c r="CR468" i="2"/>
  <c r="CR469" i="2"/>
  <c r="CR470" i="2"/>
  <c r="CR472" i="2"/>
  <c r="CR473" i="2"/>
  <c r="CR474" i="2"/>
  <c r="CR475" i="2"/>
  <c r="CR478" i="2"/>
  <c r="CR479" i="2"/>
  <c r="CR480" i="2"/>
  <c r="CR481" i="2"/>
  <c r="CR482" i="2"/>
  <c r="CR483" i="2"/>
  <c r="CR484" i="2"/>
  <c r="CR486" i="2"/>
  <c r="CR487" i="2"/>
  <c r="CR488" i="2"/>
  <c r="CR489" i="2"/>
  <c r="CR492" i="2"/>
  <c r="CR493" i="2"/>
  <c r="CR494" i="2"/>
  <c r="CR495" i="2"/>
  <c r="CR496" i="2"/>
  <c r="CR497" i="2"/>
  <c r="CR498" i="2"/>
  <c r="CR500" i="2"/>
  <c r="CR501" i="2"/>
  <c r="CR502" i="2"/>
  <c r="CR503" i="2"/>
  <c r="CR504" i="2"/>
  <c r="CR506" i="2"/>
  <c r="CR507" i="2"/>
  <c r="CR508" i="2"/>
  <c r="CR509" i="2"/>
  <c r="CR510" i="2"/>
  <c r="CR511" i="2"/>
  <c r="CR512" i="2"/>
  <c r="CR514" i="2"/>
  <c r="CR515" i="2"/>
  <c r="CR516" i="2"/>
  <c r="CR517" i="2"/>
  <c r="CR520" i="2"/>
  <c r="CR521" i="2"/>
  <c r="CR522" i="2"/>
  <c r="CR523" i="2"/>
  <c r="CR524" i="2"/>
  <c r="CR525" i="2"/>
  <c r="CR526" i="2"/>
  <c r="CR528" i="2"/>
  <c r="CR529" i="2"/>
  <c r="CR530" i="2"/>
  <c r="CR531" i="2"/>
  <c r="CR534" i="2"/>
  <c r="CR535" i="2"/>
  <c r="CR536" i="2"/>
  <c r="CR537" i="2"/>
  <c r="CR538" i="2"/>
  <c r="CR539" i="2"/>
  <c r="CR540" i="2"/>
  <c r="CR542" i="2"/>
  <c r="CR543" i="2"/>
  <c r="CR544" i="2"/>
  <c r="CR545" i="2"/>
  <c r="CR548" i="2"/>
  <c r="CR549" i="2"/>
  <c r="CR550" i="2"/>
  <c r="CR551" i="2"/>
  <c r="CR552" i="2"/>
  <c r="CR553" i="2"/>
  <c r="CR554" i="2"/>
  <c r="CR556" i="2"/>
  <c r="CR557" i="2"/>
  <c r="CR558" i="2"/>
  <c r="CR559" i="2"/>
  <c r="CR562" i="2"/>
  <c r="CR563" i="2"/>
  <c r="CR564" i="2"/>
  <c r="CR565" i="2"/>
  <c r="CR566" i="2"/>
  <c r="CR567" i="2"/>
  <c r="CR568" i="2"/>
  <c r="CR570" i="2"/>
  <c r="CR571" i="2"/>
  <c r="CR572" i="2"/>
  <c r="CR573" i="2"/>
  <c r="CR576" i="2"/>
  <c r="CR577" i="2"/>
  <c r="CR578" i="2"/>
  <c r="CR579" i="2"/>
  <c r="CR580" i="2"/>
  <c r="CR581" i="2"/>
  <c r="CR582" i="2"/>
  <c r="CR584" i="2"/>
  <c r="CR585" i="2"/>
  <c r="CR586" i="2"/>
  <c r="CR587" i="2"/>
  <c r="CR590" i="2"/>
  <c r="CR591" i="2"/>
  <c r="CR592" i="2"/>
  <c r="CR593" i="2"/>
  <c r="CR594" i="2"/>
  <c r="CR595" i="2"/>
  <c r="CR596" i="2"/>
  <c r="CR598" i="2"/>
  <c r="CR599" i="2"/>
  <c r="CR600" i="2"/>
  <c r="CR601" i="2"/>
  <c r="CR602" i="2"/>
  <c r="CR604" i="2"/>
  <c r="CR605" i="2"/>
  <c r="CR606" i="2"/>
  <c r="CR607" i="2"/>
  <c r="CR608" i="2"/>
  <c r="CR609" i="2"/>
  <c r="CR610" i="2"/>
  <c r="CR612" i="2"/>
  <c r="CR613" i="2"/>
  <c r="CR614" i="2"/>
  <c r="CR615" i="2"/>
  <c r="CR618" i="2"/>
  <c r="CR619" i="2"/>
  <c r="CR620" i="2"/>
  <c r="CR621" i="2"/>
  <c r="CR622" i="2"/>
  <c r="CR623" i="2"/>
  <c r="CR624" i="2"/>
  <c r="CR626" i="2"/>
  <c r="CR627" i="2"/>
  <c r="CR628" i="2"/>
  <c r="CR629" i="2"/>
  <c r="CR632" i="2"/>
  <c r="CR633" i="2"/>
  <c r="CR634" i="2"/>
  <c r="CR635" i="2"/>
  <c r="CR636" i="2"/>
  <c r="CR637" i="2"/>
  <c r="CR638" i="2"/>
  <c r="CR640" i="2"/>
  <c r="CR641" i="2"/>
  <c r="CR642" i="2"/>
  <c r="CR643" i="2"/>
  <c r="CR646" i="2"/>
  <c r="CR647" i="2"/>
  <c r="CR648" i="2"/>
  <c r="CR649" i="2"/>
  <c r="CR650" i="2"/>
  <c r="CR651" i="2"/>
  <c r="CR652" i="2"/>
  <c r="CR654" i="2"/>
  <c r="CR655" i="2"/>
  <c r="CR656" i="2"/>
  <c r="CR657" i="2"/>
  <c r="CR660" i="2"/>
  <c r="CR661" i="2"/>
  <c r="CR662" i="2"/>
  <c r="CR663" i="2"/>
  <c r="CR664" i="2"/>
  <c r="CR665" i="2"/>
  <c r="CR666" i="2"/>
  <c r="CR668" i="2"/>
  <c r="CR669" i="2"/>
  <c r="CR670" i="2"/>
  <c r="CR671" i="2"/>
  <c r="CR674" i="2"/>
  <c r="CR675" i="2"/>
  <c r="CR676" i="2"/>
  <c r="CR677" i="2"/>
  <c r="CR678" i="2"/>
  <c r="CR679" i="2"/>
  <c r="CR680" i="2"/>
  <c r="CR682" i="2"/>
  <c r="CR683" i="2"/>
  <c r="CR684" i="2"/>
  <c r="CR685" i="2"/>
  <c r="CR688" i="2"/>
  <c r="CR689" i="2"/>
  <c r="CR690" i="2"/>
  <c r="CR691" i="2"/>
  <c r="CR692" i="2"/>
  <c r="CR693" i="2"/>
  <c r="CR694" i="2"/>
  <c r="CR696" i="2"/>
  <c r="CR697" i="2"/>
  <c r="CR698" i="2"/>
  <c r="CR699" i="2"/>
  <c r="CR700" i="2"/>
  <c r="CR702" i="2"/>
  <c r="CR703" i="2"/>
  <c r="CR704" i="2"/>
  <c r="CR705" i="2"/>
  <c r="CU72" i="2" a="1"/>
  <c r="CU72" i="2" s="1"/>
  <c r="CU102" i="2" a="1"/>
  <c r="CU102" i="2" s="1"/>
  <c r="CU478" i="2" a="1"/>
  <c r="CU478" i="2" s="1"/>
  <c r="CU492" i="2" a="1"/>
  <c r="CU492" i="2" s="1"/>
  <c r="CU625" i="2" l="1" a="1"/>
  <c r="CU625" i="2" s="1"/>
  <c r="CU167" i="2" a="1"/>
  <c r="CU167" i="2" s="1"/>
  <c r="CU268" i="2" a="1"/>
  <c r="CU268" i="2" s="1"/>
  <c r="CU702" i="2" a="1"/>
  <c r="CU702" i="2" s="1"/>
  <c r="CU254" i="2" a="1"/>
  <c r="CU254" i="2" s="1"/>
  <c r="CU694" i="2" a="1"/>
  <c r="CU694" i="2" s="1"/>
  <c r="CT668" i="2" a="1"/>
  <c r="CT668" i="2" s="1"/>
  <c r="CT465" i="2" a="1"/>
  <c r="CT465" i="2" s="1"/>
  <c r="CT622" i="2" a="1"/>
  <c r="CT622" i="2" s="1"/>
  <c r="CU299" i="2" a="1"/>
  <c r="CU299" i="2" s="1"/>
  <c r="CT618" i="2" a="1"/>
  <c r="CT618" i="2" s="1"/>
  <c r="CT492" i="2" a="1"/>
  <c r="CT492" i="2" s="1"/>
  <c r="CU695" i="2" a="1"/>
  <c r="CU695" i="2" s="1"/>
  <c r="CU520" i="2" a="1"/>
  <c r="CU520" i="2" s="1"/>
  <c r="CU636" i="2" a="1"/>
  <c r="CU636" i="2" s="1"/>
  <c r="CU324" i="2" a="1"/>
  <c r="CU324" i="2" s="1"/>
  <c r="CU366" i="2" a="1"/>
  <c r="CU366" i="2" s="1"/>
  <c r="CU341" i="2" a="1"/>
  <c r="CU341" i="2" s="1"/>
  <c r="CU321" i="2" a="1"/>
  <c r="CU321" i="2" s="1"/>
  <c r="CU422" i="2" a="1"/>
  <c r="CU422" i="2" s="1"/>
  <c r="CU37" i="2" a="1"/>
  <c r="CU37" i="2" s="1"/>
  <c r="CT394" i="2" a="1"/>
  <c r="CT394" i="2" s="1"/>
  <c r="CU259" i="2" a="1"/>
  <c r="CU259" i="2" s="1"/>
  <c r="CT189" i="2" a="1"/>
  <c r="CT189" i="2" s="1"/>
  <c r="CU189" i="2" a="1"/>
  <c r="CU189" i="2" s="1"/>
  <c r="CU655" i="2" a="1"/>
  <c r="CU655" i="2" s="1"/>
  <c r="CT501" i="2" a="1"/>
  <c r="CT501" i="2" s="1"/>
  <c r="CU501" i="2" a="1"/>
  <c r="CU501" i="2" s="1"/>
  <c r="CU393" i="2" a="1"/>
  <c r="CU393" i="2" s="1"/>
  <c r="CU357" i="2" a="1"/>
  <c r="CU357" i="2" s="1"/>
  <c r="CU273" i="2" a="1"/>
  <c r="CU273" i="2" s="1"/>
  <c r="CT273" i="2" a="1"/>
  <c r="CT273" i="2" s="1"/>
  <c r="CU7" i="2" a="1"/>
  <c r="CU7" i="2" s="1"/>
  <c r="CT613" i="2" a="1"/>
  <c r="CT613" i="2" s="1"/>
  <c r="CU613" i="2" a="1"/>
  <c r="CU613" i="2" s="1"/>
  <c r="CU431" i="2" a="1"/>
  <c r="CU431" i="2" s="1"/>
  <c r="CU333" i="2" a="1"/>
  <c r="CU333" i="2" s="1"/>
  <c r="CU179" i="2" a="1"/>
  <c r="CU179" i="2" s="1"/>
  <c r="CU701" i="2" a="1"/>
  <c r="CU701" i="2" s="1"/>
  <c r="CU635" i="2" a="1"/>
  <c r="CU635" i="2" s="1"/>
  <c r="CU161" i="2" a="1"/>
  <c r="CU161" i="2" s="1"/>
  <c r="CS627" i="2" a="1"/>
  <c r="CS627" i="2" s="1"/>
  <c r="CU627" i="2" a="1"/>
  <c r="CU627" i="2" s="1"/>
  <c r="CS221" i="2" a="1"/>
  <c r="CS221" i="2" s="1"/>
  <c r="CU53" i="2" a="1"/>
  <c r="CU53" i="2" s="1"/>
  <c r="CU663" i="2" a="1"/>
  <c r="CU663" i="2" s="1"/>
  <c r="CU245" i="2" a="1"/>
  <c r="CU245" i="2" s="1"/>
  <c r="CU77" i="2" a="1"/>
  <c r="CU77" i="2" s="1"/>
  <c r="CS683" i="2" a="1"/>
  <c r="CS683" i="2" s="1"/>
  <c r="CU683" i="2" a="1"/>
  <c r="CU683" i="2" s="1"/>
  <c r="CT683" i="2" a="1"/>
  <c r="CT683" i="2" s="1"/>
  <c r="CU641" i="2" a="1"/>
  <c r="CU641" i="2" s="1"/>
  <c r="CT641" i="2" a="1"/>
  <c r="CT641" i="2" s="1"/>
  <c r="CU571" i="2" a="1"/>
  <c r="CU571" i="2" s="1"/>
  <c r="CT571" i="2" a="1"/>
  <c r="CT571" i="2" s="1"/>
  <c r="CU487" i="2" a="1"/>
  <c r="CU487" i="2" s="1"/>
  <c r="CU403" i="2" a="1"/>
  <c r="CU403" i="2" s="1"/>
  <c r="CU277" i="2" a="1"/>
  <c r="CU277" i="2" s="1"/>
  <c r="CT589" i="2" a="1"/>
  <c r="CT589" i="2" s="1"/>
  <c r="CU379" i="2" a="1"/>
  <c r="CU379" i="2" s="1"/>
  <c r="CU593" i="2" a="1"/>
  <c r="CU593" i="2" s="1"/>
  <c r="CU397" i="2" a="1"/>
  <c r="CU397" i="2" s="1"/>
  <c r="CU667" i="2" a="1"/>
  <c r="CU667" i="2" s="1"/>
  <c r="CU317" i="2" a="1"/>
  <c r="CU317" i="2" s="1"/>
  <c r="CS531" i="2" a="1"/>
  <c r="CS531" i="2" s="1"/>
  <c r="CT703" i="2" a="1"/>
  <c r="CT703" i="2" s="1"/>
  <c r="CT451" i="2" a="1"/>
  <c r="CT451" i="2" s="1"/>
  <c r="CT609" i="2" a="1"/>
  <c r="CT609" i="2" s="1"/>
  <c r="CT441" i="2" a="1"/>
  <c r="CT441" i="2" s="1"/>
  <c r="CU385" i="2" a="1"/>
  <c r="CU385" i="2" s="1"/>
  <c r="CU217" i="2" a="1"/>
  <c r="CU217" i="2" s="1"/>
  <c r="CU697" i="2" a="1"/>
  <c r="CU697" i="2" s="1"/>
  <c r="CU599" i="2" a="1"/>
  <c r="CU599" i="2" s="1"/>
  <c r="CT599" i="2" a="1"/>
  <c r="CT599" i="2" s="1"/>
  <c r="CT557" i="2" a="1"/>
  <c r="CT557" i="2" s="1"/>
  <c r="CU557" i="2" a="1"/>
  <c r="CU557" i="2" s="1"/>
  <c r="CU459" i="2" a="1"/>
  <c r="CU459" i="2" s="1"/>
  <c r="CU375" i="2" a="1"/>
  <c r="CU375" i="2" s="1"/>
  <c r="CU263" i="2" a="1"/>
  <c r="CU263" i="2" s="1"/>
  <c r="CU137" i="2" a="1"/>
  <c r="CU137" i="2" s="1"/>
  <c r="CT239" i="2" a="1"/>
  <c r="CT239" i="2" s="1"/>
  <c r="CU467" i="2" a="1"/>
  <c r="CU467" i="2" s="1"/>
  <c r="CU215" i="2" a="1"/>
  <c r="CU215" i="2" s="1"/>
  <c r="CU527" i="2" a="1"/>
  <c r="CU527" i="2" s="1"/>
  <c r="CU121" i="2" a="1"/>
  <c r="CU121" i="2" s="1"/>
  <c r="CU65" i="2" a="1"/>
  <c r="CU65" i="2" s="1"/>
  <c r="CU643" i="2" a="1"/>
  <c r="CU643" i="2" s="1"/>
  <c r="CU517" i="2" a="1"/>
  <c r="CU517" i="2" s="1"/>
  <c r="CU391" i="2" a="1"/>
  <c r="CU391" i="2" s="1"/>
  <c r="CU251" i="2" a="1"/>
  <c r="CU251" i="2" s="1"/>
  <c r="CU647" i="2" a="1"/>
  <c r="CU647" i="2" s="1"/>
  <c r="CT129" i="2" a="1"/>
  <c r="CT129" i="2" s="1"/>
  <c r="CU679" i="2" a="1"/>
  <c r="CU679" i="2" s="1"/>
  <c r="CU343" i="2" a="1"/>
  <c r="CU343" i="2" s="1"/>
  <c r="CT287" i="2" a="1"/>
  <c r="CT287" i="2" s="1"/>
  <c r="CU287" i="2" a="1"/>
  <c r="CU287" i="2" s="1"/>
  <c r="CU91" i="2" a="1"/>
  <c r="CU91" i="2" s="1"/>
  <c r="CU543" i="2" a="1"/>
  <c r="CU543" i="2" s="1"/>
  <c r="CU473" i="2" a="1"/>
  <c r="CU473" i="2" s="1"/>
  <c r="CU417" i="2" a="1"/>
  <c r="CU417" i="2" s="1"/>
  <c r="CU361" i="2" a="1"/>
  <c r="CU361" i="2" s="1"/>
  <c r="CT361" i="2" a="1"/>
  <c r="CT361" i="2" s="1"/>
  <c r="CU249" i="2" a="1"/>
  <c r="CU249" i="2" s="1"/>
  <c r="CT435" i="2" a="1"/>
  <c r="CT435" i="2" s="1"/>
  <c r="CU99" i="2" a="1"/>
  <c r="CU99" i="2" s="1"/>
  <c r="CU509" i="2" a="1"/>
  <c r="CU509" i="2" s="1"/>
  <c r="CU159" i="2" a="1"/>
  <c r="CU159" i="2" s="1"/>
  <c r="CU331" i="2" a="1"/>
  <c r="CU331" i="2" s="1"/>
  <c r="CT587" i="2" a="1"/>
  <c r="CT587" i="2" s="1"/>
  <c r="CU489" i="2" a="1"/>
  <c r="CU489" i="2" s="1"/>
  <c r="CU377" i="2" a="1"/>
  <c r="CU377" i="2" s="1"/>
  <c r="CU97" i="2" a="1"/>
  <c r="CU97" i="2" s="1"/>
  <c r="CT507" i="2" a="1"/>
  <c r="CT507" i="2" s="1"/>
  <c r="CU31" i="2" a="1"/>
  <c r="CU31" i="2" s="1"/>
  <c r="CU651" i="2" a="1"/>
  <c r="CU651" i="2" s="1"/>
  <c r="CU539" i="2" a="1"/>
  <c r="CU539" i="2" s="1"/>
  <c r="CT511" i="2" a="1"/>
  <c r="CT511" i="2" s="1"/>
  <c r="CT413" i="2" a="1"/>
  <c r="CT413" i="2" s="1"/>
  <c r="CU413" i="2" a="1"/>
  <c r="CU413" i="2" s="1"/>
  <c r="CU371" i="2" a="1"/>
  <c r="CU371" i="2" s="1"/>
  <c r="CT371" i="2" a="1"/>
  <c r="CT371" i="2" s="1"/>
  <c r="CU105" i="2" a="1"/>
  <c r="CU105" i="2" s="1"/>
  <c r="CT669" i="2" a="1"/>
  <c r="CT669" i="2" s="1"/>
  <c r="CU669" i="2" a="1"/>
  <c r="CU669" i="2" s="1"/>
  <c r="CU529" i="2" a="1"/>
  <c r="CU529" i="2" s="1"/>
  <c r="CT445" i="2" a="1"/>
  <c r="CT445" i="2" s="1"/>
  <c r="CU445" i="2" a="1"/>
  <c r="CU445" i="2" s="1"/>
  <c r="CT659" i="2" a="1"/>
  <c r="CT659" i="2" s="1"/>
  <c r="CU315" i="2" a="1"/>
  <c r="CU315" i="2" s="1"/>
  <c r="CU147" i="2" a="1"/>
  <c r="CU147" i="2" s="1"/>
  <c r="CU585" i="2" a="1"/>
  <c r="CU585" i="2" s="1"/>
  <c r="CU515" i="2" a="1"/>
  <c r="CU515" i="2" s="1"/>
  <c r="CU389" i="2" a="1"/>
  <c r="CU389" i="2" s="1"/>
  <c r="CU291" i="2" a="1"/>
  <c r="CU291" i="2" s="1"/>
  <c r="CU207" i="2" a="1"/>
  <c r="CU207" i="2" s="1"/>
  <c r="CU67" i="2" a="1"/>
  <c r="CU67" i="2" s="1"/>
  <c r="CU575" i="2" a="1"/>
  <c r="CU575" i="2" s="1"/>
  <c r="CU253" i="2" a="1"/>
  <c r="CU253" i="2" s="1"/>
  <c r="CT625" i="2" a="1"/>
  <c r="CT625" i="2" s="1"/>
  <c r="CU275" i="2" a="1"/>
  <c r="CU275" i="2" s="1"/>
  <c r="CU51" i="2" a="1"/>
  <c r="CU51" i="2" s="1"/>
  <c r="CU545" i="2" a="1"/>
  <c r="CU545" i="2" s="1"/>
  <c r="CU433" i="2" a="1"/>
  <c r="CU433" i="2" s="1"/>
  <c r="CU335" i="2" a="1"/>
  <c r="CU335" i="2" s="1"/>
  <c r="CU661" i="2" a="1"/>
  <c r="CU661" i="2" s="1"/>
  <c r="CT381" i="2" a="1"/>
  <c r="CT381" i="2" s="1"/>
  <c r="CU693" i="2" a="1"/>
  <c r="CU693" i="2" s="1"/>
  <c r="CT225" i="2" a="1"/>
  <c r="CT225" i="2" s="1"/>
  <c r="CT634" i="2" a="1"/>
  <c r="CT634" i="2" s="1"/>
  <c r="CU634" i="2" a="1"/>
  <c r="CU634" i="2" s="1"/>
  <c r="CT236" i="2" a="1"/>
  <c r="CT236" i="2" s="1"/>
  <c r="CU236" i="2" a="1"/>
  <c r="CU236" i="2" s="1"/>
  <c r="CT674" i="2" a="1"/>
  <c r="CT674" i="2" s="1"/>
  <c r="CU632" i="2" a="1"/>
  <c r="CU632" i="2" s="1"/>
  <c r="CT632" i="2" a="1"/>
  <c r="CT632" i="2" s="1"/>
  <c r="CT226" i="2" a="1"/>
  <c r="CT226" i="2" s="1"/>
  <c r="CT16" i="2" a="1"/>
  <c r="CT16" i="2" s="1"/>
  <c r="CT2" i="2" a="1"/>
  <c r="CT2" i="2" s="1"/>
  <c r="CU2" i="2" a="1"/>
  <c r="CU2" i="2" s="1"/>
  <c r="CS692" i="2" a="1"/>
  <c r="CS692" i="2" s="1"/>
  <c r="CT692" i="2" a="1"/>
  <c r="CT692" i="2" s="1"/>
  <c r="CS678" i="2" a="1"/>
  <c r="CS678" i="2" s="1"/>
  <c r="CU678" i="2" a="1"/>
  <c r="CU678" i="2" s="1"/>
  <c r="CS650" i="2" a="1"/>
  <c r="CS650" i="2" s="1"/>
  <c r="CT650" i="2" a="1"/>
  <c r="CT650" i="2" s="1"/>
  <c r="CU650" i="2" a="1"/>
  <c r="CU650" i="2" s="1"/>
  <c r="CT538" i="2" a="1"/>
  <c r="CT538" i="2" s="1"/>
  <c r="CT412" i="2" a="1"/>
  <c r="CT412" i="2" s="1"/>
  <c r="CS398" i="2" a="1"/>
  <c r="CS398" i="2" s="1"/>
  <c r="CT398" i="2" a="1"/>
  <c r="CT398" i="2" s="1"/>
  <c r="CU398" i="2" a="1"/>
  <c r="CU398" i="2" s="1"/>
  <c r="CS384" i="2" a="1"/>
  <c r="CS384" i="2" s="1"/>
  <c r="CT384" i="2" a="1"/>
  <c r="CT384" i="2" s="1"/>
  <c r="CU384" i="2" a="1"/>
  <c r="CU384" i="2" s="1"/>
  <c r="CT342" i="2" a="1"/>
  <c r="CT342" i="2" s="1"/>
  <c r="CU328" i="2" a="1"/>
  <c r="CU328" i="2" s="1"/>
  <c r="CT328" i="2" a="1"/>
  <c r="CT328" i="2" s="1"/>
  <c r="CT314" i="2" a="1"/>
  <c r="CT314" i="2" s="1"/>
  <c r="CS300" i="2" a="1"/>
  <c r="CS300" i="2" s="1"/>
  <c r="CT300" i="2" a="1"/>
  <c r="CT300" i="2" s="1"/>
  <c r="CU300" i="2" a="1"/>
  <c r="CU300" i="2" s="1"/>
  <c r="CS286" i="2" a="1"/>
  <c r="CS286" i="2" s="1"/>
  <c r="CT286" i="2" a="1"/>
  <c r="CT286" i="2" s="1"/>
  <c r="CS272" i="2" a="1"/>
  <c r="CS272" i="2" s="1"/>
  <c r="CT272" i="2" a="1"/>
  <c r="CT272" i="2" s="1"/>
  <c r="CU258" i="2" a="1"/>
  <c r="CU258" i="2" s="1"/>
  <c r="CT258" i="2" a="1"/>
  <c r="CT258" i="2" s="1"/>
  <c r="CS244" i="2" a="1"/>
  <c r="CS244" i="2" s="1"/>
  <c r="CT244" i="2" a="1"/>
  <c r="CT244" i="2" s="1"/>
  <c r="CU244" i="2" a="1"/>
  <c r="CU244" i="2" s="1"/>
  <c r="CS230" i="2" a="1"/>
  <c r="CS230" i="2" s="1"/>
  <c r="CT230" i="2" a="1"/>
  <c r="CT230" i="2" s="1"/>
  <c r="CU230" i="2" a="1"/>
  <c r="CU230" i="2" s="1"/>
  <c r="CT216" i="2" a="1"/>
  <c r="CT216" i="2" s="1"/>
  <c r="CT188" i="2" a="1"/>
  <c r="CT188" i="2" s="1"/>
  <c r="CU174" i="2" a="1"/>
  <c r="CU174" i="2" s="1"/>
  <c r="CT174" i="2" a="1"/>
  <c r="CT174" i="2" s="1"/>
  <c r="CU160" i="2" a="1"/>
  <c r="CU160" i="2" s="1"/>
  <c r="CT160" i="2" a="1"/>
  <c r="CT160" i="2" s="1"/>
  <c r="CT146" i="2" a="1"/>
  <c r="CT146" i="2" s="1"/>
  <c r="CU146" i="2" a="1"/>
  <c r="CU146" i="2" s="1"/>
  <c r="CS132" i="2" a="1"/>
  <c r="CS132" i="2" s="1"/>
  <c r="CT132" i="2" a="1"/>
  <c r="CT132" i="2" s="1"/>
  <c r="CU132" i="2" a="1"/>
  <c r="CU132" i="2" s="1"/>
  <c r="CS118" i="2" a="1"/>
  <c r="CS118" i="2" s="1"/>
  <c r="CT118" i="2" a="1"/>
  <c r="CT118" i="2" s="1"/>
  <c r="CS104" i="2" a="1"/>
  <c r="CS104" i="2" s="1"/>
  <c r="CT104" i="2" a="1"/>
  <c r="CT104" i="2" s="1"/>
  <c r="CU104" i="2" a="1"/>
  <c r="CU104" i="2" s="1"/>
  <c r="CT90" i="2" a="1"/>
  <c r="CT90" i="2" s="1"/>
  <c r="CU90" i="2" a="1"/>
  <c r="CU90" i="2" s="1"/>
  <c r="CT76" i="2" a="1"/>
  <c r="CT76" i="2" s="1"/>
  <c r="CU76" i="2" a="1"/>
  <c r="CU76" i="2" s="1"/>
  <c r="CT62" i="2" a="1"/>
  <c r="CT62" i="2" s="1"/>
  <c r="CS62" i="2" a="1"/>
  <c r="CS62" i="2" s="1"/>
  <c r="CU62" i="2" a="1"/>
  <c r="CU62" i="2" s="1"/>
  <c r="CS48" i="2" a="1"/>
  <c r="CS48" i="2" s="1"/>
  <c r="CT48" i="2" a="1"/>
  <c r="CT48" i="2" s="1"/>
  <c r="CT34" i="2" a="1"/>
  <c r="CT34" i="2" s="1"/>
  <c r="CU34" i="2" a="1"/>
  <c r="CU34" i="2" s="1"/>
  <c r="CT20" i="2" a="1"/>
  <c r="CT20" i="2" s="1"/>
  <c r="CS20" i="2" a="1"/>
  <c r="CS20" i="2" s="1"/>
  <c r="CU20" i="2" a="1"/>
  <c r="CU20" i="2" s="1"/>
  <c r="CS6" i="2" a="1"/>
  <c r="CS6" i="2" s="1"/>
  <c r="CT6" i="2" a="1"/>
  <c r="CT6" i="2" s="1"/>
  <c r="CU6" i="2" a="1"/>
  <c r="CU6" i="2" s="1"/>
  <c r="CS696" i="2" a="1"/>
  <c r="CS696" i="2" s="1"/>
  <c r="CS682" i="2" a="1"/>
  <c r="CS682" i="2" s="1"/>
  <c r="CT682" i="2" a="1"/>
  <c r="CT682" i="2" s="1"/>
  <c r="CU682" i="2" a="1"/>
  <c r="CU682" i="2" s="1"/>
  <c r="CS668" i="2" a="1"/>
  <c r="CS668" i="2" s="1"/>
  <c r="CS654" i="2" a="1"/>
  <c r="CS654" i="2" s="1"/>
  <c r="CT654" i="2" a="1"/>
  <c r="CT654" i="2" s="1"/>
  <c r="CU654" i="2" a="1"/>
  <c r="CU654" i="2" s="1"/>
  <c r="CT640" i="2" a="1"/>
  <c r="CT640" i="2" s="1"/>
  <c r="CS640" i="2" a="1"/>
  <c r="CS640" i="2" s="1"/>
  <c r="CU640" i="2" a="1"/>
  <c r="CU640" i="2" s="1"/>
  <c r="CS626" i="2" a="1"/>
  <c r="CS626" i="2" s="1"/>
  <c r="CU626" i="2" a="1"/>
  <c r="CU626" i="2" s="1"/>
  <c r="CT626" i="2" a="1"/>
  <c r="CT626" i="2" s="1"/>
  <c r="CT612" i="2" a="1"/>
  <c r="CT612" i="2" s="1"/>
  <c r="CS598" i="2" a="1"/>
  <c r="CS598" i="2" s="1"/>
  <c r="CU598" i="2" a="1"/>
  <c r="CU598" i="2" s="1"/>
  <c r="CT598" i="2" a="1"/>
  <c r="CT598" i="2" s="1"/>
  <c r="CS584" i="2" a="1"/>
  <c r="CS584" i="2" s="1"/>
  <c r="CT584" i="2" a="1"/>
  <c r="CT584" i="2" s="1"/>
  <c r="CU584" i="2" a="1"/>
  <c r="CU584" i="2" s="1"/>
  <c r="CS570" i="2" a="1"/>
  <c r="CS570" i="2" s="1"/>
  <c r="CU570" i="2" a="1"/>
  <c r="CU570" i="2" s="1"/>
  <c r="CT570" i="2" a="1"/>
  <c r="CT570" i="2" s="1"/>
  <c r="CS556" i="2" a="1"/>
  <c r="CS556" i="2" s="1"/>
  <c r="CU556" i="2" a="1"/>
  <c r="CU556" i="2" s="1"/>
  <c r="CT556" i="2" a="1"/>
  <c r="CT556" i="2" s="1"/>
  <c r="CS542" i="2" a="1"/>
  <c r="CS542" i="2" s="1"/>
  <c r="CU542" i="2" a="1"/>
  <c r="CU542" i="2" s="1"/>
  <c r="CT542" i="2" a="1"/>
  <c r="CT542" i="2" s="1"/>
  <c r="CU528" i="2" a="1"/>
  <c r="CU528" i="2" s="1"/>
  <c r="CS528" i="2" a="1"/>
  <c r="CS528" i="2" s="1"/>
  <c r="CT528" i="2" a="1"/>
  <c r="CT528" i="2" s="1"/>
  <c r="CT514" i="2" a="1"/>
  <c r="CT514" i="2" s="1"/>
  <c r="CU514" i="2" a="1"/>
  <c r="CU514" i="2" s="1"/>
  <c r="CS514" i="2" a="1"/>
  <c r="CS514" i="2" s="1"/>
  <c r="CU500" i="2" a="1"/>
  <c r="CU500" i="2" s="1"/>
  <c r="CT500" i="2" a="1"/>
  <c r="CT500" i="2" s="1"/>
  <c r="CU544" i="2" a="1"/>
  <c r="CU544" i="2" s="1"/>
  <c r="CU476" i="2" a="1"/>
  <c r="CU476" i="2" s="1"/>
  <c r="CU298" i="2" a="1"/>
  <c r="CU298" i="2" s="1"/>
  <c r="CT663" i="2" a="1"/>
  <c r="CT663" i="2" s="1"/>
  <c r="CS612" i="2" a="1"/>
  <c r="CS612" i="2" s="1"/>
  <c r="CS687" i="2" a="1"/>
  <c r="CS687" i="2" s="1"/>
  <c r="CS491" i="2" a="1"/>
  <c r="CS491" i="2" s="1"/>
  <c r="CT491" i="2" a="1"/>
  <c r="CT491" i="2" s="1"/>
  <c r="CU491" i="2" a="1"/>
  <c r="CU491" i="2" s="1"/>
  <c r="CT61" i="2" a="1"/>
  <c r="CT61" i="2" s="1"/>
  <c r="CU264" i="2" a="1"/>
  <c r="CU264" i="2" s="1"/>
  <c r="CS264" i="2" a="1"/>
  <c r="CS264" i="2" s="1"/>
  <c r="CU222" i="2" a="1"/>
  <c r="CU222" i="2" s="1"/>
  <c r="CS222" i="2" a="1"/>
  <c r="CS222" i="2" s="1"/>
  <c r="CT180" i="2" a="1"/>
  <c r="CT180" i="2" s="1"/>
  <c r="CU180" i="2" a="1"/>
  <c r="CU180" i="2" s="1"/>
  <c r="CT646" i="2" a="1"/>
  <c r="CT646" i="2" s="1"/>
  <c r="CT604" i="2" a="1"/>
  <c r="CT604" i="2" s="1"/>
  <c r="CU604" i="2" a="1"/>
  <c r="CU604" i="2" s="1"/>
  <c r="CT548" i="2" a="1"/>
  <c r="CT548" i="2" s="1"/>
  <c r="CU548" i="2" a="1"/>
  <c r="CU548" i="2" s="1"/>
  <c r="CU436" i="2" a="1"/>
  <c r="CU436" i="2" s="1"/>
  <c r="CS408" i="2" a="1"/>
  <c r="CS408" i="2" s="1"/>
  <c r="CU408" i="2" a="1"/>
  <c r="CU408" i="2" s="1"/>
  <c r="CT338" i="2" a="1"/>
  <c r="CT338" i="2" s="1"/>
  <c r="CU338" i="2" a="1"/>
  <c r="CU338" i="2" s="1"/>
  <c r="CT296" i="2" a="1"/>
  <c r="CT296" i="2" s="1"/>
  <c r="CU296" i="2" a="1"/>
  <c r="CU296" i="2" s="1"/>
  <c r="CT86" i="2" a="1"/>
  <c r="CT86" i="2" s="1"/>
  <c r="CT30" i="2" a="1"/>
  <c r="CT30" i="2" s="1"/>
  <c r="CU30" i="2" a="1"/>
  <c r="CU30" i="2" s="1"/>
  <c r="CS566" i="2" a="1"/>
  <c r="CS566" i="2" s="1"/>
  <c r="CS552" i="2" a="1"/>
  <c r="CS552" i="2" s="1"/>
  <c r="CT552" i="2" a="1"/>
  <c r="CT552" i="2" s="1"/>
  <c r="CU552" i="2" a="1"/>
  <c r="CU552" i="2" s="1"/>
  <c r="CT524" i="2" a="1"/>
  <c r="CT524" i="2" s="1"/>
  <c r="CT510" i="2" a="1"/>
  <c r="CT510" i="2" s="1"/>
  <c r="CU510" i="2" a="1"/>
  <c r="CU510" i="2" s="1"/>
  <c r="CS496" i="2" a="1"/>
  <c r="CS496" i="2" s="1"/>
  <c r="CT496" i="2" a="1"/>
  <c r="CT496" i="2" s="1"/>
  <c r="CU496" i="2" a="1"/>
  <c r="CU496" i="2" s="1"/>
  <c r="CS482" i="2" a="1"/>
  <c r="CS482" i="2" s="1"/>
  <c r="CT482" i="2" a="1"/>
  <c r="CT482" i="2" s="1"/>
  <c r="CT468" i="2" a="1"/>
  <c r="CT468" i="2" s="1"/>
  <c r="CS468" i="2" a="1"/>
  <c r="CS468" i="2" s="1"/>
  <c r="CS454" i="2" a="1"/>
  <c r="CS454" i="2" s="1"/>
  <c r="CT454" i="2" a="1"/>
  <c r="CT454" i="2" s="1"/>
  <c r="CU454" i="2" a="1"/>
  <c r="CU454" i="2" s="1"/>
  <c r="CT440" i="2" a="1"/>
  <c r="CT440" i="2" s="1"/>
  <c r="CU440" i="2" a="1"/>
  <c r="CU440" i="2" s="1"/>
  <c r="CU426" i="2" a="1"/>
  <c r="CU426" i="2" s="1"/>
  <c r="CT426" i="2" a="1"/>
  <c r="CT426" i="2" s="1"/>
  <c r="CT202" i="2" a="1"/>
  <c r="CT202" i="2" s="1"/>
  <c r="CU202" i="2" a="1"/>
  <c r="CU202" i="2" s="1"/>
  <c r="CU606" i="2" a="1"/>
  <c r="CU606" i="2" s="1"/>
  <c r="CU540" i="2" a="1"/>
  <c r="CU540" i="2" s="1"/>
  <c r="CU456" i="2" a="1"/>
  <c r="CU456" i="2" s="1"/>
  <c r="CU434" i="2" a="1"/>
  <c r="CU434" i="2" s="1"/>
  <c r="CU314" i="2" a="1"/>
  <c r="CU314" i="2" s="1"/>
  <c r="CU124" i="2" a="1"/>
  <c r="CU124" i="2" s="1"/>
  <c r="CT700" i="2" a="1"/>
  <c r="CT700" i="2" s="1"/>
  <c r="CU123" i="2" a="1"/>
  <c r="CU123" i="2" s="1"/>
  <c r="CS645" i="2" a="1"/>
  <c r="CS645" i="2" s="1"/>
  <c r="CT645" i="2" a="1"/>
  <c r="CT645" i="2" s="1"/>
  <c r="CS663" i="2" a="1"/>
  <c r="CS663" i="2" s="1"/>
  <c r="CS551" i="2" a="1"/>
  <c r="CS551" i="2" s="1"/>
  <c r="CU551" i="2" a="1"/>
  <c r="CU551" i="2" s="1"/>
  <c r="CT551" i="2" a="1"/>
  <c r="CT551" i="2" s="1"/>
  <c r="CS369" i="2" a="1"/>
  <c r="CS369" i="2" s="1"/>
  <c r="CT369" i="2" a="1"/>
  <c r="CT369" i="2" s="1"/>
  <c r="CU369" i="2" a="1"/>
  <c r="CU369" i="2" s="1"/>
  <c r="CS5" i="2" a="1"/>
  <c r="CS5" i="2" s="1"/>
  <c r="CU5" i="2" a="1"/>
  <c r="CU5" i="2" s="1"/>
  <c r="CT5" i="2" a="1"/>
  <c r="CT5" i="2" s="1"/>
  <c r="CT660" i="2" a="1"/>
  <c r="CT660" i="2" s="1"/>
  <c r="CT562" i="2" a="1"/>
  <c r="CT562" i="2" s="1"/>
  <c r="CU562" i="2" a="1"/>
  <c r="CU562" i="2" s="1"/>
  <c r="CU394" i="2" a="1"/>
  <c r="CU394" i="2" s="1"/>
  <c r="CT156" i="2" a="1"/>
  <c r="CT156" i="2" s="1"/>
  <c r="CT128" i="2" a="1"/>
  <c r="CT128" i="2" s="1"/>
  <c r="CU128" i="2" a="1"/>
  <c r="CU128" i="2" s="1"/>
  <c r="CT100" i="2" a="1"/>
  <c r="CT100" i="2" s="1"/>
  <c r="CU100" i="2" a="1"/>
  <c r="CU100" i="2" s="1"/>
  <c r="CT44" i="2" a="1"/>
  <c r="CT44" i="2" s="1"/>
  <c r="CU44" i="2" a="1"/>
  <c r="CU44" i="2" s="1"/>
  <c r="CS370" i="2" a="1"/>
  <c r="CS370" i="2" s="1"/>
  <c r="CT370" i="2" a="1"/>
  <c r="CT370" i="2" s="1"/>
  <c r="CU692" i="2" a="1"/>
  <c r="CU692" i="2" s="1"/>
  <c r="CU188" i="2" a="1"/>
  <c r="CU188" i="2" s="1"/>
  <c r="CU156" i="2" a="1"/>
  <c r="CU156" i="2" s="1"/>
  <c r="CT662" i="2" a="1"/>
  <c r="CT662" i="2" s="1"/>
  <c r="CT624" i="2" a="1"/>
  <c r="CT624" i="2" s="1"/>
  <c r="CT546" i="2" a="1"/>
  <c r="CT546" i="2" s="1"/>
  <c r="CT204" i="2" a="1"/>
  <c r="CT204" i="2" s="1"/>
  <c r="CU193" i="2" a="1"/>
  <c r="CU193" i="2" s="1"/>
  <c r="CT323" i="2" a="1"/>
  <c r="CT323" i="2" s="1"/>
  <c r="CT281" i="2" a="1"/>
  <c r="CT281" i="2" s="1"/>
  <c r="CU281" i="2" a="1"/>
  <c r="CU281" i="2" s="1"/>
  <c r="CS197" i="2" a="1"/>
  <c r="CS197" i="2" s="1"/>
  <c r="CT197" i="2" a="1"/>
  <c r="CT197" i="2" s="1"/>
  <c r="CU197" i="2" a="1"/>
  <c r="CU197" i="2" s="1"/>
  <c r="CT155" i="2" a="1"/>
  <c r="CT155" i="2" s="1"/>
  <c r="CS155" i="2" a="1"/>
  <c r="CS155" i="2" s="1"/>
  <c r="CT113" i="2" a="1"/>
  <c r="CT113" i="2" s="1"/>
  <c r="CU113" i="2" a="1"/>
  <c r="CU113" i="2" s="1"/>
  <c r="CT71" i="2" a="1"/>
  <c r="CT71" i="2" s="1"/>
  <c r="CU71" i="2" a="1"/>
  <c r="CU71" i="2" s="1"/>
  <c r="CT15" i="2" a="1"/>
  <c r="CT15" i="2" s="1"/>
  <c r="CU15" i="2" a="1"/>
  <c r="CU15" i="2" s="1"/>
  <c r="CS677" i="2" a="1"/>
  <c r="CS677" i="2" s="1"/>
  <c r="CT677" i="2" a="1"/>
  <c r="CT677" i="2" s="1"/>
  <c r="CS607" i="2" a="1"/>
  <c r="CS607" i="2" s="1"/>
  <c r="CU607" i="2" a="1"/>
  <c r="CU607" i="2" s="1"/>
  <c r="CT607" i="2" a="1"/>
  <c r="CT607" i="2" s="1"/>
  <c r="CT425" i="2" a="1"/>
  <c r="CT425" i="2" s="1"/>
  <c r="CU425" i="2" a="1"/>
  <c r="CU425" i="2" s="1"/>
  <c r="CS695" i="2" a="1"/>
  <c r="CS695" i="2" s="1"/>
  <c r="CT695" i="2" a="1"/>
  <c r="CT695" i="2" s="1"/>
  <c r="CU418" i="2" a="1"/>
  <c r="CU418" i="2" s="1"/>
  <c r="CT418" i="2" a="1"/>
  <c r="CT418" i="2" s="1"/>
  <c r="CT362" i="2" a="1"/>
  <c r="CT362" i="2" s="1"/>
  <c r="CU362" i="2" a="1"/>
  <c r="CU362" i="2" s="1"/>
  <c r="CS96" i="2" a="1"/>
  <c r="CS96" i="2" s="1"/>
  <c r="CU96" i="2" a="1"/>
  <c r="CU96" i="2" s="1"/>
  <c r="CT506" i="2" a="1"/>
  <c r="CT506" i="2" s="1"/>
  <c r="CT464" i="2" a="1"/>
  <c r="CT464" i="2" s="1"/>
  <c r="CU464" i="2" a="1"/>
  <c r="CU464" i="2" s="1"/>
  <c r="CT198" i="2" a="1"/>
  <c r="CT198" i="2" s="1"/>
  <c r="CT184" i="2" a="1"/>
  <c r="CT184" i="2" s="1"/>
  <c r="CU184" i="2" a="1"/>
  <c r="CU184" i="2" s="1"/>
  <c r="CS170" i="2" a="1"/>
  <c r="CS170" i="2" s="1"/>
  <c r="CT170" i="2" a="1"/>
  <c r="CT170" i="2" s="1"/>
  <c r="CU170" i="2" a="1"/>
  <c r="CU170" i="2" s="1"/>
  <c r="CS142" i="2" a="1"/>
  <c r="CS142" i="2" s="1"/>
  <c r="CU142" i="2" a="1"/>
  <c r="CU142" i="2" s="1"/>
  <c r="CT142" i="2" a="1"/>
  <c r="CT142" i="2" s="1"/>
  <c r="CS114" i="2" a="1"/>
  <c r="CS114" i="2" s="1"/>
  <c r="CT114" i="2" a="1"/>
  <c r="CT114" i="2" s="1"/>
  <c r="CT58" i="2" a="1"/>
  <c r="CT58" i="2" s="1"/>
  <c r="CU58" i="2" a="1"/>
  <c r="CU58" i="2" s="1"/>
  <c r="CS356" i="2" a="1"/>
  <c r="CS356" i="2" s="1"/>
  <c r="CT356" i="2" a="1"/>
  <c r="CT356" i="2" s="1"/>
  <c r="CU356" i="2" a="1"/>
  <c r="CU356" i="2" s="1"/>
  <c r="CU677" i="2" a="1"/>
  <c r="CU677" i="2" s="1"/>
  <c r="CU524" i="2" a="1"/>
  <c r="CU524" i="2" s="1"/>
  <c r="CU538" i="2" a="1"/>
  <c r="CU538" i="2" s="1"/>
  <c r="CU506" i="2" a="1"/>
  <c r="CU506" i="2" s="1"/>
  <c r="CU412" i="2" a="1"/>
  <c r="CU412" i="2" s="1"/>
  <c r="CU370" i="2" a="1"/>
  <c r="CU370" i="2" s="1"/>
  <c r="CU155" i="2" a="1"/>
  <c r="CU155" i="2" s="1"/>
  <c r="CT582" i="2" a="1"/>
  <c r="CT582" i="2" s="1"/>
  <c r="CT545" i="2" a="1"/>
  <c r="CT545" i="2" s="1"/>
  <c r="CT379" i="2" a="1"/>
  <c r="CT379" i="2" s="1"/>
  <c r="CU235" i="2" a="1"/>
  <c r="CU235" i="2" s="1"/>
  <c r="CU39" i="2" a="1"/>
  <c r="CU39" i="2" s="1"/>
  <c r="CS589" i="2" a="1"/>
  <c r="CS589" i="2" s="1"/>
  <c r="CU589" i="2" a="1"/>
  <c r="CU589" i="2" s="1"/>
  <c r="CT411" i="2" a="1"/>
  <c r="CT411" i="2" s="1"/>
  <c r="CT47" i="2" a="1"/>
  <c r="CT47" i="2" s="1"/>
  <c r="CU47" i="2" a="1"/>
  <c r="CU47" i="2" s="1"/>
  <c r="CS47" i="2" a="1"/>
  <c r="CS47" i="2" s="1"/>
  <c r="CT372" i="2" a="1"/>
  <c r="CT372" i="2" s="1"/>
  <c r="CU372" i="2" a="1"/>
  <c r="CU372" i="2" s="1"/>
  <c r="CT358" i="2" a="1"/>
  <c r="CT358" i="2" s="1"/>
  <c r="CU358" i="2" a="1"/>
  <c r="CU358" i="2" s="1"/>
  <c r="CT72" i="2" a="1"/>
  <c r="CT72" i="2" s="1"/>
  <c r="CT347" i="2" a="1"/>
  <c r="CT347" i="2" s="1"/>
  <c r="CU347" i="2" a="1"/>
  <c r="CU347" i="2" s="1"/>
  <c r="CS659" i="2" a="1"/>
  <c r="CS659" i="2" s="1"/>
  <c r="CT631" i="2" a="1"/>
  <c r="CT631" i="2" s="1"/>
  <c r="CS631" i="2" a="1"/>
  <c r="CS631" i="2" s="1"/>
  <c r="CU631" i="2" a="1"/>
  <c r="CU631" i="2" s="1"/>
  <c r="CS617" i="2" a="1"/>
  <c r="CS617" i="2" s="1"/>
  <c r="CT617" i="2" a="1"/>
  <c r="CT617" i="2" s="1"/>
  <c r="CS603" i="2" a="1"/>
  <c r="CS603" i="2" s="1"/>
  <c r="CT603" i="2" a="1"/>
  <c r="CT603" i="2" s="1"/>
  <c r="CS533" i="2" a="1"/>
  <c r="CS533" i="2" s="1"/>
  <c r="CU533" i="2" a="1"/>
  <c r="CU533" i="2" s="1"/>
  <c r="CS565" i="2" a="1"/>
  <c r="CS565" i="2" s="1"/>
  <c r="CT537" i="2" a="1"/>
  <c r="CT537" i="2" s="1"/>
  <c r="CS537" i="2" a="1"/>
  <c r="CS537" i="2" s="1"/>
  <c r="CT523" i="2" a="1"/>
  <c r="CT523" i="2" s="1"/>
  <c r="CU523" i="2" a="1"/>
  <c r="CU523" i="2" s="1"/>
  <c r="CS453" i="2" a="1"/>
  <c r="CS453" i="2" s="1"/>
  <c r="CT453" i="2" a="1"/>
  <c r="CT453" i="2" s="1"/>
  <c r="CU453" i="2" a="1"/>
  <c r="CU453" i="2" s="1"/>
  <c r="CT439" i="2" a="1"/>
  <c r="CT439" i="2" s="1"/>
  <c r="CS439" i="2" a="1"/>
  <c r="CS439" i="2" s="1"/>
  <c r="CS383" i="2" a="1"/>
  <c r="CS383" i="2" s="1"/>
  <c r="CT383" i="2" a="1"/>
  <c r="CT383" i="2" s="1"/>
  <c r="CU383" i="2" a="1"/>
  <c r="CU383" i="2" s="1"/>
  <c r="CS341" i="2" a="1"/>
  <c r="CS341" i="2" s="1"/>
  <c r="CT341" i="2" a="1"/>
  <c r="CT341" i="2" s="1"/>
  <c r="CT313" i="2" a="1"/>
  <c r="CT313" i="2" s="1"/>
  <c r="CU313" i="2" a="1"/>
  <c r="CU313" i="2" s="1"/>
  <c r="CT173" i="2" a="1"/>
  <c r="CT173" i="2" s="1"/>
  <c r="CT145" i="2" a="1"/>
  <c r="CT145" i="2" s="1"/>
  <c r="CU145" i="2" a="1"/>
  <c r="CU145" i="2" s="1"/>
  <c r="CS527" i="2" a="1"/>
  <c r="CS527" i="2" s="1"/>
  <c r="CS485" i="2" a="1"/>
  <c r="CS485" i="2" s="1"/>
  <c r="CU485" i="2" a="1"/>
  <c r="CU485" i="2" s="1"/>
  <c r="CT429" i="2" a="1"/>
  <c r="CT429" i="2" s="1"/>
  <c r="CS429" i="2" a="1"/>
  <c r="CS429" i="2" s="1"/>
  <c r="CU429" i="2" a="1"/>
  <c r="CU429" i="2" s="1"/>
  <c r="CS387" i="2" a="1"/>
  <c r="CS387" i="2" s="1"/>
  <c r="CT387" i="2" a="1"/>
  <c r="CT387" i="2" s="1"/>
  <c r="CS345" i="2" a="1"/>
  <c r="CS345" i="2" s="1"/>
  <c r="CT345" i="2" a="1"/>
  <c r="CT345" i="2" s="1"/>
  <c r="CS289" i="2" a="1"/>
  <c r="CS289" i="2" s="1"/>
  <c r="CT289" i="2" a="1"/>
  <c r="CT289" i="2" s="1"/>
  <c r="CU289" i="2" a="1"/>
  <c r="CU289" i="2" s="1"/>
  <c r="CS247" i="2" a="1"/>
  <c r="CS247" i="2" s="1"/>
  <c r="CT247" i="2" a="1"/>
  <c r="CT247" i="2" s="1"/>
  <c r="CU247" i="2" a="1"/>
  <c r="CU247" i="2" s="1"/>
  <c r="CS205" i="2" a="1"/>
  <c r="CS205" i="2" s="1"/>
  <c r="CT205" i="2" a="1"/>
  <c r="CT205" i="2" s="1"/>
  <c r="CU205" i="2" a="1"/>
  <c r="CU205" i="2" s="1"/>
  <c r="CS163" i="2" a="1"/>
  <c r="CS163" i="2" s="1"/>
  <c r="CT163" i="2" a="1"/>
  <c r="CT163" i="2" s="1"/>
  <c r="CU163" i="2" a="1"/>
  <c r="CU163" i="2" s="1"/>
  <c r="CS135" i="2" a="1"/>
  <c r="CS135" i="2" s="1"/>
  <c r="CT135" i="2" a="1"/>
  <c r="CT135" i="2" s="1"/>
  <c r="CU135" i="2" a="1"/>
  <c r="CU135" i="2" s="1"/>
  <c r="CS107" i="2" a="1"/>
  <c r="CS107" i="2" s="1"/>
  <c r="CT107" i="2" a="1"/>
  <c r="CT107" i="2" s="1"/>
  <c r="CS65" i="2" a="1"/>
  <c r="CS65" i="2" s="1"/>
  <c r="CT65" i="2" a="1"/>
  <c r="CT65" i="2" s="1"/>
  <c r="CS37" i="2" a="1"/>
  <c r="CS37" i="2" s="1"/>
  <c r="CT37" i="2" a="1"/>
  <c r="CT37" i="2" s="1"/>
  <c r="CS9" i="2" a="1"/>
  <c r="CS9" i="2" s="1"/>
  <c r="CT9" i="2" a="1"/>
  <c r="CT9" i="2" s="1"/>
  <c r="CU9" i="2" a="1"/>
  <c r="CU9" i="2" s="1"/>
  <c r="CS699" i="2" a="1"/>
  <c r="CS699" i="2" s="1"/>
  <c r="CT699" i="2" a="1"/>
  <c r="CT699" i="2" s="1"/>
  <c r="CU699" i="2" a="1"/>
  <c r="CU699" i="2" s="1"/>
  <c r="CT685" i="2" a="1"/>
  <c r="CT685" i="2" s="1"/>
  <c r="CS685" i="2" a="1"/>
  <c r="CS685" i="2" s="1"/>
  <c r="CS671" i="2" a="1"/>
  <c r="CS671" i="2" s="1"/>
  <c r="CT671" i="2" a="1"/>
  <c r="CT671" i="2" s="1"/>
  <c r="CS657" i="2" a="1"/>
  <c r="CS657" i="2" s="1"/>
  <c r="CT657" i="2" a="1"/>
  <c r="CT657" i="2" s="1"/>
  <c r="CU657" i="2" a="1"/>
  <c r="CU657" i="2" s="1"/>
  <c r="CS587" i="2" a="1"/>
  <c r="CS587" i="2" s="1"/>
  <c r="CS573" i="2" a="1"/>
  <c r="CS573" i="2" s="1"/>
  <c r="CU573" i="2" a="1"/>
  <c r="CU573" i="2" s="1"/>
  <c r="CS559" i="2" a="1"/>
  <c r="CS559" i="2" s="1"/>
  <c r="CT559" i="2" a="1"/>
  <c r="CT559" i="2" s="1"/>
  <c r="CU531" i="2" a="1"/>
  <c r="CU531" i="2" s="1"/>
  <c r="CT531" i="2" a="1"/>
  <c r="CT531" i="2" s="1"/>
  <c r="CS503" i="2" a="1"/>
  <c r="CS503" i="2" s="1"/>
  <c r="CU503" i="2" a="1"/>
  <c r="CU503" i="2" s="1"/>
  <c r="CT503" i="2" a="1"/>
  <c r="CT503" i="2" s="1"/>
  <c r="CS447" i="2" a="1"/>
  <c r="CS447" i="2" s="1"/>
  <c r="CT447" i="2" a="1"/>
  <c r="CT447" i="2" s="1"/>
  <c r="CS419" i="2" a="1"/>
  <c r="CS419" i="2" s="1"/>
  <c r="CT419" i="2" a="1"/>
  <c r="CT419" i="2" s="1"/>
  <c r="CU419" i="2" a="1"/>
  <c r="CU419" i="2" s="1"/>
  <c r="CS377" i="2" a="1"/>
  <c r="CS377" i="2" s="1"/>
  <c r="CT377" i="2" a="1"/>
  <c r="CT377" i="2" s="1"/>
  <c r="CS349" i="2" a="1"/>
  <c r="CS349" i="2" s="1"/>
  <c r="CT349" i="2" a="1"/>
  <c r="CT349" i="2" s="1"/>
  <c r="CU349" i="2" a="1"/>
  <c r="CU349" i="2" s="1"/>
  <c r="CS307" i="2" a="1"/>
  <c r="CS307" i="2" s="1"/>
  <c r="CT307" i="2" a="1"/>
  <c r="CT307" i="2" s="1"/>
  <c r="CU307" i="2" a="1"/>
  <c r="CU307" i="2" s="1"/>
  <c r="CS265" i="2" a="1"/>
  <c r="CS265" i="2" s="1"/>
  <c r="CT265" i="2" a="1"/>
  <c r="CT265" i="2" s="1"/>
  <c r="CS223" i="2" a="1"/>
  <c r="CS223" i="2" s="1"/>
  <c r="CT223" i="2" a="1"/>
  <c r="CT223" i="2" s="1"/>
  <c r="CU223" i="2" a="1"/>
  <c r="CU223" i="2" s="1"/>
  <c r="CS181" i="2" a="1"/>
  <c r="CS181" i="2" s="1"/>
  <c r="CT181" i="2" a="1"/>
  <c r="CT181" i="2" s="1"/>
  <c r="CU181" i="2" a="1"/>
  <c r="CU181" i="2" s="1"/>
  <c r="CS153" i="2" a="1"/>
  <c r="CS153" i="2" s="1"/>
  <c r="CT153" i="2" a="1"/>
  <c r="CT153" i="2" s="1"/>
  <c r="CS97" i="2" a="1"/>
  <c r="CS97" i="2" s="1"/>
  <c r="CT97" i="2" a="1"/>
  <c r="CT97" i="2" s="1"/>
  <c r="CS55" i="2" a="1"/>
  <c r="CS55" i="2" s="1"/>
  <c r="CT55" i="2" a="1"/>
  <c r="CT55" i="2" s="1"/>
  <c r="CU55" i="2" a="1"/>
  <c r="CU55" i="2" s="1"/>
  <c r="CS13" i="2" a="1"/>
  <c r="CS13" i="2" s="1"/>
  <c r="CU13" i="2" a="1"/>
  <c r="CU13" i="2" s="1"/>
  <c r="CT13" i="2" a="1"/>
  <c r="CT13" i="2" s="1"/>
  <c r="CS689" i="2" a="1"/>
  <c r="CS689" i="2" s="1"/>
  <c r="CT689" i="2" a="1"/>
  <c r="CT689" i="2" s="1"/>
  <c r="CU689" i="2" a="1"/>
  <c r="CU689" i="2" s="1"/>
  <c r="CS619" i="2" a="1"/>
  <c r="CS619" i="2" s="1"/>
  <c r="CT619" i="2" a="1"/>
  <c r="CT619" i="2" s="1"/>
  <c r="CS591" i="2" a="1"/>
  <c r="CS591" i="2" s="1"/>
  <c r="CU591" i="2" a="1"/>
  <c r="CU591" i="2" s="1"/>
  <c r="CT591" i="2" a="1"/>
  <c r="CT591" i="2" s="1"/>
  <c r="CS549" i="2" a="1"/>
  <c r="CS549" i="2" s="1"/>
  <c r="CT549" i="2" a="1"/>
  <c r="CT549" i="2" s="1"/>
  <c r="CU549" i="2" a="1"/>
  <c r="CU549" i="2" s="1"/>
  <c r="CS493" i="2" a="1"/>
  <c r="CS493" i="2" s="1"/>
  <c r="CU493" i="2" a="1"/>
  <c r="CU493" i="2" s="1"/>
  <c r="CT493" i="2" a="1"/>
  <c r="CT493" i="2" s="1"/>
  <c r="CS437" i="2" a="1"/>
  <c r="CS437" i="2" s="1"/>
  <c r="CT437" i="2" a="1"/>
  <c r="CT437" i="2" s="1"/>
  <c r="CU437" i="2" a="1"/>
  <c r="CU437" i="2" s="1"/>
  <c r="CT395" i="2" a="1"/>
  <c r="CT395" i="2" s="1"/>
  <c r="CU395" i="2" a="1"/>
  <c r="CU395" i="2" s="1"/>
  <c r="CS353" i="2" a="1"/>
  <c r="CS353" i="2" s="1"/>
  <c r="CT353" i="2" a="1"/>
  <c r="CT353" i="2" s="1"/>
  <c r="CU353" i="2" a="1"/>
  <c r="CU353" i="2" s="1"/>
  <c r="CS297" i="2" a="1"/>
  <c r="CS297" i="2" s="1"/>
  <c r="CU297" i="2" a="1"/>
  <c r="CU297" i="2" s="1"/>
  <c r="CT297" i="2" a="1"/>
  <c r="CT297" i="2" s="1"/>
  <c r="CS269" i="2" a="1"/>
  <c r="CS269" i="2" s="1"/>
  <c r="CT269" i="2" a="1"/>
  <c r="CT269" i="2" s="1"/>
  <c r="CU269" i="2" a="1"/>
  <c r="CU269" i="2" s="1"/>
  <c r="CS213" i="2" a="1"/>
  <c r="CS213" i="2" s="1"/>
  <c r="CT213" i="2" a="1"/>
  <c r="CT213" i="2" s="1"/>
  <c r="CU213" i="2" a="1"/>
  <c r="CU213" i="2" s="1"/>
  <c r="CS171" i="2" a="1"/>
  <c r="CS171" i="2" s="1"/>
  <c r="CT171" i="2" a="1"/>
  <c r="CT171" i="2" s="1"/>
  <c r="CS143" i="2" a="1"/>
  <c r="CS143" i="2" s="1"/>
  <c r="CT143" i="2" a="1"/>
  <c r="CT143" i="2" s="1"/>
  <c r="CS115" i="2" a="1"/>
  <c r="CS115" i="2" s="1"/>
  <c r="CT115" i="2" a="1"/>
  <c r="CT115" i="2" s="1"/>
  <c r="CU115" i="2" a="1"/>
  <c r="CU115" i="2" s="1"/>
  <c r="CS73" i="2" a="1"/>
  <c r="CS73" i="2" s="1"/>
  <c r="CT73" i="2" a="1"/>
  <c r="CT73" i="2" s="1"/>
  <c r="CS45" i="2" a="1"/>
  <c r="CS45" i="2" s="1"/>
  <c r="CT45" i="2" a="1"/>
  <c r="CT45" i="2" s="1"/>
  <c r="CS3" i="2" a="1"/>
  <c r="CS3" i="2" s="1"/>
  <c r="CT3" i="2" a="1"/>
  <c r="CT3" i="2" s="1"/>
  <c r="CU3" i="2" a="1"/>
  <c r="CU3" i="2" s="1"/>
  <c r="CS553" i="2" a="1"/>
  <c r="CS553" i="2" s="1"/>
  <c r="CS539" i="2" a="1"/>
  <c r="CS539" i="2" s="1"/>
  <c r="CT539" i="2" a="1"/>
  <c r="CT539" i="2" s="1"/>
  <c r="CS525" i="2" a="1"/>
  <c r="CS525" i="2" s="1"/>
  <c r="CU525" i="2" a="1"/>
  <c r="CU525" i="2" s="1"/>
  <c r="CS497" i="2" a="1"/>
  <c r="CS497" i="2" s="1"/>
  <c r="CT497" i="2" a="1"/>
  <c r="CT497" i="2" s="1"/>
  <c r="CT576" i="2" a="1"/>
  <c r="CT576" i="2" s="1"/>
  <c r="CT534" i="2" a="1"/>
  <c r="CT534" i="2" s="1"/>
  <c r="CU534" i="2" a="1"/>
  <c r="CU534" i="2" s="1"/>
  <c r="CU450" i="2" a="1"/>
  <c r="CU450" i="2" s="1"/>
  <c r="CT380" i="2" a="1"/>
  <c r="CT380" i="2" s="1"/>
  <c r="CU380" i="2" a="1"/>
  <c r="CU380" i="2" s="1"/>
  <c r="CU352" i="2" a="1"/>
  <c r="CU352" i="2" s="1"/>
  <c r="CT352" i="2" a="1"/>
  <c r="CT352" i="2" s="1"/>
  <c r="CU310" i="2" a="1"/>
  <c r="CU310" i="2" s="1"/>
  <c r="CT310" i="2" a="1"/>
  <c r="CT310" i="2" s="1"/>
  <c r="CT282" i="2" a="1"/>
  <c r="CT282" i="2" s="1"/>
  <c r="CU282" i="2" a="1"/>
  <c r="CU282" i="2" s="1"/>
  <c r="CT664" i="2" a="1"/>
  <c r="CT664" i="2" s="1"/>
  <c r="CS664" i="2" a="1"/>
  <c r="CS664" i="2" s="1"/>
  <c r="CU664" i="2" a="1"/>
  <c r="CU664" i="2" s="1"/>
  <c r="CU587" i="2" a="1"/>
  <c r="CU587" i="2" s="1"/>
  <c r="CU61" i="2" a="1"/>
  <c r="CU61" i="2" s="1"/>
  <c r="CU645" i="2" a="1"/>
  <c r="CU645" i="2" s="1"/>
  <c r="CU618" i="2" a="1"/>
  <c r="CU618" i="2" s="1"/>
  <c r="CU537" i="2" a="1"/>
  <c r="CU537" i="2" s="1"/>
  <c r="CU502" i="2" a="1"/>
  <c r="CU502" i="2" s="1"/>
  <c r="CU428" i="2" a="1"/>
  <c r="CU428" i="2" s="1"/>
  <c r="CU226" i="2" a="1"/>
  <c r="CU226" i="2" s="1"/>
  <c r="CT533" i="2" a="1"/>
  <c r="CT533" i="2" s="1"/>
  <c r="CT686" i="2" a="1"/>
  <c r="CT686" i="2" s="1"/>
  <c r="CU448" i="2" a="1"/>
  <c r="CU448" i="2" s="1"/>
  <c r="CU687" i="2" a="1"/>
  <c r="CU687" i="2" s="1"/>
  <c r="CU674" i="2" a="1"/>
  <c r="CU674" i="2" s="1"/>
  <c r="CU644" i="2" a="1"/>
  <c r="CU644" i="2" s="1"/>
  <c r="CU617" i="2" a="1"/>
  <c r="CU617" i="2" s="1"/>
  <c r="CU568" i="2" a="1"/>
  <c r="CU568" i="2" s="1"/>
  <c r="CU553" i="2" a="1"/>
  <c r="CU553" i="2" s="1"/>
  <c r="CU447" i="2" a="1"/>
  <c r="CU447" i="2" s="1"/>
  <c r="CU348" i="2" a="1"/>
  <c r="CU348" i="2" s="1"/>
  <c r="CU118" i="2" a="1"/>
  <c r="CU118" i="2" s="1"/>
  <c r="CU86" i="2" a="1"/>
  <c r="CU86" i="2" s="1"/>
  <c r="CT687" i="2" a="1"/>
  <c r="CT687" i="2" s="1"/>
  <c r="CT350" i="2" a="1"/>
  <c r="CT350" i="2" s="1"/>
  <c r="CU165" i="2" a="1"/>
  <c r="CU165" i="2" s="1"/>
  <c r="CT519" i="2" a="1"/>
  <c r="CT519" i="2" s="1"/>
  <c r="CT477" i="2" a="1"/>
  <c r="CT477" i="2" s="1"/>
  <c r="CU477" i="2" a="1"/>
  <c r="CU477" i="2" s="1"/>
  <c r="CS435" i="2" a="1"/>
  <c r="CS435" i="2" s="1"/>
  <c r="CU435" i="2" a="1"/>
  <c r="CU435" i="2" s="1"/>
  <c r="CU407" i="2" a="1"/>
  <c r="CU407" i="2" s="1"/>
  <c r="CT407" i="2" a="1"/>
  <c r="CT407" i="2" s="1"/>
  <c r="CT351" i="2" a="1"/>
  <c r="CT351" i="2" s="1"/>
  <c r="CU351" i="2" a="1"/>
  <c r="CU351" i="2" s="1"/>
  <c r="CT309" i="2" a="1"/>
  <c r="CT309" i="2" s="1"/>
  <c r="CU309" i="2" a="1"/>
  <c r="CU309" i="2" s="1"/>
  <c r="CT267" i="2" a="1"/>
  <c r="CT267" i="2" s="1"/>
  <c r="CU267" i="2" a="1"/>
  <c r="CU267" i="2" s="1"/>
  <c r="CU211" i="2" a="1"/>
  <c r="CU211" i="2" s="1"/>
  <c r="CT211" i="2" a="1"/>
  <c r="CT211" i="2" s="1"/>
  <c r="CT169" i="2" a="1"/>
  <c r="CT169" i="2" s="1"/>
  <c r="CU169" i="2" a="1"/>
  <c r="CU169" i="2" s="1"/>
  <c r="CT127" i="2" a="1"/>
  <c r="CT127" i="2" s="1"/>
  <c r="CU127" i="2" a="1"/>
  <c r="CU127" i="2" s="1"/>
  <c r="CT85" i="2" a="1"/>
  <c r="CT85" i="2" s="1"/>
  <c r="CU85" i="2" a="1"/>
  <c r="CU85" i="2" s="1"/>
  <c r="CT57" i="2" a="1"/>
  <c r="CT57" i="2" s="1"/>
  <c r="CU57" i="2" a="1"/>
  <c r="CU57" i="2" s="1"/>
  <c r="CU29" i="2" a="1"/>
  <c r="CU29" i="2" s="1"/>
  <c r="CT29" i="2" a="1"/>
  <c r="CT29" i="2" s="1"/>
  <c r="CS691" i="2" a="1"/>
  <c r="CS691" i="2" s="1"/>
  <c r="CT691" i="2" a="1"/>
  <c r="CT691" i="2" s="1"/>
  <c r="CU691" i="2" a="1"/>
  <c r="CU691" i="2" s="1"/>
  <c r="CS649" i="2" a="1"/>
  <c r="CS649" i="2" s="1"/>
  <c r="CT649" i="2" a="1"/>
  <c r="CT649" i="2" s="1"/>
  <c r="CU649" i="2" a="1"/>
  <c r="CU649" i="2" s="1"/>
  <c r="CS621" i="2" a="1"/>
  <c r="CS621" i="2" s="1"/>
  <c r="CT621" i="2" a="1"/>
  <c r="CT621" i="2" s="1"/>
  <c r="CU621" i="2" a="1"/>
  <c r="CU621" i="2" s="1"/>
  <c r="CS593" i="2" a="1"/>
  <c r="CS593" i="2" s="1"/>
  <c r="CT593" i="2" a="1"/>
  <c r="CT593" i="2" s="1"/>
  <c r="CT495" i="2" a="1"/>
  <c r="CT495" i="2" s="1"/>
  <c r="CU495" i="2" a="1"/>
  <c r="CU495" i="2" s="1"/>
  <c r="CT243" i="2" a="1"/>
  <c r="CT243" i="2" s="1"/>
  <c r="CT229" i="2" a="1"/>
  <c r="CT229" i="2" s="1"/>
  <c r="CU229" i="2" a="1"/>
  <c r="CU229" i="2" s="1"/>
  <c r="CT215" i="2" a="1"/>
  <c r="CT215" i="2" s="1"/>
  <c r="CS215" i="2" a="1"/>
  <c r="CS215" i="2" s="1"/>
  <c r="CT201" i="2" a="1"/>
  <c r="CT201" i="2" s="1"/>
  <c r="CS201" i="2" a="1"/>
  <c r="CS201" i="2" s="1"/>
  <c r="CT187" i="2" a="1"/>
  <c r="CT187" i="2" s="1"/>
  <c r="CU187" i="2" a="1"/>
  <c r="CU187" i="2" s="1"/>
  <c r="CS667" i="2" a="1"/>
  <c r="CS667" i="2" s="1"/>
  <c r="CS653" i="2" a="1"/>
  <c r="CS653" i="2" s="1"/>
  <c r="CT653" i="2" a="1"/>
  <c r="CT653" i="2" s="1"/>
  <c r="CS639" i="2" a="1"/>
  <c r="CS639" i="2" s="1"/>
  <c r="CU639" i="2" a="1"/>
  <c r="CU639" i="2" s="1"/>
  <c r="CS611" i="2" a="1"/>
  <c r="CS611" i="2" s="1"/>
  <c r="CT611" i="2" a="1"/>
  <c r="CT611" i="2" s="1"/>
  <c r="CS583" i="2" a="1"/>
  <c r="CS583" i="2" s="1"/>
  <c r="CT583" i="2" a="1"/>
  <c r="CT583" i="2" s="1"/>
  <c r="CS541" i="2" a="1"/>
  <c r="CS541" i="2" s="1"/>
  <c r="CT541" i="2" a="1"/>
  <c r="CT541" i="2" s="1"/>
  <c r="CU541" i="2" a="1"/>
  <c r="CU541" i="2" s="1"/>
  <c r="CS513" i="2" a="1"/>
  <c r="CS513" i="2" s="1"/>
  <c r="CT513" i="2" a="1"/>
  <c r="CT513" i="2" s="1"/>
  <c r="CU513" i="2" a="1"/>
  <c r="CU513" i="2" s="1"/>
  <c r="CS457" i="2" a="1"/>
  <c r="CS457" i="2" s="1"/>
  <c r="CT457" i="2" a="1"/>
  <c r="CT457" i="2" s="1"/>
  <c r="CS401" i="2" a="1"/>
  <c r="CS401" i="2" s="1"/>
  <c r="CT401" i="2" a="1"/>
  <c r="CT401" i="2" s="1"/>
  <c r="CS359" i="2" a="1"/>
  <c r="CS359" i="2" s="1"/>
  <c r="CT359" i="2" a="1"/>
  <c r="CT359" i="2" s="1"/>
  <c r="CS317" i="2" a="1"/>
  <c r="CS317" i="2" s="1"/>
  <c r="CT317" i="2" a="1"/>
  <c r="CT317" i="2" s="1"/>
  <c r="CS275" i="2" a="1"/>
  <c r="CS275" i="2" s="1"/>
  <c r="CT275" i="2" a="1"/>
  <c r="CT275" i="2" s="1"/>
  <c r="CS233" i="2" a="1"/>
  <c r="CS233" i="2" s="1"/>
  <c r="CT233" i="2" a="1"/>
  <c r="CT233" i="2" s="1"/>
  <c r="CU233" i="2" a="1"/>
  <c r="CU233" i="2" s="1"/>
  <c r="CS177" i="2" a="1"/>
  <c r="CS177" i="2" s="1"/>
  <c r="CU177" i="2" a="1"/>
  <c r="CU177" i="2" s="1"/>
  <c r="CT177" i="2" a="1"/>
  <c r="CT177" i="2" s="1"/>
  <c r="CS601" i="2" a="1"/>
  <c r="CS601" i="2" s="1"/>
  <c r="CS321" i="2" a="1"/>
  <c r="CS321" i="2" s="1"/>
  <c r="CS279" i="2" a="1"/>
  <c r="CS279" i="2" s="1"/>
  <c r="CT279" i="2" a="1"/>
  <c r="CT279" i="2" s="1"/>
  <c r="CS237" i="2" a="1"/>
  <c r="CS237" i="2" s="1"/>
  <c r="CU237" i="2" a="1"/>
  <c r="CU237" i="2" s="1"/>
  <c r="CT237" i="2" a="1"/>
  <c r="CT237" i="2" s="1"/>
  <c r="CS195" i="2" a="1"/>
  <c r="CS195" i="2" s="1"/>
  <c r="CU195" i="2" a="1"/>
  <c r="CU195" i="2" s="1"/>
  <c r="CT195" i="2" a="1"/>
  <c r="CT195" i="2" s="1"/>
  <c r="CS167" i="2" a="1"/>
  <c r="CS167" i="2" s="1"/>
  <c r="CT167" i="2" a="1"/>
  <c r="CT167" i="2" s="1"/>
  <c r="CS125" i="2" a="1"/>
  <c r="CS125" i="2" s="1"/>
  <c r="CU125" i="2" a="1"/>
  <c r="CU125" i="2" s="1"/>
  <c r="CT125" i="2" a="1"/>
  <c r="CT125" i="2" s="1"/>
  <c r="CS83" i="2" a="1"/>
  <c r="CS83" i="2" s="1"/>
  <c r="CT83" i="2" a="1"/>
  <c r="CT83" i="2" s="1"/>
  <c r="CS27" i="2" a="1"/>
  <c r="CS27" i="2" s="1"/>
  <c r="CT27" i="2" a="1"/>
  <c r="CT27" i="2" s="1"/>
  <c r="CU27" i="2" a="1"/>
  <c r="CU27" i="2" s="1"/>
  <c r="CS675" i="2" a="1"/>
  <c r="CS675" i="2" s="1"/>
  <c r="CT675" i="2" a="1"/>
  <c r="CT675" i="2" s="1"/>
  <c r="CU675" i="2" a="1"/>
  <c r="CU675" i="2" s="1"/>
  <c r="CS633" i="2" a="1"/>
  <c r="CS633" i="2" s="1"/>
  <c r="CT633" i="2" a="1"/>
  <c r="CT633" i="2" s="1"/>
  <c r="CU633" i="2" a="1"/>
  <c r="CU633" i="2" s="1"/>
  <c r="CS577" i="2" a="1"/>
  <c r="CS577" i="2" s="1"/>
  <c r="CU577" i="2" a="1"/>
  <c r="CU577" i="2" s="1"/>
  <c r="CT577" i="2" a="1"/>
  <c r="CT577" i="2" s="1"/>
  <c r="CU535" i="2" a="1"/>
  <c r="CU535" i="2" s="1"/>
  <c r="CT535" i="2" a="1"/>
  <c r="CT535" i="2" s="1"/>
  <c r="CS535" i="2" a="1"/>
  <c r="CS535" i="2" s="1"/>
  <c r="CS479" i="2" a="1"/>
  <c r="CS479" i="2" s="1"/>
  <c r="CU479" i="2" a="1"/>
  <c r="CU479" i="2" s="1"/>
  <c r="CT479" i="2" a="1"/>
  <c r="CT479" i="2" s="1"/>
  <c r="CS423" i="2" a="1"/>
  <c r="CS423" i="2" s="1"/>
  <c r="CU423" i="2" a="1"/>
  <c r="CU423" i="2" s="1"/>
  <c r="CT423" i="2" a="1"/>
  <c r="CT423" i="2" s="1"/>
  <c r="CS367" i="2" a="1"/>
  <c r="CS367" i="2" s="1"/>
  <c r="CT367" i="2" a="1"/>
  <c r="CT367" i="2" s="1"/>
  <c r="CU367" i="2" a="1"/>
  <c r="CU367" i="2" s="1"/>
  <c r="CS325" i="2" a="1"/>
  <c r="CS325" i="2" s="1"/>
  <c r="CT325" i="2" a="1"/>
  <c r="CT325" i="2" s="1"/>
  <c r="CU325" i="2" a="1"/>
  <c r="CU325" i="2" s="1"/>
  <c r="CU255" i="2" a="1"/>
  <c r="CU255" i="2" s="1"/>
  <c r="CS255" i="2" a="1"/>
  <c r="CS255" i="2" s="1"/>
  <c r="CT255" i="2" a="1"/>
  <c r="CT255" i="2" s="1"/>
  <c r="CT693" i="2" a="1"/>
  <c r="CT693" i="2" s="1"/>
  <c r="CS567" i="2" a="1"/>
  <c r="CS567" i="2" s="1"/>
  <c r="CT567" i="2" a="1"/>
  <c r="CT567" i="2" s="1"/>
  <c r="CU567" i="2" a="1"/>
  <c r="CU567" i="2" s="1"/>
  <c r="CU590" i="2" a="1"/>
  <c r="CU590" i="2" s="1"/>
  <c r="CT254" i="2" a="1"/>
  <c r="CT254" i="2" s="1"/>
  <c r="CS580" i="2" a="1"/>
  <c r="CS580" i="2" s="1"/>
  <c r="CU580" i="2" a="1"/>
  <c r="CU580" i="2" s="1"/>
  <c r="CT580" i="2" a="1"/>
  <c r="CT580" i="2" s="1"/>
  <c r="CU603" i="2" a="1"/>
  <c r="CU603" i="2" s="1"/>
  <c r="CS395" i="2" a="1"/>
  <c r="CS395" i="2" s="1"/>
  <c r="CU660" i="2" a="1"/>
  <c r="CU660" i="2" s="1"/>
  <c r="CU519" i="2" a="1"/>
  <c r="CU519" i="2" s="1"/>
  <c r="CU468" i="2" a="1"/>
  <c r="CU468" i="2" s="1"/>
  <c r="CU411" i="2" a="1"/>
  <c r="CU411" i="2" s="1"/>
  <c r="CU153" i="2" a="1"/>
  <c r="CU153" i="2" s="1"/>
  <c r="CT573" i="2" a="1"/>
  <c r="CT573" i="2" s="1"/>
  <c r="CT472" i="2" a="1"/>
  <c r="CT472" i="2" s="1"/>
  <c r="CU178" i="2" a="1"/>
  <c r="CU178" i="2" s="1"/>
  <c r="CU392" i="2" a="1"/>
  <c r="CU392" i="2" s="1"/>
  <c r="CU671" i="2" a="1"/>
  <c r="CU671" i="2" s="1"/>
  <c r="CU659" i="2" a="1"/>
  <c r="CU659" i="2" s="1"/>
  <c r="CU601" i="2" a="1"/>
  <c r="CU601" i="2" s="1"/>
  <c r="CU387" i="2" a="1"/>
  <c r="CU387" i="2" s="1"/>
  <c r="CU345" i="2" a="1"/>
  <c r="CU345" i="2" s="1"/>
  <c r="CU225" i="2" a="1"/>
  <c r="CU225" i="2" s="1"/>
  <c r="CU201" i="2" a="1"/>
  <c r="CU201" i="2" s="1"/>
  <c r="CU83" i="2" a="1"/>
  <c r="CU83" i="2" s="1"/>
  <c r="CU16" i="2" a="1"/>
  <c r="CU16" i="2" s="1"/>
  <c r="CU319" i="2" a="1"/>
  <c r="CU319" i="2" s="1"/>
  <c r="CT547" i="2" a="1"/>
  <c r="CT547" i="2" s="1"/>
  <c r="CS505" i="2" a="1"/>
  <c r="CS505" i="2" s="1"/>
  <c r="CT505" i="2" a="1"/>
  <c r="CT505" i="2" s="1"/>
  <c r="CS463" i="2" a="1"/>
  <c r="CS463" i="2" s="1"/>
  <c r="CU463" i="2" a="1"/>
  <c r="CU463" i="2" s="1"/>
  <c r="CT421" i="2" a="1"/>
  <c r="CT421" i="2" s="1"/>
  <c r="CU421" i="2" a="1"/>
  <c r="CU421" i="2" s="1"/>
  <c r="CT365" i="2" a="1"/>
  <c r="CT365" i="2" s="1"/>
  <c r="CS365" i="2" a="1"/>
  <c r="CS365" i="2" s="1"/>
  <c r="CU365" i="2" a="1"/>
  <c r="CU365" i="2" s="1"/>
  <c r="CS295" i="2" a="1"/>
  <c r="CS295" i="2" s="1"/>
  <c r="CU295" i="2" a="1"/>
  <c r="CU295" i="2" s="1"/>
  <c r="CT295" i="2" a="1"/>
  <c r="CT295" i="2" s="1"/>
  <c r="CS239" i="2" a="1"/>
  <c r="CS239" i="2" s="1"/>
  <c r="CU239" i="2" a="1"/>
  <c r="CU239" i="2" s="1"/>
  <c r="CT183" i="2" a="1"/>
  <c r="CT183" i="2" s="1"/>
  <c r="CU183" i="2" a="1"/>
  <c r="CU183" i="2" s="1"/>
  <c r="CU141" i="2" a="1"/>
  <c r="CU141" i="2" s="1"/>
  <c r="CT141" i="2" a="1"/>
  <c r="CT141" i="2" s="1"/>
  <c r="CS99" i="2" a="1"/>
  <c r="CS99" i="2" s="1"/>
  <c r="CT99" i="2" a="1"/>
  <c r="CT99" i="2" s="1"/>
  <c r="CT43" i="2" a="1"/>
  <c r="CT43" i="2" s="1"/>
  <c r="CU43" i="2" a="1"/>
  <c r="CU43" i="2" s="1"/>
  <c r="CS705" i="2" a="1"/>
  <c r="CS705" i="2" s="1"/>
  <c r="CT705" i="2" a="1"/>
  <c r="CT705" i="2" s="1"/>
  <c r="CU705" i="2" a="1"/>
  <c r="CU705" i="2" s="1"/>
  <c r="CS635" i="2" a="1"/>
  <c r="CS635" i="2" s="1"/>
  <c r="CT635" i="2" a="1"/>
  <c r="CT635" i="2" s="1"/>
  <c r="CS579" i="2" a="1"/>
  <c r="CS579" i="2" s="1"/>
  <c r="CT579" i="2" a="1"/>
  <c r="CT579" i="2" s="1"/>
  <c r="CU579" i="2" a="1"/>
  <c r="CU579" i="2" s="1"/>
  <c r="CS481" i="2" a="1"/>
  <c r="CS481" i="2" s="1"/>
  <c r="CT481" i="2" a="1"/>
  <c r="CT481" i="2" s="1"/>
  <c r="CU481" i="2" a="1"/>
  <c r="CU481" i="2" s="1"/>
  <c r="CS355" i="2" a="1"/>
  <c r="CS355" i="2" s="1"/>
  <c r="CT355" i="2" a="1"/>
  <c r="CT355" i="2" s="1"/>
  <c r="CU355" i="2" a="1"/>
  <c r="CU355" i="2" s="1"/>
  <c r="CT89" i="2" a="1"/>
  <c r="CT89" i="2" s="1"/>
  <c r="CS89" i="2" a="1"/>
  <c r="CS89" i="2" s="1"/>
  <c r="CU89" i="2" a="1"/>
  <c r="CU89" i="2" s="1"/>
  <c r="CU457" i="2" a="1"/>
  <c r="CU457" i="2" s="1"/>
  <c r="CT667" i="2" a="1"/>
  <c r="CT667" i="2" s="1"/>
  <c r="CU512" i="2" a="1"/>
  <c r="CU512" i="2" s="1"/>
  <c r="CT512" i="2" a="1"/>
  <c r="CT512" i="2" s="1"/>
  <c r="CU656" i="2" a="1"/>
  <c r="CU656" i="2" s="1"/>
  <c r="CT656" i="2" a="1"/>
  <c r="CT656" i="2" s="1"/>
  <c r="CT306" i="2" a="1"/>
  <c r="CT306" i="2" s="1"/>
  <c r="CU306" i="2" a="1"/>
  <c r="CU306" i="2" s="1"/>
  <c r="CS622" i="2" a="1"/>
  <c r="CS622" i="2" s="1"/>
  <c r="CU505" i="2" a="1"/>
  <c r="CU505" i="2" s="1"/>
  <c r="CU600" i="2" a="1"/>
  <c r="CU600" i="2" s="1"/>
  <c r="CU482" i="2" a="1"/>
  <c r="CU482" i="2" s="1"/>
  <c r="CU404" i="2" a="1"/>
  <c r="CU404" i="2" s="1"/>
  <c r="CU143" i="2" a="1"/>
  <c r="CU143" i="2" s="1"/>
  <c r="CT485" i="2" a="1"/>
  <c r="CT485" i="2" s="1"/>
  <c r="CU305" i="2" a="1"/>
  <c r="CU305" i="2" s="1"/>
  <c r="CU81" i="2" a="1"/>
  <c r="CU81" i="2" s="1"/>
  <c r="CS701" i="2" a="1"/>
  <c r="CS701" i="2" s="1"/>
  <c r="CT701" i="2" a="1"/>
  <c r="CT701" i="2" s="1"/>
  <c r="CT561" i="2" a="1"/>
  <c r="CT561" i="2" s="1"/>
  <c r="CS561" i="2" a="1"/>
  <c r="CS561" i="2" s="1"/>
  <c r="CU561" i="2" a="1"/>
  <c r="CU561" i="2" s="1"/>
  <c r="CS467" i="2" a="1"/>
  <c r="CS467" i="2" s="1"/>
  <c r="CT327" i="2" a="1"/>
  <c r="CT327" i="2" s="1"/>
  <c r="CU327" i="2" a="1"/>
  <c r="CU327" i="2" s="1"/>
  <c r="CT75" i="2" a="1"/>
  <c r="CT75" i="2" s="1"/>
  <c r="CU75" i="2" a="1"/>
  <c r="CU75" i="2" s="1"/>
  <c r="CS693" i="2" a="1"/>
  <c r="CS693" i="2" s="1"/>
  <c r="CS636" i="2" a="1"/>
  <c r="CS636" i="2" s="1"/>
  <c r="CT636" i="2" a="1"/>
  <c r="CT636" i="2" s="1"/>
  <c r="CU221" i="2" a="1"/>
  <c r="CU221" i="2" s="1"/>
  <c r="CU151" i="2" a="1"/>
  <c r="CU151" i="2" s="1"/>
  <c r="CU25" i="2" a="1"/>
  <c r="CU25" i="2" s="1"/>
  <c r="CS673" i="2" a="1"/>
  <c r="CS673" i="2" s="1"/>
  <c r="CT673" i="2" a="1"/>
  <c r="CT673" i="2" s="1"/>
  <c r="CU673" i="2" a="1"/>
  <c r="CU673" i="2" s="1"/>
  <c r="CT449" i="2" a="1"/>
  <c r="CT449" i="2" s="1"/>
  <c r="CS393" i="2" a="1"/>
  <c r="CS393" i="2" s="1"/>
  <c r="CT393" i="2" a="1"/>
  <c r="CT393" i="2" s="1"/>
  <c r="CS337" i="2" a="1"/>
  <c r="CS337" i="2" s="1"/>
  <c r="CT337" i="2" a="1"/>
  <c r="CT337" i="2" s="1"/>
  <c r="CU337" i="2" a="1"/>
  <c r="CU337" i="2" s="1"/>
  <c r="CS253" i="2" a="1"/>
  <c r="CS253" i="2" s="1"/>
  <c r="CT253" i="2" a="1"/>
  <c r="CT253" i="2" s="1"/>
  <c r="CT509" i="2" a="1"/>
  <c r="CT509" i="2" s="1"/>
  <c r="CT299" i="2" a="1"/>
  <c r="CT299" i="2" s="1"/>
  <c r="CS285" i="2" a="1"/>
  <c r="CS285" i="2" s="1"/>
  <c r="CT285" i="2" a="1"/>
  <c r="CT285" i="2" s="1"/>
  <c r="CU285" i="2" a="1"/>
  <c r="CU285" i="2" s="1"/>
  <c r="CS271" i="2" a="1"/>
  <c r="CS271" i="2" s="1"/>
  <c r="CT271" i="2" a="1"/>
  <c r="CT271" i="2" s="1"/>
  <c r="CU271" i="2" a="1"/>
  <c r="CU271" i="2" s="1"/>
  <c r="CS257" i="2" a="1"/>
  <c r="CS257" i="2" s="1"/>
  <c r="CU257" i="2" a="1"/>
  <c r="CU257" i="2" s="1"/>
  <c r="CT257" i="2" a="1"/>
  <c r="CT257" i="2" s="1"/>
  <c r="CT159" i="2" a="1"/>
  <c r="CT159" i="2" s="1"/>
  <c r="CT131" i="2" a="1"/>
  <c r="CT131" i="2" s="1"/>
  <c r="CU131" i="2" a="1"/>
  <c r="CU131" i="2" s="1"/>
  <c r="CS131" i="2" a="1"/>
  <c r="CS131" i="2" s="1"/>
  <c r="CS117" i="2" a="1"/>
  <c r="CS117" i="2" s="1"/>
  <c r="CU117" i="2" a="1"/>
  <c r="CU117" i="2" s="1"/>
  <c r="CT117" i="2" a="1"/>
  <c r="CT117" i="2" s="1"/>
  <c r="CT103" i="2" a="1"/>
  <c r="CT103" i="2" s="1"/>
  <c r="CU103" i="2" a="1"/>
  <c r="CU103" i="2" s="1"/>
  <c r="CS103" i="2" a="1"/>
  <c r="CS103" i="2" s="1"/>
  <c r="CT19" i="2" a="1"/>
  <c r="CT19" i="2" s="1"/>
  <c r="CU19" i="2" a="1"/>
  <c r="CU19" i="2" s="1"/>
  <c r="CT681" i="2" a="1"/>
  <c r="CT681" i="2" s="1"/>
  <c r="CS681" i="2" a="1"/>
  <c r="CS681" i="2" s="1"/>
  <c r="CU681" i="2" a="1"/>
  <c r="CU681" i="2" s="1"/>
  <c r="CS625" i="2" a="1"/>
  <c r="CS625" i="2" s="1"/>
  <c r="CS597" i="2" a="1"/>
  <c r="CS597" i="2" s="1"/>
  <c r="CT597" i="2" a="1"/>
  <c r="CT597" i="2" s="1"/>
  <c r="CU597" i="2" a="1"/>
  <c r="CU597" i="2" s="1"/>
  <c r="CS569" i="2" a="1"/>
  <c r="CS569" i="2" s="1"/>
  <c r="CT569" i="2" a="1"/>
  <c r="CT569" i="2" s="1"/>
  <c r="CU569" i="2" a="1"/>
  <c r="CU569" i="2" s="1"/>
  <c r="CS555" i="2" a="1"/>
  <c r="CS555" i="2" s="1"/>
  <c r="CT555" i="2" a="1"/>
  <c r="CT555" i="2" s="1"/>
  <c r="CS499" i="2" a="1"/>
  <c r="CS499" i="2" s="1"/>
  <c r="CT499" i="2" a="1"/>
  <c r="CT499" i="2" s="1"/>
  <c r="CS471" i="2" a="1"/>
  <c r="CS471" i="2" s="1"/>
  <c r="CT471" i="2" a="1"/>
  <c r="CT471" i="2" s="1"/>
  <c r="CU471" i="2" a="1"/>
  <c r="CU471" i="2" s="1"/>
  <c r="CS443" i="2" a="1"/>
  <c r="CS443" i="2" s="1"/>
  <c r="CT443" i="2" a="1"/>
  <c r="CT443" i="2" s="1"/>
  <c r="CU443" i="2" a="1"/>
  <c r="CU443" i="2" s="1"/>
  <c r="CS415" i="2" a="1"/>
  <c r="CS415" i="2" s="1"/>
  <c r="CT415" i="2" a="1"/>
  <c r="CT415" i="2" s="1"/>
  <c r="CS373" i="2" a="1"/>
  <c r="CS373" i="2" s="1"/>
  <c r="CT373" i="2" a="1"/>
  <c r="CT373" i="2" s="1"/>
  <c r="CU373" i="2" a="1"/>
  <c r="CU373" i="2" s="1"/>
  <c r="CS331" i="2" a="1"/>
  <c r="CS331" i="2" s="1"/>
  <c r="CT331" i="2" a="1"/>
  <c r="CT331" i="2" s="1"/>
  <c r="CT303" i="2" a="1"/>
  <c r="CT303" i="2" s="1"/>
  <c r="CS303" i="2" a="1"/>
  <c r="CS303" i="2" s="1"/>
  <c r="CS261" i="2" a="1"/>
  <c r="CS261" i="2" s="1"/>
  <c r="CT261" i="2" a="1"/>
  <c r="CT261" i="2" s="1"/>
  <c r="CU261" i="2" a="1"/>
  <c r="CU261" i="2" s="1"/>
  <c r="CS219" i="2" a="1"/>
  <c r="CS219" i="2" s="1"/>
  <c r="CT219" i="2" a="1"/>
  <c r="CT219" i="2" s="1"/>
  <c r="CU219" i="2" a="1"/>
  <c r="CU219" i="2" s="1"/>
  <c r="CS191" i="2" a="1"/>
  <c r="CS191" i="2" s="1"/>
  <c r="CT191" i="2" a="1"/>
  <c r="CT191" i="2" s="1"/>
  <c r="CU191" i="2" a="1"/>
  <c r="CU191" i="2" s="1"/>
  <c r="CT149" i="2" a="1"/>
  <c r="CT149" i="2" s="1"/>
  <c r="CS149" i="2" a="1"/>
  <c r="CS149" i="2" s="1"/>
  <c r="CU149" i="2" a="1"/>
  <c r="CU149" i="2" s="1"/>
  <c r="CS121" i="2" a="1"/>
  <c r="CS121" i="2" s="1"/>
  <c r="CT121" i="2" a="1"/>
  <c r="CT121" i="2" s="1"/>
  <c r="CS93" i="2" a="1"/>
  <c r="CS93" i="2" s="1"/>
  <c r="CT93" i="2" a="1"/>
  <c r="CT93" i="2" s="1"/>
  <c r="CU93" i="2" a="1"/>
  <c r="CU93" i="2" s="1"/>
  <c r="CS79" i="2" a="1"/>
  <c r="CS79" i="2" s="1"/>
  <c r="CT79" i="2" a="1"/>
  <c r="CT79" i="2" s="1"/>
  <c r="CU79" i="2" a="1"/>
  <c r="CU79" i="2" s="1"/>
  <c r="CS51" i="2" a="1"/>
  <c r="CS51" i="2" s="1"/>
  <c r="CT51" i="2" a="1"/>
  <c r="CT51" i="2" s="1"/>
  <c r="CT23" i="2" a="1"/>
  <c r="CT23" i="2" s="1"/>
  <c r="CS23" i="2" a="1"/>
  <c r="CS23" i="2" s="1"/>
  <c r="CU23" i="2" a="1"/>
  <c r="CU23" i="2" s="1"/>
  <c r="CS643" i="2" a="1"/>
  <c r="CS643" i="2" s="1"/>
  <c r="CS629" i="2" a="1"/>
  <c r="CS629" i="2" s="1"/>
  <c r="CT629" i="2" a="1"/>
  <c r="CT629" i="2" s="1"/>
  <c r="CU629" i="2" a="1"/>
  <c r="CU629" i="2" s="1"/>
  <c r="CS615" i="2" a="1"/>
  <c r="CS615" i="2" s="1"/>
  <c r="CT615" i="2" a="1"/>
  <c r="CT615" i="2" s="1"/>
  <c r="CU615" i="2" a="1"/>
  <c r="CU615" i="2" s="1"/>
  <c r="CS545" i="2" a="1"/>
  <c r="CS545" i="2" s="1"/>
  <c r="CS517" i="2" a="1"/>
  <c r="CS517" i="2" s="1"/>
  <c r="CT517" i="2" a="1"/>
  <c r="CT517" i="2" s="1"/>
  <c r="CS489" i="2" a="1"/>
  <c r="CS489" i="2" s="1"/>
  <c r="CT489" i="2" a="1"/>
  <c r="CT489" i="2" s="1"/>
  <c r="CS475" i="2" a="1"/>
  <c r="CS475" i="2" s="1"/>
  <c r="CU475" i="2" a="1"/>
  <c r="CU475" i="2" s="1"/>
  <c r="CS461" i="2" a="1"/>
  <c r="CS461" i="2" s="1"/>
  <c r="CT461" i="2" a="1"/>
  <c r="CT461" i="2" s="1"/>
  <c r="CS433" i="2" a="1"/>
  <c r="CS433" i="2" s="1"/>
  <c r="CT433" i="2" a="1"/>
  <c r="CT433" i="2" s="1"/>
  <c r="CS405" i="2" a="1"/>
  <c r="CS405" i="2" s="1"/>
  <c r="CT405" i="2" a="1"/>
  <c r="CT405" i="2" s="1"/>
  <c r="CU405" i="2" a="1"/>
  <c r="CU405" i="2" s="1"/>
  <c r="CS391" i="2" a="1"/>
  <c r="CS391" i="2" s="1"/>
  <c r="CT391" i="2" a="1"/>
  <c r="CT391" i="2" s="1"/>
  <c r="CS363" i="2" a="1"/>
  <c r="CS363" i="2" s="1"/>
  <c r="CT363" i="2" a="1"/>
  <c r="CT363" i="2" s="1"/>
  <c r="CT335" i="2" a="1"/>
  <c r="CT335" i="2" s="1"/>
  <c r="CS335" i="2" a="1"/>
  <c r="CS335" i="2" s="1"/>
  <c r="CS293" i="2" a="1"/>
  <c r="CS293" i="2" s="1"/>
  <c r="CT293" i="2" a="1"/>
  <c r="CT293" i="2" s="1"/>
  <c r="CU293" i="2" a="1"/>
  <c r="CU293" i="2" s="1"/>
  <c r="CS251" i="2" a="1"/>
  <c r="CS251" i="2" s="1"/>
  <c r="CT251" i="2" a="1"/>
  <c r="CT251" i="2" s="1"/>
  <c r="CS209" i="2" a="1"/>
  <c r="CS209" i="2" s="1"/>
  <c r="CT209" i="2" a="1"/>
  <c r="CT209" i="2" s="1"/>
  <c r="CU209" i="2" a="1"/>
  <c r="CU209" i="2" s="1"/>
  <c r="CS139" i="2" a="1"/>
  <c r="CS139" i="2" s="1"/>
  <c r="CT139" i="2" a="1"/>
  <c r="CT139" i="2" s="1"/>
  <c r="CS111" i="2" a="1"/>
  <c r="CS111" i="2" s="1"/>
  <c r="CT111" i="2" a="1"/>
  <c r="CT111" i="2" s="1"/>
  <c r="CU111" i="2" a="1"/>
  <c r="CU111" i="2" s="1"/>
  <c r="CS69" i="2" a="1"/>
  <c r="CS69" i="2" s="1"/>
  <c r="CT69" i="2" a="1"/>
  <c r="CT69" i="2" s="1"/>
  <c r="CU69" i="2" a="1"/>
  <c r="CU69" i="2" s="1"/>
  <c r="CS41" i="2" a="1"/>
  <c r="CS41" i="2" s="1"/>
  <c r="CT41" i="2" a="1"/>
  <c r="CT41" i="2" s="1"/>
  <c r="CU41" i="2" a="1"/>
  <c r="CU41" i="2" s="1"/>
  <c r="CS703" i="2" a="1"/>
  <c r="CS703" i="2" s="1"/>
  <c r="CU703" i="2" a="1"/>
  <c r="CU703" i="2" s="1"/>
  <c r="CS661" i="2" a="1"/>
  <c r="CS661" i="2" s="1"/>
  <c r="CT661" i="2" a="1"/>
  <c r="CT661" i="2" s="1"/>
  <c r="CS647" i="2" a="1"/>
  <c r="CS647" i="2" s="1"/>
  <c r="CT647" i="2" a="1"/>
  <c r="CT647" i="2" s="1"/>
  <c r="CS605" i="2" a="1"/>
  <c r="CS605" i="2" s="1"/>
  <c r="CU605" i="2" a="1"/>
  <c r="CU605" i="2" s="1"/>
  <c r="CT605" i="2" a="1"/>
  <c r="CT605" i="2" s="1"/>
  <c r="CS563" i="2" a="1"/>
  <c r="CS563" i="2" s="1"/>
  <c r="CU563" i="2" a="1"/>
  <c r="CU563" i="2" s="1"/>
  <c r="CT563" i="2" a="1"/>
  <c r="CT563" i="2" s="1"/>
  <c r="CS521" i="2" a="1"/>
  <c r="CS521" i="2" s="1"/>
  <c r="CU521" i="2" a="1"/>
  <c r="CU521" i="2" s="1"/>
  <c r="CT521" i="2" a="1"/>
  <c r="CT521" i="2" s="1"/>
  <c r="CS507" i="2" a="1"/>
  <c r="CS507" i="2" s="1"/>
  <c r="CU507" i="2" a="1"/>
  <c r="CU507" i="2" s="1"/>
  <c r="CS465" i="2" a="1"/>
  <c r="CS465" i="2" s="1"/>
  <c r="CU465" i="2" a="1"/>
  <c r="CU465" i="2" s="1"/>
  <c r="CS451" i="2" a="1"/>
  <c r="CS451" i="2" s="1"/>
  <c r="CU451" i="2" a="1"/>
  <c r="CU451" i="2" s="1"/>
  <c r="CS409" i="2" a="1"/>
  <c r="CS409" i="2" s="1"/>
  <c r="CT409" i="2" a="1"/>
  <c r="CT409" i="2" s="1"/>
  <c r="CU409" i="2" a="1"/>
  <c r="CU409" i="2" s="1"/>
  <c r="CS381" i="2" a="1"/>
  <c r="CS381" i="2" s="1"/>
  <c r="CU381" i="2" a="1"/>
  <c r="CU381" i="2" s="1"/>
  <c r="CS339" i="2" a="1"/>
  <c r="CS339" i="2" s="1"/>
  <c r="CU339" i="2" a="1"/>
  <c r="CU339" i="2" s="1"/>
  <c r="CT339" i="2" a="1"/>
  <c r="CT339" i="2" s="1"/>
  <c r="CS311" i="2" a="1"/>
  <c r="CS311" i="2" s="1"/>
  <c r="CU311" i="2" a="1"/>
  <c r="CU311" i="2" s="1"/>
  <c r="CT311" i="2" a="1"/>
  <c r="CT311" i="2" s="1"/>
  <c r="CS283" i="2" a="1"/>
  <c r="CS283" i="2" s="1"/>
  <c r="CT283" i="2" a="1"/>
  <c r="CT283" i="2" s="1"/>
  <c r="CU283" i="2" a="1"/>
  <c r="CU283" i="2" s="1"/>
  <c r="CS241" i="2" a="1"/>
  <c r="CS241" i="2" s="1"/>
  <c r="CT241" i="2" a="1"/>
  <c r="CT241" i="2" s="1"/>
  <c r="CU241" i="2" a="1"/>
  <c r="CU241" i="2" s="1"/>
  <c r="CS227" i="2" a="1"/>
  <c r="CS227" i="2" s="1"/>
  <c r="CU227" i="2" a="1"/>
  <c r="CU227" i="2" s="1"/>
  <c r="CT227" i="2" a="1"/>
  <c r="CT227" i="2" s="1"/>
  <c r="CS199" i="2" a="1"/>
  <c r="CS199" i="2" s="1"/>
  <c r="CT199" i="2" a="1"/>
  <c r="CT199" i="2" s="1"/>
  <c r="CU199" i="2" a="1"/>
  <c r="CU199" i="2" s="1"/>
  <c r="CS185" i="2" a="1"/>
  <c r="CS185" i="2" s="1"/>
  <c r="CT185" i="2" a="1"/>
  <c r="CT185" i="2" s="1"/>
  <c r="CU185" i="2" a="1"/>
  <c r="CU185" i="2" s="1"/>
  <c r="CS157" i="2" a="1"/>
  <c r="CS157" i="2" s="1"/>
  <c r="CT157" i="2" a="1"/>
  <c r="CT157" i="2" s="1"/>
  <c r="CU157" i="2" a="1"/>
  <c r="CU157" i="2" s="1"/>
  <c r="CS129" i="2" a="1"/>
  <c r="CS129" i="2" s="1"/>
  <c r="CU129" i="2" a="1"/>
  <c r="CU129" i="2" s="1"/>
  <c r="CS101" i="2" a="1"/>
  <c r="CS101" i="2" s="1"/>
  <c r="CT101" i="2" a="1"/>
  <c r="CT101" i="2" s="1"/>
  <c r="CU101" i="2" a="1"/>
  <c r="CU101" i="2" s="1"/>
  <c r="CS87" i="2" a="1"/>
  <c r="CS87" i="2" s="1"/>
  <c r="CU87" i="2" a="1"/>
  <c r="CU87" i="2" s="1"/>
  <c r="CT87" i="2" a="1"/>
  <c r="CT87" i="2" s="1"/>
  <c r="CS59" i="2" a="1"/>
  <c r="CS59" i="2" s="1"/>
  <c r="CT59" i="2" a="1"/>
  <c r="CT59" i="2" s="1"/>
  <c r="CU59" i="2" a="1"/>
  <c r="CU59" i="2" s="1"/>
  <c r="CS31" i="2" a="1"/>
  <c r="CS31" i="2" s="1"/>
  <c r="CT31" i="2" a="1"/>
  <c r="CT31" i="2" s="1"/>
  <c r="CS17" i="2" a="1"/>
  <c r="CS17" i="2" s="1"/>
  <c r="CT17" i="2" a="1"/>
  <c r="CT17" i="2" s="1"/>
  <c r="CU17" i="2" a="1"/>
  <c r="CU17" i="2" s="1"/>
  <c r="CS679" i="2" a="1"/>
  <c r="CS679" i="2" s="1"/>
  <c r="CS665" i="2" a="1"/>
  <c r="CS665" i="2" s="1"/>
  <c r="CU665" i="2" a="1"/>
  <c r="CU665" i="2" s="1"/>
  <c r="CT665" i="2" a="1"/>
  <c r="CT665" i="2" s="1"/>
  <c r="CS651" i="2" a="1"/>
  <c r="CS651" i="2" s="1"/>
  <c r="CT651" i="2" a="1"/>
  <c r="CT651" i="2" s="1"/>
  <c r="CS637" i="2" a="1"/>
  <c r="CS637" i="2" s="1"/>
  <c r="CT637" i="2" a="1"/>
  <c r="CT637" i="2" s="1"/>
  <c r="CU637" i="2" a="1"/>
  <c r="CU637" i="2" s="1"/>
  <c r="CS623" i="2" a="1"/>
  <c r="CS623" i="2" s="1"/>
  <c r="CT623" i="2" a="1"/>
  <c r="CT623" i="2" s="1"/>
  <c r="CU623" i="2" a="1"/>
  <c r="CU623" i="2" s="1"/>
  <c r="CS609" i="2" a="1"/>
  <c r="CS609" i="2" s="1"/>
  <c r="CU609" i="2" a="1"/>
  <c r="CU609" i="2" s="1"/>
  <c r="CS595" i="2" a="1"/>
  <c r="CS595" i="2" s="1"/>
  <c r="CT595" i="2" a="1"/>
  <c r="CT595" i="2" s="1"/>
  <c r="CU595" i="2" a="1"/>
  <c r="CU595" i="2" s="1"/>
  <c r="CS581" i="2" a="1"/>
  <c r="CS581" i="2" s="1"/>
  <c r="CU581" i="2" a="1"/>
  <c r="CU581" i="2" s="1"/>
  <c r="CT581" i="2" a="1"/>
  <c r="CT581" i="2" s="1"/>
  <c r="CS511" i="2" a="1"/>
  <c r="CS511" i="2" s="1"/>
  <c r="CS483" i="2" a="1"/>
  <c r="CS483" i="2" s="1"/>
  <c r="CU483" i="2" a="1"/>
  <c r="CU483" i="2" s="1"/>
  <c r="CT483" i="2" a="1"/>
  <c r="CT483" i="2" s="1"/>
  <c r="CS469" i="2" a="1"/>
  <c r="CS469" i="2" s="1"/>
  <c r="CT469" i="2" a="1"/>
  <c r="CT469" i="2" s="1"/>
  <c r="CU469" i="2" a="1"/>
  <c r="CU469" i="2" s="1"/>
  <c r="CS455" i="2" a="1"/>
  <c r="CS455" i="2" s="1"/>
  <c r="CT455" i="2" a="1"/>
  <c r="CT455" i="2" s="1"/>
  <c r="CU455" i="2" a="1"/>
  <c r="CU455" i="2" s="1"/>
  <c r="CS441" i="2" a="1"/>
  <c r="CS441" i="2" s="1"/>
  <c r="CU441" i="2" a="1"/>
  <c r="CU441" i="2" s="1"/>
  <c r="CS427" i="2" a="1"/>
  <c r="CS427" i="2" s="1"/>
  <c r="CT427" i="2" a="1"/>
  <c r="CT427" i="2" s="1"/>
  <c r="CU427" i="2" a="1"/>
  <c r="CU427" i="2" s="1"/>
  <c r="CS669" i="2" a="1"/>
  <c r="CS669" i="2" s="1"/>
  <c r="CT463" i="2" a="1"/>
  <c r="CT463" i="2" s="1"/>
  <c r="CT702" i="2" a="1"/>
  <c r="CT702" i="2" s="1"/>
  <c r="CT688" i="2" a="1"/>
  <c r="CT688" i="2" s="1"/>
  <c r="CU688" i="2" a="1"/>
  <c r="CU688" i="2" s="1"/>
  <c r="CT520" i="2" a="1"/>
  <c r="CT520" i="2" s="1"/>
  <c r="CT478" i="2" a="1"/>
  <c r="CT478" i="2" s="1"/>
  <c r="CS478" i="2" a="1"/>
  <c r="CS478" i="2" s="1"/>
  <c r="CT268" i="2" a="1"/>
  <c r="CT268" i="2" s="1"/>
  <c r="CT240" i="2" a="1"/>
  <c r="CT240" i="2" s="1"/>
  <c r="CU240" i="2" a="1"/>
  <c r="CU240" i="2" s="1"/>
  <c r="CS212" i="2" a="1"/>
  <c r="CS212" i="2" s="1"/>
  <c r="CT212" i="2" a="1"/>
  <c r="CT212" i="2" s="1"/>
  <c r="CU212" i="2" a="1"/>
  <c r="CU212" i="2" s="1"/>
  <c r="CT594" i="2" a="1"/>
  <c r="CT594" i="2" s="1"/>
  <c r="CS594" i="2" a="1"/>
  <c r="CS594" i="2" s="1"/>
  <c r="CU646" i="2" a="1"/>
  <c r="CU646" i="2" s="1"/>
  <c r="CU555" i="2" a="1"/>
  <c r="CU555" i="2" s="1"/>
  <c r="CU449" i="2" a="1"/>
  <c r="CU449" i="2" s="1"/>
  <c r="CU685" i="2" a="1"/>
  <c r="CU685" i="2" s="1"/>
  <c r="CU628" i="2" a="1"/>
  <c r="CU628" i="2" s="1"/>
  <c r="CU566" i="2" a="1"/>
  <c r="CU566" i="2" s="1"/>
  <c r="CU499" i="2" a="1"/>
  <c r="CU499" i="2" s="1"/>
  <c r="CU265" i="2" a="1"/>
  <c r="CU265" i="2" s="1"/>
  <c r="CU243" i="2" a="1"/>
  <c r="CU243" i="2" s="1"/>
  <c r="CU173" i="2" a="1"/>
  <c r="CU173" i="2" s="1"/>
  <c r="CU114" i="2" a="1"/>
  <c r="CU114" i="2" s="1"/>
  <c r="CT643" i="2" a="1"/>
  <c r="CT643" i="2" s="1"/>
  <c r="CT566" i="2" a="1"/>
  <c r="CT566" i="2" s="1"/>
  <c r="CT422" i="2" a="1"/>
  <c r="CT422" i="2" s="1"/>
  <c r="CU516" i="2" a="1"/>
  <c r="CU516" i="2" s="1"/>
  <c r="CU461" i="2" a="1"/>
  <c r="CU461" i="2" s="1"/>
  <c r="CU323" i="2" a="1"/>
  <c r="CU323" i="2" s="1"/>
  <c r="CU303" i="2" a="1"/>
  <c r="CU303" i="2" s="1"/>
  <c r="CU286" i="2" a="1"/>
  <c r="CU286" i="2" s="1"/>
  <c r="CU139" i="2" a="1"/>
  <c r="CU139" i="2" s="1"/>
  <c r="CU48" i="2" a="1"/>
  <c r="CU48" i="2" s="1"/>
  <c r="CT642" i="2" a="1"/>
  <c r="CT642" i="2" s="1"/>
  <c r="CT565" i="2" a="1"/>
  <c r="CT565" i="2" s="1"/>
  <c r="CT527" i="2" a="1"/>
  <c r="CT527" i="2" s="1"/>
  <c r="CT321" i="2" a="1"/>
  <c r="CT321" i="2" s="1"/>
  <c r="CU612" i="2" a="1"/>
  <c r="CU612" i="2" s="1"/>
  <c r="CU565" i="2" a="1"/>
  <c r="CU565" i="2" s="1"/>
  <c r="CU547" i="2" a="1"/>
  <c r="CU547" i="2" s="1"/>
  <c r="CU530" i="2" a="1"/>
  <c r="CU530" i="2" s="1"/>
  <c r="CU497" i="2" a="1"/>
  <c r="CU497" i="2" s="1"/>
  <c r="CU363" i="2" a="1"/>
  <c r="CU363" i="2" s="1"/>
  <c r="CU198" i="2" a="1"/>
  <c r="CU198" i="2" s="1"/>
  <c r="CU171" i="2" a="1"/>
  <c r="CU171" i="2" s="1"/>
  <c r="CU107" i="2" a="1"/>
  <c r="CU107" i="2" s="1"/>
  <c r="CT679" i="2" a="1"/>
  <c r="CT679" i="2" s="1"/>
  <c r="CT525" i="2" a="1"/>
  <c r="CT525" i="2" s="1"/>
  <c r="CT475" i="2" a="1"/>
  <c r="CT475" i="2" s="1"/>
  <c r="CT575" i="2" a="1"/>
  <c r="CT575" i="2" s="1"/>
  <c r="CT397" i="2" a="1"/>
  <c r="CT397" i="2" s="1"/>
  <c r="CT33" i="2" a="1"/>
  <c r="CT33" i="2" s="1"/>
  <c r="CU33" i="2" a="1"/>
  <c r="CU33" i="2" s="1"/>
  <c r="CU559" i="2" a="1"/>
  <c r="CU559" i="2" s="1"/>
  <c r="CU415" i="2" a="1"/>
  <c r="CU415" i="2" s="1"/>
  <c r="CT553" i="2" a="1"/>
  <c r="CT553" i="2" s="1"/>
  <c r="CU68" i="2" a="1"/>
  <c r="CU68" i="2" s="1"/>
  <c r="CT68" i="2" a="1"/>
  <c r="CT68" i="2" s="1"/>
  <c r="CU12" i="2" a="1"/>
  <c r="CU12" i="2" s="1"/>
  <c r="CT12" i="2" a="1"/>
  <c r="CT12" i="2" s="1"/>
  <c r="CS608" i="2" a="1"/>
  <c r="CS608" i="2" s="1"/>
  <c r="CT608" i="2" a="1"/>
  <c r="CT608" i="2" s="1"/>
  <c r="CU608" i="2" a="1"/>
  <c r="CU608" i="2" s="1"/>
  <c r="CU619" i="2" a="1"/>
  <c r="CU619" i="2" s="1"/>
  <c r="CT680" i="2" a="1"/>
  <c r="CT680" i="2" s="1"/>
  <c r="CU583" i="2" a="1"/>
  <c r="CU583" i="2" s="1"/>
  <c r="CU696" i="2" a="1"/>
  <c r="CU696" i="2" s="1"/>
  <c r="CU653" i="2" a="1"/>
  <c r="CU653" i="2" s="1"/>
  <c r="CU611" i="2" a="1"/>
  <c r="CU611" i="2" s="1"/>
  <c r="CU511" i="2" a="1"/>
  <c r="CU511" i="2" s="1"/>
  <c r="CU439" i="2" a="1"/>
  <c r="CU439" i="2" s="1"/>
  <c r="CU401" i="2" a="1"/>
  <c r="CU401" i="2" s="1"/>
  <c r="CU359" i="2" a="1"/>
  <c r="CU359" i="2" s="1"/>
  <c r="CU342" i="2" a="1"/>
  <c r="CU342" i="2" s="1"/>
  <c r="CU216" i="2" a="1"/>
  <c r="CU216" i="2" s="1"/>
  <c r="CU73" i="2" a="1"/>
  <c r="CU73" i="2" s="1"/>
  <c r="CU45" i="2" a="1"/>
  <c r="CU45" i="2" s="1"/>
  <c r="CT678" i="2" a="1"/>
  <c r="CT678" i="2" s="1"/>
  <c r="CT639" i="2" a="1"/>
  <c r="CT639" i="2" s="1"/>
  <c r="CT601" i="2" a="1"/>
  <c r="CT601" i="2" s="1"/>
  <c r="CT564" i="2" a="1"/>
  <c r="CT564" i="2" s="1"/>
  <c r="CT467" i="2" a="1"/>
  <c r="CT467" i="2" s="1"/>
  <c r="CU686" i="2" a="1"/>
  <c r="CU686" i="2" s="1"/>
  <c r="CS472" i="2" a="1"/>
  <c r="CS472" i="2" s="1"/>
  <c r="CU472" i="2" a="1"/>
  <c r="CU472" i="2" s="1"/>
  <c r="CS458" i="2" a="1"/>
  <c r="CS458" i="2" s="1"/>
  <c r="CT458" i="2" a="1"/>
  <c r="CT458" i="2" s="1"/>
  <c r="CU458" i="2" a="1"/>
  <c r="CU458" i="2" s="1"/>
  <c r="CU402" i="2" a="1"/>
  <c r="CU402" i="2" s="1"/>
  <c r="CS164" i="2" a="1"/>
  <c r="CS164" i="2" s="1"/>
  <c r="CS136" i="2" a="1"/>
  <c r="CS136" i="2" s="1"/>
  <c r="CT136" i="2" a="1"/>
  <c r="CT136" i="2" s="1"/>
  <c r="CU136" i="2" a="1"/>
  <c r="CU136" i="2" s="1"/>
  <c r="CS108" i="2" a="1"/>
  <c r="CS108" i="2" s="1"/>
  <c r="CT108" i="2" a="1"/>
  <c r="CT108" i="2" s="1"/>
  <c r="CS80" i="2" a="1"/>
  <c r="CS80" i="2" s="1"/>
  <c r="CT80" i="2" a="1"/>
  <c r="CT80" i="2" s="1"/>
  <c r="CS52" i="2" a="1"/>
  <c r="CS52" i="2" s="1"/>
  <c r="CT52" i="2" a="1"/>
  <c r="CT52" i="2" s="1"/>
  <c r="CU52" i="2" a="1"/>
  <c r="CU52" i="2" s="1"/>
  <c r="CT38" i="2" a="1"/>
  <c r="CT38" i="2" s="1"/>
  <c r="CU38" i="2" a="1"/>
  <c r="CU38" i="2" s="1"/>
  <c r="CS24" i="2" a="1"/>
  <c r="CS24" i="2" s="1"/>
  <c r="CT24" i="2" a="1"/>
  <c r="CT24" i="2" s="1"/>
  <c r="CU24" i="2" a="1"/>
  <c r="CU24" i="2" s="1"/>
  <c r="CS10" i="2" a="1"/>
  <c r="CS10" i="2" s="1"/>
  <c r="CT10" i="2" a="1"/>
  <c r="CT10" i="2" s="1"/>
  <c r="CS686" i="2" a="1"/>
  <c r="CS686" i="2" s="1"/>
  <c r="CS644" i="2" a="1"/>
  <c r="CS644" i="2" s="1"/>
  <c r="CS616" i="2" a="1"/>
  <c r="CS616" i="2" s="1"/>
  <c r="CS602" i="2" a="1"/>
  <c r="CS602" i="2" s="1"/>
  <c r="CT602" i="2" a="1"/>
  <c r="CT602" i="2" s="1"/>
  <c r="CS588" i="2" a="1"/>
  <c r="CS588" i="2" s="1"/>
  <c r="CT588" i="2" a="1"/>
  <c r="CT588" i="2" s="1"/>
  <c r="CS560" i="2" a="1"/>
  <c r="CS560" i="2" s="1"/>
  <c r="CS518" i="2" a="1"/>
  <c r="CS518" i="2" s="1"/>
  <c r="CS476" i="2" a="1"/>
  <c r="CS476" i="2" s="1"/>
  <c r="CT448" i="2" a="1"/>
  <c r="CT448" i="2" s="1"/>
  <c r="CS420" i="2" a="1"/>
  <c r="CS420" i="2" s="1"/>
  <c r="CS406" i="2" a="1"/>
  <c r="CS406" i="2" s="1"/>
  <c r="CT406" i="2" a="1"/>
  <c r="CT406" i="2" s="1"/>
  <c r="CS392" i="2" a="1"/>
  <c r="CS392" i="2" s="1"/>
  <c r="CT392" i="2" a="1"/>
  <c r="CT392" i="2" s="1"/>
  <c r="CT378" i="2" a="1"/>
  <c r="CT378" i="2" s="1"/>
  <c r="CS378" i="2" a="1"/>
  <c r="CS378" i="2" s="1"/>
  <c r="CS364" i="2" a="1"/>
  <c r="CS364" i="2" s="1"/>
  <c r="CT364" i="2" a="1"/>
  <c r="CT364" i="2" s="1"/>
  <c r="CS266" i="2" a="1"/>
  <c r="CS266" i="2" s="1"/>
  <c r="CS252" i="2" a="1"/>
  <c r="CS252" i="2" s="1"/>
  <c r="CT252" i="2" a="1"/>
  <c r="CT252" i="2" s="1"/>
  <c r="CS238" i="2" a="1"/>
  <c r="CS238" i="2" s="1"/>
  <c r="CT238" i="2" a="1"/>
  <c r="CT238" i="2" s="1"/>
  <c r="CT224" i="2" a="1"/>
  <c r="CT224" i="2" s="1"/>
  <c r="CS224" i="2" a="1"/>
  <c r="CS224" i="2" s="1"/>
  <c r="CS210" i="2" a="1"/>
  <c r="CS210" i="2" s="1"/>
  <c r="CT210" i="2" a="1"/>
  <c r="CT210" i="2" s="1"/>
  <c r="CU210" i="2" a="1"/>
  <c r="CU210" i="2" s="1"/>
  <c r="CS196" i="2" a="1"/>
  <c r="CS196" i="2" s="1"/>
  <c r="CT196" i="2" a="1"/>
  <c r="CT196" i="2" s="1"/>
  <c r="CS182" i="2" a="1"/>
  <c r="CS182" i="2" s="1"/>
  <c r="CT182" i="2" a="1"/>
  <c r="CT182" i="2" s="1"/>
  <c r="CU182" i="2" a="1"/>
  <c r="CU182" i="2" s="1"/>
  <c r="CS168" i="2" a="1"/>
  <c r="CS168" i="2" s="1"/>
  <c r="CT168" i="2" a="1"/>
  <c r="CT168" i="2" s="1"/>
  <c r="CU168" i="2" a="1"/>
  <c r="CU168" i="2" s="1"/>
  <c r="CS154" i="2" a="1"/>
  <c r="CS154" i="2" s="1"/>
  <c r="CT154" i="2" a="1"/>
  <c r="CT154" i="2" s="1"/>
  <c r="CU154" i="2" a="1"/>
  <c r="CU154" i="2" s="1"/>
  <c r="CS140" i="2" a="1"/>
  <c r="CS140" i="2" s="1"/>
  <c r="CT140" i="2" a="1"/>
  <c r="CT140" i="2" s="1"/>
  <c r="CU140" i="2" a="1"/>
  <c r="CU140" i="2" s="1"/>
  <c r="CT126" i="2" a="1"/>
  <c r="CT126" i="2" s="1"/>
  <c r="CS126" i="2" a="1"/>
  <c r="CS126" i="2" s="1"/>
  <c r="CS112" i="2" a="1"/>
  <c r="CS112" i="2" s="1"/>
  <c r="CT112" i="2" a="1"/>
  <c r="CT112" i="2" s="1"/>
  <c r="CS98" i="2" a="1"/>
  <c r="CS98" i="2" s="1"/>
  <c r="CT98" i="2" a="1"/>
  <c r="CT98" i="2" s="1"/>
  <c r="CS84" i="2" a="1"/>
  <c r="CS84" i="2" s="1"/>
  <c r="CT84" i="2" a="1"/>
  <c r="CT84" i="2" s="1"/>
  <c r="CU84" i="2" a="1"/>
  <c r="CU84" i="2" s="1"/>
  <c r="CS70" i="2" a="1"/>
  <c r="CS70" i="2" s="1"/>
  <c r="CT70" i="2" a="1"/>
  <c r="CT70" i="2" s="1"/>
  <c r="CU70" i="2" a="1"/>
  <c r="CU70" i="2" s="1"/>
  <c r="CS56" i="2" a="1"/>
  <c r="CS56" i="2" s="1"/>
  <c r="CT56" i="2" a="1"/>
  <c r="CT56" i="2" s="1"/>
  <c r="CS42" i="2" a="1"/>
  <c r="CS42" i="2" s="1"/>
  <c r="CT42" i="2" a="1"/>
  <c r="CT42" i="2" s="1"/>
  <c r="CS28" i="2" a="1"/>
  <c r="CS28" i="2" s="1"/>
  <c r="CT28" i="2" a="1"/>
  <c r="CT28" i="2" s="1"/>
  <c r="CU28" i="2" a="1"/>
  <c r="CU28" i="2" s="1"/>
  <c r="CS704" i="2" a="1"/>
  <c r="CS704" i="2" s="1"/>
  <c r="CS690" i="2" a="1"/>
  <c r="CS690" i="2" s="1"/>
  <c r="CT690" i="2" a="1"/>
  <c r="CT690" i="2" s="1"/>
  <c r="CT676" i="2" a="1"/>
  <c r="CT676" i="2" s="1"/>
  <c r="CS676" i="2" a="1"/>
  <c r="CS676" i="2" s="1"/>
  <c r="CS662" i="2" a="1"/>
  <c r="CS662" i="2" s="1"/>
  <c r="CS648" i="2" a="1"/>
  <c r="CS648" i="2" s="1"/>
  <c r="CS634" i="2" a="1"/>
  <c r="CS634" i="2" s="1"/>
  <c r="CS620" i="2" a="1"/>
  <c r="CS620" i="2" s="1"/>
  <c r="CT620" i="2" a="1"/>
  <c r="CT620" i="2" s="1"/>
  <c r="CS606" i="2" a="1"/>
  <c r="CS606" i="2" s="1"/>
  <c r="CS592" i="2" a="1"/>
  <c r="CS592" i="2" s="1"/>
  <c r="CS578" i="2" a="1"/>
  <c r="CS578" i="2" s="1"/>
  <c r="CT578" i="2" a="1"/>
  <c r="CT578" i="2" s="1"/>
  <c r="CS564" i="2" a="1"/>
  <c r="CS564" i="2" s="1"/>
  <c r="CS550" i="2" a="1"/>
  <c r="CS550" i="2" s="1"/>
  <c r="CT550" i="2" a="1"/>
  <c r="CT550" i="2" s="1"/>
  <c r="CS536" i="2" a="1"/>
  <c r="CS536" i="2" s="1"/>
  <c r="CS522" i="2" a="1"/>
  <c r="CS522" i="2" s="1"/>
  <c r="CT522" i="2" a="1"/>
  <c r="CT522" i="2" s="1"/>
  <c r="CS508" i="2" a="1"/>
  <c r="CS508" i="2" s="1"/>
  <c r="CT508" i="2" a="1"/>
  <c r="CT508" i="2" s="1"/>
  <c r="CU508" i="2" a="1"/>
  <c r="CU508" i="2" s="1"/>
  <c r="CS494" i="2" a="1"/>
  <c r="CS494" i="2" s="1"/>
  <c r="CS480" i="2" a="1"/>
  <c r="CS480" i="2" s="1"/>
  <c r="CT480" i="2" a="1"/>
  <c r="CT480" i="2" s="1"/>
  <c r="CS466" i="2" a="1"/>
  <c r="CS466" i="2" s="1"/>
  <c r="CT466" i="2" a="1"/>
  <c r="CT466" i="2" s="1"/>
  <c r="CS452" i="2" a="1"/>
  <c r="CS452" i="2" s="1"/>
  <c r="CU452" i="2" a="1"/>
  <c r="CU452" i="2" s="1"/>
  <c r="CS438" i="2" a="1"/>
  <c r="CS438" i="2" s="1"/>
  <c r="CT438" i="2" a="1"/>
  <c r="CT438" i="2" s="1"/>
  <c r="CT424" i="2" a="1"/>
  <c r="CT424" i="2" s="1"/>
  <c r="CS410" i="2" a="1"/>
  <c r="CS410" i="2" s="1"/>
  <c r="CU410" i="2" a="1"/>
  <c r="CU410" i="2" s="1"/>
  <c r="CS396" i="2" a="1"/>
  <c r="CS396" i="2" s="1"/>
  <c r="CT396" i="2" a="1"/>
  <c r="CT396" i="2" s="1"/>
  <c r="CS382" i="2" a="1"/>
  <c r="CS382" i="2" s="1"/>
  <c r="CT382" i="2" a="1"/>
  <c r="CT382" i="2" s="1"/>
  <c r="CU382" i="2" a="1"/>
  <c r="CU382" i="2" s="1"/>
  <c r="CS368" i="2" a="1"/>
  <c r="CS368" i="2" s="1"/>
  <c r="CT368" i="2" a="1"/>
  <c r="CT368" i="2" s="1"/>
  <c r="CT354" i="2" a="1"/>
  <c r="CT354" i="2" s="1"/>
  <c r="CS354" i="2" a="1"/>
  <c r="CS354" i="2" s="1"/>
  <c r="CU354" i="2" a="1"/>
  <c r="CU354" i="2" s="1"/>
  <c r="CS340" i="2" a="1"/>
  <c r="CS340" i="2" s="1"/>
  <c r="CT340" i="2" a="1"/>
  <c r="CT340" i="2" s="1"/>
  <c r="CS326" i="2" a="1"/>
  <c r="CS326" i="2" s="1"/>
  <c r="CT326" i="2" a="1"/>
  <c r="CT326" i="2" s="1"/>
  <c r="CS312" i="2" a="1"/>
  <c r="CS312" i="2" s="1"/>
  <c r="CT312" i="2" a="1"/>
  <c r="CT312" i="2" s="1"/>
  <c r="CU312" i="2" a="1"/>
  <c r="CU312" i="2" s="1"/>
  <c r="CS298" i="2" a="1"/>
  <c r="CS298" i="2" s="1"/>
  <c r="CS284" i="2" a="1"/>
  <c r="CS284" i="2" s="1"/>
  <c r="CT284" i="2" a="1"/>
  <c r="CT284" i="2" s="1"/>
  <c r="CU284" i="2" a="1"/>
  <c r="CU284" i="2" s="1"/>
  <c r="CS270" i="2" a="1"/>
  <c r="CS270" i="2" s="1"/>
  <c r="CT270" i="2" a="1"/>
  <c r="CT270" i="2" s="1"/>
  <c r="CS256" i="2" a="1"/>
  <c r="CS256" i="2" s="1"/>
  <c r="CT256" i="2" a="1"/>
  <c r="CT256" i="2" s="1"/>
  <c r="CU256" i="2" a="1"/>
  <c r="CU256" i="2" s="1"/>
  <c r="CT242" i="2" a="1"/>
  <c r="CT242" i="2" s="1"/>
  <c r="CS242" i="2" a="1"/>
  <c r="CS242" i="2" s="1"/>
  <c r="CS228" i="2" a="1"/>
  <c r="CS228" i="2" s="1"/>
  <c r="CT228" i="2" a="1"/>
  <c r="CT228" i="2" s="1"/>
  <c r="CS214" i="2" a="1"/>
  <c r="CS214" i="2" s="1"/>
  <c r="CT214" i="2" a="1"/>
  <c r="CT214" i="2" s="1"/>
  <c r="CU214" i="2" a="1"/>
  <c r="CU214" i="2" s="1"/>
  <c r="CS200" i="2" a="1"/>
  <c r="CS200" i="2" s="1"/>
  <c r="CT200" i="2" a="1"/>
  <c r="CT200" i="2" s="1"/>
  <c r="CS186" i="2" a="1"/>
  <c r="CS186" i="2" s="1"/>
  <c r="CT186" i="2" a="1"/>
  <c r="CT186" i="2" s="1"/>
  <c r="CU186" i="2" a="1"/>
  <c r="CU186" i="2" s="1"/>
  <c r="CT172" i="2" a="1"/>
  <c r="CT172" i="2" s="1"/>
  <c r="CS172" i="2" a="1"/>
  <c r="CS172" i="2" s="1"/>
  <c r="CU172" i="2" a="1"/>
  <c r="CU172" i="2" s="1"/>
  <c r="CS158" i="2" a="1"/>
  <c r="CS158" i="2" s="1"/>
  <c r="CT158" i="2" a="1"/>
  <c r="CT158" i="2" s="1"/>
  <c r="CU158" i="2" a="1"/>
  <c r="CU158" i="2" s="1"/>
  <c r="CS144" i="2" a="1"/>
  <c r="CS144" i="2" s="1"/>
  <c r="CT144" i="2" a="1"/>
  <c r="CT144" i="2" s="1"/>
  <c r="CU144" i="2" a="1"/>
  <c r="CU144" i="2" s="1"/>
  <c r="CS130" i="2" a="1"/>
  <c r="CS130" i="2" s="1"/>
  <c r="CT130" i="2" a="1"/>
  <c r="CT130" i="2" s="1"/>
  <c r="CT116" i="2" a="1"/>
  <c r="CT116" i="2" s="1"/>
  <c r="CS116" i="2" a="1"/>
  <c r="CS116" i="2" s="1"/>
  <c r="CS102" i="2" a="1"/>
  <c r="CS102" i="2" s="1"/>
  <c r="CT102" i="2" a="1"/>
  <c r="CT102" i="2" s="1"/>
  <c r="CS88" i="2" a="1"/>
  <c r="CS88" i="2" s="1"/>
  <c r="CT88" i="2" a="1"/>
  <c r="CT88" i="2" s="1"/>
  <c r="CS74" i="2" a="1"/>
  <c r="CS74" i="2" s="1"/>
  <c r="CT74" i="2" a="1"/>
  <c r="CT74" i="2" s="1"/>
  <c r="CS60" i="2" a="1"/>
  <c r="CS60" i="2" s="1"/>
  <c r="CT60" i="2" a="1"/>
  <c r="CT60" i="2" s="1"/>
  <c r="CU60" i="2" a="1"/>
  <c r="CU60" i="2" s="1"/>
  <c r="CS46" i="2" a="1"/>
  <c r="CS46" i="2" s="1"/>
  <c r="CT46" i="2" a="1"/>
  <c r="CT46" i="2" s="1"/>
  <c r="CU46" i="2" a="1"/>
  <c r="CU46" i="2" s="1"/>
  <c r="CS32" i="2" a="1"/>
  <c r="CS32" i="2" s="1"/>
  <c r="CT32" i="2" a="1"/>
  <c r="CT32" i="2" s="1"/>
  <c r="CU32" i="2" a="1"/>
  <c r="CU32" i="2" s="1"/>
  <c r="CS18" i="2" a="1"/>
  <c r="CS18" i="2" s="1"/>
  <c r="CT18" i="2" a="1"/>
  <c r="CT18" i="2" s="1"/>
  <c r="CS4" i="2" a="1"/>
  <c r="CS4" i="2" s="1"/>
  <c r="CT694" i="2" a="1"/>
  <c r="CT694" i="2" s="1"/>
  <c r="CS680" i="2" a="1"/>
  <c r="CS680" i="2" s="1"/>
  <c r="CS666" i="2" a="1"/>
  <c r="CS666" i="2" s="1"/>
  <c r="CT666" i="2" a="1"/>
  <c r="CT666" i="2" s="1"/>
  <c r="CS652" i="2" a="1"/>
  <c r="CS652" i="2" s="1"/>
  <c r="CS638" i="2" a="1"/>
  <c r="CS638" i="2" s="1"/>
  <c r="CT638" i="2" a="1"/>
  <c r="CT638" i="2" s="1"/>
  <c r="CS624" i="2" a="1"/>
  <c r="CS624" i="2" s="1"/>
  <c r="CS610" i="2" a="1"/>
  <c r="CS610" i="2" s="1"/>
  <c r="CS596" i="2" a="1"/>
  <c r="CS596" i="2" s="1"/>
  <c r="CT596" i="2" a="1"/>
  <c r="CT596" i="2" s="1"/>
  <c r="CS582" i="2" a="1"/>
  <c r="CS582" i="2" s="1"/>
  <c r="CS568" i="2" a="1"/>
  <c r="CS568" i="2" s="1"/>
  <c r="CS554" i="2" a="1"/>
  <c r="CS554" i="2" s="1"/>
  <c r="CS540" i="2" a="1"/>
  <c r="CS540" i="2" s="1"/>
  <c r="CS526" i="2" a="1"/>
  <c r="CS526" i="2" s="1"/>
  <c r="CT526" i="2" a="1"/>
  <c r="CT526" i="2" s="1"/>
  <c r="CS512" i="2" a="1"/>
  <c r="CS512" i="2" s="1"/>
  <c r="CS498" i="2" a="1"/>
  <c r="CS498" i="2" s="1"/>
  <c r="CT498" i="2" a="1"/>
  <c r="CT498" i="2" s="1"/>
  <c r="CS484" i="2" a="1"/>
  <c r="CS484" i="2" s="1"/>
  <c r="CT484" i="2" a="1"/>
  <c r="CT484" i="2" s="1"/>
  <c r="CS470" i="2" a="1"/>
  <c r="CS470" i="2" s="1"/>
  <c r="CT470" i="2" a="1"/>
  <c r="CT470" i="2" s="1"/>
  <c r="CT414" i="2" a="1"/>
  <c r="CT414" i="2" s="1"/>
  <c r="CS486" i="2" a="1"/>
  <c r="CS486" i="2" s="1"/>
  <c r="CU486" i="2" a="1"/>
  <c r="CU486" i="2" s="1"/>
  <c r="CU444" i="2" a="1"/>
  <c r="CU444" i="2" s="1"/>
  <c r="CU430" i="2" a="1"/>
  <c r="CU430" i="2" s="1"/>
  <c r="CS430" i="2" a="1"/>
  <c r="CS430" i="2" s="1"/>
  <c r="CS416" i="2" a="1"/>
  <c r="CS416" i="2" s="1"/>
  <c r="CT416" i="2" a="1"/>
  <c r="CT416" i="2" s="1"/>
  <c r="CU416" i="2" a="1"/>
  <c r="CU416" i="2" s="1"/>
  <c r="CU388" i="2" a="1"/>
  <c r="CU388" i="2" s="1"/>
  <c r="CT374" i="2" a="1"/>
  <c r="CT374" i="2" s="1"/>
  <c r="CU374" i="2" a="1"/>
  <c r="CU374" i="2" s="1"/>
  <c r="CS360" i="2" a="1"/>
  <c r="CS360" i="2" s="1"/>
  <c r="CU360" i="2" a="1"/>
  <c r="CU360" i="2" s="1"/>
  <c r="CT360" i="2" a="1"/>
  <c r="CT360" i="2" s="1"/>
  <c r="CS346" i="2" a="1"/>
  <c r="CS346" i="2" s="1"/>
  <c r="CU346" i="2" a="1"/>
  <c r="CU346" i="2" s="1"/>
  <c r="CT346" i="2" a="1"/>
  <c r="CT346" i="2" s="1"/>
  <c r="CT332" i="2" a="1"/>
  <c r="CT332" i="2" s="1"/>
  <c r="CU332" i="2" a="1"/>
  <c r="CU332" i="2" s="1"/>
  <c r="CS332" i="2" a="1"/>
  <c r="CS332" i="2" s="1"/>
  <c r="CS318" i="2" a="1"/>
  <c r="CS318" i="2" s="1"/>
  <c r="CU318" i="2" a="1"/>
  <c r="CU318" i="2" s="1"/>
  <c r="CT318" i="2" a="1"/>
  <c r="CT318" i="2" s="1"/>
  <c r="CS304" i="2" a="1"/>
  <c r="CS304" i="2" s="1"/>
  <c r="CT304" i="2" a="1"/>
  <c r="CT304" i="2" s="1"/>
  <c r="CU304" i="2" a="1"/>
  <c r="CU304" i="2" s="1"/>
  <c r="CS290" i="2" a="1"/>
  <c r="CS290" i="2" s="1"/>
  <c r="CT290" i="2" a="1"/>
  <c r="CT290" i="2" s="1"/>
  <c r="CU290" i="2" a="1"/>
  <c r="CU290" i="2" s="1"/>
  <c r="CS276" i="2" a="1"/>
  <c r="CS276" i="2" s="1"/>
  <c r="CT276" i="2" a="1"/>
  <c r="CT276" i="2" s="1"/>
  <c r="CU276" i="2" a="1"/>
  <c r="CU276" i="2" s="1"/>
  <c r="CS262" i="2" a="1"/>
  <c r="CS262" i="2" s="1"/>
  <c r="CT262" i="2" a="1"/>
  <c r="CT262" i="2" s="1"/>
  <c r="CU262" i="2" a="1"/>
  <c r="CU262" i="2" s="1"/>
  <c r="CS248" i="2" a="1"/>
  <c r="CS248" i="2" s="1"/>
  <c r="CU248" i="2" a="1"/>
  <c r="CU248" i="2" s="1"/>
  <c r="CT248" i="2" a="1"/>
  <c r="CT248" i="2" s="1"/>
  <c r="CS234" i="2" a="1"/>
  <c r="CS234" i="2" s="1"/>
  <c r="CT234" i="2" a="1"/>
  <c r="CT234" i="2" s="1"/>
  <c r="CU234" i="2" a="1"/>
  <c r="CU234" i="2" s="1"/>
  <c r="CS220" i="2" a="1"/>
  <c r="CS220" i="2" s="1"/>
  <c r="CU220" i="2" a="1"/>
  <c r="CU220" i="2" s="1"/>
  <c r="CS206" i="2" a="1"/>
  <c r="CS206" i="2" s="1"/>
  <c r="CU206" i="2" a="1"/>
  <c r="CU206" i="2" s="1"/>
  <c r="CT206" i="2" a="1"/>
  <c r="CT206" i="2" s="1"/>
  <c r="CS192" i="2" a="1"/>
  <c r="CS192" i="2" s="1"/>
  <c r="CT192" i="2" a="1"/>
  <c r="CT192" i="2" s="1"/>
  <c r="CU192" i="2" a="1"/>
  <c r="CU192" i="2" s="1"/>
  <c r="CT178" i="2" a="1"/>
  <c r="CT178" i="2" s="1"/>
  <c r="CS178" i="2" a="1"/>
  <c r="CS178" i="2" s="1"/>
  <c r="CS150" i="2" a="1"/>
  <c r="CS150" i="2" s="1"/>
  <c r="CT150" i="2" a="1"/>
  <c r="CT150" i="2" s="1"/>
  <c r="CU150" i="2" a="1"/>
  <c r="CU150" i="2" s="1"/>
  <c r="CS122" i="2" a="1"/>
  <c r="CS122" i="2" s="1"/>
  <c r="CT122" i="2" a="1"/>
  <c r="CT122" i="2" s="1"/>
  <c r="CS94" i="2" a="1"/>
  <c r="CS94" i="2" s="1"/>
  <c r="CT94" i="2" a="1"/>
  <c r="CT94" i="2" s="1"/>
  <c r="CS66" i="2" a="1"/>
  <c r="CS66" i="2" s="1"/>
  <c r="CT66" i="2" a="1"/>
  <c r="CT66" i="2" s="1"/>
  <c r="CU66" i="2" a="1"/>
  <c r="CU66" i="2" s="1"/>
  <c r="CS700" i="2" a="1"/>
  <c r="CS700" i="2" s="1"/>
  <c r="CS672" i="2" a="1"/>
  <c r="CS672" i="2" s="1"/>
  <c r="CS658" i="2" a="1"/>
  <c r="CS658" i="2" s="1"/>
  <c r="CT658" i="2" a="1"/>
  <c r="CT658" i="2" s="1"/>
  <c r="CS630" i="2" a="1"/>
  <c r="CS630" i="2" s="1"/>
  <c r="CS574" i="2" a="1"/>
  <c r="CS574" i="2" s="1"/>
  <c r="CS546" i="2" a="1"/>
  <c r="CS546" i="2" s="1"/>
  <c r="CS532" i="2" a="1"/>
  <c r="CS532" i="2" s="1"/>
  <c r="CT532" i="2" a="1"/>
  <c r="CT532" i="2" s="1"/>
  <c r="CS504" i="2" a="1"/>
  <c r="CS504" i="2" s="1"/>
  <c r="CS490" i="2" a="1"/>
  <c r="CS490" i="2" s="1"/>
  <c r="CT490" i="2" a="1"/>
  <c r="CT490" i="2" s="1"/>
  <c r="CS462" i="2" a="1"/>
  <c r="CS462" i="2" s="1"/>
  <c r="CS434" i="2" a="1"/>
  <c r="CS434" i="2" s="1"/>
  <c r="CS350" i="2" a="1"/>
  <c r="CS350" i="2" s="1"/>
  <c r="CS336" i="2" a="1"/>
  <c r="CS336" i="2" s="1"/>
  <c r="CT336" i="2" a="1"/>
  <c r="CT336" i="2" s="1"/>
  <c r="CS322" i="2" a="1"/>
  <c r="CS322" i="2" s="1"/>
  <c r="CT322" i="2" a="1"/>
  <c r="CT322" i="2" s="1"/>
  <c r="CS308" i="2" a="1"/>
  <c r="CS308" i="2" s="1"/>
  <c r="CT308" i="2" a="1"/>
  <c r="CT308" i="2" s="1"/>
  <c r="CS294" i="2" a="1"/>
  <c r="CS294" i="2" s="1"/>
  <c r="CT294" i="2" a="1"/>
  <c r="CT294" i="2" s="1"/>
  <c r="CS280" i="2" a="1"/>
  <c r="CS280" i="2" s="1"/>
  <c r="CT280" i="2" a="1"/>
  <c r="CT280" i="2" s="1"/>
  <c r="CS14" i="2" a="1"/>
  <c r="CS14" i="2" s="1"/>
  <c r="CT14" i="2" a="1"/>
  <c r="CT14" i="2" s="1"/>
  <c r="CU14" i="2" a="1"/>
  <c r="CU14" i="2" s="1"/>
  <c r="CU658" i="2" a="1"/>
  <c r="CU658" i="2" s="1"/>
  <c r="CU364" i="2" a="1"/>
  <c r="CU364" i="2" s="1"/>
  <c r="CU224" i="2" a="1"/>
  <c r="CU224" i="2" s="1"/>
  <c r="CU98" i="2" a="1"/>
  <c r="CU98" i="2" s="1"/>
  <c r="CU80" i="2" a="1"/>
  <c r="CU80" i="2" s="1"/>
  <c r="CT462" i="2" a="1"/>
  <c r="CT462" i="2" s="1"/>
  <c r="CT164" i="2" a="1"/>
  <c r="CT164" i="2" s="1"/>
  <c r="CU616" i="2" a="1"/>
  <c r="CU616" i="2" s="1"/>
  <c r="CU504" i="2" a="1"/>
  <c r="CU504" i="2" s="1"/>
  <c r="CT616" i="2" a="1"/>
  <c r="CT616" i="2" s="1"/>
  <c r="CT220" i="2" a="1"/>
  <c r="CT220" i="2" s="1"/>
  <c r="CS448" i="2" a="1"/>
  <c r="CS448" i="2" s="1"/>
  <c r="CU94" i="2" a="1"/>
  <c r="CU94" i="2" s="1"/>
  <c r="CT672" i="2" a="1"/>
  <c r="CT672" i="2" s="1"/>
  <c r="CT402" i="2" a="1"/>
  <c r="CT402" i="2" s="1"/>
  <c r="CS444" i="2" a="1"/>
  <c r="CS444" i="2" s="1"/>
  <c r="CU672" i="2" a="1"/>
  <c r="CU672" i="2" s="1"/>
  <c r="CU648" i="2" a="1"/>
  <c r="CU648" i="2" s="1"/>
  <c r="CU560" i="2" a="1"/>
  <c r="CU560" i="2" s="1"/>
  <c r="CU494" i="2" a="1"/>
  <c r="CU494" i="2" s="1"/>
  <c r="CU196" i="2" a="1"/>
  <c r="CU196" i="2" s="1"/>
  <c r="CU164" i="2" a="1"/>
  <c r="CU164" i="2" s="1"/>
  <c r="CU4" i="2" a="1"/>
  <c r="CU4" i="2" s="1"/>
  <c r="CT652" i="2" a="1"/>
  <c r="CT652" i="2" s="1"/>
  <c r="CT518" i="2" a="1"/>
  <c r="CT518" i="2" s="1"/>
  <c r="CU588" i="2" a="1"/>
  <c r="CU588" i="2" s="1"/>
  <c r="CU462" i="2" a="1"/>
  <c r="CU462" i="2" s="1"/>
  <c r="CU280" i="2" a="1"/>
  <c r="CU280" i="2" s="1"/>
  <c r="CU126" i="2" a="1"/>
  <c r="CU126" i="2" s="1"/>
  <c r="CU56" i="2" a="1"/>
  <c r="CU56" i="2" s="1"/>
  <c r="CT592" i="2" a="1"/>
  <c r="CT592" i="2" s="1"/>
  <c r="CT574" i="2" a="1"/>
  <c r="CT574" i="2" s="1"/>
  <c r="CT536" i="2" a="1"/>
  <c r="CT536" i="2" s="1"/>
  <c r="CT452" i="2" a="1"/>
  <c r="CT452" i="2" s="1"/>
  <c r="CS424" i="2" a="1"/>
  <c r="CS424" i="2" s="1"/>
  <c r="CS413" i="2" a="1"/>
  <c r="CS413" i="2" s="1"/>
  <c r="CS399" i="2" a="1"/>
  <c r="CS399" i="2" s="1"/>
  <c r="CS385" i="2" a="1"/>
  <c r="CS385" i="2" s="1"/>
  <c r="CT385" i="2" a="1"/>
  <c r="CT385" i="2" s="1"/>
  <c r="CS371" i="2" a="1"/>
  <c r="CS371" i="2" s="1"/>
  <c r="CS357" i="2" a="1"/>
  <c r="CS357" i="2" s="1"/>
  <c r="CS343" i="2" a="1"/>
  <c r="CS343" i="2" s="1"/>
  <c r="CT343" i="2" a="1"/>
  <c r="CT343" i="2" s="1"/>
  <c r="CS329" i="2" a="1"/>
  <c r="CS329" i="2" s="1"/>
  <c r="CT329" i="2" a="1"/>
  <c r="CT329" i="2" s="1"/>
  <c r="CS315" i="2" a="1"/>
  <c r="CS315" i="2" s="1"/>
  <c r="CT315" i="2" a="1"/>
  <c r="CT315" i="2" s="1"/>
  <c r="CS301" i="2" a="1"/>
  <c r="CS301" i="2" s="1"/>
  <c r="CT301" i="2" a="1"/>
  <c r="CT301" i="2" s="1"/>
  <c r="CS287" i="2" a="1"/>
  <c r="CS287" i="2" s="1"/>
  <c r="CS273" i="2" a="1"/>
  <c r="CS273" i="2" s="1"/>
  <c r="CS259" i="2" a="1"/>
  <c r="CS259" i="2" s="1"/>
  <c r="CT259" i="2" a="1"/>
  <c r="CT259" i="2" s="1"/>
  <c r="CS245" i="2" a="1"/>
  <c r="CS245" i="2" s="1"/>
  <c r="CT245" i="2" a="1"/>
  <c r="CT245" i="2" s="1"/>
  <c r="CS231" i="2" a="1"/>
  <c r="CS231" i="2" s="1"/>
  <c r="CT231" i="2" a="1"/>
  <c r="CT231" i="2" s="1"/>
  <c r="CS217" i="2" a="1"/>
  <c r="CS217" i="2" s="1"/>
  <c r="CT217" i="2" a="1"/>
  <c r="CT217" i="2" s="1"/>
  <c r="CS203" i="2" a="1"/>
  <c r="CS203" i="2" s="1"/>
  <c r="CT203" i="2" a="1"/>
  <c r="CT203" i="2" s="1"/>
  <c r="CS189" i="2" a="1"/>
  <c r="CS189" i="2" s="1"/>
  <c r="CS175" i="2" a="1"/>
  <c r="CS175" i="2" s="1"/>
  <c r="CT175" i="2" a="1"/>
  <c r="CT175" i="2" s="1"/>
  <c r="CS161" i="2" a="1"/>
  <c r="CS161" i="2" s="1"/>
  <c r="CT161" i="2" a="1"/>
  <c r="CT161" i="2" s="1"/>
  <c r="CS147" i="2" a="1"/>
  <c r="CS147" i="2" s="1"/>
  <c r="CT147" i="2" a="1"/>
  <c r="CT147" i="2" s="1"/>
  <c r="CS133" i="2" a="1"/>
  <c r="CS133" i="2" s="1"/>
  <c r="CU133" i="2" a="1"/>
  <c r="CU133" i="2" s="1"/>
  <c r="CT133" i="2" a="1"/>
  <c r="CT133" i="2" s="1"/>
  <c r="CS119" i="2" a="1"/>
  <c r="CS119" i="2" s="1"/>
  <c r="CT119" i="2" a="1"/>
  <c r="CT119" i="2" s="1"/>
  <c r="CU119" i="2" a="1"/>
  <c r="CU119" i="2" s="1"/>
  <c r="CS105" i="2" a="1"/>
  <c r="CS105" i="2" s="1"/>
  <c r="CT105" i="2" a="1"/>
  <c r="CT105" i="2" s="1"/>
  <c r="CS91" i="2" a="1"/>
  <c r="CS91" i="2" s="1"/>
  <c r="CT91" i="2" a="1"/>
  <c r="CT91" i="2" s="1"/>
  <c r="CS77" i="2" a="1"/>
  <c r="CS77" i="2" s="1"/>
  <c r="CT77" i="2" a="1"/>
  <c r="CT77" i="2" s="1"/>
  <c r="CS63" i="2" a="1"/>
  <c r="CS63" i="2" s="1"/>
  <c r="CT63" i="2" a="1"/>
  <c r="CT63" i="2" s="1"/>
  <c r="CS49" i="2" a="1"/>
  <c r="CS49" i="2" s="1"/>
  <c r="CT49" i="2" a="1"/>
  <c r="CT49" i="2" s="1"/>
  <c r="CS35" i="2" a="1"/>
  <c r="CS35" i="2" s="1"/>
  <c r="CT35" i="2" a="1"/>
  <c r="CT35" i="2" s="1"/>
  <c r="CU35" i="2" a="1"/>
  <c r="CU35" i="2" s="1"/>
  <c r="CS21" i="2" a="1"/>
  <c r="CS21" i="2" s="1"/>
  <c r="CT21" i="2" a="1"/>
  <c r="CT21" i="2" s="1"/>
  <c r="CU21" i="2" a="1"/>
  <c r="CU21" i="2" s="1"/>
  <c r="CS7" i="2" a="1"/>
  <c r="CS7" i="2" s="1"/>
  <c r="CT7" i="2" a="1"/>
  <c r="CT7" i="2" s="1"/>
  <c r="CS697" i="2" a="1"/>
  <c r="CS697" i="2" s="1"/>
  <c r="CS655" i="2" a="1"/>
  <c r="CS655" i="2" s="1"/>
  <c r="CT655" i="2" a="1"/>
  <c r="CT655" i="2" s="1"/>
  <c r="CS641" i="2" a="1"/>
  <c r="CS641" i="2" s="1"/>
  <c r="CT627" i="2" a="1"/>
  <c r="CT627" i="2" s="1"/>
  <c r="CS613" i="2" a="1"/>
  <c r="CS613" i="2" s="1"/>
  <c r="CS599" i="2" a="1"/>
  <c r="CS599" i="2" s="1"/>
  <c r="CS585" i="2" a="1"/>
  <c r="CS585" i="2" s="1"/>
  <c r="CT585" i="2" a="1"/>
  <c r="CT585" i="2" s="1"/>
  <c r="CS571" i="2" a="1"/>
  <c r="CS571" i="2" s="1"/>
  <c r="CS557" i="2" a="1"/>
  <c r="CS557" i="2" s="1"/>
  <c r="CS543" i="2" a="1"/>
  <c r="CS543" i="2" s="1"/>
  <c r="CT543" i="2" a="1"/>
  <c r="CT543" i="2" s="1"/>
  <c r="CS529" i="2" a="1"/>
  <c r="CS529" i="2" s="1"/>
  <c r="CT529" i="2" a="1"/>
  <c r="CT529" i="2" s="1"/>
  <c r="CS515" i="2" a="1"/>
  <c r="CS515" i="2" s="1"/>
  <c r="CT515" i="2" a="1"/>
  <c r="CT515" i="2" s="1"/>
  <c r="CS501" i="2" a="1"/>
  <c r="CS501" i="2" s="1"/>
  <c r="CS487" i="2" a="1"/>
  <c r="CS487" i="2" s="1"/>
  <c r="CT487" i="2" a="1"/>
  <c r="CT487" i="2" s="1"/>
  <c r="CT473" i="2" a="1"/>
  <c r="CT473" i="2" s="1"/>
  <c r="CS473" i="2" a="1"/>
  <c r="CS473" i="2" s="1"/>
  <c r="CS459" i="2" a="1"/>
  <c r="CS459" i="2" s="1"/>
  <c r="CT459" i="2" a="1"/>
  <c r="CT459" i="2" s="1"/>
  <c r="CS445" i="2" a="1"/>
  <c r="CS445" i="2" s="1"/>
  <c r="CS431" i="2" a="1"/>
  <c r="CS431" i="2" s="1"/>
  <c r="CT431" i="2" a="1"/>
  <c r="CT431" i="2" s="1"/>
  <c r="CS417" i="2" a="1"/>
  <c r="CS417" i="2" s="1"/>
  <c r="CT417" i="2" a="1"/>
  <c r="CT417" i="2" s="1"/>
  <c r="CS403" i="2" a="1"/>
  <c r="CS403" i="2" s="1"/>
  <c r="CS389" i="2" a="1"/>
  <c r="CS389" i="2" s="1"/>
  <c r="CT375" i="2" a="1"/>
  <c r="CT375" i="2" s="1"/>
  <c r="CS361" i="2" a="1"/>
  <c r="CS361" i="2" s="1"/>
  <c r="CS347" i="2" a="1"/>
  <c r="CS347" i="2" s="1"/>
  <c r="CT333" i="2" a="1"/>
  <c r="CT333" i="2" s="1"/>
  <c r="CS333" i="2" a="1"/>
  <c r="CS333" i="2" s="1"/>
  <c r="CS319" i="2" a="1"/>
  <c r="CS319" i="2" s="1"/>
  <c r="CT319" i="2" a="1"/>
  <c r="CT319" i="2" s="1"/>
  <c r="CS305" i="2" a="1"/>
  <c r="CS305" i="2" s="1"/>
  <c r="CT305" i="2" a="1"/>
  <c r="CT305" i="2" s="1"/>
  <c r="CS291" i="2" a="1"/>
  <c r="CS291" i="2" s="1"/>
  <c r="CT291" i="2" a="1"/>
  <c r="CT291" i="2" s="1"/>
  <c r="CT277" i="2" a="1"/>
  <c r="CT277" i="2" s="1"/>
  <c r="CS277" i="2" a="1"/>
  <c r="CS277" i="2" s="1"/>
  <c r="CS263" i="2" a="1"/>
  <c r="CS263" i="2" s="1"/>
  <c r="CT263" i="2" a="1"/>
  <c r="CT263" i="2" s="1"/>
  <c r="CS249" i="2" a="1"/>
  <c r="CS249" i="2" s="1"/>
  <c r="CT249" i="2" a="1"/>
  <c r="CT249" i="2" s="1"/>
  <c r="CS235" i="2" a="1"/>
  <c r="CS235" i="2" s="1"/>
  <c r="CT235" i="2" a="1"/>
  <c r="CT235" i="2" s="1"/>
  <c r="CT221" i="2" a="1"/>
  <c r="CT221" i="2" s="1"/>
  <c r="CS207" i="2" a="1"/>
  <c r="CS207" i="2" s="1"/>
  <c r="CT207" i="2" a="1"/>
  <c r="CT207" i="2" s="1"/>
  <c r="CT193" i="2" a="1"/>
  <c r="CT193" i="2" s="1"/>
  <c r="CS193" i="2" a="1"/>
  <c r="CS193" i="2" s="1"/>
  <c r="CS179" i="2" a="1"/>
  <c r="CS179" i="2" s="1"/>
  <c r="CT179" i="2" a="1"/>
  <c r="CT179" i="2" s="1"/>
  <c r="CT165" i="2" a="1"/>
  <c r="CT165" i="2" s="1"/>
  <c r="CS165" i="2" a="1"/>
  <c r="CS165" i="2" s="1"/>
  <c r="CS151" i="2" a="1"/>
  <c r="CS151" i="2" s="1"/>
  <c r="CT151" i="2" a="1"/>
  <c r="CT151" i="2" s="1"/>
  <c r="CS137" i="2" a="1"/>
  <c r="CS137" i="2" s="1"/>
  <c r="CT137" i="2" a="1"/>
  <c r="CT137" i="2" s="1"/>
  <c r="CS123" i="2" a="1"/>
  <c r="CS123" i="2" s="1"/>
  <c r="CT123" i="2" a="1"/>
  <c r="CT123" i="2" s="1"/>
  <c r="CS109" i="2" a="1"/>
  <c r="CS109" i="2" s="1"/>
  <c r="CT109" i="2" a="1"/>
  <c r="CT109" i="2" s="1"/>
  <c r="CU109" i="2" a="1"/>
  <c r="CU109" i="2" s="1"/>
  <c r="CT95" i="2" a="1"/>
  <c r="CT95" i="2" s="1"/>
  <c r="CS95" i="2" a="1"/>
  <c r="CS95" i="2" s="1"/>
  <c r="CU95" i="2" a="1"/>
  <c r="CU95" i="2" s="1"/>
  <c r="CT81" i="2" a="1"/>
  <c r="CT81" i="2" s="1"/>
  <c r="CS81" i="2" a="1"/>
  <c r="CS81" i="2" s="1"/>
  <c r="CS67" i="2" a="1"/>
  <c r="CS67" i="2" s="1"/>
  <c r="CT67" i="2" a="1"/>
  <c r="CT67" i="2" s="1"/>
  <c r="CT53" i="2" a="1"/>
  <c r="CT53" i="2" s="1"/>
  <c r="CS53" i="2" a="1"/>
  <c r="CS53" i="2" s="1"/>
  <c r="CT39" i="2" a="1"/>
  <c r="CT39" i="2" s="1"/>
  <c r="CS39" i="2" a="1"/>
  <c r="CS39" i="2" s="1"/>
  <c r="CS25" i="2" a="1"/>
  <c r="CS25" i="2" s="1"/>
  <c r="CT25" i="2" a="1"/>
  <c r="CT25" i="2" s="1"/>
  <c r="CS11" i="2" a="1"/>
  <c r="CS11" i="2" s="1"/>
  <c r="CT11" i="2" a="1"/>
  <c r="CT11" i="2" s="1"/>
  <c r="CU11" i="2" a="1"/>
  <c r="CU11" i="2" s="1"/>
  <c r="CT399" i="2" a="1"/>
  <c r="CT399" i="2" s="1"/>
  <c r="CT357" i="2" a="1"/>
  <c r="CT357" i="2" s="1"/>
  <c r="CS456" i="2" a="1"/>
  <c r="CS456" i="2" s="1"/>
  <c r="CS442" i="2" a="1"/>
  <c r="CS442" i="2" s="1"/>
  <c r="CS428" i="2" a="1"/>
  <c r="CS428" i="2" s="1"/>
  <c r="CS414" i="2" a="1"/>
  <c r="CS414" i="2" s="1"/>
  <c r="CS400" i="2" a="1"/>
  <c r="CS400" i="2" s="1"/>
  <c r="CS386" i="2" a="1"/>
  <c r="CS386" i="2" s="1"/>
  <c r="CT386" i="2" a="1"/>
  <c r="CT386" i="2" s="1"/>
  <c r="CS372" i="2" a="1"/>
  <c r="CS372" i="2" s="1"/>
  <c r="CS358" i="2" a="1"/>
  <c r="CS358" i="2" s="1"/>
  <c r="CS344" i="2" a="1"/>
  <c r="CS344" i="2" s="1"/>
  <c r="CT344" i="2" a="1"/>
  <c r="CT344" i="2" s="1"/>
  <c r="CS330" i="2" a="1"/>
  <c r="CS330" i="2" s="1"/>
  <c r="CT330" i="2" a="1"/>
  <c r="CT330" i="2" s="1"/>
  <c r="CS316" i="2" a="1"/>
  <c r="CS316" i="2" s="1"/>
  <c r="CT302" i="2" a="1"/>
  <c r="CT302" i="2" s="1"/>
  <c r="CS302" i="2" a="1"/>
  <c r="CS302" i="2" s="1"/>
  <c r="CT288" i="2" a="1"/>
  <c r="CT288" i="2" s="1"/>
  <c r="CS288" i="2" a="1"/>
  <c r="CS288" i="2" s="1"/>
  <c r="CS274" i="2" a="1"/>
  <c r="CS274" i="2" s="1"/>
  <c r="CT274" i="2" a="1"/>
  <c r="CT274" i="2" s="1"/>
  <c r="CS260" i="2" a="1"/>
  <c r="CS260" i="2" s="1"/>
  <c r="CT260" i="2" a="1"/>
  <c r="CT260" i="2" s="1"/>
  <c r="CS246" i="2" a="1"/>
  <c r="CS246" i="2" s="1"/>
  <c r="CT246" i="2" a="1"/>
  <c r="CT246" i="2" s="1"/>
  <c r="CS232" i="2" a="1"/>
  <c r="CS232" i="2" s="1"/>
  <c r="CT232" i="2" a="1"/>
  <c r="CT232" i="2" s="1"/>
  <c r="CS218" i="2" a="1"/>
  <c r="CS218" i="2" s="1"/>
  <c r="CT218" i="2" a="1"/>
  <c r="CT218" i="2" s="1"/>
  <c r="CS204" i="2" a="1"/>
  <c r="CS204" i="2" s="1"/>
  <c r="CS190" i="2" a="1"/>
  <c r="CS190" i="2" s="1"/>
  <c r="CT190" i="2" a="1"/>
  <c r="CT190" i="2" s="1"/>
  <c r="CS176" i="2" a="1"/>
  <c r="CS176" i="2" s="1"/>
  <c r="CU176" i="2" a="1"/>
  <c r="CU176" i="2" s="1"/>
  <c r="CT176" i="2" a="1"/>
  <c r="CT176" i="2" s="1"/>
  <c r="CS162" i="2" a="1"/>
  <c r="CS162" i="2" s="1"/>
  <c r="CT162" i="2" a="1"/>
  <c r="CT162" i="2" s="1"/>
  <c r="CS148" i="2" a="1"/>
  <c r="CS148" i="2" s="1"/>
  <c r="CT148" i="2" a="1"/>
  <c r="CT148" i="2" s="1"/>
  <c r="CS134" i="2" a="1"/>
  <c r="CS134" i="2" s="1"/>
  <c r="CT134" i="2" a="1"/>
  <c r="CT134" i="2" s="1"/>
  <c r="CS120" i="2" a="1"/>
  <c r="CS120" i="2" s="1"/>
  <c r="CT120" i="2" a="1"/>
  <c r="CT120" i="2" s="1"/>
  <c r="CS106" i="2" a="1"/>
  <c r="CS106" i="2" s="1"/>
  <c r="CT106" i="2" a="1"/>
  <c r="CT106" i="2" s="1"/>
  <c r="CS92" i="2" a="1"/>
  <c r="CS92" i="2" s="1"/>
  <c r="CT92" i="2" a="1"/>
  <c r="CT92" i="2" s="1"/>
  <c r="CU92" i="2" a="1"/>
  <c r="CU92" i="2" s="1"/>
  <c r="CS78" i="2" a="1"/>
  <c r="CS78" i="2" s="1"/>
  <c r="CT78" i="2" a="1"/>
  <c r="CT78" i="2" s="1"/>
  <c r="CU78" i="2" a="1"/>
  <c r="CU78" i="2" s="1"/>
  <c r="CS64" i="2" a="1"/>
  <c r="CS64" i="2" s="1"/>
  <c r="CT64" i="2" a="1"/>
  <c r="CT64" i="2" s="1"/>
  <c r="CS50" i="2" a="1"/>
  <c r="CS50" i="2" s="1"/>
  <c r="CT50" i="2" a="1"/>
  <c r="CT50" i="2" s="1"/>
  <c r="CS36" i="2" a="1"/>
  <c r="CS36" i="2" s="1"/>
  <c r="CT36" i="2" a="1"/>
  <c r="CT36" i="2" s="1"/>
  <c r="CS22" i="2" a="1"/>
  <c r="CS22" i="2" s="1"/>
  <c r="CT22" i="2" a="1"/>
  <c r="CT22" i="2" s="1"/>
  <c r="CS8" i="2" a="1"/>
  <c r="CS8" i="2" s="1"/>
  <c r="CT8" i="2" a="1"/>
  <c r="CT8" i="2" s="1"/>
  <c r="CS698" i="2" a="1"/>
  <c r="CS698" i="2" s="1"/>
  <c r="CT698" i="2" a="1"/>
  <c r="CT698" i="2" s="1"/>
  <c r="CT684" i="2" a="1"/>
  <c r="CT684" i="2" s="1"/>
  <c r="CS684" i="2" a="1"/>
  <c r="CS684" i="2" s="1"/>
  <c r="CS670" i="2" a="1"/>
  <c r="CS670" i="2" s="1"/>
  <c r="CS656" i="2" a="1"/>
  <c r="CS656" i="2" s="1"/>
  <c r="CS642" i="2" a="1"/>
  <c r="CS642" i="2" s="1"/>
  <c r="CS628" i="2" a="1"/>
  <c r="CS628" i="2" s="1"/>
  <c r="CS614" i="2" a="1"/>
  <c r="CS614" i="2" s="1"/>
  <c r="CT614" i="2" a="1"/>
  <c r="CT614" i="2" s="1"/>
  <c r="CS600" i="2" a="1"/>
  <c r="CS600" i="2" s="1"/>
  <c r="CT586" i="2" a="1"/>
  <c r="CT586" i="2" s="1"/>
  <c r="CS586" i="2" a="1"/>
  <c r="CS586" i="2" s="1"/>
  <c r="CS572" i="2" a="1"/>
  <c r="CS572" i="2" s="1"/>
  <c r="CT558" i="2" a="1"/>
  <c r="CT558" i="2" s="1"/>
  <c r="CS544" i="2" a="1"/>
  <c r="CS544" i="2" s="1"/>
  <c r="CS530" i="2" a="1"/>
  <c r="CS530" i="2" s="1"/>
  <c r="CS516" i="2" a="1"/>
  <c r="CS516" i="2" s="1"/>
  <c r="CS502" i="2" a="1"/>
  <c r="CS502" i="2" s="1"/>
  <c r="CS488" i="2" a="1"/>
  <c r="CS488" i="2" s="1"/>
  <c r="CT488" i="2" a="1"/>
  <c r="CT488" i="2" s="1"/>
  <c r="CS474" i="2" a="1"/>
  <c r="CS474" i="2" s="1"/>
  <c r="CT474" i="2" a="1"/>
  <c r="CT474" i="2" s="1"/>
  <c r="CS460" i="2" a="1"/>
  <c r="CS460" i="2" s="1"/>
  <c r="CT460" i="2" a="1"/>
  <c r="CT460" i="2" s="1"/>
  <c r="CS446" i="2" a="1"/>
  <c r="CS446" i="2" s="1"/>
  <c r="CT446" i="2" a="1"/>
  <c r="CT446" i="2" s="1"/>
  <c r="CS432" i="2" a="1"/>
  <c r="CS432" i="2" s="1"/>
  <c r="CT432" i="2" a="1"/>
  <c r="CT432" i="2" s="1"/>
  <c r="CS390" i="2" a="1"/>
  <c r="CS390" i="2" s="1"/>
  <c r="CT264" i="2" a="1"/>
  <c r="CT264" i="2" s="1"/>
  <c r="CS236" i="2" a="1"/>
  <c r="CS236" i="2" s="1"/>
  <c r="CT222" i="2" a="1"/>
  <c r="CT222" i="2" s="1"/>
  <c r="CT194" i="2" a="1"/>
  <c r="CT194" i="2" s="1"/>
  <c r="CT110" i="2" a="1"/>
  <c r="CT110" i="2" s="1"/>
  <c r="CT26" i="2" a="1"/>
  <c r="CT26" i="2" s="1"/>
  <c r="CS12" i="2" a="1"/>
  <c r="CS12" i="2" s="1"/>
  <c r="CS660" i="2" a="1"/>
  <c r="CS660" i="2" s="1"/>
  <c r="CT408" i="2" a="1"/>
  <c r="CT408" i="2" s="1"/>
  <c r="CU329" i="2" a="1"/>
  <c r="CU329" i="2" s="1"/>
  <c r="CU231" i="2" a="1"/>
  <c r="CU231" i="2" s="1"/>
  <c r="CU120" i="2" a="1"/>
  <c r="CU120" i="2" s="1"/>
  <c r="CU63" i="2" a="1"/>
  <c r="CU63" i="2" s="1"/>
  <c r="CU50" i="2" a="1"/>
  <c r="CU50" i="2" s="1"/>
  <c r="CT697" i="2" a="1"/>
  <c r="CT697" i="2" s="1"/>
  <c r="CT316" i="2" a="1"/>
  <c r="CT316" i="2" s="1"/>
  <c r="CS558" i="2" a="1"/>
  <c r="CS558" i="2" s="1"/>
  <c r="CU399" i="2" a="1"/>
  <c r="CU399" i="2" s="1"/>
  <c r="CU301" i="2" a="1"/>
  <c r="CU301" i="2" s="1"/>
  <c r="CU203" i="2" a="1"/>
  <c r="CU203" i="2" s="1"/>
  <c r="CU175" i="2" a="1"/>
  <c r="CU175" i="2" s="1"/>
  <c r="CU49" i="2" a="1"/>
  <c r="CU49" i="2" s="1"/>
  <c r="CT442" i="2" a="1"/>
  <c r="CT442" i="2" s="1"/>
  <c r="CT389" i="2" a="1"/>
  <c r="CT389" i="2" s="1"/>
  <c r="CS375" i="2" a="1"/>
  <c r="CS375" i="2" s="1"/>
  <c r="CT670" i="2" a="1"/>
  <c r="CT670" i="2" s="1"/>
  <c r="CT572" i="2" a="1"/>
  <c r="CT572" i="2" s="1"/>
  <c r="CT403" i="2" a="1"/>
  <c r="CT403" i="2" s="1"/>
  <c r="CS575" i="2" a="1"/>
  <c r="CS575" i="2" s="1"/>
  <c r="CS547" i="2" a="1"/>
  <c r="CS547" i="2" s="1"/>
  <c r="CS519" i="2" a="1"/>
  <c r="CS519" i="2" s="1"/>
  <c r="CS477" i="2" a="1"/>
  <c r="CS477" i="2" s="1"/>
  <c r="CS449" i="2" a="1"/>
  <c r="CS449" i="2" s="1"/>
  <c r="CS421" i="2" a="1"/>
  <c r="CS421" i="2" s="1"/>
  <c r="CS407" i="2" a="1"/>
  <c r="CS407" i="2" s="1"/>
  <c r="CS379" i="2" a="1"/>
  <c r="CS379" i="2" s="1"/>
  <c r="CS351" i="2" a="1"/>
  <c r="CS351" i="2" s="1"/>
  <c r="CS323" i="2" a="1"/>
  <c r="CS323" i="2" s="1"/>
  <c r="CS309" i="2" a="1"/>
  <c r="CS309" i="2" s="1"/>
  <c r="CS281" i="2" a="1"/>
  <c r="CS281" i="2" s="1"/>
  <c r="CS267" i="2" a="1"/>
  <c r="CS267" i="2" s="1"/>
  <c r="CS225" i="2" a="1"/>
  <c r="CS225" i="2" s="1"/>
  <c r="CS169" i="2" a="1"/>
  <c r="CS169" i="2" s="1"/>
  <c r="CS141" i="2" a="1"/>
  <c r="CS141" i="2" s="1"/>
  <c r="CS127" i="2" a="1"/>
  <c r="CS127" i="2" s="1"/>
  <c r="CS85" i="2" a="1"/>
  <c r="CS85" i="2" s="1"/>
  <c r="CS71" i="2" a="1"/>
  <c r="CS71" i="2" s="1"/>
  <c r="CS29" i="2" a="1"/>
  <c r="CS29" i="2" s="1"/>
  <c r="CS418" i="2" a="1"/>
  <c r="CS418" i="2" s="1"/>
  <c r="CS404" i="2" a="1"/>
  <c r="CS404" i="2" s="1"/>
  <c r="CT390" i="2" a="1"/>
  <c r="CT390" i="2" s="1"/>
  <c r="CS376" i="2" a="1"/>
  <c r="CS376" i="2" s="1"/>
  <c r="CT376" i="2" a="1"/>
  <c r="CT376" i="2" s="1"/>
  <c r="CS362" i="2" a="1"/>
  <c r="CS362" i="2" s="1"/>
  <c r="CS348" i="2" a="1"/>
  <c r="CS348" i="2" s="1"/>
  <c r="CS334" i="2" a="1"/>
  <c r="CS334" i="2" s="1"/>
  <c r="CT334" i="2" a="1"/>
  <c r="CT334" i="2" s="1"/>
  <c r="CS320" i="2" a="1"/>
  <c r="CS320" i="2" s="1"/>
  <c r="CS306" i="2" a="1"/>
  <c r="CS306" i="2" s="1"/>
  <c r="CS292" i="2" a="1"/>
  <c r="CS292" i="2" s="1"/>
  <c r="CT292" i="2" a="1"/>
  <c r="CT292" i="2" s="1"/>
  <c r="CS278" i="2" a="1"/>
  <c r="CS278" i="2" s="1"/>
  <c r="CT278" i="2" a="1"/>
  <c r="CT278" i="2" s="1"/>
  <c r="CS250" i="2" a="1"/>
  <c r="CS250" i="2" s="1"/>
  <c r="CT250" i="2" a="1"/>
  <c r="CT250" i="2" s="1"/>
  <c r="CS208" i="2" a="1"/>
  <c r="CS208" i="2" s="1"/>
  <c r="CT208" i="2" a="1"/>
  <c r="CT208" i="2" s="1"/>
  <c r="CS194" i="2" a="1"/>
  <c r="CS194" i="2" s="1"/>
  <c r="CS180" i="2" a="1"/>
  <c r="CS180" i="2" s="1"/>
  <c r="CS166" i="2" a="1"/>
  <c r="CS166" i="2" s="1"/>
  <c r="CT166" i="2" a="1"/>
  <c r="CT166" i="2" s="1"/>
  <c r="CS152" i="2" a="1"/>
  <c r="CS152" i="2" s="1"/>
  <c r="CT152" i="2" a="1"/>
  <c r="CT152" i="2" s="1"/>
  <c r="CS138" i="2" a="1"/>
  <c r="CS138" i="2" s="1"/>
  <c r="CS124" i="2" a="1"/>
  <c r="CS124" i="2" s="1"/>
  <c r="CS110" i="2" a="1"/>
  <c r="CS110" i="2" s="1"/>
  <c r="CT96" i="2" a="1"/>
  <c r="CT96" i="2" s="1"/>
  <c r="CS82" i="2" a="1"/>
  <c r="CS82" i="2" s="1"/>
  <c r="CT82" i="2" a="1"/>
  <c r="CT82" i="2" s="1"/>
  <c r="CS68" i="2" a="1"/>
  <c r="CS68" i="2" s="1"/>
  <c r="CS54" i="2" a="1"/>
  <c r="CS54" i="2" s="1"/>
  <c r="CT54" i="2" a="1"/>
  <c r="CT54" i="2" s="1"/>
  <c r="CS40" i="2" a="1"/>
  <c r="CS40" i="2" s="1"/>
  <c r="CT40" i="2" a="1"/>
  <c r="CT40" i="2" s="1"/>
  <c r="CS26" i="2" a="1"/>
  <c r="CS26" i="2" s="1"/>
  <c r="CS702" i="2" a="1"/>
  <c r="CS702" i="2" s="1"/>
  <c r="CS688" i="2" a="1"/>
  <c r="CS688" i="2" s="1"/>
  <c r="CS674" i="2" a="1"/>
  <c r="CS674" i="2" s="1"/>
  <c r="CS646" i="2" a="1"/>
  <c r="CS646" i="2" s="1"/>
  <c r="CS632" i="2" a="1"/>
  <c r="CS632" i="2" s="1"/>
  <c r="CS618" i="2" a="1"/>
  <c r="CS618" i="2" s="1"/>
  <c r="CS604" i="2" a="1"/>
  <c r="CS604" i="2" s="1"/>
  <c r="CS590" i="2" a="1"/>
  <c r="CS590" i="2" s="1"/>
  <c r="CS576" i="2" a="1"/>
  <c r="CS576" i="2" s="1"/>
  <c r="CS562" i="2" a="1"/>
  <c r="CS562" i="2" s="1"/>
  <c r="CS548" i="2" a="1"/>
  <c r="CS548" i="2" s="1"/>
  <c r="CS534" i="2" a="1"/>
  <c r="CS534" i="2" s="1"/>
  <c r="CS520" i="2" a="1"/>
  <c r="CS520" i="2" s="1"/>
  <c r="CS506" i="2" a="1"/>
  <c r="CS506" i="2" s="1"/>
  <c r="CS492" i="2" a="1"/>
  <c r="CS492" i="2" s="1"/>
  <c r="CS464" i="2" a="1"/>
  <c r="CS464" i="2" s="1"/>
  <c r="CS450" i="2" a="1"/>
  <c r="CS450" i="2" s="1"/>
  <c r="CS436" i="2" a="1"/>
  <c r="CS436" i="2" s="1"/>
  <c r="CS422" i="2" a="1"/>
  <c r="CS422" i="2" s="1"/>
  <c r="CS394" i="2" a="1"/>
  <c r="CS394" i="2" s="1"/>
  <c r="CS380" i="2" a="1"/>
  <c r="CS380" i="2" s="1"/>
  <c r="CS366" i="2" a="1"/>
  <c r="CS366" i="2" s="1"/>
  <c r="CS352" i="2" a="1"/>
  <c r="CS352" i="2" s="1"/>
  <c r="CS338" i="2" a="1"/>
  <c r="CS338" i="2" s="1"/>
  <c r="CS324" i="2" a="1"/>
  <c r="CS324" i="2" s="1"/>
  <c r="CS310" i="2" a="1"/>
  <c r="CS310" i="2" s="1"/>
  <c r="CS296" i="2" a="1"/>
  <c r="CS296" i="2" s="1"/>
  <c r="CS282" i="2" a="1"/>
  <c r="CS282" i="2" s="1"/>
  <c r="CS268" i="2" a="1"/>
  <c r="CS268" i="2" s="1"/>
  <c r="CS254" i="2" a="1"/>
  <c r="CS254" i="2" s="1"/>
  <c r="CS240" i="2" a="1"/>
  <c r="CS240" i="2" s="1"/>
  <c r="CS184" i="2" a="1"/>
  <c r="CS184" i="2" s="1"/>
  <c r="CS156" i="2" a="1"/>
  <c r="CS156" i="2" s="1"/>
  <c r="CS86" i="2" a="1"/>
  <c r="CS86" i="2" s="1"/>
  <c r="CS72" i="2" a="1"/>
  <c r="CS72" i="2" s="1"/>
  <c r="CS44" i="2" a="1"/>
  <c r="CS44" i="2" s="1"/>
  <c r="CS30" i="2" a="1"/>
  <c r="CS30" i="2" s="1"/>
  <c r="CS538" i="2" a="1"/>
  <c r="CS538" i="2" s="1"/>
  <c r="CS524" i="2" a="1"/>
  <c r="CS524" i="2" s="1"/>
  <c r="CS510" i="2" a="1"/>
  <c r="CS510" i="2" s="1"/>
  <c r="CS440" i="2" a="1"/>
  <c r="CS440" i="2" s="1"/>
  <c r="CS426" i="2" a="1"/>
  <c r="CS426" i="2" s="1"/>
  <c r="CS412" i="2" a="1"/>
  <c r="CS412" i="2" s="1"/>
  <c r="CS342" i="2" a="1"/>
  <c r="CS342" i="2" s="1"/>
  <c r="CS328" i="2" a="1"/>
  <c r="CS328" i="2" s="1"/>
  <c r="CS314" i="2" a="1"/>
  <c r="CS314" i="2" s="1"/>
  <c r="CU54" i="2" a="1"/>
  <c r="CU54" i="2" s="1"/>
  <c r="CU152" i="2" a="1"/>
  <c r="CU152" i="2" s="1"/>
  <c r="CT450" i="2" a="1"/>
  <c r="CT450" i="2" s="1"/>
  <c r="CT366" i="2" a="1"/>
  <c r="CT366" i="2" s="1"/>
  <c r="CT324" i="2" a="1"/>
  <c r="CT324" i="2" s="1"/>
  <c r="CT138" i="2" a="1"/>
  <c r="CT138" i="2" s="1"/>
  <c r="CT436" i="2" a="1"/>
  <c r="CT436" i="2" s="1"/>
  <c r="CS15" i="2" a="1"/>
  <c r="CS15" i="2" s="1"/>
  <c r="CS523" i="2" a="1"/>
  <c r="CS523" i="2" s="1"/>
  <c r="CS509" i="2" a="1"/>
  <c r="CS509" i="2" s="1"/>
  <c r="CS495" i="2" a="1"/>
  <c r="CS495" i="2" s="1"/>
  <c r="CS425" i="2" a="1"/>
  <c r="CS425" i="2" s="1"/>
  <c r="CS411" i="2" a="1"/>
  <c r="CS411" i="2" s="1"/>
  <c r="CS397" i="2" a="1"/>
  <c r="CS397" i="2" s="1"/>
  <c r="CS327" i="2" a="1"/>
  <c r="CS327" i="2" s="1"/>
  <c r="CS313" i="2" a="1"/>
  <c r="CS313" i="2" s="1"/>
  <c r="CS299" i="2" a="1"/>
  <c r="CS299" i="2" s="1"/>
  <c r="CS243" i="2" a="1"/>
  <c r="CS243" i="2" s="1"/>
  <c r="CS229" i="2" a="1"/>
  <c r="CS229" i="2" s="1"/>
  <c r="CS187" i="2" a="1"/>
  <c r="CS187" i="2" s="1"/>
  <c r="CS159" i="2" a="1"/>
  <c r="CS159" i="2" s="1"/>
  <c r="CS61" i="2" a="1"/>
  <c r="CS61" i="2" s="1"/>
  <c r="CS258" i="2" a="1"/>
  <c r="CS258" i="2" s="1"/>
  <c r="CS216" i="2" a="1"/>
  <c r="CS216" i="2" s="1"/>
  <c r="CS202" i="2" a="1"/>
  <c r="CS202" i="2" s="1"/>
  <c r="CS174" i="2" a="1"/>
  <c r="CS174" i="2" s="1"/>
  <c r="CS146" i="2" a="1"/>
  <c r="CS146" i="2" s="1"/>
  <c r="CS500" i="2" a="1"/>
  <c r="CS500" i="2" s="1"/>
  <c r="CS402" i="2" a="1"/>
  <c r="CS402" i="2" s="1"/>
  <c r="CS388" i="2" a="1"/>
  <c r="CS388" i="2" s="1"/>
  <c r="CS374" i="2" a="1"/>
  <c r="CS374" i="2" s="1"/>
  <c r="CS211" i="2" a="1"/>
  <c r="CS211" i="2" s="1"/>
  <c r="CS183" i="2" a="1"/>
  <c r="CS183" i="2" s="1"/>
  <c r="CS113" i="2" a="1"/>
  <c r="CS113" i="2" s="1"/>
  <c r="CS57" i="2" a="1"/>
  <c r="CS57" i="2" s="1"/>
  <c r="CS43" i="2" a="1"/>
  <c r="CS43" i="2" s="1"/>
  <c r="CS173" i="2" a="1"/>
  <c r="CS173" i="2" s="1"/>
  <c r="CS145" i="2" a="1"/>
  <c r="CS145" i="2" s="1"/>
  <c r="CS75" i="2" a="1"/>
  <c r="CS75" i="2" s="1"/>
  <c r="CS33" i="2" a="1"/>
  <c r="CS33" i="2" s="1"/>
  <c r="CS19" i="2" a="1"/>
  <c r="CS19" i="2" s="1"/>
  <c r="CS226" i="2" a="1"/>
  <c r="CS226" i="2" s="1"/>
  <c r="CS198" i="2" a="1"/>
  <c r="CS198" i="2" s="1"/>
  <c r="CS128" i="2" a="1"/>
  <c r="CS128" i="2" s="1"/>
  <c r="CS100" i="2" a="1"/>
  <c r="CS100" i="2" s="1"/>
  <c r="CS58" i="2" a="1"/>
  <c r="CS58" i="2" s="1"/>
  <c r="CS16" i="2" a="1"/>
  <c r="CS16" i="2" s="1"/>
  <c r="CS2" i="2" a="1"/>
  <c r="CS2" i="2" s="1"/>
  <c r="CS188" i="2" a="1"/>
  <c r="CS188" i="2" s="1"/>
  <c r="CS160" i="2" a="1"/>
  <c r="CS160" i="2" s="1"/>
  <c r="CS90" i="2" a="1"/>
  <c r="CS90" i="2" s="1"/>
  <c r="CS76" i="2" a="1"/>
  <c r="CS76" i="2" s="1"/>
  <c r="CS34" i="2" a="1"/>
  <c r="CS34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<sst xmlns="http://schemas.openxmlformats.org/spreadsheetml/2006/main" count="2770" uniqueCount="930">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</sst>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0" fontId="3" fillId="7" borderId="0" xfId="0" applyFont="1" applyFill="1" applyAlignment="1">
      <alignment horizontal="center"/>
    </xf>
    <xf numFmtId="10" fontId="0" fillId="0" borderId="0" xfId="2" applyNumberFormat="1" applyFont="1" applyAlignment="1">
      <alignment horizontal="left"/>
    </xf>
    <xf numFmtId="41" fontId="0" fillId="0" borderId="0" xfId="0" applyNumberFormat="1"/>
    <xf numFmtId="41" fontId="3" fillId="7" borderId="0" xfId="1" applyFont="1" applyFill="1" applyAlignment="1">
      <alignment horizontal="center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8" borderId="0" xfId="0" applyFont="1" applyFill="1" applyAlignment="1">
      <alignment horizontal="center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8" fillId="9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0" borderId="1" xfId="0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0" fontId="0" fillId="13" borderId="1" xfId="0" applyFill="1" applyBorder="1" applyAlignment="1">
      <alignment horizontal="left"/>
    </xf>
    <xf numFmtId="0" fontId="0" fillId="13" borderId="1" xfId="0" applyFill="1" applyBorder="1"/>
    <xf numFmtId="0" fontId="6" fillId="8" borderId="0" xfId="0" applyFont="1" applyFill="1" applyAlignment="1">
      <alignment horizontal="center"/>
    </xf>
    <xf numFmtId="0" fontId="0" fillId="0" borderId="0" xfId="0"/>
    <xf numFmtId="0" fontId="8" fillId="8" borderId="0" xfId="0" applyFont="1" applyFill="1" applyAlignment="1">
      <alignment horizontal="center"/>
    </xf>
    <xf numFmtId="0" fontId="7" fillId="0" borderId="0" xfId="0" applyFont="1"/>
    <xf numFmtId="0" fontId="8" fillId="8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</cellXfs>
  <cellStyles count="3">
    <cellStyle name="Millares [0]" xfId="1" builtinId="6"/>
    <cellStyle name="Normal" xfId="0" builtinId="0"/>
    <cellStyle name="Porcentaje" xfId="2" builtinId="5"/>
  </cellStyles>
  <dxfs count="396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6676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5085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1.509595254633" createdVersion="8" refreshedVersion="8" minRefreshableVersion="3" recordCount="704" xr:uid="{3D89B5DD-D620-484A-A508-0B14038745A7}">
  <cacheSource type="worksheet">
    <worksheetSource name="AVANCE"/>
  </cacheSource>
  <cacheFields count="99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06T00:00:00"/>
    </cacheField>
    <cacheField name="FECHA ULTIMO REGISTRO" numFmtId="14">
      <sharedItems containsSemiMixedTypes="0" containsNonDate="0" containsDate="1" containsString="0" minDate="1899-12-30T00:00:00" maxDate="2026-06-06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1" count="30">
        <m/>
        <n v="4"/>
        <n v="10"/>
        <n v="3"/>
        <n v="13"/>
        <n v="7"/>
        <n v="5"/>
        <n v="12"/>
        <n v="19"/>
        <n v="46181"/>
        <n v="0" u="1"/>
        <n v="6" u="1"/>
        <n v="9" u="1"/>
        <n v="1" u="1"/>
        <n v="8" u="1"/>
        <n v="15" u="1"/>
        <n v="46177" u="1"/>
        <n v="14" u="1"/>
        <n v="26" u="1"/>
        <n v="2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06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66666666666666674"/>
        <n v="0.88888888888888895"/>
        <n v="0.77777777777777779"/>
        <n v="0.55555555555555558"/>
        <n v="0.44444444444444442"/>
        <n v="0"/>
        <n v="0.2222222222222222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27272727272727271"/>
        <n v="0.5454545454545454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6">
        <n v="0"/>
        <n v="35"/>
        <n v="31"/>
        <n v="27"/>
        <n v="33"/>
        <n v="28"/>
        <n v="26"/>
        <n v="25"/>
        <n v="24"/>
        <n v="21"/>
        <n v="20"/>
        <n v="19"/>
        <n v="17"/>
        <n v="14"/>
        <n v="13"/>
        <n v="12"/>
        <n v="11"/>
        <n v="10"/>
        <n v="7"/>
        <n v="-2"/>
        <n v="-3"/>
        <n v="-4"/>
        <n v="-5"/>
        <n v="5"/>
        <n v="-8"/>
        <n v="2"/>
        <n v="1"/>
        <n v="-9"/>
        <n v="-10"/>
        <n v="-1"/>
        <n v="-11"/>
        <n v="-12"/>
        <n v="-15"/>
        <n v="-16"/>
        <n v="-6"/>
        <n v="-7"/>
        <n v="-17"/>
        <n v="-19"/>
        <n v="-22"/>
        <n v="-23"/>
        <n v="-13"/>
        <n v="-14"/>
        <n v="-24"/>
        <n v="-29"/>
        <n v="34" u="1"/>
        <n v="22" u="1"/>
        <n v="23" u="1"/>
        <n v="29" u="1"/>
        <n v="30" u="1"/>
        <n v="16" u="1"/>
        <n v="15" u="1"/>
        <n v="9" u="1"/>
        <n v="8" u="1"/>
        <n v="6" u="1"/>
        <n v="3" u="1"/>
        <n v="-20" u="1"/>
        <n v="-21" u="1"/>
        <n v="-26" u="1"/>
        <n v="-27" u="1"/>
        <n v="-28" u="1"/>
        <n v="-33" u="1"/>
        <n v="-18" u="1"/>
        <n v="18" u="1"/>
        <n v="4" u="1"/>
        <n v="-30" u="1"/>
        <n v="-25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8499999999999988"/>
    <d v="2026-02-23T00:00:00"/>
    <d v="2026-02-23T00:00:00"/>
    <d v="2026-06-04T00:00:00"/>
    <d v="2026-05-0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8499999999999988"/>
    <d v="2026-03-10T00:00:00"/>
    <d v="2026-03-10T00:00:00"/>
    <d v="2026-05-29T00:00:00"/>
    <d v="2026-05-0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0"/>
    <x v="22"/>
    <n v="2302600023"/>
    <x v="1"/>
    <n v="0.97999999999999976"/>
    <d v="2026-03-12T00:00:00"/>
    <d v="2026-03-12T00:00:00"/>
    <d v="2026-06-05T00:00:00"/>
    <d v="2026-05-12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3"/>
    <s v="TERMINACIONES: MOLDURAS, LIMPIEZA FINAL"/>
    <s v="TERMINACIONES"/>
    <n v="2"/>
  </r>
  <r>
    <x v="0"/>
    <x v="23"/>
    <n v="2282600024"/>
    <x v="0"/>
    <n v="0.98499999999999988"/>
    <d v="2026-03-05T00:00:00"/>
    <d v="2026-03-05T00:00:00"/>
    <d v="2026-06-04T00:00:00"/>
    <d v="2026-05-06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3499999999999983"/>
    <d v="2026-03-31T00:00:00"/>
    <d v="2026-03-31T00:00:00"/>
    <d v="2026-05-26T00:00:00"/>
    <d v="2026-05-1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5"/>
    <s v="TERMINACIONES: MOLDURAS, PILASTREO, PUERTAS ACCESO - LOGIA - BANO, CERRADURAS, LIMPIEZA FINAL"/>
    <s v="TERMINACIONES"/>
    <n v="5"/>
  </r>
  <r>
    <x v="0"/>
    <x v="30"/>
    <n v="2302600031"/>
    <x v="1"/>
    <n v="0.96999999999999986"/>
    <d v="2026-04-02T00:00:00"/>
    <d v="2026-04-02T00:00:00"/>
    <d v="2026-06-04T00:00:00"/>
    <d v="2026-05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6"/>
    <s v="TERMINACIONES: PILASTREO, LIMPIEZA FINAL"/>
    <s v="TERMINACIONES"/>
    <n v="2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7"/>
    <s v="ELÉCTRICO: ARTEFACTOS | TERMINACIONES: PILASTREO, LIMPIEZA FINAL"/>
    <s v="ELÉCTRICO, TERMINACIONES"/>
    <n v="3"/>
  </r>
  <r>
    <x v="1"/>
    <x v="33"/>
    <n v="2302600034"/>
    <x v="1"/>
    <n v="0.93999999999999984"/>
    <d v="2026-04-07T00:00:00"/>
    <d v="2026-04-07T00:00:00"/>
    <d v="2026-06-05T00:00:00"/>
    <d v="2026-05-14T00:00:00"/>
    <x v="3"/>
    <m/>
    <n v="0.43"/>
    <n v="1"/>
    <n v="0.27906976744186046"/>
    <n v="0.18604651162790697"/>
    <n v="0.2558139534883721"/>
    <n v="0.18604651162790697"/>
    <n v="9.3023255813953487E-2"/>
    <n v="6.0000000000000005E-2"/>
    <x v="1"/>
    <n v="0.22222222222222221"/>
    <n v="0.22222222222222221"/>
    <n v="0.1111111111111111"/>
    <n v="0.1111111111111111"/>
    <n v="0"/>
    <n v="0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0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x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0"/>
    <n v="1"/>
    <n v="1"/>
    <n v="0"/>
    <n v="1"/>
    <x v="7"/>
    <s v="SANITARIOS: WC, LAVAMANOS / LAVAPLATOS / LAVADERO | TERMINACIONES: BARANDA BALCON, LIMPIEZA FINAL, MUEBLE LAVAPLATOS"/>
    <s v="SANITARIOS, TERMINACIONES"/>
    <n v="5"/>
  </r>
  <r>
    <x v="1"/>
    <x v="34"/>
    <n v="2302600035"/>
    <x v="1"/>
    <n v="0.97499999999999987"/>
    <d v="2026-04-10T00:00:00"/>
    <d v="2026-04-10T00:00:00"/>
    <d v="2026-06-05T00:00:00"/>
    <d v="2026-05-1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4499999999999986"/>
    <n v="0.93243243243243201"/>
    <n v="5.4054054054054036E-2"/>
    <n v="5.4054054054054036E-2"/>
    <n v="0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TERMINACIONES: BARANDA BALCON, LIMPIEZA FINAL"/>
    <s v="TERMINACIONES"/>
    <n v="2"/>
  </r>
  <r>
    <x v="1"/>
    <x v="35"/>
    <n v="2282600036"/>
    <x v="0"/>
    <n v="0.96999999999999975"/>
    <d v="2026-04-10T00:00:00"/>
    <d v="2026-04-10T00:00:00"/>
    <d v="2026-06-01T00:00:00"/>
    <d v="2026-05-15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0"/>
    <n v="1"/>
    <n v="1"/>
    <n v="1"/>
    <n v="1"/>
    <x v="8"/>
    <s v="ELÉCTRICO: ARTEFACTOS | TERMINACIONES: CELOSIAS, LIMPIEZA FINAL"/>
    <s v="ELÉCTRICO, TERMINACIONES"/>
    <n v="3"/>
  </r>
  <r>
    <x v="1"/>
    <x v="36"/>
    <n v="2282600037"/>
    <x v="0"/>
    <n v="0.95999999999999985"/>
    <d v="2026-04-11T00:00:00"/>
    <d v="2026-04-11T00:00:00"/>
    <d v="2026-06-05T00:00:00"/>
    <d v="2026-05-1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9"/>
    <s v="TERMINACIONES: MOLDURAS, PILASTREO, CELOSIAS, LIMPIEZA FINAL"/>
    <s v="TERMINACIONES"/>
    <n v="4"/>
  </r>
  <r>
    <x v="1"/>
    <x v="37"/>
    <n v="2302600038"/>
    <x v="1"/>
    <n v="0.95499999999999985"/>
    <d v="2026-04-11T00:00:00"/>
    <d v="2026-04-11T00:00:00"/>
    <d v="2026-06-05T00:00:00"/>
    <d v="2026-05-18T00:00:00"/>
    <x v="3"/>
    <m/>
    <n v="0.43"/>
    <n v="1"/>
    <n v="0.27906976744186046"/>
    <n v="0.18604651162790697"/>
    <n v="0.2558139534883721"/>
    <n v="0.18604651162790697"/>
    <n v="9.3023255813953487E-2"/>
    <n v="0.08"/>
    <x v="2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499999999999986"/>
    <n v="0.93243243243243201"/>
    <n v="5.4054054054054036E-2"/>
    <n v="5.4054054054054036E-2"/>
    <n v="0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SANITARIOS: VENTILACIONES | ELÉCTRICO: ARTEFACTOS | TERMINACIONES: BARANDA BALCON, LIMPIEZA FINAL"/>
    <s v="SANITARIOS, ELÉCTRICO, TERMINACIONES"/>
    <n v="4"/>
  </r>
  <r>
    <x v="1"/>
    <x v="38"/>
    <n v="2302600039"/>
    <x v="1"/>
    <n v="0.77499999999999991"/>
    <d v="2026-04-07T00:00:00"/>
    <d v="2026-04-07T00:00:00"/>
    <d v="2026-06-03T00:00:00"/>
    <d v="2026-05-19T00:00:00"/>
    <x v="6"/>
    <m/>
    <n v="0.43"/>
    <n v="1"/>
    <n v="0.27906976744186046"/>
    <n v="0.18604651162790697"/>
    <n v="0.2558139534883721"/>
    <n v="0.18604651162790697"/>
    <n v="9.3023255813953487E-2"/>
    <n v="0.08"/>
    <x v="2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0"/>
    <n v="0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1"/>
    <n v="1"/>
    <n v="0"/>
    <n v="1"/>
    <n v="1"/>
    <n v="1"/>
    <n v="0"/>
    <n v="1"/>
    <n v="0"/>
    <n v="1"/>
    <n v="1"/>
    <x v="10"/>
    <s v="SANITARIOS: VENTILACIONES | ELÉCTRICO: CABLEADO, ARTEFACTOS, TABLERO, CAJA PAU | TERMINACIONES: BARANDA BALCON, PINTURA EXTERIOR, ZOCALOS LOGIA, MOLDURAS, PILASTREO, CELOSIAS, CERRADURAS, LIMPIEZA FINAL, REVESTIMIENTO INTERIOR BANO"/>
    <s v="SANITARIOS, ELÉCTRICO, TERMINACIONES"/>
    <n v="14"/>
  </r>
  <r>
    <x v="1"/>
    <x v="39"/>
    <n v="2282600040"/>
    <x v="0"/>
    <n v="0.97499999999999987"/>
    <d v="2026-04-07T00:00:00"/>
    <d v="2026-04-07T00:00:00"/>
    <d v="2026-06-04T00:00:00"/>
    <d v="2026-05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0"/>
    <s v="ELÉCTRICO: ARTEFACTOS | TERMINACIONES: LIMPIEZA FINAL"/>
    <s v="ELÉCTRICO, TERMINACIONES"/>
    <n v="2"/>
  </r>
  <r>
    <x v="1"/>
    <x v="40"/>
    <n v="2282600041"/>
    <x v="0"/>
    <n v="0.97499999999999987"/>
    <d v="2026-04-12T00:00:00"/>
    <d v="2026-04-12T00:00:00"/>
    <d v="2026-05-27T00:00:00"/>
    <d v="2026-05-20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1"/>
    <s v="ELÉCTRICO: ARTEFACTOS | TERMINACIONES: LIMPIEZA FINAL"/>
    <s v="ELÉCTRICO, TERMINACIONES"/>
    <n v="2"/>
  </r>
  <r>
    <x v="1"/>
    <x v="41"/>
    <n v="2302600042"/>
    <x v="1"/>
    <n v="0.71"/>
    <d v="2026-04-17T00:00:00"/>
    <d v="2026-04-17T00:00:00"/>
    <d v="2026-06-05T00:00:00"/>
    <d v="2026-05-20T00:00:00"/>
    <x v="3"/>
    <m/>
    <n v="0.43"/>
    <n v="1"/>
    <n v="0.27906976744186046"/>
    <n v="0.18604651162790697"/>
    <n v="0.2558139534883721"/>
    <n v="0.18604651162790697"/>
    <n v="9.3023255813953487E-2"/>
    <n v="6.9999999999999993E-2"/>
    <x v="3"/>
    <n v="0.22222222222222221"/>
    <n v="0.22222222222222221"/>
    <n v="0"/>
    <n v="0.1111111111111111"/>
    <n v="0"/>
    <n v="0.22222222222222221"/>
    <n v="0.03"/>
    <x v="2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x v="1"/>
    <n v="0"/>
    <n v="1"/>
    <n v="1"/>
    <n v="1"/>
    <n v="1"/>
    <n v="1"/>
    <n v="1"/>
    <n v="1"/>
    <n v="0"/>
    <n v="1"/>
    <n v="0"/>
    <n v="1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1"/>
    <s v="SANITARIOS: VENTILACIONES, WC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19"/>
  </r>
  <r>
    <x v="1"/>
    <x v="42"/>
    <n v="2302600043"/>
    <x v="1"/>
    <n v="0.77999999999999992"/>
    <d v="2026-04-15T00:00:00"/>
    <d v="2026-04-15T00:00:00"/>
    <d v="2026-06-05T00:00:00"/>
    <d v="2026-05-22T00:00:00"/>
    <x v="3"/>
    <m/>
    <n v="0.43"/>
    <n v="1"/>
    <n v="0.27906976744186046"/>
    <n v="0.18604651162790697"/>
    <n v="0.2558139534883721"/>
    <n v="0.18604651162790697"/>
    <n v="9.3023255813953487E-2"/>
    <n v="0.05"/>
    <x v="4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0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0"/>
    <n v="0"/>
    <n v="0"/>
    <n v="1"/>
    <n v="1"/>
    <n v="0"/>
    <n v="0"/>
    <n v="1"/>
    <n v="1"/>
    <n v="1"/>
    <n v="0"/>
    <n v="1"/>
    <n v="0"/>
    <n v="0"/>
    <n v="1"/>
    <x v="12"/>
    <s v="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"/>
    <s v="SANITARIOS, ELÉCTRICO, TERMINACIONES"/>
    <n v="15"/>
  </r>
  <r>
    <x v="1"/>
    <x v="43"/>
    <n v="2282600044"/>
    <x v="0"/>
    <n v="0.96999999999999975"/>
    <d v="2026-04-15T00:00:00"/>
    <d v="2026-04-15T00:00:00"/>
    <d v="2026-05-29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12"/>
    <s v="ELÉCTRICO: ARTEFACTOS | TERMINACIONES: MOLDURAS, LIMPIEZA FINAL"/>
    <s v="ELÉCTRICO, TERMINACIONES"/>
    <n v="3"/>
  </r>
  <r>
    <x v="1"/>
    <x v="44"/>
    <n v="2282600045"/>
    <x v="0"/>
    <n v="0.95999999999999985"/>
    <d v="2026-04-20T00:00:00"/>
    <d v="2026-04-20T00:00:00"/>
    <d v="2026-06-03T00:00:00"/>
    <d v="2026-05-25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13"/>
    <s v="ELÉCTRICO: ARTEFACTOS | TERMINACIONES: CELOSIAS, CERRADURAS, LIMPIEZA FINAL"/>
    <s v="ELÉCTRICO, TERMINACIONES"/>
    <n v="4"/>
  </r>
  <r>
    <x v="1"/>
    <x v="45"/>
    <n v="2302600046"/>
    <x v="1"/>
    <n v="0.83499999999999996"/>
    <d v="2026-04-14T00:00:00"/>
    <d v="2026-04-14T00:00:00"/>
    <d v="2026-05-26T00:00:00"/>
    <d v="2026-05-25T00:00:00"/>
    <x v="4"/>
    <m/>
    <n v="0.43"/>
    <n v="1"/>
    <n v="0.27906976744186046"/>
    <n v="0.18604651162790697"/>
    <n v="0.2558139534883721"/>
    <n v="0.18604651162790697"/>
    <n v="9.3023255813953487E-2"/>
    <n v="0.08"/>
    <x v="2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3"/>
    <s v="SANITARIOS: VENTILACIONES | ELÉCTRICO: ARTEFACTOS, TABLERO, CAJA PAU | TERMINACIONES: BARANDA BALCON, MOLDURAS, PILASTREO, PUERTAS ACCESO - LOGIA - BANO, CERRADURAS, LIMPIEZA FINAL, REVESTIMIENTO INTERIOR BANO"/>
    <s v="SANITARIOS, ELÉCTRICO, TERMINACIONES"/>
    <n v="11"/>
  </r>
  <r>
    <x v="1"/>
    <x v="46"/>
    <n v="2302600047"/>
    <x v="1"/>
    <n v="0.7599999999999999"/>
    <d v="2026-04-15T00:00:00"/>
    <d v="2026-04-15T00:00:00"/>
    <d v="2026-06-05T00:00:00"/>
    <d v="2026-05-26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5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2299999999999999"/>
    <n v="0.62162162162162138"/>
    <n v="5.4054054054054036E-2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x v="1"/>
    <n v="1"/>
    <n v="1"/>
    <n v="1"/>
    <n v="1"/>
    <n v="1"/>
    <n v="1"/>
    <n v="1"/>
    <n v="1"/>
    <n v="0"/>
    <n v="0"/>
    <n v="0"/>
    <n v="0"/>
    <n v="1"/>
    <n v="1"/>
    <n v="0"/>
    <n v="0"/>
    <n v="0"/>
    <n v="1"/>
    <n v="1"/>
    <n v="0"/>
    <n v="1"/>
    <n v="1"/>
    <n v="0"/>
    <n v="1"/>
    <n v="0"/>
    <n v="0"/>
    <n v="0"/>
    <n v="1"/>
    <n v="0"/>
    <n v="0"/>
    <n v="1"/>
    <n v="1"/>
    <n v="1"/>
    <n v="0"/>
    <n v="1"/>
    <n v="0"/>
    <n v="0"/>
    <n v="1"/>
    <x v="14"/>
    <s v="SANITARIOS: VENTILACIONES, TINA, WC, LAVAMANOS / LAVAPLATOS / LAVADERO | ELÉCTRICO: ARTEFACTOS, TABLERO, CAJA PAU | TERMINACIONES: BARANDA BALCON, PINTURA EXTERIOR, MOLDURAS, PILASTREO, CELOSIAS, PUERTAS ACCESO - LOGIA - BANO, CERRADURAS, LIMPIEZA FINAL, REVESTIMIENTO INTERIOR BANO, MUEBLE LAVAPLATOS"/>
    <s v="SANITARIOS, ELÉCTRICO, TERMINACIONES"/>
    <n v="17"/>
  </r>
  <r>
    <x v="1"/>
    <x v="47"/>
    <n v="2282600048"/>
    <x v="0"/>
    <n v="0.95499999999999985"/>
    <d v="2026-04-14T00:00:00"/>
    <d v="2026-04-14T00:00:00"/>
    <d v="2026-05-27T00:00:00"/>
    <d v="2026-05-26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4"/>
    <s v="ELÉCTRICO: ARTEFACTOS | TERMINACIONES: MOLDURAS, PILASTREO, LIMPIEZA FINAL"/>
    <s v="ELÉCTRICO, TERMINACIONES"/>
    <n v="4"/>
  </r>
  <r>
    <x v="1"/>
    <x v="48"/>
    <n v="2282600049"/>
    <x v="0"/>
    <n v="0.88499999999999979"/>
    <d v="2026-04-22T00:00:00"/>
    <d v="2026-04-22T00:00:00"/>
    <d v="2026-06-01T00:00:00"/>
    <d v="2026-05-27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15"/>
    <s v="ELÉCTRICO: CABLEADO, ARTEFACTOS | TERMINACIONES: PINTURA EXTERIOR, MOLDURAS, PILASTREO, CELOSIAS, CERRADURAS, LIMPIEZA FINAL"/>
    <s v="ELÉCTRICO, TERMINACIONES"/>
    <n v="8"/>
  </r>
  <r>
    <x v="1"/>
    <x v="49"/>
    <n v="2302600050"/>
    <x v="1"/>
    <n v="0.73999999999999988"/>
    <d v="2026-04-24T00:00:00"/>
    <d v="2026-04-24T00:00:00"/>
    <d v="2026-05-29T00:00:00"/>
    <d v="2026-05-27T00:00:00"/>
    <x v="2"/>
    <m/>
    <n v="0.38999999999999996"/>
    <n v="0.90697674418604646"/>
    <n v="0.27906976744186046"/>
    <n v="0.18604651162790697"/>
    <n v="0.2558139534883721"/>
    <n v="0.18604651162790697"/>
    <n v="0"/>
    <n v="0.08"/>
    <x v="2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x v="1"/>
    <n v="1"/>
    <n v="1"/>
    <n v="1"/>
    <n v="1"/>
    <n v="1"/>
    <n v="0"/>
    <n v="1"/>
    <n v="1"/>
    <n v="0"/>
    <n v="1"/>
    <n v="1"/>
    <n v="1"/>
    <n v="1"/>
    <n v="0"/>
    <n v="0"/>
    <n v="0"/>
    <n v="0"/>
    <n v="1"/>
    <n v="1"/>
    <n v="0"/>
    <n v="1"/>
    <n v="1"/>
    <n v="0"/>
    <n v="1"/>
    <n v="0"/>
    <n v="0"/>
    <n v="1"/>
    <n v="1"/>
    <n v="0"/>
    <n v="0"/>
    <n v="1"/>
    <n v="1"/>
    <n v="1"/>
    <n v="0"/>
    <n v="1"/>
    <n v="0"/>
    <n v="1"/>
    <n v="1"/>
    <x v="15"/>
    <s v="OBRA GRUESA: BALCÓN | SANITARIOS: VENTILACIONES | ELÉCTRICO: CABLEADO, ARTEFACTOS, TABLERO, CAJA PAU | TERMINACIONES: BARANDA BALCON, PINTURA EXTERIOR, MOLDURAS, PILASTREO, PUERTAS ACCESO - LOGIA - BANO, CERRADURAS, LIMPIEZA FINAL, REVESTIMIENTO INTERIOR BANO"/>
    <s v="OBRA GRUESA, SANITARIOS, ELÉCTRICO, TERMINACIONES"/>
    <n v="14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2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6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6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7"/>
    <s v="ELÉCTRICO: ARTEFACTOS | TERMINACIONES: MOLDURAS, PILASTREO, CELOSIAS, LIMPIEZA FINAL"/>
    <s v="ELÉCTRICO, TERMINACIONES"/>
    <n v="5"/>
  </r>
  <r>
    <x v="1"/>
    <x v="53"/>
    <n v="2302600054"/>
    <x v="1"/>
    <n v="0.73499999999999988"/>
    <d v="2026-04-29T00:00:00"/>
    <d v="2026-04-29T00:00:00"/>
    <d v="2026-06-03T00:00:00"/>
    <d v="2026-05-29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5"/>
    <n v="0.22222222222222221"/>
    <n v="0.22222222222222221"/>
    <n v="0"/>
    <n v="0"/>
    <n v="0"/>
    <n v="0"/>
    <n v="0.03"/>
    <x v="2"/>
    <n v="0.27272727272727271"/>
    <n v="0"/>
    <n v="0"/>
    <n v="0"/>
    <n v="0"/>
    <n v="0.23499999999999993"/>
    <n v="0.63513513513513498"/>
    <n v="0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7"/>
    <s v="SANITARIOS: VENTILACIONES, TINA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"/>
    <s v="SANITARIOS, ELÉCTRICO, TERMINACIONES"/>
    <n v="18"/>
  </r>
  <r>
    <x v="1"/>
    <x v="54"/>
    <n v="2302600055"/>
    <x v="1"/>
    <n v="0.79999999999999993"/>
    <d v="2026-04-24T00:00:00"/>
    <d v="2026-04-24T00:00:00"/>
    <d v="2026-06-04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5"/>
    <x v="4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8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8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9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5"/>
    <n v="0.22222222222222221"/>
    <n v="0.22222222222222221"/>
    <n v="0"/>
    <n v="0"/>
    <n v="0"/>
    <n v="0"/>
    <n v="0.03"/>
    <x v="2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9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5"/>
    <d v="2026-05-05T00:00:00"/>
    <d v="2026-05-04T00:00:00"/>
    <d v="2026-06-03T00:00:00"/>
    <d v="2026-06-11T00:00:00"/>
    <x v="6"/>
    <m/>
    <n v="0.43"/>
    <n v="1"/>
    <n v="0.27906976744186046"/>
    <n v="0.18604651162790697"/>
    <n v="0.2558139534883721"/>
    <n v="0.18604651162790697"/>
    <n v="9.3023255813953487E-2"/>
    <n v="0.08"/>
    <x v="2"/>
    <n v="0.22222222222222221"/>
    <n v="0.22222222222222221"/>
    <n v="0"/>
    <n v="0.1111111111111111"/>
    <n v="0.1111111111111111"/>
    <n v="0.22222222222222221"/>
    <n v="0.03"/>
    <x v="2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20"/>
    <s v="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6"/>
  </r>
  <r>
    <x v="1"/>
    <x v="59"/>
    <n v="2282600060"/>
    <x v="0"/>
    <n v="0.91999999999999993"/>
    <d v="2026-05-05T00:00:00"/>
    <d v="2026-05-07T00:00:00"/>
    <d v="2026-05-29T00:00:00"/>
    <d v="2026-06-1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20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21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59"/>
    <d v="2026-05-06T00:00:00"/>
    <d v="2026-05-07T00:00:00"/>
    <d v="2026-05-29T00:00:00"/>
    <d v="2026-06-12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5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1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1"/>
    <x v="62"/>
    <n v="2302600063"/>
    <x v="1"/>
    <n v="0.69"/>
    <d v="2026-05-07T00:00:00"/>
    <d v="2026-05-05T00:00:00"/>
    <d v="2026-06-04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5"/>
    <x v="4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17999999999999997"/>
    <n v="0.4864864864864864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0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0"/>
    <x v="22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, IMPERMEABILIZACION BANO - COCINA LOGIA"/>
    <s v="SANITARIOS, ELÉCTRICO, TERMINACIONES"/>
    <n v="20"/>
  </r>
  <r>
    <x v="1"/>
    <x v="63"/>
    <n v="2282600064"/>
    <x v="0"/>
    <n v="0.94"/>
    <d v="2026-05-07T00:00:00"/>
    <d v="2026-05-07T00:00:00"/>
    <d v="2026-06-04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22"/>
    <s v="ELÉCTRICO: ARTEFACTOS | TERMINACIONES: MOLDURAS, PILASTREO, CELOSIAS, CERRADURAS, LIMPIEZA FINAL"/>
    <s v="ELÉCTRICO, TERMINACIONES"/>
    <n v="6"/>
  </r>
  <r>
    <x v="2"/>
    <x v="64"/>
    <n v="2282600065"/>
    <x v="0"/>
    <n v="0.89999999999999991"/>
    <d v="2026-05-08T00:00:00"/>
    <d v="2026-05-11T00:00:00"/>
    <d v="2026-06-05T00:00:00"/>
    <d v="2026-06-0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7999999999999992"/>
    <n v="0.75675675675675647"/>
    <n v="5.4054054054054036E-2"/>
    <n v="5.4054054054054036E-2"/>
    <n v="2.7027027027027018E-2"/>
    <n v="8.1081081081081058E-2"/>
    <n v="8.1081081081081058E-2"/>
    <n v="0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0"/>
    <n v="0"/>
    <n v="1"/>
    <n v="1"/>
    <n v="1"/>
    <n v="0"/>
    <n v="1"/>
    <n v="1"/>
    <n v="1"/>
    <n v="0"/>
    <n v="0"/>
    <n v="1"/>
    <n v="1"/>
    <n v="1"/>
    <x v="23"/>
    <s v="ELÉCTRICO: ARTEFACTOS | TERMINACIONES: PINTURA EXTERIOR, MOLDURAS, PILASTREO, CERRADURAS, LIMPIEZA FINAL, PUERTAS DORMITORIO"/>
    <s v="ELÉCTRICO, TERMINACIONES"/>
    <n v="7"/>
  </r>
  <r>
    <x v="2"/>
    <x v="65"/>
    <n v="2302600066"/>
    <x v="1"/>
    <n v="0.66"/>
    <d v="2026-05-08T00:00:00"/>
    <d v="2026-05-12T00:00:00"/>
    <d v="2026-06-05T00:00:00"/>
    <d v="2026-06-1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5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2"/>
    <s v="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2"/>
    <x v="66"/>
    <n v="2302600067"/>
    <x v="1"/>
    <n v="0.63"/>
    <d v="2026-05-11T00:00:00"/>
    <d v="2026-05-16T00:00:00"/>
    <d v="2026-06-03T00:00:00"/>
    <d v="2026-06-16T00:00:00"/>
    <x v="6"/>
    <m/>
    <n v="0.43"/>
    <n v="1"/>
    <n v="0.27906976744186046"/>
    <n v="0.18604651162790697"/>
    <n v="0.2558139534883721"/>
    <n v="0.18604651162790697"/>
    <n v="9.3023255813953487E-2"/>
    <n v="3.9999999999999994E-2"/>
    <x v="5"/>
    <n v="0.22222222222222221"/>
    <n v="0.22222222222222221"/>
    <n v="0"/>
    <n v="0"/>
    <n v="0"/>
    <n v="0"/>
    <n v="0.03"/>
    <x v="2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67"/>
    <n v="2282600068"/>
    <x v="0"/>
    <n v="0.85999999999999988"/>
    <d v="2026-05-11T00:00:00"/>
    <d v="2026-05-14T00:00:00"/>
    <d v="2026-06-05T00:00:00"/>
    <d v="2026-06-06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6999999999999985"/>
    <n v="0.7297297297297293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0"/>
    <n v="1"/>
    <n v="0"/>
    <n v="1"/>
    <n v="1"/>
    <n v="1"/>
    <n v="0"/>
    <n v="0"/>
    <n v="1"/>
    <n v="1"/>
    <n v="1"/>
    <x v="25"/>
    <s v="ELÉCTRICO: CABLEADO, ARTEFACTOS | TERMINACIONES: VENTANAS, MOLDURAS, PILASTREO, CELOSIAS, VENTANAS (TERM), CERRADURAS, LIMPIEZA FINAL, PUERTAS DORMITORIO"/>
    <s v="ELÉCTRICO, TERMINACIONES"/>
    <n v="10"/>
  </r>
  <r>
    <x v="2"/>
    <x v="68"/>
    <n v="2282600069"/>
    <x v="0"/>
    <n v="0.83499999999999985"/>
    <d v="2026-05-12T00:00:00"/>
    <d v="2026-05-14T00:00:00"/>
    <d v="2026-06-03T00:00:00"/>
    <d v="2026-06-0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6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69"/>
    <n v="2302600070"/>
    <x v="1"/>
    <n v="0.57999999999999996"/>
    <d v="2026-05-12T00:00:00"/>
    <d v="2026-05-16T00:00:00"/>
    <d v="2026-06-05T00:00:00"/>
    <d v="2026-06-17T00:00:00"/>
    <x v="3"/>
    <m/>
    <n v="0.38999999999999996"/>
    <n v="0.90697674418604646"/>
    <n v="0.27906976744186046"/>
    <n v="0.18604651162790697"/>
    <n v="0.2558139534883721"/>
    <n v="0.18604651162790697"/>
    <n v="0"/>
    <n v="3.9999999999999994E-2"/>
    <x v="5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0"/>
    <n v="2302600071"/>
    <x v="1"/>
    <n v="0.58999999999999986"/>
    <d v="2026-05-13T00:00:00"/>
    <d v="2026-05-14T00:00:00"/>
    <d v="2026-06-01T00:00:00"/>
    <d v="2026-06-18T00:00:00"/>
    <x v="5"/>
    <m/>
    <n v="0.38999999999999996"/>
    <n v="0.90697674418604646"/>
    <n v="0.27906976744186046"/>
    <n v="0.18604651162790697"/>
    <n v="0.2558139534883721"/>
    <n v="0.18604651162790697"/>
    <n v="0"/>
    <n v="3.9999999999999994E-2"/>
    <x v="5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0"/>
    <x v="1"/>
    <n v="0"/>
    <n v="1"/>
    <n v="1"/>
    <n v="1"/>
    <n v="1"/>
    <n v="0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1"/>
    <n v="0"/>
    <n v="1"/>
    <n v="0"/>
    <n v="1"/>
    <n v="0"/>
    <n v="0"/>
    <n v="0"/>
    <x v="28"/>
    <s v="OBRA GRUESA: BALCÓN | 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REVESTIMIENTO INTERIOR BANO, MUEBLE LAVAPLATOS, IMPERMEABILIZACION BANO - COCINA LOGIA"/>
    <s v="OBRA GRUESA, SANITARIOS, ELÉCTRICO, TERMINACIONES"/>
    <n v="25"/>
  </r>
  <r>
    <x v="2"/>
    <x v="71"/>
    <n v="2282600072"/>
    <x v="0"/>
    <n v="0.8949999999999998"/>
    <d v="2026-05-13T00:00:00"/>
    <d v="2026-05-12T00:00:00"/>
    <d v="2026-06-05T00:00:00"/>
    <d v="2026-06-0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0"/>
    <s v="ELÉCTRICO: CABLEADO, ARTEFACTOS | TERMINACIONES: MOLDURAS, PILASTREO, CERRADURAS, LIMPIEZA FINAL, PUERTAS DORMITORIO"/>
    <s v="ELÉCTRICO, TERMINACIONES"/>
    <n v="7"/>
  </r>
  <r>
    <x v="2"/>
    <x v="72"/>
    <n v="2282600073"/>
    <x v="0"/>
    <n v="0.76999999999999991"/>
    <d v="2026-05-14T00:00:00"/>
    <d v="2026-05-25T00:00:00"/>
    <d v="2026-06-05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7999999999999994"/>
    <n v="0.48648648648648635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0"/>
    <n v="0"/>
    <n v="0"/>
    <n v="8.1081081081081058E-2"/>
    <n v="0"/>
    <n v="2.7027027027027018E-2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0"/>
    <n v="0"/>
    <n v="0"/>
    <n v="1"/>
    <n v="0"/>
    <n v="1"/>
    <x v="29"/>
    <s v="ELÉCTRICO: CABLEADO, ARTEFACTOS | TERMINACIONES: VENTANAS, SMART PANEL, PINTURA EXTERIOR, ZOCALOS LOGIA, MOLDURAS, PILASTREO, CELOSIAS, VENTANAS (TERM), CERRADURAS, MEMBRANA CIELO, LIMPIEZA FINAL, PUERTAS DORMITORIO, MUEBLE LAVAPLATOS"/>
    <s v="ELÉCTRICO, TERMINACIONES"/>
    <n v="15"/>
  </r>
  <r>
    <x v="2"/>
    <x v="73"/>
    <n v="2302600074"/>
    <x v="1"/>
    <n v="0.57999999999999996"/>
    <d v="2026-05-14T00:00:00"/>
    <d v="2026-05-19T00:00:00"/>
    <d v="2026-06-04T00:00:00"/>
    <d v="2026-06-19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5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30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4"/>
    <n v="2302600075"/>
    <x v="1"/>
    <n v="0.57999999999999996"/>
    <d v="2026-05-15T00:00:00"/>
    <d v="2026-05-18T00:00:00"/>
    <d v="2026-06-04T00:00:00"/>
    <d v="2026-06-20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5"/>
    <n v="0.22222222222222221"/>
    <n v="0.22222222222222221"/>
    <n v="0"/>
    <n v="0"/>
    <n v="0"/>
    <n v="0"/>
    <n v="0.03"/>
    <x v="2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31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5"/>
    <n v="2282600076"/>
    <x v="0"/>
    <n v="0.38999999999999996"/>
    <d v="2026-05-15T00:00:00"/>
    <d v="2026-05-27T00:00:00"/>
    <d v="2026-05-29T00:00:00"/>
    <d v="2026-06-10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76"/>
    <n v="2282600077"/>
    <x v="0"/>
    <n v="0.38999999999999996"/>
    <d v="2026-05-18T00:00:00"/>
    <d v="2026-05-26T00:00:00"/>
    <d v="2026-05-29T00:00:00"/>
    <d v="2026-06-13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77"/>
    <n v="2302600078"/>
    <x v="1"/>
    <n v="0.56999999999999995"/>
    <d v="2026-05-18T00:00:00"/>
    <d v="2026-05-16T00:00:00"/>
    <d v="2026-06-03T00:00:00"/>
    <d v="2026-06-23T00:00:00"/>
    <x v="6"/>
    <m/>
    <n v="0.38999999999999996"/>
    <n v="0.90697674418604646"/>
    <n v="0.27906976744186046"/>
    <n v="0.18604651162790697"/>
    <n v="0.2558139534883721"/>
    <n v="0.18604651162790697"/>
    <n v="0"/>
    <n v="3.9999999999999994E-2"/>
    <x v="5"/>
    <n v="0.22222222222222221"/>
    <n v="0.22222222222222221"/>
    <n v="0"/>
    <n v="0"/>
    <n v="0"/>
    <n v="0"/>
    <n v="0.03"/>
    <x v="2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32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OBRA GRUESA, SANITARIOS, ELÉCTRICO, TERMINACIONES"/>
    <n v="25"/>
  </r>
  <r>
    <x v="2"/>
    <x v="78"/>
    <n v="2302600079"/>
    <x v="1"/>
    <n v="0.49999999999999994"/>
    <d v="2026-05-19T00:00:00"/>
    <d v="2026-05-20T00:00:00"/>
    <d v="2026-06-03T00:00:00"/>
    <d v="2026-06-24T00:00:00"/>
    <x v="6"/>
    <m/>
    <n v="0.38999999999999996"/>
    <n v="0.90697674418604646"/>
    <n v="0.27906976744186046"/>
    <n v="0.18604651162790697"/>
    <n v="0.2558139534883721"/>
    <n v="0.18604651162790697"/>
    <n v="0"/>
    <n v="1.9999999999999997E-2"/>
    <x v="7"/>
    <n v="0"/>
    <n v="0.22222222222222221"/>
    <n v="0"/>
    <n v="0"/>
    <n v="0"/>
    <n v="0"/>
    <n v="0.03"/>
    <x v="2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x v="1"/>
    <n v="0"/>
    <n v="1"/>
    <n v="1"/>
    <n v="1"/>
    <n v="1"/>
    <n v="0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3"/>
    <s v="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OBRA GRUESA, SANITARIOS, ELÉCTRICO, TERMINACIONES"/>
    <n v="29"/>
  </r>
  <r>
    <x v="2"/>
    <x v="79"/>
    <n v="2282600080"/>
    <x v="0"/>
    <n v="0.7649999999999999"/>
    <d v="2026-05-19T00:00:00"/>
    <d v="2026-05-26T00:00:00"/>
    <d v="2026-06-05T00:00:00"/>
    <d v="2026-06-14T00:00:00"/>
    <x v="3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4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80"/>
    <n v="2282600081"/>
    <x v="0"/>
    <n v="0.38999999999999996"/>
    <d v="2026-05-20T00:00:00"/>
    <d v="2026-05-29T00:00:00"/>
    <d v="2026-05-29T00:00:00"/>
    <d v="2026-06-15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1"/>
    <n v="2302600082"/>
    <x v="1"/>
    <n v="0.41"/>
    <d v="2026-05-20T00:00:00"/>
    <d v="2026-05-29T00:00:00"/>
    <d v="2026-06-05T00:00:00"/>
    <d v="2026-06-25T00:00:00"/>
    <x v="3"/>
    <m/>
    <n v="0.38999999999999996"/>
    <n v="0.90697674418604646"/>
    <n v="0.27906976744186046"/>
    <n v="0.18604651162790697"/>
    <n v="0.2558139534883721"/>
    <n v="0.18604651162790697"/>
    <n v="0"/>
    <n v="1.9999999999999997E-2"/>
    <x v="7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82"/>
    <n v="2302600083"/>
    <x v="1"/>
    <n v="0.38999999999999996"/>
    <d v="2026-05-22T00:00:00"/>
    <d v="2026-06-01T00:00:00"/>
    <d v="2026-06-04T00:00:00"/>
    <d v="2026-06-27T00:00:00"/>
    <x v="1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38999999999999996"/>
    <d v="2026-05-25T00:00:00"/>
    <d v="2026-06-03T00:00:00"/>
    <d v="2026-06-04T00:00:00"/>
    <d v="2026-06-30T00:00:00"/>
    <x v="1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6"/>
    <n v="2302600087"/>
    <x v="1"/>
    <n v="0.42999999999999994"/>
    <d v="2026-05-26T00:00:00"/>
    <d v="2026-05-29T00:00:00"/>
    <d v="2026-06-04T00:00:00"/>
    <d v="2026-07-01T00:00:00"/>
    <x v="1"/>
    <m/>
    <n v="0.38999999999999996"/>
    <n v="0.90697674418604646"/>
    <n v="0.27906976744186046"/>
    <n v="0.18604651162790697"/>
    <n v="0.2558139534883721"/>
    <n v="0.18604651162790697"/>
    <n v="0"/>
    <n v="3.9999999999999994E-2"/>
    <x v="5"/>
    <n v="0.22222222222222221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2"/>
    <x v="87"/>
    <n v="2282600088"/>
    <x v="0"/>
    <n v="0.80499999999999994"/>
    <d v="2026-05-26T00:00:00"/>
    <d v="2026-05-29T00:00:00"/>
    <d v="2026-06-05T00:00:00"/>
    <d v="2026-06-2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4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8"/>
    <n v="2282600089"/>
    <x v="0"/>
    <n v="0.12"/>
    <d v="2026-05-27T00:00:00"/>
    <d v="2026-06-05T00:00:00"/>
    <d v="2026-06-05T00:00:00"/>
    <d v="2026-06-22T00:00:00"/>
    <x v="3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89"/>
    <n v="2302600090"/>
    <x v="1"/>
    <n v="0.12"/>
    <d v="2026-05-27T00:00:00"/>
    <d v="2026-06-03T00:00:00"/>
    <d v="2026-06-03T00:00:00"/>
    <d v="2026-07-02T00:00:00"/>
    <x v="6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0"/>
    <n v="2302600091"/>
    <x v="1"/>
    <n v="0"/>
    <d v="2026-05-28T00:00:00"/>
    <m/>
    <d v="1899-12-30T00:00:00"/>
    <d v="2026-07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1"/>
    <n v="2282600092"/>
    <x v="0"/>
    <n v="0"/>
    <d v="2026-05-28T00:00:00"/>
    <m/>
    <d v="1899-12-30T00:00:00"/>
    <d v="2026-06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2"/>
    <n v="2282600093"/>
    <x v="0"/>
    <n v="0"/>
    <d v="2026-05-29T00:00:00"/>
    <m/>
    <d v="1899-12-30T00:00:00"/>
    <d v="2026-06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3"/>
    <n v="2302600094"/>
    <x v="1"/>
    <n v="0"/>
    <d v="2026-05-29T00:00:00"/>
    <m/>
    <d v="1899-12-30T00:00:00"/>
    <d v="2026-07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4"/>
    <n v="2302600095"/>
    <x v="1"/>
    <n v="0.38999999999999996"/>
    <d v="2026-06-01T00:00:00"/>
    <d v="2026-06-04T00:00:00"/>
    <d v="2026-06-05T00:00:00"/>
    <d v="2026-07-07T00:00:00"/>
    <x v="3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5"/>
    <n v="2282600096"/>
    <x v="0"/>
    <n v="0.12"/>
    <d v="2026-06-01T00:00:00"/>
    <d v="2026-06-04T00:00:00"/>
    <d v="2026-06-04T00:00:00"/>
    <d v="2026-06-27T00:00:00"/>
    <x v="1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6"/>
    <n v="2282600097"/>
    <x v="0"/>
    <n v="0"/>
    <d v="2026-06-02T00:00:00"/>
    <m/>
    <d v="1899-12-30T00:00:00"/>
    <d v="2026-06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7"/>
    <n v="2302600098"/>
    <x v="1"/>
    <n v="0"/>
    <d v="2026-06-02T00:00:00"/>
    <m/>
    <d v="1899-12-30T00:00:00"/>
    <d v="2026-07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8"/>
    <n v="2302600099"/>
    <x v="1"/>
    <n v="0"/>
    <d v="2026-06-03T00:00:00"/>
    <m/>
    <d v="1899-12-30T00:00:00"/>
    <d v="2026-07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"/>
    <d v="2026-06-05T00:00:00"/>
    <m/>
    <d v="1899-12-30T00:00:00"/>
    <d v="2026-07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3"/>
    <n v="2282600104"/>
    <x v="0"/>
    <n v="0"/>
    <d v="2026-06-05T00:00:00"/>
    <m/>
    <d v="1899-12-30T00:00:00"/>
    <d v="2026-06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4"/>
    <n v="2282600105"/>
    <x v="0"/>
    <n v="0"/>
    <d v="2026-06-08T00:00:00"/>
    <m/>
    <d v="1899-12-30T00:00:00"/>
    <d v="2026-07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9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54" firstHeaderRow="0" firstDataRow="1" firstDataCol="3" rowPageCount="1" colPageCount="1"/>
  <pivotFields count="99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m="1" x="10"/>
        <item m="1" x="13"/>
        <item m="1" x="19"/>
        <item x="3"/>
        <item x="1"/>
        <item x="6"/>
        <item m="1" x="11"/>
        <item x="5"/>
        <item m="1" x="14"/>
        <item m="1" x="12"/>
        <item x="2"/>
        <item x="7"/>
        <item x="4"/>
        <item m="1" x="17"/>
        <item m="1" x="15"/>
        <item x="8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0"/>
        <item m="1" x="64"/>
        <item x="43"/>
        <item m="1" x="59"/>
        <item m="1" x="58"/>
        <item m="1" x="57"/>
        <item m="1" x="65"/>
        <item x="42"/>
        <item x="39"/>
        <item x="38"/>
        <item m="1" x="56"/>
        <item m="1" x="55"/>
        <item x="37"/>
        <item m="1" x="61"/>
        <item x="36"/>
        <item x="33"/>
        <item x="32"/>
        <item x="41"/>
        <item x="40"/>
        <item x="31"/>
        <item x="30"/>
        <item x="28"/>
        <item x="27"/>
        <item x="24"/>
        <item x="35"/>
        <item x="34"/>
        <item x="22"/>
        <item x="21"/>
        <item x="20"/>
        <item x="19"/>
        <item x="29"/>
        <item x="0"/>
        <item x="26"/>
        <item x="25"/>
        <item m="1" x="54"/>
        <item m="1" x="63"/>
        <item x="23"/>
        <item m="1" x="53"/>
        <item x="18"/>
        <item m="1" x="52"/>
        <item m="1" x="51"/>
        <item x="17"/>
        <item x="16"/>
        <item x="15"/>
        <item x="14"/>
        <item x="13"/>
        <item m="1" x="50"/>
        <item m="1" x="49"/>
        <item x="12"/>
        <item m="1" x="62"/>
        <item x="11"/>
        <item x="10"/>
        <item x="9"/>
        <item m="1" x="45"/>
        <item m="1" x="46"/>
        <item x="8"/>
        <item x="7"/>
        <item x="6"/>
        <item x="3"/>
        <item x="5"/>
        <item m="1" x="47"/>
        <item m="1" x="48"/>
        <item x="2"/>
        <item x="4"/>
        <item m="1" x="44"/>
        <item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44">
    <i>
      <x/>
    </i>
    <i r="1">
      <x/>
    </i>
    <i r="2">
      <x v="21"/>
    </i>
    <i r="2">
      <x v="22"/>
    </i>
    <i r="2">
      <x v="29"/>
    </i>
    <i r="2">
      <x v="30"/>
    </i>
    <i r="1">
      <x v="1"/>
    </i>
    <i r="2">
      <x v="15"/>
    </i>
    <i r="2">
      <x v="23"/>
    </i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6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7" baseField="0" baseItem="0" numFmtId="10"/>
    <dataField name=" TERMINACIONES" fld="34" baseField="0" baseItem="0" numFmtId="10"/>
    <dataField name="AVANCE TOTAL" fld="4" baseField="1" baseItem="37" numFmtId="9"/>
  </dataFields>
  <formats count="2">
    <format dxfId="37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6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5" firstHeaderRow="0" firstDataRow="1" firstDataCol="3" rowPageCount="1" colPageCount="1"/>
  <pivotFields count="99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m="1" x="10"/>
        <item m="1" x="13"/>
        <item m="1" x="19"/>
        <item x="3"/>
        <item x="1"/>
        <item x="6"/>
        <item m="1" x="11"/>
        <item x="5"/>
        <item m="1" x="14"/>
        <item m="1" x="12"/>
        <item x="2"/>
        <item x="7"/>
        <item x="4"/>
        <item m="1" x="17"/>
        <item m="1" x="15"/>
        <item x="8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9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0"/>
        <item m="1" x="64"/>
        <item x="43"/>
        <item m="1" x="59"/>
        <item m="1" x="58"/>
        <item m="1" x="57"/>
        <item m="1" x="65"/>
        <item x="42"/>
        <item x="39"/>
        <item x="38"/>
        <item m="1" x="56"/>
        <item m="1" x="55"/>
        <item x="37"/>
        <item m="1" x="61"/>
        <item x="36"/>
        <item x="33"/>
        <item x="32"/>
        <item x="41"/>
        <item x="40"/>
        <item x="31"/>
        <item x="30"/>
        <item x="28"/>
        <item x="27"/>
        <item x="24"/>
        <item x="35"/>
        <item x="34"/>
        <item x="22"/>
        <item x="21"/>
        <item x="20"/>
        <item x="19"/>
        <item x="29"/>
        <item x="0"/>
        <item x="26"/>
        <item x="25"/>
        <item m="1" x="54"/>
        <item m="1" x="63"/>
        <item x="23"/>
        <item m="1" x="53"/>
        <item x="18"/>
        <item m="1" x="52"/>
        <item m="1" x="51"/>
        <item x="17"/>
        <item x="16"/>
        <item x="15"/>
        <item x="14"/>
        <item x="13"/>
        <item m="1" x="50"/>
        <item m="1" x="49"/>
        <item x="12"/>
        <item m="1" x="62"/>
        <item x="11"/>
        <item x="10"/>
        <item x="9"/>
        <item m="1" x="45"/>
        <item m="1" x="46"/>
        <item x="8"/>
        <item x="7"/>
        <item x="6"/>
        <item x="3"/>
        <item x="5"/>
        <item m="1" x="47"/>
        <item m="1" x="48"/>
        <item x="2"/>
        <item x="4"/>
        <item m="1" x="44"/>
        <item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6"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6" item="2" hier="-1"/>
  </pageFields>
  <dataFields count="6">
    <dataField name="PISO " fld="58" baseField="3" baseItem="0" numFmtId="10"/>
    <dataField name="TABIQUES " fld="59" baseField="3" baseItem="0" numFmtId="10"/>
    <dataField name="MUROS " fld="60" baseField="3" baseItem="0" numFmtId="10"/>
    <dataField name="CIELO " fld="61" baseField="3" baseItem="0" numFmtId="10"/>
    <dataField name="BALCON " fld="62" baseField="3" baseItem="0" numFmtId="10"/>
    <dataField name="OBRA GRUESA " fld="12" baseField="3" baseItem="0" numFmtId="10"/>
  </dataFields>
  <formats count="10">
    <format dxfId="368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67">
      <pivotArea fieldPosition="0">
        <references count="1">
          <reference field="0" count="1">
            <x v="1"/>
          </reference>
        </references>
      </pivotArea>
    </format>
    <format dxfId="366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6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64">
      <pivotArea fieldPosition="0">
        <references count="1">
          <reference field="0" count="1">
            <x v="1"/>
          </reference>
        </references>
      </pivotArea>
    </format>
    <format dxfId="36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62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23" firstHeaderRow="0" firstDataRow="1" firstDataCol="2" rowPageCount="1" colPageCount="1"/>
  <pivotFields count="99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0">
        <item m="1" x="10"/>
        <item m="1" x="13"/>
        <item m="1" x="19"/>
        <item x="3"/>
        <item x="1"/>
        <item x="6"/>
        <item m="1" x="11"/>
        <item x="5"/>
        <item m="1" x="14"/>
        <item m="1" x="12"/>
        <item x="2"/>
        <item x="7"/>
        <item x="4"/>
        <item m="1" x="17"/>
        <item m="1" x="15"/>
        <item x="8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6"/>
        <item x="7"/>
        <item x="5"/>
        <item x="4"/>
        <item x="1"/>
        <item h="1" x="3"/>
        <item x="2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6">
        <item h="1" m="1" x="60"/>
        <item h="1" m="1" x="64"/>
        <item h="1" x="43"/>
        <item h="1" m="1" x="59"/>
        <item h="1" m="1" x="58"/>
        <item h="1" m="1" x="57"/>
        <item h="1" m="1" x="65"/>
        <item h="1" x="42"/>
        <item h="1" x="39"/>
        <item h="1" x="38"/>
        <item h="1" m="1" x="56"/>
        <item h="1" m="1" x="55"/>
        <item h="1" x="37"/>
        <item h="1" m="1" x="61"/>
        <item h="1" x="36"/>
        <item h="1" x="33"/>
        <item h="1" x="32"/>
        <item h="1" x="41"/>
        <item h="1" x="40"/>
        <item h="1" x="31"/>
        <item x="30"/>
        <item h="1" x="28"/>
        <item h="1" x="27"/>
        <item h="1" x="24"/>
        <item h="1" x="35"/>
        <item h="1" x="34"/>
        <item x="22"/>
        <item x="21"/>
        <item x="20"/>
        <item x="19"/>
        <item h="1" x="29"/>
        <item x="0"/>
        <item x="26"/>
        <item h="1" x="25"/>
        <item h="1" m="1" x="54"/>
        <item h="1" m="1" x="63"/>
        <item h="1" x="23"/>
        <item h="1" m="1" x="53"/>
        <item x="18"/>
        <item h="1" m="1" x="52"/>
        <item h="1" m="1" x="51"/>
        <item x="17"/>
        <item h="1" x="16"/>
        <item h="1" x="15"/>
        <item x="14"/>
        <item h="1" x="13"/>
        <item h="1" m="1" x="50"/>
        <item h="1" m="1" x="49"/>
        <item x="12"/>
        <item h="1" m="1" x="62"/>
        <item h="1" x="11"/>
        <item x="10"/>
        <item x="9"/>
        <item h="1" m="1" x="45"/>
        <item h="1" m="1" x="46"/>
        <item x="8"/>
        <item h="1" x="7"/>
        <item h="1" x="6"/>
        <item x="3"/>
        <item h="1" x="5"/>
        <item h="1" m="1" x="47"/>
        <item h="1" m="1" x="48"/>
        <item h="1" x="2"/>
        <item h="1" x="4"/>
        <item h="1" m="1" x="44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4">
    <i>
      <x v="1"/>
    </i>
    <i r="1">
      <x v="37"/>
    </i>
    <i r="1">
      <x v="38"/>
    </i>
    <i r="1">
      <x v="42"/>
    </i>
    <i r="1">
      <x v="46"/>
    </i>
    <i r="1">
      <x v="53"/>
    </i>
    <i r="1">
      <x v="54"/>
    </i>
    <i r="1">
      <x v="57"/>
    </i>
    <i r="1">
      <x v="58"/>
    </i>
    <i r="1">
      <x v="61"/>
    </i>
    <i r="1">
      <x v="62"/>
    </i>
    <i>
      <x v="2"/>
    </i>
    <i r="1">
      <x v="65"/>
    </i>
    <i r="1">
      <x v="73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6" item="2" hier="-1"/>
  </pageFields>
  <dataFields count="8">
    <dataField name=" DIAS SIN MOVIMIENTO" fld="9" baseField="1" baseItem="41"/>
    <dataField name=" DIAS RETRASO" fld="95" baseField="1" baseItem="6" numFmtId="41"/>
    <dataField name="RED ALCANTARILLADO " fld="63" baseField="1" baseItem="58" numFmtId="10"/>
    <dataField name="RED DE AGUA " fld="64" baseField="1" baseItem="58" numFmtId="10"/>
    <dataField name="VENTILACIONES " fld="65" baseField="1" baseItem="58" numFmtId="10"/>
    <dataField name="TINA " fld="66" baseField="1" baseItem="58" numFmtId="10"/>
    <dataField name="WC " fld="67" baseField="1" baseItem="58" numFmtId="10"/>
    <dataField name="LAVAMANOS/LAVAPLATOS/LAVADERO " fld="68" baseField="1" baseItem="58" numFmtId="10"/>
  </dataFields>
  <formats count="29">
    <format dxfId="358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57">
      <pivotArea fieldPosition="0">
        <references count="1">
          <reference field="0" count="1">
            <x v="1"/>
          </reference>
        </references>
      </pivotArea>
    </format>
    <format dxfId="356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55">
      <pivotArea fieldPosition="0">
        <references count="1">
          <reference field="0" count="1">
            <x v="2"/>
          </reference>
        </references>
      </pivotArea>
    </format>
    <format dxfId="354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53">
      <pivotArea fieldPosition="0">
        <references count="1">
          <reference field="0" count="1">
            <x v="1"/>
          </reference>
        </references>
      </pivotArea>
    </format>
    <format dxfId="352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51">
      <pivotArea fieldPosition="0">
        <references count="1">
          <reference field="0" count="1">
            <x v="2"/>
          </reference>
        </references>
      </pivotArea>
    </format>
    <format dxfId="350">
      <pivotArea field="0" type="button" dataOnly="0" labelOnly="1" outline="0" axis="axisRow" fieldPosition="0"/>
    </format>
    <format dxfId="349">
      <pivotArea field="1" type="button" dataOnly="0" labelOnly="1" outline="0" axis="axisRow" fieldPosition="1"/>
    </format>
    <format dxfId="348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47">
      <pivotArea field="0" type="button" dataOnly="0" labelOnly="1" outline="0" axis="axisRow" fieldPosition="0"/>
    </format>
    <format dxfId="346">
      <pivotArea field="1" type="button" dataOnly="0" labelOnly="1" outline="0" axis="axisRow" fieldPosition="1"/>
    </format>
    <format dxfId="345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41">
      <pivotArea outline="0" collapsedLevelsAreSubtotals="1" fieldPosition="0"/>
    </format>
    <format dxfId="340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336">
      <pivotArea outline="0" collapsedLevelsAreSubtotals="1" fieldPosition="0"/>
    </format>
    <format dxfId="335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5" firstHeaderRow="0" firstDataRow="1" firstDataCol="3" rowPageCount="1" colPageCount="1"/>
  <pivotFields count="99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m="1" x="10"/>
        <item m="1" x="13"/>
        <item m="1" x="19"/>
        <item x="3"/>
        <item x="1"/>
        <item x="6"/>
        <item m="1" x="11"/>
        <item x="5"/>
        <item m="1" x="14"/>
        <item m="1" x="12"/>
        <item x="2"/>
        <item x="7"/>
        <item x="4"/>
        <item m="1" x="17"/>
        <item m="1" x="15"/>
        <item x="8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2"/>
        <item x="3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h="1" m="1" x="60"/>
        <item h="1" m="1" x="64"/>
        <item h="1" x="43"/>
        <item h="1" m="1" x="59"/>
        <item h="1" m="1" x="58"/>
        <item h="1" m="1" x="57"/>
        <item h="1" m="1" x="65"/>
        <item h="1" x="42"/>
        <item h="1" x="39"/>
        <item h="1" x="38"/>
        <item h="1" m="1" x="56"/>
        <item h="1" m="1" x="55"/>
        <item h="1" x="37"/>
        <item h="1" m="1" x="61"/>
        <item h="1" x="36"/>
        <item h="1" x="33"/>
        <item h="1" x="32"/>
        <item h="1" x="41"/>
        <item h="1" x="40"/>
        <item h="1" x="31"/>
        <item h="1" x="30"/>
        <item h="1" x="28"/>
        <item h="1" x="27"/>
        <item h="1" x="24"/>
        <item h="1" x="35"/>
        <item h="1" x="34"/>
        <item h="1" x="22"/>
        <item h="1" x="21"/>
        <item h="1" x="20"/>
        <item h="1" x="19"/>
        <item h="1" x="29"/>
        <item x="0"/>
        <item x="26"/>
        <item h="1" x="25"/>
        <item h="1" m="1" x="54"/>
        <item h="1" m="1" x="63"/>
        <item h="1" x="23"/>
        <item h="1" m="1" x="53"/>
        <item x="18"/>
        <item h="1" m="1" x="52"/>
        <item h="1" m="1" x="51"/>
        <item x="17"/>
        <item h="1" x="16"/>
        <item h="1" x="15"/>
        <item x="14"/>
        <item h="1" x="13"/>
        <item h="1" m="1" x="50"/>
        <item h="1" m="1" x="49"/>
        <item x="12"/>
        <item h="1" m="1" x="62"/>
        <item h="1" x="11"/>
        <item x="10"/>
        <item x="9"/>
        <item h="1" m="1" x="45"/>
        <item h="1" m="1" x="46"/>
        <item x="8"/>
        <item h="1" x="7"/>
        <item h="1" x="6"/>
        <item x="3"/>
        <item h="1" x="5"/>
        <item h="1" m="1" x="47"/>
        <item h="1" m="1" x="48"/>
        <item x="2"/>
        <item h="1" x="4"/>
        <item h="1" m="1" x="44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5">
    <i>
      <x v="1"/>
    </i>
    <i r="1">
      <x/>
    </i>
    <i r="2">
      <x v="37"/>
    </i>
    <i r="2">
      <x v="38"/>
    </i>
    <i r="2">
      <x v="42"/>
    </i>
    <i r="2">
      <x v="46"/>
    </i>
    <i r="2">
      <x v="53"/>
    </i>
    <i r="2">
      <x v="54"/>
    </i>
    <i r="1">
      <x v="1"/>
    </i>
    <i r="2">
      <x v="35"/>
    </i>
    <i r="2">
      <x v="39"/>
    </i>
    <i r="2">
      <x v="43"/>
    </i>
    <i r="2">
      <x v="47"/>
    </i>
    <i r="2">
      <x v="52"/>
    </i>
    <i r="2">
      <x v="5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6" item="2" hier="-1"/>
  </pageFields>
  <dataFields count="6">
    <dataField name="CANALIZACIÓN " fld="69" baseField="3" baseItem="0" numFmtId="10"/>
    <dataField name="CABLEADO " fld="70" baseField="3" baseItem="0" numFmtId="10"/>
    <dataField name="ARTEFACTOS " fld="71" baseField="3" baseItem="0" numFmtId="10"/>
    <dataField name="TABLERO " fld="72" baseField="3" baseItem="0" numFmtId="10"/>
    <dataField name="CAJA PAU " fld="73" baseField="3" baseItem="0" numFmtId="10"/>
    <dataField name="ELECTRICO" fld="27" baseField="3" baseItem="0" numFmtId="10"/>
  </dataFields>
  <formats count="4">
    <format dxfId="32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35" firstHeaderRow="0" firstDataRow="1" firstDataCol="3" rowPageCount="1" colPageCount="1"/>
  <pivotFields count="99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0">
        <item m="1" x="10"/>
        <item m="1" x="13"/>
        <item m="1" x="19"/>
        <item x="3"/>
        <item x="1"/>
        <item x="6"/>
        <item m="1" x="11"/>
        <item x="5"/>
        <item m="1" x="14"/>
        <item m="1" x="12"/>
        <item x="2"/>
        <item x="7"/>
        <item x="4"/>
        <item m="1" x="17"/>
        <item m="1" x="15"/>
        <item x="8"/>
        <item m="1" x="27"/>
        <item m="1" x="25"/>
        <item m="1" x="28"/>
        <item m="1" x="23"/>
        <item m="1" x="21"/>
        <item m="1" x="18"/>
        <item m="1" x="29"/>
        <item m="1" x="26"/>
        <item m="1" x="24"/>
        <item m="1" x="22"/>
        <item m="1" x="20"/>
        <item m="1" x="16"/>
        <item x="9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6">
        <item h="1" m="1" x="60"/>
        <item h="1" m="1" x="64"/>
        <item h="1" x="43"/>
        <item h="1" m="1" x="59"/>
        <item h="1" m="1" x="58"/>
        <item h="1" m="1" x="57"/>
        <item h="1" m="1" x="65"/>
        <item h="1" x="42"/>
        <item h="1" x="39"/>
        <item h="1" x="38"/>
        <item h="1" m="1" x="56"/>
        <item h="1" m="1" x="55"/>
        <item h="1" x="37"/>
        <item h="1" m="1" x="61"/>
        <item h="1" x="36"/>
        <item h="1" x="33"/>
        <item h="1" x="32"/>
        <item h="1" x="41"/>
        <item h="1" x="40"/>
        <item h="1" x="31"/>
        <item h="1" x="30"/>
        <item h="1" x="28"/>
        <item h="1" x="27"/>
        <item h="1" x="24"/>
        <item h="1" x="35"/>
        <item h="1" x="34"/>
        <item h="1" x="22"/>
        <item h="1" x="21"/>
        <item h="1" x="20"/>
        <item h="1" x="19"/>
        <item h="1" x="29"/>
        <item x="0"/>
        <item x="26"/>
        <item h="1" x="25"/>
        <item h="1" m="1" x="54"/>
        <item h="1" m="1" x="63"/>
        <item h="1" x="23"/>
        <item h="1" m="1" x="53"/>
        <item x="18"/>
        <item h="1" m="1" x="52"/>
        <item h="1" m="1" x="51"/>
        <item x="17"/>
        <item h="1" x="16"/>
        <item h="1" x="15"/>
        <item x="14"/>
        <item h="1" x="13"/>
        <item h="1" m="1" x="50"/>
        <item h="1" m="1" x="49"/>
        <item x="12"/>
        <item h="1" m="1" x="62"/>
        <item h="1" x="11"/>
        <item x="10"/>
        <item x="9"/>
        <item h="1" m="1" x="45"/>
        <item h="1" m="1" x="46"/>
        <item x="8"/>
        <item h="1" x="7"/>
        <item h="1" x="6"/>
        <item x="3"/>
        <item h="1" x="5"/>
        <item h="1" m="1" x="47"/>
        <item h="1" m="1" x="48"/>
        <item x="2"/>
        <item h="1" x="4"/>
        <item h="1" m="1" x="44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5">
    <i>
      <x/>
    </i>
    <i r="1">
      <x/>
    </i>
    <i r="2">
      <x v="21"/>
    </i>
    <i r="2">
      <x v="22"/>
    </i>
    <i>
      <x v="1"/>
    </i>
    <i r="1">
      <x/>
    </i>
    <i r="2">
      <x v="34"/>
    </i>
    <i r="2">
      <x v="37"/>
    </i>
    <i r="2">
      <x v="38"/>
    </i>
    <i r="2">
      <x v="42"/>
    </i>
    <i r="2">
      <x v="46"/>
    </i>
    <i r="2">
      <x v="53"/>
    </i>
    <i r="2">
      <x v="54"/>
    </i>
    <i r="1">
      <x v="1"/>
    </i>
    <i r="2">
      <x v="35"/>
    </i>
    <i r="2">
      <x v="36"/>
    </i>
    <i r="2">
      <x v="39"/>
    </i>
    <i r="2">
      <x v="43"/>
    </i>
    <i r="2">
      <x v="47"/>
    </i>
    <i r="2">
      <x v="52"/>
    </i>
    <i r="2">
      <x v="55"/>
    </i>
    <i>
      <x v="2"/>
    </i>
    <i r="1">
      <x v="1"/>
    </i>
    <i r="2">
      <x v="68"/>
    </i>
    <i r="2">
      <x v="71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6" item="2" hier="-1"/>
  </pageFields>
  <dataFields count="22">
    <dataField name="VINILICO " fld="74" baseField="1" baseItem="45" numFmtId="10"/>
    <dataField name="OSB CUBIERTA " fld="75" baseField="1" baseItem="45" numFmtId="10"/>
    <dataField name="BARANDA BALCON " fld="76" baseField="1" baseItem="45" numFmtId="10"/>
    <dataField name="OSB EXTERIOR " fld="77" baseField="1" baseItem="45" numFmtId="10"/>
    <dataField name="VENTANAS " fld="84" baseField="1" baseItem="49" numFmtId="10"/>
    <dataField name="SMART PANEL " fld="78" baseField="1" baseItem="45" numFmtId="10"/>
    <dataField name="PINTURA EXTERIOR " fld="79" baseField="1" baseItem="45" numFmtId="10"/>
    <dataField name="ZOCALOS LOGIA " fld="80" baseField="1" baseItem="45" numFmtId="10"/>
    <dataField name="MOLDURAS " fld="81" baseField="1" baseItem="45" numFmtId="10"/>
    <dataField name="PILASTREO " fld="82" baseField="1" baseItem="45" numFmtId="10"/>
    <dataField name="CELOSIAS " fld="83" baseField="1" baseItem="45" numFmtId="10"/>
    <dataField name="PUERTAS " fld="85" baseField="1" baseItem="45" numFmtId="10"/>
    <dataField name="CERRADURAS " fld="86" baseField="1" baseItem="45" numFmtId="10"/>
    <dataField name="REVESTIMIENTO INTERIOR SECO  " fld="87" baseField="1" baseItem="45" numFmtId="10"/>
    <dataField name="REVESTIMIENTO INTERIOR HUMEDO" fld="88" baseField="1" baseItem="45" numFmtId="10"/>
    <dataField name="MEMBRANA CIELO " fld="89" baseField="1" baseItem="45" numFmtId="10"/>
    <dataField name="PUERTAS DORMITORIOS" fld="91" baseField="1" baseItem="45" numFmtId="10"/>
    <dataField name="REVESTIMIENTO BAÑO" fld="92" baseField="1" baseItem="45" numFmtId="10"/>
    <dataField name="MUEBLE LAVPLATOS " fld="93" baseField="1" baseItem="45" numFmtId="10"/>
    <dataField name="IMPERMEABILIZACIÓN" fld="94" baseField="1" baseItem="45" numFmtId="10"/>
    <dataField name="LIMPIEZA FINAL " fld="90" baseField="1" baseItem="45" numFmtId="10"/>
    <dataField name="TERMINACIONES " fld="34" baseField="1" baseItem="45" numFmtId="10"/>
  </dataFields>
  <formats count="13">
    <format dxfId="395">
      <pivotArea field="3" type="button" dataOnly="0" labelOnly="1" outline="0" axis="axisRow" fieldPosition="1"/>
    </format>
    <format dxfId="394">
      <pivotArea field="1" type="button" dataOnly="0" labelOnly="1" outline="0" axis="axisRow" fieldPosition="2"/>
    </format>
    <format dxfId="393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92">
      <pivotArea field="3" type="button" dataOnly="0" labelOnly="1" outline="0" axis="axisRow" fieldPosition="1"/>
    </format>
    <format dxfId="391">
      <pivotArea field="1" type="button" dataOnly="0" labelOnly="1" outline="0" axis="axisRow" fieldPosition="2"/>
    </format>
    <format dxfId="39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89">
      <pivotArea field="3" type="button" dataOnly="0" labelOnly="1" outline="0" axis="axisRow" fieldPosition="1"/>
    </format>
    <format dxfId="388">
      <pivotArea field="1" type="button" dataOnly="0" labelOnly="1" outline="0" axis="axisRow" fieldPosition="2"/>
    </format>
    <format dxfId="38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86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8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0" unboundColumnsRight="43">
    <queryTableFields count="99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0" s="1"/>
        <i x="1" s="1"/>
        <i x="2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0">
        <i x="3" s="1"/>
        <i x="1" s="1"/>
        <i x="6" s="1"/>
        <i x="5" s="1"/>
        <i x="2" s="1"/>
        <i x="7" s="1"/>
        <i x="4" s="1"/>
        <i x="8" s="1"/>
        <i x="10" s="1" nd="1"/>
        <i x="13" s="1" nd="1"/>
        <i x="19" s="1" nd="1"/>
        <i x="11" s="1" nd="1"/>
        <i x="14" s="1" nd="1"/>
        <i x="12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9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0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0">
        <i x="3" s="1"/>
        <i x="1" s="1"/>
        <i x="6" s="1"/>
        <i x="5" s="1"/>
        <i x="2" s="1"/>
        <i x="7" s="1"/>
        <i x="4" s="1"/>
        <i x="8" s="1"/>
        <i x="10" s="1" nd="1"/>
        <i x="13" s="1" nd="1"/>
        <i x="19" s="1" nd="1"/>
        <i x="11" s="1" nd="1"/>
        <i x="14" s="1" nd="1"/>
        <i x="12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9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0">
        <i x="3" s="1"/>
        <i x="1" s="1"/>
        <i x="6" s="1"/>
        <i x="5" s="1"/>
        <i x="2" s="1"/>
        <i x="10" s="1" nd="1"/>
        <i x="13" s="1" nd="1"/>
        <i x="19" s="1" nd="1"/>
        <i x="11" s="1" nd="1"/>
        <i x="14" s="1" nd="1"/>
        <i x="12" s="1" nd="1"/>
        <i x="7" s="1" nd="1"/>
        <i x="4" s="1" nd="1"/>
        <i x="17" s="1" nd="1"/>
        <i x="15" s="1" nd="1"/>
        <i x="8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9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0">
        <i x="3" s="1"/>
        <i x="1" s="1"/>
        <i x="6" s="1"/>
        <i x="5" s="1"/>
        <i x="2" s="1"/>
        <i x="7" s="1"/>
        <i x="8" s="1"/>
        <i x="10" s="1" nd="1"/>
        <i x="13" s="1" nd="1"/>
        <i x="19" s="1" nd="1"/>
        <i x="11" s="1" nd="1"/>
        <i x="14" s="1" nd="1"/>
        <i x="12" s="1" nd="1"/>
        <i x="4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9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0" s="1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0">
        <i x="3" s="1"/>
        <i x="1" s="1"/>
        <i x="6" s="1"/>
        <i x="5" s="1"/>
        <i x="2" s="1"/>
        <i x="7" s="1"/>
        <i x="8" s="1"/>
        <i x="10" s="1" nd="1"/>
        <i x="13" s="1" nd="1"/>
        <i x="19" s="1" nd="1"/>
        <i x="11" s="1" nd="1"/>
        <i x="14" s="1" nd="1"/>
        <i x="12" s="1" nd="1"/>
        <i x="4" s="1" nd="1"/>
        <i x="17" s="1" nd="1"/>
        <i x="15" s="1" nd="1"/>
        <i x="27" s="1" nd="1"/>
        <i x="25" s="1" nd="1"/>
        <i x="28" s="1" nd="1"/>
        <i x="23" s="1" nd="1"/>
        <i x="21" s="1" nd="1"/>
        <i x="18" s="1" nd="1"/>
        <i x="29" s="1" nd="1"/>
        <i x="26" s="1" nd="1"/>
        <i x="24" s="1" nd="1"/>
        <i x="22" s="1" nd="1"/>
        <i x="20" s="1" nd="1"/>
        <i x="16" s="1" nd="1"/>
        <i x="9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6">
        <i x="22" s="1"/>
        <i x="21" s="1"/>
        <i x="20" s="1"/>
        <i x="19" s="1"/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3" s="1"/>
        <i x="5" s="1"/>
        <i x="2" s="1"/>
        <i x="4" s="1"/>
        <i x="1" s="1"/>
        <i x="60" s="1" nd="1"/>
        <i x="64" s="1" nd="1"/>
        <i x="43" s="1" nd="1"/>
        <i x="59" s="1" nd="1"/>
        <i x="58" s="1" nd="1"/>
        <i x="57" s="1" nd="1"/>
        <i x="65" s="1" nd="1"/>
        <i x="42" s="1" nd="1"/>
        <i x="39" s="1" nd="1"/>
        <i x="38" s="1" nd="1"/>
        <i x="56" s="1" nd="1"/>
        <i x="55" s="1" nd="1"/>
        <i x="37" s="1" nd="1"/>
        <i x="61" s="1" nd="1"/>
        <i x="36" s="1" nd="1"/>
        <i x="33" s="1" nd="1"/>
        <i x="32" s="1" nd="1"/>
        <i x="41" s="1" nd="1"/>
        <i x="40" s="1" nd="1"/>
        <i x="31" s="1" nd="1"/>
        <i x="30" s="1" nd="1"/>
        <i x="28" s="1" nd="1"/>
        <i x="27" s="1" nd="1"/>
        <i x="24" s="1" nd="1"/>
        <i x="35" s="1" nd="1"/>
        <i x="34" s="1" nd="1"/>
        <i x="29" s="1" nd="1"/>
        <i x="0" s="1" nd="1"/>
        <i x="26" s="1" nd="1"/>
        <i x="25" s="1" nd="1"/>
        <i x="54" s="1" nd="1"/>
        <i x="63" s="1" nd="1"/>
        <i x="23" s="1" nd="1"/>
        <i x="53" s="1" nd="1"/>
        <i x="52" s="1" nd="1"/>
        <i x="51" s="1" nd="1"/>
        <i x="50" s="1" nd="1"/>
        <i x="49" s="1" nd="1"/>
        <i x="62" s="1" nd="1"/>
        <i x="45" s="1" nd="1"/>
        <i x="46" s="1" nd="1"/>
        <i x="47" s="1" nd="1"/>
        <i x="48" s="1" nd="1"/>
        <i x="44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6">
        <i x="43"/>
        <i x="42"/>
        <i x="39"/>
        <i x="38"/>
        <i x="37"/>
        <i x="36"/>
        <i x="33"/>
        <i x="32"/>
        <i x="41"/>
        <i x="40"/>
        <i x="31"/>
        <i x="30"/>
        <i x="28"/>
        <i x="27"/>
        <i x="24"/>
        <i x="35"/>
        <i x="34"/>
        <i x="22"/>
        <i x="21"/>
        <i x="20"/>
        <i x="19"/>
        <i x="29"/>
        <i x="0" s="1"/>
        <i x="26" s="1"/>
        <i x="25"/>
        <i x="23"/>
        <i x="18" s="1"/>
        <i x="17" s="1"/>
        <i x="16"/>
        <i x="15"/>
        <i x="14" s="1"/>
        <i x="13"/>
        <i x="12" s="1"/>
        <i x="11"/>
        <i x="10" s="1"/>
        <i x="9" s="1"/>
        <i x="8" s="1"/>
        <i x="7"/>
        <i x="6"/>
        <i x="3" s="1"/>
        <i x="5"/>
        <i x="2" s="1"/>
        <i x="4"/>
        <i x="1"/>
        <i x="60" nd="1"/>
        <i x="64" nd="1"/>
        <i x="59" nd="1"/>
        <i x="58" nd="1"/>
        <i x="57" nd="1"/>
        <i x="65" nd="1"/>
        <i x="56" nd="1"/>
        <i x="55" nd="1"/>
        <i x="61" nd="1"/>
        <i x="54" nd="1"/>
        <i x="63" nd="1"/>
        <i x="53" nd="1"/>
        <i x="52" nd="1"/>
        <i x="51" nd="1"/>
        <i x="50" nd="1"/>
        <i x="49" nd="1"/>
        <i x="62" nd="1"/>
        <i x="45" nd="1"/>
        <i x="46" nd="1"/>
        <i x="47" nd="1"/>
        <i x="48" nd="1"/>
        <i x="44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6">
        <i x="22"/>
        <i x="21"/>
        <i x="20"/>
        <i x="19"/>
        <i x="18" s="1"/>
        <i x="17" s="1"/>
        <i x="16"/>
        <i x="15"/>
        <i x="14" s="1"/>
        <i x="13"/>
        <i x="12" s="1"/>
        <i x="11"/>
        <i x="10" s="1"/>
        <i x="9" s="1"/>
        <i x="8" s="1"/>
        <i x="7"/>
        <i x="60" nd="1"/>
        <i x="64" nd="1"/>
        <i x="43" nd="1"/>
        <i x="59" nd="1"/>
        <i x="58" nd="1"/>
        <i x="57" nd="1"/>
        <i x="65" nd="1"/>
        <i x="42" nd="1"/>
        <i x="39" nd="1"/>
        <i x="38" nd="1"/>
        <i x="56" nd="1"/>
        <i x="55" nd="1"/>
        <i x="37" nd="1"/>
        <i x="61" nd="1"/>
        <i x="36" nd="1"/>
        <i x="33" nd="1"/>
        <i x="32" nd="1"/>
        <i x="41" nd="1"/>
        <i x="40" nd="1"/>
        <i x="31" nd="1"/>
        <i x="30" nd="1"/>
        <i x="28" nd="1"/>
        <i x="27" nd="1"/>
        <i x="24" nd="1"/>
        <i x="35" nd="1"/>
        <i x="34" nd="1"/>
        <i x="29" nd="1"/>
        <i x="0" s="1" nd="1"/>
        <i x="26" s="1" nd="1"/>
        <i x="25" nd="1"/>
        <i x="54" nd="1"/>
        <i x="63" nd="1"/>
        <i x="23" nd="1"/>
        <i x="53" nd="1"/>
        <i x="52" nd="1"/>
        <i x="51" nd="1"/>
        <i x="50" nd="1"/>
        <i x="49" nd="1"/>
        <i x="62" nd="1"/>
        <i x="45" nd="1"/>
        <i x="46" nd="1"/>
        <i x="6" nd="1"/>
        <i x="3" s="1" nd="1"/>
        <i x="5" nd="1"/>
        <i x="47" nd="1"/>
        <i x="48" nd="1"/>
        <i x="2" s="1" nd="1"/>
        <i x="4" nd="1"/>
        <i x="44" nd="1"/>
        <i x="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3" s="1"/>
        <i x="1" s="1"/>
        <i x="0"/>
        <i x="5" s="1" nd="1"/>
        <i x="4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6">
        <i x="43" s="1"/>
        <i x="42" s="1"/>
        <i x="39" s="1"/>
        <i x="38" s="1"/>
        <i x="37" s="1"/>
        <i x="36" s="1"/>
        <i x="33" s="1"/>
        <i x="32" s="1"/>
        <i x="41" s="1"/>
        <i x="40" s="1"/>
        <i x="31" s="1"/>
        <i x="30" s="1"/>
        <i x="28" s="1"/>
        <i x="27" s="1"/>
        <i x="24" s="1"/>
        <i x="35" s="1"/>
        <i x="34" s="1"/>
        <i x="22" s="1"/>
        <i x="21" s="1"/>
        <i x="20" s="1"/>
        <i x="19" s="1"/>
        <i x="29" s="1"/>
        <i x="0" s="1"/>
        <i x="26" s="1"/>
        <i x="25" s="1"/>
        <i x="23" s="1"/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0" s="1" nd="1"/>
        <i x="64" s="1" nd="1"/>
        <i x="59" s="1" nd="1"/>
        <i x="58" s="1" nd="1"/>
        <i x="57" s="1" nd="1"/>
        <i x="65" s="1" nd="1"/>
        <i x="56" s="1" nd="1"/>
        <i x="55" s="1" nd="1"/>
        <i x="61" s="1" nd="1"/>
        <i x="54" s="1" nd="1"/>
        <i x="63" s="1" nd="1"/>
        <i x="53" s="1" nd="1"/>
        <i x="52" s="1" nd="1"/>
        <i x="51" s="1" nd="1"/>
        <i x="50" s="1" nd="1"/>
        <i x="49" s="1" nd="1"/>
        <i x="62" s="1" nd="1"/>
        <i x="45" s="1" nd="1"/>
        <i x="46" s="1" nd="1"/>
        <i x="6" s="1" nd="1"/>
        <i x="3" s="1" nd="1"/>
        <i x="5" s="1" nd="1"/>
        <i x="47" s="1" nd="1"/>
        <i x="48" s="1" nd="1"/>
        <i x="2" s="1" nd="1"/>
        <i x="4" s="1" nd="1"/>
        <i x="44" s="1" nd="1"/>
        <i x="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6">
        <i x="43"/>
        <i x="42"/>
        <i x="39"/>
        <i x="38"/>
        <i x="37"/>
        <i x="36"/>
        <i x="33"/>
        <i x="32"/>
        <i x="31"/>
        <i x="30" s="1"/>
        <i x="28"/>
        <i x="27"/>
        <i x="24"/>
        <i x="22" s="1"/>
        <i x="21" s="1"/>
        <i x="20" s="1"/>
        <i x="19" s="1"/>
        <i x="18" s="1"/>
        <i x="17" s="1"/>
        <i x="16"/>
        <i x="15"/>
        <i x="14" s="1"/>
        <i x="13"/>
        <i x="12" s="1"/>
        <i x="10" s="1"/>
        <i x="9" s="1"/>
        <i x="7"/>
        <i x="60" nd="1"/>
        <i x="64" nd="1"/>
        <i x="59" nd="1"/>
        <i x="58" nd="1"/>
        <i x="57" nd="1"/>
        <i x="65" nd="1"/>
        <i x="56" nd="1"/>
        <i x="55" nd="1"/>
        <i x="61" nd="1"/>
        <i x="41" nd="1"/>
        <i x="40" nd="1"/>
        <i x="35" nd="1"/>
        <i x="34" nd="1"/>
        <i x="29" nd="1"/>
        <i x="0" s="1" nd="1"/>
        <i x="26" s="1" nd="1"/>
        <i x="25" nd="1"/>
        <i x="54" nd="1"/>
        <i x="63" nd="1"/>
        <i x="23" nd="1"/>
        <i x="53" nd="1"/>
        <i x="52" nd="1"/>
        <i x="51" nd="1"/>
        <i x="50" nd="1"/>
        <i x="49" nd="1"/>
        <i x="62" nd="1"/>
        <i x="11" nd="1"/>
        <i x="45" nd="1"/>
        <i x="46" nd="1"/>
        <i x="8" s="1" nd="1"/>
        <i x="6" nd="1"/>
        <i x="3" s="1" nd="1"/>
        <i x="5" nd="1"/>
        <i x="47" nd="1"/>
        <i x="48" nd="1"/>
        <i x="2" nd="1"/>
        <i x="4" nd="1"/>
        <i x="44" nd="1"/>
        <i x="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5" s="1"/>
        <i x="4" s="1"/>
        <i x="2" s="1"/>
        <i x="0"/>
        <i x="6" s="1" nd="1"/>
        <i x="7" s="1" nd="1"/>
        <i x="1" s="1" nd="1"/>
        <i x="3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U705" tableType="queryTable" totalsRowShown="0">
  <autoFilter ref="A1:CU705" xr:uid="{B31246C4-E2E1-4D48-9471-55D5994ADFC4}"/>
  <tableColumns count="99">
    <tableColumn id="1" xr3:uid="{CC01D0E6-5846-4187-87EB-14127EDCC871}" uniqueName="1" name="TORRE" queryTableFieldId="1" dataDxfId="382"/>
    <tableColumn id="2" xr3:uid="{E130894E-F6CA-4D5D-905F-4F1F366536F5}" uniqueName="2" name="N° MÓDULO" queryTableFieldId="2" dataDxfId="381"/>
    <tableColumn id="3" xr3:uid="{BFF2FF07-40FD-4F09-8007-2AF1CE9F45C4}" uniqueName="3" name="N° SERIE" queryTableFieldId="3"/>
    <tableColumn id="4" xr3:uid="{33BD3205-6122-4974-AC22-14FF964CBA44}" uniqueName="4" name="TIPO" queryTableFieldId="4" dataDxfId="380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",TRUE,IF(SUMPRODUCT((BF2:CQ2&lt;1)*(PARTIDAS!$I$2:$AT$2="OBRA GRUESA"))&gt;0,"OBRA GRUESA: "&amp;_xlfn.TEXTJOIN(", ",TRUE,IF((BF2:CQ2&lt;1)*(PARTIDAS!$I$2:$AT$2="OBRA GRUESA"),PARTIDAS!$I$1:$AT$1,"")),""),IF(SUMPRODUCT((BF2:CQ2&lt;1)*(PARTIDAS!$I$2:$AT$2="SANITARIOS"))&gt;0,"SANITARIOS: "&amp;_xlfn.TEXTJOIN(", ",TRUE,IF((BF2:CQ2&lt;1)*(PARTIDAS!$I$2:$AT$2="SANITARIOS"),PARTIDAS!$I$1:$AT$1,"")),""),IF(SUMPRODUCT((BF2:CQ2&lt;1)*(PARTIDAS!$I$2:$AT$2="ELÉCTRICO"))&gt;0,"ELÉCTRICO: "&amp;_xlfn.TEXTJOIN(", ",TRUE,IF((BF2:CQ2&lt;1)*(PARTIDAS!$I$2:$AT$2="ELÉCTRICO"),PARTIDAS!$I$1:$AT$1,"")),""),IF(SUMPRODUCT((BF2:CQ2&lt;1)*(PARTIDAS!$I$2:$AT$2="TERMINACIONES"))&gt;0,"TERMINACIONES: "&amp;_xlfn.TEXTJOIN(", ",TRUE,IF((BF2:CQ2&lt;1)*(PARTIDAS!$I$2:$AT$2="TERMINACIONES"),PARTIDAS!$I$1:$AT$1,"")),""))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",TRUE,IF(SUMPRODUCT((BF2:CQ2&lt;1)*(PARTIDAS!$I$2:$AT$2="OBRA GRUESA"))&gt;0,"OBRA GRUESA",""),IF(SUMPRODUCT((BF2:CQ2&lt;1)*(PARTIDAS!$I$2:$AT$2="SANITARIOS"))&gt;0,"SANITARIOS",""),IF(SUMPRODUCT((BF2:CQ2&lt;1)*(PARTIDAS!$I$2:$AT$2="ELÉCTRICO"))&gt;0,"ELÉCTRICO",""),IF(SUMPRODUCT((BF2:CQ2&lt;1)*(PARTIDAS!$I$2:$AT$2="TERMINACIONES"))&gt;0,"TERMINACIONES",""))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SUMPRODUCT(--(BF2:CQ2&lt;1))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379" tableBorderDxfId="378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377"/>
    <tableColumn id="2" xr3:uid="{9038CCEA-ADD0-4D49-AFF2-359752B71E85}" name="CATEGORIA" dataDxfId="376"/>
    <tableColumn id="3" xr3:uid="{71B32BC0-0A68-48A1-A6AD-BAD1CF9ECEE9}" name="PESO" dataDxfId="375"/>
    <tableColumn id="4" xr3:uid="{3E30F266-296D-4A97-B06C-DB9F66D56A96}" name="PESO POR PARTIDA" dataDxfId="374">
      <calculatedColumnFormula>C2/SUM(C$18:C$38)</calculatedColumnFormula>
    </tableColumn>
    <tableColumn id="5" xr3:uid="{AF139575-BD72-4422-8F18-D7158E40BE85}" name="PESO GRUPO" dataDxfId="373"/>
    <tableColumn id="9" xr3:uid="{4865F242-E371-4145-8AC7-4CE4A19AC892}" name="CATEGORIA2" dataDxfId="372"/>
    <tableColumn id="8" xr3:uid="{CC58262B-B4D1-4698-871C-EAAF1A3B0485}" name="PRIORIDAD" dataDxfId="371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U705"/>
  <sheetViews>
    <sheetView workbookViewId="0">
      <selection activeCell="CR2" sqref="CR2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0.85546875" bestFit="1" customWidth="1"/>
    <col min="58" max="58" width="13.85546875" bestFit="1" customWidth="1"/>
    <col min="59" max="59" width="8.5703125" bestFit="1" customWidth="1"/>
    <col min="60" max="60" width="13.140625" bestFit="1" customWidth="1"/>
    <col min="61" max="61" width="11" bestFit="1" customWidth="1"/>
    <col min="62" max="62" width="9.85546875" bestFit="1" customWidth="1"/>
    <col min="63" max="63" width="11.85546875" bestFit="1" customWidth="1"/>
    <col min="64" max="64" width="25" bestFit="1" customWidth="1"/>
    <col min="65" max="65" width="16.5703125" bestFit="1" customWidth="1"/>
    <col min="66" max="66" width="19" bestFit="1" customWidth="1"/>
    <col min="67" max="67" width="8.42578125" bestFit="1" customWidth="1"/>
    <col min="68" max="68" width="8.140625" bestFit="1" customWidth="1"/>
    <col min="69" max="69" width="40.28515625" bestFit="1" customWidth="1"/>
    <col min="70" max="70" width="18" bestFit="1" customWidth="1"/>
    <col min="71" max="71" width="14.140625" bestFit="1" customWidth="1"/>
    <col min="72" max="72" width="16" bestFit="1" customWidth="1"/>
    <col min="73" max="73" width="12.42578125" bestFit="1" customWidth="1"/>
    <col min="74" max="74" width="12.7109375" bestFit="1" customWidth="1"/>
    <col min="75" max="75" width="25.42578125" bestFit="1" customWidth="1"/>
    <col min="76" max="76" width="17.42578125" bestFit="1" customWidth="1"/>
    <col min="77" max="77" width="21.140625" bestFit="1" customWidth="1"/>
    <col min="78" max="78" width="17.42578125" bestFit="1" customWidth="1"/>
    <col min="79" max="79" width="16.7109375" bestFit="1" customWidth="1"/>
    <col min="80" max="80" width="21.7109375" bestFit="1" customWidth="1"/>
    <col min="81" max="81" width="19" bestFit="1" customWidth="1"/>
    <col min="82" max="82" width="14.5703125" bestFit="1" customWidth="1"/>
    <col min="83" max="83" width="15.140625" bestFit="1" customWidth="1"/>
    <col min="84" max="84" width="14.28515625" bestFit="1" customWidth="1"/>
    <col min="85" max="85" width="14.85546875" bestFit="1" customWidth="1"/>
    <col min="86" max="86" width="36" bestFit="1" customWidth="1"/>
    <col min="87" max="87" width="17.85546875" bestFit="1" customWidth="1"/>
    <col min="88" max="88" width="40.42578125" bestFit="1" customWidth="1"/>
    <col min="89" max="89" width="46" bestFit="1" customWidth="1"/>
    <col min="90" max="90" width="21.85546875" bestFit="1" customWidth="1"/>
    <col min="91" max="91" width="19.140625" bestFit="1" customWidth="1"/>
    <col min="92" max="92" width="26.140625" bestFit="1" customWidth="1"/>
    <col min="93" max="93" width="35.140625" bestFit="1" customWidth="1"/>
    <col min="94" max="94" width="24.5703125" bestFit="1" customWidth="1"/>
    <col min="95" max="95" width="46.5703125" bestFit="1" customWidth="1"/>
    <col min="96" max="96" width="17.28515625" style="40" bestFit="1" customWidth="1"/>
    <col min="97" max="97" width="81.140625" bestFit="1" customWidth="1"/>
    <col min="98" max="98" width="51.28515625" bestFit="1" customWidth="1"/>
    <col min="99" max="99" width="19.85546875" bestFit="1" customWidth="1"/>
  </cols>
  <sheetData>
    <row r="1" spans="1:99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819</v>
      </c>
      <c r="BF1" t="s">
        <v>824</v>
      </c>
      <c r="BG1" s="3" t="s">
        <v>829</v>
      </c>
      <c r="BH1" s="3" t="s">
        <v>831</v>
      </c>
      <c r="BI1" s="3" t="s">
        <v>832</v>
      </c>
      <c r="BJ1" s="3" t="s">
        <v>833</v>
      </c>
      <c r="BK1" s="3" t="s">
        <v>830</v>
      </c>
      <c r="BL1" s="3" t="s">
        <v>834</v>
      </c>
      <c r="BM1" s="3" t="s">
        <v>835</v>
      </c>
      <c r="BN1" s="3" t="s">
        <v>836</v>
      </c>
      <c r="BO1" s="3" t="s">
        <v>837</v>
      </c>
      <c r="BP1" s="3" t="s">
        <v>838</v>
      </c>
      <c r="BQ1" s="3" t="s">
        <v>839</v>
      </c>
      <c r="BR1" s="3" t="s">
        <v>840</v>
      </c>
      <c r="BS1" s="3" t="s">
        <v>841</v>
      </c>
      <c r="BT1" s="3" t="s">
        <v>842</v>
      </c>
      <c r="BU1" s="3" t="s">
        <v>843</v>
      </c>
      <c r="BV1" s="3" t="s">
        <v>844</v>
      </c>
      <c r="BW1" s="3" t="s">
        <v>845</v>
      </c>
      <c r="BX1" s="3" t="s">
        <v>846</v>
      </c>
      <c r="BY1" s="3" t="s">
        <v>847</v>
      </c>
      <c r="BZ1" s="3" t="s">
        <v>848</v>
      </c>
      <c r="CA1" s="3" t="s">
        <v>849</v>
      </c>
      <c r="CB1" s="3" t="s">
        <v>850</v>
      </c>
      <c r="CC1" s="3" t="s">
        <v>851</v>
      </c>
      <c r="CD1" s="3" t="s">
        <v>852</v>
      </c>
      <c r="CE1" s="3" t="s">
        <v>853</v>
      </c>
      <c r="CF1" s="3" t="s">
        <v>854</v>
      </c>
      <c r="CG1" s="3" t="s">
        <v>855</v>
      </c>
      <c r="CH1" s="3" t="s">
        <v>856</v>
      </c>
      <c r="CI1" s="3" t="s">
        <v>857</v>
      </c>
      <c r="CJ1" s="3" t="s">
        <v>858</v>
      </c>
      <c r="CK1" s="3" t="s">
        <v>859</v>
      </c>
      <c r="CL1" s="3" t="s">
        <v>860</v>
      </c>
      <c r="CM1" s="3" t="s">
        <v>861</v>
      </c>
      <c r="CN1" s="3" t="s">
        <v>862</v>
      </c>
      <c r="CO1" s="3" t="s">
        <v>863</v>
      </c>
      <c r="CP1" s="3" t="s">
        <v>864</v>
      </c>
      <c r="CQ1" s="3" t="s">
        <v>865</v>
      </c>
      <c r="CR1" s="40" t="s">
        <v>904</v>
      </c>
      <c r="CS1" s="44" t="s">
        <v>909</v>
      </c>
      <c r="CT1" s="44" t="s">
        <v>910</v>
      </c>
      <c r="CU1" s="41" t="s">
        <v>905</v>
      </c>
    </row>
    <row r="2" spans="1:99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 s="3" t="str">
        <f>+IF(AVANCE[[#This Row],[% AVANCE]]=100%,"MODULO TERMINADO",IF(AVANCE[[#This Row],[FECHA INICIO REAL]]="","MODULO NO INICIADO","PENDIENTE"))</f>
        <v>MODULO TERMINADO</v>
      </c>
      <c r="BF2" s="3">
        <f>+IF(AVANCE[[#This Row],[VENTANAS]]=8.10810810810811%,100%,AVANCE[[#This Row],[VENTANAS]])</f>
        <v>1</v>
      </c>
      <c r="BG2" s="3">
        <f>+IF(AVANCE[[#This Row],[PISO]]=N$2,100%,AVANCE[[#This Row],[PISO]])</f>
        <v>1</v>
      </c>
      <c r="BH2" s="3">
        <f>+IF(AVANCE[[#This Row],[TABIQUES]]=O$2,100%,AVANCE[[#This Row],[TABIQUES]])</f>
        <v>1</v>
      </c>
      <c r="BI2" s="3">
        <f>+IF(AVANCE[[#This Row],[MUROS]]=P$2,100%,AVANCE[[#This Row],[MUROS]])</f>
        <v>1</v>
      </c>
      <c r="BJ2" s="3">
        <f>+IF(AVANCE[[#This Row],[CIELO]]=Q$2,100%,AVANCE[[#This Row],[CIELO]])</f>
        <v>1</v>
      </c>
      <c r="BK2" s="3">
        <f>+IF(AVANCE[[#This Row],[BALCÓN]]=R$2,100%,AVANCE[[#This Row],[BALCÓN]])</f>
        <v>1</v>
      </c>
      <c r="BL2" s="3">
        <f>+IF(AVANCE[[#This Row],[RED ALCANTARILLADO]]=U$2,100%,AVANCE[[#This Row],[RED ALCANTARILLADO]])</f>
        <v>1</v>
      </c>
      <c r="BM2" s="3">
        <f>+IF(AVANCE[[#This Row],[RED DE AGUA]]=V$2,100%,AVANCE[[#This Row],[RED DE AGUA]])</f>
        <v>1</v>
      </c>
      <c r="BN2" s="3">
        <f>+IF(AVANCE[[#This Row],[VENTILACIONES]]=W$2,100%,AVANCE[[#This Row],[VENTILACIONES]])</f>
        <v>1</v>
      </c>
      <c r="BO2" s="3">
        <f>+IF(AVANCE[[#This Row],[TINA]]=X$2,100%,AVANCE[[#This Row],[TINA]])</f>
        <v>1</v>
      </c>
      <c r="BP2" s="3">
        <f>+IF(AVANCE[[#This Row],[WC]]=Y$2,100%,AVANCE[[#This Row],[WC]])</f>
        <v>1</v>
      </c>
      <c r="BQ2" s="3">
        <f>+IF(AVANCE[[#This Row],[LAVAMANOS / LAVAPLATOS / LAVADERO]]=Z$2,100%,AVANCE[[#This Row],[LAVAMANOS / LAVAPLATOS / LAVADERO]])</f>
        <v>1</v>
      </c>
      <c r="BR2" s="3">
        <f>+IF(AVANCE[[#This Row],[CANALIZACIÓN]]=AC$2,100%,AVANCE[[#This Row],[CANALIZACIÓN]])</f>
        <v>1</v>
      </c>
      <c r="BS2" s="3">
        <f>+IF(AVANCE[[#This Row],[CABLEADO]]=AD$2,100%,AVANCE[[#This Row],[CABLEADO]])</f>
        <v>1</v>
      </c>
      <c r="BT2" s="3">
        <f>+IF(AVANCE[[#This Row],[ARTEFACTOS]]=AE$2,100%,AVANCE[[#This Row],[ARTEFACTOS]])</f>
        <v>1</v>
      </c>
      <c r="BU2" s="3">
        <f>+IF(AVANCE[[#This Row],[TABLERO]]=AF$2,100%,AVANCE[[#This Row],[TABLERO]])</f>
        <v>1</v>
      </c>
      <c r="BV2" s="3">
        <f>+IF(AVANCE[[#This Row],[CAJA PAU]]=AG$2,100%,AVANCE[[#This Row],[CAJA PAU]])</f>
        <v>1</v>
      </c>
      <c r="BW2" s="3">
        <f>+IF(AVANCE[[#This Row],[INSTALACION VINILICO]]=AJ$2,100%,AVANCE[[#This Row],[INSTALACION VINILICO]])</f>
        <v>1</v>
      </c>
      <c r="BX2" s="3">
        <f>+IF(AVANCE[[#This Row],[OSB CUBIERTA]]=AK$2,100%,AVANCE[[#This Row],[OSB CUBIERTA]])</f>
        <v>1</v>
      </c>
      <c r="BY2" s="3">
        <f>+IF(AVANCE[[#This Row],[BARANDA BALCON]]=AL$2,100%,AVANCE[[#This Row],[BARANDA BALCON]])</f>
        <v>1</v>
      </c>
      <c r="BZ2" s="3">
        <f>+IF(AVANCE[[#This Row],[OSB EXTERIOR]]=AM$2,100%,AVANCE[[#This Row],[OSB EXTERIOR]])</f>
        <v>1</v>
      </c>
      <c r="CA2" s="3">
        <f>+IF(AVANCE[[#This Row],[SMART PANEL]]=AN$2,100%,AVANCE[[#This Row],[SMART PANEL]])</f>
        <v>1</v>
      </c>
      <c r="CB2" s="3">
        <f>+IF(AVANCE[[#This Row],[PINTURA EXTERIOR]]=AO$2,100%,AVANCE[[#This Row],[PINTURA EXTERIOR]])</f>
        <v>1</v>
      </c>
      <c r="CC2" s="3">
        <f>+IF(AVANCE[[#This Row],[ZOCALOS LOGIA]]=AP$2,100%,AVANCE[[#This Row],[ZOCALOS LOGIA]])</f>
        <v>1</v>
      </c>
      <c r="CD2" s="3">
        <f>+IF(AVANCE[[#This Row],[MOLDURAS]]=AQ$2,100%,AVANCE[[#This Row],[MOLDURAS]])</f>
        <v>1</v>
      </c>
      <c r="CE2" s="3">
        <f>+IF(AVANCE[[#This Row],[PILASTREO]]=AR$2,100%,AVANCE[[#This Row],[PILASTREO]])</f>
        <v>1</v>
      </c>
      <c r="CF2" s="3">
        <f>+IF(AVANCE[[#This Row],[CELOSIAS]]=AS$2,100%,AVANCE[[#This Row],[CELOSIAS]])</f>
        <v>1</v>
      </c>
      <c r="CG2" s="3">
        <f>+IF(AVANCE[[#This Row],[VENTANAS]]=AT$2,100%,AVANCE[[#This Row],[VENTANAS]])</f>
        <v>1</v>
      </c>
      <c r="CH2" s="3">
        <f>+IF(AVANCE[[#This Row],[PUERTAS ACCESO - LOGIA - BANO]]=AU$2,100%,AVANCE[[#This Row],[PUERTAS ACCESO - LOGIA - BANO]])</f>
        <v>1</v>
      </c>
      <c r="CI2" s="3">
        <f>+IF(AVANCE[[#This Row],[CERRADURAS]]=AV$2,100%,AVANCE[[#This Row],[CERRADURAS]])</f>
        <v>1</v>
      </c>
      <c r="CJ2" s="3">
        <f>+IF(AVANCE[[#This Row],[REVESTIMIENTO INTERIOR ZONA SECA]]=AW$2,100%,AVANCE[[#This Row],[REVESTIMIENTO INTERIOR ZONA SECA]])</f>
        <v>1</v>
      </c>
      <c r="CK2" s="3">
        <f>+IF(AVANCE[[#This Row],[REVESTIMIENTO INTERIOR ZONAS HUMEDAS]]=AX$2,100%,AVANCE[[#This Row],[REVESTIMIENTO INTERIOR ZONAS HUMEDAS]])</f>
        <v>1</v>
      </c>
      <c r="CL2" s="3">
        <f>+IF(AVANCE[[#This Row],[MEMBRANA CIELO]]=AY$2,100%,AVANCE[[#This Row],[MEMBRANA CIELO]])</f>
        <v>1</v>
      </c>
      <c r="CM2" s="3">
        <f>+IF(AVANCE[[#This Row],[LIMPIEZA FINAL]]=AZ$2,100%,AVANCE[[#This Row],[LIMPIEZA FINAL]])</f>
        <v>1</v>
      </c>
      <c r="CN2" s="3">
        <f>+IF(AVANCE[[#This Row],[PUERTAS DORMITORIO]]=BA$2,100%,AVANCE[[#This Row],[PUERTAS DORMITORIO]])</f>
        <v>1</v>
      </c>
      <c r="CO2" s="3">
        <f>+IF(AVANCE[[#This Row],[REVESTIMIENTO INTERIOR BANO]]=BB$2,100%,AVANCE[[#This Row],[REVESTIMIENTO INTERIOR BANO]])</f>
        <v>1</v>
      </c>
      <c r="CP2" s="3">
        <f>+IF(AVANCE[[#This Row],[MUEBLE LAVAPLATOS]]=BC$2,100%,AVANCE[[#This Row],[MUEBLE LAVAPLATOS]])</f>
        <v>1</v>
      </c>
      <c r="CQ2" s="3">
        <f>+IF(AVANCE[[#This Row],[IMPERMEABILIZACION BANO - COCINA LOGIA]]=BD$2,100%,AVANCE[[#This Row],[IMPERMEABILIZACION BANO - COCINA LOGIA]])</f>
        <v>1</v>
      </c>
      <c r="CR2" s="40">
        <f ca="1">+IF(AVANCE[[#This Row],[ESTADO MODULO]]="PENDIENTE",(TODAY()-AVANCE[[#This Row],[FECHA TERMINO  PLANIFICADO]]),0)</f>
        <v>0</v>
      </c>
      <c r="CS2" s="42" t="str" cm="1">
        <f t="array" ref="CS2">_xlfn.TEXTJOIN(" | ",TRUE,IF(SUMPRODUCT((BF2:CQ2&lt;1)*(PARTIDAS!$I$2:$AT$2="OBRA GRUESA"))&gt;0,"OBRA GRUESA: "&amp;_xlfn.TEXTJOIN(", ",TRUE,IF((BF2:CQ2&lt;1)*(PARTIDAS!$I$2:$AT$2="OBRA GRUESA"),PARTIDAS!$I$1:$AT$1,"")),""),IF(SUMPRODUCT((BF2:CQ2&lt;1)*(PARTIDAS!$I$2:$AT$2="SANITARIOS"))&gt;0,"SANITARIOS: "&amp;_xlfn.TEXTJOIN(", ",TRUE,IF((BF2:CQ2&lt;1)*(PARTIDAS!$I$2:$AT$2="SANITARIOS"),PARTIDAS!$I$1:$AT$1,"")),""),IF(SUMPRODUCT((BF2:CQ2&lt;1)*(PARTIDAS!$I$2:$AT$2="ELÉCTRICO"))&gt;0,"ELÉCTRICO: "&amp;_xlfn.TEXTJOIN(", ",TRUE,IF((BF2:CQ2&lt;1)*(PARTIDAS!$I$2:$AT$2="ELÉCTRICO"),PARTIDAS!$I$1:$AT$1,"")),""),IF(SUMPRODUCT((BF2:CQ2&lt;1)*(PARTIDAS!$I$2:$AT$2="TERMINACIONES"))&gt;0,"TERMINACIONES: "&amp;_xlfn.TEXTJOIN(", ",TRUE,IF((BF2:CQ2&lt;1)*(PARTIDAS!$I$2:$AT$2="TERMINACIONES"),PARTIDAS!$I$1:$AT$1,"")),""))</f>
        <v/>
      </c>
      <c r="CT2" s="45" t="str" cm="1">
        <f t="array" ref="CT2">_xlfn.TEXTJOIN(", ",TRUE,IF(SUMPRODUCT((BF2:CQ2&lt;1)*(PARTIDAS!$I$2:$AT$2="OBRA GRUESA"))&gt;0,"OBRA GRUESA",""),IF(SUMPRODUCT((BF2:CQ2&lt;1)*(PARTIDAS!$I$2:$AT$2="SANITARIOS"))&gt;0,"SANITARIOS",""),IF(SUMPRODUCT((BF2:CQ2&lt;1)*(PARTIDAS!$I$2:$AT$2="ELÉCTRICO"))&gt;0,"ELÉCTRICO",""),IF(SUMPRODUCT((BF2:CQ2&lt;1)*(PARTIDAS!$I$2:$AT$2="TERMINACIONES"))&gt;0,"TERMINACIONES",""))</f>
        <v/>
      </c>
      <c r="CU2" s="46" cm="1">
        <f t="array" ref="CU2">SUMPRODUCT(--(BF2:CQ2&lt;1))</f>
        <v>0</v>
      </c>
    </row>
    <row r="3" spans="1:99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 s="3" t="str">
        <f>+IF(AVANCE[[#This Row],[% AVANCE]]=100%,"MODULO TERMINADO",IF(AVANCE[[#This Row],[FECHA INICIO REAL]]="","MODULO NO INICIADO","PENDIENTE"))</f>
        <v>MODULO TERMINADO</v>
      </c>
      <c r="BF3" s="3">
        <f>+IF(AVANCE[[#This Row],[VENTANAS]]=8.10810810810811%,100%,AVANCE[[#This Row],[VENTANAS]])</f>
        <v>1</v>
      </c>
      <c r="BG3" s="3">
        <f>+IF(AVANCE[[#This Row],[PISO]]=N$2,100%,AVANCE[[#This Row],[PISO]])</f>
        <v>1</v>
      </c>
      <c r="BH3" s="3">
        <f>+IF(AVANCE[[#This Row],[TABIQUES]]=O$2,100%,AVANCE[[#This Row],[TABIQUES]])</f>
        <v>1</v>
      </c>
      <c r="BI3" s="3">
        <f>+IF(AVANCE[[#This Row],[MUROS]]=P$2,100%,AVANCE[[#This Row],[MUROS]])</f>
        <v>1</v>
      </c>
      <c r="BJ3" s="3">
        <f>+IF(AVANCE[[#This Row],[CIELO]]=Q$2,100%,AVANCE[[#This Row],[CIELO]])</f>
        <v>1</v>
      </c>
      <c r="BK3" s="3">
        <f>+IF(AVANCE[[#This Row],[BALCÓN]]=R$2,100%,AVANCE[[#This Row],[BALCÓN]])</f>
        <v>1</v>
      </c>
      <c r="BL3" s="3">
        <f>+IF(AVANCE[[#This Row],[RED ALCANTARILLADO]]=U$2,100%,AVANCE[[#This Row],[RED ALCANTARILLADO]])</f>
        <v>1</v>
      </c>
      <c r="BM3" s="3">
        <f>+IF(AVANCE[[#This Row],[RED DE AGUA]]=V$2,100%,AVANCE[[#This Row],[RED DE AGUA]])</f>
        <v>1</v>
      </c>
      <c r="BN3" s="3">
        <f>+IF(AVANCE[[#This Row],[VENTILACIONES]]=W$2,100%,AVANCE[[#This Row],[VENTILACIONES]])</f>
        <v>1</v>
      </c>
      <c r="BO3" s="3">
        <f>+IF(AVANCE[[#This Row],[TINA]]=X$2,100%,AVANCE[[#This Row],[TINA]])</f>
        <v>1</v>
      </c>
      <c r="BP3" s="3">
        <f>+IF(AVANCE[[#This Row],[WC]]=Y$2,100%,AVANCE[[#This Row],[WC]])</f>
        <v>1</v>
      </c>
      <c r="BQ3" s="3">
        <f>+IF(AVANCE[[#This Row],[LAVAMANOS / LAVAPLATOS / LAVADERO]]=Z$2,100%,AVANCE[[#This Row],[LAVAMANOS / LAVAPLATOS / LAVADERO]])</f>
        <v>1</v>
      </c>
      <c r="BR3" s="3">
        <f>+IF(AVANCE[[#This Row],[CANALIZACIÓN]]=AC$2,100%,AVANCE[[#This Row],[CANALIZACIÓN]])</f>
        <v>1</v>
      </c>
      <c r="BS3" s="3">
        <f>+IF(AVANCE[[#This Row],[CABLEADO]]=AD$2,100%,AVANCE[[#This Row],[CABLEADO]])</f>
        <v>1</v>
      </c>
      <c r="BT3" s="3">
        <f>+IF(AVANCE[[#This Row],[ARTEFACTOS]]=AE$2,100%,AVANCE[[#This Row],[ARTEFACTOS]])</f>
        <v>1</v>
      </c>
      <c r="BU3" s="3">
        <f>+IF(AVANCE[[#This Row],[TABLERO]]=AF$2,100%,AVANCE[[#This Row],[TABLERO]])</f>
        <v>1</v>
      </c>
      <c r="BV3" s="3">
        <f>+IF(AVANCE[[#This Row],[CAJA PAU]]=AG$2,100%,AVANCE[[#This Row],[CAJA PAU]])</f>
        <v>1</v>
      </c>
      <c r="BW3" s="3">
        <f>+IF(AVANCE[[#This Row],[INSTALACION VINILICO]]=AJ$2,100%,AVANCE[[#This Row],[INSTALACION VINILICO]])</f>
        <v>1</v>
      </c>
      <c r="BX3" s="3">
        <f>+IF(AVANCE[[#This Row],[OSB CUBIERTA]]=AK$2,100%,AVANCE[[#This Row],[OSB CUBIERTA]])</f>
        <v>1</v>
      </c>
      <c r="BY3" s="3">
        <f>+IF(AVANCE[[#This Row],[BARANDA BALCON]]=AL$2,100%,AVANCE[[#This Row],[BARANDA BALCON]])</f>
        <v>1</v>
      </c>
      <c r="BZ3" s="3">
        <f>+IF(AVANCE[[#This Row],[OSB EXTERIOR]]=AM$2,100%,AVANCE[[#This Row],[OSB EXTERIOR]])</f>
        <v>1</v>
      </c>
      <c r="CA3" s="3">
        <f>+IF(AVANCE[[#This Row],[SMART PANEL]]=AN$2,100%,AVANCE[[#This Row],[SMART PANEL]])</f>
        <v>1</v>
      </c>
      <c r="CB3" s="3">
        <f>+IF(AVANCE[[#This Row],[PINTURA EXTERIOR]]=AO$2,100%,AVANCE[[#This Row],[PINTURA EXTERIOR]])</f>
        <v>1</v>
      </c>
      <c r="CC3" s="3">
        <f>+IF(AVANCE[[#This Row],[ZOCALOS LOGIA]]=AP$2,100%,AVANCE[[#This Row],[ZOCALOS LOGIA]])</f>
        <v>1</v>
      </c>
      <c r="CD3" s="3">
        <f>+IF(AVANCE[[#This Row],[MOLDURAS]]=AQ$2,100%,AVANCE[[#This Row],[MOLDURAS]])</f>
        <v>1</v>
      </c>
      <c r="CE3" s="3">
        <f>+IF(AVANCE[[#This Row],[PILASTREO]]=AR$2,100%,AVANCE[[#This Row],[PILASTREO]])</f>
        <v>1</v>
      </c>
      <c r="CF3" s="3">
        <f>+IF(AVANCE[[#This Row],[CELOSIAS]]=AS$2,100%,AVANCE[[#This Row],[CELOSIAS]])</f>
        <v>1</v>
      </c>
      <c r="CG3" s="3">
        <f>+IF(AVANCE[[#This Row],[VENTANAS]]=AT$2,100%,AVANCE[[#This Row],[VENTANAS]])</f>
        <v>1</v>
      </c>
      <c r="CH3" s="3">
        <f>+IF(AVANCE[[#This Row],[PUERTAS ACCESO - LOGIA - BANO]]=AU$2,100%,AVANCE[[#This Row],[PUERTAS ACCESO - LOGIA - BANO]])</f>
        <v>1</v>
      </c>
      <c r="CI3" s="3">
        <f>+IF(AVANCE[[#This Row],[CERRADURAS]]=AV$2,100%,AVANCE[[#This Row],[CERRADURAS]])</f>
        <v>1</v>
      </c>
      <c r="CJ3" s="3">
        <f>+IF(AVANCE[[#This Row],[REVESTIMIENTO INTERIOR ZONA SECA]]=AW$2,100%,AVANCE[[#This Row],[REVESTIMIENTO INTERIOR ZONA SECA]])</f>
        <v>1</v>
      </c>
      <c r="CK3" s="3">
        <f>+IF(AVANCE[[#This Row],[REVESTIMIENTO INTERIOR ZONAS HUMEDAS]]=AX$2,100%,AVANCE[[#This Row],[REVESTIMIENTO INTERIOR ZONAS HUMEDAS]])</f>
        <v>1</v>
      </c>
      <c r="CL3" s="3">
        <f>+IF(AVANCE[[#This Row],[MEMBRANA CIELO]]=AY$2,100%,AVANCE[[#This Row],[MEMBRANA CIELO]])</f>
        <v>1</v>
      </c>
      <c r="CM3" s="3">
        <f>+IF(AVANCE[[#This Row],[LIMPIEZA FINAL]]=AZ$2,100%,AVANCE[[#This Row],[LIMPIEZA FINAL]])</f>
        <v>1</v>
      </c>
      <c r="CN3" s="3">
        <f>+IF(AVANCE[[#This Row],[PUERTAS DORMITORIO]]=BA$2,100%,AVANCE[[#This Row],[PUERTAS DORMITORIO]])</f>
        <v>1</v>
      </c>
      <c r="CO3" s="3">
        <f>+IF(AVANCE[[#This Row],[REVESTIMIENTO INTERIOR BANO]]=BB$2,100%,AVANCE[[#This Row],[REVESTIMIENTO INTERIOR BANO]])</f>
        <v>1</v>
      </c>
      <c r="CP3" s="3">
        <f>+IF(AVANCE[[#This Row],[MUEBLE LAVAPLATOS]]=BC$2,100%,AVANCE[[#This Row],[MUEBLE LAVAPLATOS]])</f>
        <v>1</v>
      </c>
      <c r="CQ3" s="3">
        <f>+IF(AVANCE[[#This Row],[IMPERMEABILIZACION BANO - COCINA LOGIA]]=BD$2,100%,AVANCE[[#This Row],[IMPERMEABILIZACION BANO - COCINA LOGIA]])</f>
        <v>1</v>
      </c>
      <c r="CR3" s="40">
        <f ca="1">+IF(AVANCE[[#This Row],[ESTADO MODULO]]="PENDIENTE",(TODAY()-AVANCE[[#This Row],[FECHA TERMINO  PLANIFICADO]]),0)</f>
        <v>0</v>
      </c>
      <c r="CS3" s="42" t="str" cm="1">
        <f t="array" ref="CS3">_xlfn.TEXTJOIN(" | ",TRUE,IF(SUMPRODUCT((BF3:CQ3&lt;1)*(PARTIDAS!$I$2:$AT$2="OBRA GRUESA"))&gt;0,"OBRA GRUESA: "&amp;_xlfn.TEXTJOIN(", ",TRUE,IF((BF3:CQ3&lt;1)*(PARTIDAS!$I$2:$AT$2="OBRA GRUESA"),PARTIDAS!$I$1:$AT$1,"")),""),IF(SUMPRODUCT((BF3:CQ3&lt;1)*(PARTIDAS!$I$2:$AT$2="SANITARIOS"))&gt;0,"SANITARIOS: "&amp;_xlfn.TEXTJOIN(", ",TRUE,IF((BF3:CQ3&lt;1)*(PARTIDAS!$I$2:$AT$2="SANITARIOS"),PARTIDAS!$I$1:$AT$1,"")),""),IF(SUMPRODUCT((BF3:CQ3&lt;1)*(PARTIDAS!$I$2:$AT$2="ELÉCTRICO"))&gt;0,"ELÉCTRICO: "&amp;_xlfn.TEXTJOIN(", ",TRUE,IF((BF3:CQ3&lt;1)*(PARTIDAS!$I$2:$AT$2="ELÉCTRICO"),PARTIDAS!$I$1:$AT$1,"")),""),IF(SUMPRODUCT((BF3:CQ3&lt;1)*(PARTIDAS!$I$2:$AT$2="TERMINACIONES"))&gt;0,"TERMINACIONES: "&amp;_xlfn.TEXTJOIN(", ",TRUE,IF((BF3:CQ3&lt;1)*(PARTIDAS!$I$2:$AT$2="TERMINACIONES"),PARTIDAS!$I$1:$AT$1,"")),""))</f>
        <v/>
      </c>
      <c r="CT3" s="45" t="str" cm="1">
        <f t="array" ref="CT3">_xlfn.TEXTJOIN(", ",TRUE,IF(SUMPRODUCT((BF3:CQ3&lt;1)*(PARTIDAS!$I$2:$AT$2="OBRA GRUESA"))&gt;0,"OBRA GRUESA",""),IF(SUMPRODUCT((BF3:CQ3&lt;1)*(PARTIDAS!$I$2:$AT$2="SANITARIOS"))&gt;0,"SANITARIOS",""),IF(SUMPRODUCT((BF3:CQ3&lt;1)*(PARTIDAS!$I$2:$AT$2="ELÉCTRICO"))&gt;0,"ELÉCTRICO",""),IF(SUMPRODUCT((BF3:CQ3&lt;1)*(PARTIDAS!$I$2:$AT$2="TERMINACIONES"))&gt;0,"TERMINACIONES",""))</f>
        <v/>
      </c>
      <c r="CU3" s="46" cm="1">
        <f t="array" ref="CU3">SUMPRODUCT(--(BF3:CQ3&lt;1))</f>
        <v>0</v>
      </c>
    </row>
    <row r="4" spans="1:99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 s="3" t="str">
        <f>+IF(AVANCE[[#This Row],[% AVANCE]]=100%,"MODULO TERMINADO",IF(AVANCE[[#This Row],[FECHA INICIO REAL]]="","MODULO NO INICIADO","PENDIENTE"))</f>
        <v>MODULO TERMINADO</v>
      </c>
      <c r="BF4" s="3">
        <f>+IF(AVANCE[[#This Row],[VENTANAS]]=8.10810810810811%,100%,AVANCE[[#This Row],[VENTANAS]])</f>
        <v>1</v>
      </c>
      <c r="BG4" s="3">
        <f>+IF(AVANCE[[#This Row],[PISO]]=N$2,100%,AVANCE[[#This Row],[PISO]])</f>
        <v>1</v>
      </c>
      <c r="BH4" s="3">
        <f>+IF(AVANCE[[#This Row],[TABIQUES]]=O$2,100%,AVANCE[[#This Row],[TABIQUES]])</f>
        <v>1</v>
      </c>
      <c r="BI4" s="3">
        <f>+IF(AVANCE[[#This Row],[MUROS]]=P$2,100%,AVANCE[[#This Row],[MUROS]])</f>
        <v>1</v>
      </c>
      <c r="BJ4" s="3">
        <f>+IF(AVANCE[[#This Row],[CIELO]]=Q$2,100%,AVANCE[[#This Row],[CIELO]])</f>
        <v>1</v>
      </c>
      <c r="BK4" s="3">
        <f>+IF(AVANCE[[#This Row],[BALCÓN]]=R$2,100%,AVANCE[[#This Row],[BALCÓN]])</f>
        <v>1</v>
      </c>
      <c r="BL4" s="3">
        <f>+IF(AVANCE[[#This Row],[RED ALCANTARILLADO]]=U$2,100%,AVANCE[[#This Row],[RED ALCANTARILLADO]])</f>
        <v>1</v>
      </c>
      <c r="BM4" s="3">
        <f>+IF(AVANCE[[#This Row],[RED DE AGUA]]=V$2,100%,AVANCE[[#This Row],[RED DE AGUA]])</f>
        <v>1</v>
      </c>
      <c r="BN4" s="3">
        <f>+IF(AVANCE[[#This Row],[VENTILACIONES]]=W$2,100%,AVANCE[[#This Row],[VENTILACIONES]])</f>
        <v>1</v>
      </c>
      <c r="BO4" s="3">
        <f>+IF(AVANCE[[#This Row],[TINA]]=X$2,100%,AVANCE[[#This Row],[TINA]])</f>
        <v>1</v>
      </c>
      <c r="BP4" s="3">
        <f>+IF(AVANCE[[#This Row],[WC]]=Y$2,100%,AVANCE[[#This Row],[WC]])</f>
        <v>1</v>
      </c>
      <c r="BQ4" s="3">
        <f>+IF(AVANCE[[#This Row],[LAVAMANOS / LAVAPLATOS / LAVADERO]]=Z$2,100%,AVANCE[[#This Row],[LAVAMANOS / LAVAPLATOS / LAVADERO]])</f>
        <v>1</v>
      </c>
      <c r="BR4" s="3">
        <f>+IF(AVANCE[[#This Row],[CANALIZACIÓN]]=AC$2,100%,AVANCE[[#This Row],[CANALIZACIÓN]])</f>
        <v>1</v>
      </c>
      <c r="BS4" s="3">
        <f>+IF(AVANCE[[#This Row],[CABLEADO]]=AD$2,100%,AVANCE[[#This Row],[CABLEADO]])</f>
        <v>1</v>
      </c>
      <c r="BT4" s="3">
        <f>+IF(AVANCE[[#This Row],[ARTEFACTOS]]=AE$2,100%,AVANCE[[#This Row],[ARTEFACTOS]])</f>
        <v>1</v>
      </c>
      <c r="BU4" s="3">
        <f>+IF(AVANCE[[#This Row],[TABLERO]]=AF$2,100%,AVANCE[[#This Row],[TABLERO]])</f>
        <v>1</v>
      </c>
      <c r="BV4" s="3">
        <f>+IF(AVANCE[[#This Row],[CAJA PAU]]=AG$2,100%,AVANCE[[#This Row],[CAJA PAU]])</f>
        <v>1</v>
      </c>
      <c r="BW4" s="3">
        <f>+IF(AVANCE[[#This Row],[INSTALACION VINILICO]]=AJ$2,100%,AVANCE[[#This Row],[INSTALACION VINILICO]])</f>
        <v>1</v>
      </c>
      <c r="BX4" s="3">
        <f>+IF(AVANCE[[#This Row],[OSB CUBIERTA]]=AK$2,100%,AVANCE[[#This Row],[OSB CUBIERTA]])</f>
        <v>1</v>
      </c>
      <c r="BY4" s="3">
        <f>+IF(AVANCE[[#This Row],[BARANDA BALCON]]=AL$2,100%,AVANCE[[#This Row],[BARANDA BALCON]])</f>
        <v>1</v>
      </c>
      <c r="BZ4" s="3">
        <f>+IF(AVANCE[[#This Row],[OSB EXTERIOR]]=AM$2,100%,AVANCE[[#This Row],[OSB EXTERIOR]])</f>
        <v>1</v>
      </c>
      <c r="CA4" s="3">
        <f>+IF(AVANCE[[#This Row],[SMART PANEL]]=AN$2,100%,AVANCE[[#This Row],[SMART PANEL]])</f>
        <v>1</v>
      </c>
      <c r="CB4" s="3">
        <f>+IF(AVANCE[[#This Row],[PINTURA EXTERIOR]]=AO$2,100%,AVANCE[[#This Row],[PINTURA EXTERIOR]])</f>
        <v>1</v>
      </c>
      <c r="CC4" s="3">
        <f>+IF(AVANCE[[#This Row],[ZOCALOS LOGIA]]=AP$2,100%,AVANCE[[#This Row],[ZOCALOS LOGIA]])</f>
        <v>1</v>
      </c>
      <c r="CD4" s="3">
        <f>+IF(AVANCE[[#This Row],[MOLDURAS]]=AQ$2,100%,AVANCE[[#This Row],[MOLDURAS]])</f>
        <v>1</v>
      </c>
      <c r="CE4" s="3">
        <f>+IF(AVANCE[[#This Row],[PILASTREO]]=AR$2,100%,AVANCE[[#This Row],[PILASTREO]])</f>
        <v>1</v>
      </c>
      <c r="CF4" s="3">
        <f>+IF(AVANCE[[#This Row],[CELOSIAS]]=AS$2,100%,AVANCE[[#This Row],[CELOSIAS]])</f>
        <v>1</v>
      </c>
      <c r="CG4" s="3">
        <f>+IF(AVANCE[[#This Row],[VENTANAS]]=AT$2,100%,AVANCE[[#This Row],[VENTANAS]])</f>
        <v>1</v>
      </c>
      <c r="CH4" s="3">
        <f>+IF(AVANCE[[#This Row],[PUERTAS ACCESO - LOGIA - BANO]]=AU$2,100%,AVANCE[[#This Row],[PUERTAS ACCESO - LOGIA - BANO]])</f>
        <v>1</v>
      </c>
      <c r="CI4" s="3">
        <f>+IF(AVANCE[[#This Row],[CERRADURAS]]=AV$2,100%,AVANCE[[#This Row],[CERRADURAS]])</f>
        <v>1</v>
      </c>
      <c r="CJ4" s="3">
        <f>+IF(AVANCE[[#This Row],[REVESTIMIENTO INTERIOR ZONA SECA]]=AW$2,100%,AVANCE[[#This Row],[REVESTIMIENTO INTERIOR ZONA SECA]])</f>
        <v>1</v>
      </c>
      <c r="CK4" s="3">
        <f>+IF(AVANCE[[#This Row],[REVESTIMIENTO INTERIOR ZONAS HUMEDAS]]=AX$2,100%,AVANCE[[#This Row],[REVESTIMIENTO INTERIOR ZONAS HUMEDAS]])</f>
        <v>1</v>
      </c>
      <c r="CL4" s="3">
        <f>+IF(AVANCE[[#This Row],[MEMBRANA CIELO]]=AY$2,100%,AVANCE[[#This Row],[MEMBRANA CIELO]])</f>
        <v>1</v>
      </c>
      <c r="CM4" s="3">
        <f>+IF(AVANCE[[#This Row],[LIMPIEZA FINAL]]=AZ$2,100%,AVANCE[[#This Row],[LIMPIEZA FINAL]])</f>
        <v>1</v>
      </c>
      <c r="CN4" s="3">
        <f>+IF(AVANCE[[#This Row],[PUERTAS DORMITORIO]]=BA$2,100%,AVANCE[[#This Row],[PUERTAS DORMITORIO]])</f>
        <v>1</v>
      </c>
      <c r="CO4" s="3">
        <f>+IF(AVANCE[[#This Row],[REVESTIMIENTO INTERIOR BANO]]=BB$2,100%,AVANCE[[#This Row],[REVESTIMIENTO INTERIOR BANO]])</f>
        <v>1</v>
      </c>
      <c r="CP4" s="3">
        <f>+IF(AVANCE[[#This Row],[MUEBLE LAVAPLATOS]]=BC$2,100%,AVANCE[[#This Row],[MUEBLE LAVAPLATOS]])</f>
        <v>1</v>
      </c>
      <c r="CQ4" s="3">
        <f>+IF(AVANCE[[#This Row],[IMPERMEABILIZACION BANO - COCINA LOGIA]]=BD$2,100%,AVANCE[[#This Row],[IMPERMEABILIZACION BANO - COCINA LOGIA]])</f>
        <v>1</v>
      </c>
      <c r="CR4" s="40">
        <f ca="1">+IF(AVANCE[[#This Row],[ESTADO MODULO]]="PENDIENTE",(TODAY()-AVANCE[[#This Row],[FECHA TERMINO  PLANIFICADO]]),0)</f>
        <v>0</v>
      </c>
      <c r="CS4" s="42" t="str" cm="1">
        <f t="array" ref="CS4">_xlfn.TEXTJOIN(" | ",TRUE,IF(SUMPRODUCT((BF4:CQ4&lt;1)*(PARTIDAS!$I$2:$AT$2="OBRA GRUESA"))&gt;0,"OBRA GRUESA: "&amp;_xlfn.TEXTJOIN(", ",TRUE,IF((BF4:CQ4&lt;1)*(PARTIDAS!$I$2:$AT$2="OBRA GRUESA"),PARTIDAS!$I$1:$AT$1,"")),""),IF(SUMPRODUCT((BF4:CQ4&lt;1)*(PARTIDAS!$I$2:$AT$2="SANITARIOS"))&gt;0,"SANITARIOS: "&amp;_xlfn.TEXTJOIN(", ",TRUE,IF((BF4:CQ4&lt;1)*(PARTIDAS!$I$2:$AT$2="SANITARIOS"),PARTIDAS!$I$1:$AT$1,"")),""),IF(SUMPRODUCT((BF4:CQ4&lt;1)*(PARTIDAS!$I$2:$AT$2="ELÉCTRICO"))&gt;0,"ELÉCTRICO: "&amp;_xlfn.TEXTJOIN(", ",TRUE,IF((BF4:CQ4&lt;1)*(PARTIDAS!$I$2:$AT$2="ELÉCTRICO"),PARTIDAS!$I$1:$AT$1,"")),""),IF(SUMPRODUCT((BF4:CQ4&lt;1)*(PARTIDAS!$I$2:$AT$2="TERMINACIONES"))&gt;0,"TERMINACIONES: "&amp;_xlfn.TEXTJOIN(", ",TRUE,IF((BF4:CQ4&lt;1)*(PARTIDAS!$I$2:$AT$2="TERMINACIONES"),PARTIDAS!$I$1:$AT$1,"")),""))</f>
        <v/>
      </c>
      <c r="CT4" s="45" t="str" cm="1">
        <f t="array" ref="CT4">_xlfn.TEXTJOIN(", ",TRUE,IF(SUMPRODUCT((BF4:CQ4&lt;1)*(PARTIDAS!$I$2:$AT$2="OBRA GRUESA"))&gt;0,"OBRA GRUESA",""),IF(SUMPRODUCT((BF4:CQ4&lt;1)*(PARTIDAS!$I$2:$AT$2="SANITARIOS"))&gt;0,"SANITARIOS",""),IF(SUMPRODUCT((BF4:CQ4&lt;1)*(PARTIDAS!$I$2:$AT$2="ELÉCTRICO"))&gt;0,"ELÉCTRICO",""),IF(SUMPRODUCT((BF4:CQ4&lt;1)*(PARTIDAS!$I$2:$AT$2="TERMINACIONES"))&gt;0,"TERMINACIONES",""))</f>
        <v/>
      </c>
      <c r="CU4" s="46" cm="1">
        <f t="array" ref="CU4">SUMPRODUCT(--(BF4:CQ4&lt;1))</f>
        <v>0</v>
      </c>
    </row>
    <row r="5" spans="1:99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 s="3" t="str">
        <f>+IF(AVANCE[[#This Row],[% AVANCE]]=100%,"MODULO TERMINADO",IF(AVANCE[[#This Row],[FECHA INICIO REAL]]="","MODULO NO INICIADO","PENDIENTE"))</f>
        <v>MODULO TERMINADO</v>
      </c>
      <c r="BF5" s="3">
        <f>+IF(AVANCE[[#This Row],[VENTANAS]]=8.10810810810811%,100%,AVANCE[[#This Row],[VENTANAS]])</f>
        <v>1</v>
      </c>
      <c r="BG5" s="3">
        <f>+IF(AVANCE[[#This Row],[PISO]]=N$2,100%,AVANCE[[#This Row],[PISO]])</f>
        <v>1</v>
      </c>
      <c r="BH5" s="3">
        <f>+IF(AVANCE[[#This Row],[TABIQUES]]=O$2,100%,AVANCE[[#This Row],[TABIQUES]])</f>
        <v>1</v>
      </c>
      <c r="BI5" s="3">
        <f>+IF(AVANCE[[#This Row],[MUROS]]=P$2,100%,AVANCE[[#This Row],[MUROS]])</f>
        <v>1</v>
      </c>
      <c r="BJ5" s="3">
        <f>+IF(AVANCE[[#This Row],[CIELO]]=Q$2,100%,AVANCE[[#This Row],[CIELO]])</f>
        <v>1</v>
      </c>
      <c r="BK5" s="3">
        <f>+IF(AVANCE[[#This Row],[BALCÓN]]=R$2,100%,AVANCE[[#This Row],[BALCÓN]])</f>
        <v>1</v>
      </c>
      <c r="BL5" s="3">
        <f>+IF(AVANCE[[#This Row],[RED ALCANTARILLADO]]=U$2,100%,AVANCE[[#This Row],[RED ALCANTARILLADO]])</f>
        <v>1</v>
      </c>
      <c r="BM5" s="3">
        <f>+IF(AVANCE[[#This Row],[RED DE AGUA]]=V$2,100%,AVANCE[[#This Row],[RED DE AGUA]])</f>
        <v>1</v>
      </c>
      <c r="BN5" s="3">
        <f>+IF(AVANCE[[#This Row],[VENTILACIONES]]=W$2,100%,AVANCE[[#This Row],[VENTILACIONES]])</f>
        <v>1</v>
      </c>
      <c r="BO5" s="3">
        <f>+IF(AVANCE[[#This Row],[TINA]]=X$2,100%,AVANCE[[#This Row],[TINA]])</f>
        <v>1</v>
      </c>
      <c r="BP5" s="3">
        <f>+IF(AVANCE[[#This Row],[WC]]=Y$2,100%,AVANCE[[#This Row],[WC]])</f>
        <v>1</v>
      </c>
      <c r="BQ5" s="3">
        <f>+IF(AVANCE[[#This Row],[LAVAMANOS / LAVAPLATOS / LAVADERO]]=Z$2,100%,AVANCE[[#This Row],[LAVAMANOS / LAVAPLATOS / LAVADERO]])</f>
        <v>1</v>
      </c>
      <c r="BR5" s="3">
        <f>+IF(AVANCE[[#This Row],[CANALIZACIÓN]]=AC$2,100%,AVANCE[[#This Row],[CANALIZACIÓN]])</f>
        <v>1</v>
      </c>
      <c r="BS5" s="3">
        <f>+IF(AVANCE[[#This Row],[CABLEADO]]=AD$2,100%,AVANCE[[#This Row],[CABLEADO]])</f>
        <v>1</v>
      </c>
      <c r="BT5" s="3">
        <f>+IF(AVANCE[[#This Row],[ARTEFACTOS]]=AE$2,100%,AVANCE[[#This Row],[ARTEFACTOS]])</f>
        <v>1</v>
      </c>
      <c r="BU5" s="3">
        <f>+IF(AVANCE[[#This Row],[TABLERO]]=AF$2,100%,AVANCE[[#This Row],[TABLERO]])</f>
        <v>1</v>
      </c>
      <c r="BV5" s="3">
        <f>+IF(AVANCE[[#This Row],[CAJA PAU]]=AG$2,100%,AVANCE[[#This Row],[CAJA PAU]])</f>
        <v>1</v>
      </c>
      <c r="BW5" s="3">
        <f>+IF(AVANCE[[#This Row],[INSTALACION VINILICO]]=AJ$2,100%,AVANCE[[#This Row],[INSTALACION VINILICO]])</f>
        <v>1</v>
      </c>
      <c r="BX5" s="3">
        <f>+IF(AVANCE[[#This Row],[OSB CUBIERTA]]=AK$2,100%,AVANCE[[#This Row],[OSB CUBIERTA]])</f>
        <v>1</v>
      </c>
      <c r="BY5" s="3">
        <f>+IF(AVANCE[[#This Row],[BARANDA BALCON]]=AL$2,100%,AVANCE[[#This Row],[BARANDA BALCON]])</f>
        <v>1</v>
      </c>
      <c r="BZ5" s="3">
        <f>+IF(AVANCE[[#This Row],[OSB EXTERIOR]]=AM$2,100%,AVANCE[[#This Row],[OSB EXTERIOR]])</f>
        <v>1</v>
      </c>
      <c r="CA5" s="3">
        <f>+IF(AVANCE[[#This Row],[SMART PANEL]]=AN$2,100%,AVANCE[[#This Row],[SMART PANEL]])</f>
        <v>1</v>
      </c>
      <c r="CB5" s="3">
        <f>+IF(AVANCE[[#This Row],[PINTURA EXTERIOR]]=AO$2,100%,AVANCE[[#This Row],[PINTURA EXTERIOR]])</f>
        <v>1</v>
      </c>
      <c r="CC5" s="3">
        <f>+IF(AVANCE[[#This Row],[ZOCALOS LOGIA]]=AP$2,100%,AVANCE[[#This Row],[ZOCALOS LOGIA]])</f>
        <v>1</v>
      </c>
      <c r="CD5" s="3">
        <f>+IF(AVANCE[[#This Row],[MOLDURAS]]=AQ$2,100%,AVANCE[[#This Row],[MOLDURAS]])</f>
        <v>1</v>
      </c>
      <c r="CE5" s="3">
        <f>+IF(AVANCE[[#This Row],[PILASTREO]]=AR$2,100%,AVANCE[[#This Row],[PILASTREO]])</f>
        <v>1</v>
      </c>
      <c r="CF5" s="3">
        <f>+IF(AVANCE[[#This Row],[CELOSIAS]]=AS$2,100%,AVANCE[[#This Row],[CELOSIAS]])</f>
        <v>1</v>
      </c>
      <c r="CG5" s="3">
        <f>+IF(AVANCE[[#This Row],[VENTANAS]]=AT$2,100%,AVANCE[[#This Row],[VENTANAS]])</f>
        <v>1</v>
      </c>
      <c r="CH5" s="3">
        <f>+IF(AVANCE[[#This Row],[PUERTAS ACCESO - LOGIA - BANO]]=AU$2,100%,AVANCE[[#This Row],[PUERTAS ACCESO - LOGIA - BANO]])</f>
        <v>1</v>
      </c>
      <c r="CI5" s="3">
        <f>+IF(AVANCE[[#This Row],[CERRADURAS]]=AV$2,100%,AVANCE[[#This Row],[CERRADURAS]])</f>
        <v>1</v>
      </c>
      <c r="CJ5" s="3">
        <f>+IF(AVANCE[[#This Row],[REVESTIMIENTO INTERIOR ZONA SECA]]=AW$2,100%,AVANCE[[#This Row],[REVESTIMIENTO INTERIOR ZONA SECA]])</f>
        <v>1</v>
      </c>
      <c r="CK5" s="3">
        <f>+IF(AVANCE[[#This Row],[REVESTIMIENTO INTERIOR ZONAS HUMEDAS]]=AX$2,100%,AVANCE[[#This Row],[REVESTIMIENTO INTERIOR ZONAS HUMEDAS]])</f>
        <v>1</v>
      </c>
      <c r="CL5" s="3">
        <f>+IF(AVANCE[[#This Row],[MEMBRANA CIELO]]=AY$2,100%,AVANCE[[#This Row],[MEMBRANA CIELO]])</f>
        <v>1</v>
      </c>
      <c r="CM5" s="3">
        <f>+IF(AVANCE[[#This Row],[LIMPIEZA FINAL]]=AZ$2,100%,AVANCE[[#This Row],[LIMPIEZA FINAL]])</f>
        <v>1</v>
      </c>
      <c r="CN5" s="3">
        <f>+IF(AVANCE[[#This Row],[PUERTAS DORMITORIO]]=BA$2,100%,AVANCE[[#This Row],[PUERTAS DORMITORIO]])</f>
        <v>1</v>
      </c>
      <c r="CO5" s="3">
        <f>+IF(AVANCE[[#This Row],[REVESTIMIENTO INTERIOR BANO]]=BB$2,100%,AVANCE[[#This Row],[REVESTIMIENTO INTERIOR BANO]])</f>
        <v>1</v>
      </c>
      <c r="CP5" s="3">
        <f>+IF(AVANCE[[#This Row],[MUEBLE LAVAPLATOS]]=BC$2,100%,AVANCE[[#This Row],[MUEBLE LAVAPLATOS]])</f>
        <v>1</v>
      </c>
      <c r="CQ5" s="3">
        <f>+IF(AVANCE[[#This Row],[IMPERMEABILIZACION BANO - COCINA LOGIA]]=BD$2,100%,AVANCE[[#This Row],[IMPERMEABILIZACION BANO - COCINA LOGIA]])</f>
        <v>1</v>
      </c>
      <c r="CR5" s="40">
        <f ca="1">+IF(AVANCE[[#This Row],[ESTADO MODULO]]="PENDIENTE",(TODAY()-AVANCE[[#This Row],[FECHA TERMINO  PLANIFICADO]]),0)</f>
        <v>0</v>
      </c>
      <c r="CS5" s="42" t="str" cm="1">
        <f t="array" ref="CS5">_xlfn.TEXTJOIN(" | ",TRUE,IF(SUMPRODUCT((BF5:CQ5&lt;1)*(PARTIDAS!$I$2:$AT$2="OBRA GRUESA"))&gt;0,"OBRA GRUESA: "&amp;_xlfn.TEXTJOIN(", ",TRUE,IF((BF5:CQ5&lt;1)*(PARTIDAS!$I$2:$AT$2="OBRA GRUESA"),PARTIDAS!$I$1:$AT$1,"")),""),IF(SUMPRODUCT((BF5:CQ5&lt;1)*(PARTIDAS!$I$2:$AT$2="SANITARIOS"))&gt;0,"SANITARIOS: "&amp;_xlfn.TEXTJOIN(", ",TRUE,IF((BF5:CQ5&lt;1)*(PARTIDAS!$I$2:$AT$2="SANITARIOS"),PARTIDAS!$I$1:$AT$1,"")),""),IF(SUMPRODUCT((BF5:CQ5&lt;1)*(PARTIDAS!$I$2:$AT$2="ELÉCTRICO"))&gt;0,"ELÉCTRICO: "&amp;_xlfn.TEXTJOIN(", ",TRUE,IF((BF5:CQ5&lt;1)*(PARTIDAS!$I$2:$AT$2="ELÉCTRICO"),PARTIDAS!$I$1:$AT$1,"")),""),IF(SUMPRODUCT((BF5:CQ5&lt;1)*(PARTIDAS!$I$2:$AT$2="TERMINACIONES"))&gt;0,"TERMINACIONES: "&amp;_xlfn.TEXTJOIN(", ",TRUE,IF((BF5:CQ5&lt;1)*(PARTIDAS!$I$2:$AT$2="TERMINACIONES"),PARTIDAS!$I$1:$AT$1,"")),""))</f>
        <v/>
      </c>
      <c r="CT5" s="45" t="str" cm="1">
        <f t="array" ref="CT5">_xlfn.TEXTJOIN(", ",TRUE,IF(SUMPRODUCT((BF5:CQ5&lt;1)*(PARTIDAS!$I$2:$AT$2="OBRA GRUESA"))&gt;0,"OBRA GRUESA",""),IF(SUMPRODUCT((BF5:CQ5&lt;1)*(PARTIDAS!$I$2:$AT$2="SANITARIOS"))&gt;0,"SANITARIOS",""),IF(SUMPRODUCT((BF5:CQ5&lt;1)*(PARTIDAS!$I$2:$AT$2="ELÉCTRICO"))&gt;0,"ELÉCTRICO",""),IF(SUMPRODUCT((BF5:CQ5&lt;1)*(PARTIDAS!$I$2:$AT$2="TERMINACIONES"))&gt;0,"TERMINACIONES",""))</f>
        <v/>
      </c>
      <c r="CU5" s="46" cm="1">
        <f t="array" ref="CU5">SUMPRODUCT(--(BF5:CQ5&lt;1))</f>
        <v>0</v>
      </c>
    </row>
    <row r="6" spans="1:99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 s="3" t="str">
        <f>+IF(AVANCE[[#This Row],[% AVANCE]]=100%,"MODULO TERMINADO",IF(AVANCE[[#This Row],[FECHA INICIO REAL]]="","MODULO NO INICIADO","PENDIENTE"))</f>
        <v>MODULO TERMINADO</v>
      </c>
      <c r="BF6" s="3">
        <f>+IF(AVANCE[[#This Row],[VENTANAS]]=8.10810810810811%,100%,AVANCE[[#This Row],[VENTANAS]])</f>
        <v>1</v>
      </c>
      <c r="BG6" s="3">
        <f>+IF(AVANCE[[#This Row],[PISO]]=N$2,100%,AVANCE[[#This Row],[PISO]])</f>
        <v>1</v>
      </c>
      <c r="BH6" s="3">
        <f>+IF(AVANCE[[#This Row],[TABIQUES]]=O$2,100%,AVANCE[[#This Row],[TABIQUES]])</f>
        <v>1</v>
      </c>
      <c r="BI6" s="3">
        <f>+IF(AVANCE[[#This Row],[MUROS]]=P$2,100%,AVANCE[[#This Row],[MUROS]])</f>
        <v>1</v>
      </c>
      <c r="BJ6" s="3">
        <f>+IF(AVANCE[[#This Row],[CIELO]]=Q$2,100%,AVANCE[[#This Row],[CIELO]])</f>
        <v>1</v>
      </c>
      <c r="BK6" s="3">
        <f>+IF(AVANCE[[#This Row],[BALCÓN]]=R$2,100%,AVANCE[[#This Row],[BALCÓN]])</f>
        <v>1</v>
      </c>
      <c r="BL6" s="3">
        <f>+IF(AVANCE[[#This Row],[RED ALCANTARILLADO]]=U$2,100%,AVANCE[[#This Row],[RED ALCANTARILLADO]])</f>
        <v>1</v>
      </c>
      <c r="BM6" s="3">
        <f>+IF(AVANCE[[#This Row],[RED DE AGUA]]=V$2,100%,AVANCE[[#This Row],[RED DE AGUA]])</f>
        <v>1</v>
      </c>
      <c r="BN6" s="3">
        <f>+IF(AVANCE[[#This Row],[VENTILACIONES]]=W$2,100%,AVANCE[[#This Row],[VENTILACIONES]])</f>
        <v>1</v>
      </c>
      <c r="BO6" s="3">
        <f>+IF(AVANCE[[#This Row],[TINA]]=X$2,100%,AVANCE[[#This Row],[TINA]])</f>
        <v>1</v>
      </c>
      <c r="BP6" s="3">
        <f>+IF(AVANCE[[#This Row],[WC]]=Y$2,100%,AVANCE[[#This Row],[WC]])</f>
        <v>1</v>
      </c>
      <c r="BQ6" s="3">
        <f>+IF(AVANCE[[#This Row],[LAVAMANOS / LAVAPLATOS / LAVADERO]]=Z$2,100%,AVANCE[[#This Row],[LAVAMANOS / LAVAPLATOS / LAVADERO]])</f>
        <v>1</v>
      </c>
      <c r="BR6" s="3">
        <f>+IF(AVANCE[[#This Row],[CANALIZACIÓN]]=AC$2,100%,AVANCE[[#This Row],[CANALIZACIÓN]])</f>
        <v>1</v>
      </c>
      <c r="BS6" s="3">
        <f>+IF(AVANCE[[#This Row],[CABLEADO]]=AD$2,100%,AVANCE[[#This Row],[CABLEADO]])</f>
        <v>1</v>
      </c>
      <c r="BT6" s="3">
        <f>+IF(AVANCE[[#This Row],[ARTEFACTOS]]=AE$2,100%,AVANCE[[#This Row],[ARTEFACTOS]])</f>
        <v>1</v>
      </c>
      <c r="BU6" s="3">
        <f>+IF(AVANCE[[#This Row],[TABLERO]]=AF$2,100%,AVANCE[[#This Row],[TABLERO]])</f>
        <v>1</v>
      </c>
      <c r="BV6" s="3">
        <f>+IF(AVANCE[[#This Row],[CAJA PAU]]=AG$2,100%,AVANCE[[#This Row],[CAJA PAU]])</f>
        <v>1</v>
      </c>
      <c r="BW6" s="3">
        <f>+IF(AVANCE[[#This Row],[INSTALACION VINILICO]]=AJ$2,100%,AVANCE[[#This Row],[INSTALACION VINILICO]])</f>
        <v>1</v>
      </c>
      <c r="BX6" s="3">
        <f>+IF(AVANCE[[#This Row],[OSB CUBIERTA]]=AK$2,100%,AVANCE[[#This Row],[OSB CUBIERTA]])</f>
        <v>1</v>
      </c>
      <c r="BY6" s="3">
        <f>+IF(AVANCE[[#This Row],[BARANDA BALCON]]=AL$2,100%,AVANCE[[#This Row],[BARANDA BALCON]])</f>
        <v>1</v>
      </c>
      <c r="BZ6" s="3">
        <f>+IF(AVANCE[[#This Row],[OSB EXTERIOR]]=AM$2,100%,AVANCE[[#This Row],[OSB EXTERIOR]])</f>
        <v>1</v>
      </c>
      <c r="CA6" s="3">
        <f>+IF(AVANCE[[#This Row],[SMART PANEL]]=AN$2,100%,AVANCE[[#This Row],[SMART PANEL]])</f>
        <v>1</v>
      </c>
      <c r="CB6" s="3">
        <f>+IF(AVANCE[[#This Row],[PINTURA EXTERIOR]]=AO$2,100%,AVANCE[[#This Row],[PINTURA EXTERIOR]])</f>
        <v>1</v>
      </c>
      <c r="CC6" s="3">
        <f>+IF(AVANCE[[#This Row],[ZOCALOS LOGIA]]=AP$2,100%,AVANCE[[#This Row],[ZOCALOS LOGIA]])</f>
        <v>1</v>
      </c>
      <c r="CD6" s="3">
        <f>+IF(AVANCE[[#This Row],[MOLDURAS]]=AQ$2,100%,AVANCE[[#This Row],[MOLDURAS]])</f>
        <v>1</v>
      </c>
      <c r="CE6" s="3">
        <f>+IF(AVANCE[[#This Row],[PILASTREO]]=AR$2,100%,AVANCE[[#This Row],[PILASTREO]])</f>
        <v>1</v>
      </c>
      <c r="CF6" s="3">
        <f>+IF(AVANCE[[#This Row],[CELOSIAS]]=AS$2,100%,AVANCE[[#This Row],[CELOSIAS]])</f>
        <v>1</v>
      </c>
      <c r="CG6" s="3">
        <f>+IF(AVANCE[[#This Row],[VENTANAS]]=AT$2,100%,AVANCE[[#This Row],[VENTANAS]])</f>
        <v>1</v>
      </c>
      <c r="CH6" s="3">
        <f>+IF(AVANCE[[#This Row],[PUERTAS ACCESO - LOGIA - BANO]]=AU$2,100%,AVANCE[[#This Row],[PUERTAS ACCESO - LOGIA - BANO]])</f>
        <v>1</v>
      </c>
      <c r="CI6" s="3">
        <f>+IF(AVANCE[[#This Row],[CERRADURAS]]=AV$2,100%,AVANCE[[#This Row],[CERRADURAS]])</f>
        <v>1</v>
      </c>
      <c r="CJ6" s="3">
        <f>+IF(AVANCE[[#This Row],[REVESTIMIENTO INTERIOR ZONA SECA]]=AW$2,100%,AVANCE[[#This Row],[REVESTIMIENTO INTERIOR ZONA SECA]])</f>
        <v>1</v>
      </c>
      <c r="CK6" s="3">
        <f>+IF(AVANCE[[#This Row],[REVESTIMIENTO INTERIOR ZONAS HUMEDAS]]=AX$2,100%,AVANCE[[#This Row],[REVESTIMIENTO INTERIOR ZONAS HUMEDAS]])</f>
        <v>1</v>
      </c>
      <c r="CL6" s="3">
        <f>+IF(AVANCE[[#This Row],[MEMBRANA CIELO]]=AY$2,100%,AVANCE[[#This Row],[MEMBRANA CIELO]])</f>
        <v>1</v>
      </c>
      <c r="CM6" s="3">
        <f>+IF(AVANCE[[#This Row],[LIMPIEZA FINAL]]=AZ$2,100%,AVANCE[[#This Row],[LIMPIEZA FINAL]])</f>
        <v>1</v>
      </c>
      <c r="CN6" s="3">
        <f>+IF(AVANCE[[#This Row],[PUERTAS DORMITORIO]]=BA$2,100%,AVANCE[[#This Row],[PUERTAS DORMITORIO]])</f>
        <v>1</v>
      </c>
      <c r="CO6" s="3">
        <f>+IF(AVANCE[[#This Row],[REVESTIMIENTO INTERIOR BANO]]=BB$2,100%,AVANCE[[#This Row],[REVESTIMIENTO INTERIOR BANO]])</f>
        <v>1</v>
      </c>
      <c r="CP6" s="3">
        <f>+IF(AVANCE[[#This Row],[MUEBLE LAVAPLATOS]]=BC$2,100%,AVANCE[[#This Row],[MUEBLE LAVAPLATOS]])</f>
        <v>1</v>
      </c>
      <c r="CQ6" s="3">
        <f>+IF(AVANCE[[#This Row],[IMPERMEABILIZACION BANO - COCINA LOGIA]]=BD$2,100%,AVANCE[[#This Row],[IMPERMEABILIZACION BANO - COCINA LOGIA]])</f>
        <v>1</v>
      </c>
      <c r="CR6" s="40">
        <f ca="1">+IF(AVANCE[[#This Row],[ESTADO MODULO]]="PENDIENTE",(TODAY()-AVANCE[[#This Row],[FECHA TERMINO  PLANIFICADO]]),0)</f>
        <v>0</v>
      </c>
      <c r="CS6" s="42" t="str" cm="1">
        <f t="array" ref="CS6">_xlfn.TEXTJOIN(" | ",TRUE,IF(SUMPRODUCT((BF6:CQ6&lt;1)*(PARTIDAS!$I$2:$AT$2="OBRA GRUESA"))&gt;0,"OBRA GRUESA: "&amp;_xlfn.TEXTJOIN(", ",TRUE,IF((BF6:CQ6&lt;1)*(PARTIDAS!$I$2:$AT$2="OBRA GRUESA"),PARTIDAS!$I$1:$AT$1,"")),""),IF(SUMPRODUCT((BF6:CQ6&lt;1)*(PARTIDAS!$I$2:$AT$2="SANITARIOS"))&gt;0,"SANITARIOS: "&amp;_xlfn.TEXTJOIN(", ",TRUE,IF((BF6:CQ6&lt;1)*(PARTIDAS!$I$2:$AT$2="SANITARIOS"),PARTIDAS!$I$1:$AT$1,"")),""),IF(SUMPRODUCT((BF6:CQ6&lt;1)*(PARTIDAS!$I$2:$AT$2="ELÉCTRICO"))&gt;0,"ELÉCTRICO: "&amp;_xlfn.TEXTJOIN(", ",TRUE,IF((BF6:CQ6&lt;1)*(PARTIDAS!$I$2:$AT$2="ELÉCTRICO"),PARTIDAS!$I$1:$AT$1,"")),""),IF(SUMPRODUCT((BF6:CQ6&lt;1)*(PARTIDAS!$I$2:$AT$2="TERMINACIONES"))&gt;0,"TERMINACIONES: "&amp;_xlfn.TEXTJOIN(", ",TRUE,IF((BF6:CQ6&lt;1)*(PARTIDAS!$I$2:$AT$2="TERMINACIONES"),PARTIDAS!$I$1:$AT$1,"")),""))</f>
        <v/>
      </c>
      <c r="CT6" s="45" t="str" cm="1">
        <f t="array" ref="CT6">_xlfn.TEXTJOIN(", ",TRUE,IF(SUMPRODUCT((BF6:CQ6&lt;1)*(PARTIDAS!$I$2:$AT$2="OBRA GRUESA"))&gt;0,"OBRA GRUESA",""),IF(SUMPRODUCT((BF6:CQ6&lt;1)*(PARTIDAS!$I$2:$AT$2="SANITARIOS"))&gt;0,"SANITARIOS",""),IF(SUMPRODUCT((BF6:CQ6&lt;1)*(PARTIDAS!$I$2:$AT$2="ELÉCTRICO"))&gt;0,"ELÉCTRICO",""),IF(SUMPRODUCT((BF6:CQ6&lt;1)*(PARTIDAS!$I$2:$AT$2="TERMINACIONES"))&gt;0,"TERMINACIONES",""))</f>
        <v/>
      </c>
      <c r="CU6" s="46" cm="1">
        <f t="array" ref="CU6">SUMPRODUCT(--(BF6:CQ6&lt;1))</f>
        <v>0</v>
      </c>
    </row>
    <row r="7" spans="1:99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 s="3" t="str">
        <f>+IF(AVANCE[[#This Row],[% AVANCE]]=100%,"MODULO TERMINADO",IF(AVANCE[[#This Row],[FECHA INICIO REAL]]="","MODULO NO INICIADO","PENDIENTE"))</f>
        <v>MODULO TERMINADO</v>
      </c>
      <c r="BF7" s="3">
        <f>+IF(AVANCE[[#This Row],[VENTANAS]]=8.10810810810811%,100%,AVANCE[[#This Row],[VENTANAS]])</f>
        <v>1</v>
      </c>
      <c r="BG7" s="3">
        <f>+IF(AVANCE[[#This Row],[PISO]]=N$2,100%,AVANCE[[#This Row],[PISO]])</f>
        <v>1</v>
      </c>
      <c r="BH7" s="3">
        <f>+IF(AVANCE[[#This Row],[TABIQUES]]=O$2,100%,AVANCE[[#This Row],[TABIQUES]])</f>
        <v>1</v>
      </c>
      <c r="BI7" s="3">
        <f>+IF(AVANCE[[#This Row],[MUROS]]=P$2,100%,AVANCE[[#This Row],[MUROS]])</f>
        <v>1</v>
      </c>
      <c r="BJ7" s="3">
        <f>+IF(AVANCE[[#This Row],[CIELO]]=Q$2,100%,AVANCE[[#This Row],[CIELO]])</f>
        <v>1</v>
      </c>
      <c r="BK7" s="3">
        <f>+IF(AVANCE[[#This Row],[BALCÓN]]=R$2,100%,AVANCE[[#This Row],[BALCÓN]])</f>
        <v>1</v>
      </c>
      <c r="BL7" s="3">
        <f>+IF(AVANCE[[#This Row],[RED ALCANTARILLADO]]=U$2,100%,AVANCE[[#This Row],[RED ALCANTARILLADO]])</f>
        <v>1</v>
      </c>
      <c r="BM7" s="3">
        <f>+IF(AVANCE[[#This Row],[RED DE AGUA]]=V$2,100%,AVANCE[[#This Row],[RED DE AGUA]])</f>
        <v>1</v>
      </c>
      <c r="BN7" s="3">
        <f>+IF(AVANCE[[#This Row],[VENTILACIONES]]=W$2,100%,AVANCE[[#This Row],[VENTILACIONES]])</f>
        <v>1</v>
      </c>
      <c r="BO7" s="3">
        <f>+IF(AVANCE[[#This Row],[TINA]]=X$2,100%,AVANCE[[#This Row],[TINA]])</f>
        <v>1</v>
      </c>
      <c r="BP7" s="3">
        <f>+IF(AVANCE[[#This Row],[WC]]=Y$2,100%,AVANCE[[#This Row],[WC]])</f>
        <v>1</v>
      </c>
      <c r="BQ7" s="3">
        <f>+IF(AVANCE[[#This Row],[LAVAMANOS / LAVAPLATOS / LAVADERO]]=Z$2,100%,AVANCE[[#This Row],[LAVAMANOS / LAVAPLATOS / LAVADERO]])</f>
        <v>1</v>
      </c>
      <c r="BR7" s="3">
        <f>+IF(AVANCE[[#This Row],[CANALIZACIÓN]]=AC$2,100%,AVANCE[[#This Row],[CANALIZACIÓN]])</f>
        <v>1</v>
      </c>
      <c r="BS7" s="3">
        <f>+IF(AVANCE[[#This Row],[CABLEADO]]=AD$2,100%,AVANCE[[#This Row],[CABLEADO]])</f>
        <v>1</v>
      </c>
      <c r="BT7" s="3">
        <f>+IF(AVANCE[[#This Row],[ARTEFACTOS]]=AE$2,100%,AVANCE[[#This Row],[ARTEFACTOS]])</f>
        <v>1</v>
      </c>
      <c r="BU7" s="3">
        <f>+IF(AVANCE[[#This Row],[TABLERO]]=AF$2,100%,AVANCE[[#This Row],[TABLERO]])</f>
        <v>1</v>
      </c>
      <c r="BV7" s="3">
        <f>+IF(AVANCE[[#This Row],[CAJA PAU]]=AG$2,100%,AVANCE[[#This Row],[CAJA PAU]])</f>
        <v>1</v>
      </c>
      <c r="BW7" s="3">
        <f>+IF(AVANCE[[#This Row],[INSTALACION VINILICO]]=AJ$2,100%,AVANCE[[#This Row],[INSTALACION VINILICO]])</f>
        <v>1</v>
      </c>
      <c r="BX7" s="3">
        <f>+IF(AVANCE[[#This Row],[OSB CUBIERTA]]=AK$2,100%,AVANCE[[#This Row],[OSB CUBIERTA]])</f>
        <v>1</v>
      </c>
      <c r="BY7" s="3">
        <f>+IF(AVANCE[[#This Row],[BARANDA BALCON]]=AL$2,100%,AVANCE[[#This Row],[BARANDA BALCON]])</f>
        <v>1</v>
      </c>
      <c r="BZ7" s="3">
        <f>+IF(AVANCE[[#This Row],[OSB EXTERIOR]]=AM$2,100%,AVANCE[[#This Row],[OSB EXTERIOR]])</f>
        <v>1</v>
      </c>
      <c r="CA7" s="3">
        <f>+IF(AVANCE[[#This Row],[SMART PANEL]]=AN$2,100%,AVANCE[[#This Row],[SMART PANEL]])</f>
        <v>1</v>
      </c>
      <c r="CB7" s="3">
        <f>+IF(AVANCE[[#This Row],[PINTURA EXTERIOR]]=AO$2,100%,AVANCE[[#This Row],[PINTURA EXTERIOR]])</f>
        <v>1</v>
      </c>
      <c r="CC7" s="3">
        <f>+IF(AVANCE[[#This Row],[ZOCALOS LOGIA]]=AP$2,100%,AVANCE[[#This Row],[ZOCALOS LOGIA]])</f>
        <v>1</v>
      </c>
      <c r="CD7" s="3">
        <f>+IF(AVANCE[[#This Row],[MOLDURAS]]=AQ$2,100%,AVANCE[[#This Row],[MOLDURAS]])</f>
        <v>1</v>
      </c>
      <c r="CE7" s="3">
        <f>+IF(AVANCE[[#This Row],[PILASTREO]]=AR$2,100%,AVANCE[[#This Row],[PILASTREO]])</f>
        <v>1</v>
      </c>
      <c r="CF7" s="3">
        <f>+IF(AVANCE[[#This Row],[CELOSIAS]]=AS$2,100%,AVANCE[[#This Row],[CELOSIAS]])</f>
        <v>1</v>
      </c>
      <c r="CG7" s="3">
        <f>+IF(AVANCE[[#This Row],[VENTANAS]]=AT$2,100%,AVANCE[[#This Row],[VENTANAS]])</f>
        <v>1</v>
      </c>
      <c r="CH7" s="3">
        <f>+IF(AVANCE[[#This Row],[PUERTAS ACCESO - LOGIA - BANO]]=AU$2,100%,AVANCE[[#This Row],[PUERTAS ACCESO - LOGIA - BANO]])</f>
        <v>1</v>
      </c>
      <c r="CI7" s="3">
        <f>+IF(AVANCE[[#This Row],[CERRADURAS]]=AV$2,100%,AVANCE[[#This Row],[CERRADURAS]])</f>
        <v>1</v>
      </c>
      <c r="CJ7" s="3">
        <f>+IF(AVANCE[[#This Row],[REVESTIMIENTO INTERIOR ZONA SECA]]=AW$2,100%,AVANCE[[#This Row],[REVESTIMIENTO INTERIOR ZONA SECA]])</f>
        <v>1</v>
      </c>
      <c r="CK7" s="3">
        <f>+IF(AVANCE[[#This Row],[REVESTIMIENTO INTERIOR ZONAS HUMEDAS]]=AX$2,100%,AVANCE[[#This Row],[REVESTIMIENTO INTERIOR ZONAS HUMEDAS]])</f>
        <v>1</v>
      </c>
      <c r="CL7" s="3">
        <f>+IF(AVANCE[[#This Row],[MEMBRANA CIELO]]=AY$2,100%,AVANCE[[#This Row],[MEMBRANA CIELO]])</f>
        <v>1</v>
      </c>
      <c r="CM7" s="3">
        <f>+IF(AVANCE[[#This Row],[LIMPIEZA FINAL]]=AZ$2,100%,AVANCE[[#This Row],[LIMPIEZA FINAL]])</f>
        <v>1</v>
      </c>
      <c r="CN7" s="3">
        <f>+IF(AVANCE[[#This Row],[PUERTAS DORMITORIO]]=BA$2,100%,AVANCE[[#This Row],[PUERTAS DORMITORIO]])</f>
        <v>1</v>
      </c>
      <c r="CO7" s="3">
        <f>+IF(AVANCE[[#This Row],[REVESTIMIENTO INTERIOR BANO]]=BB$2,100%,AVANCE[[#This Row],[REVESTIMIENTO INTERIOR BANO]])</f>
        <v>1</v>
      </c>
      <c r="CP7" s="3">
        <f>+IF(AVANCE[[#This Row],[MUEBLE LAVAPLATOS]]=BC$2,100%,AVANCE[[#This Row],[MUEBLE LAVAPLATOS]])</f>
        <v>1</v>
      </c>
      <c r="CQ7" s="3">
        <f>+IF(AVANCE[[#This Row],[IMPERMEABILIZACION BANO - COCINA LOGIA]]=BD$2,100%,AVANCE[[#This Row],[IMPERMEABILIZACION BANO - COCINA LOGIA]])</f>
        <v>1</v>
      </c>
      <c r="CR7" s="40">
        <f ca="1">+IF(AVANCE[[#This Row],[ESTADO MODULO]]="PENDIENTE",(TODAY()-AVANCE[[#This Row],[FECHA TERMINO  PLANIFICADO]]),0)</f>
        <v>0</v>
      </c>
      <c r="CS7" s="42" t="str" cm="1">
        <f t="array" ref="CS7">_xlfn.TEXTJOIN(" | ",TRUE,IF(SUMPRODUCT((BF7:CQ7&lt;1)*(PARTIDAS!$I$2:$AT$2="OBRA GRUESA"))&gt;0,"OBRA GRUESA: "&amp;_xlfn.TEXTJOIN(", ",TRUE,IF((BF7:CQ7&lt;1)*(PARTIDAS!$I$2:$AT$2="OBRA GRUESA"),PARTIDAS!$I$1:$AT$1,"")),""),IF(SUMPRODUCT((BF7:CQ7&lt;1)*(PARTIDAS!$I$2:$AT$2="SANITARIOS"))&gt;0,"SANITARIOS: "&amp;_xlfn.TEXTJOIN(", ",TRUE,IF((BF7:CQ7&lt;1)*(PARTIDAS!$I$2:$AT$2="SANITARIOS"),PARTIDAS!$I$1:$AT$1,"")),""),IF(SUMPRODUCT((BF7:CQ7&lt;1)*(PARTIDAS!$I$2:$AT$2="ELÉCTRICO"))&gt;0,"ELÉCTRICO: "&amp;_xlfn.TEXTJOIN(", ",TRUE,IF((BF7:CQ7&lt;1)*(PARTIDAS!$I$2:$AT$2="ELÉCTRICO"),PARTIDAS!$I$1:$AT$1,"")),""),IF(SUMPRODUCT((BF7:CQ7&lt;1)*(PARTIDAS!$I$2:$AT$2="TERMINACIONES"))&gt;0,"TERMINACIONES: "&amp;_xlfn.TEXTJOIN(", ",TRUE,IF((BF7:CQ7&lt;1)*(PARTIDAS!$I$2:$AT$2="TERMINACIONES"),PARTIDAS!$I$1:$AT$1,"")),""))</f>
        <v/>
      </c>
      <c r="CT7" s="45" t="str" cm="1">
        <f t="array" ref="CT7">_xlfn.TEXTJOIN(", ",TRUE,IF(SUMPRODUCT((BF7:CQ7&lt;1)*(PARTIDAS!$I$2:$AT$2="OBRA GRUESA"))&gt;0,"OBRA GRUESA",""),IF(SUMPRODUCT((BF7:CQ7&lt;1)*(PARTIDAS!$I$2:$AT$2="SANITARIOS"))&gt;0,"SANITARIOS",""),IF(SUMPRODUCT((BF7:CQ7&lt;1)*(PARTIDAS!$I$2:$AT$2="ELÉCTRICO"))&gt;0,"ELÉCTRICO",""),IF(SUMPRODUCT((BF7:CQ7&lt;1)*(PARTIDAS!$I$2:$AT$2="TERMINACIONES"))&gt;0,"TERMINACIONES",""))</f>
        <v/>
      </c>
      <c r="CU7" s="46" cm="1">
        <f t="array" ref="CU7">SUMPRODUCT(--(BF7:CQ7&lt;1))</f>
        <v>0</v>
      </c>
    </row>
    <row r="8" spans="1:99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 s="3" t="str">
        <f>+IF(AVANCE[[#This Row],[% AVANCE]]=100%,"MODULO TERMINADO",IF(AVANCE[[#This Row],[FECHA INICIO REAL]]="","MODULO NO INICIADO","PENDIENTE"))</f>
        <v>MODULO TERMINADO</v>
      </c>
      <c r="BF8" s="3">
        <f>+IF(AVANCE[[#This Row],[VENTANAS]]=8.10810810810811%,100%,AVANCE[[#This Row],[VENTANAS]])</f>
        <v>1</v>
      </c>
      <c r="BG8" s="3">
        <f>+IF(AVANCE[[#This Row],[PISO]]=N$2,100%,AVANCE[[#This Row],[PISO]])</f>
        <v>1</v>
      </c>
      <c r="BH8" s="3">
        <f>+IF(AVANCE[[#This Row],[TABIQUES]]=O$2,100%,AVANCE[[#This Row],[TABIQUES]])</f>
        <v>1</v>
      </c>
      <c r="BI8" s="3">
        <f>+IF(AVANCE[[#This Row],[MUROS]]=P$2,100%,AVANCE[[#This Row],[MUROS]])</f>
        <v>1</v>
      </c>
      <c r="BJ8" s="3">
        <f>+IF(AVANCE[[#This Row],[CIELO]]=Q$2,100%,AVANCE[[#This Row],[CIELO]])</f>
        <v>1</v>
      </c>
      <c r="BK8" s="3">
        <f>+IF(AVANCE[[#This Row],[BALCÓN]]=R$2,100%,AVANCE[[#This Row],[BALCÓN]])</f>
        <v>1</v>
      </c>
      <c r="BL8" s="3">
        <f>+IF(AVANCE[[#This Row],[RED ALCANTARILLADO]]=U$2,100%,AVANCE[[#This Row],[RED ALCANTARILLADO]])</f>
        <v>1</v>
      </c>
      <c r="BM8" s="3">
        <f>+IF(AVANCE[[#This Row],[RED DE AGUA]]=V$2,100%,AVANCE[[#This Row],[RED DE AGUA]])</f>
        <v>1</v>
      </c>
      <c r="BN8" s="3">
        <f>+IF(AVANCE[[#This Row],[VENTILACIONES]]=W$2,100%,AVANCE[[#This Row],[VENTILACIONES]])</f>
        <v>1</v>
      </c>
      <c r="BO8" s="3">
        <f>+IF(AVANCE[[#This Row],[TINA]]=X$2,100%,AVANCE[[#This Row],[TINA]])</f>
        <v>1</v>
      </c>
      <c r="BP8" s="3">
        <f>+IF(AVANCE[[#This Row],[WC]]=Y$2,100%,AVANCE[[#This Row],[WC]])</f>
        <v>1</v>
      </c>
      <c r="BQ8" s="3">
        <f>+IF(AVANCE[[#This Row],[LAVAMANOS / LAVAPLATOS / LAVADERO]]=Z$2,100%,AVANCE[[#This Row],[LAVAMANOS / LAVAPLATOS / LAVADERO]])</f>
        <v>1</v>
      </c>
      <c r="BR8" s="3">
        <f>+IF(AVANCE[[#This Row],[CANALIZACIÓN]]=AC$2,100%,AVANCE[[#This Row],[CANALIZACIÓN]])</f>
        <v>1</v>
      </c>
      <c r="BS8" s="3">
        <f>+IF(AVANCE[[#This Row],[CABLEADO]]=AD$2,100%,AVANCE[[#This Row],[CABLEADO]])</f>
        <v>1</v>
      </c>
      <c r="BT8" s="3">
        <f>+IF(AVANCE[[#This Row],[ARTEFACTOS]]=AE$2,100%,AVANCE[[#This Row],[ARTEFACTOS]])</f>
        <v>1</v>
      </c>
      <c r="BU8" s="3">
        <f>+IF(AVANCE[[#This Row],[TABLERO]]=AF$2,100%,AVANCE[[#This Row],[TABLERO]])</f>
        <v>1</v>
      </c>
      <c r="BV8" s="3">
        <f>+IF(AVANCE[[#This Row],[CAJA PAU]]=AG$2,100%,AVANCE[[#This Row],[CAJA PAU]])</f>
        <v>1</v>
      </c>
      <c r="BW8" s="3">
        <f>+IF(AVANCE[[#This Row],[INSTALACION VINILICO]]=AJ$2,100%,AVANCE[[#This Row],[INSTALACION VINILICO]])</f>
        <v>1</v>
      </c>
      <c r="BX8" s="3">
        <f>+IF(AVANCE[[#This Row],[OSB CUBIERTA]]=AK$2,100%,AVANCE[[#This Row],[OSB CUBIERTA]])</f>
        <v>1</v>
      </c>
      <c r="BY8" s="3">
        <f>+IF(AVANCE[[#This Row],[BARANDA BALCON]]=AL$2,100%,AVANCE[[#This Row],[BARANDA BALCON]])</f>
        <v>1</v>
      </c>
      <c r="BZ8" s="3">
        <f>+IF(AVANCE[[#This Row],[OSB EXTERIOR]]=AM$2,100%,AVANCE[[#This Row],[OSB EXTERIOR]])</f>
        <v>1</v>
      </c>
      <c r="CA8" s="3">
        <f>+IF(AVANCE[[#This Row],[SMART PANEL]]=AN$2,100%,AVANCE[[#This Row],[SMART PANEL]])</f>
        <v>1</v>
      </c>
      <c r="CB8" s="3">
        <f>+IF(AVANCE[[#This Row],[PINTURA EXTERIOR]]=AO$2,100%,AVANCE[[#This Row],[PINTURA EXTERIOR]])</f>
        <v>1</v>
      </c>
      <c r="CC8" s="3">
        <f>+IF(AVANCE[[#This Row],[ZOCALOS LOGIA]]=AP$2,100%,AVANCE[[#This Row],[ZOCALOS LOGIA]])</f>
        <v>1</v>
      </c>
      <c r="CD8" s="3">
        <f>+IF(AVANCE[[#This Row],[MOLDURAS]]=AQ$2,100%,AVANCE[[#This Row],[MOLDURAS]])</f>
        <v>1</v>
      </c>
      <c r="CE8" s="3">
        <f>+IF(AVANCE[[#This Row],[PILASTREO]]=AR$2,100%,AVANCE[[#This Row],[PILASTREO]])</f>
        <v>1</v>
      </c>
      <c r="CF8" s="3">
        <f>+IF(AVANCE[[#This Row],[CELOSIAS]]=AS$2,100%,AVANCE[[#This Row],[CELOSIAS]])</f>
        <v>1</v>
      </c>
      <c r="CG8" s="3">
        <f>+IF(AVANCE[[#This Row],[VENTANAS]]=AT$2,100%,AVANCE[[#This Row],[VENTANAS]])</f>
        <v>1</v>
      </c>
      <c r="CH8" s="3">
        <f>+IF(AVANCE[[#This Row],[PUERTAS ACCESO - LOGIA - BANO]]=AU$2,100%,AVANCE[[#This Row],[PUERTAS ACCESO - LOGIA - BANO]])</f>
        <v>1</v>
      </c>
      <c r="CI8" s="3">
        <f>+IF(AVANCE[[#This Row],[CERRADURAS]]=AV$2,100%,AVANCE[[#This Row],[CERRADURAS]])</f>
        <v>1</v>
      </c>
      <c r="CJ8" s="3">
        <f>+IF(AVANCE[[#This Row],[REVESTIMIENTO INTERIOR ZONA SECA]]=AW$2,100%,AVANCE[[#This Row],[REVESTIMIENTO INTERIOR ZONA SECA]])</f>
        <v>1</v>
      </c>
      <c r="CK8" s="3">
        <f>+IF(AVANCE[[#This Row],[REVESTIMIENTO INTERIOR ZONAS HUMEDAS]]=AX$2,100%,AVANCE[[#This Row],[REVESTIMIENTO INTERIOR ZONAS HUMEDAS]])</f>
        <v>1</v>
      </c>
      <c r="CL8" s="3">
        <f>+IF(AVANCE[[#This Row],[MEMBRANA CIELO]]=AY$2,100%,AVANCE[[#This Row],[MEMBRANA CIELO]])</f>
        <v>1</v>
      </c>
      <c r="CM8" s="3">
        <f>+IF(AVANCE[[#This Row],[LIMPIEZA FINAL]]=AZ$2,100%,AVANCE[[#This Row],[LIMPIEZA FINAL]])</f>
        <v>1</v>
      </c>
      <c r="CN8" s="3">
        <f>+IF(AVANCE[[#This Row],[PUERTAS DORMITORIO]]=BA$2,100%,AVANCE[[#This Row],[PUERTAS DORMITORIO]])</f>
        <v>1</v>
      </c>
      <c r="CO8" s="3">
        <f>+IF(AVANCE[[#This Row],[REVESTIMIENTO INTERIOR BANO]]=BB$2,100%,AVANCE[[#This Row],[REVESTIMIENTO INTERIOR BANO]])</f>
        <v>1</v>
      </c>
      <c r="CP8" s="3">
        <f>+IF(AVANCE[[#This Row],[MUEBLE LAVAPLATOS]]=BC$2,100%,AVANCE[[#This Row],[MUEBLE LAVAPLATOS]])</f>
        <v>1</v>
      </c>
      <c r="CQ8" s="3">
        <f>+IF(AVANCE[[#This Row],[IMPERMEABILIZACION BANO - COCINA LOGIA]]=BD$2,100%,AVANCE[[#This Row],[IMPERMEABILIZACION BANO - COCINA LOGIA]])</f>
        <v>1</v>
      </c>
      <c r="CR8" s="40">
        <f ca="1">+IF(AVANCE[[#This Row],[ESTADO MODULO]]="PENDIENTE",(TODAY()-AVANCE[[#This Row],[FECHA TERMINO  PLANIFICADO]]),0)</f>
        <v>0</v>
      </c>
      <c r="CS8" s="42" t="str" cm="1">
        <f t="array" ref="CS8">_xlfn.TEXTJOIN(" | ",TRUE,IF(SUMPRODUCT((BF8:CQ8&lt;1)*(PARTIDAS!$I$2:$AT$2="OBRA GRUESA"))&gt;0,"OBRA GRUESA: "&amp;_xlfn.TEXTJOIN(", ",TRUE,IF((BF8:CQ8&lt;1)*(PARTIDAS!$I$2:$AT$2="OBRA GRUESA"),PARTIDAS!$I$1:$AT$1,"")),""),IF(SUMPRODUCT((BF8:CQ8&lt;1)*(PARTIDAS!$I$2:$AT$2="SANITARIOS"))&gt;0,"SANITARIOS: "&amp;_xlfn.TEXTJOIN(", ",TRUE,IF((BF8:CQ8&lt;1)*(PARTIDAS!$I$2:$AT$2="SANITARIOS"),PARTIDAS!$I$1:$AT$1,"")),""),IF(SUMPRODUCT((BF8:CQ8&lt;1)*(PARTIDAS!$I$2:$AT$2="ELÉCTRICO"))&gt;0,"ELÉCTRICO: "&amp;_xlfn.TEXTJOIN(", ",TRUE,IF((BF8:CQ8&lt;1)*(PARTIDAS!$I$2:$AT$2="ELÉCTRICO"),PARTIDAS!$I$1:$AT$1,"")),""),IF(SUMPRODUCT((BF8:CQ8&lt;1)*(PARTIDAS!$I$2:$AT$2="TERMINACIONES"))&gt;0,"TERMINACIONES: "&amp;_xlfn.TEXTJOIN(", ",TRUE,IF((BF8:CQ8&lt;1)*(PARTIDAS!$I$2:$AT$2="TERMINACIONES"),PARTIDAS!$I$1:$AT$1,"")),""))</f>
        <v/>
      </c>
      <c r="CT8" s="45" t="str" cm="1">
        <f t="array" ref="CT8">_xlfn.TEXTJOIN(", ",TRUE,IF(SUMPRODUCT((BF8:CQ8&lt;1)*(PARTIDAS!$I$2:$AT$2="OBRA GRUESA"))&gt;0,"OBRA GRUESA",""),IF(SUMPRODUCT((BF8:CQ8&lt;1)*(PARTIDAS!$I$2:$AT$2="SANITARIOS"))&gt;0,"SANITARIOS",""),IF(SUMPRODUCT((BF8:CQ8&lt;1)*(PARTIDAS!$I$2:$AT$2="ELÉCTRICO"))&gt;0,"ELÉCTRICO",""),IF(SUMPRODUCT((BF8:CQ8&lt;1)*(PARTIDAS!$I$2:$AT$2="TERMINACIONES"))&gt;0,"TERMINACIONES",""))</f>
        <v/>
      </c>
      <c r="CU8" s="46" cm="1">
        <f t="array" ref="CU8">SUMPRODUCT(--(BF8:CQ8&lt;1))</f>
        <v>0</v>
      </c>
    </row>
    <row r="9" spans="1:99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 s="3" t="str">
        <f>+IF(AVANCE[[#This Row],[% AVANCE]]=100%,"MODULO TERMINADO",IF(AVANCE[[#This Row],[FECHA INICIO REAL]]="","MODULO NO INICIADO","PENDIENTE"))</f>
        <v>MODULO TERMINADO</v>
      </c>
      <c r="BF9" s="3">
        <f>+IF(AVANCE[[#This Row],[VENTANAS]]=8.10810810810811%,100%,AVANCE[[#This Row],[VENTANAS]])</f>
        <v>1</v>
      </c>
      <c r="BG9" s="3">
        <f>+IF(AVANCE[[#This Row],[PISO]]=N$2,100%,AVANCE[[#This Row],[PISO]])</f>
        <v>1</v>
      </c>
      <c r="BH9" s="3">
        <f>+IF(AVANCE[[#This Row],[TABIQUES]]=O$2,100%,AVANCE[[#This Row],[TABIQUES]])</f>
        <v>1</v>
      </c>
      <c r="BI9" s="3">
        <f>+IF(AVANCE[[#This Row],[MUROS]]=P$2,100%,AVANCE[[#This Row],[MUROS]])</f>
        <v>1</v>
      </c>
      <c r="BJ9" s="3">
        <f>+IF(AVANCE[[#This Row],[CIELO]]=Q$2,100%,AVANCE[[#This Row],[CIELO]])</f>
        <v>1</v>
      </c>
      <c r="BK9" s="3">
        <f>+IF(AVANCE[[#This Row],[BALCÓN]]=R$2,100%,AVANCE[[#This Row],[BALCÓN]])</f>
        <v>1</v>
      </c>
      <c r="BL9" s="3">
        <f>+IF(AVANCE[[#This Row],[RED ALCANTARILLADO]]=U$2,100%,AVANCE[[#This Row],[RED ALCANTARILLADO]])</f>
        <v>1</v>
      </c>
      <c r="BM9" s="3">
        <f>+IF(AVANCE[[#This Row],[RED DE AGUA]]=V$2,100%,AVANCE[[#This Row],[RED DE AGUA]])</f>
        <v>1</v>
      </c>
      <c r="BN9" s="3">
        <f>+IF(AVANCE[[#This Row],[VENTILACIONES]]=W$2,100%,AVANCE[[#This Row],[VENTILACIONES]])</f>
        <v>1</v>
      </c>
      <c r="BO9" s="3">
        <f>+IF(AVANCE[[#This Row],[TINA]]=X$2,100%,AVANCE[[#This Row],[TINA]])</f>
        <v>1</v>
      </c>
      <c r="BP9" s="3">
        <f>+IF(AVANCE[[#This Row],[WC]]=Y$2,100%,AVANCE[[#This Row],[WC]])</f>
        <v>1</v>
      </c>
      <c r="BQ9" s="3">
        <f>+IF(AVANCE[[#This Row],[LAVAMANOS / LAVAPLATOS / LAVADERO]]=Z$2,100%,AVANCE[[#This Row],[LAVAMANOS / LAVAPLATOS / LAVADERO]])</f>
        <v>1</v>
      </c>
      <c r="BR9" s="3">
        <f>+IF(AVANCE[[#This Row],[CANALIZACIÓN]]=AC$2,100%,AVANCE[[#This Row],[CANALIZACIÓN]])</f>
        <v>1</v>
      </c>
      <c r="BS9" s="3">
        <f>+IF(AVANCE[[#This Row],[CABLEADO]]=AD$2,100%,AVANCE[[#This Row],[CABLEADO]])</f>
        <v>1</v>
      </c>
      <c r="BT9" s="3">
        <f>+IF(AVANCE[[#This Row],[ARTEFACTOS]]=AE$2,100%,AVANCE[[#This Row],[ARTEFACTOS]])</f>
        <v>1</v>
      </c>
      <c r="BU9" s="3">
        <f>+IF(AVANCE[[#This Row],[TABLERO]]=AF$2,100%,AVANCE[[#This Row],[TABLERO]])</f>
        <v>1</v>
      </c>
      <c r="BV9" s="3">
        <f>+IF(AVANCE[[#This Row],[CAJA PAU]]=AG$2,100%,AVANCE[[#This Row],[CAJA PAU]])</f>
        <v>1</v>
      </c>
      <c r="BW9" s="3">
        <f>+IF(AVANCE[[#This Row],[INSTALACION VINILICO]]=AJ$2,100%,AVANCE[[#This Row],[INSTALACION VINILICO]])</f>
        <v>1</v>
      </c>
      <c r="BX9" s="3">
        <f>+IF(AVANCE[[#This Row],[OSB CUBIERTA]]=AK$2,100%,AVANCE[[#This Row],[OSB CUBIERTA]])</f>
        <v>1</v>
      </c>
      <c r="BY9" s="3">
        <f>+IF(AVANCE[[#This Row],[BARANDA BALCON]]=AL$2,100%,AVANCE[[#This Row],[BARANDA BALCON]])</f>
        <v>1</v>
      </c>
      <c r="BZ9" s="3">
        <f>+IF(AVANCE[[#This Row],[OSB EXTERIOR]]=AM$2,100%,AVANCE[[#This Row],[OSB EXTERIOR]])</f>
        <v>1</v>
      </c>
      <c r="CA9" s="3">
        <f>+IF(AVANCE[[#This Row],[SMART PANEL]]=AN$2,100%,AVANCE[[#This Row],[SMART PANEL]])</f>
        <v>1</v>
      </c>
      <c r="CB9" s="3">
        <f>+IF(AVANCE[[#This Row],[PINTURA EXTERIOR]]=AO$2,100%,AVANCE[[#This Row],[PINTURA EXTERIOR]])</f>
        <v>1</v>
      </c>
      <c r="CC9" s="3">
        <f>+IF(AVANCE[[#This Row],[ZOCALOS LOGIA]]=AP$2,100%,AVANCE[[#This Row],[ZOCALOS LOGIA]])</f>
        <v>1</v>
      </c>
      <c r="CD9" s="3">
        <f>+IF(AVANCE[[#This Row],[MOLDURAS]]=AQ$2,100%,AVANCE[[#This Row],[MOLDURAS]])</f>
        <v>1</v>
      </c>
      <c r="CE9" s="3">
        <f>+IF(AVANCE[[#This Row],[PILASTREO]]=AR$2,100%,AVANCE[[#This Row],[PILASTREO]])</f>
        <v>1</v>
      </c>
      <c r="CF9" s="3">
        <f>+IF(AVANCE[[#This Row],[CELOSIAS]]=AS$2,100%,AVANCE[[#This Row],[CELOSIAS]])</f>
        <v>1</v>
      </c>
      <c r="CG9" s="3">
        <f>+IF(AVANCE[[#This Row],[VENTANAS]]=AT$2,100%,AVANCE[[#This Row],[VENTANAS]])</f>
        <v>1</v>
      </c>
      <c r="CH9" s="3">
        <f>+IF(AVANCE[[#This Row],[PUERTAS ACCESO - LOGIA - BANO]]=AU$2,100%,AVANCE[[#This Row],[PUERTAS ACCESO - LOGIA - BANO]])</f>
        <v>1</v>
      </c>
      <c r="CI9" s="3">
        <f>+IF(AVANCE[[#This Row],[CERRADURAS]]=AV$2,100%,AVANCE[[#This Row],[CERRADURAS]])</f>
        <v>1</v>
      </c>
      <c r="CJ9" s="3">
        <f>+IF(AVANCE[[#This Row],[REVESTIMIENTO INTERIOR ZONA SECA]]=AW$2,100%,AVANCE[[#This Row],[REVESTIMIENTO INTERIOR ZONA SECA]])</f>
        <v>1</v>
      </c>
      <c r="CK9" s="3">
        <f>+IF(AVANCE[[#This Row],[REVESTIMIENTO INTERIOR ZONAS HUMEDAS]]=AX$2,100%,AVANCE[[#This Row],[REVESTIMIENTO INTERIOR ZONAS HUMEDAS]])</f>
        <v>1</v>
      </c>
      <c r="CL9" s="3">
        <f>+IF(AVANCE[[#This Row],[MEMBRANA CIELO]]=AY$2,100%,AVANCE[[#This Row],[MEMBRANA CIELO]])</f>
        <v>1</v>
      </c>
      <c r="CM9" s="3">
        <f>+IF(AVANCE[[#This Row],[LIMPIEZA FINAL]]=AZ$2,100%,AVANCE[[#This Row],[LIMPIEZA FINAL]])</f>
        <v>1</v>
      </c>
      <c r="CN9" s="3">
        <f>+IF(AVANCE[[#This Row],[PUERTAS DORMITORIO]]=BA$2,100%,AVANCE[[#This Row],[PUERTAS DORMITORIO]])</f>
        <v>1</v>
      </c>
      <c r="CO9" s="3">
        <f>+IF(AVANCE[[#This Row],[REVESTIMIENTO INTERIOR BANO]]=BB$2,100%,AVANCE[[#This Row],[REVESTIMIENTO INTERIOR BANO]])</f>
        <v>1</v>
      </c>
      <c r="CP9" s="3">
        <f>+IF(AVANCE[[#This Row],[MUEBLE LAVAPLATOS]]=BC$2,100%,AVANCE[[#This Row],[MUEBLE LAVAPLATOS]])</f>
        <v>1</v>
      </c>
      <c r="CQ9" s="3">
        <f>+IF(AVANCE[[#This Row],[IMPERMEABILIZACION BANO - COCINA LOGIA]]=BD$2,100%,AVANCE[[#This Row],[IMPERMEABILIZACION BANO - COCINA LOGIA]])</f>
        <v>1</v>
      </c>
      <c r="CR9" s="40">
        <f ca="1">+IF(AVANCE[[#This Row],[ESTADO MODULO]]="PENDIENTE",(TODAY()-AVANCE[[#This Row],[FECHA TERMINO  PLANIFICADO]]),0)</f>
        <v>0</v>
      </c>
      <c r="CS9" s="42" t="str" cm="1">
        <f t="array" ref="CS9">_xlfn.TEXTJOIN(" | ",TRUE,IF(SUMPRODUCT((BF9:CQ9&lt;1)*(PARTIDAS!$I$2:$AT$2="OBRA GRUESA"))&gt;0,"OBRA GRUESA: "&amp;_xlfn.TEXTJOIN(", ",TRUE,IF((BF9:CQ9&lt;1)*(PARTIDAS!$I$2:$AT$2="OBRA GRUESA"),PARTIDAS!$I$1:$AT$1,"")),""),IF(SUMPRODUCT((BF9:CQ9&lt;1)*(PARTIDAS!$I$2:$AT$2="SANITARIOS"))&gt;0,"SANITARIOS: "&amp;_xlfn.TEXTJOIN(", ",TRUE,IF((BF9:CQ9&lt;1)*(PARTIDAS!$I$2:$AT$2="SANITARIOS"),PARTIDAS!$I$1:$AT$1,"")),""),IF(SUMPRODUCT((BF9:CQ9&lt;1)*(PARTIDAS!$I$2:$AT$2="ELÉCTRICO"))&gt;0,"ELÉCTRICO: "&amp;_xlfn.TEXTJOIN(", ",TRUE,IF((BF9:CQ9&lt;1)*(PARTIDAS!$I$2:$AT$2="ELÉCTRICO"),PARTIDAS!$I$1:$AT$1,"")),""),IF(SUMPRODUCT((BF9:CQ9&lt;1)*(PARTIDAS!$I$2:$AT$2="TERMINACIONES"))&gt;0,"TERMINACIONES: "&amp;_xlfn.TEXTJOIN(", ",TRUE,IF((BF9:CQ9&lt;1)*(PARTIDAS!$I$2:$AT$2="TERMINACIONES"),PARTIDAS!$I$1:$AT$1,"")),""))</f>
        <v/>
      </c>
      <c r="CT9" s="45" t="str" cm="1">
        <f t="array" ref="CT9">_xlfn.TEXTJOIN(", ",TRUE,IF(SUMPRODUCT((BF9:CQ9&lt;1)*(PARTIDAS!$I$2:$AT$2="OBRA GRUESA"))&gt;0,"OBRA GRUESA",""),IF(SUMPRODUCT((BF9:CQ9&lt;1)*(PARTIDAS!$I$2:$AT$2="SANITARIOS"))&gt;0,"SANITARIOS",""),IF(SUMPRODUCT((BF9:CQ9&lt;1)*(PARTIDAS!$I$2:$AT$2="ELÉCTRICO"))&gt;0,"ELÉCTRICO",""),IF(SUMPRODUCT((BF9:CQ9&lt;1)*(PARTIDAS!$I$2:$AT$2="TERMINACIONES"))&gt;0,"TERMINACIONES",""))</f>
        <v/>
      </c>
      <c r="CU9" s="46" cm="1">
        <f t="array" ref="CU9">SUMPRODUCT(--(BF9:CQ9&lt;1))</f>
        <v>0</v>
      </c>
    </row>
    <row r="10" spans="1:99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 s="3" t="str">
        <f>+IF(AVANCE[[#This Row],[% AVANCE]]=100%,"MODULO TERMINADO",IF(AVANCE[[#This Row],[FECHA INICIO REAL]]="","MODULO NO INICIADO","PENDIENTE"))</f>
        <v>MODULO TERMINADO</v>
      </c>
      <c r="BF10" s="3">
        <f>+IF(AVANCE[[#This Row],[VENTANAS]]=8.10810810810811%,100%,AVANCE[[#This Row],[VENTANAS]])</f>
        <v>1</v>
      </c>
      <c r="BG10" s="3">
        <f>+IF(AVANCE[[#This Row],[PISO]]=N$2,100%,AVANCE[[#This Row],[PISO]])</f>
        <v>1</v>
      </c>
      <c r="BH10" s="3">
        <f>+IF(AVANCE[[#This Row],[TABIQUES]]=O$2,100%,AVANCE[[#This Row],[TABIQUES]])</f>
        <v>1</v>
      </c>
      <c r="BI10" s="3">
        <f>+IF(AVANCE[[#This Row],[MUROS]]=P$2,100%,AVANCE[[#This Row],[MUROS]])</f>
        <v>1</v>
      </c>
      <c r="BJ10" s="3">
        <f>+IF(AVANCE[[#This Row],[CIELO]]=Q$2,100%,AVANCE[[#This Row],[CIELO]])</f>
        <v>1</v>
      </c>
      <c r="BK10" s="3">
        <f>+IF(AVANCE[[#This Row],[BALCÓN]]=R$2,100%,AVANCE[[#This Row],[BALCÓN]])</f>
        <v>1</v>
      </c>
      <c r="BL10" s="3">
        <f>+IF(AVANCE[[#This Row],[RED ALCANTARILLADO]]=U$2,100%,AVANCE[[#This Row],[RED ALCANTARILLADO]])</f>
        <v>1</v>
      </c>
      <c r="BM10" s="3">
        <f>+IF(AVANCE[[#This Row],[RED DE AGUA]]=V$2,100%,AVANCE[[#This Row],[RED DE AGUA]])</f>
        <v>1</v>
      </c>
      <c r="BN10" s="3">
        <f>+IF(AVANCE[[#This Row],[VENTILACIONES]]=W$2,100%,AVANCE[[#This Row],[VENTILACIONES]])</f>
        <v>1</v>
      </c>
      <c r="BO10" s="3">
        <f>+IF(AVANCE[[#This Row],[TINA]]=X$2,100%,AVANCE[[#This Row],[TINA]])</f>
        <v>1</v>
      </c>
      <c r="BP10" s="3">
        <f>+IF(AVANCE[[#This Row],[WC]]=Y$2,100%,AVANCE[[#This Row],[WC]])</f>
        <v>1</v>
      </c>
      <c r="BQ10" s="3">
        <f>+IF(AVANCE[[#This Row],[LAVAMANOS / LAVAPLATOS / LAVADERO]]=Z$2,100%,AVANCE[[#This Row],[LAVAMANOS / LAVAPLATOS / LAVADERO]])</f>
        <v>1</v>
      </c>
      <c r="BR10" s="3">
        <f>+IF(AVANCE[[#This Row],[CANALIZACIÓN]]=AC$2,100%,AVANCE[[#This Row],[CANALIZACIÓN]])</f>
        <v>1</v>
      </c>
      <c r="BS10" s="3">
        <f>+IF(AVANCE[[#This Row],[CABLEADO]]=AD$2,100%,AVANCE[[#This Row],[CABLEADO]])</f>
        <v>1</v>
      </c>
      <c r="BT10" s="3">
        <f>+IF(AVANCE[[#This Row],[ARTEFACTOS]]=AE$2,100%,AVANCE[[#This Row],[ARTEFACTOS]])</f>
        <v>1</v>
      </c>
      <c r="BU10" s="3">
        <f>+IF(AVANCE[[#This Row],[TABLERO]]=AF$2,100%,AVANCE[[#This Row],[TABLERO]])</f>
        <v>1</v>
      </c>
      <c r="BV10" s="3">
        <f>+IF(AVANCE[[#This Row],[CAJA PAU]]=AG$2,100%,AVANCE[[#This Row],[CAJA PAU]])</f>
        <v>1</v>
      </c>
      <c r="BW10" s="3">
        <f>+IF(AVANCE[[#This Row],[INSTALACION VINILICO]]=AJ$2,100%,AVANCE[[#This Row],[INSTALACION VINILICO]])</f>
        <v>1</v>
      </c>
      <c r="BX10" s="3">
        <f>+IF(AVANCE[[#This Row],[OSB CUBIERTA]]=AK$2,100%,AVANCE[[#This Row],[OSB CUBIERTA]])</f>
        <v>1</v>
      </c>
      <c r="BY10" s="3">
        <f>+IF(AVANCE[[#This Row],[BARANDA BALCON]]=AL$2,100%,AVANCE[[#This Row],[BARANDA BALCON]])</f>
        <v>1</v>
      </c>
      <c r="BZ10" s="3">
        <f>+IF(AVANCE[[#This Row],[OSB EXTERIOR]]=AM$2,100%,AVANCE[[#This Row],[OSB EXTERIOR]])</f>
        <v>1</v>
      </c>
      <c r="CA10" s="3">
        <f>+IF(AVANCE[[#This Row],[SMART PANEL]]=AN$2,100%,AVANCE[[#This Row],[SMART PANEL]])</f>
        <v>1</v>
      </c>
      <c r="CB10" s="3">
        <f>+IF(AVANCE[[#This Row],[PINTURA EXTERIOR]]=AO$2,100%,AVANCE[[#This Row],[PINTURA EXTERIOR]])</f>
        <v>1</v>
      </c>
      <c r="CC10" s="3">
        <f>+IF(AVANCE[[#This Row],[ZOCALOS LOGIA]]=AP$2,100%,AVANCE[[#This Row],[ZOCALOS LOGIA]])</f>
        <v>1</v>
      </c>
      <c r="CD10" s="3">
        <f>+IF(AVANCE[[#This Row],[MOLDURAS]]=AQ$2,100%,AVANCE[[#This Row],[MOLDURAS]])</f>
        <v>1</v>
      </c>
      <c r="CE10" s="3">
        <f>+IF(AVANCE[[#This Row],[PILASTREO]]=AR$2,100%,AVANCE[[#This Row],[PILASTREO]])</f>
        <v>1</v>
      </c>
      <c r="CF10" s="3">
        <f>+IF(AVANCE[[#This Row],[CELOSIAS]]=AS$2,100%,AVANCE[[#This Row],[CELOSIAS]])</f>
        <v>1</v>
      </c>
      <c r="CG10" s="3">
        <f>+IF(AVANCE[[#This Row],[VENTANAS]]=AT$2,100%,AVANCE[[#This Row],[VENTANAS]])</f>
        <v>1</v>
      </c>
      <c r="CH10" s="3">
        <f>+IF(AVANCE[[#This Row],[PUERTAS ACCESO - LOGIA - BANO]]=AU$2,100%,AVANCE[[#This Row],[PUERTAS ACCESO - LOGIA - BANO]])</f>
        <v>1</v>
      </c>
      <c r="CI10" s="3">
        <f>+IF(AVANCE[[#This Row],[CERRADURAS]]=AV$2,100%,AVANCE[[#This Row],[CERRADURAS]])</f>
        <v>1</v>
      </c>
      <c r="CJ10" s="3">
        <f>+IF(AVANCE[[#This Row],[REVESTIMIENTO INTERIOR ZONA SECA]]=AW$2,100%,AVANCE[[#This Row],[REVESTIMIENTO INTERIOR ZONA SECA]])</f>
        <v>1</v>
      </c>
      <c r="CK10" s="3">
        <f>+IF(AVANCE[[#This Row],[REVESTIMIENTO INTERIOR ZONAS HUMEDAS]]=AX$2,100%,AVANCE[[#This Row],[REVESTIMIENTO INTERIOR ZONAS HUMEDAS]])</f>
        <v>1</v>
      </c>
      <c r="CL10" s="3">
        <f>+IF(AVANCE[[#This Row],[MEMBRANA CIELO]]=AY$2,100%,AVANCE[[#This Row],[MEMBRANA CIELO]])</f>
        <v>1</v>
      </c>
      <c r="CM10" s="3">
        <f>+IF(AVANCE[[#This Row],[LIMPIEZA FINAL]]=AZ$2,100%,AVANCE[[#This Row],[LIMPIEZA FINAL]])</f>
        <v>1</v>
      </c>
      <c r="CN10" s="3">
        <f>+IF(AVANCE[[#This Row],[PUERTAS DORMITORIO]]=BA$2,100%,AVANCE[[#This Row],[PUERTAS DORMITORIO]])</f>
        <v>1</v>
      </c>
      <c r="CO10" s="3">
        <f>+IF(AVANCE[[#This Row],[REVESTIMIENTO INTERIOR BANO]]=BB$2,100%,AVANCE[[#This Row],[REVESTIMIENTO INTERIOR BANO]])</f>
        <v>1</v>
      </c>
      <c r="CP10" s="3">
        <f>+IF(AVANCE[[#This Row],[MUEBLE LAVAPLATOS]]=BC$2,100%,AVANCE[[#This Row],[MUEBLE LAVAPLATOS]])</f>
        <v>1</v>
      </c>
      <c r="CQ10" s="3">
        <f>+IF(AVANCE[[#This Row],[IMPERMEABILIZACION BANO - COCINA LOGIA]]=BD$2,100%,AVANCE[[#This Row],[IMPERMEABILIZACION BANO - COCINA LOGIA]])</f>
        <v>1</v>
      </c>
      <c r="CR10" s="40">
        <f ca="1">+IF(AVANCE[[#This Row],[ESTADO MODULO]]="PENDIENTE",(TODAY()-AVANCE[[#This Row],[FECHA TERMINO  PLANIFICADO]]),0)</f>
        <v>0</v>
      </c>
      <c r="CS10" s="42" t="str" cm="1">
        <f t="array" ref="CS10">_xlfn.TEXTJOIN(" | ",TRUE,IF(SUMPRODUCT((BF10:CQ10&lt;1)*(PARTIDAS!$I$2:$AT$2="OBRA GRUESA"))&gt;0,"OBRA GRUESA: "&amp;_xlfn.TEXTJOIN(", ",TRUE,IF((BF10:CQ10&lt;1)*(PARTIDAS!$I$2:$AT$2="OBRA GRUESA"),PARTIDAS!$I$1:$AT$1,"")),""),IF(SUMPRODUCT((BF10:CQ10&lt;1)*(PARTIDAS!$I$2:$AT$2="SANITARIOS"))&gt;0,"SANITARIOS: "&amp;_xlfn.TEXTJOIN(", ",TRUE,IF((BF10:CQ10&lt;1)*(PARTIDAS!$I$2:$AT$2="SANITARIOS"),PARTIDAS!$I$1:$AT$1,"")),""),IF(SUMPRODUCT((BF10:CQ10&lt;1)*(PARTIDAS!$I$2:$AT$2="ELÉCTRICO"))&gt;0,"ELÉCTRICO: "&amp;_xlfn.TEXTJOIN(", ",TRUE,IF((BF10:CQ10&lt;1)*(PARTIDAS!$I$2:$AT$2="ELÉCTRICO"),PARTIDAS!$I$1:$AT$1,"")),""),IF(SUMPRODUCT((BF10:CQ10&lt;1)*(PARTIDAS!$I$2:$AT$2="TERMINACIONES"))&gt;0,"TERMINACIONES: "&amp;_xlfn.TEXTJOIN(", ",TRUE,IF((BF10:CQ10&lt;1)*(PARTIDAS!$I$2:$AT$2="TERMINACIONES"),PARTIDAS!$I$1:$AT$1,"")),""))</f>
        <v/>
      </c>
      <c r="CT10" s="45" t="str" cm="1">
        <f t="array" ref="CT10">_xlfn.TEXTJOIN(", ",TRUE,IF(SUMPRODUCT((BF10:CQ10&lt;1)*(PARTIDAS!$I$2:$AT$2="OBRA GRUESA"))&gt;0,"OBRA GRUESA",""),IF(SUMPRODUCT((BF10:CQ10&lt;1)*(PARTIDAS!$I$2:$AT$2="SANITARIOS"))&gt;0,"SANITARIOS",""),IF(SUMPRODUCT((BF10:CQ10&lt;1)*(PARTIDAS!$I$2:$AT$2="ELÉCTRICO"))&gt;0,"ELÉCTRICO",""),IF(SUMPRODUCT((BF10:CQ10&lt;1)*(PARTIDAS!$I$2:$AT$2="TERMINACIONES"))&gt;0,"TERMINACIONES",""))</f>
        <v/>
      </c>
      <c r="CU10" s="46" cm="1">
        <f t="array" ref="CU10">SUMPRODUCT(--(BF10:CQ10&lt;1))</f>
        <v>0</v>
      </c>
    </row>
    <row r="11" spans="1:99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 s="3" t="str">
        <f>+IF(AVANCE[[#This Row],[% AVANCE]]=100%,"MODULO TERMINADO",IF(AVANCE[[#This Row],[FECHA INICIO REAL]]="","MODULO NO INICIADO","PENDIENTE"))</f>
        <v>MODULO TERMINADO</v>
      </c>
      <c r="BF11" s="3">
        <f>+IF(AVANCE[[#This Row],[VENTANAS]]=8.10810810810811%,100%,AVANCE[[#This Row],[VENTANAS]])</f>
        <v>1</v>
      </c>
      <c r="BG11" s="3">
        <f>+IF(AVANCE[[#This Row],[PISO]]=N$2,100%,AVANCE[[#This Row],[PISO]])</f>
        <v>1</v>
      </c>
      <c r="BH11" s="3">
        <f>+IF(AVANCE[[#This Row],[TABIQUES]]=O$2,100%,AVANCE[[#This Row],[TABIQUES]])</f>
        <v>1</v>
      </c>
      <c r="BI11" s="3">
        <f>+IF(AVANCE[[#This Row],[MUROS]]=P$2,100%,AVANCE[[#This Row],[MUROS]])</f>
        <v>1</v>
      </c>
      <c r="BJ11" s="3">
        <f>+IF(AVANCE[[#This Row],[CIELO]]=Q$2,100%,AVANCE[[#This Row],[CIELO]])</f>
        <v>1</v>
      </c>
      <c r="BK11" s="3">
        <f>+IF(AVANCE[[#This Row],[BALCÓN]]=R$2,100%,AVANCE[[#This Row],[BALCÓN]])</f>
        <v>1</v>
      </c>
      <c r="BL11" s="3">
        <f>+IF(AVANCE[[#This Row],[RED ALCANTARILLADO]]=U$2,100%,AVANCE[[#This Row],[RED ALCANTARILLADO]])</f>
        <v>1</v>
      </c>
      <c r="BM11" s="3">
        <f>+IF(AVANCE[[#This Row],[RED DE AGUA]]=V$2,100%,AVANCE[[#This Row],[RED DE AGUA]])</f>
        <v>1</v>
      </c>
      <c r="BN11" s="3">
        <f>+IF(AVANCE[[#This Row],[VENTILACIONES]]=W$2,100%,AVANCE[[#This Row],[VENTILACIONES]])</f>
        <v>1</v>
      </c>
      <c r="BO11" s="3">
        <f>+IF(AVANCE[[#This Row],[TINA]]=X$2,100%,AVANCE[[#This Row],[TINA]])</f>
        <v>1</v>
      </c>
      <c r="BP11" s="3">
        <f>+IF(AVANCE[[#This Row],[WC]]=Y$2,100%,AVANCE[[#This Row],[WC]])</f>
        <v>1</v>
      </c>
      <c r="BQ11" s="3">
        <f>+IF(AVANCE[[#This Row],[LAVAMANOS / LAVAPLATOS / LAVADERO]]=Z$2,100%,AVANCE[[#This Row],[LAVAMANOS / LAVAPLATOS / LAVADERO]])</f>
        <v>1</v>
      </c>
      <c r="BR11" s="3">
        <f>+IF(AVANCE[[#This Row],[CANALIZACIÓN]]=AC$2,100%,AVANCE[[#This Row],[CANALIZACIÓN]])</f>
        <v>1</v>
      </c>
      <c r="BS11" s="3">
        <f>+IF(AVANCE[[#This Row],[CABLEADO]]=AD$2,100%,AVANCE[[#This Row],[CABLEADO]])</f>
        <v>1</v>
      </c>
      <c r="BT11" s="3">
        <f>+IF(AVANCE[[#This Row],[ARTEFACTOS]]=AE$2,100%,AVANCE[[#This Row],[ARTEFACTOS]])</f>
        <v>1</v>
      </c>
      <c r="BU11" s="3">
        <f>+IF(AVANCE[[#This Row],[TABLERO]]=AF$2,100%,AVANCE[[#This Row],[TABLERO]])</f>
        <v>1</v>
      </c>
      <c r="BV11" s="3">
        <f>+IF(AVANCE[[#This Row],[CAJA PAU]]=AG$2,100%,AVANCE[[#This Row],[CAJA PAU]])</f>
        <v>1</v>
      </c>
      <c r="BW11" s="3">
        <f>+IF(AVANCE[[#This Row],[INSTALACION VINILICO]]=AJ$2,100%,AVANCE[[#This Row],[INSTALACION VINILICO]])</f>
        <v>1</v>
      </c>
      <c r="BX11" s="3">
        <f>+IF(AVANCE[[#This Row],[OSB CUBIERTA]]=AK$2,100%,AVANCE[[#This Row],[OSB CUBIERTA]])</f>
        <v>1</v>
      </c>
      <c r="BY11" s="3">
        <f>+IF(AVANCE[[#This Row],[BARANDA BALCON]]=AL$2,100%,AVANCE[[#This Row],[BARANDA BALCON]])</f>
        <v>1</v>
      </c>
      <c r="BZ11" s="3">
        <f>+IF(AVANCE[[#This Row],[OSB EXTERIOR]]=AM$2,100%,AVANCE[[#This Row],[OSB EXTERIOR]])</f>
        <v>1</v>
      </c>
      <c r="CA11" s="3">
        <f>+IF(AVANCE[[#This Row],[SMART PANEL]]=AN$2,100%,AVANCE[[#This Row],[SMART PANEL]])</f>
        <v>1</v>
      </c>
      <c r="CB11" s="3">
        <f>+IF(AVANCE[[#This Row],[PINTURA EXTERIOR]]=AO$2,100%,AVANCE[[#This Row],[PINTURA EXTERIOR]])</f>
        <v>1</v>
      </c>
      <c r="CC11" s="3">
        <f>+IF(AVANCE[[#This Row],[ZOCALOS LOGIA]]=AP$2,100%,AVANCE[[#This Row],[ZOCALOS LOGIA]])</f>
        <v>1</v>
      </c>
      <c r="CD11" s="3">
        <f>+IF(AVANCE[[#This Row],[MOLDURAS]]=AQ$2,100%,AVANCE[[#This Row],[MOLDURAS]])</f>
        <v>1</v>
      </c>
      <c r="CE11" s="3">
        <f>+IF(AVANCE[[#This Row],[PILASTREO]]=AR$2,100%,AVANCE[[#This Row],[PILASTREO]])</f>
        <v>1</v>
      </c>
      <c r="CF11" s="3">
        <f>+IF(AVANCE[[#This Row],[CELOSIAS]]=AS$2,100%,AVANCE[[#This Row],[CELOSIAS]])</f>
        <v>1</v>
      </c>
      <c r="CG11" s="3">
        <f>+IF(AVANCE[[#This Row],[VENTANAS]]=AT$2,100%,AVANCE[[#This Row],[VENTANAS]])</f>
        <v>1</v>
      </c>
      <c r="CH11" s="3">
        <f>+IF(AVANCE[[#This Row],[PUERTAS ACCESO - LOGIA - BANO]]=AU$2,100%,AVANCE[[#This Row],[PUERTAS ACCESO - LOGIA - BANO]])</f>
        <v>1</v>
      </c>
      <c r="CI11" s="3">
        <f>+IF(AVANCE[[#This Row],[CERRADURAS]]=AV$2,100%,AVANCE[[#This Row],[CERRADURAS]])</f>
        <v>1</v>
      </c>
      <c r="CJ11" s="3">
        <f>+IF(AVANCE[[#This Row],[REVESTIMIENTO INTERIOR ZONA SECA]]=AW$2,100%,AVANCE[[#This Row],[REVESTIMIENTO INTERIOR ZONA SECA]])</f>
        <v>1</v>
      </c>
      <c r="CK11" s="3">
        <f>+IF(AVANCE[[#This Row],[REVESTIMIENTO INTERIOR ZONAS HUMEDAS]]=AX$2,100%,AVANCE[[#This Row],[REVESTIMIENTO INTERIOR ZONAS HUMEDAS]])</f>
        <v>1</v>
      </c>
      <c r="CL11" s="3">
        <f>+IF(AVANCE[[#This Row],[MEMBRANA CIELO]]=AY$2,100%,AVANCE[[#This Row],[MEMBRANA CIELO]])</f>
        <v>1</v>
      </c>
      <c r="CM11" s="3">
        <f>+IF(AVANCE[[#This Row],[LIMPIEZA FINAL]]=AZ$2,100%,AVANCE[[#This Row],[LIMPIEZA FINAL]])</f>
        <v>1</v>
      </c>
      <c r="CN11" s="3">
        <f>+IF(AVANCE[[#This Row],[PUERTAS DORMITORIO]]=BA$2,100%,AVANCE[[#This Row],[PUERTAS DORMITORIO]])</f>
        <v>1</v>
      </c>
      <c r="CO11" s="3">
        <f>+IF(AVANCE[[#This Row],[REVESTIMIENTO INTERIOR BANO]]=BB$2,100%,AVANCE[[#This Row],[REVESTIMIENTO INTERIOR BANO]])</f>
        <v>1</v>
      </c>
      <c r="CP11" s="3">
        <f>+IF(AVANCE[[#This Row],[MUEBLE LAVAPLATOS]]=BC$2,100%,AVANCE[[#This Row],[MUEBLE LAVAPLATOS]])</f>
        <v>1</v>
      </c>
      <c r="CQ11" s="3">
        <f>+IF(AVANCE[[#This Row],[IMPERMEABILIZACION BANO - COCINA LOGIA]]=BD$2,100%,AVANCE[[#This Row],[IMPERMEABILIZACION BANO - COCINA LOGIA]])</f>
        <v>1</v>
      </c>
      <c r="CR11" s="40">
        <f ca="1">+IF(AVANCE[[#This Row],[ESTADO MODULO]]="PENDIENTE",(TODAY()-AVANCE[[#This Row],[FECHA TERMINO  PLANIFICADO]]),0)</f>
        <v>0</v>
      </c>
      <c r="CS11" s="42" t="str" cm="1">
        <f t="array" ref="CS11">_xlfn.TEXTJOIN(" | ",TRUE,IF(SUMPRODUCT((BF11:CQ11&lt;1)*(PARTIDAS!$I$2:$AT$2="OBRA GRUESA"))&gt;0,"OBRA GRUESA: "&amp;_xlfn.TEXTJOIN(", ",TRUE,IF((BF11:CQ11&lt;1)*(PARTIDAS!$I$2:$AT$2="OBRA GRUESA"),PARTIDAS!$I$1:$AT$1,"")),""),IF(SUMPRODUCT((BF11:CQ11&lt;1)*(PARTIDAS!$I$2:$AT$2="SANITARIOS"))&gt;0,"SANITARIOS: "&amp;_xlfn.TEXTJOIN(", ",TRUE,IF((BF11:CQ11&lt;1)*(PARTIDAS!$I$2:$AT$2="SANITARIOS"),PARTIDAS!$I$1:$AT$1,"")),""),IF(SUMPRODUCT((BF11:CQ11&lt;1)*(PARTIDAS!$I$2:$AT$2="ELÉCTRICO"))&gt;0,"ELÉCTRICO: "&amp;_xlfn.TEXTJOIN(", ",TRUE,IF((BF11:CQ11&lt;1)*(PARTIDAS!$I$2:$AT$2="ELÉCTRICO"),PARTIDAS!$I$1:$AT$1,"")),""),IF(SUMPRODUCT((BF11:CQ11&lt;1)*(PARTIDAS!$I$2:$AT$2="TERMINACIONES"))&gt;0,"TERMINACIONES: "&amp;_xlfn.TEXTJOIN(", ",TRUE,IF((BF11:CQ11&lt;1)*(PARTIDAS!$I$2:$AT$2="TERMINACIONES"),PARTIDAS!$I$1:$AT$1,"")),""))</f>
        <v/>
      </c>
      <c r="CT11" s="45" t="str" cm="1">
        <f t="array" ref="CT11">_xlfn.TEXTJOIN(", ",TRUE,IF(SUMPRODUCT((BF11:CQ11&lt;1)*(PARTIDAS!$I$2:$AT$2="OBRA GRUESA"))&gt;0,"OBRA GRUESA",""),IF(SUMPRODUCT((BF11:CQ11&lt;1)*(PARTIDAS!$I$2:$AT$2="SANITARIOS"))&gt;0,"SANITARIOS",""),IF(SUMPRODUCT((BF11:CQ11&lt;1)*(PARTIDAS!$I$2:$AT$2="ELÉCTRICO"))&gt;0,"ELÉCTRICO",""),IF(SUMPRODUCT((BF11:CQ11&lt;1)*(PARTIDAS!$I$2:$AT$2="TERMINACIONES"))&gt;0,"TERMINACIONES",""))</f>
        <v/>
      </c>
      <c r="CU11" s="46" cm="1">
        <f t="array" ref="CU11">SUMPRODUCT(--(BF11:CQ11&lt;1))</f>
        <v>0</v>
      </c>
    </row>
    <row r="12" spans="1:99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 s="3" t="str">
        <f>+IF(AVANCE[[#This Row],[% AVANCE]]=100%,"MODULO TERMINADO",IF(AVANCE[[#This Row],[FECHA INICIO REAL]]="","MODULO NO INICIADO","PENDIENTE"))</f>
        <v>MODULO TERMINADO</v>
      </c>
      <c r="BF12" s="3">
        <f>+IF(AVANCE[[#This Row],[VENTANAS]]=8.10810810810811%,100%,AVANCE[[#This Row],[VENTANAS]])</f>
        <v>1</v>
      </c>
      <c r="BG12" s="3">
        <f>+IF(AVANCE[[#This Row],[PISO]]=N$2,100%,AVANCE[[#This Row],[PISO]])</f>
        <v>1</v>
      </c>
      <c r="BH12" s="3">
        <f>+IF(AVANCE[[#This Row],[TABIQUES]]=O$2,100%,AVANCE[[#This Row],[TABIQUES]])</f>
        <v>1</v>
      </c>
      <c r="BI12" s="3">
        <f>+IF(AVANCE[[#This Row],[MUROS]]=P$2,100%,AVANCE[[#This Row],[MUROS]])</f>
        <v>1</v>
      </c>
      <c r="BJ12" s="3">
        <f>+IF(AVANCE[[#This Row],[CIELO]]=Q$2,100%,AVANCE[[#This Row],[CIELO]])</f>
        <v>1</v>
      </c>
      <c r="BK12" s="3">
        <f>+IF(AVANCE[[#This Row],[BALCÓN]]=R$2,100%,AVANCE[[#This Row],[BALCÓN]])</f>
        <v>1</v>
      </c>
      <c r="BL12" s="3">
        <f>+IF(AVANCE[[#This Row],[RED ALCANTARILLADO]]=U$2,100%,AVANCE[[#This Row],[RED ALCANTARILLADO]])</f>
        <v>1</v>
      </c>
      <c r="BM12" s="3">
        <f>+IF(AVANCE[[#This Row],[RED DE AGUA]]=V$2,100%,AVANCE[[#This Row],[RED DE AGUA]])</f>
        <v>1</v>
      </c>
      <c r="BN12" s="3">
        <f>+IF(AVANCE[[#This Row],[VENTILACIONES]]=W$2,100%,AVANCE[[#This Row],[VENTILACIONES]])</f>
        <v>1</v>
      </c>
      <c r="BO12" s="3">
        <f>+IF(AVANCE[[#This Row],[TINA]]=X$2,100%,AVANCE[[#This Row],[TINA]])</f>
        <v>1</v>
      </c>
      <c r="BP12" s="3">
        <f>+IF(AVANCE[[#This Row],[WC]]=Y$2,100%,AVANCE[[#This Row],[WC]])</f>
        <v>1</v>
      </c>
      <c r="BQ12" s="3">
        <f>+IF(AVANCE[[#This Row],[LAVAMANOS / LAVAPLATOS / LAVADERO]]=Z$2,100%,AVANCE[[#This Row],[LAVAMANOS / LAVAPLATOS / LAVADERO]])</f>
        <v>1</v>
      </c>
      <c r="BR12" s="3">
        <f>+IF(AVANCE[[#This Row],[CANALIZACIÓN]]=AC$2,100%,AVANCE[[#This Row],[CANALIZACIÓN]])</f>
        <v>1</v>
      </c>
      <c r="BS12" s="3">
        <f>+IF(AVANCE[[#This Row],[CABLEADO]]=AD$2,100%,AVANCE[[#This Row],[CABLEADO]])</f>
        <v>1</v>
      </c>
      <c r="BT12" s="3">
        <f>+IF(AVANCE[[#This Row],[ARTEFACTOS]]=AE$2,100%,AVANCE[[#This Row],[ARTEFACTOS]])</f>
        <v>1</v>
      </c>
      <c r="BU12" s="3">
        <f>+IF(AVANCE[[#This Row],[TABLERO]]=AF$2,100%,AVANCE[[#This Row],[TABLERO]])</f>
        <v>1</v>
      </c>
      <c r="BV12" s="3">
        <f>+IF(AVANCE[[#This Row],[CAJA PAU]]=AG$2,100%,AVANCE[[#This Row],[CAJA PAU]])</f>
        <v>1</v>
      </c>
      <c r="BW12" s="3">
        <f>+IF(AVANCE[[#This Row],[INSTALACION VINILICO]]=AJ$2,100%,AVANCE[[#This Row],[INSTALACION VINILICO]])</f>
        <v>1</v>
      </c>
      <c r="BX12" s="3">
        <f>+IF(AVANCE[[#This Row],[OSB CUBIERTA]]=AK$2,100%,AVANCE[[#This Row],[OSB CUBIERTA]])</f>
        <v>1</v>
      </c>
      <c r="BY12" s="3">
        <f>+IF(AVANCE[[#This Row],[BARANDA BALCON]]=AL$2,100%,AVANCE[[#This Row],[BARANDA BALCON]])</f>
        <v>1</v>
      </c>
      <c r="BZ12" s="3">
        <f>+IF(AVANCE[[#This Row],[OSB EXTERIOR]]=AM$2,100%,AVANCE[[#This Row],[OSB EXTERIOR]])</f>
        <v>1</v>
      </c>
      <c r="CA12" s="3">
        <f>+IF(AVANCE[[#This Row],[SMART PANEL]]=AN$2,100%,AVANCE[[#This Row],[SMART PANEL]])</f>
        <v>1</v>
      </c>
      <c r="CB12" s="3">
        <f>+IF(AVANCE[[#This Row],[PINTURA EXTERIOR]]=AO$2,100%,AVANCE[[#This Row],[PINTURA EXTERIOR]])</f>
        <v>1</v>
      </c>
      <c r="CC12" s="3">
        <f>+IF(AVANCE[[#This Row],[ZOCALOS LOGIA]]=AP$2,100%,AVANCE[[#This Row],[ZOCALOS LOGIA]])</f>
        <v>1</v>
      </c>
      <c r="CD12" s="3">
        <f>+IF(AVANCE[[#This Row],[MOLDURAS]]=AQ$2,100%,AVANCE[[#This Row],[MOLDURAS]])</f>
        <v>1</v>
      </c>
      <c r="CE12" s="3">
        <f>+IF(AVANCE[[#This Row],[PILASTREO]]=AR$2,100%,AVANCE[[#This Row],[PILASTREO]])</f>
        <v>1</v>
      </c>
      <c r="CF12" s="3">
        <f>+IF(AVANCE[[#This Row],[CELOSIAS]]=AS$2,100%,AVANCE[[#This Row],[CELOSIAS]])</f>
        <v>1</v>
      </c>
      <c r="CG12" s="3">
        <f>+IF(AVANCE[[#This Row],[VENTANAS]]=AT$2,100%,AVANCE[[#This Row],[VENTANAS]])</f>
        <v>1</v>
      </c>
      <c r="CH12" s="3">
        <f>+IF(AVANCE[[#This Row],[PUERTAS ACCESO - LOGIA - BANO]]=AU$2,100%,AVANCE[[#This Row],[PUERTAS ACCESO - LOGIA - BANO]])</f>
        <v>1</v>
      </c>
      <c r="CI12" s="3">
        <f>+IF(AVANCE[[#This Row],[CERRADURAS]]=AV$2,100%,AVANCE[[#This Row],[CERRADURAS]])</f>
        <v>1</v>
      </c>
      <c r="CJ12" s="3">
        <f>+IF(AVANCE[[#This Row],[REVESTIMIENTO INTERIOR ZONA SECA]]=AW$2,100%,AVANCE[[#This Row],[REVESTIMIENTO INTERIOR ZONA SECA]])</f>
        <v>1</v>
      </c>
      <c r="CK12" s="3">
        <f>+IF(AVANCE[[#This Row],[REVESTIMIENTO INTERIOR ZONAS HUMEDAS]]=AX$2,100%,AVANCE[[#This Row],[REVESTIMIENTO INTERIOR ZONAS HUMEDAS]])</f>
        <v>1</v>
      </c>
      <c r="CL12" s="3">
        <f>+IF(AVANCE[[#This Row],[MEMBRANA CIELO]]=AY$2,100%,AVANCE[[#This Row],[MEMBRANA CIELO]])</f>
        <v>1</v>
      </c>
      <c r="CM12" s="3">
        <f>+IF(AVANCE[[#This Row],[LIMPIEZA FINAL]]=AZ$2,100%,AVANCE[[#This Row],[LIMPIEZA FINAL]])</f>
        <v>1</v>
      </c>
      <c r="CN12" s="3">
        <f>+IF(AVANCE[[#This Row],[PUERTAS DORMITORIO]]=BA$2,100%,AVANCE[[#This Row],[PUERTAS DORMITORIO]])</f>
        <v>1</v>
      </c>
      <c r="CO12" s="3">
        <f>+IF(AVANCE[[#This Row],[REVESTIMIENTO INTERIOR BANO]]=BB$2,100%,AVANCE[[#This Row],[REVESTIMIENTO INTERIOR BANO]])</f>
        <v>1</v>
      </c>
      <c r="CP12" s="3">
        <f>+IF(AVANCE[[#This Row],[MUEBLE LAVAPLATOS]]=BC$2,100%,AVANCE[[#This Row],[MUEBLE LAVAPLATOS]])</f>
        <v>1</v>
      </c>
      <c r="CQ12" s="3">
        <f>+IF(AVANCE[[#This Row],[IMPERMEABILIZACION BANO - COCINA LOGIA]]=BD$2,100%,AVANCE[[#This Row],[IMPERMEABILIZACION BANO - COCINA LOGIA]])</f>
        <v>1</v>
      </c>
      <c r="CR12" s="40">
        <f ca="1">+IF(AVANCE[[#This Row],[ESTADO MODULO]]="PENDIENTE",(TODAY()-AVANCE[[#This Row],[FECHA TERMINO  PLANIFICADO]]),0)</f>
        <v>0</v>
      </c>
      <c r="CS12" s="42" t="str" cm="1">
        <f t="array" ref="CS12">_xlfn.TEXTJOIN(" | ",TRUE,IF(SUMPRODUCT((BF12:CQ12&lt;1)*(PARTIDAS!$I$2:$AT$2="OBRA GRUESA"))&gt;0,"OBRA GRUESA: "&amp;_xlfn.TEXTJOIN(", ",TRUE,IF((BF12:CQ12&lt;1)*(PARTIDAS!$I$2:$AT$2="OBRA GRUESA"),PARTIDAS!$I$1:$AT$1,"")),""),IF(SUMPRODUCT((BF12:CQ12&lt;1)*(PARTIDAS!$I$2:$AT$2="SANITARIOS"))&gt;0,"SANITARIOS: "&amp;_xlfn.TEXTJOIN(", ",TRUE,IF((BF12:CQ12&lt;1)*(PARTIDAS!$I$2:$AT$2="SANITARIOS"),PARTIDAS!$I$1:$AT$1,"")),""),IF(SUMPRODUCT((BF12:CQ12&lt;1)*(PARTIDAS!$I$2:$AT$2="ELÉCTRICO"))&gt;0,"ELÉCTRICO: "&amp;_xlfn.TEXTJOIN(", ",TRUE,IF((BF12:CQ12&lt;1)*(PARTIDAS!$I$2:$AT$2="ELÉCTRICO"),PARTIDAS!$I$1:$AT$1,"")),""),IF(SUMPRODUCT((BF12:CQ12&lt;1)*(PARTIDAS!$I$2:$AT$2="TERMINACIONES"))&gt;0,"TERMINACIONES: "&amp;_xlfn.TEXTJOIN(", ",TRUE,IF((BF12:CQ12&lt;1)*(PARTIDAS!$I$2:$AT$2="TERMINACIONES"),PARTIDAS!$I$1:$AT$1,"")),""))</f>
        <v/>
      </c>
      <c r="CT12" s="45" t="str" cm="1">
        <f t="array" ref="CT12">_xlfn.TEXTJOIN(", ",TRUE,IF(SUMPRODUCT((BF12:CQ12&lt;1)*(PARTIDAS!$I$2:$AT$2="OBRA GRUESA"))&gt;0,"OBRA GRUESA",""),IF(SUMPRODUCT((BF12:CQ12&lt;1)*(PARTIDAS!$I$2:$AT$2="SANITARIOS"))&gt;0,"SANITARIOS",""),IF(SUMPRODUCT((BF12:CQ12&lt;1)*(PARTIDAS!$I$2:$AT$2="ELÉCTRICO"))&gt;0,"ELÉCTRICO",""),IF(SUMPRODUCT((BF12:CQ12&lt;1)*(PARTIDAS!$I$2:$AT$2="TERMINACIONES"))&gt;0,"TERMINACIONES",""))</f>
        <v/>
      </c>
      <c r="CU12" s="46" cm="1">
        <f t="array" ref="CU12">SUMPRODUCT(--(BF12:CQ12&lt;1))</f>
        <v>0</v>
      </c>
    </row>
    <row r="13" spans="1:99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 s="3" t="str">
        <f>+IF(AVANCE[[#This Row],[% AVANCE]]=100%,"MODULO TERMINADO",IF(AVANCE[[#This Row],[FECHA INICIO REAL]]="","MODULO NO INICIADO","PENDIENTE"))</f>
        <v>MODULO TERMINADO</v>
      </c>
      <c r="BF13" s="3">
        <f>+IF(AVANCE[[#This Row],[VENTANAS]]=8.10810810810811%,100%,AVANCE[[#This Row],[VENTANAS]])</f>
        <v>1</v>
      </c>
      <c r="BG13" s="3">
        <f>+IF(AVANCE[[#This Row],[PISO]]=N$2,100%,AVANCE[[#This Row],[PISO]])</f>
        <v>1</v>
      </c>
      <c r="BH13" s="3">
        <f>+IF(AVANCE[[#This Row],[TABIQUES]]=O$2,100%,AVANCE[[#This Row],[TABIQUES]])</f>
        <v>1</v>
      </c>
      <c r="BI13" s="3">
        <f>+IF(AVANCE[[#This Row],[MUROS]]=P$2,100%,AVANCE[[#This Row],[MUROS]])</f>
        <v>1</v>
      </c>
      <c r="BJ13" s="3">
        <f>+IF(AVANCE[[#This Row],[CIELO]]=Q$2,100%,AVANCE[[#This Row],[CIELO]])</f>
        <v>1</v>
      </c>
      <c r="BK13" s="3">
        <f>+IF(AVANCE[[#This Row],[BALCÓN]]=R$2,100%,AVANCE[[#This Row],[BALCÓN]])</f>
        <v>1</v>
      </c>
      <c r="BL13" s="3">
        <f>+IF(AVANCE[[#This Row],[RED ALCANTARILLADO]]=U$2,100%,AVANCE[[#This Row],[RED ALCANTARILLADO]])</f>
        <v>1</v>
      </c>
      <c r="BM13" s="3">
        <f>+IF(AVANCE[[#This Row],[RED DE AGUA]]=V$2,100%,AVANCE[[#This Row],[RED DE AGUA]])</f>
        <v>1</v>
      </c>
      <c r="BN13" s="3">
        <f>+IF(AVANCE[[#This Row],[VENTILACIONES]]=W$2,100%,AVANCE[[#This Row],[VENTILACIONES]])</f>
        <v>1</v>
      </c>
      <c r="BO13" s="3">
        <f>+IF(AVANCE[[#This Row],[TINA]]=X$2,100%,AVANCE[[#This Row],[TINA]])</f>
        <v>1</v>
      </c>
      <c r="BP13" s="3">
        <f>+IF(AVANCE[[#This Row],[WC]]=Y$2,100%,AVANCE[[#This Row],[WC]])</f>
        <v>1</v>
      </c>
      <c r="BQ13" s="3">
        <f>+IF(AVANCE[[#This Row],[LAVAMANOS / LAVAPLATOS / LAVADERO]]=Z$2,100%,AVANCE[[#This Row],[LAVAMANOS / LAVAPLATOS / LAVADERO]])</f>
        <v>1</v>
      </c>
      <c r="BR13" s="3">
        <f>+IF(AVANCE[[#This Row],[CANALIZACIÓN]]=AC$2,100%,AVANCE[[#This Row],[CANALIZACIÓN]])</f>
        <v>1</v>
      </c>
      <c r="BS13" s="3">
        <f>+IF(AVANCE[[#This Row],[CABLEADO]]=AD$2,100%,AVANCE[[#This Row],[CABLEADO]])</f>
        <v>1</v>
      </c>
      <c r="BT13" s="3">
        <f>+IF(AVANCE[[#This Row],[ARTEFACTOS]]=AE$2,100%,AVANCE[[#This Row],[ARTEFACTOS]])</f>
        <v>1</v>
      </c>
      <c r="BU13" s="3">
        <f>+IF(AVANCE[[#This Row],[TABLERO]]=AF$2,100%,AVANCE[[#This Row],[TABLERO]])</f>
        <v>1</v>
      </c>
      <c r="BV13" s="3">
        <f>+IF(AVANCE[[#This Row],[CAJA PAU]]=AG$2,100%,AVANCE[[#This Row],[CAJA PAU]])</f>
        <v>1</v>
      </c>
      <c r="BW13" s="3">
        <f>+IF(AVANCE[[#This Row],[INSTALACION VINILICO]]=AJ$2,100%,AVANCE[[#This Row],[INSTALACION VINILICO]])</f>
        <v>1</v>
      </c>
      <c r="BX13" s="3">
        <f>+IF(AVANCE[[#This Row],[OSB CUBIERTA]]=AK$2,100%,AVANCE[[#This Row],[OSB CUBIERTA]])</f>
        <v>1</v>
      </c>
      <c r="BY13" s="3">
        <f>+IF(AVANCE[[#This Row],[BARANDA BALCON]]=AL$2,100%,AVANCE[[#This Row],[BARANDA BALCON]])</f>
        <v>1</v>
      </c>
      <c r="BZ13" s="3">
        <f>+IF(AVANCE[[#This Row],[OSB EXTERIOR]]=AM$2,100%,AVANCE[[#This Row],[OSB EXTERIOR]])</f>
        <v>1</v>
      </c>
      <c r="CA13" s="3">
        <f>+IF(AVANCE[[#This Row],[SMART PANEL]]=AN$2,100%,AVANCE[[#This Row],[SMART PANEL]])</f>
        <v>1</v>
      </c>
      <c r="CB13" s="3">
        <f>+IF(AVANCE[[#This Row],[PINTURA EXTERIOR]]=AO$2,100%,AVANCE[[#This Row],[PINTURA EXTERIOR]])</f>
        <v>1</v>
      </c>
      <c r="CC13" s="3">
        <f>+IF(AVANCE[[#This Row],[ZOCALOS LOGIA]]=AP$2,100%,AVANCE[[#This Row],[ZOCALOS LOGIA]])</f>
        <v>1</v>
      </c>
      <c r="CD13" s="3">
        <f>+IF(AVANCE[[#This Row],[MOLDURAS]]=AQ$2,100%,AVANCE[[#This Row],[MOLDURAS]])</f>
        <v>1</v>
      </c>
      <c r="CE13" s="3">
        <f>+IF(AVANCE[[#This Row],[PILASTREO]]=AR$2,100%,AVANCE[[#This Row],[PILASTREO]])</f>
        <v>1</v>
      </c>
      <c r="CF13" s="3">
        <f>+IF(AVANCE[[#This Row],[CELOSIAS]]=AS$2,100%,AVANCE[[#This Row],[CELOSIAS]])</f>
        <v>1</v>
      </c>
      <c r="CG13" s="3">
        <f>+IF(AVANCE[[#This Row],[VENTANAS]]=AT$2,100%,AVANCE[[#This Row],[VENTANAS]])</f>
        <v>1</v>
      </c>
      <c r="CH13" s="3">
        <f>+IF(AVANCE[[#This Row],[PUERTAS ACCESO - LOGIA - BANO]]=AU$2,100%,AVANCE[[#This Row],[PUERTAS ACCESO - LOGIA - BANO]])</f>
        <v>1</v>
      </c>
      <c r="CI13" s="3">
        <f>+IF(AVANCE[[#This Row],[CERRADURAS]]=AV$2,100%,AVANCE[[#This Row],[CERRADURAS]])</f>
        <v>1</v>
      </c>
      <c r="CJ13" s="3">
        <f>+IF(AVANCE[[#This Row],[REVESTIMIENTO INTERIOR ZONA SECA]]=AW$2,100%,AVANCE[[#This Row],[REVESTIMIENTO INTERIOR ZONA SECA]])</f>
        <v>1</v>
      </c>
      <c r="CK13" s="3">
        <f>+IF(AVANCE[[#This Row],[REVESTIMIENTO INTERIOR ZONAS HUMEDAS]]=AX$2,100%,AVANCE[[#This Row],[REVESTIMIENTO INTERIOR ZONAS HUMEDAS]])</f>
        <v>1</v>
      </c>
      <c r="CL13" s="3">
        <f>+IF(AVANCE[[#This Row],[MEMBRANA CIELO]]=AY$2,100%,AVANCE[[#This Row],[MEMBRANA CIELO]])</f>
        <v>1</v>
      </c>
      <c r="CM13" s="3">
        <f>+IF(AVANCE[[#This Row],[LIMPIEZA FINAL]]=AZ$2,100%,AVANCE[[#This Row],[LIMPIEZA FINAL]])</f>
        <v>1</v>
      </c>
      <c r="CN13" s="3">
        <f>+IF(AVANCE[[#This Row],[PUERTAS DORMITORIO]]=BA$2,100%,AVANCE[[#This Row],[PUERTAS DORMITORIO]])</f>
        <v>1</v>
      </c>
      <c r="CO13" s="3">
        <f>+IF(AVANCE[[#This Row],[REVESTIMIENTO INTERIOR BANO]]=BB$2,100%,AVANCE[[#This Row],[REVESTIMIENTO INTERIOR BANO]])</f>
        <v>1</v>
      </c>
      <c r="CP13" s="3">
        <f>+IF(AVANCE[[#This Row],[MUEBLE LAVAPLATOS]]=BC$2,100%,AVANCE[[#This Row],[MUEBLE LAVAPLATOS]])</f>
        <v>1</v>
      </c>
      <c r="CQ13" s="3">
        <f>+IF(AVANCE[[#This Row],[IMPERMEABILIZACION BANO - COCINA LOGIA]]=BD$2,100%,AVANCE[[#This Row],[IMPERMEABILIZACION BANO - COCINA LOGIA]])</f>
        <v>1</v>
      </c>
      <c r="CR13" s="40">
        <f ca="1">+IF(AVANCE[[#This Row],[ESTADO MODULO]]="PENDIENTE",(TODAY()-AVANCE[[#This Row],[FECHA TERMINO  PLANIFICADO]]),0)</f>
        <v>0</v>
      </c>
      <c r="CS13" s="42" t="str" cm="1">
        <f t="array" ref="CS13">_xlfn.TEXTJOIN(" | ",TRUE,IF(SUMPRODUCT((BF13:CQ13&lt;1)*(PARTIDAS!$I$2:$AT$2="OBRA GRUESA"))&gt;0,"OBRA GRUESA: "&amp;_xlfn.TEXTJOIN(", ",TRUE,IF((BF13:CQ13&lt;1)*(PARTIDAS!$I$2:$AT$2="OBRA GRUESA"),PARTIDAS!$I$1:$AT$1,"")),""),IF(SUMPRODUCT((BF13:CQ13&lt;1)*(PARTIDAS!$I$2:$AT$2="SANITARIOS"))&gt;0,"SANITARIOS: "&amp;_xlfn.TEXTJOIN(", ",TRUE,IF((BF13:CQ13&lt;1)*(PARTIDAS!$I$2:$AT$2="SANITARIOS"),PARTIDAS!$I$1:$AT$1,"")),""),IF(SUMPRODUCT((BF13:CQ13&lt;1)*(PARTIDAS!$I$2:$AT$2="ELÉCTRICO"))&gt;0,"ELÉCTRICO: "&amp;_xlfn.TEXTJOIN(", ",TRUE,IF((BF13:CQ13&lt;1)*(PARTIDAS!$I$2:$AT$2="ELÉCTRICO"),PARTIDAS!$I$1:$AT$1,"")),""),IF(SUMPRODUCT((BF13:CQ13&lt;1)*(PARTIDAS!$I$2:$AT$2="TERMINACIONES"))&gt;0,"TERMINACIONES: "&amp;_xlfn.TEXTJOIN(", ",TRUE,IF((BF13:CQ13&lt;1)*(PARTIDAS!$I$2:$AT$2="TERMINACIONES"),PARTIDAS!$I$1:$AT$1,"")),""))</f>
        <v/>
      </c>
      <c r="CT13" s="45" t="str" cm="1">
        <f t="array" ref="CT13">_xlfn.TEXTJOIN(", ",TRUE,IF(SUMPRODUCT((BF13:CQ13&lt;1)*(PARTIDAS!$I$2:$AT$2="OBRA GRUESA"))&gt;0,"OBRA GRUESA",""),IF(SUMPRODUCT((BF13:CQ13&lt;1)*(PARTIDAS!$I$2:$AT$2="SANITARIOS"))&gt;0,"SANITARIOS",""),IF(SUMPRODUCT((BF13:CQ13&lt;1)*(PARTIDAS!$I$2:$AT$2="ELÉCTRICO"))&gt;0,"ELÉCTRICO",""),IF(SUMPRODUCT((BF13:CQ13&lt;1)*(PARTIDAS!$I$2:$AT$2="TERMINACIONES"))&gt;0,"TERMINACIONES",""))</f>
        <v/>
      </c>
      <c r="CU13" s="46" cm="1">
        <f t="array" ref="CU13">SUMPRODUCT(--(BF13:CQ13&lt;1))</f>
        <v>0</v>
      </c>
    </row>
    <row r="14" spans="1:99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 s="3" t="str">
        <f>+IF(AVANCE[[#This Row],[% AVANCE]]=100%,"MODULO TERMINADO",IF(AVANCE[[#This Row],[FECHA INICIO REAL]]="","MODULO NO INICIADO","PENDIENTE"))</f>
        <v>MODULO TERMINADO</v>
      </c>
      <c r="BF14" s="3">
        <f>+IF(AVANCE[[#This Row],[VENTANAS]]=8.10810810810811%,100%,AVANCE[[#This Row],[VENTANAS]])</f>
        <v>1</v>
      </c>
      <c r="BG14" s="3">
        <f>+IF(AVANCE[[#This Row],[PISO]]=N$2,100%,AVANCE[[#This Row],[PISO]])</f>
        <v>1</v>
      </c>
      <c r="BH14" s="3">
        <f>+IF(AVANCE[[#This Row],[TABIQUES]]=O$2,100%,AVANCE[[#This Row],[TABIQUES]])</f>
        <v>1</v>
      </c>
      <c r="BI14" s="3">
        <f>+IF(AVANCE[[#This Row],[MUROS]]=P$2,100%,AVANCE[[#This Row],[MUROS]])</f>
        <v>1</v>
      </c>
      <c r="BJ14" s="3">
        <f>+IF(AVANCE[[#This Row],[CIELO]]=Q$2,100%,AVANCE[[#This Row],[CIELO]])</f>
        <v>1</v>
      </c>
      <c r="BK14" s="3">
        <f>+IF(AVANCE[[#This Row],[BALCÓN]]=R$2,100%,AVANCE[[#This Row],[BALCÓN]])</f>
        <v>1</v>
      </c>
      <c r="BL14" s="3">
        <f>+IF(AVANCE[[#This Row],[RED ALCANTARILLADO]]=U$2,100%,AVANCE[[#This Row],[RED ALCANTARILLADO]])</f>
        <v>1</v>
      </c>
      <c r="BM14" s="3">
        <f>+IF(AVANCE[[#This Row],[RED DE AGUA]]=V$2,100%,AVANCE[[#This Row],[RED DE AGUA]])</f>
        <v>1</v>
      </c>
      <c r="BN14" s="3">
        <f>+IF(AVANCE[[#This Row],[VENTILACIONES]]=W$2,100%,AVANCE[[#This Row],[VENTILACIONES]])</f>
        <v>1</v>
      </c>
      <c r="BO14" s="3">
        <f>+IF(AVANCE[[#This Row],[TINA]]=X$2,100%,AVANCE[[#This Row],[TINA]])</f>
        <v>1</v>
      </c>
      <c r="BP14" s="3">
        <f>+IF(AVANCE[[#This Row],[WC]]=Y$2,100%,AVANCE[[#This Row],[WC]])</f>
        <v>1</v>
      </c>
      <c r="BQ14" s="3">
        <f>+IF(AVANCE[[#This Row],[LAVAMANOS / LAVAPLATOS / LAVADERO]]=Z$2,100%,AVANCE[[#This Row],[LAVAMANOS / LAVAPLATOS / LAVADERO]])</f>
        <v>1</v>
      </c>
      <c r="BR14" s="3">
        <f>+IF(AVANCE[[#This Row],[CANALIZACIÓN]]=AC$2,100%,AVANCE[[#This Row],[CANALIZACIÓN]])</f>
        <v>1</v>
      </c>
      <c r="BS14" s="3">
        <f>+IF(AVANCE[[#This Row],[CABLEADO]]=AD$2,100%,AVANCE[[#This Row],[CABLEADO]])</f>
        <v>1</v>
      </c>
      <c r="BT14" s="3">
        <f>+IF(AVANCE[[#This Row],[ARTEFACTOS]]=AE$2,100%,AVANCE[[#This Row],[ARTEFACTOS]])</f>
        <v>1</v>
      </c>
      <c r="BU14" s="3">
        <f>+IF(AVANCE[[#This Row],[TABLERO]]=AF$2,100%,AVANCE[[#This Row],[TABLERO]])</f>
        <v>1</v>
      </c>
      <c r="BV14" s="3">
        <f>+IF(AVANCE[[#This Row],[CAJA PAU]]=AG$2,100%,AVANCE[[#This Row],[CAJA PAU]])</f>
        <v>1</v>
      </c>
      <c r="BW14" s="3">
        <f>+IF(AVANCE[[#This Row],[INSTALACION VINILICO]]=AJ$2,100%,AVANCE[[#This Row],[INSTALACION VINILICO]])</f>
        <v>1</v>
      </c>
      <c r="BX14" s="3">
        <f>+IF(AVANCE[[#This Row],[OSB CUBIERTA]]=AK$2,100%,AVANCE[[#This Row],[OSB CUBIERTA]])</f>
        <v>1</v>
      </c>
      <c r="BY14" s="3">
        <f>+IF(AVANCE[[#This Row],[BARANDA BALCON]]=AL$2,100%,AVANCE[[#This Row],[BARANDA BALCON]])</f>
        <v>1</v>
      </c>
      <c r="BZ14" s="3">
        <f>+IF(AVANCE[[#This Row],[OSB EXTERIOR]]=AM$2,100%,AVANCE[[#This Row],[OSB EXTERIOR]])</f>
        <v>1</v>
      </c>
      <c r="CA14" s="3">
        <f>+IF(AVANCE[[#This Row],[SMART PANEL]]=AN$2,100%,AVANCE[[#This Row],[SMART PANEL]])</f>
        <v>1</v>
      </c>
      <c r="CB14" s="3">
        <f>+IF(AVANCE[[#This Row],[PINTURA EXTERIOR]]=AO$2,100%,AVANCE[[#This Row],[PINTURA EXTERIOR]])</f>
        <v>1</v>
      </c>
      <c r="CC14" s="3">
        <f>+IF(AVANCE[[#This Row],[ZOCALOS LOGIA]]=AP$2,100%,AVANCE[[#This Row],[ZOCALOS LOGIA]])</f>
        <v>1</v>
      </c>
      <c r="CD14" s="3">
        <f>+IF(AVANCE[[#This Row],[MOLDURAS]]=AQ$2,100%,AVANCE[[#This Row],[MOLDURAS]])</f>
        <v>1</v>
      </c>
      <c r="CE14" s="3">
        <f>+IF(AVANCE[[#This Row],[PILASTREO]]=AR$2,100%,AVANCE[[#This Row],[PILASTREO]])</f>
        <v>1</v>
      </c>
      <c r="CF14" s="3">
        <f>+IF(AVANCE[[#This Row],[CELOSIAS]]=AS$2,100%,AVANCE[[#This Row],[CELOSIAS]])</f>
        <v>1</v>
      </c>
      <c r="CG14" s="3">
        <f>+IF(AVANCE[[#This Row],[VENTANAS]]=AT$2,100%,AVANCE[[#This Row],[VENTANAS]])</f>
        <v>1</v>
      </c>
      <c r="CH14" s="3">
        <f>+IF(AVANCE[[#This Row],[PUERTAS ACCESO - LOGIA - BANO]]=AU$2,100%,AVANCE[[#This Row],[PUERTAS ACCESO - LOGIA - BANO]])</f>
        <v>1</v>
      </c>
      <c r="CI14" s="3">
        <f>+IF(AVANCE[[#This Row],[CERRADURAS]]=AV$2,100%,AVANCE[[#This Row],[CERRADURAS]])</f>
        <v>1</v>
      </c>
      <c r="CJ14" s="3">
        <f>+IF(AVANCE[[#This Row],[REVESTIMIENTO INTERIOR ZONA SECA]]=AW$2,100%,AVANCE[[#This Row],[REVESTIMIENTO INTERIOR ZONA SECA]])</f>
        <v>1</v>
      </c>
      <c r="CK14" s="3">
        <f>+IF(AVANCE[[#This Row],[REVESTIMIENTO INTERIOR ZONAS HUMEDAS]]=AX$2,100%,AVANCE[[#This Row],[REVESTIMIENTO INTERIOR ZONAS HUMEDAS]])</f>
        <v>1</v>
      </c>
      <c r="CL14" s="3">
        <f>+IF(AVANCE[[#This Row],[MEMBRANA CIELO]]=AY$2,100%,AVANCE[[#This Row],[MEMBRANA CIELO]])</f>
        <v>1</v>
      </c>
      <c r="CM14" s="3">
        <f>+IF(AVANCE[[#This Row],[LIMPIEZA FINAL]]=AZ$2,100%,AVANCE[[#This Row],[LIMPIEZA FINAL]])</f>
        <v>1</v>
      </c>
      <c r="CN14" s="3">
        <f>+IF(AVANCE[[#This Row],[PUERTAS DORMITORIO]]=BA$2,100%,AVANCE[[#This Row],[PUERTAS DORMITORIO]])</f>
        <v>1</v>
      </c>
      <c r="CO14" s="3">
        <f>+IF(AVANCE[[#This Row],[REVESTIMIENTO INTERIOR BANO]]=BB$2,100%,AVANCE[[#This Row],[REVESTIMIENTO INTERIOR BANO]])</f>
        <v>1</v>
      </c>
      <c r="CP14" s="3">
        <f>+IF(AVANCE[[#This Row],[MUEBLE LAVAPLATOS]]=BC$2,100%,AVANCE[[#This Row],[MUEBLE LAVAPLATOS]])</f>
        <v>1</v>
      </c>
      <c r="CQ14" s="3">
        <f>+IF(AVANCE[[#This Row],[IMPERMEABILIZACION BANO - COCINA LOGIA]]=BD$2,100%,AVANCE[[#This Row],[IMPERMEABILIZACION BANO - COCINA LOGIA]])</f>
        <v>1</v>
      </c>
      <c r="CR14" s="40">
        <f ca="1">+IF(AVANCE[[#This Row],[ESTADO MODULO]]="PENDIENTE",(TODAY()-AVANCE[[#This Row],[FECHA TERMINO  PLANIFICADO]]),0)</f>
        <v>0</v>
      </c>
      <c r="CS14" s="42" t="str" cm="1">
        <f t="array" ref="CS14">_xlfn.TEXTJOIN(" | ",TRUE,IF(SUMPRODUCT((BF14:CQ14&lt;1)*(PARTIDAS!$I$2:$AT$2="OBRA GRUESA"))&gt;0,"OBRA GRUESA: "&amp;_xlfn.TEXTJOIN(", ",TRUE,IF((BF14:CQ14&lt;1)*(PARTIDAS!$I$2:$AT$2="OBRA GRUESA"),PARTIDAS!$I$1:$AT$1,"")),""),IF(SUMPRODUCT((BF14:CQ14&lt;1)*(PARTIDAS!$I$2:$AT$2="SANITARIOS"))&gt;0,"SANITARIOS: "&amp;_xlfn.TEXTJOIN(", ",TRUE,IF((BF14:CQ14&lt;1)*(PARTIDAS!$I$2:$AT$2="SANITARIOS"),PARTIDAS!$I$1:$AT$1,"")),""),IF(SUMPRODUCT((BF14:CQ14&lt;1)*(PARTIDAS!$I$2:$AT$2="ELÉCTRICO"))&gt;0,"ELÉCTRICO: "&amp;_xlfn.TEXTJOIN(", ",TRUE,IF((BF14:CQ14&lt;1)*(PARTIDAS!$I$2:$AT$2="ELÉCTRICO"),PARTIDAS!$I$1:$AT$1,"")),""),IF(SUMPRODUCT((BF14:CQ14&lt;1)*(PARTIDAS!$I$2:$AT$2="TERMINACIONES"))&gt;0,"TERMINACIONES: "&amp;_xlfn.TEXTJOIN(", ",TRUE,IF((BF14:CQ14&lt;1)*(PARTIDAS!$I$2:$AT$2="TERMINACIONES"),PARTIDAS!$I$1:$AT$1,"")),""))</f>
        <v/>
      </c>
      <c r="CT14" s="45" t="str" cm="1">
        <f t="array" ref="CT14">_xlfn.TEXTJOIN(", ",TRUE,IF(SUMPRODUCT((BF14:CQ14&lt;1)*(PARTIDAS!$I$2:$AT$2="OBRA GRUESA"))&gt;0,"OBRA GRUESA",""),IF(SUMPRODUCT((BF14:CQ14&lt;1)*(PARTIDAS!$I$2:$AT$2="SANITARIOS"))&gt;0,"SANITARIOS",""),IF(SUMPRODUCT((BF14:CQ14&lt;1)*(PARTIDAS!$I$2:$AT$2="ELÉCTRICO"))&gt;0,"ELÉCTRICO",""),IF(SUMPRODUCT((BF14:CQ14&lt;1)*(PARTIDAS!$I$2:$AT$2="TERMINACIONES"))&gt;0,"TERMINACIONES",""))</f>
        <v/>
      </c>
      <c r="CU14" s="46" cm="1">
        <f t="array" ref="CU14">SUMPRODUCT(--(BF14:CQ14&lt;1))</f>
        <v>0</v>
      </c>
    </row>
    <row r="15" spans="1:99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 s="3" t="str">
        <f>+IF(AVANCE[[#This Row],[% AVANCE]]=100%,"MODULO TERMINADO",IF(AVANCE[[#This Row],[FECHA INICIO REAL]]="","MODULO NO INICIADO","PENDIENTE"))</f>
        <v>MODULO TERMINADO</v>
      </c>
      <c r="BF15" s="3">
        <f>+IF(AVANCE[[#This Row],[VENTANAS]]=8.10810810810811%,100%,AVANCE[[#This Row],[VENTANAS]])</f>
        <v>1</v>
      </c>
      <c r="BG15" s="3">
        <f>+IF(AVANCE[[#This Row],[PISO]]=N$2,100%,AVANCE[[#This Row],[PISO]])</f>
        <v>1</v>
      </c>
      <c r="BH15" s="3">
        <f>+IF(AVANCE[[#This Row],[TABIQUES]]=O$2,100%,AVANCE[[#This Row],[TABIQUES]])</f>
        <v>1</v>
      </c>
      <c r="BI15" s="3">
        <f>+IF(AVANCE[[#This Row],[MUROS]]=P$2,100%,AVANCE[[#This Row],[MUROS]])</f>
        <v>1</v>
      </c>
      <c r="BJ15" s="3">
        <f>+IF(AVANCE[[#This Row],[CIELO]]=Q$2,100%,AVANCE[[#This Row],[CIELO]])</f>
        <v>1</v>
      </c>
      <c r="BK15" s="3">
        <f>+IF(AVANCE[[#This Row],[BALCÓN]]=R$2,100%,AVANCE[[#This Row],[BALCÓN]])</f>
        <v>1</v>
      </c>
      <c r="BL15" s="3">
        <f>+IF(AVANCE[[#This Row],[RED ALCANTARILLADO]]=U$2,100%,AVANCE[[#This Row],[RED ALCANTARILLADO]])</f>
        <v>1</v>
      </c>
      <c r="BM15" s="3">
        <f>+IF(AVANCE[[#This Row],[RED DE AGUA]]=V$2,100%,AVANCE[[#This Row],[RED DE AGUA]])</f>
        <v>1</v>
      </c>
      <c r="BN15" s="3">
        <f>+IF(AVANCE[[#This Row],[VENTILACIONES]]=W$2,100%,AVANCE[[#This Row],[VENTILACIONES]])</f>
        <v>1</v>
      </c>
      <c r="BO15" s="3">
        <f>+IF(AVANCE[[#This Row],[TINA]]=X$2,100%,AVANCE[[#This Row],[TINA]])</f>
        <v>1</v>
      </c>
      <c r="BP15" s="3">
        <f>+IF(AVANCE[[#This Row],[WC]]=Y$2,100%,AVANCE[[#This Row],[WC]])</f>
        <v>1</v>
      </c>
      <c r="BQ15" s="3">
        <f>+IF(AVANCE[[#This Row],[LAVAMANOS / LAVAPLATOS / LAVADERO]]=Z$2,100%,AVANCE[[#This Row],[LAVAMANOS / LAVAPLATOS / LAVADERO]])</f>
        <v>1</v>
      </c>
      <c r="BR15" s="3">
        <f>+IF(AVANCE[[#This Row],[CANALIZACIÓN]]=AC$2,100%,AVANCE[[#This Row],[CANALIZACIÓN]])</f>
        <v>1</v>
      </c>
      <c r="BS15" s="3">
        <f>+IF(AVANCE[[#This Row],[CABLEADO]]=AD$2,100%,AVANCE[[#This Row],[CABLEADO]])</f>
        <v>1</v>
      </c>
      <c r="BT15" s="3">
        <f>+IF(AVANCE[[#This Row],[ARTEFACTOS]]=AE$2,100%,AVANCE[[#This Row],[ARTEFACTOS]])</f>
        <v>1</v>
      </c>
      <c r="BU15" s="3">
        <f>+IF(AVANCE[[#This Row],[TABLERO]]=AF$2,100%,AVANCE[[#This Row],[TABLERO]])</f>
        <v>1</v>
      </c>
      <c r="BV15" s="3">
        <f>+IF(AVANCE[[#This Row],[CAJA PAU]]=AG$2,100%,AVANCE[[#This Row],[CAJA PAU]])</f>
        <v>1</v>
      </c>
      <c r="BW15" s="3">
        <f>+IF(AVANCE[[#This Row],[INSTALACION VINILICO]]=AJ$2,100%,AVANCE[[#This Row],[INSTALACION VINILICO]])</f>
        <v>1</v>
      </c>
      <c r="BX15" s="3">
        <f>+IF(AVANCE[[#This Row],[OSB CUBIERTA]]=AK$2,100%,AVANCE[[#This Row],[OSB CUBIERTA]])</f>
        <v>1</v>
      </c>
      <c r="BY15" s="3">
        <f>+IF(AVANCE[[#This Row],[BARANDA BALCON]]=AL$2,100%,AVANCE[[#This Row],[BARANDA BALCON]])</f>
        <v>1</v>
      </c>
      <c r="BZ15" s="3">
        <f>+IF(AVANCE[[#This Row],[OSB EXTERIOR]]=AM$2,100%,AVANCE[[#This Row],[OSB EXTERIOR]])</f>
        <v>1</v>
      </c>
      <c r="CA15" s="3">
        <f>+IF(AVANCE[[#This Row],[SMART PANEL]]=AN$2,100%,AVANCE[[#This Row],[SMART PANEL]])</f>
        <v>1</v>
      </c>
      <c r="CB15" s="3">
        <f>+IF(AVANCE[[#This Row],[PINTURA EXTERIOR]]=AO$2,100%,AVANCE[[#This Row],[PINTURA EXTERIOR]])</f>
        <v>1</v>
      </c>
      <c r="CC15" s="3">
        <f>+IF(AVANCE[[#This Row],[ZOCALOS LOGIA]]=AP$2,100%,AVANCE[[#This Row],[ZOCALOS LOGIA]])</f>
        <v>1</v>
      </c>
      <c r="CD15" s="3">
        <f>+IF(AVANCE[[#This Row],[MOLDURAS]]=AQ$2,100%,AVANCE[[#This Row],[MOLDURAS]])</f>
        <v>1</v>
      </c>
      <c r="CE15" s="3">
        <f>+IF(AVANCE[[#This Row],[PILASTREO]]=AR$2,100%,AVANCE[[#This Row],[PILASTREO]])</f>
        <v>1</v>
      </c>
      <c r="CF15" s="3">
        <f>+IF(AVANCE[[#This Row],[CELOSIAS]]=AS$2,100%,AVANCE[[#This Row],[CELOSIAS]])</f>
        <v>1</v>
      </c>
      <c r="CG15" s="3">
        <f>+IF(AVANCE[[#This Row],[VENTANAS]]=AT$2,100%,AVANCE[[#This Row],[VENTANAS]])</f>
        <v>1</v>
      </c>
      <c r="CH15" s="3">
        <f>+IF(AVANCE[[#This Row],[PUERTAS ACCESO - LOGIA - BANO]]=AU$2,100%,AVANCE[[#This Row],[PUERTAS ACCESO - LOGIA - BANO]])</f>
        <v>1</v>
      </c>
      <c r="CI15" s="3">
        <f>+IF(AVANCE[[#This Row],[CERRADURAS]]=AV$2,100%,AVANCE[[#This Row],[CERRADURAS]])</f>
        <v>1</v>
      </c>
      <c r="CJ15" s="3">
        <f>+IF(AVANCE[[#This Row],[REVESTIMIENTO INTERIOR ZONA SECA]]=AW$2,100%,AVANCE[[#This Row],[REVESTIMIENTO INTERIOR ZONA SECA]])</f>
        <v>1</v>
      </c>
      <c r="CK15" s="3">
        <f>+IF(AVANCE[[#This Row],[REVESTIMIENTO INTERIOR ZONAS HUMEDAS]]=AX$2,100%,AVANCE[[#This Row],[REVESTIMIENTO INTERIOR ZONAS HUMEDAS]])</f>
        <v>1</v>
      </c>
      <c r="CL15" s="3">
        <f>+IF(AVANCE[[#This Row],[MEMBRANA CIELO]]=AY$2,100%,AVANCE[[#This Row],[MEMBRANA CIELO]])</f>
        <v>1</v>
      </c>
      <c r="CM15" s="3">
        <f>+IF(AVANCE[[#This Row],[LIMPIEZA FINAL]]=AZ$2,100%,AVANCE[[#This Row],[LIMPIEZA FINAL]])</f>
        <v>1</v>
      </c>
      <c r="CN15" s="3">
        <f>+IF(AVANCE[[#This Row],[PUERTAS DORMITORIO]]=BA$2,100%,AVANCE[[#This Row],[PUERTAS DORMITORIO]])</f>
        <v>1</v>
      </c>
      <c r="CO15" s="3">
        <f>+IF(AVANCE[[#This Row],[REVESTIMIENTO INTERIOR BANO]]=BB$2,100%,AVANCE[[#This Row],[REVESTIMIENTO INTERIOR BANO]])</f>
        <v>1</v>
      </c>
      <c r="CP15" s="3">
        <f>+IF(AVANCE[[#This Row],[MUEBLE LAVAPLATOS]]=BC$2,100%,AVANCE[[#This Row],[MUEBLE LAVAPLATOS]])</f>
        <v>1</v>
      </c>
      <c r="CQ15" s="3">
        <f>+IF(AVANCE[[#This Row],[IMPERMEABILIZACION BANO - COCINA LOGIA]]=BD$2,100%,AVANCE[[#This Row],[IMPERMEABILIZACION BANO - COCINA LOGIA]])</f>
        <v>1</v>
      </c>
      <c r="CR15" s="40">
        <f ca="1">+IF(AVANCE[[#This Row],[ESTADO MODULO]]="PENDIENTE",(TODAY()-AVANCE[[#This Row],[FECHA TERMINO  PLANIFICADO]]),0)</f>
        <v>0</v>
      </c>
      <c r="CS15" s="42" t="str" cm="1">
        <f t="array" ref="CS15">_xlfn.TEXTJOIN(" | ",TRUE,IF(SUMPRODUCT((BF15:CQ15&lt;1)*(PARTIDAS!$I$2:$AT$2="OBRA GRUESA"))&gt;0,"OBRA GRUESA: "&amp;_xlfn.TEXTJOIN(", ",TRUE,IF((BF15:CQ15&lt;1)*(PARTIDAS!$I$2:$AT$2="OBRA GRUESA"),PARTIDAS!$I$1:$AT$1,"")),""),IF(SUMPRODUCT((BF15:CQ15&lt;1)*(PARTIDAS!$I$2:$AT$2="SANITARIOS"))&gt;0,"SANITARIOS: "&amp;_xlfn.TEXTJOIN(", ",TRUE,IF((BF15:CQ15&lt;1)*(PARTIDAS!$I$2:$AT$2="SANITARIOS"),PARTIDAS!$I$1:$AT$1,"")),""),IF(SUMPRODUCT((BF15:CQ15&lt;1)*(PARTIDAS!$I$2:$AT$2="ELÉCTRICO"))&gt;0,"ELÉCTRICO: "&amp;_xlfn.TEXTJOIN(", ",TRUE,IF((BF15:CQ15&lt;1)*(PARTIDAS!$I$2:$AT$2="ELÉCTRICO"),PARTIDAS!$I$1:$AT$1,"")),""),IF(SUMPRODUCT((BF15:CQ15&lt;1)*(PARTIDAS!$I$2:$AT$2="TERMINACIONES"))&gt;0,"TERMINACIONES: "&amp;_xlfn.TEXTJOIN(", ",TRUE,IF((BF15:CQ15&lt;1)*(PARTIDAS!$I$2:$AT$2="TERMINACIONES"),PARTIDAS!$I$1:$AT$1,"")),""))</f>
        <v/>
      </c>
      <c r="CT15" s="45" t="str" cm="1">
        <f t="array" ref="CT15">_xlfn.TEXTJOIN(", ",TRUE,IF(SUMPRODUCT((BF15:CQ15&lt;1)*(PARTIDAS!$I$2:$AT$2="OBRA GRUESA"))&gt;0,"OBRA GRUESA",""),IF(SUMPRODUCT((BF15:CQ15&lt;1)*(PARTIDAS!$I$2:$AT$2="SANITARIOS"))&gt;0,"SANITARIOS",""),IF(SUMPRODUCT((BF15:CQ15&lt;1)*(PARTIDAS!$I$2:$AT$2="ELÉCTRICO"))&gt;0,"ELÉCTRICO",""),IF(SUMPRODUCT((BF15:CQ15&lt;1)*(PARTIDAS!$I$2:$AT$2="TERMINACIONES"))&gt;0,"TERMINACIONES",""))</f>
        <v/>
      </c>
      <c r="CU15" s="46" cm="1">
        <f t="array" ref="CU15">SUMPRODUCT(--(BF15:CQ15&lt;1))</f>
        <v>0</v>
      </c>
    </row>
    <row r="16" spans="1:99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 s="3" t="str">
        <f>+IF(AVANCE[[#This Row],[% AVANCE]]=100%,"MODULO TERMINADO",IF(AVANCE[[#This Row],[FECHA INICIO REAL]]="","MODULO NO INICIADO","PENDIENTE"))</f>
        <v>MODULO TERMINADO</v>
      </c>
      <c r="BF16" s="3">
        <f>+IF(AVANCE[[#This Row],[VENTANAS]]=8.10810810810811%,100%,AVANCE[[#This Row],[VENTANAS]])</f>
        <v>1</v>
      </c>
      <c r="BG16" s="3">
        <f>+IF(AVANCE[[#This Row],[PISO]]=N$2,100%,AVANCE[[#This Row],[PISO]])</f>
        <v>1</v>
      </c>
      <c r="BH16" s="3">
        <f>+IF(AVANCE[[#This Row],[TABIQUES]]=O$2,100%,AVANCE[[#This Row],[TABIQUES]])</f>
        <v>1</v>
      </c>
      <c r="BI16" s="3">
        <f>+IF(AVANCE[[#This Row],[MUROS]]=P$2,100%,AVANCE[[#This Row],[MUROS]])</f>
        <v>1</v>
      </c>
      <c r="BJ16" s="3">
        <f>+IF(AVANCE[[#This Row],[CIELO]]=Q$2,100%,AVANCE[[#This Row],[CIELO]])</f>
        <v>1</v>
      </c>
      <c r="BK16" s="3">
        <f>+IF(AVANCE[[#This Row],[BALCÓN]]=R$2,100%,AVANCE[[#This Row],[BALCÓN]])</f>
        <v>1</v>
      </c>
      <c r="BL16" s="3">
        <f>+IF(AVANCE[[#This Row],[RED ALCANTARILLADO]]=U$2,100%,AVANCE[[#This Row],[RED ALCANTARILLADO]])</f>
        <v>1</v>
      </c>
      <c r="BM16" s="3">
        <f>+IF(AVANCE[[#This Row],[RED DE AGUA]]=V$2,100%,AVANCE[[#This Row],[RED DE AGUA]])</f>
        <v>1</v>
      </c>
      <c r="BN16" s="3">
        <f>+IF(AVANCE[[#This Row],[VENTILACIONES]]=W$2,100%,AVANCE[[#This Row],[VENTILACIONES]])</f>
        <v>1</v>
      </c>
      <c r="BO16" s="3">
        <f>+IF(AVANCE[[#This Row],[TINA]]=X$2,100%,AVANCE[[#This Row],[TINA]])</f>
        <v>1</v>
      </c>
      <c r="BP16" s="3">
        <f>+IF(AVANCE[[#This Row],[WC]]=Y$2,100%,AVANCE[[#This Row],[WC]])</f>
        <v>1</v>
      </c>
      <c r="BQ16" s="3">
        <f>+IF(AVANCE[[#This Row],[LAVAMANOS / LAVAPLATOS / LAVADERO]]=Z$2,100%,AVANCE[[#This Row],[LAVAMANOS / LAVAPLATOS / LAVADERO]])</f>
        <v>1</v>
      </c>
      <c r="BR16" s="3">
        <f>+IF(AVANCE[[#This Row],[CANALIZACIÓN]]=AC$2,100%,AVANCE[[#This Row],[CANALIZACIÓN]])</f>
        <v>1</v>
      </c>
      <c r="BS16" s="3">
        <f>+IF(AVANCE[[#This Row],[CABLEADO]]=AD$2,100%,AVANCE[[#This Row],[CABLEADO]])</f>
        <v>1</v>
      </c>
      <c r="BT16" s="3">
        <f>+IF(AVANCE[[#This Row],[ARTEFACTOS]]=AE$2,100%,AVANCE[[#This Row],[ARTEFACTOS]])</f>
        <v>1</v>
      </c>
      <c r="BU16" s="3">
        <f>+IF(AVANCE[[#This Row],[TABLERO]]=AF$2,100%,AVANCE[[#This Row],[TABLERO]])</f>
        <v>1</v>
      </c>
      <c r="BV16" s="3">
        <f>+IF(AVANCE[[#This Row],[CAJA PAU]]=AG$2,100%,AVANCE[[#This Row],[CAJA PAU]])</f>
        <v>1</v>
      </c>
      <c r="BW16" s="3">
        <f>+IF(AVANCE[[#This Row],[INSTALACION VINILICO]]=AJ$2,100%,AVANCE[[#This Row],[INSTALACION VINILICO]])</f>
        <v>1</v>
      </c>
      <c r="BX16" s="3">
        <f>+IF(AVANCE[[#This Row],[OSB CUBIERTA]]=AK$2,100%,AVANCE[[#This Row],[OSB CUBIERTA]])</f>
        <v>1</v>
      </c>
      <c r="BY16" s="3">
        <f>+IF(AVANCE[[#This Row],[BARANDA BALCON]]=AL$2,100%,AVANCE[[#This Row],[BARANDA BALCON]])</f>
        <v>1</v>
      </c>
      <c r="BZ16" s="3">
        <f>+IF(AVANCE[[#This Row],[OSB EXTERIOR]]=AM$2,100%,AVANCE[[#This Row],[OSB EXTERIOR]])</f>
        <v>1</v>
      </c>
      <c r="CA16" s="3">
        <f>+IF(AVANCE[[#This Row],[SMART PANEL]]=AN$2,100%,AVANCE[[#This Row],[SMART PANEL]])</f>
        <v>1</v>
      </c>
      <c r="CB16" s="3">
        <f>+IF(AVANCE[[#This Row],[PINTURA EXTERIOR]]=AO$2,100%,AVANCE[[#This Row],[PINTURA EXTERIOR]])</f>
        <v>1</v>
      </c>
      <c r="CC16" s="3">
        <f>+IF(AVANCE[[#This Row],[ZOCALOS LOGIA]]=AP$2,100%,AVANCE[[#This Row],[ZOCALOS LOGIA]])</f>
        <v>1</v>
      </c>
      <c r="CD16" s="3">
        <f>+IF(AVANCE[[#This Row],[MOLDURAS]]=AQ$2,100%,AVANCE[[#This Row],[MOLDURAS]])</f>
        <v>1</v>
      </c>
      <c r="CE16" s="3">
        <f>+IF(AVANCE[[#This Row],[PILASTREO]]=AR$2,100%,AVANCE[[#This Row],[PILASTREO]])</f>
        <v>1</v>
      </c>
      <c r="CF16" s="3">
        <f>+IF(AVANCE[[#This Row],[CELOSIAS]]=AS$2,100%,AVANCE[[#This Row],[CELOSIAS]])</f>
        <v>1</v>
      </c>
      <c r="CG16" s="3">
        <f>+IF(AVANCE[[#This Row],[VENTANAS]]=AT$2,100%,AVANCE[[#This Row],[VENTANAS]])</f>
        <v>1</v>
      </c>
      <c r="CH16" s="3">
        <f>+IF(AVANCE[[#This Row],[PUERTAS ACCESO - LOGIA - BANO]]=AU$2,100%,AVANCE[[#This Row],[PUERTAS ACCESO - LOGIA - BANO]])</f>
        <v>1</v>
      </c>
      <c r="CI16" s="3">
        <f>+IF(AVANCE[[#This Row],[CERRADURAS]]=AV$2,100%,AVANCE[[#This Row],[CERRADURAS]])</f>
        <v>1</v>
      </c>
      <c r="CJ16" s="3">
        <f>+IF(AVANCE[[#This Row],[REVESTIMIENTO INTERIOR ZONA SECA]]=AW$2,100%,AVANCE[[#This Row],[REVESTIMIENTO INTERIOR ZONA SECA]])</f>
        <v>1</v>
      </c>
      <c r="CK16" s="3">
        <f>+IF(AVANCE[[#This Row],[REVESTIMIENTO INTERIOR ZONAS HUMEDAS]]=AX$2,100%,AVANCE[[#This Row],[REVESTIMIENTO INTERIOR ZONAS HUMEDAS]])</f>
        <v>1</v>
      </c>
      <c r="CL16" s="3">
        <f>+IF(AVANCE[[#This Row],[MEMBRANA CIELO]]=AY$2,100%,AVANCE[[#This Row],[MEMBRANA CIELO]])</f>
        <v>1</v>
      </c>
      <c r="CM16" s="3">
        <f>+IF(AVANCE[[#This Row],[LIMPIEZA FINAL]]=AZ$2,100%,AVANCE[[#This Row],[LIMPIEZA FINAL]])</f>
        <v>1</v>
      </c>
      <c r="CN16" s="3">
        <f>+IF(AVANCE[[#This Row],[PUERTAS DORMITORIO]]=BA$2,100%,AVANCE[[#This Row],[PUERTAS DORMITORIO]])</f>
        <v>1</v>
      </c>
      <c r="CO16" s="3">
        <f>+IF(AVANCE[[#This Row],[REVESTIMIENTO INTERIOR BANO]]=BB$2,100%,AVANCE[[#This Row],[REVESTIMIENTO INTERIOR BANO]])</f>
        <v>1</v>
      </c>
      <c r="CP16" s="3">
        <f>+IF(AVANCE[[#This Row],[MUEBLE LAVAPLATOS]]=BC$2,100%,AVANCE[[#This Row],[MUEBLE LAVAPLATOS]])</f>
        <v>1</v>
      </c>
      <c r="CQ16" s="3">
        <f>+IF(AVANCE[[#This Row],[IMPERMEABILIZACION BANO - COCINA LOGIA]]=BD$2,100%,AVANCE[[#This Row],[IMPERMEABILIZACION BANO - COCINA LOGIA]])</f>
        <v>1</v>
      </c>
      <c r="CR16" s="40">
        <f ca="1">+IF(AVANCE[[#This Row],[ESTADO MODULO]]="PENDIENTE",(TODAY()-AVANCE[[#This Row],[FECHA TERMINO  PLANIFICADO]]),0)</f>
        <v>0</v>
      </c>
      <c r="CS16" s="42" t="str" cm="1">
        <f t="array" ref="CS16">_xlfn.TEXTJOIN(" | ",TRUE,IF(SUMPRODUCT((BF16:CQ16&lt;1)*(PARTIDAS!$I$2:$AT$2="OBRA GRUESA"))&gt;0,"OBRA GRUESA: "&amp;_xlfn.TEXTJOIN(", ",TRUE,IF((BF16:CQ16&lt;1)*(PARTIDAS!$I$2:$AT$2="OBRA GRUESA"),PARTIDAS!$I$1:$AT$1,"")),""),IF(SUMPRODUCT((BF16:CQ16&lt;1)*(PARTIDAS!$I$2:$AT$2="SANITARIOS"))&gt;0,"SANITARIOS: "&amp;_xlfn.TEXTJOIN(", ",TRUE,IF((BF16:CQ16&lt;1)*(PARTIDAS!$I$2:$AT$2="SANITARIOS"),PARTIDAS!$I$1:$AT$1,"")),""),IF(SUMPRODUCT((BF16:CQ16&lt;1)*(PARTIDAS!$I$2:$AT$2="ELÉCTRICO"))&gt;0,"ELÉCTRICO: "&amp;_xlfn.TEXTJOIN(", ",TRUE,IF((BF16:CQ16&lt;1)*(PARTIDAS!$I$2:$AT$2="ELÉCTRICO"),PARTIDAS!$I$1:$AT$1,"")),""),IF(SUMPRODUCT((BF16:CQ16&lt;1)*(PARTIDAS!$I$2:$AT$2="TERMINACIONES"))&gt;0,"TERMINACIONES: "&amp;_xlfn.TEXTJOIN(", ",TRUE,IF((BF16:CQ16&lt;1)*(PARTIDAS!$I$2:$AT$2="TERMINACIONES"),PARTIDAS!$I$1:$AT$1,"")),""))</f>
        <v/>
      </c>
      <c r="CT16" s="45" t="str" cm="1">
        <f t="array" ref="CT16">_xlfn.TEXTJOIN(", ",TRUE,IF(SUMPRODUCT((BF16:CQ16&lt;1)*(PARTIDAS!$I$2:$AT$2="OBRA GRUESA"))&gt;0,"OBRA GRUESA",""),IF(SUMPRODUCT((BF16:CQ16&lt;1)*(PARTIDAS!$I$2:$AT$2="SANITARIOS"))&gt;0,"SANITARIOS",""),IF(SUMPRODUCT((BF16:CQ16&lt;1)*(PARTIDAS!$I$2:$AT$2="ELÉCTRICO"))&gt;0,"ELÉCTRICO",""),IF(SUMPRODUCT((BF16:CQ16&lt;1)*(PARTIDAS!$I$2:$AT$2="TERMINACIONES"))&gt;0,"TERMINACIONES",""))</f>
        <v/>
      </c>
      <c r="CU16" s="46" cm="1">
        <f t="array" ref="CU16">SUMPRODUCT(--(BF16:CQ16&lt;1))</f>
        <v>0</v>
      </c>
    </row>
    <row r="17" spans="1:99" x14ac:dyDescent="0.25">
      <c r="A17" t="s">
        <v>56</v>
      </c>
      <c r="B17" t="s">
        <v>74</v>
      </c>
      <c r="C17">
        <v>2282600016</v>
      </c>
      <c r="D17" t="s">
        <v>58</v>
      </c>
      <c r="E17" s="2">
        <v>0.98499999999999988</v>
      </c>
      <c r="F17" s="1">
        <v>46076</v>
      </c>
      <c r="G17" s="1">
        <v>46076</v>
      </c>
      <c r="H17" s="1">
        <v>46177</v>
      </c>
      <c r="I17" s="1">
        <v>46146</v>
      </c>
      <c r="J17">
        <v>4</v>
      </c>
      <c r="K17" s="1"/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0.35499999999999982</v>
      </c>
      <c r="AI17" s="3">
        <v>0.95945945945945899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0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 s="3" t="str">
        <f>+IF(AVANCE[[#This Row],[% AVANCE]]=100%,"MODULO TERMINADO",IF(AVANCE[[#This Row],[FECHA INICIO REAL]]="","MODULO NO INICIADO","PENDIENTE"))</f>
        <v>PENDIENTE</v>
      </c>
      <c r="BF17" s="3">
        <f>+IF(AVANCE[[#This Row],[VENTANAS]]=8.10810810810811%,100%,AVANCE[[#This Row],[VENTANAS]])</f>
        <v>1</v>
      </c>
      <c r="BG17" s="3">
        <f>+IF(AVANCE[[#This Row],[PISO]]=N$2,100%,AVANCE[[#This Row],[PISO]])</f>
        <v>1</v>
      </c>
      <c r="BH17" s="3">
        <f>+IF(AVANCE[[#This Row],[TABIQUES]]=O$2,100%,AVANCE[[#This Row],[TABIQUES]])</f>
        <v>1</v>
      </c>
      <c r="BI17" s="3">
        <f>+IF(AVANCE[[#This Row],[MUROS]]=P$2,100%,AVANCE[[#This Row],[MUROS]])</f>
        <v>1</v>
      </c>
      <c r="BJ17" s="3">
        <f>+IF(AVANCE[[#This Row],[CIELO]]=Q$2,100%,AVANCE[[#This Row],[CIELO]])</f>
        <v>1</v>
      </c>
      <c r="BK17" s="3">
        <f>+IF(AVANCE[[#This Row],[BALCÓN]]=R$2,100%,AVANCE[[#This Row],[BALCÓN]])</f>
        <v>1</v>
      </c>
      <c r="BL17" s="3">
        <f>+IF(AVANCE[[#This Row],[RED ALCANTARILLADO]]=U$2,100%,AVANCE[[#This Row],[RED ALCANTARILLADO]])</f>
        <v>1</v>
      </c>
      <c r="BM17" s="3">
        <f>+IF(AVANCE[[#This Row],[RED DE AGUA]]=V$2,100%,AVANCE[[#This Row],[RED DE AGUA]])</f>
        <v>1</v>
      </c>
      <c r="BN17" s="3">
        <f>+IF(AVANCE[[#This Row],[VENTILACIONES]]=W$2,100%,AVANCE[[#This Row],[VENTILACIONES]])</f>
        <v>1</v>
      </c>
      <c r="BO17" s="3">
        <f>+IF(AVANCE[[#This Row],[TINA]]=X$2,100%,AVANCE[[#This Row],[TINA]])</f>
        <v>1</v>
      </c>
      <c r="BP17" s="3">
        <f>+IF(AVANCE[[#This Row],[WC]]=Y$2,100%,AVANCE[[#This Row],[WC]])</f>
        <v>1</v>
      </c>
      <c r="BQ17" s="3">
        <f>+IF(AVANCE[[#This Row],[LAVAMANOS / LAVAPLATOS / LAVADERO]]=Z$2,100%,AVANCE[[#This Row],[LAVAMANOS / LAVAPLATOS / LAVADERO]])</f>
        <v>1</v>
      </c>
      <c r="BR17" s="3">
        <f>+IF(AVANCE[[#This Row],[CANALIZACIÓN]]=AC$2,100%,AVANCE[[#This Row],[CANALIZACIÓN]])</f>
        <v>1</v>
      </c>
      <c r="BS17" s="3">
        <f>+IF(AVANCE[[#This Row],[CABLEADO]]=AD$2,100%,AVANCE[[#This Row],[CABLEADO]])</f>
        <v>1</v>
      </c>
      <c r="BT17" s="3">
        <f>+IF(AVANCE[[#This Row],[ARTEFACTOS]]=AE$2,100%,AVANCE[[#This Row],[ARTEFACTOS]])</f>
        <v>1</v>
      </c>
      <c r="BU17" s="3">
        <f>+IF(AVANCE[[#This Row],[TABLERO]]=AF$2,100%,AVANCE[[#This Row],[TABLERO]])</f>
        <v>1</v>
      </c>
      <c r="BV17" s="3">
        <f>+IF(AVANCE[[#This Row],[CAJA PAU]]=AG$2,100%,AVANCE[[#This Row],[CAJA PAU]])</f>
        <v>1</v>
      </c>
      <c r="BW17" s="3">
        <f>+IF(AVANCE[[#This Row],[INSTALACION VINILICO]]=AJ$2,100%,AVANCE[[#This Row],[INSTALACION VINILICO]])</f>
        <v>1</v>
      </c>
      <c r="BX17" s="3">
        <f>+IF(AVANCE[[#This Row],[OSB CUBIERTA]]=AK$2,100%,AVANCE[[#This Row],[OSB CUBIERTA]])</f>
        <v>1</v>
      </c>
      <c r="BY17" s="3">
        <f>+IF(AVANCE[[#This Row],[BARANDA BALCON]]=AL$2,100%,AVANCE[[#This Row],[BARANDA BALCON]])</f>
        <v>1</v>
      </c>
      <c r="BZ17" s="3">
        <f>+IF(AVANCE[[#This Row],[OSB EXTERIOR]]=AM$2,100%,AVANCE[[#This Row],[OSB EXTERIOR]])</f>
        <v>1</v>
      </c>
      <c r="CA17" s="3">
        <f>+IF(AVANCE[[#This Row],[SMART PANEL]]=AN$2,100%,AVANCE[[#This Row],[SMART PANEL]])</f>
        <v>1</v>
      </c>
      <c r="CB17" s="3">
        <f>+IF(AVANCE[[#This Row],[PINTURA EXTERIOR]]=AO$2,100%,AVANCE[[#This Row],[PINTURA EXTERIOR]])</f>
        <v>1</v>
      </c>
      <c r="CC17" s="3">
        <f>+IF(AVANCE[[#This Row],[ZOCALOS LOGIA]]=AP$2,100%,AVANCE[[#This Row],[ZOCALOS LOGIA]])</f>
        <v>1</v>
      </c>
      <c r="CD17" s="3">
        <f>+IF(AVANCE[[#This Row],[MOLDURAS]]=AQ$2,100%,AVANCE[[#This Row],[MOLDURAS]])</f>
        <v>1</v>
      </c>
      <c r="CE17" s="3">
        <f>+IF(AVANCE[[#This Row],[PILASTREO]]=AR$2,100%,AVANCE[[#This Row],[PILASTREO]])</f>
        <v>1</v>
      </c>
      <c r="CF17" s="3">
        <f>+IF(AVANCE[[#This Row],[CELOSIAS]]=AS$2,100%,AVANCE[[#This Row],[CELOSIAS]])</f>
        <v>1</v>
      </c>
      <c r="CG17" s="3">
        <f>+IF(AVANCE[[#This Row],[VENTANAS]]=AT$2,100%,AVANCE[[#This Row],[VENTANAS]])</f>
        <v>1</v>
      </c>
      <c r="CH17" s="3">
        <f>+IF(AVANCE[[#This Row],[PUERTAS ACCESO - LOGIA - BANO]]=AU$2,100%,AVANCE[[#This Row],[PUERTAS ACCESO - LOGIA - BANO]])</f>
        <v>1</v>
      </c>
      <c r="CI17" s="3">
        <f>+IF(AVANCE[[#This Row],[CERRADURAS]]=AV$2,100%,AVANCE[[#This Row],[CERRADURAS]])</f>
        <v>1</v>
      </c>
      <c r="CJ17" s="3">
        <f>+IF(AVANCE[[#This Row],[REVESTIMIENTO INTERIOR ZONA SECA]]=AW$2,100%,AVANCE[[#This Row],[REVESTIMIENTO INTERIOR ZONA SECA]])</f>
        <v>1</v>
      </c>
      <c r="CK17" s="3">
        <f>+IF(AVANCE[[#This Row],[REVESTIMIENTO INTERIOR ZONAS HUMEDAS]]=AX$2,100%,AVANCE[[#This Row],[REVESTIMIENTO INTERIOR ZONAS HUMEDAS]])</f>
        <v>1</v>
      </c>
      <c r="CL17" s="3">
        <f>+IF(AVANCE[[#This Row],[MEMBRANA CIELO]]=AY$2,100%,AVANCE[[#This Row],[MEMBRANA CIELO]])</f>
        <v>1</v>
      </c>
      <c r="CM17" s="3">
        <f>+IF(AVANCE[[#This Row],[LIMPIEZA FINAL]]=AZ$2,100%,AVANCE[[#This Row],[LIMPIEZA FINAL]])</f>
        <v>0</v>
      </c>
      <c r="CN17" s="3">
        <f>+IF(AVANCE[[#This Row],[PUERTAS DORMITORIO]]=BA$2,100%,AVANCE[[#This Row],[PUERTAS DORMITORIO]])</f>
        <v>1</v>
      </c>
      <c r="CO17" s="3">
        <f>+IF(AVANCE[[#This Row],[REVESTIMIENTO INTERIOR BANO]]=BB$2,100%,AVANCE[[#This Row],[REVESTIMIENTO INTERIOR BANO]])</f>
        <v>1</v>
      </c>
      <c r="CP17" s="3">
        <f>+IF(AVANCE[[#This Row],[MUEBLE LAVAPLATOS]]=BC$2,100%,AVANCE[[#This Row],[MUEBLE LAVAPLATOS]])</f>
        <v>1</v>
      </c>
      <c r="CQ17" s="3">
        <f>+IF(AVANCE[[#This Row],[IMPERMEABILIZACION BANO - COCINA LOGIA]]=BD$2,100%,AVANCE[[#This Row],[IMPERMEABILIZACION BANO - COCINA LOGIA]])</f>
        <v>1</v>
      </c>
      <c r="CR17" s="40">
        <f ca="1">+IF(AVANCE[[#This Row],[ESTADO MODULO]]="PENDIENTE",(TODAY()-AVANCE[[#This Row],[FECHA TERMINO  PLANIFICADO]]),0)</f>
        <v>35</v>
      </c>
      <c r="CS17" s="42" t="str" cm="1">
        <f t="array" ref="CS17">_xlfn.TEXTJOIN(" | ",TRUE,IF(SUMPRODUCT((BF17:CQ17&lt;1)*(PARTIDAS!$I$2:$AT$2="OBRA GRUESA"))&gt;0,"OBRA GRUESA: "&amp;_xlfn.TEXTJOIN(", ",TRUE,IF((BF17:CQ17&lt;1)*(PARTIDAS!$I$2:$AT$2="OBRA GRUESA"),PARTIDAS!$I$1:$AT$1,"")),""),IF(SUMPRODUCT((BF17:CQ17&lt;1)*(PARTIDAS!$I$2:$AT$2="SANITARIOS"))&gt;0,"SANITARIOS: "&amp;_xlfn.TEXTJOIN(", ",TRUE,IF((BF17:CQ17&lt;1)*(PARTIDAS!$I$2:$AT$2="SANITARIOS"),PARTIDAS!$I$1:$AT$1,"")),""),IF(SUMPRODUCT((BF17:CQ17&lt;1)*(PARTIDAS!$I$2:$AT$2="ELÉCTRICO"))&gt;0,"ELÉCTRICO: "&amp;_xlfn.TEXTJOIN(", ",TRUE,IF((BF17:CQ17&lt;1)*(PARTIDAS!$I$2:$AT$2="ELÉCTRICO"),PARTIDAS!$I$1:$AT$1,"")),""),IF(SUMPRODUCT((BF17:CQ17&lt;1)*(PARTIDAS!$I$2:$AT$2="TERMINACIONES"))&gt;0,"TERMINACIONES: "&amp;_xlfn.TEXTJOIN(", ",TRUE,IF((BF17:CQ17&lt;1)*(PARTIDAS!$I$2:$AT$2="TERMINACIONES"),PARTIDAS!$I$1:$AT$1,"")),""))</f>
        <v>TERMINACIONES: LIMPIEZA FINAL</v>
      </c>
      <c r="CT17" s="45" t="str" cm="1">
        <f t="array" ref="CT17">_xlfn.TEXTJOIN(", ",TRUE,IF(SUMPRODUCT((BF17:CQ17&lt;1)*(PARTIDAS!$I$2:$AT$2="OBRA GRUESA"))&gt;0,"OBRA GRUESA",""),IF(SUMPRODUCT((BF17:CQ17&lt;1)*(PARTIDAS!$I$2:$AT$2="SANITARIOS"))&gt;0,"SANITARIOS",""),IF(SUMPRODUCT((BF17:CQ17&lt;1)*(PARTIDAS!$I$2:$AT$2="ELÉCTRICO"))&gt;0,"ELÉCTRICO",""),IF(SUMPRODUCT((BF17:CQ17&lt;1)*(PARTIDAS!$I$2:$AT$2="TERMINACIONES"))&gt;0,"TERMINACIONES",""))</f>
        <v>TERMINACIONES</v>
      </c>
      <c r="CU17" s="46" cm="1">
        <f t="array" ref="CU17">SUMPRODUCT(--(BF17:CQ17&lt;1))</f>
        <v>1</v>
      </c>
    </row>
    <row r="18" spans="1:99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 s="3" t="str">
        <f>+IF(AVANCE[[#This Row],[% AVANCE]]=100%,"MODULO TERMINADO",IF(AVANCE[[#This Row],[FECHA INICIO REAL]]="","MODULO NO INICIADO","PENDIENTE"))</f>
        <v>MODULO TERMINADO</v>
      </c>
      <c r="BF18" s="3">
        <f>+IF(AVANCE[[#This Row],[VENTANAS]]=8.10810810810811%,100%,AVANCE[[#This Row],[VENTANAS]])</f>
        <v>1</v>
      </c>
      <c r="BG18" s="3">
        <f>+IF(AVANCE[[#This Row],[PISO]]=N$2,100%,AVANCE[[#This Row],[PISO]])</f>
        <v>1</v>
      </c>
      <c r="BH18" s="3">
        <f>+IF(AVANCE[[#This Row],[TABIQUES]]=O$2,100%,AVANCE[[#This Row],[TABIQUES]])</f>
        <v>1</v>
      </c>
      <c r="BI18" s="3">
        <f>+IF(AVANCE[[#This Row],[MUROS]]=P$2,100%,AVANCE[[#This Row],[MUROS]])</f>
        <v>1</v>
      </c>
      <c r="BJ18" s="3">
        <f>+IF(AVANCE[[#This Row],[CIELO]]=Q$2,100%,AVANCE[[#This Row],[CIELO]])</f>
        <v>1</v>
      </c>
      <c r="BK18" s="3">
        <f>+IF(AVANCE[[#This Row],[BALCÓN]]=R$2,100%,AVANCE[[#This Row],[BALCÓN]])</f>
        <v>1</v>
      </c>
      <c r="BL18" s="3">
        <f>+IF(AVANCE[[#This Row],[RED ALCANTARILLADO]]=U$2,100%,AVANCE[[#This Row],[RED ALCANTARILLADO]])</f>
        <v>1</v>
      </c>
      <c r="BM18" s="3">
        <f>+IF(AVANCE[[#This Row],[RED DE AGUA]]=V$2,100%,AVANCE[[#This Row],[RED DE AGUA]])</f>
        <v>1</v>
      </c>
      <c r="BN18" s="3">
        <f>+IF(AVANCE[[#This Row],[VENTILACIONES]]=W$2,100%,AVANCE[[#This Row],[VENTILACIONES]])</f>
        <v>1</v>
      </c>
      <c r="BO18" s="3">
        <f>+IF(AVANCE[[#This Row],[TINA]]=X$2,100%,AVANCE[[#This Row],[TINA]])</f>
        <v>1</v>
      </c>
      <c r="BP18" s="3">
        <f>+IF(AVANCE[[#This Row],[WC]]=Y$2,100%,AVANCE[[#This Row],[WC]])</f>
        <v>1</v>
      </c>
      <c r="BQ18" s="3">
        <f>+IF(AVANCE[[#This Row],[LAVAMANOS / LAVAPLATOS / LAVADERO]]=Z$2,100%,AVANCE[[#This Row],[LAVAMANOS / LAVAPLATOS / LAVADERO]])</f>
        <v>1</v>
      </c>
      <c r="BR18" s="3">
        <f>+IF(AVANCE[[#This Row],[CANALIZACIÓN]]=AC$2,100%,AVANCE[[#This Row],[CANALIZACIÓN]])</f>
        <v>1</v>
      </c>
      <c r="BS18" s="3">
        <f>+IF(AVANCE[[#This Row],[CABLEADO]]=AD$2,100%,AVANCE[[#This Row],[CABLEADO]])</f>
        <v>1</v>
      </c>
      <c r="BT18" s="3">
        <f>+IF(AVANCE[[#This Row],[ARTEFACTOS]]=AE$2,100%,AVANCE[[#This Row],[ARTEFACTOS]])</f>
        <v>1</v>
      </c>
      <c r="BU18" s="3">
        <f>+IF(AVANCE[[#This Row],[TABLERO]]=AF$2,100%,AVANCE[[#This Row],[TABLERO]])</f>
        <v>1</v>
      </c>
      <c r="BV18" s="3">
        <f>+IF(AVANCE[[#This Row],[CAJA PAU]]=AG$2,100%,AVANCE[[#This Row],[CAJA PAU]])</f>
        <v>1</v>
      </c>
      <c r="BW18" s="3">
        <f>+IF(AVANCE[[#This Row],[INSTALACION VINILICO]]=AJ$2,100%,AVANCE[[#This Row],[INSTALACION VINILICO]])</f>
        <v>1</v>
      </c>
      <c r="BX18" s="3">
        <f>+IF(AVANCE[[#This Row],[OSB CUBIERTA]]=AK$2,100%,AVANCE[[#This Row],[OSB CUBIERTA]])</f>
        <v>1</v>
      </c>
      <c r="BY18" s="3">
        <f>+IF(AVANCE[[#This Row],[BARANDA BALCON]]=AL$2,100%,AVANCE[[#This Row],[BARANDA BALCON]])</f>
        <v>1</v>
      </c>
      <c r="BZ18" s="3">
        <f>+IF(AVANCE[[#This Row],[OSB EXTERIOR]]=AM$2,100%,AVANCE[[#This Row],[OSB EXTERIOR]])</f>
        <v>1</v>
      </c>
      <c r="CA18" s="3">
        <f>+IF(AVANCE[[#This Row],[SMART PANEL]]=AN$2,100%,AVANCE[[#This Row],[SMART PANEL]])</f>
        <v>1</v>
      </c>
      <c r="CB18" s="3">
        <f>+IF(AVANCE[[#This Row],[PINTURA EXTERIOR]]=AO$2,100%,AVANCE[[#This Row],[PINTURA EXTERIOR]])</f>
        <v>1</v>
      </c>
      <c r="CC18" s="3">
        <f>+IF(AVANCE[[#This Row],[ZOCALOS LOGIA]]=AP$2,100%,AVANCE[[#This Row],[ZOCALOS LOGIA]])</f>
        <v>1</v>
      </c>
      <c r="CD18" s="3">
        <f>+IF(AVANCE[[#This Row],[MOLDURAS]]=AQ$2,100%,AVANCE[[#This Row],[MOLDURAS]])</f>
        <v>1</v>
      </c>
      <c r="CE18" s="3">
        <f>+IF(AVANCE[[#This Row],[PILASTREO]]=AR$2,100%,AVANCE[[#This Row],[PILASTREO]])</f>
        <v>1</v>
      </c>
      <c r="CF18" s="3">
        <f>+IF(AVANCE[[#This Row],[CELOSIAS]]=AS$2,100%,AVANCE[[#This Row],[CELOSIAS]])</f>
        <v>1</v>
      </c>
      <c r="CG18" s="3">
        <f>+IF(AVANCE[[#This Row],[VENTANAS]]=AT$2,100%,AVANCE[[#This Row],[VENTANAS]])</f>
        <v>1</v>
      </c>
      <c r="CH18" s="3">
        <f>+IF(AVANCE[[#This Row],[PUERTAS ACCESO - LOGIA - BANO]]=AU$2,100%,AVANCE[[#This Row],[PUERTAS ACCESO - LOGIA - BANO]])</f>
        <v>1</v>
      </c>
      <c r="CI18" s="3">
        <f>+IF(AVANCE[[#This Row],[CERRADURAS]]=AV$2,100%,AVANCE[[#This Row],[CERRADURAS]])</f>
        <v>1</v>
      </c>
      <c r="CJ18" s="3">
        <f>+IF(AVANCE[[#This Row],[REVESTIMIENTO INTERIOR ZONA SECA]]=AW$2,100%,AVANCE[[#This Row],[REVESTIMIENTO INTERIOR ZONA SECA]])</f>
        <v>1</v>
      </c>
      <c r="CK18" s="3">
        <f>+IF(AVANCE[[#This Row],[REVESTIMIENTO INTERIOR ZONAS HUMEDAS]]=AX$2,100%,AVANCE[[#This Row],[REVESTIMIENTO INTERIOR ZONAS HUMEDAS]])</f>
        <v>1</v>
      </c>
      <c r="CL18" s="3">
        <f>+IF(AVANCE[[#This Row],[MEMBRANA CIELO]]=AY$2,100%,AVANCE[[#This Row],[MEMBRANA CIELO]])</f>
        <v>1</v>
      </c>
      <c r="CM18" s="3">
        <f>+IF(AVANCE[[#This Row],[LIMPIEZA FINAL]]=AZ$2,100%,AVANCE[[#This Row],[LIMPIEZA FINAL]])</f>
        <v>1</v>
      </c>
      <c r="CN18" s="3">
        <f>+IF(AVANCE[[#This Row],[PUERTAS DORMITORIO]]=BA$2,100%,AVANCE[[#This Row],[PUERTAS DORMITORIO]])</f>
        <v>1</v>
      </c>
      <c r="CO18" s="3">
        <f>+IF(AVANCE[[#This Row],[REVESTIMIENTO INTERIOR BANO]]=BB$2,100%,AVANCE[[#This Row],[REVESTIMIENTO INTERIOR BANO]])</f>
        <v>1</v>
      </c>
      <c r="CP18" s="3">
        <f>+IF(AVANCE[[#This Row],[MUEBLE LAVAPLATOS]]=BC$2,100%,AVANCE[[#This Row],[MUEBLE LAVAPLATOS]])</f>
        <v>1</v>
      </c>
      <c r="CQ18" s="3">
        <f>+IF(AVANCE[[#This Row],[IMPERMEABILIZACION BANO - COCINA LOGIA]]=BD$2,100%,AVANCE[[#This Row],[IMPERMEABILIZACION BANO - COCINA LOGIA]])</f>
        <v>1</v>
      </c>
      <c r="CR18" s="40">
        <f ca="1">+IF(AVANCE[[#This Row],[ESTADO MODULO]]="PENDIENTE",(TODAY()-AVANCE[[#This Row],[FECHA TERMINO  PLANIFICADO]]),0)</f>
        <v>0</v>
      </c>
      <c r="CS18" s="42" t="str" cm="1">
        <f t="array" ref="CS18">_xlfn.TEXTJOIN(" | ",TRUE,IF(SUMPRODUCT((BF18:CQ18&lt;1)*(PARTIDAS!$I$2:$AT$2="OBRA GRUESA"))&gt;0,"OBRA GRUESA: "&amp;_xlfn.TEXTJOIN(", ",TRUE,IF((BF18:CQ18&lt;1)*(PARTIDAS!$I$2:$AT$2="OBRA GRUESA"),PARTIDAS!$I$1:$AT$1,"")),""),IF(SUMPRODUCT((BF18:CQ18&lt;1)*(PARTIDAS!$I$2:$AT$2="SANITARIOS"))&gt;0,"SANITARIOS: "&amp;_xlfn.TEXTJOIN(", ",TRUE,IF((BF18:CQ18&lt;1)*(PARTIDAS!$I$2:$AT$2="SANITARIOS"),PARTIDAS!$I$1:$AT$1,"")),""),IF(SUMPRODUCT((BF18:CQ18&lt;1)*(PARTIDAS!$I$2:$AT$2="ELÉCTRICO"))&gt;0,"ELÉCTRICO: "&amp;_xlfn.TEXTJOIN(", ",TRUE,IF((BF18:CQ18&lt;1)*(PARTIDAS!$I$2:$AT$2="ELÉCTRICO"),PARTIDAS!$I$1:$AT$1,"")),""),IF(SUMPRODUCT((BF18:CQ18&lt;1)*(PARTIDAS!$I$2:$AT$2="TERMINACIONES"))&gt;0,"TERMINACIONES: "&amp;_xlfn.TEXTJOIN(", ",TRUE,IF((BF18:CQ18&lt;1)*(PARTIDAS!$I$2:$AT$2="TERMINACIONES"),PARTIDAS!$I$1:$AT$1,"")),""))</f>
        <v/>
      </c>
      <c r="CT18" s="45" t="str" cm="1">
        <f t="array" ref="CT18">_xlfn.TEXTJOIN(", ",TRUE,IF(SUMPRODUCT((BF18:CQ18&lt;1)*(PARTIDAS!$I$2:$AT$2="OBRA GRUESA"))&gt;0,"OBRA GRUESA",""),IF(SUMPRODUCT((BF18:CQ18&lt;1)*(PARTIDAS!$I$2:$AT$2="SANITARIOS"))&gt;0,"SANITARIOS",""),IF(SUMPRODUCT((BF18:CQ18&lt;1)*(PARTIDAS!$I$2:$AT$2="ELÉCTRICO"))&gt;0,"ELÉCTRICO",""),IF(SUMPRODUCT((BF18:CQ18&lt;1)*(PARTIDAS!$I$2:$AT$2="TERMINACIONES"))&gt;0,"TERMINACIONES",""))</f>
        <v/>
      </c>
      <c r="CU18" s="46" cm="1">
        <f t="array" ref="CU18">SUMPRODUCT(--(BF18:CQ18&lt;1))</f>
        <v>0</v>
      </c>
    </row>
    <row r="19" spans="1:99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 s="3" t="str">
        <f>+IF(AVANCE[[#This Row],[% AVANCE]]=100%,"MODULO TERMINADO",IF(AVANCE[[#This Row],[FECHA INICIO REAL]]="","MODULO NO INICIADO","PENDIENTE"))</f>
        <v>MODULO TERMINADO</v>
      </c>
      <c r="BF19" s="3">
        <f>+IF(AVANCE[[#This Row],[VENTANAS]]=8.10810810810811%,100%,AVANCE[[#This Row],[VENTANAS]])</f>
        <v>1</v>
      </c>
      <c r="BG19" s="3">
        <f>+IF(AVANCE[[#This Row],[PISO]]=N$2,100%,AVANCE[[#This Row],[PISO]])</f>
        <v>1</v>
      </c>
      <c r="BH19" s="3">
        <f>+IF(AVANCE[[#This Row],[TABIQUES]]=O$2,100%,AVANCE[[#This Row],[TABIQUES]])</f>
        <v>1</v>
      </c>
      <c r="BI19" s="3">
        <f>+IF(AVANCE[[#This Row],[MUROS]]=P$2,100%,AVANCE[[#This Row],[MUROS]])</f>
        <v>1</v>
      </c>
      <c r="BJ19" s="3">
        <f>+IF(AVANCE[[#This Row],[CIELO]]=Q$2,100%,AVANCE[[#This Row],[CIELO]])</f>
        <v>1</v>
      </c>
      <c r="BK19" s="3">
        <f>+IF(AVANCE[[#This Row],[BALCÓN]]=R$2,100%,AVANCE[[#This Row],[BALCÓN]])</f>
        <v>1</v>
      </c>
      <c r="BL19" s="3">
        <f>+IF(AVANCE[[#This Row],[RED ALCANTARILLADO]]=U$2,100%,AVANCE[[#This Row],[RED ALCANTARILLADO]])</f>
        <v>1</v>
      </c>
      <c r="BM19" s="3">
        <f>+IF(AVANCE[[#This Row],[RED DE AGUA]]=V$2,100%,AVANCE[[#This Row],[RED DE AGUA]])</f>
        <v>1</v>
      </c>
      <c r="BN19" s="3">
        <f>+IF(AVANCE[[#This Row],[VENTILACIONES]]=W$2,100%,AVANCE[[#This Row],[VENTILACIONES]])</f>
        <v>1</v>
      </c>
      <c r="BO19" s="3">
        <f>+IF(AVANCE[[#This Row],[TINA]]=X$2,100%,AVANCE[[#This Row],[TINA]])</f>
        <v>1</v>
      </c>
      <c r="BP19" s="3">
        <f>+IF(AVANCE[[#This Row],[WC]]=Y$2,100%,AVANCE[[#This Row],[WC]])</f>
        <v>1</v>
      </c>
      <c r="BQ19" s="3">
        <f>+IF(AVANCE[[#This Row],[LAVAMANOS / LAVAPLATOS / LAVADERO]]=Z$2,100%,AVANCE[[#This Row],[LAVAMANOS / LAVAPLATOS / LAVADERO]])</f>
        <v>1</v>
      </c>
      <c r="BR19" s="3">
        <f>+IF(AVANCE[[#This Row],[CANALIZACIÓN]]=AC$2,100%,AVANCE[[#This Row],[CANALIZACIÓN]])</f>
        <v>1</v>
      </c>
      <c r="BS19" s="3">
        <f>+IF(AVANCE[[#This Row],[CABLEADO]]=AD$2,100%,AVANCE[[#This Row],[CABLEADO]])</f>
        <v>1</v>
      </c>
      <c r="BT19" s="3">
        <f>+IF(AVANCE[[#This Row],[ARTEFACTOS]]=AE$2,100%,AVANCE[[#This Row],[ARTEFACTOS]])</f>
        <v>1</v>
      </c>
      <c r="BU19" s="3">
        <f>+IF(AVANCE[[#This Row],[TABLERO]]=AF$2,100%,AVANCE[[#This Row],[TABLERO]])</f>
        <v>1</v>
      </c>
      <c r="BV19" s="3">
        <f>+IF(AVANCE[[#This Row],[CAJA PAU]]=AG$2,100%,AVANCE[[#This Row],[CAJA PAU]])</f>
        <v>1</v>
      </c>
      <c r="BW19" s="3">
        <f>+IF(AVANCE[[#This Row],[INSTALACION VINILICO]]=AJ$2,100%,AVANCE[[#This Row],[INSTALACION VINILICO]])</f>
        <v>1</v>
      </c>
      <c r="BX19" s="3">
        <f>+IF(AVANCE[[#This Row],[OSB CUBIERTA]]=AK$2,100%,AVANCE[[#This Row],[OSB CUBIERTA]])</f>
        <v>1</v>
      </c>
      <c r="BY19" s="3">
        <f>+IF(AVANCE[[#This Row],[BARANDA BALCON]]=AL$2,100%,AVANCE[[#This Row],[BARANDA BALCON]])</f>
        <v>1</v>
      </c>
      <c r="BZ19" s="3">
        <f>+IF(AVANCE[[#This Row],[OSB EXTERIOR]]=AM$2,100%,AVANCE[[#This Row],[OSB EXTERIOR]])</f>
        <v>1</v>
      </c>
      <c r="CA19" s="3">
        <f>+IF(AVANCE[[#This Row],[SMART PANEL]]=AN$2,100%,AVANCE[[#This Row],[SMART PANEL]])</f>
        <v>1</v>
      </c>
      <c r="CB19" s="3">
        <f>+IF(AVANCE[[#This Row],[PINTURA EXTERIOR]]=AO$2,100%,AVANCE[[#This Row],[PINTURA EXTERIOR]])</f>
        <v>1</v>
      </c>
      <c r="CC19" s="3">
        <f>+IF(AVANCE[[#This Row],[ZOCALOS LOGIA]]=AP$2,100%,AVANCE[[#This Row],[ZOCALOS LOGIA]])</f>
        <v>1</v>
      </c>
      <c r="CD19" s="3">
        <f>+IF(AVANCE[[#This Row],[MOLDURAS]]=AQ$2,100%,AVANCE[[#This Row],[MOLDURAS]])</f>
        <v>1</v>
      </c>
      <c r="CE19" s="3">
        <f>+IF(AVANCE[[#This Row],[PILASTREO]]=AR$2,100%,AVANCE[[#This Row],[PILASTREO]])</f>
        <v>1</v>
      </c>
      <c r="CF19" s="3">
        <f>+IF(AVANCE[[#This Row],[CELOSIAS]]=AS$2,100%,AVANCE[[#This Row],[CELOSIAS]])</f>
        <v>1</v>
      </c>
      <c r="CG19" s="3">
        <f>+IF(AVANCE[[#This Row],[VENTANAS]]=AT$2,100%,AVANCE[[#This Row],[VENTANAS]])</f>
        <v>1</v>
      </c>
      <c r="CH19" s="3">
        <f>+IF(AVANCE[[#This Row],[PUERTAS ACCESO - LOGIA - BANO]]=AU$2,100%,AVANCE[[#This Row],[PUERTAS ACCESO - LOGIA - BANO]])</f>
        <v>1</v>
      </c>
      <c r="CI19" s="3">
        <f>+IF(AVANCE[[#This Row],[CERRADURAS]]=AV$2,100%,AVANCE[[#This Row],[CERRADURAS]])</f>
        <v>1</v>
      </c>
      <c r="CJ19" s="3">
        <f>+IF(AVANCE[[#This Row],[REVESTIMIENTO INTERIOR ZONA SECA]]=AW$2,100%,AVANCE[[#This Row],[REVESTIMIENTO INTERIOR ZONA SECA]])</f>
        <v>1</v>
      </c>
      <c r="CK19" s="3">
        <f>+IF(AVANCE[[#This Row],[REVESTIMIENTO INTERIOR ZONAS HUMEDAS]]=AX$2,100%,AVANCE[[#This Row],[REVESTIMIENTO INTERIOR ZONAS HUMEDAS]])</f>
        <v>1</v>
      </c>
      <c r="CL19" s="3">
        <f>+IF(AVANCE[[#This Row],[MEMBRANA CIELO]]=AY$2,100%,AVANCE[[#This Row],[MEMBRANA CIELO]])</f>
        <v>1</v>
      </c>
      <c r="CM19" s="3">
        <f>+IF(AVANCE[[#This Row],[LIMPIEZA FINAL]]=AZ$2,100%,AVANCE[[#This Row],[LIMPIEZA FINAL]])</f>
        <v>1</v>
      </c>
      <c r="CN19" s="3">
        <f>+IF(AVANCE[[#This Row],[PUERTAS DORMITORIO]]=BA$2,100%,AVANCE[[#This Row],[PUERTAS DORMITORIO]])</f>
        <v>1</v>
      </c>
      <c r="CO19" s="3">
        <f>+IF(AVANCE[[#This Row],[REVESTIMIENTO INTERIOR BANO]]=BB$2,100%,AVANCE[[#This Row],[REVESTIMIENTO INTERIOR BANO]])</f>
        <v>1</v>
      </c>
      <c r="CP19" s="3">
        <f>+IF(AVANCE[[#This Row],[MUEBLE LAVAPLATOS]]=BC$2,100%,AVANCE[[#This Row],[MUEBLE LAVAPLATOS]])</f>
        <v>1</v>
      </c>
      <c r="CQ19" s="3">
        <f>+IF(AVANCE[[#This Row],[IMPERMEABILIZACION BANO - COCINA LOGIA]]=BD$2,100%,AVANCE[[#This Row],[IMPERMEABILIZACION BANO - COCINA LOGIA]])</f>
        <v>1</v>
      </c>
      <c r="CR19" s="40">
        <f ca="1">+IF(AVANCE[[#This Row],[ESTADO MODULO]]="PENDIENTE",(TODAY()-AVANCE[[#This Row],[FECHA TERMINO  PLANIFICADO]]),0)</f>
        <v>0</v>
      </c>
      <c r="CS19" s="42" t="str" cm="1">
        <f t="array" ref="CS19">_xlfn.TEXTJOIN(" | ",TRUE,IF(SUMPRODUCT((BF19:CQ19&lt;1)*(PARTIDAS!$I$2:$AT$2="OBRA GRUESA"))&gt;0,"OBRA GRUESA: "&amp;_xlfn.TEXTJOIN(", ",TRUE,IF((BF19:CQ19&lt;1)*(PARTIDAS!$I$2:$AT$2="OBRA GRUESA"),PARTIDAS!$I$1:$AT$1,"")),""),IF(SUMPRODUCT((BF19:CQ19&lt;1)*(PARTIDAS!$I$2:$AT$2="SANITARIOS"))&gt;0,"SANITARIOS: "&amp;_xlfn.TEXTJOIN(", ",TRUE,IF((BF19:CQ19&lt;1)*(PARTIDAS!$I$2:$AT$2="SANITARIOS"),PARTIDAS!$I$1:$AT$1,"")),""),IF(SUMPRODUCT((BF19:CQ19&lt;1)*(PARTIDAS!$I$2:$AT$2="ELÉCTRICO"))&gt;0,"ELÉCTRICO: "&amp;_xlfn.TEXTJOIN(", ",TRUE,IF((BF19:CQ19&lt;1)*(PARTIDAS!$I$2:$AT$2="ELÉCTRICO"),PARTIDAS!$I$1:$AT$1,"")),""),IF(SUMPRODUCT((BF19:CQ19&lt;1)*(PARTIDAS!$I$2:$AT$2="TERMINACIONES"))&gt;0,"TERMINACIONES: "&amp;_xlfn.TEXTJOIN(", ",TRUE,IF((BF19:CQ19&lt;1)*(PARTIDAS!$I$2:$AT$2="TERMINACIONES"),PARTIDAS!$I$1:$AT$1,"")),""))</f>
        <v/>
      </c>
      <c r="CT19" s="45" t="str" cm="1">
        <f t="array" ref="CT19">_xlfn.TEXTJOIN(", ",TRUE,IF(SUMPRODUCT((BF19:CQ19&lt;1)*(PARTIDAS!$I$2:$AT$2="OBRA GRUESA"))&gt;0,"OBRA GRUESA",""),IF(SUMPRODUCT((BF19:CQ19&lt;1)*(PARTIDAS!$I$2:$AT$2="SANITARIOS"))&gt;0,"SANITARIOS",""),IF(SUMPRODUCT((BF19:CQ19&lt;1)*(PARTIDAS!$I$2:$AT$2="ELÉCTRICO"))&gt;0,"ELÉCTRICO",""),IF(SUMPRODUCT((BF19:CQ19&lt;1)*(PARTIDAS!$I$2:$AT$2="TERMINACIONES"))&gt;0,"TERMINACIONES",""))</f>
        <v/>
      </c>
      <c r="CU19" s="46" cm="1">
        <f t="array" ref="CU19">SUMPRODUCT(--(BF19:CQ19&lt;1))</f>
        <v>0</v>
      </c>
    </row>
    <row r="20" spans="1:99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 s="3" t="str">
        <f>+IF(AVANCE[[#This Row],[% AVANCE]]=100%,"MODULO TERMINADO",IF(AVANCE[[#This Row],[FECHA INICIO REAL]]="","MODULO NO INICIADO","PENDIENTE"))</f>
        <v>MODULO TERMINADO</v>
      </c>
      <c r="BF20" s="3">
        <f>+IF(AVANCE[[#This Row],[VENTANAS]]=8.10810810810811%,100%,AVANCE[[#This Row],[VENTANAS]])</f>
        <v>1</v>
      </c>
      <c r="BG20" s="3">
        <f>+IF(AVANCE[[#This Row],[PISO]]=N$2,100%,AVANCE[[#This Row],[PISO]])</f>
        <v>1</v>
      </c>
      <c r="BH20" s="3">
        <f>+IF(AVANCE[[#This Row],[TABIQUES]]=O$2,100%,AVANCE[[#This Row],[TABIQUES]])</f>
        <v>1</v>
      </c>
      <c r="BI20" s="3">
        <f>+IF(AVANCE[[#This Row],[MUROS]]=P$2,100%,AVANCE[[#This Row],[MUROS]])</f>
        <v>1</v>
      </c>
      <c r="BJ20" s="3">
        <f>+IF(AVANCE[[#This Row],[CIELO]]=Q$2,100%,AVANCE[[#This Row],[CIELO]])</f>
        <v>1</v>
      </c>
      <c r="BK20" s="3">
        <f>+IF(AVANCE[[#This Row],[BALCÓN]]=R$2,100%,AVANCE[[#This Row],[BALCÓN]])</f>
        <v>1</v>
      </c>
      <c r="BL20" s="3">
        <f>+IF(AVANCE[[#This Row],[RED ALCANTARILLADO]]=U$2,100%,AVANCE[[#This Row],[RED ALCANTARILLADO]])</f>
        <v>1</v>
      </c>
      <c r="BM20" s="3">
        <f>+IF(AVANCE[[#This Row],[RED DE AGUA]]=V$2,100%,AVANCE[[#This Row],[RED DE AGUA]])</f>
        <v>1</v>
      </c>
      <c r="BN20" s="3">
        <f>+IF(AVANCE[[#This Row],[VENTILACIONES]]=W$2,100%,AVANCE[[#This Row],[VENTILACIONES]])</f>
        <v>1</v>
      </c>
      <c r="BO20" s="3">
        <f>+IF(AVANCE[[#This Row],[TINA]]=X$2,100%,AVANCE[[#This Row],[TINA]])</f>
        <v>1</v>
      </c>
      <c r="BP20" s="3">
        <f>+IF(AVANCE[[#This Row],[WC]]=Y$2,100%,AVANCE[[#This Row],[WC]])</f>
        <v>1</v>
      </c>
      <c r="BQ20" s="3">
        <f>+IF(AVANCE[[#This Row],[LAVAMANOS / LAVAPLATOS / LAVADERO]]=Z$2,100%,AVANCE[[#This Row],[LAVAMANOS / LAVAPLATOS / LAVADERO]])</f>
        <v>1</v>
      </c>
      <c r="BR20" s="3">
        <f>+IF(AVANCE[[#This Row],[CANALIZACIÓN]]=AC$2,100%,AVANCE[[#This Row],[CANALIZACIÓN]])</f>
        <v>1</v>
      </c>
      <c r="BS20" s="3">
        <f>+IF(AVANCE[[#This Row],[CABLEADO]]=AD$2,100%,AVANCE[[#This Row],[CABLEADO]])</f>
        <v>1</v>
      </c>
      <c r="BT20" s="3">
        <f>+IF(AVANCE[[#This Row],[ARTEFACTOS]]=AE$2,100%,AVANCE[[#This Row],[ARTEFACTOS]])</f>
        <v>1</v>
      </c>
      <c r="BU20" s="3">
        <f>+IF(AVANCE[[#This Row],[TABLERO]]=AF$2,100%,AVANCE[[#This Row],[TABLERO]])</f>
        <v>1</v>
      </c>
      <c r="BV20" s="3">
        <f>+IF(AVANCE[[#This Row],[CAJA PAU]]=AG$2,100%,AVANCE[[#This Row],[CAJA PAU]])</f>
        <v>1</v>
      </c>
      <c r="BW20" s="3">
        <f>+IF(AVANCE[[#This Row],[INSTALACION VINILICO]]=AJ$2,100%,AVANCE[[#This Row],[INSTALACION VINILICO]])</f>
        <v>1</v>
      </c>
      <c r="BX20" s="3">
        <f>+IF(AVANCE[[#This Row],[OSB CUBIERTA]]=AK$2,100%,AVANCE[[#This Row],[OSB CUBIERTA]])</f>
        <v>1</v>
      </c>
      <c r="BY20" s="3">
        <f>+IF(AVANCE[[#This Row],[BARANDA BALCON]]=AL$2,100%,AVANCE[[#This Row],[BARANDA BALCON]])</f>
        <v>1</v>
      </c>
      <c r="BZ20" s="3">
        <f>+IF(AVANCE[[#This Row],[OSB EXTERIOR]]=AM$2,100%,AVANCE[[#This Row],[OSB EXTERIOR]])</f>
        <v>1</v>
      </c>
      <c r="CA20" s="3">
        <f>+IF(AVANCE[[#This Row],[SMART PANEL]]=AN$2,100%,AVANCE[[#This Row],[SMART PANEL]])</f>
        <v>1</v>
      </c>
      <c r="CB20" s="3">
        <f>+IF(AVANCE[[#This Row],[PINTURA EXTERIOR]]=AO$2,100%,AVANCE[[#This Row],[PINTURA EXTERIOR]])</f>
        <v>1</v>
      </c>
      <c r="CC20" s="3">
        <f>+IF(AVANCE[[#This Row],[ZOCALOS LOGIA]]=AP$2,100%,AVANCE[[#This Row],[ZOCALOS LOGIA]])</f>
        <v>1</v>
      </c>
      <c r="CD20" s="3">
        <f>+IF(AVANCE[[#This Row],[MOLDURAS]]=AQ$2,100%,AVANCE[[#This Row],[MOLDURAS]])</f>
        <v>1</v>
      </c>
      <c r="CE20" s="3">
        <f>+IF(AVANCE[[#This Row],[PILASTREO]]=AR$2,100%,AVANCE[[#This Row],[PILASTREO]])</f>
        <v>1</v>
      </c>
      <c r="CF20" s="3">
        <f>+IF(AVANCE[[#This Row],[CELOSIAS]]=AS$2,100%,AVANCE[[#This Row],[CELOSIAS]])</f>
        <v>1</v>
      </c>
      <c r="CG20" s="3">
        <f>+IF(AVANCE[[#This Row],[VENTANAS]]=AT$2,100%,AVANCE[[#This Row],[VENTANAS]])</f>
        <v>1</v>
      </c>
      <c r="CH20" s="3">
        <f>+IF(AVANCE[[#This Row],[PUERTAS ACCESO - LOGIA - BANO]]=AU$2,100%,AVANCE[[#This Row],[PUERTAS ACCESO - LOGIA - BANO]])</f>
        <v>1</v>
      </c>
      <c r="CI20" s="3">
        <f>+IF(AVANCE[[#This Row],[CERRADURAS]]=AV$2,100%,AVANCE[[#This Row],[CERRADURAS]])</f>
        <v>1</v>
      </c>
      <c r="CJ20" s="3">
        <f>+IF(AVANCE[[#This Row],[REVESTIMIENTO INTERIOR ZONA SECA]]=AW$2,100%,AVANCE[[#This Row],[REVESTIMIENTO INTERIOR ZONA SECA]])</f>
        <v>1</v>
      </c>
      <c r="CK20" s="3">
        <f>+IF(AVANCE[[#This Row],[REVESTIMIENTO INTERIOR ZONAS HUMEDAS]]=AX$2,100%,AVANCE[[#This Row],[REVESTIMIENTO INTERIOR ZONAS HUMEDAS]])</f>
        <v>1</v>
      </c>
      <c r="CL20" s="3">
        <f>+IF(AVANCE[[#This Row],[MEMBRANA CIELO]]=AY$2,100%,AVANCE[[#This Row],[MEMBRANA CIELO]])</f>
        <v>1</v>
      </c>
      <c r="CM20" s="3">
        <f>+IF(AVANCE[[#This Row],[LIMPIEZA FINAL]]=AZ$2,100%,AVANCE[[#This Row],[LIMPIEZA FINAL]])</f>
        <v>1</v>
      </c>
      <c r="CN20" s="3">
        <f>+IF(AVANCE[[#This Row],[PUERTAS DORMITORIO]]=BA$2,100%,AVANCE[[#This Row],[PUERTAS DORMITORIO]])</f>
        <v>1</v>
      </c>
      <c r="CO20" s="3">
        <f>+IF(AVANCE[[#This Row],[REVESTIMIENTO INTERIOR BANO]]=BB$2,100%,AVANCE[[#This Row],[REVESTIMIENTO INTERIOR BANO]])</f>
        <v>1</v>
      </c>
      <c r="CP20" s="3">
        <f>+IF(AVANCE[[#This Row],[MUEBLE LAVAPLATOS]]=BC$2,100%,AVANCE[[#This Row],[MUEBLE LAVAPLATOS]])</f>
        <v>1</v>
      </c>
      <c r="CQ20" s="3">
        <f>+IF(AVANCE[[#This Row],[IMPERMEABILIZACION BANO - COCINA LOGIA]]=BD$2,100%,AVANCE[[#This Row],[IMPERMEABILIZACION BANO - COCINA LOGIA]])</f>
        <v>1</v>
      </c>
      <c r="CR20" s="40">
        <f ca="1">+IF(AVANCE[[#This Row],[ESTADO MODULO]]="PENDIENTE",(TODAY()-AVANCE[[#This Row],[FECHA TERMINO  PLANIFICADO]]),0)</f>
        <v>0</v>
      </c>
      <c r="CS20" s="42" t="str" cm="1">
        <f t="array" ref="CS20">_xlfn.TEXTJOIN(" | ",TRUE,IF(SUMPRODUCT((BF20:CQ20&lt;1)*(PARTIDAS!$I$2:$AT$2="OBRA GRUESA"))&gt;0,"OBRA GRUESA: "&amp;_xlfn.TEXTJOIN(", ",TRUE,IF((BF20:CQ20&lt;1)*(PARTIDAS!$I$2:$AT$2="OBRA GRUESA"),PARTIDAS!$I$1:$AT$1,"")),""),IF(SUMPRODUCT((BF20:CQ20&lt;1)*(PARTIDAS!$I$2:$AT$2="SANITARIOS"))&gt;0,"SANITARIOS: "&amp;_xlfn.TEXTJOIN(", ",TRUE,IF((BF20:CQ20&lt;1)*(PARTIDAS!$I$2:$AT$2="SANITARIOS"),PARTIDAS!$I$1:$AT$1,"")),""),IF(SUMPRODUCT((BF20:CQ20&lt;1)*(PARTIDAS!$I$2:$AT$2="ELÉCTRICO"))&gt;0,"ELÉCTRICO: "&amp;_xlfn.TEXTJOIN(", ",TRUE,IF((BF20:CQ20&lt;1)*(PARTIDAS!$I$2:$AT$2="ELÉCTRICO"),PARTIDAS!$I$1:$AT$1,"")),""),IF(SUMPRODUCT((BF20:CQ20&lt;1)*(PARTIDAS!$I$2:$AT$2="TERMINACIONES"))&gt;0,"TERMINACIONES: "&amp;_xlfn.TEXTJOIN(", ",TRUE,IF((BF20:CQ20&lt;1)*(PARTIDAS!$I$2:$AT$2="TERMINACIONES"),PARTIDAS!$I$1:$AT$1,"")),""))</f>
        <v/>
      </c>
      <c r="CT20" s="45" t="str" cm="1">
        <f t="array" ref="CT20">_xlfn.TEXTJOIN(", ",TRUE,IF(SUMPRODUCT((BF20:CQ20&lt;1)*(PARTIDAS!$I$2:$AT$2="OBRA GRUESA"))&gt;0,"OBRA GRUESA",""),IF(SUMPRODUCT((BF20:CQ20&lt;1)*(PARTIDAS!$I$2:$AT$2="SANITARIOS"))&gt;0,"SANITARIOS",""),IF(SUMPRODUCT((BF20:CQ20&lt;1)*(PARTIDAS!$I$2:$AT$2="ELÉCTRICO"))&gt;0,"ELÉCTRICO",""),IF(SUMPRODUCT((BF20:CQ20&lt;1)*(PARTIDAS!$I$2:$AT$2="TERMINACIONES"))&gt;0,"TERMINACIONES",""))</f>
        <v/>
      </c>
      <c r="CU20" s="46" cm="1">
        <f t="array" ref="CU20">SUMPRODUCT(--(BF20:CQ20&lt;1))</f>
        <v>0</v>
      </c>
    </row>
    <row r="21" spans="1:99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 s="3" t="str">
        <f>+IF(AVANCE[[#This Row],[% AVANCE]]=100%,"MODULO TERMINADO",IF(AVANCE[[#This Row],[FECHA INICIO REAL]]="","MODULO NO INICIADO","PENDIENTE"))</f>
        <v>MODULO TERMINADO</v>
      </c>
      <c r="BF21" s="3">
        <f>+IF(AVANCE[[#This Row],[VENTANAS]]=8.10810810810811%,100%,AVANCE[[#This Row],[VENTANAS]])</f>
        <v>1</v>
      </c>
      <c r="BG21" s="3">
        <f>+IF(AVANCE[[#This Row],[PISO]]=N$2,100%,AVANCE[[#This Row],[PISO]])</f>
        <v>1</v>
      </c>
      <c r="BH21" s="3">
        <f>+IF(AVANCE[[#This Row],[TABIQUES]]=O$2,100%,AVANCE[[#This Row],[TABIQUES]])</f>
        <v>1</v>
      </c>
      <c r="BI21" s="3">
        <f>+IF(AVANCE[[#This Row],[MUROS]]=P$2,100%,AVANCE[[#This Row],[MUROS]])</f>
        <v>1</v>
      </c>
      <c r="BJ21" s="3">
        <f>+IF(AVANCE[[#This Row],[CIELO]]=Q$2,100%,AVANCE[[#This Row],[CIELO]])</f>
        <v>1</v>
      </c>
      <c r="BK21" s="3">
        <f>+IF(AVANCE[[#This Row],[BALCÓN]]=R$2,100%,AVANCE[[#This Row],[BALCÓN]])</f>
        <v>1</v>
      </c>
      <c r="BL21" s="3">
        <f>+IF(AVANCE[[#This Row],[RED ALCANTARILLADO]]=U$2,100%,AVANCE[[#This Row],[RED ALCANTARILLADO]])</f>
        <v>1</v>
      </c>
      <c r="BM21" s="3">
        <f>+IF(AVANCE[[#This Row],[RED DE AGUA]]=V$2,100%,AVANCE[[#This Row],[RED DE AGUA]])</f>
        <v>1</v>
      </c>
      <c r="BN21" s="3">
        <f>+IF(AVANCE[[#This Row],[VENTILACIONES]]=W$2,100%,AVANCE[[#This Row],[VENTILACIONES]])</f>
        <v>1</v>
      </c>
      <c r="BO21" s="3">
        <f>+IF(AVANCE[[#This Row],[TINA]]=X$2,100%,AVANCE[[#This Row],[TINA]])</f>
        <v>1</v>
      </c>
      <c r="BP21" s="3">
        <f>+IF(AVANCE[[#This Row],[WC]]=Y$2,100%,AVANCE[[#This Row],[WC]])</f>
        <v>1</v>
      </c>
      <c r="BQ21" s="3">
        <f>+IF(AVANCE[[#This Row],[LAVAMANOS / LAVAPLATOS / LAVADERO]]=Z$2,100%,AVANCE[[#This Row],[LAVAMANOS / LAVAPLATOS / LAVADERO]])</f>
        <v>1</v>
      </c>
      <c r="BR21" s="3">
        <f>+IF(AVANCE[[#This Row],[CANALIZACIÓN]]=AC$2,100%,AVANCE[[#This Row],[CANALIZACIÓN]])</f>
        <v>1</v>
      </c>
      <c r="BS21" s="3">
        <f>+IF(AVANCE[[#This Row],[CABLEADO]]=AD$2,100%,AVANCE[[#This Row],[CABLEADO]])</f>
        <v>1</v>
      </c>
      <c r="BT21" s="3">
        <f>+IF(AVANCE[[#This Row],[ARTEFACTOS]]=AE$2,100%,AVANCE[[#This Row],[ARTEFACTOS]])</f>
        <v>1</v>
      </c>
      <c r="BU21" s="3">
        <f>+IF(AVANCE[[#This Row],[TABLERO]]=AF$2,100%,AVANCE[[#This Row],[TABLERO]])</f>
        <v>1</v>
      </c>
      <c r="BV21" s="3">
        <f>+IF(AVANCE[[#This Row],[CAJA PAU]]=AG$2,100%,AVANCE[[#This Row],[CAJA PAU]])</f>
        <v>1</v>
      </c>
      <c r="BW21" s="3">
        <f>+IF(AVANCE[[#This Row],[INSTALACION VINILICO]]=AJ$2,100%,AVANCE[[#This Row],[INSTALACION VINILICO]])</f>
        <v>1</v>
      </c>
      <c r="BX21" s="3">
        <f>+IF(AVANCE[[#This Row],[OSB CUBIERTA]]=AK$2,100%,AVANCE[[#This Row],[OSB CUBIERTA]])</f>
        <v>1</v>
      </c>
      <c r="BY21" s="3">
        <f>+IF(AVANCE[[#This Row],[BARANDA BALCON]]=AL$2,100%,AVANCE[[#This Row],[BARANDA BALCON]])</f>
        <v>1</v>
      </c>
      <c r="BZ21" s="3">
        <f>+IF(AVANCE[[#This Row],[OSB EXTERIOR]]=AM$2,100%,AVANCE[[#This Row],[OSB EXTERIOR]])</f>
        <v>1</v>
      </c>
      <c r="CA21" s="3">
        <f>+IF(AVANCE[[#This Row],[SMART PANEL]]=AN$2,100%,AVANCE[[#This Row],[SMART PANEL]])</f>
        <v>1</v>
      </c>
      <c r="CB21" s="3">
        <f>+IF(AVANCE[[#This Row],[PINTURA EXTERIOR]]=AO$2,100%,AVANCE[[#This Row],[PINTURA EXTERIOR]])</f>
        <v>1</v>
      </c>
      <c r="CC21" s="3">
        <f>+IF(AVANCE[[#This Row],[ZOCALOS LOGIA]]=AP$2,100%,AVANCE[[#This Row],[ZOCALOS LOGIA]])</f>
        <v>1</v>
      </c>
      <c r="CD21" s="3">
        <f>+IF(AVANCE[[#This Row],[MOLDURAS]]=AQ$2,100%,AVANCE[[#This Row],[MOLDURAS]])</f>
        <v>1</v>
      </c>
      <c r="CE21" s="3">
        <f>+IF(AVANCE[[#This Row],[PILASTREO]]=AR$2,100%,AVANCE[[#This Row],[PILASTREO]])</f>
        <v>1</v>
      </c>
      <c r="CF21" s="3">
        <f>+IF(AVANCE[[#This Row],[CELOSIAS]]=AS$2,100%,AVANCE[[#This Row],[CELOSIAS]])</f>
        <v>1</v>
      </c>
      <c r="CG21" s="3">
        <f>+IF(AVANCE[[#This Row],[VENTANAS]]=AT$2,100%,AVANCE[[#This Row],[VENTANAS]])</f>
        <v>1</v>
      </c>
      <c r="CH21" s="3">
        <f>+IF(AVANCE[[#This Row],[PUERTAS ACCESO - LOGIA - BANO]]=AU$2,100%,AVANCE[[#This Row],[PUERTAS ACCESO - LOGIA - BANO]])</f>
        <v>1</v>
      </c>
      <c r="CI21" s="3">
        <f>+IF(AVANCE[[#This Row],[CERRADURAS]]=AV$2,100%,AVANCE[[#This Row],[CERRADURAS]])</f>
        <v>1</v>
      </c>
      <c r="CJ21" s="3">
        <f>+IF(AVANCE[[#This Row],[REVESTIMIENTO INTERIOR ZONA SECA]]=AW$2,100%,AVANCE[[#This Row],[REVESTIMIENTO INTERIOR ZONA SECA]])</f>
        <v>1</v>
      </c>
      <c r="CK21" s="3">
        <f>+IF(AVANCE[[#This Row],[REVESTIMIENTO INTERIOR ZONAS HUMEDAS]]=AX$2,100%,AVANCE[[#This Row],[REVESTIMIENTO INTERIOR ZONAS HUMEDAS]])</f>
        <v>1</v>
      </c>
      <c r="CL21" s="3">
        <f>+IF(AVANCE[[#This Row],[MEMBRANA CIELO]]=AY$2,100%,AVANCE[[#This Row],[MEMBRANA CIELO]])</f>
        <v>1</v>
      </c>
      <c r="CM21" s="3">
        <f>+IF(AVANCE[[#This Row],[LIMPIEZA FINAL]]=AZ$2,100%,AVANCE[[#This Row],[LIMPIEZA FINAL]])</f>
        <v>1</v>
      </c>
      <c r="CN21" s="3">
        <f>+IF(AVANCE[[#This Row],[PUERTAS DORMITORIO]]=BA$2,100%,AVANCE[[#This Row],[PUERTAS DORMITORIO]])</f>
        <v>1</v>
      </c>
      <c r="CO21" s="3">
        <f>+IF(AVANCE[[#This Row],[REVESTIMIENTO INTERIOR BANO]]=BB$2,100%,AVANCE[[#This Row],[REVESTIMIENTO INTERIOR BANO]])</f>
        <v>1</v>
      </c>
      <c r="CP21" s="3">
        <f>+IF(AVANCE[[#This Row],[MUEBLE LAVAPLATOS]]=BC$2,100%,AVANCE[[#This Row],[MUEBLE LAVAPLATOS]])</f>
        <v>1</v>
      </c>
      <c r="CQ21" s="3">
        <f>+IF(AVANCE[[#This Row],[IMPERMEABILIZACION BANO - COCINA LOGIA]]=BD$2,100%,AVANCE[[#This Row],[IMPERMEABILIZACION BANO - COCINA LOGIA]])</f>
        <v>1</v>
      </c>
      <c r="CR21" s="40">
        <f ca="1">+IF(AVANCE[[#This Row],[ESTADO MODULO]]="PENDIENTE",(TODAY()-AVANCE[[#This Row],[FECHA TERMINO  PLANIFICADO]]),0)</f>
        <v>0</v>
      </c>
      <c r="CS21" s="42" t="str" cm="1">
        <f t="array" ref="CS21">_xlfn.TEXTJOIN(" | ",TRUE,IF(SUMPRODUCT((BF21:CQ21&lt;1)*(PARTIDAS!$I$2:$AT$2="OBRA GRUESA"))&gt;0,"OBRA GRUESA: "&amp;_xlfn.TEXTJOIN(", ",TRUE,IF((BF21:CQ21&lt;1)*(PARTIDAS!$I$2:$AT$2="OBRA GRUESA"),PARTIDAS!$I$1:$AT$1,"")),""),IF(SUMPRODUCT((BF21:CQ21&lt;1)*(PARTIDAS!$I$2:$AT$2="SANITARIOS"))&gt;0,"SANITARIOS: "&amp;_xlfn.TEXTJOIN(", ",TRUE,IF((BF21:CQ21&lt;1)*(PARTIDAS!$I$2:$AT$2="SANITARIOS"),PARTIDAS!$I$1:$AT$1,"")),""),IF(SUMPRODUCT((BF21:CQ21&lt;1)*(PARTIDAS!$I$2:$AT$2="ELÉCTRICO"))&gt;0,"ELÉCTRICO: "&amp;_xlfn.TEXTJOIN(", ",TRUE,IF((BF21:CQ21&lt;1)*(PARTIDAS!$I$2:$AT$2="ELÉCTRICO"),PARTIDAS!$I$1:$AT$1,"")),""),IF(SUMPRODUCT((BF21:CQ21&lt;1)*(PARTIDAS!$I$2:$AT$2="TERMINACIONES"))&gt;0,"TERMINACIONES: "&amp;_xlfn.TEXTJOIN(", ",TRUE,IF((BF21:CQ21&lt;1)*(PARTIDAS!$I$2:$AT$2="TERMINACIONES"),PARTIDAS!$I$1:$AT$1,"")),""))</f>
        <v/>
      </c>
      <c r="CT21" s="45" t="str" cm="1">
        <f t="array" ref="CT21">_xlfn.TEXTJOIN(", ",TRUE,IF(SUMPRODUCT((BF21:CQ21&lt;1)*(PARTIDAS!$I$2:$AT$2="OBRA GRUESA"))&gt;0,"OBRA GRUESA",""),IF(SUMPRODUCT((BF21:CQ21&lt;1)*(PARTIDAS!$I$2:$AT$2="SANITARIOS"))&gt;0,"SANITARIOS",""),IF(SUMPRODUCT((BF21:CQ21&lt;1)*(PARTIDAS!$I$2:$AT$2="ELÉCTRICO"))&gt;0,"ELÉCTRICO",""),IF(SUMPRODUCT((BF21:CQ21&lt;1)*(PARTIDAS!$I$2:$AT$2="TERMINACIONES"))&gt;0,"TERMINACIONES",""))</f>
        <v/>
      </c>
      <c r="CU21" s="46" cm="1">
        <f t="array" ref="CU21">SUMPRODUCT(--(BF21:CQ21&lt;1))</f>
        <v>0</v>
      </c>
    </row>
    <row r="22" spans="1:99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 s="3" t="str">
        <f>+IF(AVANCE[[#This Row],[% AVANCE]]=100%,"MODULO TERMINADO",IF(AVANCE[[#This Row],[FECHA INICIO REAL]]="","MODULO NO INICIADO","PENDIENTE"))</f>
        <v>MODULO TERMINADO</v>
      </c>
      <c r="BF22" s="3">
        <f>+IF(AVANCE[[#This Row],[VENTANAS]]=8.10810810810811%,100%,AVANCE[[#This Row],[VENTANAS]])</f>
        <v>1</v>
      </c>
      <c r="BG22" s="3">
        <f>+IF(AVANCE[[#This Row],[PISO]]=N$2,100%,AVANCE[[#This Row],[PISO]])</f>
        <v>1</v>
      </c>
      <c r="BH22" s="3">
        <f>+IF(AVANCE[[#This Row],[TABIQUES]]=O$2,100%,AVANCE[[#This Row],[TABIQUES]])</f>
        <v>1</v>
      </c>
      <c r="BI22" s="3">
        <f>+IF(AVANCE[[#This Row],[MUROS]]=P$2,100%,AVANCE[[#This Row],[MUROS]])</f>
        <v>1</v>
      </c>
      <c r="BJ22" s="3">
        <f>+IF(AVANCE[[#This Row],[CIELO]]=Q$2,100%,AVANCE[[#This Row],[CIELO]])</f>
        <v>1</v>
      </c>
      <c r="BK22" s="3">
        <f>+IF(AVANCE[[#This Row],[BALCÓN]]=R$2,100%,AVANCE[[#This Row],[BALCÓN]])</f>
        <v>1</v>
      </c>
      <c r="BL22" s="3">
        <f>+IF(AVANCE[[#This Row],[RED ALCANTARILLADO]]=U$2,100%,AVANCE[[#This Row],[RED ALCANTARILLADO]])</f>
        <v>1</v>
      </c>
      <c r="BM22" s="3">
        <f>+IF(AVANCE[[#This Row],[RED DE AGUA]]=V$2,100%,AVANCE[[#This Row],[RED DE AGUA]])</f>
        <v>1</v>
      </c>
      <c r="BN22" s="3">
        <f>+IF(AVANCE[[#This Row],[VENTILACIONES]]=W$2,100%,AVANCE[[#This Row],[VENTILACIONES]])</f>
        <v>1</v>
      </c>
      <c r="BO22" s="3">
        <f>+IF(AVANCE[[#This Row],[TINA]]=X$2,100%,AVANCE[[#This Row],[TINA]])</f>
        <v>1</v>
      </c>
      <c r="BP22" s="3">
        <f>+IF(AVANCE[[#This Row],[WC]]=Y$2,100%,AVANCE[[#This Row],[WC]])</f>
        <v>1</v>
      </c>
      <c r="BQ22" s="3">
        <f>+IF(AVANCE[[#This Row],[LAVAMANOS / LAVAPLATOS / LAVADERO]]=Z$2,100%,AVANCE[[#This Row],[LAVAMANOS / LAVAPLATOS / LAVADERO]])</f>
        <v>1</v>
      </c>
      <c r="BR22" s="3">
        <f>+IF(AVANCE[[#This Row],[CANALIZACIÓN]]=AC$2,100%,AVANCE[[#This Row],[CANALIZACIÓN]])</f>
        <v>1</v>
      </c>
      <c r="BS22" s="3">
        <f>+IF(AVANCE[[#This Row],[CABLEADO]]=AD$2,100%,AVANCE[[#This Row],[CABLEADO]])</f>
        <v>1</v>
      </c>
      <c r="BT22" s="3">
        <f>+IF(AVANCE[[#This Row],[ARTEFACTOS]]=AE$2,100%,AVANCE[[#This Row],[ARTEFACTOS]])</f>
        <v>1</v>
      </c>
      <c r="BU22" s="3">
        <f>+IF(AVANCE[[#This Row],[TABLERO]]=AF$2,100%,AVANCE[[#This Row],[TABLERO]])</f>
        <v>1</v>
      </c>
      <c r="BV22" s="3">
        <f>+IF(AVANCE[[#This Row],[CAJA PAU]]=AG$2,100%,AVANCE[[#This Row],[CAJA PAU]])</f>
        <v>1</v>
      </c>
      <c r="BW22" s="3">
        <f>+IF(AVANCE[[#This Row],[INSTALACION VINILICO]]=AJ$2,100%,AVANCE[[#This Row],[INSTALACION VINILICO]])</f>
        <v>1</v>
      </c>
      <c r="BX22" s="3">
        <f>+IF(AVANCE[[#This Row],[OSB CUBIERTA]]=AK$2,100%,AVANCE[[#This Row],[OSB CUBIERTA]])</f>
        <v>1</v>
      </c>
      <c r="BY22" s="3">
        <f>+IF(AVANCE[[#This Row],[BARANDA BALCON]]=AL$2,100%,AVANCE[[#This Row],[BARANDA BALCON]])</f>
        <v>1</v>
      </c>
      <c r="BZ22" s="3">
        <f>+IF(AVANCE[[#This Row],[OSB EXTERIOR]]=AM$2,100%,AVANCE[[#This Row],[OSB EXTERIOR]])</f>
        <v>1</v>
      </c>
      <c r="CA22" s="3">
        <f>+IF(AVANCE[[#This Row],[SMART PANEL]]=AN$2,100%,AVANCE[[#This Row],[SMART PANEL]])</f>
        <v>1</v>
      </c>
      <c r="CB22" s="3">
        <f>+IF(AVANCE[[#This Row],[PINTURA EXTERIOR]]=AO$2,100%,AVANCE[[#This Row],[PINTURA EXTERIOR]])</f>
        <v>1</v>
      </c>
      <c r="CC22" s="3">
        <f>+IF(AVANCE[[#This Row],[ZOCALOS LOGIA]]=AP$2,100%,AVANCE[[#This Row],[ZOCALOS LOGIA]])</f>
        <v>1</v>
      </c>
      <c r="CD22" s="3">
        <f>+IF(AVANCE[[#This Row],[MOLDURAS]]=AQ$2,100%,AVANCE[[#This Row],[MOLDURAS]])</f>
        <v>1</v>
      </c>
      <c r="CE22" s="3">
        <f>+IF(AVANCE[[#This Row],[PILASTREO]]=AR$2,100%,AVANCE[[#This Row],[PILASTREO]])</f>
        <v>1</v>
      </c>
      <c r="CF22" s="3">
        <f>+IF(AVANCE[[#This Row],[CELOSIAS]]=AS$2,100%,AVANCE[[#This Row],[CELOSIAS]])</f>
        <v>1</v>
      </c>
      <c r="CG22" s="3">
        <f>+IF(AVANCE[[#This Row],[VENTANAS]]=AT$2,100%,AVANCE[[#This Row],[VENTANAS]])</f>
        <v>1</v>
      </c>
      <c r="CH22" s="3">
        <f>+IF(AVANCE[[#This Row],[PUERTAS ACCESO - LOGIA - BANO]]=AU$2,100%,AVANCE[[#This Row],[PUERTAS ACCESO - LOGIA - BANO]])</f>
        <v>1</v>
      </c>
      <c r="CI22" s="3">
        <f>+IF(AVANCE[[#This Row],[CERRADURAS]]=AV$2,100%,AVANCE[[#This Row],[CERRADURAS]])</f>
        <v>1</v>
      </c>
      <c r="CJ22" s="3">
        <f>+IF(AVANCE[[#This Row],[REVESTIMIENTO INTERIOR ZONA SECA]]=AW$2,100%,AVANCE[[#This Row],[REVESTIMIENTO INTERIOR ZONA SECA]])</f>
        <v>1</v>
      </c>
      <c r="CK22" s="3">
        <f>+IF(AVANCE[[#This Row],[REVESTIMIENTO INTERIOR ZONAS HUMEDAS]]=AX$2,100%,AVANCE[[#This Row],[REVESTIMIENTO INTERIOR ZONAS HUMEDAS]])</f>
        <v>1</v>
      </c>
      <c r="CL22" s="3">
        <f>+IF(AVANCE[[#This Row],[MEMBRANA CIELO]]=AY$2,100%,AVANCE[[#This Row],[MEMBRANA CIELO]])</f>
        <v>1</v>
      </c>
      <c r="CM22" s="3">
        <f>+IF(AVANCE[[#This Row],[LIMPIEZA FINAL]]=AZ$2,100%,AVANCE[[#This Row],[LIMPIEZA FINAL]])</f>
        <v>1</v>
      </c>
      <c r="CN22" s="3">
        <f>+IF(AVANCE[[#This Row],[PUERTAS DORMITORIO]]=BA$2,100%,AVANCE[[#This Row],[PUERTAS DORMITORIO]])</f>
        <v>1</v>
      </c>
      <c r="CO22" s="3">
        <f>+IF(AVANCE[[#This Row],[REVESTIMIENTO INTERIOR BANO]]=BB$2,100%,AVANCE[[#This Row],[REVESTIMIENTO INTERIOR BANO]])</f>
        <v>1</v>
      </c>
      <c r="CP22" s="3">
        <f>+IF(AVANCE[[#This Row],[MUEBLE LAVAPLATOS]]=BC$2,100%,AVANCE[[#This Row],[MUEBLE LAVAPLATOS]])</f>
        <v>1</v>
      </c>
      <c r="CQ22" s="3">
        <f>+IF(AVANCE[[#This Row],[IMPERMEABILIZACION BANO - COCINA LOGIA]]=BD$2,100%,AVANCE[[#This Row],[IMPERMEABILIZACION BANO - COCINA LOGIA]])</f>
        <v>1</v>
      </c>
      <c r="CR22" s="40">
        <f ca="1">+IF(AVANCE[[#This Row],[ESTADO MODULO]]="PENDIENTE",(TODAY()-AVANCE[[#This Row],[FECHA TERMINO  PLANIFICADO]]),0)</f>
        <v>0</v>
      </c>
      <c r="CS22" s="42" t="str" cm="1">
        <f t="array" ref="CS22">_xlfn.TEXTJOIN(" | ",TRUE,IF(SUMPRODUCT((BF22:CQ22&lt;1)*(PARTIDAS!$I$2:$AT$2="OBRA GRUESA"))&gt;0,"OBRA GRUESA: "&amp;_xlfn.TEXTJOIN(", ",TRUE,IF((BF22:CQ22&lt;1)*(PARTIDAS!$I$2:$AT$2="OBRA GRUESA"),PARTIDAS!$I$1:$AT$1,"")),""),IF(SUMPRODUCT((BF22:CQ22&lt;1)*(PARTIDAS!$I$2:$AT$2="SANITARIOS"))&gt;0,"SANITARIOS: "&amp;_xlfn.TEXTJOIN(", ",TRUE,IF((BF22:CQ22&lt;1)*(PARTIDAS!$I$2:$AT$2="SANITARIOS"),PARTIDAS!$I$1:$AT$1,"")),""),IF(SUMPRODUCT((BF22:CQ22&lt;1)*(PARTIDAS!$I$2:$AT$2="ELÉCTRICO"))&gt;0,"ELÉCTRICO: "&amp;_xlfn.TEXTJOIN(", ",TRUE,IF((BF22:CQ22&lt;1)*(PARTIDAS!$I$2:$AT$2="ELÉCTRICO"),PARTIDAS!$I$1:$AT$1,"")),""),IF(SUMPRODUCT((BF22:CQ22&lt;1)*(PARTIDAS!$I$2:$AT$2="TERMINACIONES"))&gt;0,"TERMINACIONES: "&amp;_xlfn.TEXTJOIN(", ",TRUE,IF((BF22:CQ22&lt;1)*(PARTIDAS!$I$2:$AT$2="TERMINACIONES"),PARTIDAS!$I$1:$AT$1,"")),""))</f>
        <v/>
      </c>
      <c r="CT22" s="45" t="str" cm="1">
        <f t="array" ref="CT22">_xlfn.TEXTJOIN(", ",TRUE,IF(SUMPRODUCT((BF22:CQ22&lt;1)*(PARTIDAS!$I$2:$AT$2="OBRA GRUESA"))&gt;0,"OBRA GRUESA",""),IF(SUMPRODUCT((BF22:CQ22&lt;1)*(PARTIDAS!$I$2:$AT$2="SANITARIOS"))&gt;0,"SANITARIOS",""),IF(SUMPRODUCT((BF22:CQ22&lt;1)*(PARTIDAS!$I$2:$AT$2="ELÉCTRICO"))&gt;0,"ELÉCTRICO",""),IF(SUMPRODUCT((BF22:CQ22&lt;1)*(PARTIDAS!$I$2:$AT$2="TERMINACIONES"))&gt;0,"TERMINACIONES",""))</f>
        <v/>
      </c>
      <c r="CU22" s="46" cm="1">
        <f t="array" ref="CU22">SUMPRODUCT(--(BF22:CQ22&lt;1))</f>
        <v>0</v>
      </c>
    </row>
    <row r="23" spans="1:99" x14ac:dyDescent="0.25">
      <c r="A23" t="s">
        <v>56</v>
      </c>
      <c r="B23" t="s">
        <v>80</v>
      </c>
      <c r="C23">
        <v>2302600022</v>
      </c>
      <c r="D23" t="s">
        <v>60</v>
      </c>
      <c r="E23" s="2">
        <v>0.98499999999999988</v>
      </c>
      <c r="F23" s="1">
        <v>46091</v>
      </c>
      <c r="G23" s="1">
        <v>46091</v>
      </c>
      <c r="H23" s="1">
        <v>46171</v>
      </c>
      <c r="I23" s="1">
        <v>46150</v>
      </c>
      <c r="J23">
        <v>10</v>
      </c>
      <c r="K23" s="1"/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0.35499999999999982</v>
      </c>
      <c r="AI23" s="3">
        <v>0.95945945945945899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0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 s="3" t="str">
        <f>+IF(AVANCE[[#This Row],[% AVANCE]]=100%,"MODULO TERMINADO",IF(AVANCE[[#This Row],[FECHA INICIO REAL]]="","MODULO NO INICIADO","PENDIENTE"))</f>
        <v>PENDIENTE</v>
      </c>
      <c r="BF23" s="3">
        <f>+IF(AVANCE[[#This Row],[VENTANAS]]=8.10810810810811%,100%,AVANCE[[#This Row],[VENTANAS]])</f>
        <v>1</v>
      </c>
      <c r="BG23" s="3">
        <f>+IF(AVANCE[[#This Row],[PISO]]=N$2,100%,AVANCE[[#This Row],[PISO]])</f>
        <v>1</v>
      </c>
      <c r="BH23" s="3">
        <f>+IF(AVANCE[[#This Row],[TABIQUES]]=O$2,100%,AVANCE[[#This Row],[TABIQUES]])</f>
        <v>1</v>
      </c>
      <c r="BI23" s="3">
        <f>+IF(AVANCE[[#This Row],[MUROS]]=P$2,100%,AVANCE[[#This Row],[MUROS]])</f>
        <v>1</v>
      </c>
      <c r="BJ23" s="3">
        <f>+IF(AVANCE[[#This Row],[CIELO]]=Q$2,100%,AVANCE[[#This Row],[CIELO]])</f>
        <v>1</v>
      </c>
      <c r="BK23" s="3">
        <f>+IF(AVANCE[[#This Row],[BALCÓN]]=R$2,100%,AVANCE[[#This Row],[BALCÓN]])</f>
        <v>1</v>
      </c>
      <c r="BL23" s="3">
        <f>+IF(AVANCE[[#This Row],[RED ALCANTARILLADO]]=U$2,100%,AVANCE[[#This Row],[RED ALCANTARILLADO]])</f>
        <v>1</v>
      </c>
      <c r="BM23" s="3">
        <f>+IF(AVANCE[[#This Row],[RED DE AGUA]]=V$2,100%,AVANCE[[#This Row],[RED DE AGUA]])</f>
        <v>1</v>
      </c>
      <c r="BN23" s="3">
        <f>+IF(AVANCE[[#This Row],[VENTILACIONES]]=W$2,100%,AVANCE[[#This Row],[VENTILACIONES]])</f>
        <v>1</v>
      </c>
      <c r="BO23" s="3">
        <f>+IF(AVANCE[[#This Row],[TINA]]=X$2,100%,AVANCE[[#This Row],[TINA]])</f>
        <v>1</v>
      </c>
      <c r="BP23" s="3">
        <f>+IF(AVANCE[[#This Row],[WC]]=Y$2,100%,AVANCE[[#This Row],[WC]])</f>
        <v>1</v>
      </c>
      <c r="BQ23" s="3">
        <f>+IF(AVANCE[[#This Row],[LAVAMANOS / LAVAPLATOS / LAVADERO]]=Z$2,100%,AVANCE[[#This Row],[LAVAMANOS / LAVAPLATOS / LAVADERO]])</f>
        <v>1</v>
      </c>
      <c r="BR23" s="3">
        <f>+IF(AVANCE[[#This Row],[CANALIZACIÓN]]=AC$2,100%,AVANCE[[#This Row],[CANALIZACIÓN]])</f>
        <v>1</v>
      </c>
      <c r="BS23" s="3">
        <f>+IF(AVANCE[[#This Row],[CABLEADO]]=AD$2,100%,AVANCE[[#This Row],[CABLEADO]])</f>
        <v>1</v>
      </c>
      <c r="BT23" s="3">
        <f>+IF(AVANCE[[#This Row],[ARTEFACTOS]]=AE$2,100%,AVANCE[[#This Row],[ARTEFACTOS]])</f>
        <v>1</v>
      </c>
      <c r="BU23" s="3">
        <f>+IF(AVANCE[[#This Row],[TABLERO]]=AF$2,100%,AVANCE[[#This Row],[TABLERO]])</f>
        <v>1</v>
      </c>
      <c r="BV23" s="3">
        <f>+IF(AVANCE[[#This Row],[CAJA PAU]]=AG$2,100%,AVANCE[[#This Row],[CAJA PAU]])</f>
        <v>1</v>
      </c>
      <c r="BW23" s="3">
        <f>+IF(AVANCE[[#This Row],[INSTALACION VINILICO]]=AJ$2,100%,AVANCE[[#This Row],[INSTALACION VINILICO]])</f>
        <v>1</v>
      </c>
      <c r="BX23" s="3">
        <f>+IF(AVANCE[[#This Row],[OSB CUBIERTA]]=AK$2,100%,AVANCE[[#This Row],[OSB CUBIERTA]])</f>
        <v>1</v>
      </c>
      <c r="BY23" s="3">
        <f>+IF(AVANCE[[#This Row],[BARANDA BALCON]]=AL$2,100%,AVANCE[[#This Row],[BARANDA BALCON]])</f>
        <v>1</v>
      </c>
      <c r="BZ23" s="3">
        <f>+IF(AVANCE[[#This Row],[OSB EXTERIOR]]=AM$2,100%,AVANCE[[#This Row],[OSB EXTERIOR]])</f>
        <v>1</v>
      </c>
      <c r="CA23" s="3">
        <f>+IF(AVANCE[[#This Row],[SMART PANEL]]=AN$2,100%,AVANCE[[#This Row],[SMART PANEL]])</f>
        <v>1</v>
      </c>
      <c r="CB23" s="3">
        <f>+IF(AVANCE[[#This Row],[PINTURA EXTERIOR]]=AO$2,100%,AVANCE[[#This Row],[PINTURA EXTERIOR]])</f>
        <v>1</v>
      </c>
      <c r="CC23" s="3">
        <f>+IF(AVANCE[[#This Row],[ZOCALOS LOGIA]]=AP$2,100%,AVANCE[[#This Row],[ZOCALOS LOGIA]])</f>
        <v>1</v>
      </c>
      <c r="CD23" s="3">
        <f>+IF(AVANCE[[#This Row],[MOLDURAS]]=AQ$2,100%,AVANCE[[#This Row],[MOLDURAS]])</f>
        <v>1</v>
      </c>
      <c r="CE23" s="3">
        <f>+IF(AVANCE[[#This Row],[PILASTREO]]=AR$2,100%,AVANCE[[#This Row],[PILASTREO]])</f>
        <v>1</v>
      </c>
      <c r="CF23" s="3">
        <f>+IF(AVANCE[[#This Row],[CELOSIAS]]=AS$2,100%,AVANCE[[#This Row],[CELOSIAS]])</f>
        <v>1</v>
      </c>
      <c r="CG23" s="3">
        <f>+IF(AVANCE[[#This Row],[VENTANAS]]=AT$2,100%,AVANCE[[#This Row],[VENTANAS]])</f>
        <v>1</v>
      </c>
      <c r="CH23" s="3">
        <f>+IF(AVANCE[[#This Row],[PUERTAS ACCESO - LOGIA - BANO]]=AU$2,100%,AVANCE[[#This Row],[PUERTAS ACCESO - LOGIA - BANO]])</f>
        <v>1</v>
      </c>
      <c r="CI23" s="3">
        <f>+IF(AVANCE[[#This Row],[CERRADURAS]]=AV$2,100%,AVANCE[[#This Row],[CERRADURAS]])</f>
        <v>1</v>
      </c>
      <c r="CJ23" s="3">
        <f>+IF(AVANCE[[#This Row],[REVESTIMIENTO INTERIOR ZONA SECA]]=AW$2,100%,AVANCE[[#This Row],[REVESTIMIENTO INTERIOR ZONA SECA]])</f>
        <v>1</v>
      </c>
      <c r="CK23" s="3">
        <f>+IF(AVANCE[[#This Row],[REVESTIMIENTO INTERIOR ZONAS HUMEDAS]]=AX$2,100%,AVANCE[[#This Row],[REVESTIMIENTO INTERIOR ZONAS HUMEDAS]])</f>
        <v>1</v>
      </c>
      <c r="CL23" s="3">
        <f>+IF(AVANCE[[#This Row],[MEMBRANA CIELO]]=AY$2,100%,AVANCE[[#This Row],[MEMBRANA CIELO]])</f>
        <v>1</v>
      </c>
      <c r="CM23" s="3">
        <f>+IF(AVANCE[[#This Row],[LIMPIEZA FINAL]]=AZ$2,100%,AVANCE[[#This Row],[LIMPIEZA FINAL]])</f>
        <v>0</v>
      </c>
      <c r="CN23" s="3">
        <f>+IF(AVANCE[[#This Row],[PUERTAS DORMITORIO]]=BA$2,100%,AVANCE[[#This Row],[PUERTAS DORMITORIO]])</f>
        <v>1</v>
      </c>
      <c r="CO23" s="3">
        <f>+IF(AVANCE[[#This Row],[REVESTIMIENTO INTERIOR BANO]]=BB$2,100%,AVANCE[[#This Row],[REVESTIMIENTO INTERIOR BANO]])</f>
        <v>1</v>
      </c>
      <c r="CP23" s="3">
        <f>+IF(AVANCE[[#This Row],[MUEBLE LAVAPLATOS]]=BC$2,100%,AVANCE[[#This Row],[MUEBLE LAVAPLATOS]])</f>
        <v>1</v>
      </c>
      <c r="CQ23" s="3">
        <f>+IF(AVANCE[[#This Row],[IMPERMEABILIZACION BANO - COCINA LOGIA]]=BD$2,100%,AVANCE[[#This Row],[IMPERMEABILIZACION BANO - COCINA LOGIA]])</f>
        <v>1</v>
      </c>
      <c r="CR23" s="40">
        <f ca="1">+IF(AVANCE[[#This Row],[ESTADO MODULO]]="PENDIENTE",(TODAY()-AVANCE[[#This Row],[FECHA TERMINO  PLANIFICADO]]),0)</f>
        <v>31</v>
      </c>
      <c r="CS23" s="42" t="str" cm="1">
        <f t="array" ref="CS23">_xlfn.TEXTJOIN(" | ",TRUE,IF(SUMPRODUCT((BF23:CQ23&lt;1)*(PARTIDAS!$I$2:$AT$2="OBRA GRUESA"))&gt;0,"OBRA GRUESA: "&amp;_xlfn.TEXTJOIN(", ",TRUE,IF((BF23:CQ23&lt;1)*(PARTIDAS!$I$2:$AT$2="OBRA GRUESA"),PARTIDAS!$I$1:$AT$1,"")),""),IF(SUMPRODUCT((BF23:CQ23&lt;1)*(PARTIDAS!$I$2:$AT$2="SANITARIOS"))&gt;0,"SANITARIOS: "&amp;_xlfn.TEXTJOIN(", ",TRUE,IF((BF23:CQ23&lt;1)*(PARTIDAS!$I$2:$AT$2="SANITARIOS"),PARTIDAS!$I$1:$AT$1,"")),""),IF(SUMPRODUCT((BF23:CQ23&lt;1)*(PARTIDAS!$I$2:$AT$2="ELÉCTRICO"))&gt;0,"ELÉCTRICO: "&amp;_xlfn.TEXTJOIN(", ",TRUE,IF((BF23:CQ23&lt;1)*(PARTIDAS!$I$2:$AT$2="ELÉCTRICO"),PARTIDAS!$I$1:$AT$1,"")),""),IF(SUMPRODUCT((BF23:CQ23&lt;1)*(PARTIDAS!$I$2:$AT$2="TERMINACIONES"))&gt;0,"TERMINACIONES: "&amp;_xlfn.TEXTJOIN(", ",TRUE,IF((BF23:CQ23&lt;1)*(PARTIDAS!$I$2:$AT$2="TERMINACIONES"),PARTIDAS!$I$1:$AT$1,"")),""))</f>
        <v>TERMINACIONES: LIMPIEZA FINAL</v>
      </c>
      <c r="CT23" s="45" t="str" cm="1">
        <f t="array" ref="CT23">_xlfn.TEXTJOIN(", ",TRUE,IF(SUMPRODUCT((BF23:CQ23&lt;1)*(PARTIDAS!$I$2:$AT$2="OBRA GRUESA"))&gt;0,"OBRA GRUESA",""),IF(SUMPRODUCT((BF23:CQ23&lt;1)*(PARTIDAS!$I$2:$AT$2="SANITARIOS"))&gt;0,"SANITARIOS",""),IF(SUMPRODUCT((BF23:CQ23&lt;1)*(PARTIDAS!$I$2:$AT$2="ELÉCTRICO"))&gt;0,"ELÉCTRICO",""),IF(SUMPRODUCT((BF23:CQ23&lt;1)*(PARTIDAS!$I$2:$AT$2="TERMINACIONES"))&gt;0,"TERMINACIONES",""))</f>
        <v>TERMINACIONES</v>
      </c>
      <c r="CU23" s="46" cm="1">
        <f t="array" ref="CU23">SUMPRODUCT(--(BF23:CQ23&lt;1))</f>
        <v>1</v>
      </c>
    </row>
    <row r="24" spans="1:99" x14ac:dyDescent="0.25">
      <c r="A24" t="s">
        <v>56</v>
      </c>
      <c r="B24" t="s">
        <v>81</v>
      </c>
      <c r="C24">
        <v>2302600023</v>
      </c>
      <c r="D24" t="s">
        <v>60</v>
      </c>
      <c r="E24" s="2">
        <v>0.97999999999999976</v>
      </c>
      <c r="F24" s="1">
        <v>46093</v>
      </c>
      <c r="G24" s="1">
        <v>46093</v>
      </c>
      <c r="H24" s="1">
        <v>46178</v>
      </c>
      <c r="I24" s="1">
        <v>46154</v>
      </c>
      <c r="J24">
        <v>3</v>
      </c>
      <c r="K24" s="1"/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0.34999999999999981</v>
      </c>
      <c r="AI24" s="3">
        <v>0.9459459459459455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0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0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 s="3" t="str">
        <f>+IF(AVANCE[[#This Row],[% AVANCE]]=100%,"MODULO TERMINADO",IF(AVANCE[[#This Row],[FECHA INICIO REAL]]="","MODULO NO INICIADO","PENDIENTE"))</f>
        <v>PENDIENTE</v>
      </c>
      <c r="BF24" s="3">
        <f>+IF(AVANCE[[#This Row],[VENTANAS]]=8.10810810810811%,100%,AVANCE[[#This Row],[VENTANAS]])</f>
        <v>1</v>
      </c>
      <c r="BG24" s="3">
        <f>+IF(AVANCE[[#This Row],[PISO]]=N$2,100%,AVANCE[[#This Row],[PISO]])</f>
        <v>1</v>
      </c>
      <c r="BH24" s="3">
        <f>+IF(AVANCE[[#This Row],[TABIQUES]]=O$2,100%,AVANCE[[#This Row],[TABIQUES]])</f>
        <v>1</v>
      </c>
      <c r="BI24" s="3">
        <f>+IF(AVANCE[[#This Row],[MUROS]]=P$2,100%,AVANCE[[#This Row],[MUROS]])</f>
        <v>1</v>
      </c>
      <c r="BJ24" s="3">
        <f>+IF(AVANCE[[#This Row],[CIELO]]=Q$2,100%,AVANCE[[#This Row],[CIELO]])</f>
        <v>1</v>
      </c>
      <c r="BK24" s="3">
        <f>+IF(AVANCE[[#This Row],[BALCÓN]]=R$2,100%,AVANCE[[#This Row],[BALCÓN]])</f>
        <v>1</v>
      </c>
      <c r="BL24" s="3">
        <f>+IF(AVANCE[[#This Row],[RED ALCANTARILLADO]]=U$2,100%,AVANCE[[#This Row],[RED ALCANTARILLADO]])</f>
        <v>1</v>
      </c>
      <c r="BM24" s="3">
        <f>+IF(AVANCE[[#This Row],[RED DE AGUA]]=V$2,100%,AVANCE[[#This Row],[RED DE AGUA]])</f>
        <v>1</v>
      </c>
      <c r="BN24" s="3">
        <f>+IF(AVANCE[[#This Row],[VENTILACIONES]]=W$2,100%,AVANCE[[#This Row],[VENTILACIONES]])</f>
        <v>1</v>
      </c>
      <c r="BO24" s="3">
        <f>+IF(AVANCE[[#This Row],[TINA]]=X$2,100%,AVANCE[[#This Row],[TINA]])</f>
        <v>1</v>
      </c>
      <c r="BP24" s="3">
        <f>+IF(AVANCE[[#This Row],[WC]]=Y$2,100%,AVANCE[[#This Row],[WC]])</f>
        <v>1</v>
      </c>
      <c r="BQ24" s="3">
        <f>+IF(AVANCE[[#This Row],[LAVAMANOS / LAVAPLATOS / LAVADERO]]=Z$2,100%,AVANCE[[#This Row],[LAVAMANOS / LAVAPLATOS / LAVADERO]])</f>
        <v>1</v>
      </c>
      <c r="BR24" s="3">
        <f>+IF(AVANCE[[#This Row],[CANALIZACIÓN]]=AC$2,100%,AVANCE[[#This Row],[CANALIZACIÓN]])</f>
        <v>1</v>
      </c>
      <c r="BS24" s="3">
        <f>+IF(AVANCE[[#This Row],[CABLEADO]]=AD$2,100%,AVANCE[[#This Row],[CABLEADO]])</f>
        <v>1</v>
      </c>
      <c r="BT24" s="3">
        <f>+IF(AVANCE[[#This Row],[ARTEFACTOS]]=AE$2,100%,AVANCE[[#This Row],[ARTEFACTOS]])</f>
        <v>1</v>
      </c>
      <c r="BU24" s="3">
        <f>+IF(AVANCE[[#This Row],[TABLERO]]=AF$2,100%,AVANCE[[#This Row],[TABLERO]])</f>
        <v>1</v>
      </c>
      <c r="BV24" s="3">
        <f>+IF(AVANCE[[#This Row],[CAJA PAU]]=AG$2,100%,AVANCE[[#This Row],[CAJA PAU]])</f>
        <v>1</v>
      </c>
      <c r="BW24" s="3">
        <f>+IF(AVANCE[[#This Row],[INSTALACION VINILICO]]=AJ$2,100%,AVANCE[[#This Row],[INSTALACION VINILICO]])</f>
        <v>1</v>
      </c>
      <c r="BX24" s="3">
        <f>+IF(AVANCE[[#This Row],[OSB CUBIERTA]]=AK$2,100%,AVANCE[[#This Row],[OSB CUBIERTA]])</f>
        <v>1</v>
      </c>
      <c r="BY24" s="3">
        <f>+IF(AVANCE[[#This Row],[BARANDA BALCON]]=AL$2,100%,AVANCE[[#This Row],[BARANDA BALCON]])</f>
        <v>1</v>
      </c>
      <c r="BZ24" s="3">
        <f>+IF(AVANCE[[#This Row],[OSB EXTERIOR]]=AM$2,100%,AVANCE[[#This Row],[OSB EXTERIOR]])</f>
        <v>1</v>
      </c>
      <c r="CA24" s="3">
        <f>+IF(AVANCE[[#This Row],[SMART PANEL]]=AN$2,100%,AVANCE[[#This Row],[SMART PANEL]])</f>
        <v>1</v>
      </c>
      <c r="CB24" s="3">
        <f>+IF(AVANCE[[#This Row],[PINTURA EXTERIOR]]=AO$2,100%,AVANCE[[#This Row],[PINTURA EXTERIOR]])</f>
        <v>1</v>
      </c>
      <c r="CC24" s="3">
        <f>+IF(AVANCE[[#This Row],[ZOCALOS LOGIA]]=AP$2,100%,AVANCE[[#This Row],[ZOCALOS LOGIA]])</f>
        <v>1</v>
      </c>
      <c r="CD24" s="3">
        <f>+IF(AVANCE[[#This Row],[MOLDURAS]]=AQ$2,100%,AVANCE[[#This Row],[MOLDURAS]])</f>
        <v>0</v>
      </c>
      <c r="CE24" s="3">
        <f>+IF(AVANCE[[#This Row],[PILASTREO]]=AR$2,100%,AVANCE[[#This Row],[PILASTREO]])</f>
        <v>1</v>
      </c>
      <c r="CF24" s="3">
        <f>+IF(AVANCE[[#This Row],[CELOSIAS]]=AS$2,100%,AVANCE[[#This Row],[CELOSIAS]])</f>
        <v>1</v>
      </c>
      <c r="CG24" s="3">
        <f>+IF(AVANCE[[#This Row],[VENTANAS]]=AT$2,100%,AVANCE[[#This Row],[VENTANAS]])</f>
        <v>1</v>
      </c>
      <c r="CH24" s="3">
        <f>+IF(AVANCE[[#This Row],[PUERTAS ACCESO - LOGIA - BANO]]=AU$2,100%,AVANCE[[#This Row],[PUERTAS ACCESO - LOGIA - BANO]])</f>
        <v>1</v>
      </c>
      <c r="CI24" s="3">
        <f>+IF(AVANCE[[#This Row],[CERRADURAS]]=AV$2,100%,AVANCE[[#This Row],[CERRADURAS]])</f>
        <v>1</v>
      </c>
      <c r="CJ24" s="3">
        <f>+IF(AVANCE[[#This Row],[REVESTIMIENTO INTERIOR ZONA SECA]]=AW$2,100%,AVANCE[[#This Row],[REVESTIMIENTO INTERIOR ZONA SECA]])</f>
        <v>1</v>
      </c>
      <c r="CK24" s="3">
        <f>+IF(AVANCE[[#This Row],[REVESTIMIENTO INTERIOR ZONAS HUMEDAS]]=AX$2,100%,AVANCE[[#This Row],[REVESTIMIENTO INTERIOR ZONAS HUMEDAS]])</f>
        <v>1</v>
      </c>
      <c r="CL24" s="3">
        <f>+IF(AVANCE[[#This Row],[MEMBRANA CIELO]]=AY$2,100%,AVANCE[[#This Row],[MEMBRANA CIELO]])</f>
        <v>1</v>
      </c>
      <c r="CM24" s="3">
        <f>+IF(AVANCE[[#This Row],[LIMPIEZA FINAL]]=AZ$2,100%,AVANCE[[#This Row],[LIMPIEZA FINAL]])</f>
        <v>0</v>
      </c>
      <c r="CN24" s="3">
        <f>+IF(AVANCE[[#This Row],[PUERTAS DORMITORIO]]=BA$2,100%,AVANCE[[#This Row],[PUERTAS DORMITORIO]])</f>
        <v>1</v>
      </c>
      <c r="CO24" s="3">
        <f>+IF(AVANCE[[#This Row],[REVESTIMIENTO INTERIOR BANO]]=BB$2,100%,AVANCE[[#This Row],[REVESTIMIENTO INTERIOR BANO]])</f>
        <v>1</v>
      </c>
      <c r="CP24" s="3">
        <f>+IF(AVANCE[[#This Row],[MUEBLE LAVAPLATOS]]=BC$2,100%,AVANCE[[#This Row],[MUEBLE LAVAPLATOS]])</f>
        <v>1</v>
      </c>
      <c r="CQ24" s="3">
        <f>+IF(AVANCE[[#This Row],[IMPERMEABILIZACION BANO - COCINA LOGIA]]=BD$2,100%,AVANCE[[#This Row],[IMPERMEABILIZACION BANO - COCINA LOGIA]])</f>
        <v>1</v>
      </c>
      <c r="CR24" s="40">
        <f ca="1">+IF(AVANCE[[#This Row],[ESTADO MODULO]]="PENDIENTE",(TODAY()-AVANCE[[#This Row],[FECHA TERMINO  PLANIFICADO]]),0)</f>
        <v>27</v>
      </c>
      <c r="CS24" s="42" t="str" cm="1">
        <f t="array" ref="CS24">_xlfn.TEXTJOIN(" | ",TRUE,IF(SUMPRODUCT((BF24:CQ24&lt;1)*(PARTIDAS!$I$2:$AT$2="OBRA GRUESA"))&gt;0,"OBRA GRUESA: "&amp;_xlfn.TEXTJOIN(", ",TRUE,IF((BF24:CQ24&lt;1)*(PARTIDAS!$I$2:$AT$2="OBRA GRUESA"),PARTIDAS!$I$1:$AT$1,"")),""),IF(SUMPRODUCT((BF24:CQ24&lt;1)*(PARTIDAS!$I$2:$AT$2="SANITARIOS"))&gt;0,"SANITARIOS: "&amp;_xlfn.TEXTJOIN(", ",TRUE,IF((BF24:CQ24&lt;1)*(PARTIDAS!$I$2:$AT$2="SANITARIOS"),PARTIDAS!$I$1:$AT$1,"")),""),IF(SUMPRODUCT((BF24:CQ24&lt;1)*(PARTIDAS!$I$2:$AT$2="ELÉCTRICO"))&gt;0,"ELÉCTRICO: "&amp;_xlfn.TEXTJOIN(", ",TRUE,IF((BF24:CQ24&lt;1)*(PARTIDAS!$I$2:$AT$2="ELÉCTRICO"),PARTIDAS!$I$1:$AT$1,"")),""),IF(SUMPRODUCT((BF24:CQ24&lt;1)*(PARTIDAS!$I$2:$AT$2="TERMINACIONES"))&gt;0,"TERMINACIONES: "&amp;_xlfn.TEXTJOIN(", ",TRUE,IF((BF24:CQ24&lt;1)*(PARTIDAS!$I$2:$AT$2="TERMINACIONES"),PARTIDAS!$I$1:$AT$1,"")),""))</f>
        <v>TERMINACIONES: MOLDURAS, LIMPIEZA FINAL</v>
      </c>
      <c r="CT24" s="45" t="str" cm="1">
        <f t="array" ref="CT24">_xlfn.TEXTJOIN(", ",TRUE,IF(SUMPRODUCT((BF24:CQ24&lt;1)*(PARTIDAS!$I$2:$AT$2="OBRA GRUESA"))&gt;0,"OBRA GRUESA",""),IF(SUMPRODUCT((BF24:CQ24&lt;1)*(PARTIDAS!$I$2:$AT$2="SANITARIOS"))&gt;0,"SANITARIOS",""),IF(SUMPRODUCT((BF24:CQ24&lt;1)*(PARTIDAS!$I$2:$AT$2="ELÉCTRICO"))&gt;0,"ELÉCTRICO",""),IF(SUMPRODUCT((BF24:CQ24&lt;1)*(PARTIDAS!$I$2:$AT$2="TERMINACIONES"))&gt;0,"TERMINACIONES",""))</f>
        <v>TERMINACIONES</v>
      </c>
      <c r="CU24" s="46" cm="1">
        <f t="array" ref="CU24">SUMPRODUCT(--(BF24:CQ24&lt;1))</f>
        <v>2</v>
      </c>
    </row>
    <row r="25" spans="1:99" x14ac:dyDescent="0.25">
      <c r="A25" t="s">
        <v>56</v>
      </c>
      <c r="B25" t="s">
        <v>82</v>
      </c>
      <c r="C25">
        <v>2282600024</v>
      </c>
      <c r="D25" t="s">
        <v>58</v>
      </c>
      <c r="E25" s="2">
        <v>0.98499999999999988</v>
      </c>
      <c r="F25" s="1">
        <v>46086</v>
      </c>
      <c r="G25" s="1">
        <v>46086</v>
      </c>
      <c r="H25" s="1">
        <v>46177</v>
      </c>
      <c r="I25" s="1">
        <v>46148</v>
      </c>
      <c r="J25">
        <v>4</v>
      </c>
      <c r="K25" s="1"/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0.35499999999999982</v>
      </c>
      <c r="AI25" s="3">
        <v>0.95945945945945899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0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 s="3" t="str">
        <f>+IF(AVANCE[[#This Row],[% AVANCE]]=100%,"MODULO TERMINADO",IF(AVANCE[[#This Row],[FECHA INICIO REAL]]="","MODULO NO INICIADO","PENDIENTE"))</f>
        <v>PENDIENTE</v>
      </c>
      <c r="BF25" s="3">
        <f>+IF(AVANCE[[#This Row],[VENTANAS]]=8.10810810810811%,100%,AVANCE[[#This Row],[VENTANAS]])</f>
        <v>1</v>
      </c>
      <c r="BG25" s="3">
        <f>+IF(AVANCE[[#This Row],[PISO]]=N$2,100%,AVANCE[[#This Row],[PISO]])</f>
        <v>1</v>
      </c>
      <c r="BH25" s="3">
        <f>+IF(AVANCE[[#This Row],[TABIQUES]]=O$2,100%,AVANCE[[#This Row],[TABIQUES]])</f>
        <v>1</v>
      </c>
      <c r="BI25" s="3">
        <f>+IF(AVANCE[[#This Row],[MUROS]]=P$2,100%,AVANCE[[#This Row],[MUROS]])</f>
        <v>1</v>
      </c>
      <c r="BJ25" s="3">
        <f>+IF(AVANCE[[#This Row],[CIELO]]=Q$2,100%,AVANCE[[#This Row],[CIELO]])</f>
        <v>1</v>
      </c>
      <c r="BK25" s="3">
        <f>+IF(AVANCE[[#This Row],[BALCÓN]]=R$2,100%,AVANCE[[#This Row],[BALCÓN]])</f>
        <v>1</v>
      </c>
      <c r="BL25" s="3">
        <f>+IF(AVANCE[[#This Row],[RED ALCANTARILLADO]]=U$2,100%,AVANCE[[#This Row],[RED ALCANTARILLADO]])</f>
        <v>1</v>
      </c>
      <c r="BM25" s="3">
        <f>+IF(AVANCE[[#This Row],[RED DE AGUA]]=V$2,100%,AVANCE[[#This Row],[RED DE AGUA]])</f>
        <v>1</v>
      </c>
      <c r="BN25" s="3">
        <f>+IF(AVANCE[[#This Row],[VENTILACIONES]]=W$2,100%,AVANCE[[#This Row],[VENTILACIONES]])</f>
        <v>1</v>
      </c>
      <c r="BO25" s="3">
        <f>+IF(AVANCE[[#This Row],[TINA]]=X$2,100%,AVANCE[[#This Row],[TINA]])</f>
        <v>1</v>
      </c>
      <c r="BP25" s="3">
        <f>+IF(AVANCE[[#This Row],[WC]]=Y$2,100%,AVANCE[[#This Row],[WC]])</f>
        <v>1</v>
      </c>
      <c r="BQ25" s="3">
        <f>+IF(AVANCE[[#This Row],[LAVAMANOS / LAVAPLATOS / LAVADERO]]=Z$2,100%,AVANCE[[#This Row],[LAVAMANOS / LAVAPLATOS / LAVADERO]])</f>
        <v>1</v>
      </c>
      <c r="BR25" s="3">
        <f>+IF(AVANCE[[#This Row],[CANALIZACIÓN]]=AC$2,100%,AVANCE[[#This Row],[CANALIZACIÓN]])</f>
        <v>1</v>
      </c>
      <c r="BS25" s="3">
        <f>+IF(AVANCE[[#This Row],[CABLEADO]]=AD$2,100%,AVANCE[[#This Row],[CABLEADO]])</f>
        <v>1</v>
      </c>
      <c r="BT25" s="3">
        <f>+IF(AVANCE[[#This Row],[ARTEFACTOS]]=AE$2,100%,AVANCE[[#This Row],[ARTEFACTOS]])</f>
        <v>1</v>
      </c>
      <c r="BU25" s="3">
        <f>+IF(AVANCE[[#This Row],[TABLERO]]=AF$2,100%,AVANCE[[#This Row],[TABLERO]])</f>
        <v>1</v>
      </c>
      <c r="BV25" s="3">
        <f>+IF(AVANCE[[#This Row],[CAJA PAU]]=AG$2,100%,AVANCE[[#This Row],[CAJA PAU]])</f>
        <v>1</v>
      </c>
      <c r="BW25" s="3">
        <f>+IF(AVANCE[[#This Row],[INSTALACION VINILICO]]=AJ$2,100%,AVANCE[[#This Row],[INSTALACION VINILICO]])</f>
        <v>1</v>
      </c>
      <c r="BX25" s="3">
        <f>+IF(AVANCE[[#This Row],[OSB CUBIERTA]]=AK$2,100%,AVANCE[[#This Row],[OSB CUBIERTA]])</f>
        <v>1</v>
      </c>
      <c r="BY25" s="3">
        <f>+IF(AVANCE[[#This Row],[BARANDA BALCON]]=AL$2,100%,AVANCE[[#This Row],[BARANDA BALCON]])</f>
        <v>1</v>
      </c>
      <c r="BZ25" s="3">
        <f>+IF(AVANCE[[#This Row],[OSB EXTERIOR]]=AM$2,100%,AVANCE[[#This Row],[OSB EXTERIOR]])</f>
        <v>1</v>
      </c>
      <c r="CA25" s="3">
        <f>+IF(AVANCE[[#This Row],[SMART PANEL]]=AN$2,100%,AVANCE[[#This Row],[SMART PANEL]])</f>
        <v>1</v>
      </c>
      <c r="CB25" s="3">
        <f>+IF(AVANCE[[#This Row],[PINTURA EXTERIOR]]=AO$2,100%,AVANCE[[#This Row],[PINTURA EXTERIOR]])</f>
        <v>1</v>
      </c>
      <c r="CC25" s="3">
        <f>+IF(AVANCE[[#This Row],[ZOCALOS LOGIA]]=AP$2,100%,AVANCE[[#This Row],[ZOCALOS LOGIA]])</f>
        <v>1</v>
      </c>
      <c r="CD25" s="3">
        <f>+IF(AVANCE[[#This Row],[MOLDURAS]]=AQ$2,100%,AVANCE[[#This Row],[MOLDURAS]])</f>
        <v>1</v>
      </c>
      <c r="CE25" s="3">
        <f>+IF(AVANCE[[#This Row],[PILASTREO]]=AR$2,100%,AVANCE[[#This Row],[PILASTREO]])</f>
        <v>1</v>
      </c>
      <c r="CF25" s="3">
        <f>+IF(AVANCE[[#This Row],[CELOSIAS]]=AS$2,100%,AVANCE[[#This Row],[CELOSIAS]])</f>
        <v>1</v>
      </c>
      <c r="CG25" s="3">
        <f>+IF(AVANCE[[#This Row],[VENTANAS]]=AT$2,100%,AVANCE[[#This Row],[VENTANAS]])</f>
        <v>1</v>
      </c>
      <c r="CH25" s="3">
        <f>+IF(AVANCE[[#This Row],[PUERTAS ACCESO - LOGIA - BANO]]=AU$2,100%,AVANCE[[#This Row],[PUERTAS ACCESO - LOGIA - BANO]])</f>
        <v>1</v>
      </c>
      <c r="CI25" s="3">
        <f>+IF(AVANCE[[#This Row],[CERRADURAS]]=AV$2,100%,AVANCE[[#This Row],[CERRADURAS]])</f>
        <v>1</v>
      </c>
      <c r="CJ25" s="3">
        <f>+IF(AVANCE[[#This Row],[REVESTIMIENTO INTERIOR ZONA SECA]]=AW$2,100%,AVANCE[[#This Row],[REVESTIMIENTO INTERIOR ZONA SECA]])</f>
        <v>1</v>
      </c>
      <c r="CK25" s="3">
        <f>+IF(AVANCE[[#This Row],[REVESTIMIENTO INTERIOR ZONAS HUMEDAS]]=AX$2,100%,AVANCE[[#This Row],[REVESTIMIENTO INTERIOR ZONAS HUMEDAS]])</f>
        <v>1</v>
      </c>
      <c r="CL25" s="3">
        <f>+IF(AVANCE[[#This Row],[MEMBRANA CIELO]]=AY$2,100%,AVANCE[[#This Row],[MEMBRANA CIELO]])</f>
        <v>1</v>
      </c>
      <c r="CM25" s="3">
        <f>+IF(AVANCE[[#This Row],[LIMPIEZA FINAL]]=AZ$2,100%,AVANCE[[#This Row],[LIMPIEZA FINAL]])</f>
        <v>0</v>
      </c>
      <c r="CN25" s="3">
        <f>+IF(AVANCE[[#This Row],[PUERTAS DORMITORIO]]=BA$2,100%,AVANCE[[#This Row],[PUERTAS DORMITORIO]])</f>
        <v>1</v>
      </c>
      <c r="CO25" s="3">
        <f>+IF(AVANCE[[#This Row],[REVESTIMIENTO INTERIOR BANO]]=BB$2,100%,AVANCE[[#This Row],[REVESTIMIENTO INTERIOR BANO]])</f>
        <v>1</v>
      </c>
      <c r="CP25" s="3">
        <f>+IF(AVANCE[[#This Row],[MUEBLE LAVAPLATOS]]=BC$2,100%,AVANCE[[#This Row],[MUEBLE LAVAPLATOS]])</f>
        <v>1</v>
      </c>
      <c r="CQ25" s="3">
        <f>+IF(AVANCE[[#This Row],[IMPERMEABILIZACION BANO - COCINA LOGIA]]=BD$2,100%,AVANCE[[#This Row],[IMPERMEABILIZACION BANO - COCINA LOGIA]])</f>
        <v>1</v>
      </c>
      <c r="CR25" s="40">
        <f ca="1">+IF(AVANCE[[#This Row],[ESTADO MODULO]]="PENDIENTE",(TODAY()-AVANCE[[#This Row],[FECHA TERMINO  PLANIFICADO]]),0)</f>
        <v>33</v>
      </c>
      <c r="CS25" s="42" t="str" cm="1">
        <f t="array" ref="CS25">_xlfn.TEXTJOIN(" | ",TRUE,IF(SUMPRODUCT((BF25:CQ25&lt;1)*(PARTIDAS!$I$2:$AT$2="OBRA GRUESA"))&gt;0,"OBRA GRUESA: "&amp;_xlfn.TEXTJOIN(", ",TRUE,IF((BF25:CQ25&lt;1)*(PARTIDAS!$I$2:$AT$2="OBRA GRUESA"),PARTIDAS!$I$1:$AT$1,"")),""),IF(SUMPRODUCT((BF25:CQ25&lt;1)*(PARTIDAS!$I$2:$AT$2="SANITARIOS"))&gt;0,"SANITARIOS: "&amp;_xlfn.TEXTJOIN(", ",TRUE,IF((BF25:CQ25&lt;1)*(PARTIDAS!$I$2:$AT$2="SANITARIOS"),PARTIDAS!$I$1:$AT$1,"")),""),IF(SUMPRODUCT((BF25:CQ25&lt;1)*(PARTIDAS!$I$2:$AT$2="ELÉCTRICO"))&gt;0,"ELÉCTRICO: "&amp;_xlfn.TEXTJOIN(", ",TRUE,IF((BF25:CQ25&lt;1)*(PARTIDAS!$I$2:$AT$2="ELÉCTRICO"),PARTIDAS!$I$1:$AT$1,"")),""),IF(SUMPRODUCT((BF25:CQ25&lt;1)*(PARTIDAS!$I$2:$AT$2="TERMINACIONES"))&gt;0,"TERMINACIONES: "&amp;_xlfn.TEXTJOIN(", ",TRUE,IF((BF25:CQ25&lt;1)*(PARTIDAS!$I$2:$AT$2="TERMINACIONES"),PARTIDAS!$I$1:$AT$1,"")),""))</f>
        <v>TERMINACIONES: LIMPIEZA FINAL</v>
      </c>
      <c r="CT25" s="45" t="str" cm="1">
        <f t="array" ref="CT25">_xlfn.TEXTJOIN(", ",TRUE,IF(SUMPRODUCT((BF25:CQ25&lt;1)*(PARTIDAS!$I$2:$AT$2="OBRA GRUESA"))&gt;0,"OBRA GRUESA",""),IF(SUMPRODUCT((BF25:CQ25&lt;1)*(PARTIDAS!$I$2:$AT$2="SANITARIOS"))&gt;0,"SANITARIOS",""),IF(SUMPRODUCT((BF25:CQ25&lt;1)*(PARTIDAS!$I$2:$AT$2="ELÉCTRICO"))&gt;0,"ELÉCTRICO",""),IF(SUMPRODUCT((BF25:CQ25&lt;1)*(PARTIDAS!$I$2:$AT$2="TERMINACIONES"))&gt;0,"TERMINACIONES",""))</f>
        <v>TERMINACIONES</v>
      </c>
      <c r="CU25" s="46" cm="1">
        <f t="array" ref="CU25">SUMPRODUCT(--(BF25:CQ25&lt;1))</f>
        <v>1</v>
      </c>
    </row>
    <row r="26" spans="1:99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 s="3" t="str">
        <f>+IF(AVANCE[[#This Row],[% AVANCE]]=100%,"MODULO TERMINADO",IF(AVANCE[[#This Row],[FECHA INICIO REAL]]="","MODULO NO INICIADO","PENDIENTE"))</f>
        <v>MODULO TERMINADO</v>
      </c>
      <c r="BF26" s="3">
        <f>+IF(AVANCE[[#This Row],[VENTANAS]]=8.10810810810811%,100%,AVANCE[[#This Row],[VENTANAS]])</f>
        <v>1</v>
      </c>
      <c r="BG26" s="3">
        <f>+IF(AVANCE[[#This Row],[PISO]]=N$2,100%,AVANCE[[#This Row],[PISO]])</f>
        <v>1</v>
      </c>
      <c r="BH26" s="3">
        <f>+IF(AVANCE[[#This Row],[TABIQUES]]=O$2,100%,AVANCE[[#This Row],[TABIQUES]])</f>
        <v>1</v>
      </c>
      <c r="BI26" s="3">
        <f>+IF(AVANCE[[#This Row],[MUROS]]=P$2,100%,AVANCE[[#This Row],[MUROS]])</f>
        <v>1</v>
      </c>
      <c r="BJ26" s="3">
        <f>+IF(AVANCE[[#This Row],[CIELO]]=Q$2,100%,AVANCE[[#This Row],[CIELO]])</f>
        <v>1</v>
      </c>
      <c r="BK26" s="3">
        <f>+IF(AVANCE[[#This Row],[BALCÓN]]=R$2,100%,AVANCE[[#This Row],[BALCÓN]])</f>
        <v>1</v>
      </c>
      <c r="BL26" s="3">
        <f>+IF(AVANCE[[#This Row],[RED ALCANTARILLADO]]=U$2,100%,AVANCE[[#This Row],[RED ALCANTARILLADO]])</f>
        <v>1</v>
      </c>
      <c r="BM26" s="3">
        <f>+IF(AVANCE[[#This Row],[RED DE AGUA]]=V$2,100%,AVANCE[[#This Row],[RED DE AGUA]])</f>
        <v>1</v>
      </c>
      <c r="BN26" s="3">
        <f>+IF(AVANCE[[#This Row],[VENTILACIONES]]=W$2,100%,AVANCE[[#This Row],[VENTILACIONES]])</f>
        <v>1</v>
      </c>
      <c r="BO26" s="3">
        <f>+IF(AVANCE[[#This Row],[TINA]]=X$2,100%,AVANCE[[#This Row],[TINA]])</f>
        <v>1</v>
      </c>
      <c r="BP26" s="3">
        <f>+IF(AVANCE[[#This Row],[WC]]=Y$2,100%,AVANCE[[#This Row],[WC]])</f>
        <v>1</v>
      </c>
      <c r="BQ26" s="3">
        <f>+IF(AVANCE[[#This Row],[LAVAMANOS / LAVAPLATOS / LAVADERO]]=Z$2,100%,AVANCE[[#This Row],[LAVAMANOS / LAVAPLATOS / LAVADERO]])</f>
        <v>1</v>
      </c>
      <c r="BR26" s="3">
        <f>+IF(AVANCE[[#This Row],[CANALIZACIÓN]]=AC$2,100%,AVANCE[[#This Row],[CANALIZACIÓN]])</f>
        <v>1</v>
      </c>
      <c r="BS26" s="3">
        <f>+IF(AVANCE[[#This Row],[CABLEADO]]=AD$2,100%,AVANCE[[#This Row],[CABLEADO]])</f>
        <v>1</v>
      </c>
      <c r="BT26" s="3">
        <f>+IF(AVANCE[[#This Row],[ARTEFACTOS]]=AE$2,100%,AVANCE[[#This Row],[ARTEFACTOS]])</f>
        <v>1</v>
      </c>
      <c r="BU26" s="3">
        <f>+IF(AVANCE[[#This Row],[TABLERO]]=AF$2,100%,AVANCE[[#This Row],[TABLERO]])</f>
        <v>1</v>
      </c>
      <c r="BV26" s="3">
        <f>+IF(AVANCE[[#This Row],[CAJA PAU]]=AG$2,100%,AVANCE[[#This Row],[CAJA PAU]])</f>
        <v>1</v>
      </c>
      <c r="BW26" s="3">
        <f>+IF(AVANCE[[#This Row],[INSTALACION VINILICO]]=AJ$2,100%,AVANCE[[#This Row],[INSTALACION VINILICO]])</f>
        <v>1</v>
      </c>
      <c r="BX26" s="3">
        <f>+IF(AVANCE[[#This Row],[OSB CUBIERTA]]=AK$2,100%,AVANCE[[#This Row],[OSB CUBIERTA]])</f>
        <v>1</v>
      </c>
      <c r="BY26" s="3">
        <f>+IF(AVANCE[[#This Row],[BARANDA BALCON]]=AL$2,100%,AVANCE[[#This Row],[BARANDA BALCON]])</f>
        <v>1</v>
      </c>
      <c r="BZ26" s="3">
        <f>+IF(AVANCE[[#This Row],[OSB EXTERIOR]]=AM$2,100%,AVANCE[[#This Row],[OSB EXTERIOR]])</f>
        <v>1</v>
      </c>
      <c r="CA26" s="3">
        <f>+IF(AVANCE[[#This Row],[SMART PANEL]]=AN$2,100%,AVANCE[[#This Row],[SMART PANEL]])</f>
        <v>1</v>
      </c>
      <c r="CB26" s="3">
        <f>+IF(AVANCE[[#This Row],[PINTURA EXTERIOR]]=AO$2,100%,AVANCE[[#This Row],[PINTURA EXTERIOR]])</f>
        <v>1</v>
      </c>
      <c r="CC26" s="3">
        <f>+IF(AVANCE[[#This Row],[ZOCALOS LOGIA]]=AP$2,100%,AVANCE[[#This Row],[ZOCALOS LOGIA]])</f>
        <v>1</v>
      </c>
      <c r="CD26" s="3">
        <f>+IF(AVANCE[[#This Row],[MOLDURAS]]=AQ$2,100%,AVANCE[[#This Row],[MOLDURAS]])</f>
        <v>1</v>
      </c>
      <c r="CE26" s="3">
        <f>+IF(AVANCE[[#This Row],[PILASTREO]]=AR$2,100%,AVANCE[[#This Row],[PILASTREO]])</f>
        <v>1</v>
      </c>
      <c r="CF26" s="3">
        <f>+IF(AVANCE[[#This Row],[CELOSIAS]]=AS$2,100%,AVANCE[[#This Row],[CELOSIAS]])</f>
        <v>1</v>
      </c>
      <c r="CG26" s="3">
        <f>+IF(AVANCE[[#This Row],[VENTANAS]]=AT$2,100%,AVANCE[[#This Row],[VENTANAS]])</f>
        <v>1</v>
      </c>
      <c r="CH26" s="3">
        <f>+IF(AVANCE[[#This Row],[PUERTAS ACCESO - LOGIA - BANO]]=AU$2,100%,AVANCE[[#This Row],[PUERTAS ACCESO - LOGIA - BANO]])</f>
        <v>1</v>
      </c>
      <c r="CI26" s="3">
        <f>+IF(AVANCE[[#This Row],[CERRADURAS]]=AV$2,100%,AVANCE[[#This Row],[CERRADURAS]])</f>
        <v>1</v>
      </c>
      <c r="CJ26" s="3">
        <f>+IF(AVANCE[[#This Row],[REVESTIMIENTO INTERIOR ZONA SECA]]=AW$2,100%,AVANCE[[#This Row],[REVESTIMIENTO INTERIOR ZONA SECA]])</f>
        <v>1</v>
      </c>
      <c r="CK26" s="3">
        <f>+IF(AVANCE[[#This Row],[REVESTIMIENTO INTERIOR ZONAS HUMEDAS]]=AX$2,100%,AVANCE[[#This Row],[REVESTIMIENTO INTERIOR ZONAS HUMEDAS]])</f>
        <v>1</v>
      </c>
      <c r="CL26" s="3">
        <f>+IF(AVANCE[[#This Row],[MEMBRANA CIELO]]=AY$2,100%,AVANCE[[#This Row],[MEMBRANA CIELO]])</f>
        <v>1</v>
      </c>
      <c r="CM26" s="3">
        <f>+IF(AVANCE[[#This Row],[LIMPIEZA FINAL]]=AZ$2,100%,AVANCE[[#This Row],[LIMPIEZA FINAL]])</f>
        <v>1</v>
      </c>
      <c r="CN26" s="3">
        <f>+IF(AVANCE[[#This Row],[PUERTAS DORMITORIO]]=BA$2,100%,AVANCE[[#This Row],[PUERTAS DORMITORIO]])</f>
        <v>1</v>
      </c>
      <c r="CO26" s="3">
        <f>+IF(AVANCE[[#This Row],[REVESTIMIENTO INTERIOR BANO]]=BB$2,100%,AVANCE[[#This Row],[REVESTIMIENTO INTERIOR BANO]])</f>
        <v>1</v>
      </c>
      <c r="CP26" s="3">
        <f>+IF(AVANCE[[#This Row],[MUEBLE LAVAPLATOS]]=BC$2,100%,AVANCE[[#This Row],[MUEBLE LAVAPLATOS]])</f>
        <v>1</v>
      </c>
      <c r="CQ26" s="3">
        <f>+IF(AVANCE[[#This Row],[IMPERMEABILIZACION BANO - COCINA LOGIA]]=BD$2,100%,AVANCE[[#This Row],[IMPERMEABILIZACION BANO - COCINA LOGIA]])</f>
        <v>1</v>
      </c>
      <c r="CR26" s="40">
        <f ca="1">+IF(AVANCE[[#This Row],[ESTADO MODULO]]="PENDIENTE",(TODAY()-AVANCE[[#This Row],[FECHA TERMINO  PLANIFICADO]]),0)</f>
        <v>0</v>
      </c>
      <c r="CS26" s="42" t="str" cm="1">
        <f t="array" ref="CS26">_xlfn.TEXTJOIN(" | ",TRUE,IF(SUMPRODUCT((BF26:CQ26&lt;1)*(PARTIDAS!$I$2:$AT$2="OBRA GRUESA"))&gt;0,"OBRA GRUESA: "&amp;_xlfn.TEXTJOIN(", ",TRUE,IF((BF26:CQ26&lt;1)*(PARTIDAS!$I$2:$AT$2="OBRA GRUESA"),PARTIDAS!$I$1:$AT$1,"")),""),IF(SUMPRODUCT((BF26:CQ26&lt;1)*(PARTIDAS!$I$2:$AT$2="SANITARIOS"))&gt;0,"SANITARIOS: "&amp;_xlfn.TEXTJOIN(", ",TRUE,IF((BF26:CQ26&lt;1)*(PARTIDAS!$I$2:$AT$2="SANITARIOS"),PARTIDAS!$I$1:$AT$1,"")),""),IF(SUMPRODUCT((BF26:CQ26&lt;1)*(PARTIDAS!$I$2:$AT$2="ELÉCTRICO"))&gt;0,"ELÉCTRICO: "&amp;_xlfn.TEXTJOIN(", ",TRUE,IF((BF26:CQ26&lt;1)*(PARTIDAS!$I$2:$AT$2="ELÉCTRICO"),PARTIDAS!$I$1:$AT$1,"")),""),IF(SUMPRODUCT((BF26:CQ26&lt;1)*(PARTIDAS!$I$2:$AT$2="TERMINACIONES"))&gt;0,"TERMINACIONES: "&amp;_xlfn.TEXTJOIN(", ",TRUE,IF((BF26:CQ26&lt;1)*(PARTIDAS!$I$2:$AT$2="TERMINACIONES"),PARTIDAS!$I$1:$AT$1,"")),""))</f>
        <v/>
      </c>
      <c r="CT26" s="45" t="str" cm="1">
        <f t="array" ref="CT26">_xlfn.TEXTJOIN(", ",TRUE,IF(SUMPRODUCT((BF26:CQ26&lt;1)*(PARTIDAS!$I$2:$AT$2="OBRA GRUESA"))&gt;0,"OBRA GRUESA",""),IF(SUMPRODUCT((BF26:CQ26&lt;1)*(PARTIDAS!$I$2:$AT$2="SANITARIOS"))&gt;0,"SANITARIOS",""),IF(SUMPRODUCT((BF26:CQ26&lt;1)*(PARTIDAS!$I$2:$AT$2="ELÉCTRICO"))&gt;0,"ELÉCTRICO",""),IF(SUMPRODUCT((BF26:CQ26&lt;1)*(PARTIDAS!$I$2:$AT$2="TERMINACIONES"))&gt;0,"TERMINACIONES",""))</f>
        <v/>
      </c>
      <c r="CU26" s="46" cm="1">
        <f t="array" ref="CU26">SUMPRODUCT(--(BF26:CQ26&lt;1))</f>
        <v>0</v>
      </c>
    </row>
    <row r="27" spans="1:99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 s="3" t="str">
        <f>+IF(AVANCE[[#This Row],[% AVANCE]]=100%,"MODULO TERMINADO",IF(AVANCE[[#This Row],[FECHA INICIO REAL]]="","MODULO NO INICIADO","PENDIENTE"))</f>
        <v>MODULO TERMINADO</v>
      </c>
      <c r="BF27" s="3">
        <f>+IF(AVANCE[[#This Row],[VENTANAS]]=8.10810810810811%,100%,AVANCE[[#This Row],[VENTANAS]])</f>
        <v>1</v>
      </c>
      <c r="BG27" s="3">
        <f>+IF(AVANCE[[#This Row],[PISO]]=N$2,100%,AVANCE[[#This Row],[PISO]])</f>
        <v>1</v>
      </c>
      <c r="BH27" s="3">
        <f>+IF(AVANCE[[#This Row],[TABIQUES]]=O$2,100%,AVANCE[[#This Row],[TABIQUES]])</f>
        <v>1</v>
      </c>
      <c r="BI27" s="3">
        <f>+IF(AVANCE[[#This Row],[MUROS]]=P$2,100%,AVANCE[[#This Row],[MUROS]])</f>
        <v>1</v>
      </c>
      <c r="BJ27" s="3">
        <f>+IF(AVANCE[[#This Row],[CIELO]]=Q$2,100%,AVANCE[[#This Row],[CIELO]])</f>
        <v>1</v>
      </c>
      <c r="BK27" s="3">
        <f>+IF(AVANCE[[#This Row],[BALCÓN]]=R$2,100%,AVANCE[[#This Row],[BALCÓN]])</f>
        <v>1</v>
      </c>
      <c r="BL27" s="3">
        <f>+IF(AVANCE[[#This Row],[RED ALCANTARILLADO]]=U$2,100%,AVANCE[[#This Row],[RED ALCANTARILLADO]])</f>
        <v>1</v>
      </c>
      <c r="BM27" s="3">
        <f>+IF(AVANCE[[#This Row],[RED DE AGUA]]=V$2,100%,AVANCE[[#This Row],[RED DE AGUA]])</f>
        <v>1</v>
      </c>
      <c r="BN27" s="3">
        <f>+IF(AVANCE[[#This Row],[VENTILACIONES]]=W$2,100%,AVANCE[[#This Row],[VENTILACIONES]])</f>
        <v>1</v>
      </c>
      <c r="BO27" s="3">
        <f>+IF(AVANCE[[#This Row],[TINA]]=X$2,100%,AVANCE[[#This Row],[TINA]])</f>
        <v>1</v>
      </c>
      <c r="BP27" s="3">
        <f>+IF(AVANCE[[#This Row],[WC]]=Y$2,100%,AVANCE[[#This Row],[WC]])</f>
        <v>1</v>
      </c>
      <c r="BQ27" s="3">
        <f>+IF(AVANCE[[#This Row],[LAVAMANOS / LAVAPLATOS / LAVADERO]]=Z$2,100%,AVANCE[[#This Row],[LAVAMANOS / LAVAPLATOS / LAVADERO]])</f>
        <v>1</v>
      </c>
      <c r="BR27" s="3">
        <f>+IF(AVANCE[[#This Row],[CANALIZACIÓN]]=AC$2,100%,AVANCE[[#This Row],[CANALIZACIÓN]])</f>
        <v>1</v>
      </c>
      <c r="BS27" s="3">
        <f>+IF(AVANCE[[#This Row],[CABLEADO]]=AD$2,100%,AVANCE[[#This Row],[CABLEADO]])</f>
        <v>1</v>
      </c>
      <c r="BT27" s="3">
        <f>+IF(AVANCE[[#This Row],[ARTEFACTOS]]=AE$2,100%,AVANCE[[#This Row],[ARTEFACTOS]])</f>
        <v>1</v>
      </c>
      <c r="BU27" s="3">
        <f>+IF(AVANCE[[#This Row],[TABLERO]]=AF$2,100%,AVANCE[[#This Row],[TABLERO]])</f>
        <v>1</v>
      </c>
      <c r="BV27" s="3">
        <f>+IF(AVANCE[[#This Row],[CAJA PAU]]=AG$2,100%,AVANCE[[#This Row],[CAJA PAU]])</f>
        <v>1</v>
      </c>
      <c r="BW27" s="3">
        <f>+IF(AVANCE[[#This Row],[INSTALACION VINILICO]]=AJ$2,100%,AVANCE[[#This Row],[INSTALACION VINILICO]])</f>
        <v>1</v>
      </c>
      <c r="BX27" s="3">
        <f>+IF(AVANCE[[#This Row],[OSB CUBIERTA]]=AK$2,100%,AVANCE[[#This Row],[OSB CUBIERTA]])</f>
        <v>1</v>
      </c>
      <c r="BY27" s="3">
        <f>+IF(AVANCE[[#This Row],[BARANDA BALCON]]=AL$2,100%,AVANCE[[#This Row],[BARANDA BALCON]])</f>
        <v>1</v>
      </c>
      <c r="BZ27" s="3">
        <f>+IF(AVANCE[[#This Row],[OSB EXTERIOR]]=AM$2,100%,AVANCE[[#This Row],[OSB EXTERIOR]])</f>
        <v>1</v>
      </c>
      <c r="CA27" s="3">
        <f>+IF(AVANCE[[#This Row],[SMART PANEL]]=AN$2,100%,AVANCE[[#This Row],[SMART PANEL]])</f>
        <v>1</v>
      </c>
      <c r="CB27" s="3">
        <f>+IF(AVANCE[[#This Row],[PINTURA EXTERIOR]]=AO$2,100%,AVANCE[[#This Row],[PINTURA EXTERIOR]])</f>
        <v>1</v>
      </c>
      <c r="CC27" s="3">
        <f>+IF(AVANCE[[#This Row],[ZOCALOS LOGIA]]=AP$2,100%,AVANCE[[#This Row],[ZOCALOS LOGIA]])</f>
        <v>1</v>
      </c>
      <c r="CD27" s="3">
        <f>+IF(AVANCE[[#This Row],[MOLDURAS]]=AQ$2,100%,AVANCE[[#This Row],[MOLDURAS]])</f>
        <v>1</v>
      </c>
      <c r="CE27" s="3">
        <f>+IF(AVANCE[[#This Row],[PILASTREO]]=AR$2,100%,AVANCE[[#This Row],[PILASTREO]])</f>
        <v>1</v>
      </c>
      <c r="CF27" s="3">
        <f>+IF(AVANCE[[#This Row],[CELOSIAS]]=AS$2,100%,AVANCE[[#This Row],[CELOSIAS]])</f>
        <v>1</v>
      </c>
      <c r="CG27" s="3">
        <f>+IF(AVANCE[[#This Row],[VENTANAS]]=AT$2,100%,AVANCE[[#This Row],[VENTANAS]])</f>
        <v>1</v>
      </c>
      <c r="CH27" s="3">
        <f>+IF(AVANCE[[#This Row],[PUERTAS ACCESO - LOGIA - BANO]]=AU$2,100%,AVANCE[[#This Row],[PUERTAS ACCESO - LOGIA - BANO]])</f>
        <v>1</v>
      </c>
      <c r="CI27" s="3">
        <f>+IF(AVANCE[[#This Row],[CERRADURAS]]=AV$2,100%,AVANCE[[#This Row],[CERRADURAS]])</f>
        <v>1</v>
      </c>
      <c r="CJ27" s="3">
        <f>+IF(AVANCE[[#This Row],[REVESTIMIENTO INTERIOR ZONA SECA]]=AW$2,100%,AVANCE[[#This Row],[REVESTIMIENTO INTERIOR ZONA SECA]])</f>
        <v>1</v>
      </c>
      <c r="CK27" s="3">
        <f>+IF(AVANCE[[#This Row],[REVESTIMIENTO INTERIOR ZONAS HUMEDAS]]=AX$2,100%,AVANCE[[#This Row],[REVESTIMIENTO INTERIOR ZONAS HUMEDAS]])</f>
        <v>1</v>
      </c>
      <c r="CL27" s="3">
        <f>+IF(AVANCE[[#This Row],[MEMBRANA CIELO]]=AY$2,100%,AVANCE[[#This Row],[MEMBRANA CIELO]])</f>
        <v>1</v>
      </c>
      <c r="CM27" s="3">
        <f>+IF(AVANCE[[#This Row],[LIMPIEZA FINAL]]=AZ$2,100%,AVANCE[[#This Row],[LIMPIEZA FINAL]])</f>
        <v>1</v>
      </c>
      <c r="CN27" s="3">
        <f>+IF(AVANCE[[#This Row],[PUERTAS DORMITORIO]]=BA$2,100%,AVANCE[[#This Row],[PUERTAS DORMITORIO]])</f>
        <v>1</v>
      </c>
      <c r="CO27" s="3">
        <f>+IF(AVANCE[[#This Row],[REVESTIMIENTO INTERIOR BANO]]=BB$2,100%,AVANCE[[#This Row],[REVESTIMIENTO INTERIOR BANO]])</f>
        <v>1</v>
      </c>
      <c r="CP27" s="3">
        <f>+IF(AVANCE[[#This Row],[MUEBLE LAVAPLATOS]]=BC$2,100%,AVANCE[[#This Row],[MUEBLE LAVAPLATOS]])</f>
        <v>1</v>
      </c>
      <c r="CQ27" s="3">
        <f>+IF(AVANCE[[#This Row],[IMPERMEABILIZACION BANO - COCINA LOGIA]]=BD$2,100%,AVANCE[[#This Row],[IMPERMEABILIZACION BANO - COCINA LOGIA]])</f>
        <v>1</v>
      </c>
      <c r="CR27" s="40">
        <f ca="1">+IF(AVANCE[[#This Row],[ESTADO MODULO]]="PENDIENTE",(TODAY()-AVANCE[[#This Row],[FECHA TERMINO  PLANIFICADO]]),0)</f>
        <v>0</v>
      </c>
      <c r="CS27" s="42" t="str" cm="1">
        <f t="array" ref="CS27">_xlfn.TEXTJOIN(" | ",TRUE,IF(SUMPRODUCT((BF27:CQ27&lt;1)*(PARTIDAS!$I$2:$AT$2="OBRA GRUESA"))&gt;0,"OBRA GRUESA: "&amp;_xlfn.TEXTJOIN(", ",TRUE,IF((BF27:CQ27&lt;1)*(PARTIDAS!$I$2:$AT$2="OBRA GRUESA"),PARTIDAS!$I$1:$AT$1,"")),""),IF(SUMPRODUCT((BF27:CQ27&lt;1)*(PARTIDAS!$I$2:$AT$2="SANITARIOS"))&gt;0,"SANITARIOS: "&amp;_xlfn.TEXTJOIN(", ",TRUE,IF((BF27:CQ27&lt;1)*(PARTIDAS!$I$2:$AT$2="SANITARIOS"),PARTIDAS!$I$1:$AT$1,"")),""),IF(SUMPRODUCT((BF27:CQ27&lt;1)*(PARTIDAS!$I$2:$AT$2="ELÉCTRICO"))&gt;0,"ELÉCTRICO: "&amp;_xlfn.TEXTJOIN(", ",TRUE,IF((BF27:CQ27&lt;1)*(PARTIDAS!$I$2:$AT$2="ELÉCTRICO"),PARTIDAS!$I$1:$AT$1,"")),""),IF(SUMPRODUCT((BF27:CQ27&lt;1)*(PARTIDAS!$I$2:$AT$2="TERMINACIONES"))&gt;0,"TERMINACIONES: "&amp;_xlfn.TEXTJOIN(", ",TRUE,IF((BF27:CQ27&lt;1)*(PARTIDAS!$I$2:$AT$2="TERMINACIONES"),PARTIDAS!$I$1:$AT$1,"")),""))</f>
        <v/>
      </c>
      <c r="CT27" s="45" t="str" cm="1">
        <f t="array" ref="CT27">_xlfn.TEXTJOIN(", ",TRUE,IF(SUMPRODUCT((BF27:CQ27&lt;1)*(PARTIDAS!$I$2:$AT$2="OBRA GRUESA"))&gt;0,"OBRA GRUESA",""),IF(SUMPRODUCT((BF27:CQ27&lt;1)*(PARTIDAS!$I$2:$AT$2="SANITARIOS"))&gt;0,"SANITARIOS",""),IF(SUMPRODUCT((BF27:CQ27&lt;1)*(PARTIDAS!$I$2:$AT$2="ELÉCTRICO"))&gt;0,"ELÉCTRICO",""),IF(SUMPRODUCT((BF27:CQ27&lt;1)*(PARTIDAS!$I$2:$AT$2="TERMINACIONES"))&gt;0,"TERMINACIONES",""))</f>
        <v/>
      </c>
      <c r="CU27" s="46" cm="1">
        <f t="array" ref="CU27">SUMPRODUCT(--(BF27:CQ27&lt;1))</f>
        <v>0</v>
      </c>
    </row>
    <row r="28" spans="1:99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 s="3" t="str">
        <f>+IF(AVANCE[[#This Row],[% AVANCE]]=100%,"MODULO TERMINADO",IF(AVANCE[[#This Row],[FECHA INICIO REAL]]="","MODULO NO INICIADO","PENDIENTE"))</f>
        <v>MODULO TERMINADO</v>
      </c>
      <c r="BF28" s="3">
        <f>+IF(AVANCE[[#This Row],[VENTANAS]]=8.10810810810811%,100%,AVANCE[[#This Row],[VENTANAS]])</f>
        <v>1</v>
      </c>
      <c r="BG28" s="3">
        <f>+IF(AVANCE[[#This Row],[PISO]]=N$2,100%,AVANCE[[#This Row],[PISO]])</f>
        <v>1</v>
      </c>
      <c r="BH28" s="3">
        <f>+IF(AVANCE[[#This Row],[TABIQUES]]=O$2,100%,AVANCE[[#This Row],[TABIQUES]])</f>
        <v>1</v>
      </c>
      <c r="BI28" s="3">
        <f>+IF(AVANCE[[#This Row],[MUROS]]=P$2,100%,AVANCE[[#This Row],[MUROS]])</f>
        <v>1</v>
      </c>
      <c r="BJ28" s="3">
        <f>+IF(AVANCE[[#This Row],[CIELO]]=Q$2,100%,AVANCE[[#This Row],[CIELO]])</f>
        <v>1</v>
      </c>
      <c r="BK28" s="3">
        <f>+IF(AVANCE[[#This Row],[BALCÓN]]=R$2,100%,AVANCE[[#This Row],[BALCÓN]])</f>
        <v>1</v>
      </c>
      <c r="BL28" s="3">
        <f>+IF(AVANCE[[#This Row],[RED ALCANTARILLADO]]=U$2,100%,AVANCE[[#This Row],[RED ALCANTARILLADO]])</f>
        <v>1</v>
      </c>
      <c r="BM28" s="3">
        <f>+IF(AVANCE[[#This Row],[RED DE AGUA]]=V$2,100%,AVANCE[[#This Row],[RED DE AGUA]])</f>
        <v>1</v>
      </c>
      <c r="BN28" s="3">
        <f>+IF(AVANCE[[#This Row],[VENTILACIONES]]=W$2,100%,AVANCE[[#This Row],[VENTILACIONES]])</f>
        <v>1</v>
      </c>
      <c r="BO28" s="3">
        <f>+IF(AVANCE[[#This Row],[TINA]]=X$2,100%,AVANCE[[#This Row],[TINA]])</f>
        <v>1</v>
      </c>
      <c r="BP28" s="3">
        <f>+IF(AVANCE[[#This Row],[WC]]=Y$2,100%,AVANCE[[#This Row],[WC]])</f>
        <v>1</v>
      </c>
      <c r="BQ28" s="3">
        <f>+IF(AVANCE[[#This Row],[LAVAMANOS / LAVAPLATOS / LAVADERO]]=Z$2,100%,AVANCE[[#This Row],[LAVAMANOS / LAVAPLATOS / LAVADERO]])</f>
        <v>1</v>
      </c>
      <c r="BR28" s="3">
        <f>+IF(AVANCE[[#This Row],[CANALIZACIÓN]]=AC$2,100%,AVANCE[[#This Row],[CANALIZACIÓN]])</f>
        <v>1</v>
      </c>
      <c r="BS28" s="3">
        <f>+IF(AVANCE[[#This Row],[CABLEADO]]=AD$2,100%,AVANCE[[#This Row],[CABLEADO]])</f>
        <v>1</v>
      </c>
      <c r="BT28" s="3">
        <f>+IF(AVANCE[[#This Row],[ARTEFACTOS]]=AE$2,100%,AVANCE[[#This Row],[ARTEFACTOS]])</f>
        <v>1</v>
      </c>
      <c r="BU28" s="3">
        <f>+IF(AVANCE[[#This Row],[TABLERO]]=AF$2,100%,AVANCE[[#This Row],[TABLERO]])</f>
        <v>1</v>
      </c>
      <c r="BV28" s="3">
        <f>+IF(AVANCE[[#This Row],[CAJA PAU]]=AG$2,100%,AVANCE[[#This Row],[CAJA PAU]])</f>
        <v>1</v>
      </c>
      <c r="BW28" s="3">
        <f>+IF(AVANCE[[#This Row],[INSTALACION VINILICO]]=AJ$2,100%,AVANCE[[#This Row],[INSTALACION VINILICO]])</f>
        <v>1</v>
      </c>
      <c r="BX28" s="3">
        <f>+IF(AVANCE[[#This Row],[OSB CUBIERTA]]=AK$2,100%,AVANCE[[#This Row],[OSB CUBIERTA]])</f>
        <v>1</v>
      </c>
      <c r="BY28" s="3">
        <f>+IF(AVANCE[[#This Row],[BARANDA BALCON]]=AL$2,100%,AVANCE[[#This Row],[BARANDA BALCON]])</f>
        <v>1</v>
      </c>
      <c r="BZ28" s="3">
        <f>+IF(AVANCE[[#This Row],[OSB EXTERIOR]]=AM$2,100%,AVANCE[[#This Row],[OSB EXTERIOR]])</f>
        <v>1</v>
      </c>
      <c r="CA28" s="3">
        <f>+IF(AVANCE[[#This Row],[SMART PANEL]]=AN$2,100%,AVANCE[[#This Row],[SMART PANEL]])</f>
        <v>1</v>
      </c>
      <c r="CB28" s="3">
        <f>+IF(AVANCE[[#This Row],[PINTURA EXTERIOR]]=AO$2,100%,AVANCE[[#This Row],[PINTURA EXTERIOR]])</f>
        <v>1</v>
      </c>
      <c r="CC28" s="3">
        <f>+IF(AVANCE[[#This Row],[ZOCALOS LOGIA]]=AP$2,100%,AVANCE[[#This Row],[ZOCALOS LOGIA]])</f>
        <v>1</v>
      </c>
      <c r="CD28" s="3">
        <f>+IF(AVANCE[[#This Row],[MOLDURAS]]=AQ$2,100%,AVANCE[[#This Row],[MOLDURAS]])</f>
        <v>1</v>
      </c>
      <c r="CE28" s="3">
        <f>+IF(AVANCE[[#This Row],[PILASTREO]]=AR$2,100%,AVANCE[[#This Row],[PILASTREO]])</f>
        <v>1</v>
      </c>
      <c r="CF28" s="3">
        <f>+IF(AVANCE[[#This Row],[CELOSIAS]]=AS$2,100%,AVANCE[[#This Row],[CELOSIAS]])</f>
        <v>1</v>
      </c>
      <c r="CG28" s="3">
        <f>+IF(AVANCE[[#This Row],[VENTANAS]]=AT$2,100%,AVANCE[[#This Row],[VENTANAS]])</f>
        <v>1</v>
      </c>
      <c r="CH28" s="3">
        <f>+IF(AVANCE[[#This Row],[PUERTAS ACCESO - LOGIA - BANO]]=AU$2,100%,AVANCE[[#This Row],[PUERTAS ACCESO - LOGIA - BANO]])</f>
        <v>1</v>
      </c>
      <c r="CI28" s="3">
        <f>+IF(AVANCE[[#This Row],[CERRADURAS]]=AV$2,100%,AVANCE[[#This Row],[CERRADURAS]])</f>
        <v>1</v>
      </c>
      <c r="CJ28" s="3">
        <f>+IF(AVANCE[[#This Row],[REVESTIMIENTO INTERIOR ZONA SECA]]=AW$2,100%,AVANCE[[#This Row],[REVESTIMIENTO INTERIOR ZONA SECA]])</f>
        <v>1</v>
      </c>
      <c r="CK28" s="3">
        <f>+IF(AVANCE[[#This Row],[REVESTIMIENTO INTERIOR ZONAS HUMEDAS]]=AX$2,100%,AVANCE[[#This Row],[REVESTIMIENTO INTERIOR ZONAS HUMEDAS]])</f>
        <v>1</v>
      </c>
      <c r="CL28" s="3">
        <f>+IF(AVANCE[[#This Row],[MEMBRANA CIELO]]=AY$2,100%,AVANCE[[#This Row],[MEMBRANA CIELO]])</f>
        <v>1</v>
      </c>
      <c r="CM28" s="3">
        <f>+IF(AVANCE[[#This Row],[LIMPIEZA FINAL]]=AZ$2,100%,AVANCE[[#This Row],[LIMPIEZA FINAL]])</f>
        <v>1</v>
      </c>
      <c r="CN28" s="3">
        <f>+IF(AVANCE[[#This Row],[PUERTAS DORMITORIO]]=BA$2,100%,AVANCE[[#This Row],[PUERTAS DORMITORIO]])</f>
        <v>1</v>
      </c>
      <c r="CO28" s="3">
        <f>+IF(AVANCE[[#This Row],[REVESTIMIENTO INTERIOR BANO]]=BB$2,100%,AVANCE[[#This Row],[REVESTIMIENTO INTERIOR BANO]])</f>
        <v>1</v>
      </c>
      <c r="CP28" s="3">
        <f>+IF(AVANCE[[#This Row],[MUEBLE LAVAPLATOS]]=BC$2,100%,AVANCE[[#This Row],[MUEBLE LAVAPLATOS]])</f>
        <v>1</v>
      </c>
      <c r="CQ28" s="3">
        <f>+IF(AVANCE[[#This Row],[IMPERMEABILIZACION BANO - COCINA LOGIA]]=BD$2,100%,AVANCE[[#This Row],[IMPERMEABILIZACION BANO - COCINA LOGIA]])</f>
        <v>1</v>
      </c>
      <c r="CR28" s="40">
        <f ca="1">+IF(AVANCE[[#This Row],[ESTADO MODULO]]="PENDIENTE",(TODAY()-AVANCE[[#This Row],[FECHA TERMINO  PLANIFICADO]]),0)</f>
        <v>0</v>
      </c>
      <c r="CS28" s="42" t="str" cm="1">
        <f t="array" ref="CS28">_xlfn.TEXTJOIN(" | ",TRUE,IF(SUMPRODUCT((BF28:CQ28&lt;1)*(PARTIDAS!$I$2:$AT$2="OBRA GRUESA"))&gt;0,"OBRA GRUESA: "&amp;_xlfn.TEXTJOIN(", ",TRUE,IF((BF28:CQ28&lt;1)*(PARTIDAS!$I$2:$AT$2="OBRA GRUESA"),PARTIDAS!$I$1:$AT$1,"")),""),IF(SUMPRODUCT((BF28:CQ28&lt;1)*(PARTIDAS!$I$2:$AT$2="SANITARIOS"))&gt;0,"SANITARIOS: "&amp;_xlfn.TEXTJOIN(", ",TRUE,IF((BF28:CQ28&lt;1)*(PARTIDAS!$I$2:$AT$2="SANITARIOS"),PARTIDAS!$I$1:$AT$1,"")),""),IF(SUMPRODUCT((BF28:CQ28&lt;1)*(PARTIDAS!$I$2:$AT$2="ELÉCTRICO"))&gt;0,"ELÉCTRICO: "&amp;_xlfn.TEXTJOIN(", ",TRUE,IF((BF28:CQ28&lt;1)*(PARTIDAS!$I$2:$AT$2="ELÉCTRICO"),PARTIDAS!$I$1:$AT$1,"")),""),IF(SUMPRODUCT((BF28:CQ28&lt;1)*(PARTIDAS!$I$2:$AT$2="TERMINACIONES"))&gt;0,"TERMINACIONES: "&amp;_xlfn.TEXTJOIN(", ",TRUE,IF((BF28:CQ28&lt;1)*(PARTIDAS!$I$2:$AT$2="TERMINACIONES"),PARTIDAS!$I$1:$AT$1,"")),""))</f>
        <v/>
      </c>
      <c r="CT28" s="45" t="str" cm="1">
        <f t="array" ref="CT28">_xlfn.TEXTJOIN(", ",TRUE,IF(SUMPRODUCT((BF28:CQ28&lt;1)*(PARTIDAS!$I$2:$AT$2="OBRA GRUESA"))&gt;0,"OBRA GRUESA",""),IF(SUMPRODUCT((BF28:CQ28&lt;1)*(PARTIDAS!$I$2:$AT$2="SANITARIOS"))&gt;0,"SANITARIOS",""),IF(SUMPRODUCT((BF28:CQ28&lt;1)*(PARTIDAS!$I$2:$AT$2="ELÉCTRICO"))&gt;0,"ELÉCTRICO",""),IF(SUMPRODUCT((BF28:CQ28&lt;1)*(PARTIDAS!$I$2:$AT$2="TERMINACIONES"))&gt;0,"TERMINACIONES",""))</f>
        <v/>
      </c>
      <c r="CU28" s="46" cm="1">
        <f t="array" ref="CU28">SUMPRODUCT(--(BF28:CQ28&lt;1))</f>
        <v>0</v>
      </c>
    </row>
    <row r="29" spans="1:99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 s="3" t="str">
        <f>+IF(AVANCE[[#This Row],[% AVANCE]]=100%,"MODULO TERMINADO",IF(AVANCE[[#This Row],[FECHA INICIO REAL]]="","MODULO NO INICIADO","PENDIENTE"))</f>
        <v>MODULO TERMINADO</v>
      </c>
      <c r="BF29" s="3">
        <f>+IF(AVANCE[[#This Row],[VENTANAS]]=8.10810810810811%,100%,AVANCE[[#This Row],[VENTANAS]])</f>
        <v>1</v>
      </c>
      <c r="BG29" s="3">
        <f>+IF(AVANCE[[#This Row],[PISO]]=N$2,100%,AVANCE[[#This Row],[PISO]])</f>
        <v>1</v>
      </c>
      <c r="BH29" s="3">
        <f>+IF(AVANCE[[#This Row],[TABIQUES]]=O$2,100%,AVANCE[[#This Row],[TABIQUES]])</f>
        <v>1</v>
      </c>
      <c r="BI29" s="3">
        <f>+IF(AVANCE[[#This Row],[MUROS]]=P$2,100%,AVANCE[[#This Row],[MUROS]])</f>
        <v>1</v>
      </c>
      <c r="BJ29" s="3">
        <f>+IF(AVANCE[[#This Row],[CIELO]]=Q$2,100%,AVANCE[[#This Row],[CIELO]])</f>
        <v>1</v>
      </c>
      <c r="BK29" s="3">
        <f>+IF(AVANCE[[#This Row],[BALCÓN]]=R$2,100%,AVANCE[[#This Row],[BALCÓN]])</f>
        <v>1</v>
      </c>
      <c r="BL29" s="3">
        <f>+IF(AVANCE[[#This Row],[RED ALCANTARILLADO]]=U$2,100%,AVANCE[[#This Row],[RED ALCANTARILLADO]])</f>
        <v>1</v>
      </c>
      <c r="BM29" s="3">
        <f>+IF(AVANCE[[#This Row],[RED DE AGUA]]=V$2,100%,AVANCE[[#This Row],[RED DE AGUA]])</f>
        <v>1</v>
      </c>
      <c r="BN29" s="3">
        <f>+IF(AVANCE[[#This Row],[VENTILACIONES]]=W$2,100%,AVANCE[[#This Row],[VENTILACIONES]])</f>
        <v>1</v>
      </c>
      <c r="BO29" s="3">
        <f>+IF(AVANCE[[#This Row],[TINA]]=X$2,100%,AVANCE[[#This Row],[TINA]])</f>
        <v>1</v>
      </c>
      <c r="BP29" s="3">
        <f>+IF(AVANCE[[#This Row],[WC]]=Y$2,100%,AVANCE[[#This Row],[WC]])</f>
        <v>1</v>
      </c>
      <c r="BQ29" s="3">
        <f>+IF(AVANCE[[#This Row],[LAVAMANOS / LAVAPLATOS / LAVADERO]]=Z$2,100%,AVANCE[[#This Row],[LAVAMANOS / LAVAPLATOS / LAVADERO]])</f>
        <v>1</v>
      </c>
      <c r="BR29" s="3">
        <f>+IF(AVANCE[[#This Row],[CANALIZACIÓN]]=AC$2,100%,AVANCE[[#This Row],[CANALIZACIÓN]])</f>
        <v>1</v>
      </c>
      <c r="BS29" s="3">
        <f>+IF(AVANCE[[#This Row],[CABLEADO]]=AD$2,100%,AVANCE[[#This Row],[CABLEADO]])</f>
        <v>1</v>
      </c>
      <c r="BT29" s="3">
        <f>+IF(AVANCE[[#This Row],[ARTEFACTOS]]=AE$2,100%,AVANCE[[#This Row],[ARTEFACTOS]])</f>
        <v>1</v>
      </c>
      <c r="BU29" s="3">
        <f>+IF(AVANCE[[#This Row],[TABLERO]]=AF$2,100%,AVANCE[[#This Row],[TABLERO]])</f>
        <v>1</v>
      </c>
      <c r="BV29" s="3">
        <f>+IF(AVANCE[[#This Row],[CAJA PAU]]=AG$2,100%,AVANCE[[#This Row],[CAJA PAU]])</f>
        <v>1</v>
      </c>
      <c r="BW29" s="3">
        <f>+IF(AVANCE[[#This Row],[INSTALACION VINILICO]]=AJ$2,100%,AVANCE[[#This Row],[INSTALACION VINILICO]])</f>
        <v>1</v>
      </c>
      <c r="BX29" s="3">
        <f>+IF(AVANCE[[#This Row],[OSB CUBIERTA]]=AK$2,100%,AVANCE[[#This Row],[OSB CUBIERTA]])</f>
        <v>1</v>
      </c>
      <c r="BY29" s="3">
        <f>+IF(AVANCE[[#This Row],[BARANDA BALCON]]=AL$2,100%,AVANCE[[#This Row],[BARANDA BALCON]])</f>
        <v>1</v>
      </c>
      <c r="BZ29" s="3">
        <f>+IF(AVANCE[[#This Row],[OSB EXTERIOR]]=AM$2,100%,AVANCE[[#This Row],[OSB EXTERIOR]])</f>
        <v>1</v>
      </c>
      <c r="CA29" s="3">
        <f>+IF(AVANCE[[#This Row],[SMART PANEL]]=AN$2,100%,AVANCE[[#This Row],[SMART PANEL]])</f>
        <v>1</v>
      </c>
      <c r="CB29" s="3">
        <f>+IF(AVANCE[[#This Row],[PINTURA EXTERIOR]]=AO$2,100%,AVANCE[[#This Row],[PINTURA EXTERIOR]])</f>
        <v>1</v>
      </c>
      <c r="CC29" s="3">
        <f>+IF(AVANCE[[#This Row],[ZOCALOS LOGIA]]=AP$2,100%,AVANCE[[#This Row],[ZOCALOS LOGIA]])</f>
        <v>1</v>
      </c>
      <c r="CD29" s="3">
        <f>+IF(AVANCE[[#This Row],[MOLDURAS]]=AQ$2,100%,AVANCE[[#This Row],[MOLDURAS]])</f>
        <v>1</v>
      </c>
      <c r="CE29" s="3">
        <f>+IF(AVANCE[[#This Row],[PILASTREO]]=AR$2,100%,AVANCE[[#This Row],[PILASTREO]])</f>
        <v>1</v>
      </c>
      <c r="CF29" s="3">
        <f>+IF(AVANCE[[#This Row],[CELOSIAS]]=AS$2,100%,AVANCE[[#This Row],[CELOSIAS]])</f>
        <v>1</v>
      </c>
      <c r="CG29" s="3">
        <f>+IF(AVANCE[[#This Row],[VENTANAS]]=AT$2,100%,AVANCE[[#This Row],[VENTANAS]])</f>
        <v>1</v>
      </c>
      <c r="CH29" s="3">
        <f>+IF(AVANCE[[#This Row],[PUERTAS ACCESO - LOGIA - BANO]]=AU$2,100%,AVANCE[[#This Row],[PUERTAS ACCESO - LOGIA - BANO]])</f>
        <v>1</v>
      </c>
      <c r="CI29" s="3">
        <f>+IF(AVANCE[[#This Row],[CERRADURAS]]=AV$2,100%,AVANCE[[#This Row],[CERRADURAS]])</f>
        <v>1</v>
      </c>
      <c r="CJ29" s="3">
        <f>+IF(AVANCE[[#This Row],[REVESTIMIENTO INTERIOR ZONA SECA]]=AW$2,100%,AVANCE[[#This Row],[REVESTIMIENTO INTERIOR ZONA SECA]])</f>
        <v>1</v>
      </c>
      <c r="CK29" s="3">
        <f>+IF(AVANCE[[#This Row],[REVESTIMIENTO INTERIOR ZONAS HUMEDAS]]=AX$2,100%,AVANCE[[#This Row],[REVESTIMIENTO INTERIOR ZONAS HUMEDAS]])</f>
        <v>1</v>
      </c>
      <c r="CL29" s="3">
        <f>+IF(AVANCE[[#This Row],[MEMBRANA CIELO]]=AY$2,100%,AVANCE[[#This Row],[MEMBRANA CIELO]])</f>
        <v>1</v>
      </c>
      <c r="CM29" s="3">
        <f>+IF(AVANCE[[#This Row],[LIMPIEZA FINAL]]=AZ$2,100%,AVANCE[[#This Row],[LIMPIEZA FINAL]])</f>
        <v>1</v>
      </c>
      <c r="CN29" s="3">
        <f>+IF(AVANCE[[#This Row],[PUERTAS DORMITORIO]]=BA$2,100%,AVANCE[[#This Row],[PUERTAS DORMITORIO]])</f>
        <v>1</v>
      </c>
      <c r="CO29" s="3">
        <f>+IF(AVANCE[[#This Row],[REVESTIMIENTO INTERIOR BANO]]=BB$2,100%,AVANCE[[#This Row],[REVESTIMIENTO INTERIOR BANO]])</f>
        <v>1</v>
      </c>
      <c r="CP29" s="3">
        <f>+IF(AVANCE[[#This Row],[MUEBLE LAVAPLATOS]]=BC$2,100%,AVANCE[[#This Row],[MUEBLE LAVAPLATOS]])</f>
        <v>1</v>
      </c>
      <c r="CQ29" s="3">
        <f>+IF(AVANCE[[#This Row],[IMPERMEABILIZACION BANO - COCINA LOGIA]]=BD$2,100%,AVANCE[[#This Row],[IMPERMEABILIZACION BANO - COCINA LOGIA]])</f>
        <v>1</v>
      </c>
      <c r="CR29" s="40">
        <f ca="1">+IF(AVANCE[[#This Row],[ESTADO MODULO]]="PENDIENTE",(TODAY()-AVANCE[[#This Row],[FECHA TERMINO  PLANIFICADO]]),0)</f>
        <v>0</v>
      </c>
      <c r="CS29" s="42" t="str" cm="1">
        <f t="array" ref="CS29">_xlfn.TEXTJOIN(" | ",TRUE,IF(SUMPRODUCT((BF29:CQ29&lt;1)*(PARTIDAS!$I$2:$AT$2="OBRA GRUESA"))&gt;0,"OBRA GRUESA: "&amp;_xlfn.TEXTJOIN(", ",TRUE,IF((BF29:CQ29&lt;1)*(PARTIDAS!$I$2:$AT$2="OBRA GRUESA"),PARTIDAS!$I$1:$AT$1,"")),""),IF(SUMPRODUCT((BF29:CQ29&lt;1)*(PARTIDAS!$I$2:$AT$2="SANITARIOS"))&gt;0,"SANITARIOS: "&amp;_xlfn.TEXTJOIN(", ",TRUE,IF((BF29:CQ29&lt;1)*(PARTIDAS!$I$2:$AT$2="SANITARIOS"),PARTIDAS!$I$1:$AT$1,"")),""),IF(SUMPRODUCT((BF29:CQ29&lt;1)*(PARTIDAS!$I$2:$AT$2="ELÉCTRICO"))&gt;0,"ELÉCTRICO: "&amp;_xlfn.TEXTJOIN(", ",TRUE,IF((BF29:CQ29&lt;1)*(PARTIDAS!$I$2:$AT$2="ELÉCTRICO"),PARTIDAS!$I$1:$AT$1,"")),""),IF(SUMPRODUCT((BF29:CQ29&lt;1)*(PARTIDAS!$I$2:$AT$2="TERMINACIONES"))&gt;0,"TERMINACIONES: "&amp;_xlfn.TEXTJOIN(", ",TRUE,IF((BF29:CQ29&lt;1)*(PARTIDAS!$I$2:$AT$2="TERMINACIONES"),PARTIDAS!$I$1:$AT$1,"")),""))</f>
        <v/>
      </c>
      <c r="CT29" s="45" t="str" cm="1">
        <f t="array" ref="CT29">_xlfn.TEXTJOIN(", ",TRUE,IF(SUMPRODUCT((BF29:CQ29&lt;1)*(PARTIDAS!$I$2:$AT$2="OBRA GRUESA"))&gt;0,"OBRA GRUESA",""),IF(SUMPRODUCT((BF29:CQ29&lt;1)*(PARTIDAS!$I$2:$AT$2="SANITARIOS"))&gt;0,"SANITARIOS",""),IF(SUMPRODUCT((BF29:CQ29&lt;1)*(PARTIDAS!$I$2:$AT$2="ELÉCTRICO"))&gt;0,"ELÉCTRICO",""),IF(SUMPRODUCT((BF29:CQ29&lt;1)*(PARTIDAS!$I$2:$AT$2="TERMINACIONES"))&gt;0,"TERMINACIONES",""))</f>
        <v/>
      </c>
      <c r="CU29" s="46" cm="1">
        <f t="array" ref="CU29">SUMPRODUCT(--(BF29:CQ29&lt;1))</f>
        <v>0</v>
      </c>
    </row>
    <row r="30" spans="1:99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 s="3" t="str">
        <f>+IF(AVANCE[[#This Row],[% AVANCE]]=100%,"MODULO TERMINADO",IF(AVANCE[[#This Row],[FECHA INICIO REAL]]="","MODULO NO INICIADO","PENDIENTE"))</f>
        <v>MODULO TERMINADO</v>
      </c>
      <c r="BF30" s="3">
        <f>+IF(AVANCE[[#This Row],[VENTANAS]]=8.10810810810811%,100%,AVANCE[[#This Row],[VENTANAS]])</f>
        <v>1</v>
      </c>
      <c r="BG30" s="3">
        <f>+IF(AVANCE[[#This Row],[PISO]]=N$2,100%,AVANCE[[#This Row],[PISO]])</f>
        <v>1</v>
      </c>
      <c r="BH30" s="3">
        <f>+IF(AVANCE[[#This Row],[TABIQUES]]=O$2,100%,AVANCE[[#This Row],[TABIQUES]])</f>
        <v>1</v>
      </c>
      <c r="BI30" s="3">
        <f>+IF(AVANCE[[#This Row],[MUROS]]=P$2,100%,AVANCE[[#This Row],[MUROS]])</f>
        <v>1</v>
      </c>
      <c r="BJ30" s="3">
        <f>+IF(AVANCE[[#This Row],[CIELO]]=Q$2,100%,AVANCE[[#This Row],[CIELO]])</f>
        <v>1</v>
      </c>
      <c r="BK30" s="3">
        <f>+IF(AVANCE[[#This Row],[BALCÓN]]=R$2,100%,AVANCE[[#This Row],[BALCÓN]])</f>
        <v>1</v>
      </c>
      <c r="BL30" s="3">
        <f>+IF(AVANCE[[#This Row],[RED ALCANTARILLADO]]=U$2,100%,AVANCE[[#This Row],[RED ALCANTARILLADO]])</f>
        <v>1</v>
      </c>
      <c r="BM30" s="3">
        <f>+IF(AVANCE[[#This Row],[RED DE AGUA]]=V$2,100%,AVANCE[[#This Row],[RED DE AGUA]])</f>
        <v>1</v>
      </c>
      <c r="BN30" s="3">
        <f>+IF(AVANCE[[#This Row],[VENTILACIONES]]=W$2,100%,AVANCE[[#This Row],[VENTILACIONES]])</f>
        <v>1</v>
      </c>
      <c r="BO30" s="3">
        <f>+IF(AVANCE[[#This Row],[TINA]]=X$2,100%,AVANCE[[#This Row],[TINA]])</f>
        <v>1</v>
      </c>
      <c r="BP30" s="3">
        <f>+IF(AVANCE[[#This Row],[WC]]=Y$2,100%,AVANCE[[#This Row],[WC]])</f>
        <v>1</v>
      </c>
      <c r="BQ30" s="3">
        <f>+IF(AVANCE[[#This Row],[LAVAMANOS / LAVAPLATOS / LAVADERO]]=Z$2,100%,AVANCE[[#This Row],[LAVAMANOS / LAVAPLATOS / LAVADERO]])</f>
        <v>1</v>
      </c>
      <c r="BR30" s="3">
        <f>+IF(AVANCE[[#This Row],[CANALIZACIÓN]]=AC$2,100%,AVANCE[[#This Row],[CANALIZACIÓN]])</f>
        <v>1</v>
      </c>
      <c r="BS30" s="3">
        <f>+IF(AVANCE[[#This Row],[CABLEADO]]=AD$2,100%,AVANCE[[#This Row],[CABLEADO]])</f>
        <v>1</v>
      </c>
      <c r="BT30" s="3">
        <f>+IF(AVANCE[[#This Row],[ARTEFACTOS]]=AE$2,100%,AVANCE[[#This Row],[ARTEFACTOS]])</f>
        <v>1</v>
      </c>
      <c r="BU30" s="3">
        <f>+IF(AVANCE[[#This Row],[TABLERO]]=AF$2,100%,AVANCE[[#This Row],[TABLERO]])</f>
        <v>1</v>
      </c>
      <c r="BV30" s="3">
        <f>+IF(AVANCE[[#This Row],[CAJA PAU]]=AG$2,100%,AVANCE[[#This Row],[CAJA PAU]])</f>
        <v>1</v>
      </c>
      <c r="BW30" s="3">
        <f>+IF(AVANCE[[#This Row],[INSTALACION VINILICO]]=AJ$2,100%,AVANCE[[#This Row],[INSTALACION VINILICO]])</f>
        <v>1</v>
      </c>
      <c r="BX30" s="3">
        <f>+IF(AVANCE[[#This Row],[OSB CUBIERTA]]=AK$2,100%,AVANCE[[#This Row],[OSB CUBIERTA]])</f>
        <v>1</v>
      </c>
      <c r="BY30" s="3">
        <f>+IF(AVANCE[[#This Row],[BARANDA BALCON]]=AL$2,100%,AVANCE[[#This Row],[BARANDA BALCON]])</f>
        <v>1</v>
      </c>
      <c r="BZ30" s="3">
        <f>+IF(AVANCE[[#This Row],[OSB EXTERIOR]]=AM$2,100%,AVANCE[[#This Row],[OSB EXTERIOR]])</f>
        <v>1</v>
      </c>
      <c r="CA30" s="3">
        <f>+IF(AVANCE[[#This Row],[SMART PANEL]]=AN$2,100%,AVANCE[[#This Row],[SMART PANEL]])</f>
        <v>1</v>
      </c>
      <c r="CB30" s="3">
        <f>+IF(AVANCE[[#This Row],[PINTURA EXTERIOR]]=AO$2,100%,AVANCE[[#This Row],[PINTURA EXTERIOR]])</f>
        <v>1</v>
      </c>
      <c r="CC30" s="3">
        <f>+IF(AVANCE[[#This Row],[ZOCALOS LOGIA]]=AP$2,100%,AVANCE[[#This Row],[ZOCALOS LOGIA]])</f>
        <v>1</v>
      </c>
      <c r="CD30" s="3">
        <f>+IF(AVANCE[[#This Row],[MOLDURAS]]=AQ$2,100%,AVANCE[[#This Row],[MOLDURAS]])</f>
        <v>1</v>
      </c>
      <c r="CE30" s="3">
        <f>+IF(AVANCE[[#This Row],[PILASTREO]]=AR$2,100%,AVANCE[[#This Row],[PILASTREO]])</f>
        <v>1</v>
      </c>
      <c r="CF30" s="3">
        <f>+IF(AVANCE[[#This Row],[CELOSIAS]]=AS$2,100%,AVANCE[[#This Row],[CELOSIAS]])</f>
        <v>1</v>
      </c>
      <c r="CG30" s="3">
        <f>+IF(AVANCE[[#This Row],[VENTANAS]]=AT$2,100%,AVANCE[[#This Row],[VENTANAS]])</f>
        <v>1</v>
      </c>
      <c r="CH30" s="3">
        <f>+IF(AVANCE[[#This Row],[PUERTAS ACCESO - LOGIA - BANO]]=AU$2,100%,AVANCE[[#This Row],[PUERTAS ACCESO - LOGIA - BANO]])</f>
        <v>1</v>
      </c>
      <c r="CI30" s="3">
        <f>+IF(AVANCE[[#This Row],[CERRADURAS]]=AV$2,100%,AVANCE[[#This Row],[CERRADURAS]])</f>
        <v>1</v>
      </c>
      <c r="CJ30" s="3">
        <f>+IF(AVANCE[[#This Row],[REVESTIMIENTO INTERIOR ZONA SECA]]=AW$2,100%,AVANCE[[#This Row],[REVESTIMIENTO INTERIOR ZONA SECA]])</f>
        <v>1</v>
      </c>
      <c r="CK30" s="3">
        <f>+IF(AVANCE[[#This Row],[REVESTIMIENTO INTERIOR ZONAS HUMEDAS]]=AX$2,100%,AVANCE[[#This Row],[REVESTIMIENTO INTERIOR ZONAS HUMEDAS]])</f>
        <v>1</v>
      </c>
      <c r="CL30" s="3">
        <f>+IF(AVANCE[[#This Row],[MEMBRANA CIELO]]=AY$2,100%,AVANCE[[#This Row],[MEMBRANA CIELO]])</f>
        <v>1</v>
      </c>
      <c r="CM30" s="3">
        <f>+IF(AVANCE[[#This Row],[LIMPIEZA FINAL]]=AZ$2,100%,AVANCE[[#This Row],[LIMPIEZA FINAL]])</f>
        <v>1</v>
      </c>
      <c r="CN30" s="3">
        <f>+IF(AVANCE[[#This Row],[PUERTAS DORMITORIO]]=BA$2,100%,AVANCE[[#This Row],[PUERTAS DORMITORIO]])</f>
        <v>1</v>
      </c>
      <c r="CO30" s="3">
        <f>+IF(AVANCE[[#This Row],[REVESTIMIENTO INTERIOR BANO]]=BB$2,100%,AVANCE[[#This Row],[REVESTIMIENTO INTERIOR BANO]])</f>
        <v>1</v>
      </c>
      <c r="CP30" s="3">
        <f>+IF(AVANCE[[#This Row],[MUEBLE LAVAPLATOS]]=BC$2,100%,AVANCE[[#This Row],[MUEBLE LAVAPLATOS]])</f>
        <v>1</v>
      </c>
      <c r="CQ30" s="3">
        <f>+IF(AVANCE[[#This Row],[IMPERMEABILIZACION BANO - COCINA LOGIA]]=BD$2,100%,AVANCE[[#This Row],[IMPERMEABILIZACION BANO - COCINA LOGIA]])</f>
        <v>1</v>
      </c>
      <c r="CR30" s="40">
        <f ca="1">+IF(AVANCE[[#This Row],[ESTADO MODULO]]="PENDIENTE",(TODAY()-AVANCE[[#This Row],[FECHA TERMINO  PLANIFICADO]]),0)</f>
        <v>0</v>
      </c>
      <c r="CS30" s="42" t="str" cm="1">
        <f t="array" ref="CS30">_xlfn.TEXTJOIN(" | ",TRUE,IF(SUMPRODUCT((BF30:CQ30&lt;1)*(PARTIDAS!$I$2:$AT$2="OBRA GRUESA"))&gt;0,"OBRA GRUESA: "&amp;_xlfn.TEXTJOIN(", ",TRUE,IF((BF30:CQ30&lt;1)*(PARTIDAS!$I$2:$AT$2="OBRA GRUESA"),PARTIDAS!$I$1:$AT$1,"")),""),IF(SUMPRODUCT((BF30:CQ30&lt;1)*(PARTIDAS!$I$2:$AT$2="SANITARIOS"))&gt;0,"SANITARIOS: "&amp;_xlfn.TEXTJOIN(", ",TRUE,IF((BF30:CQ30&lt;1)*(PARTIDAS!$I$2:$AT$2="SANITARIOS"),PARTIDAS!$I$1:$AT$1,"")),""),IF(SUMPRODUCT((BF30:CQ30&lt;1)*(PARTIDAS!$I$2:$AT$2="ELÉCTRICO"))&gt;0,"ELÉCTRICO: "&amp;_xlfn.TEXTJOIN(", ",TRUE,IF((BF30:CQ30&lt;1)*(PARTIDAS!$I$2:$AT$2="ELÉCTRICO"),PARTIDAS!$I$1:$AT$1,"")),""),IF(SUMPRODUCT((BF30:CQ30&lt;1)*(PARTIDAS!$I$2:$AT$2="TERMINACIONES"))&gt;0,"TERMINACIONES: "&amp;_xlfn.TEXTJOIN(", ",TRUE,IF((BF30:CQ30&lt;1)*(PARTIDAS!$I$2:$AT$2="TERMINACIONES"),PARTIDAS!$I$1:$AT$1,"")),""))</f>
        <v/>
      </c>
      <c r="CT30" s="45" t="str" cm="1">
        <f t="array" ref="CT30">_xlfn.TEXTJOIN(", ",TRUE,IF(SUMPRODUCT((BF30:CQ30&lt;1)*(PARTIDAS!$I$2:$AT$2="OBRA GRUESA"))&gt;0,"OBRA GRUESA",""),IF(SUMPRODUCT((BF30:CQ30&lt;1)*(PARTIDAS!$I$2:$AT$2="SANITARIOS"))&gt;0,"SANITARIOS",""),IF(SUMPRODUCT((BF30:CQ30&lt;1)*(PARTIDAS!$I$2:$AT$2="ELÉCTRICO"))&gt;0,"ELÉCTRICO",""),IF(SUMPRODUCT((BF30:CQ30&lt;1)*(PARTIDAS!$I$2:$AT$2="TERMINACIONES"))&gt;0,"TERMINACIONES",""))</f>
        <v/>
      </c>
      <c r="CU30" s="46" cm="1">
        <f t="array" ref="CU30">SUMPRODUCT(--(BF30:CQ30&lt;1))</f>
        <v>0</v>
      </c>
    </row>
    <row r="31" spans="1:99" x14ac:dyDescent="0.25">
      <c r="A31" t="s">
        <v>56</v>
      </c>
      <c r="B31" t="s">
        <v>88</v>
      </c>
      <c r="C31">
        <v>2302600030</v>
      </c>
      <c r="D31" t="s">
        <v>60</v>
      </c>
      <c r="E31" s="2">
        <v>0.93499999999999983</v>
      </c>
      <c r="F31" s="1">
        <v>46112</v>
      </c>
      <c r="G31" s="1">
        <v>46112</v>
      </c>
      <c r="H31" s="1">
        <v>46168</v>
      </c>
      <c r="I31" s="1">
        <v>46153</v>
      </c>
      <c r="J31">
        <v>13</v>
      </c>
      <c r="K31" s="1"/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0.30499999999999988</v>
      </c>
      <c r="AI31" s="3">
        <v>0.82432432432432401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0</v>
      </c>
      <c r="AR31" s="3">
        <v>0</v>
      </c>
      <c r="AS31" s="3">
        <v>1.3513513513513509E-2</v>
      </c>
      <c r="AT31" s="3">
        <v>8.1081081081081058E-2</v>
      </c>
      <c r="AU31" s="3">
        <v>0</v>
      </c>
      <c r="AV31" s="3">
        <v>0</v>
      </c>
      <c r="AW31" s="3">
        <v>5.4054054054054036E-2</v>
      </c>
      <c r="AX31" s="3">
        <v>5.4054054054054036E-2</v>
      </c>
      <c r="AY31" s="3">
        <v>2.7027027027027018E-2</v>
      </c>
      <c r="AZ31" s="3">
        <v>0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 s="3" t="str">
        <f>+IF(AVANCE[[#This Row],[% AVANCE]]=100%,"MODULO TERMINADO",IF(AVANCE[[#This Row],[FECHA INICIO REAL]]="","MODULO NO INICIADO","PENDIENTE"))</f>
        <v>PENDIENTE</v>
      </c>
      <c r="BF31" s="3">
        <f>+IF(AVANCE[[#This Row],[VENTANAS]]=8.10810810810811%,100%,AVANCE[[#This Row],[VENTANAS]])</f>
        <v>1</v>
      </c>
      <c r="BG31" s="3">
        <f>+IF(AVANCE[[#This Row],[PISO]]=N$2,100%,AVANCE[[#This Row],[PISO]])</f>
        <v>1</v>
      </c>
      <c r="BH31" s="3">
        <f>+IF(AVANCE[[#This Row],[TABIQUES]]=O$2,100%,AVANCE[[#This Row],[TABIQUES]])</f>
        <v>1</v>
      </c>
      <c r="BI31" s="3">
        <f>+IF(AVANCE[[#This Row],[MUROS]]=P$2,100%,AVANCE[[#This Row],[MUROS]])</f>
        <v>1</v>
      </c>
      <c r="BJ31" s="3">
        <f>+IF(AVANCE[[#This Row],[CIELO]]=Q$2,100%,AVANCE[[#This Row],[CIELO]])</f>
        <v>1</v>
      </c>
      <c r="BK31" s="3">
        <f>+IF(AVANCE[[#This Row],[BALCÓN]]=R$2,100%,AVANCE[[#This Row],[BALCÓN]])</f>
        <v>1</v>
      </c>
      <c r="BL31" s="3">
        <f>+IF(AVANCE[[#This Row],[RED ALCANTARILLADO]]=U$2,100%,AVANCE[[#This Row],[RED ALCANTARILLADO]])</f>
        <v>1</v>
      </c>
      <c r="BM31" s="3">
        <f>+IF(AVANCE[[#This Row],[RED DE AGUA]]=V$2,100%,AVANCE[[#This Row],[RED DE AGUA]])</f>
        <v>1</v>
      </c>
      <c r="BN31" s="3">
        <f>+IF(AVANCE[[#This Row],[VENTILACIONES]]=W$2,100%,AVANCE[[#This Row],[VENTILACIONES]])</f>
        <v>1</v>
      </c>
      <c r="BO31" s="3">
        <f>+IF(AVANCE[[#This Row],[TINA]]=X$2,100%,AVANCE[[#This Row],[TINA]])</f>
        <v>1</v>
      </c>
      <c r="BP31" s="3">
        <f>+IF(AVANCE[[#This Row],[WC]]=Y$2,100%,AVANCE[[#This Row],[WC]])</f>
        <v>1</v>
      </c>
      <c r="BQ31" s="3">
        <f>+IF(AVANCE[[#This Row],[LAVAMANOS / LAVAPLATOS / LAVADERO]]=Z$2,100%,AVANCE[[#This Row],[LAVAMANOS / LAVAPLATOS / LAVADERO]])</f>
        <v>1</v>
      </c>
      <c r="BR31" s="3">
        <f>+IF(AVANCE[[#This Row],[CANALIZACIÓN]]=AC$2,100%,AVANCE[[#This Row],[CANALIZACIÓN]])</f>
        <v>1</v>
      </c>
      <c r="BS31" s="3">
        <f>+IF(AVANCE[[#This Row],[CABLEADO]]=AD$2,100%,AVANCE[[#This Row],[CABLEADO]])</f>
        <v>1</v>
      </c>
      <c r="BT31" s="3">
        <f>+IF(AVANCE[[#This Row],[ARTEFACTOS]]=AE$2,100%,AVANCE[[#This Row],[ARTEFACTOS]])</f>
        <v>1</v>
      </c>
      <c r="BU31" s="3">
        <f>+IF(AVANCE[[#This Row],[TABLERO]]=AF$2,100%,AVANCE[[#This Row],[TABLERO]])</f>
        <v>1</v>
      </c>
      <c r="BV31" s="3">
        <f>+IF(AVANCE[[#This Row],[CAJA PAU]]=AG$2,100%,AVANCE[[#This Row],[CAJA PAU]])</f>
        <v>1</v>
      </c>
      <c r="BW31" s="3">
        <f>+IF(AVANCE[[#This Row],[INSTALACION VINILICO]]=AJ$2,100%,AVANCE[[#This Row],[INSTALACION VINILICO]])</f>
        <v>1</v>
      </c>
      <c r="BX31" s="3">
        <f>+IF(AVANCE[[#This Row],[OSB CUBIERTA]]=AK$2,100%,AVANCE[[#This Row],[OSB CUBIERTA]])</f>
        <v>1</v>
      </c>
      <c r="BY31" s="3">
        <f>+IF(AVANCE[[#This Row],[BARANDA BALCON]]=AL$2,100%,AVANCE[[#This Row],[BARANDA BALCON]])</f>
        <v>1</v>
      </c>
      <c r="BZ31" s="3">
        <f>+IF(AVANCE[[#This Row],[OSB EXTERIOR]]=AM$2,100%,AVANCE[[#This Row],[OSB EXTERIOR]])</f>
        <v>1</v>
      </c>
      <c r="CA31" s="3">
        <f>+IF(AVANCE[[#This Row],[SMART PANEL]]=AN$2,100%,AVANCE[[#This Row],[SMART PANEL]])</f>
        <v>1</v>
      </c>
      <c r="CB31" s="3">
        <f>+IF(AVANCE[[#This Row],[PINTURA EXTERIOR]]=AO$2,100%,AVANCE[[#This Row],[PINTURA EXTERIOR]])</f>
        <v>1</v>
      </c>
      <c r="CC31" s="3">
        <f>+IF(AVANCE[[#This Row],[ZOCALOS LOGIA]]=AP$2,100%,AVANCE[[#This Row],[ZOCALOS LOGIA]])</f>
        <v>1</v>
      </c>
      <c r="CD31" s="3">
        <f>+IF(AVANCE[[#This Row],[MOLDURAS]]=AQ$2,100%,AVANCE[[#This Row],[MOLDURAS]])</f>
        <v>0</v>
      </c>
      <c r="CE31" s="3">
        <f>+IF(AVANCE[[#This Row],[PILASTREO]]=AR$2,100%,AVANCE[[#This Row],[PILASTREO]])</f>
        <v>0</v>
      </c>
      <c r="CF31" s="3">
        <f>+IF(AVANCE[[#This Row],[CELOSIAS]]=AS$2,100%,AVANCE[[#This Row],[CELOSIAS]])</f>
        <v>1</v>
      </c>
      <c r="CG31" s="3">
        <f>+IF(AVANCE[[#This Row],[VENTANAS]]=AT$2,100%,AVANCE[[#This Row],[VENTANAS]])</f>
        <v>1</v>
      </c>
      <c r="CH31" s="3">
        <f>+IF(AVANCE[[#This Row],[PUERTAS ACCESO - LOGIA - BANO]]=AU$2,100%,AVANCE[[#This Row],[PUERTAS ACCESO - LOGIA - BANO]])</f>
        <v>0</v>
      </c>
      <c r="CI31" s="3">
        <f>+IF(AVANCE[[#This Row],[CERRADURAS]]=AV$2,100%,AVANCE[[#This Row],[CERRADURAS]])</f>
        <v>0</v>
      </c>
      <c r="CJ31" s="3">
        <f>+IF(AVANCE[[#This Row],[REVESTIMIENTO INTERIOR ZONA SECA]]=AW$2,100%,AVANCE[[#This Row],[REVESTIMIENTO INTERIOR ZONA SECA]])</f>
        <v>1</v>
      </c>
      <c r="CK31" s="3">
        <f>+IF(AVANCE[[#This Row],[REVESTIMIENTO INTERIOR ZONAS HUMEDAS]]=AX$2,100%,AVANCE[[#This Row],[REVESTIMIENTO INTERIOR ZONAS HUMEDAS]])</f>
        <v>1</v>
      </c>
      <c r="CL31" s="3">
        <f>+IF(AVANCE[[#This Row],[MEMBRANA CIELO]]=AY$2,100%,AVANCE[[#This Row],[MEMBRANA CIELO]])</f>
        <v>1</v>
      </c>
      <c r="CM31" s="3">
        <f>+IF(AVANCE[[#This Row],[LIMPIEZA FINAL]]=AZ$2,100%,AVANCE[[#This Row],[LIMPIEZA FINAL]])</f>
        <v>0</v>
      </c>
      <c r="CN31" s="3">
        <f>+IF(AVANCE[[#This Row],[PUERTAS DORMITORIO]]=BA$2,100%,AVANCE[[#This Row],[PUERTAS DORMITORIO]])</f>
        <v>1</v>
      </c>
      <c r="CO31" s="3">
        <f>+IF(AVANCE[[#This Row],[REVESTIMIENTO INTERIOR BANO]]=BB$2,100%,AVANCE[[#This Row],[REVESTIMIENTO INTERIOR BANO]])</f>
        <v>1</v>
      </c>
      <c r="CP31" s="3">
        <f>+IF(AVANCE[[#This Row],[MUEBLE LAVAPLATOS]]=BC$2,100%,AVANCE[[#This Row],[MUEBLE LAVAPLATOS]])</f>
        <v>1</v>
      </c>
      <c r="CQ31" s="3">
        <f>+IF(AVANCE[[#This Row],[IMPERMEABILIZACION BANO - COCINA LOGIA]]=BD$2,100%,AVANCE[[#This Row],[IMPERMEABILIZACION BANO - COCINA LOGIA]])</f>
        <v>1</v>
      </c>
      <c r="CR31" s="40">
        <f ca="1">+IF(AVANCE[[#This Row],[ESTADO MODULO]]="PENDIENTE",(TODAY()-AVANCE[[#This Row],[FECHA TERMINO  PLANIFICADO]]),0)</f>
        <v>28</v>
      </c>
      <c r="CS31" s="42" t="str" cm="1">
        <f t="array" ref="CS31">_xlfn.TEXTJOIN(" | ",TRUE,IF(SUMPRODUCT((BF31:CQ31&lt;1)*(PARTIDAS!$I$2:$AT$2="OBRA GRUESA"))&gt;0,"OBRA GRUESA: "&amp;_xlfn.TEXTJOIN(", ",TRUE,IF((BF31:CQ31&lt;1)*(PARTIDAS!$I$2:$AT$2="OBRA GRUESA"),PARTIDAS!$I$1:$AT$1,"")),""),IF(SUMPRODUCT((BF31:CQ31&lt;1)*(PARTIDAS!$I$2:$AT$2="SANITARIOS"))&gt;0,"SANITARIOS: "&amp;_xlfn.TEXTJOIN(", ",TRUE,IF((BF31:CQ31&lt;1)*(PARTIDAS!$I$2:$AT$2="SANITARIOS"),PARTIDAS!$I$1:$AT$1,"")),""),IF(SUMPRODUCT((BF31:CQ31&lt;1)*(PARTIDAS!$I$2:$AT$2="ELÉCTRICO"))&gt;0,"ELÉCTRICO: "&amp;_xlfn.TEXTJOIN(", ",TRUE,IF((BF31:CQ31&lt;1)*(PARTIDAS!$I$2:$AT$2="ELÉCTRICO"),PARTIDAS!$I$1:$AT$1,"")),""),IF(SUMPRODUCT((BF31:CQ31&lt;1)*(PARTIDAS!$I$2:$AT$2="TERMINACIONES"))&gt;0,"TERMINACIONES: "&amp;_xlfn.TEXTJOIN(", ",TRUE,IF((BF31:CQ31&lt;1)*(PARTIDAS!$I$2:$AT$2="TERMINACIONES"),PARTIDAS!$I$1:$AT$1,"")),""))</f>
        <v>TERMINACIONES: MOLDURAS, PILASTREO, PUERTAS ACCESO - LOGIA - BANO, CERRADURAS, LIMPIEZA FINAL</v>
      </c>
      <c r="CT31" s="45" t="str" cm="1">
        <f t="array" ref="CT31">_xlfn.TEXTJOIN(", ",TRUE,IF(SUMPRODUCT((BF31:CQ31&lt;1)*(PARTIDAS!$I$2:$AT$2="OBRA GRUESA"))&gt;0,"OBRA GRUESA",""),IF(SUMPRODUCT((BF31:CQ31&lt;1)*(PARTIDAS!$I$2:$AT$2="SANITARIOS"))&gt;0,"SANITARIOS",""),IF(SUMPRODUCT((BF31:CQ31&lt;1)*(PARTIDAS!$I$2:$AT$2="ELÉCTRICO"))&gt;0,"ELÉCTRICO",""),IF(SUMPRODUCT((BF31:CQ31&lt;1)*(PARTIDAS!$I$2:$AT$2="TERMINACIONES"))&gt;0,"TERMINACIONES",""))</f>
        <v>TERMINACIONES</v>
      </c>
      <c r="CU31" s="46" cm="1">
        <f t="array" ref="CU31">SUMPRODUCT(--(BF31:CQ31&lt;1))</f>
        <v>5</v>
      </c>
    </row>
    <row r="32" spans="1:99" x14ac:dyDescent="0.25">
      <c r="A32" t="s">
        <v>56</v>
      </c>
      <c r="B32" t="s">
        <v>89</v>
      </c>
      <c r="C32">
        <v>2302600031</v>
      </c>
      <c r="D32" t="s">
        <v>60</v>
      </c>
      <c r="E32" s="2">
        <v>0.96999999999999986</v>
      </c>
      <c r="F32" s="1">
        <v>46114</v>
      </c>
      <c r="G32" s="1">
        <v>46114</v>
      </c>
      <c r="H32" s="1">
        <v>46177</v>
      </c>
      <c r="I32" s="1">
        <v>46155</v>
      </c>
      <c r="J32">
        <v>4</v>
      </c>
      <c r="K32" s="1"/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0.33999999999999986</v>
      </c>
      <c r="AI32" s="3">
        <v>0.91891891891891853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0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0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 s="3" t="str">
        <f>+IF(AVANCE[[#This Row],[% AVANCE]]=100%,"MODULO TERMINADO",IF(AVANCE[[#This Row],[FECHA INICIO REAL]]="","MODULO NO INICIADO","PENDIENTE"))</f>
        <v>PENDIENTE</v>
      </c>
      <c r="BF32" s="3">
        <f>+IF(AVANCE[[#This Row],[VENTANAS]]=8.10810810810811%,100%,AVANCE[[#This Row],[VENTANAS]])</f>
        <v>1</v>
      </c>
      <c r="BG32" s="3">
        <f>+IF(AVANCE[[#This Row],[PISO]]=N$2,100%,AVANCE[[#This Row],[PISO]])</f>
        <v>1</v>
      </c>
      <c r="BH32" s="3">
        <f>+IF(AVANCE[[#This Row],[TABIQUES]]=O$2,100%,AVANCE[[#This Row],[TABIQUES]])</f>
        <v>1</v>
      </c>
      <c r="BI32" s="3">
        <f>+IF(AVANCE[[#This Row],[MUROS]]=P$2,100%,AVANCE[[#This Row],[MUROS]])</f>
        <v>1</v>
      </c>
      <c r="BJ32" s="3">
        <f>+IF(AVANCE[[#This Row],[CIELO]]=Q$2,100%,AVANCE[[#This Row],[CIELO]])</f>
        <v>1</v>
      </c>
      <c r="BK32" s="3">
        <f>+IF(AVANCE[[#This Row],[BALCÓN]]=R$2,100%,AVANCE[[#This Row],[BALCÓN]])</f>
        <v>1</v>
      </c>
      <c r="BL32" s="3">
        <f>+IF(AVANCE[[#This Row],[RED ALCANTARILLADO]]=U$2,100%,AVANCE[[#This Row],[RED ALCANTARILLADO]])</f>
        <v>1</v>
      </c>
      <c r="BM32" s="3">
        <f>+IF(AVANCE[[#This Row],[RED DE AGUA]]=V$2,100%,AVANCE[[#This Row],[RED DE AGUA]])</f>
        <v>1</v>
      </c>
      <c r="BN32" s="3">
        <f>+IF(AVANCE[[#This Row],[VENTILACIONES]]=W$2,100%,AVANCE[[#This Row],[VENTILACIONES]])</f>
        <v>1</v>
      </c>
      <c r="BO32" s="3">
        <f>+IF(AVANCE[[#This Row],[TINA]]=X$2,100%,AVANCE[[#This Row],[TINA]])</f>
        <v>1</v>
      </c>
      <c r="BP32" s="3">
        <f>+IF(AVANCE[[#This Row],[WC]]=Y$2,100%,AVANCE[[#This Row],[WC]])</f>
        <v>1</v>
      </c>
      <c r="BQ32" s="3">
        <f>+IF(AVANCE[[#This Row],[LAVAMANOS / LAVAPLATOS / LAVADERO]]=Z$2,100%,AVANCE[[#This Row],[LAVAMANOS / LAVAPLATOS / LAVADERO]])</f>
        <v>1</v>
      </c>
      <c r="BR32" s="3">
        <f>+IF(AVANCE[[#This Row],[CANALIZACIÓN]]=AC$2,100%,AVANCE[[#This Row],[CANALIZACIÓN]])</f>
        <v>1</v>
      </c>
      <c r="BS32" s="3">
        <f>+IF(AVANCE[[#This Row],[CABLEADO]]=AD$2,100%,AVANCE[[#This Row],[CABLEADO]])</f>
        <v>1</v>
      </c>
      <c r="BT32" s="3">
        <f>+IF(AVANCE[[#This Row],[ARTEFACTOS]]=AE$2,100%,AVANCE[[#This Row],[ARTEFACTOS]])</f>
        <v>1</v>
      </c>
      <c r="BU32" s="3">
        <f>+IF(AVANCE[[#This Row],[TABLERO]]=AF$2,100%,AVANCE[[#This Row],[TABLERO]])</f>
        <v>1</v>
      </c>
      <c r="BV32" s="3">
        <f>+IF(AVANCE[[#This Row],[CAJA PAU]]=AG$2,100%,AVANCE[[#This Row],[CAJA PAU]])</f>
        <v>1</v>
      </c>
      <c r="BW32" s="3">
        <f>+IF(AVANCE[[#This Row],[INSTALACION VINILICO]]=AJ$2,100%,AVANCE[[#This Row],[INSTALACION VINILICO]])</f>
        <v>1</v>
      </c>
      <c r="BX32" s="3">
        <f>+IF(AVANCE[[#This Row],[OSB CUBIERTA]]=AK$2,100%,AVANCE[[#This Row],[OSB CUBIERTA]])</f>
        <v>1</v>
      </c>
      <c r="BY32" s="3">
        <f>+IF(AVANCE[[#This Row],[BARANDA BALCON]]=AL$2,100%,AVANCE[[#This Row],[BARANDA BALCON]])</f>
        <v>1</v>
      </c>
      <c r="BZ32" s="3">
        <f>+IF(AVANCE[[#This Row],[OSB EXTERIOR]]=AM$2,100%,AVANCE[[#This Row],[OSB EXTERIOR]])</f>
        <v>1</v>
      </c>
      <c r="CA32" s="3">
        <f>+IF(AVANCE[[#This Row],[SMART PANEL]]=AN$2,100%,AVANCE[[#This Row],[SMART PANEL]])</f>
        <v>1</v>
      </c>
      <c r="CB32" s="3">
        <f>+IF(AVANCE[[#This Row],[PINTURA EXTERIOR]]=AO$2,100%,AVANCE[[#This Row],[PINTURA EXTERIOR]])</f>
        <v>1</v>
      </c>
      <c r="CC32" s="3">
        <f>+IF(AVANCE[[#This Row],[ZOCALOS LOGIA]]=AP$2,100%,AVANCE[[#This Row],[ZOCALOS LOGIA]])</f>
        <v>1</v>
      </c>
      <c r="CD32" s="3">
        <f>+IF(AVANCE[[#This Row],[MOLDURAS]]=AQ$2,100%,AVANCE[[#This Row],[MOLDURAS]])</f>
        <v>1</v>
      </c>
      <c r="CE32" s="3">
        <f>+IF(AVANCE[[#This Row],[PILASTREO]]=AR$2,100%,AVANCE[[#This Row],[PILASTREO]])</f>
        <v>0</v>
      </c>
      <c r="CF32" s="3">
        <f>+IF(AVANCE[[#This Row],[CELOSIAS]]=AS$2,100%,AVANCE[[#This Row],[CELOSIAS]])</f>
        <v>1</v>
      </c>
      <c r="CG32" s="3">
        <f>+IF(AVANCE[[#This Row],[VENTANAS]]=AT$2,100%,AVANCE[[#This Row],[VENTANAS]])</f>
        <v>1</v>
      </c>
      <c r="CH32" s="3">
        <f>+IF(AVANCE[[#This Row],[PUERTAS ACCESO - LOGIA - BANO]]=AU$2,100%,AVANCE[[#This Row],[PUERTAS ACCESO - LOGIA - BANO]])</f>
        <v>1</v>
      </c>
      <c r="CI32" s="3">
        <f>+IF(AVANCE[[#This Row],[CERRADURAS]]=AV$2,100%,AVANCE[[#This Row],[CERRADURAS]])</f>
        <v>1</v>
      </c>
      <c r="CJ32" s="3">
        <f>+IF(AVANCE[[#This Row],[REVESTIMIENTO INTERIOR ZONA SECA]]=AW$2,100%,AVANCE[[#This Row],[REVESTIMIENTO INTERIOR ZONA SECA]])</f>
        <v>1</v>
      </c>
      <c r="CK32" s="3">
        <f>+IF(AVANCE[[#This Row],[REVESTIMIENTO INTERIOR ZONAS HUMEDAS]]=AX$2,100%,AVANCE[[#This Row],[REVESTIMIENTO INTERIOR ZONAS HUMEDAS]])</f>
        <v>1</v>
      </c>
      <c r="CL32" s="3">
        <f>+IF(AVANCE[[#This Row],[MEMBRANA CIELO]]=AY$2,100%,AVANCE[[#This Row],[MEMBRANA CIELO]])</f>
        <v>1</v>
      </c>
      <c r="CM32" s="3">
        <f>+IF(AVANCE[[#This Row],[LIMPIEZA FINAL]]=AZ$2,100%,AVANCE[[#This Row],[LIMPIEZA FINAL]])</f>
        <v>0</v>
      </c>
      <c r="CN32" s="3">
        <f>+IF(AVANCE[[#This Row],[PUERTAS DORMITORIO]]=BA$2,100%,AVANCE[[#This Row],[PUERTAS DORMITORIO]])</f>
        <v>1</v>
      </c>
      <c r="CO32" s="3">
        <f>+IF(AVANCE[[#This Row],[REVESTIMIENTO INTERIOR BANO]]=BB$2,100%,AVANCE[[#This Row],[REVESTIMIENTO INTERIOR BANO]])</f>
        <v>1</v>
      </c>
      <c r="CP32" s="3">
        <f>+IF(AVANCE[[#This Row],[MUEBLE LAVAPLATOS]]=BC$2,100%,AVANCE[[#This Row],[MUEBLE LAVAPLATOS]])</f>
        <v>1</v>
      </c>
      <c r="CQ32" s="3">
        <f>+IF(AVANCE[[#This Row],[IMPERMEABILIZACION BANO - COCINA LOGIA]]=BD$2,100%,AVANCE[[#This Row],[IMPERMEABILIZACION BANO - COCINA LOGIA]])</f>
        <v>1</v>
      </c>
      <c r="CR32" s="40">
        <f ca="1">+IF(AVANCE[[#This Row],[ESTADO MODULO]]="PENDIENTE",(TODAY()-AVANCE[[#This Row],[FECHA TERMINO  PLANIFICADO]]),0)</f>
        <v>26</v>
      </c>
      <c r="CS32" s="42" t="str" cm="1">
        <f t="array" ref="CS32">_xlfn.TEXTJOIN(" | ",TRUE,IF(SUMPRODUCT((BF32:CQ32&lt;1)*(PARTIDAS!$I$2:$AT$2="OBRA GRUESA"))&gt;0,"OBRA GRUESA: "&amp;_xlfn.TEXTJOIN(", ",TRUE,IF((BF32:CQ32&lt;1)*(PARTIDAS!$I$2:$AT$2="OBRA GRUESA"),PARTIDAS!$I$1:$AT$1,"")),""),IF(SUMPRODUCT((BF32:CQ32&lt;1)*(PARTIDAS!$I$2:$AT$2="SANITARIOS"))&gt;0,"SANITARIOS: "&amp;_xlfn.TEXTJOIN(", ",TRUE,IF((BF32:CQ32&lt;1)*(PARTIDAS!$I$2:$AT$2="SANITARIOS"),PARTIDAS!$I$1:$AT$1,"")),""),IF(SUMPRODUCT((BF32:CQ32&lt;1)*(PARTIDAS!$I$2:$AT$2="ELÉCTRICO"))&gt;0,"ELÉCTRICO: "&amp;_xlfn.TEXTJOIN(", ",TRUE,IF((BF32:CQ32&lt;1)*(PARTIDAS!$I$2:$AT$2="ELÉCTRICO"),PARTIDAS!$I$1:$AT$1,"")),""),IF(SUMPRODUCT((BF32:CQ32&lt;1)*(PARTIDAS!$I$2:$AT$2="TERMINACIONES"))&gt;0,"TERMINACIONES: "&amp;_xlfn.TEXTJOIN(", ",TRUE,IF((BF32:CQ32&lt;1)*(PARTIDAS!$I$2:$AT$2="TERMINACIONES"),PARTIDAS!$I$1:$AT$1,"")),""))</f>
        <v>TERMINACIONES: PILASTREO, LIMPIEZA FINAL</v>
      </c>
      <c r="CT32" s="45" t="str" cm="1">
        <f t="array" ref="CT32">_xlfn.TEXTJOIN(", ",TRUE,IF(SUMPRODUCT((BF32:CQ32&lt;1)*(PARTIDAS!$I$2:$AT$2="OBRA GRUESA"))&gt;0,"OBRA GRUESA",""),IF(SUMPRODUCT((BF32:CQ32&lt;1)*(PARTIDAS!$I$2:$AT$2="SANITARIOS"))&gt;0,"SANITARIOS",""),IF(SUMPRODUCT((BF32:CQ32&lt;1)*(PARTIDAS!$I$2:$AT$2="ELÉCTRICO"))&gt;0,"ELÉCTRICO",""),IF(SUMPRODUCT((BF32:CQ32&lt;1)*(PARTIDAS!$I$2:$AT$2="TERMINACIONES"))&gt;0,"TERMINACIONES",""))</f>
        <v>TERMINACIONES</v>
      </c>
      <c r="CU32" s="46" cm="1">
        <f t="array" ref="CU32">SUMPRODUCT(--(BF32:CQ32&lt;1))</f>
        <v>2</v>
      </c>
    </row>
    <row r="33" spans="1:99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 s="3" t="str">
        <f>+IF(AVANCE[[#This Row],[% AVANCE]]=100%,"MODULO TERMINADO",IF(AVANCE[[#This Row],[FECHA INICIO REAL]]="","MODULO NO INICIADO","PENDIENTE"))</f>
        <v>MODULO TERMINADO</v>
      </c>
      <c r="BF33" s="3">
        <f>+IF(AVANCE[[#This Row],[VENTANAS]]=8.10810810810811%,100%,AVANCE[[#This Row],[VENTANAS]])</f>
        <v>1</v>
      </c>
      <c r="BG33" s="3">
        <f>+IF(AVANCE[[#This Row],[PISO]]=N$2,100%,AVANCE[[#This Row],[PISO]])</f>
        <v>1</v>
      </c>
      <c r="BH33" s="3">
        <f>+IF(AVANCE[[#This Row],[TABIQUES]]=O$2,100%,AVANCE[[#This Row],[TABIQUES]])</f>
        <v>1</v>
      </c>
      <c r="BI33" s="3">
        <f>+IF(AVANCE[[#This Row],[MUROS]]=P$2,100%,AVANCE[[#This Row],[MUROS]])</f>
        <v>1</v>
      </c>
      <c r="BJ33" s="3">
        <f>+IF(AVANCE[[#This Row],[CIELO]]=Q$2,100%,AVANCE[[#This Row],[CIELO]])</f>
        <v>1</v>
      </c>
      <c r="BK33" s="3">
        <f>+IF(AVANCE[[#This Row],[BALCÓN]]=R$2,100%,AVANCE[[#This Row],[BALCÓN]])</f>
        <v>1</v>
      </c>
      <c r="BL33" s="3">
        <f>+IF(AVANCE[[#This Row],[RED ALCANTARILLADO]]=U$2,100%,AVANCE[[#This Row],[RED ALCANTARILLADO]])</f>
        <v>1</v>
      </c>
      <c r="BM33" s="3">
        <f>+IF(AVANCE[[#This Row],[RED DE AGUA]]=V$2,100%,AVANCE[[#This Row],[RED DE AGUA]])</f>
        <v>1</v>
      </c>
      <c r="BN33" s="3">
        <f>+IF(AVANCE[[#This Row],[VENTILACIONES]]=W$2,100%,AVANCE[[#This Row],[VENTILACIONES]])</f>
        <v>1</v>
      </c>
      <c r="BO33" s="3">
        <f>+IF(AVANCE[[#This Row],[TINA]]=X$2,100%,AVANCE[[#This Row],[TINA]])</f>
        <v>1</v>
      </c>
      <c r="BP33" s="3">
        <f>+IF(AVANCE[[#This Row],[WC]]=Y$2,100%,AVANCE[[#This Row],[WC]])</f>
        <v>1</v>
      </c>
      <c r="BQ33" s="3">
        <f>+IF(AVANCE[[#This Row],[LAVAMANOS / LAVAPLATOS / LAVADERO]]=Z$2,100%,AVANCE[[#This Row],[LAVAMANOS / LAVAPLATOS / LAVADERO]])</f>
        <v>1</v>
      </c>
      <c r="BR33" s="3">
        <f>+IF(AVANCE[[#This Row],[CANALIZACIÓN]]=AC$2,100%,AVANCE[[#This Row],[CANALIZACIÓN]])</f>
        <v>1</v>
      </c>
      <c r="BS33" s="3">
        <f>+IF(AVANCE[[#This Row],[CABLEADO]]=AD$2,100%,AVANCE[[#This Row],[CABLEADO]])</f>
        <v>1</v>
      </c>
      <c r="BT33" s="3">
        <f>+IF(AVANCE[[#This Row],[ARTEFACTOS]]=AE$2,100%,AVANCE[[#This Row],[ARTEFACTOS]])</f>
        <v>1</v>
      </c>
      <c r="BU33" s="3">
        <f>+IF(AVANCE[[#This Row],[TABLERO]]=AF$2,100%,AVANCE[[#This Row],[TABLERO]])</f>
        <v>1</v>
      </c>
      <c r="BV33" s="3">
        <f>+IF(AVANCE[[#This Row],[CAJA PAU]]=AG$2,100%,AVANCE[[#This Row],[CAJA PAU]])</f>
        <v>1</v>
      </c>
      <c r="BW33" s="3">
        <f>+IF(AVANCE[[#This Row],[INSTALACION VINILICO]]=AJ$2,100%,AVANCE[[#This Row],[INSTALACION VINILICO]])</f>
        <v>1</v>
      </c>
      <c r="BX33" s="3">
        <f>+IF(AVANCE[[#This Row],[OSB CUBIERTA]]=AK$2,100%,AVANCE[[#This Row],[OSB CUBIERTA]])</f>
        <v>1</v>
      </c>
      <c r="BY33" s="3">
        <f>+IF(AVANCE[[#This Row],[BARANDA BALCON]]=AL$2,100%,AVANCE[[#This Row],[BARANDA BALCON]])</f>
        <v>1</v>
      </c>
      <c r="BZ33" s="3">
        <f>+IF(AVANCE[[#This Row],[OSB EXTERIOR]]=AM$2,100%,AVANCE[[#This Row],[OSB EXTERIOR]])</f>
        <v>1</v>
      </c>
      <c r="CA33" s="3">
        <f>+IF(AVANCE[[#This Row],[SMART PANEL]]=AN$2,100%,AVANCE[[#This Row],[SMART PANEL]])</f>
        <v>1</v>
      </c>
      <c r="CB33" s="3">
        <f>+IF(AVANCE[[#This Row],[PINTURA EXTERIOR]]=AO$2,100%,AVANCE[[#This Row],[PINTURA EXTERIOR]])</f>
        <v>1</v>
      </c>
      <c r="CC33" s="3">
        <f>+IF(AVANCE[[#This Row],[ZOCALOS LOGIA]]=AP$2,100%,AVANCE[[#This Row],[ZOCALOS LOGIA]])</f>
        <v>1</v>
      </c>
      <c r="CD33" s="3">
        <f>+IF(AVANCE[[#This Row],[MOLDURAS]]=AQ$2,100%,AVANCE[[#This Row],[MOLDURAS]])</f>
        <v>1</v>
      </c>
      <c r="CE33" s="3">
        <f>+IF(AVANCE[[#This Row],[PILASTREO]]=AR$2,100%,AVANCE[[#This Row],[PILASTREO]])</f>
        <v>1</v>
      </c>
      <c r="CF33" s="3">
        <f>+IF(AVANCE[[#This Row],[CELOSIAS]]=AS$2,100%,AVANCE[[#This Row],[CELOSIAS]])</f>
        <v>1</v>
      </c>
      <c r="CG33" s="3">
        <f>+IF(AVANCE[[#This Row],[VENTANAS]]=AT$2,100%,AVANCE[[#This Row],[VENTANAS]])</f>
        <v>1</v>
      </c>
      <c r="CH33" s="3">
        <f>+IF(AVANCE[[#This Row],[PUERTAS ACCESO - LOGIA - BANO]]=AU$2,100%,AVANCE[[#This Row],[PUERTAS ACCESO - LOGIA - BANO]])</f>
        <v>1</v>
      </c>
      <c r="CI33" s="3">
        <f>+IF(AVANCE[[#This Row],[CERRADURAS]]=AV$2,100%,AVANCE[[#This Row],[CERRADURAS]])</f>
        <v>1</v>
      </c>
      <c r="CJ33" s="3">
        <f>+IF(AVANCE[[#This Row],[REVESTIMIENTO INTERIOR ZONA SECA]]=AW$2,100%,AVANCE[[#This Row],[REVESTIMIENTO INTERIOR ZONA SECA]])</f>
        <v>1</v>
      </c>
      <c r="CK33" s="3">
        <f>+IF(AVANCE[[#This Row],[REVESTIMIENTO INTERIOR ZONAS HUMEDAS]]=AX$2,100%,AVANCE[[#This Row],[REVESTIMIENTO INTERIOR ZONAS HUMEDAS]])</f>
        <v>1</v>
      </c>
      <c r="CL33" s="3">
        <f>+IF(AVANCE[[#This Row],[MEMBRANA CIELO]]=AY$2,100%,AVANCE[[#This Row],[MEMBRANA CIELO]])</f>
        <v>1</v>
      </c>
      <c r="CM33" s="3">
        <f>+IF(AVANCE[[#This Row],[LIMPIEZA FINAL]]=AZ$2,100%,AVANCE[[#This Row],[LIMPIEZA FINAL]])</f>
        <v>1</v>
      </c>
      <c r="CN33" s="3">
        <f>+IF(AVANCE[[#This Row],[PUERTAS DORMITORIO]]=BA$2,100%,AVANCE[[#This Row],[PUERTAS DORMITORIO]])</f>
        <v>1</v>
      </c>
      <c r="CO33" s="3">
        <f>+IF(AVANCE[[#This Row],[REVESTIMIENTO INTERIOR BANO]]=BB$2,100%,AVANCE[[#This Row],[REVESTIMIENTO INTERIOR BANO]])</f>
        <v>1</v>
      </c>
      <c r="CP33" s="3">
        <f>+IF(AVANCE[[#This Row],[MUEBLE LAVAPLATOS]]=BC$2,100%,AVANCE[[#This Row],[MUEBLE LAVAPLATOS]])</f>
        <v>1</v>
      </c>
      <c r="CQ33" s="3">
        <f>+IF(AVANCE[[#This Row],[IMPERMEABILIZACION BANO - COCINA LOGIA]]=BD$2,100%,AVANCE[[#This Row],[IMPERMEABILIZACION BANO - COCINA LOGIA]])</f>
        <v>1</v>
      </c>
      <c r="CR33" s="40">
        <f ca="1">+IF(AVANCE[[#This Row],[ESTADO MODULO]]="PENDIENTE",(TODAY()-AVANCE[[#This Row],[FECHA TERMINO  PLANIFICADO]]),0)</f>
        <v>0</v>
      </c>
      <c r="CS33" s="42" t="str" cm="1">
        <f t="array" ref="CS33">_xlfn.TEXTJOIN(" | ",TRUE,IF(SUMPRODUCT((BF33:CQ33&lt;1)*(PARTIDAS!$I$2:$AT$2="OBRA GRUESA"))&gt;0,"OBRA GRUESA: "&amp;_xlfn.TEXTJOIN(", ",TRUE,IF((BF33:CQ33&lt;1)*(PARTIDAS!$I$2:$AT$2="OBRA GRUESA"),PARTIDAS!$I$1:$AT$1,"")),""),IF(SUMPRODUCT((BF33:CQ33&lt;1)*(PARTIDAS!$I$2:$AT$2="SANITARIOS"))&gt;0,"SANITARIOS: "&amp;_xlfn.TEXTJOIN(", ",TRUE,IF((BF33:CQ33&lt;1)*(PARTIDAS!$I$2:$AT$2="SANITARIOS"),PARTIDAS!$I$1:$AT$1,"")),""),IF(SUMPRODUCT((BF33:CQ33&lt;1)*(PARTIDAS!$I$2:$AT$2="ELÉCTRICO"))&gt;0,"ELÉCTRICO: "&amp;_xlfn.TEXTJOIN(", ",TRUE,IF((BF33:CQ33&lt;1)*(PARTIDAS!$I$2:$AT$2="ELÉCTRICO"),PARTIDAS!$I$1:$AT$1,"")),""),IF(SUMPRODUCT((BF33:CQ33&lt;1)*(PARTIDAS!$I$2:$AT$2="TERMINACIONES"))&gt;0,"TERMINACIONES: "&amp;_xlfn.TEXTJOIN(", ",TRUE,IF((BF33:CQ33&lt;1)*(PARTIDAS!$I$2:$AT$2="TERMINACIONES"),PARTIDAS!$I$1:$AT$1,"")),""))</f>
        <v/>
      </c>
      <c r="CT33" s="45" t="str" cm="1">
        <f t="array" ref="CT33">_xlfn.TEXTJOIN(", ",TRUE,IF(SUMPRODUCT((BF33:CQ33&lt;1)*(PARTIDAS!$I$2:$AT$2="OBRA GRUESA"))&gt;0,"OBRA GRUESA",""),IF(SUMPRODUCT((BF33:CQ33&lt;1)*(PARTIDAS!$I$2:$AT$2="SANITARIOS"))&gt;0,"SANITARIOS",""),IF(SUMPRODUCT((BF33:CQ33&lt;1)*(PARTIDAS!$I$2:$AT$2="ELÉCTRICO"))&gt;0,"ELÉCTRICO",""),IF(SUMPRODUCT((BF33:CQ33&lt;1)*(PARTIDAS!$I$2:$AT$2="TERMINACIONES"))&gt;0,"TERMINACIONES",""))</f>
        <v/>
      </c>
      <c r="CU33" s="46" cm="1">
        <f t="array" ref="CU33">SUMPRODUCT(--(BF33:CQ33&lt;1))</f>
        <v>0</v>
      </c>
    </row>
    <row r="34" spans="1:99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4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 s="3" t="str">
        <f>+IF(AVANCE[[#This Row],[% AVANCE]]=100%,"MODULO TERMINADO",IF(AVANCE[[#This Row],[FECHA INICIO REAL]]="","MODULO NO INICIADO","PENDIENTE"))</f>
        <v>PENDIENTE</v>
      </c>
      <c r="BF34" s="3">
        <f>+IF(AVANCE[[#This Row],[VENTANAS]]=8.10810810810811%,100%,AVANCE[[#This Row],[VENTANAS]])</f>
        <v>1</v>
      </c>
      <c r="BG34" s="3">
        <f>+IF(AVANCE[[#This Row],[PISO]]=N$2,100%,AVANCE[[#This Row],[PISO]])</f>
        <v>1</v>
      </c>
      <c r="BH34" s="3">
        <f>+IF(AVANCE[[#This Row],[TABIQUES]]=O$2,100%,AVANCE[[#This Row],[TABIQUES]])</f>
        <v>1</v>
      </c>
      <c r="BI34" s="3">
        <f>+IF(AVANCE[[#This Row],[MUROS]]=P$2,100%,AVANCE[[#This Row],[MUROS]])</f>
        <v>1</v>
      </c>
      <c r="BJ34" s="3">
        <f>+IF(AVANCE[[#This Row],[CIELO]]=Q$2,100%,AVANCE[[#This Row],[CIELO]])</f>
        <v>1</v>
      </c>
      <c r="BK34" s="3">
        <f>+IF(AVANCE[[#This Row],[BALCÓN]]=R$2,100%,AVANCE[[#This Row],[BALCÓN]])</f>
        <v>1</v>
      </c>
      <c r="BL34" s="3">
        <f>+IF(AVANCE[[#This Row],[RED ALCANTARILLADO]]=U$2,100%,AVANCE[[#This Row],[RED ALCANTARILLADO]])</f>
        <v>1</v>
      </c>
      <c r="BM34" s="3">
        <f>+IF(AVANCE[[#This Row],[RED DE AGUA]]=V$2,100%,AVANCE[[#This Row],[RED DE AGUA]])</f>
        <v>1</v>
      </c>
      <c r="BN34" s="3">
        <f>+IF(AVANCE[[#This Row],[VENTILACIONES]]=W$2,100%,AVANCE[[#This Row],[VENTILACIONES]])</f>
        <v>1</v>
      </c>
      <c r="BO34" s="3">
        <f>+IF(AVANCE[[#This Row],[TINA]]=X$2,100%,AVANCE[[#This Row],[TINA]])</f>
        <v>1</v>
      </c>
      <c r="BP34" s="3">
        <f>+IF(AVANCE[[#This Row],[WC]]=Y$2,100%,AVANCE[[#This Row],[WC]])</f>
        <v>1</v>
      </c>
      <c r="BQ34" s="3">
        <f>+IF(AVANCE[[#This Row],[LAVAMANOS / LAVAPLATOS / LAVADERO]]=Z$2,100%,AVANCE[[#This Row],[LAVAMANOS / LAVAPLATOS / LAVADERO]])</f>
        <v>1</v>
      </c>
      <c r="BR34" s="3">
        <f>+IF(AVANCE[[#This Row],[CANALIZACIÓN]]=AC$2,100%,AVANCE[[#This Row],[CANALIZACIÓN]])</f>
        <v>1</v>
      </c>
      <c r="BS34" s="3">
        <f>+IF(AVANCE[[#This Row],[CABLEADO]]=AD$2,100%,AVANCE[[#This Row],[CABLEADO]])</f>
        <v>1</v>
      </c>
      <c r="BT34" s="3">
        <f>+IF(AVANCE[[#This Row],[ARTEFACTOS]]=AE$2,100%,AVANCE[[#This Row],[ARTEFACTOS]])</f>
        <v>0</v>
      </c>
      <c r="BU34" s="3">
        <f>+IF(AVANCE[[#This Row],[TABLERO]]=AF$2,100%,AVANCE[[#This Row],[TABLERO]])</f>
        <v>1</v>
      </c>
      <c r="BV34" s="3">
        <f>+IF(AVANCE[[#This Row],[CAJA PAU]]=AG$2,100%,AVANCE[[#This Row],[CAJA PAU]])</f>
        <v>1</v>
      </c>
      <c r="BW34" s="3">
        <f>+IF(AVANCE[[#This Row],[INSTALACION VINILICO]]=AJ$2,100%,AVANCE[[#This Row],[INSTALACION VINILICO]])</f>
        <v>1</v>
      </c>
      <c r="BX34" s="3">
        <f>+IF(AVANCE[[#This Row],[OSB CUBIERTA]]=AK$2,100%,AVANCE[[#This Row],[OSB CUBIERTA]])</f>
        <v>1</v>
      </c>
      <c r="BY34" s="3">
        <f>+IF(AVANCE[[#This Row],[BARANDA BALCON]]=AL$2,100%,AVANCE[[#This Row],[BARANDA BALCON]])</f>
        <v>1</v>
      </c>
      <c r="BZ34" s="3">
        <f>+IF(AVANCE[[#This Row],[OSB EXTERIOR]]=AM$2,100%,AVANCE[[#This Row],[OSB EXTERIOR]])</f>
        <v>1</v>
      </c>
      <c r="CA34" s="3">
        <f>+IF(AVANCE[[#This Row],[SMART PANEL]]=AN$2,100%,AVANCE[[#This Row],[SMART PANEL]])</f>
        <v>1</v>
      </c>
      <c r="CB34" s="3">
        <f>+IF(AVANCE[[#This Row],[PINTURA EXTERIOR]]=AO$2,100%,AVANCE[[#This Row],[PINTURA EXTERIOR]])</f>
        <v>1</v>
      </c>
      <c r="CC34" s="3">
        <f>+IF(AVANCE[[#This Row],[ZOCALOS LOGIA]]=AP$2,100%,AVANCE[[#This Row],[ZOCALOS LOGIA]])</f>
        <v>1</v>
      </c>
      <c r="CD34" s="3">
        <f>+IF(AVANCE[[#This Row],[MOLDURAS]]=AQ$2,100%,AVANCE[[#This Row],[MOLDURAS]])</f>
        <v>1</v>
      </c>
      <c r="CE34" s="3">
        <f>+IF(AVANCE[[#This Row],[PILASTREO]]=AR$2,100%,AVANCE[[#This Row],[PILASTREO]])</f>
        <v>0</v>
      </c>
      <c r="CF34" s="3">
        <f>+IF(AVANCE[[#This Row],[CELOSIAS]]=AS$2,100%,AVANCE[[#This Row],[CELOSIAS]])</f>
        <v>1</v>
      </c>
      <c r="CG34" s="3">
        <f>+IF(AVANCE[[#This Row],[VENTANAS]]=AT$2,100%,AVANCE[[#This Row],[VENTANAS]])</f>
        <v>1</v>
      </c>
      <c r="CH34" s="3">
        <f>+IF(AVANCE[[#This Row],[PUERTAS ACCESO - LOGIA - BANO]]=AU$2,100%,AVANCE[[#This Row],[PUERTAS ACCESO - LOGIA - BANO]])</f>
        <v>1</v>
      </c>
      <c r="CI34" s="3">
        <f>+IF(AVANCE[[#This Row],[CERRADURAS]]=AV$2,100%,AVANCE[[#This Row],[CERRADURAS]])</f>
        <v>1</v>
      </c>
      <c r="CJ34" s="3">
        <f>+IF(AVANCE[[#This Row],[REVESTIMIENTO INTERIOR ZONA SECA]]=AW$2,100%,AVANCE[[#This Row],[REVESTIMIENTO INTERIOR ZONA SECA]])</f>
        <v>1</v>
      </c>
      <c r="CK34" s="3">
        <f>+IF(AVANCE[[#This Row],[REVESTIMIENTO INTERIOR ZONAS HUMEDAS]]=AX$2,100%,AVANCE[[#This Row],[REVESTIMIENTO INTERIOR ZONAS HUMEDAS]])</f>
        <v>1</v>
      </c>
      <c r="CL34" s="3">
        <f>+IF(AVANCE[[#This Row],[MEMBRANA CIELO]]=AY$2,100%,AVANCE[[#This Row],[MEMBRANA CIELO]])</f>
        <v>1</v>
      </c>
      <c r="CM34" s="3">
        <f>+IF(AVANCE[[#This Row],[LIMPIEZA FINAL]]=AZ$2,100%,AVANCE[[#This Row],[LIMPIEZA FINAL]])</f>
        <v>0</v>
      </c>
      <c r="CN34" s="3">
        <f>+IF(AVANCE[[#This Row],[PUERTAS DORMITORIO]]=BA$2,100%,AVANCE[[#This Row],[PUERTAS DORMITORIO]])</f>
        <v>1</v>
      </c>
      <c r="CO34" s="3">
        <f>+IF(AVANCE[[#This Row],[REVESTIMIENTO INTERIOR BANO]]=BB$2,100%,AVANCE[[#This Row],[REVESTIMIENTO INTERIOR BANO]])</f>
        <v>1</v>
      </c>
      <c r="CP34" s="3">
        <f>+IF(AVANCE[[#This Row],[MUEBLE LAVAPLATOS]]=BC$2,100%,AVANCE[[#This Row],[MUEBLE LAVAPLATOS]])</f>
        <v>1</v>
      </c>
      <c r="CQ34" s="3">
        <f>+IF(AVANCE[[#This Row],[IMPERMEABILIZACION BANO - COCINA LOGIA]]=BD$2,100%,AVANCE[[#This Row],[IMPERMEABILIZACION BANO - COCINA LOGIA]])</f>
        <v>1</v>
      </c>
      <c r="CR34" s="40">
        <f ca="1">+IF(AVANCE[[#This Row],[ESTADO MODULO]]="PENDIENTE",(TODAY()-AVANCE[[#This Row],[FECHA TERMINO  PLANIFICADO]]),0)</f>
        <v>25</v>
      </c>
      <c r="CS34" s="42" t="str" cm="1">
        <f t="array" ref="CS34">_xlfn.TEXTJOIN(" | ",TRUE,IF(SUMPRODUCT((BF34:CQ34&lt;1)*(PARTIDAS!$I$2:$AT$2="OBRA GRUESA"))&gt;0,"OBRA GRUESA: "&amp;_xlfn.TEXTJOIN(", ",TRUE,IF((BF34:CQ34&lt;1)*(PARTIDAS!$I$2:$AT$2="OBRA GRUESA"),PARTIDAS!$I$1:$AT$1,"")),""),IF(SUMPRODUCT((BF34:CQ34&lt;1)*(PARTIDAS!$I$2:$AT$2="SANITARIOS"))&gt;0,"SANITARIOS: "&amp;_xlfn.TEXTJOIN(", ",TRUE,IF((BF34:CQ34&lt;1)*(PARTIDAS!$I$2:$AT$2="SANITARIOS"),PARTIDAS!$I$1:$AT$1,"")),""),IF(SUMPRODUCT((BF34:CQ34&lt;1)*(PARTIDAS!$I$2:$AT$2="ELÉCTRICO"))&gt;0,"ELÉCTRICO: "&amp;_xlfn.TEXTJOIN(", ",TRUE,IF((BF34:CQ34&lt;1)*(PARTIDAS!$I$2:$AT$2="ELÉCTRICO"),PARTIDAS!$I$1:$AT$1,"")),""),IF(SUMPRODUCT((BF34:CQ34&lt;1)*(PARTIDAS!$I$2:$AT$2="TERMINACIONES"))&gt;0,"TERMINACIONES: "&amp;_xlfn.TEXTJOIN(", ",TRUE,IF((BF34:CQ34&lt;1)*(PARTIDAS!$I$2:$AT$2="TERMINACIONES"),PARTIDAS!$I$1:$AT$1,"")),""))</f>
        <v>ELÉCTRICO: ARTEFACTOS | TERMINACIONES: PILASTREO, LIMPIEZA FINAL</v>
      </c>
      <c r="CT34" s="45" t="str" cm="1">
        <f t="array" ref="CT34">_xlfn.TEXTJOIN(", ",TRUE,IF(SUMPRODUCT((BF34:CQ34&lt;1)*(PARTIDAS!$I$2:$AT$2="OBRA GRUESA"))&gt;0,"OBRA GRUESA",""),IF(SUMPRODUCT((BF34:CQ34&lt;1)*(PARTIDAS!$I$2:$AT$2="SANITARIOS"))&gt;0,"SANITARIOS",""),IF(SUMPRODUCT((BF34:CQ34&lt;1)*(PARTIDAS!$I$2:$AT$2="ELÉCTRICO"))&gt;0,"ELÉCTRICO",""),IF(SUMPRODUCT((BF34:CQ34&lt;1)*(PARTIDAS!$I$2:$AT$2="TERMINACIONES"))&gt;0,"TERMINACIONES",""))</f>
        <v>ELÉCTRICO, TERMINACIONES</v>
      </c>
      <c r="CU34" s="46" cm="1">
        <f t="array" ref="CU34">SUMPRODUCT(--(BF34:CQ34&lt;1))</f>
        <v>3</v>
      </c>
    </row>
    <row r="35" spans="1:99" x14ac:dyDescent="0.25">
      <c r="A35" t="s">
        <v>91</v>
      </c>
      <c r="B35" t="s">
        <v>93</v>
      </c>
      <c r="C35">
        <v>2302600034</v>
      </c>
      <c r="D35" t="s">
        <v>60</v>
      </c>
      <c r="E35" s="2">
        <v>0.93999999999999984</v>
      </c>
      <c r="F35" s="1">
        <v>46119</v>
      </c>
      <c r="G35" s="1">
        <v>46119</v>
      </c>
      <c r="H35" s="1">
        <v>46178</v>
      </c>
      <c r="I35" s="1">
        <v>46156</v>
      </c>
      <c r="J35">
        <v>3</v>
      </c>
      <c r="K35" s="1"/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6.0000000000000005E-2</v>
      </c>
      <c r="T35" s="3">
        <v>0.66666666666666674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</v>
      </c>
      <c r="Z35" s="3">
        <v>0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0.33999999999999986</v>
      </c>
      <c r="AI35" s="3">
        <v>0.91891891891891853</v>
      </c>
      <c r="AJ35" s="3">
        <v>5.4054054054054036E-2</v>
      </c>
      <c r="AK35" s="3">
        <v>5.4054054054054036E-2</v>
      </c>
      <c r="AL35" s="3">
        <v>0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0</v>
      </c>
      <c r="BA35" s="3">
        <v>5.4054054054054036E-2</v>
      </c>
      <c r="BB35" s="3">
        <v>8.1081081081081058E-2</v>
      </c>
      <c r="BC35" s="3">
        <v>0</v>
      </c>
      <c r="BD35" s="3">
        <v>2.7027027027027018E-2</v>
      </c>
      <c r="BE35" s="3" t="str">
        <f>+IF(AVANCE[[#This Row],[% AVANCE]]=100%,"MODULO TERMINADO",IF(AVANCE[[#This Row],[FECHA INICIO REAL]]="","MODULO NO INICIADO","PENDIENTE"))</f>
        <v>PENDIENTE</v>
      </c>
      <c r="BF35" s="3">
        <f>+IF(AVANCE[[#This Row],[VENTANAS]]=8.10810810810811%,100%,AVANCE[[#This Row],[VENTANAS]])</f>
        <v>1</v>
      </c>
      <c r="BG35" s="3">
        <f>+IF(AVANCE[[#This Row],[PISO]]=N$2,100%,AVANCE[[#This Row],[PISO]])</f>
        <v>1</v>
      </c>
      <c r="BH35" s="3">
        <f>+IF(AVANCE[[#This Row],[TABIQUES]]=O$2,100%,AVANCE[[#This Row],[TABIQUES]])</f>
        <v>1</v>
      </c>
      <c r="BI35" s="3">
        <f>+IF(AVANCE[[#This Row],[MUROS]]=P$2,100%,AVANCE[[#This Row],[MUROS]])</f>
        <v>1</v>
      </c>
      <c r="BJ35" s="3">
        <f>+IF(AVANCE[[#This Row],[CIELO]]=Q$2,100%,AVANCE[[#This Row],[CIELO]])</f>
        <v>1</v>
      </c>
      <c r="BK35" s="3">
        <f>+IF(AVANCE[[#This Row],[BALCÓN]]=R$2,100%,AVANCE[[#This Row],[BALCÓN]])</f>
        <v>1</v>
      </c>
      <c r="BL35" s="3">
        <f>+IF(AVANCE[[#This Row],[RED ALCANTARILLADO]]=U$2,100%,AVANCE[[#This Row],[RED ALCANTARILLADO]])</f>
        <v>1</v>
      </c>
      <c r="BM35" s="3">
        <f>+IF(AVANCE[[#This Row],[RED DE AGUA]]=V$2,100%,AVANCE[[#This Row],[RED DE AGUA]])</f>
        <v>1</v>
      </c>
      <c r="BN35" s="3">
        <f>+IF(AVANCE[[#This Row],[VENTILACIONES]]=W$2,100%,AVANCE[[#This Row],[VENTILACIONES]])</f>
        <v>1</v>
      </c>
      <c r="BO35" s="3">
        <f>+IF(AVANCE[[#This Row],[TINA]]=X$2,100%,AVANCE[[#This Row],[TINA]])</f>
        <v>1</v>
      </c>
      <c r="BP35" s="3">
        <f>+IF(AVANCE[[#This Row],[WC]]=Y$2,100%,AVANCE[[#This Row],[WC]])</f>
        <v>0</v>
      </c>
      <c r="BQ35" s="3">
        <f>+IF(AVANCE[[#This Row],[LAVAMANOS / LAVAPLATOS / LAVADERO]]=Z$2,100%,AVANCE[[#This Row],[LAVAMANOS / LAVAPLATOS / LAVADERO]])</f>
        <v>0</v>
      </c>
      <c r="BR35" s="3">
        <f>+IF(AVANCE[[#This Row],[CANALIZACIÓN]]=AC$2,100%,AVANCE[[#This Row],[CANALIZACIÓN]])</f>
        <v>1</v>
      </c>
      <c r="BS35" s="3">
        <f>+IF(AVANCE[[#This Row],[CABLEADO]]=AD$2,100%,AVANCE[[#This Row],[CABLEADO]])</f>
        <v>1</v>
      </c>
      <c r="BT35" s="3">
        <f>+IF(AVANCE[[#This Row],[ARTEFACTOS]]=AE$2,100%,AVANCE[[#This Row],[ARTEFACTOS]])</f>
        <v>1</v>
      </c>
      <c r="BU35" s="3">
        <f>+IF(AVANCE[[#This Row],[TABLERO]]=AF$2,100%,AVANCE[[#This Row],[TABLERO]])</f>
        <v>1</v>
      </c>
      <c r="BV35" s="3">
        <f>+IF(AVANCE[[#This Row],[CAJA PAU]]=AG$2,100%,AVANCE[[#This Row],[CAJA PAU]])</f>
        <v>1</v>
      </c>
      <c r="BW35" s="3">
        <f>+IF(AVANCE[[#This Row],[INSTALACION VINILICO]]=AJ$2,100%,AVANCE[[#This Row],[INSTALACION VINILICO]])</f>
        <v>1</v>
      </c>
      <c r="BX35" s="3">
        <f>+IF(AVANCE[[#This Row],[OSB CUBIERTA]]=AK$2,100%,AVANCE[[#This Row],[OSB CUBIERTA]])</f>
        <v>1</v>
      </c>
      <c r="BY35" s="3">
        <f>+IF(AVANCE[[#This Row],[BARANDA BALCON]]=AL$2,100%,AVANCE[[#This Row],[BARANDA BALCON]])</f>
        <v>0</v>
      </c>
      <c r="BZ35" s="3">
        <f>+IF(AVANCE[[#This Row],[OSB EXTERIOR]]=AM$2,100%,AVANCE[[#This Row],[OSB EXTERIOR]])</f>
        <v>1</v>
      </c>
      <c r="CA35" s="3">
        <f>+IF(AVANCE[[#This Row],[SMART PANEL]]=AN$2,100%,AVANCE[[#This Row],[SMART PANEL]])</f>
        <v>1</v>
      </c>
      <c r="CB35" s="3">
        <f>+IF(AVANCE[[#This Row],[PINTURA EXTERIOR]]=AO$2,100%,AVANCE[[#This Row],[PINTURA EXTERIOR]])</f>
        <v>1</v>
      </c>
      <c r="CC35" s="3">
        <f>+IF(AVANCE[[#This Row],[ZOCALOS LOGIA]]=AP$2,100%,AVANCE[[#This Row],[ZOCALOS LOGIA]])</f>
        <v>1</v>
      </c>
      <c r="CD35" s="3">
        <f>+IF(AVANCE[[#This Row],[MOLDURAS]]=AQ$2,100%,AVANCE[[#This Row],[MOLDURAS]])</f>
        <v>1</v>
      </c>
      <c r="CE35" s="3">
        <f>+IF(AVANCE[[#This Row],[PILASTREO]]=AR$2,100%,AVANCE[[#This Row],[PILASTREO]])</f>
        <v>1</v>
      </c>
      <c r="CF35" s="3">
        <f>+IF(AVANCE[[#This Row],[CELOSIAS]]=AS$2,100%,AVANCE[[#This Row],[CELOSIAS]])</f>
        <v>1</v>
      </c>
      <c r="CG35" s="3">
        <f>+IF(AVANCE[[#This Row],[VENTANAS]]=AT$2,100%,AVANCE[[#This Row],[VENTANAS]])</f>
        <v>1</v>
      </c>
      <c r="CH35" s="3">
        <f>+IF(AVANCE[[#This Row],[PUERTAS ACCESO - LOGIA - BANO]]=AU$2,100%,AVANCE[[#This Row],[PUERTAS ACCESO - LOGIA - BANO]])</f>
        <v>1</v>
      </c>
      <c r="CI35" s="3">
        <f>+IF(AVANCE[[#This Row],[CERRADURAS]]=AV$2,100%,AVANCE[[#This Row],[CERRADURAS]])</f>
        <v>1</v>
      </c>
      <c r="CJ35" s="3">
        <f>+IF(AVANCE[[#This Row],[REVESTIMIENTO INTERIOR ZONA SECA]]=AW$2,100%,AVANCE[[#This Row],[REVESTIMIENTO INTERIOR ZONA SECA]])</f>
        <v>1</v>
      </c>
      <c r="CK35" s="3">
        <f>+IF(AVANCE[[#This Row],[REVESTIMIENTO INTERIOR ZONAS HUMEDAS]]=AX$2,100%,AVANCE[[#This Row],[REVESTIMIENTO INTERIOR ZONAS HUMEDAS]])</f>
        <v>1</v>
      </c>
      <c r="CL35" s="3">
        <f>+IF(AVANCE[[#This Row],[MEMBRANA CIELO]]=AY$2,100%,AVANCE[[#This Row],[MEMBRANA CIELO]])</f>
        <v>1</v>
      </c>
      <c r="CM35" s="3">
        <f>+IF(AVANCE[[#This Row],[LIMPIEZA FINAL]]=AZ$2,100%,AVANCE[[#This Row],[LIMPIEZA FINAL]])</f>
        <v>0</v>
      </c>
      <c r="CN35" s="3">
        <f>+IF(AVANCE[[#This Row],[PUERTAS DORMITORIO]]=BA$2,100%,AVANCE[[#This Row],[PUERTAS DORMITORIO]])</f>
        <v>1</v>
      </c>
      <c r="CO35" s="3">
        <f>+IF(AVANCE[[#This Row],[REVESTIMIENTO INTERIOR BANO]]=BB$2,100%,AVANCE[[#This Row],[REVESTIMIENTO INTERIOR BANO]])</f>
        <v>1</v>
      </c>
      <c r="CP35" s="3">
        <f>+IF(AVANCE[[#This Row],[MUEBLE LAVAPLATOS]]=BC$2,100%,AVANCE[[#This Row],[MUEBLE LAVAPLATOS]])</f>
        <v>0</v>
      </c>
      <c r="CQ35" s="3">
        <f>+IF(AVANCE[[#This Row],[IMPERMEABILIZACION BANO - COCINA LOGIA]]=BD$2,100%,AVANCE[[#This Row],[IMPERMEABILIZACION BANO - COCINA LOGIA]])</f>
        <v>1</v>
      </c>
      <c r="CR35" s="40">
        <f ca="1">+IF(AVANCE[[#This Row],[ESTADO MODULO]]="PENDIENTE",(TODAY()-AVANCE[[#This Row],[FECHA TERMINO  PLANIFICADO]]),0)</f>
        <v>25</v>
      </c>
      <c r="CS35" s="42" t="str" cm="1">
        <f t="array" ref="CS35">_xlfn.TEXTJOIN(" | ",TRUE,IF(SUMPRODUCT((BF35:CQ35&lt;1)*(PARTIDAS!$I$2:$AT$2="OBRA GRUESA"))&gt;0,"OBRA GRUESA: "&amp;_xlfn.TEXTJOIN(", ",TRUE,IF((BF35:CQ35&lt;1)*(PARTIDAS!$I$2:$AT$2="OBRA GRUESA"),PARTIDAS!$I$1:$AT$1,"")),""),IF(SUMPRODUCT((BF35:CQ35&lt;1)*(PARTIDAS!$I$2:$AT$2="SANITARIOS"))&gt;0,"SANITARIOS: "&amp;_xlfn.TEXTJOIN(", ",TRUE,IF((BF35:CQ35&lt;1)*(PARTIDAS!$I$2:$AT$2="SANITARIOS"),PARTIDAS!$I$1:$AT$1,"")),""),IF(SUMPRODUCT((BF35:CQ35&lt;1)*(PARTIDAS!$I$2:$AT$2="ELÉCTRICO"))&gt;0,"ELÉCTRICO: "&amp;_xlfn.TEXTJOIN(", ",TRUE,IF((BF35:CQ35&lt;1)*(PARTIDAS!$I$2:$AT$2="ELÉCTRICO"),PARTIDAS!$I$1:$AT$1,"")),""),IF(SUMPRODUCT((BF35:CQ35&lt;1)*(PARTIDAS!$I$2:$AT$2="TERMINACIONES"))&gt;0,"TERMINACIONES: "&amp;_xlfn.TEXTJOIN(", ",TRUE,IF((BF35:CQ35&lt;1)*(PARTIDAS!$I$2:$AT$2="TERMINACIONES"),PARTIDAS!$I$1:$AT$1,"")),""))</f>
        <v>SANITARIOS: WC, LAVAMANOS / LAVAPLATOS / LAVADERO | TERMINACIONES: BARANDA BALCON, LIMPIEZA FINAL, MUEBLE LAVAPLATOS</v>
      </c>
      <c r="CT35" s="45" t="str" cm="1">
        <f t="array" ref="CT35">_xlfn.TEXTJOIN(", ",TRUE,IF(SUMPRODUCT((BF35:CQ35&lt;1)*(PARTIDAS!$I$2:$AT$2="OBRA GRUESA"))&gt;0,"OBRA GRUESA",""),IF(SUMPRODUCT((BF35:CQ35&lt;1)*(PARTIDAS!$I$2:$AT$2="SANITARIOS"))&gt;0,"SANITARIOS",""),IF(SUMPRODUCT((BF35:CQ35&lt;1)*(PARTIDAS!$I$2:$AT$2="ELÉCTRICO"))&gt;0,"ELÉCTRICO",""),IF(SUMPRODUCT((BF35:CQ35&lt;1)*(PARTIDAS!$I$2:$AT$2="TERMINACIONES"))&gt;0,"TERMINACIONES",""))</f>
        <v>SANITARIOS, TERMINACIONES</v>
      </c>
      <c r="CU35" s="46" cm="1">
        <f t="array" ref="CU35">SUMPRODUCT(--(BF35:CQ35&lt;1))</f>
        <v>5</v>
      </c>
    </row>
    <row r="36" spans="1:99" x14ac:dyDescent="0.25">
      <c r="A36" t="s">
        <v>91</v>
      </c>
      <c r="B36" t="s">
        <v>94</v>
      </c>
      <c r="C36">
        <v>2302600035</v>
      </c>
      <c r="D36" t="s">
        <v>60</v>
      </c>
      <c r="E36" s="2">
        <v>0.97499999999999987</v>
      </c>
      <c r="F36" s="1">
        <v>46122</v>
      </c>
      <c r="G36" s="1">
        <v>46122</v>
      </c>
      <c r="H36" s="1">
        <v>46178</v>
      </c>
      <c r="I36" s="1">
        <v>46157</v>
      </c>
      <c r="J36">
        <v>3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0.34499999999999986</v>
      </c>
      <c r="AI36" s="3">
        <v>0.93243243243243201</v>
      </c>
      <c r="AJ36" s="3">
        <v>5.4054054054054036E-2</v>
      </c>
      <c r="AK36" s="3">
        <v>5.4054054054054036E-2</v>
      </c>
      <c r="AL36" s="3">
        <v>0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 s="3" t="str">
        <f>+IF(AVANCE[[#This Row],[% AVANCE]]=100%,"MODULO TERMINADO",IF(AVANCE[[#This Row],[FECHA INICIO REAL]]="","MODULO NO INICIADO","PENDIENTE"))</f>
        <v>PENDIENTE</v>
      </c>
      <c r="BF36" s="3">
        <f>+IF(AVANCE[[#This Row],[VENTANAS]]=8.10810810810811%,100%,AVANCE[[#This Row],[VENTANAS]])</f>
        <v>1</v>
      </c>
      <c r="BG36" s="3">
        <f>+IF(AVANCE[[#This Row],[PISO]]=N$2,100%,AVANCE[[#This Row],[PISO]])</f>
        <v>1</v>
      </c>
      <c r="BH36" s="3">
        <f>+IF(AVANCE[[#This Row],[TABIQUES]]=O$2,100%,AVANCE[[#This Row],[TABIQUES]])</f>
        <v>1</v>
      </c>
      <c r="BI36" s="3">
        <f>+IF(AVANCE[[#This Row],[MUROS]]=P$2,100%,AVANCE[[#This Row],[MUROS]])</f>
        <v>1</v>
      </c>
      <c r="BJ36" s="3">
        <f>+IF(AVANCE[[#This Row],[CIELO]]=Q$2,100%,AVANCE[[#This Row],[CIELO]])</f>
        <v>1</v>
      </c>
      <c r="BK36" s="3">
        <f>+IF(AVANCE[[#This Row],[BALCÓN]]=R$2,100%,AVANCE[[#This Row],[BALCÓN]])</f>
        <v>1</v>
      </c>
      <c r="BL36" s="3">
        <f>+IF(AVANCE[[#This Row],[RED ALCANTARILLADO]]=U$2,100%,AVANCE[[#This Row],[RED ALCANTARILLADO]])</f>
        <v>1</v>
      </c>
      <c r="BM36" s="3">
        <f>+IF(AVANCE[[#This Row],[RED DE AGUA]]=V$2,100%,AVANCE[[#This Row],[RED DE AGUA]])</f>
        <v>1</v>
      </c>
      <c r="BN36" s="3">
        <f>+IF(AVANCE[[#This Row],[VENTILACIONES]]=W$2,100%,AVANCE[[#This Row],[VENTILACIONES]])</f>
        <v>1</v>
      </c>
      <c r="BO36" s="3">
        <f>+IF(AVANCE[[#This Row],[TINA]]=X$2,100%,AVANCE[[#This Row],[TINA]])</f>
        <v>1</v>
      </c>
      <c r="BP36" s="3">
        <f>+IF(AVANCE[[#This Row],[WC]]=Y$2,100%,AVANCE[[#This Row],[WC]])</f>
        <v>1</v>
      </c>
      <c r="BQ36" s="3">
        <f>+IF(AVANCE[[#This Row],[LAVAMANOS / LAVAPLATOS / LAVADERO]]=Z$2,100%,AVANCE[[#This Row],[LAVAMANOS / LAVAPLATOS / LAVADERO]])</f>
        <v>1</v>
      </c>
      <c r="BR36" s="3">
        <f>+IF(AVANCE[[#This Row],[CANALIZACIÓN]]=AC$2,100%,AVANCE[[#This Row],[CANALIZACIÓN]])</f>
        <v>1</v>
      </c>
      <c r="BS36" s="3">
        <f>+IF(AVANCE[[#This Row],[CABLEADO]]=AD$2,100%,AVANCE[[#This Row],[CABLEADO]])</f>
        <v>1</v>
      </c>
      <c r="BT36" s="3">
        <f>+IF(AVANCE[[#This Row],[ARTEFACTOS]]=AE$2,100%,AVANCE[[#This Row],[ARTEFACTOS]])</f>
        <v>1</v>
      </c>
      <c r="BU36" s="3">
        <f>+IF(AVANCE[[#This Row],[TABLERO]]=AF$2,100%,AVANCE[[#This Row],[TABLERO]])</f>
        <v>1</v>
      </c>
      <c r="BV36" s="3">
        <f>+IF(AVANCE[[#This Row],[CAJA PAU]]=AG$2,100%,AVANCE[[#This Row],[CAJA PAU]])</f>
        <v>1</v>
      </c>
      <c r="BW36" s="3">
        <f>+IF(AVANCE[[#This Row],[INSTALACION VINILICO]]=AJ$2,100%,AVANCE[[#This Row],[INSTALACION VINILICO]])</f>
        <v>1</v>
      </c>
      <c r="BX36" s="3">
        <f>+IF(AVANCE[[#This Row],[OSB CUBIERTA]]=AK$2,100%,AVANCE[[#This Row],[OSB CUBIERTA]])</f>
        <v>1</v>
      </c>
      <c r="BY36" s="3">
        <f>+IF(AVANCE[[#This Row],[BARANDA BALCON]]=AL$2,100%,AVANCE[[#This Row],[BARANDA BALCON]])</f>
        <v>0</v>
      </c>
      <c r="BZ36" s="3">
        <f>+IF(AVANCE[[#This Row],[OSB EXTERIOR]]=AM$2,100%,AVANCE[[#This Row],[OSB EXTERIOR]])</f>
        <v>1</v>
      </c>
      <c r="CA36" s="3">
        <f>+IF(AVANCE[[#This Row],[SMART PANEL]]=AN$2,100%,AVANCE[[#This Row],[SMART PANEL]])</f>
        <v>1</v>
      </c>
      <c r="CB36" s="3">
        <f>+IF(AVANCE[[#This Row],[PINTURA EXTERIOR]]=AO$2,100%,AVANCE[[#This Row],[PINTURA EXTERIOR]])</f>
        <v>1</v>
      </c>
      <c r="CC36" s="3">
        <f>+IF(AVANCE[[#This Row],[ZOCALOS LOGIA]]=AP$2,100%,AVANCE[[#This Row],[ZOCALOS LOGIA]])</f>
        <v>1</v>
      </c>
      <c r="CD36" s="3">
        <f>+IF(AVANCE[[#This Row],[MOLDURAS]]=AQ$2,100%,AVANCE[[#This Row],[MOLDURAS]])</f>
        <v>1</v>
      </c>
      <c r="CE36" s="3">
        <f>+IF(AVANCE[[#This Row],[PILASTREO]]=AR$2,100%,AVANCE[[#This Row],[PILASTREO]])</f>
        <v>1</v>
      </c>
      <c r="CF36" s="3">
        <f>+IF(AVANCE[[#This Row],[CELOSIAS]]=AS$2,100%,AVANCE[[#This Row],[CELOSIAS]])</f>
        <v>1</v>
      </c>
      <c r="CG36" s="3">
        <f>+IF(AVANCE[[#This Row],[VENTANAS]]=AT$2,100%,AVANCE[[#This Row],[VENTANAS]])</f>
        <v>1</v>
      </c>
      <c r="CH36" s="3">
        <f>+IF(AVANCE[[#This Row],[PUERTAS ACCESO - LOGIA - BANO]]=AU$2,100%,AVANCE[[#This Row],[PUERTAS ACCESO - LOGIA - BANO]])</f>
        <v>1</v>
      </c>
      <c r="CI36" s="3">
        <f>+IF(AVANCE[[#This Row],[CERRADURAS]]=AV$2,100%,AVANCE[[#This Row],[CERRADURAS]])</f>
        <v>1</v>
      </c>
      <c r="CJ36" s="3">
        <f>+IF(AVANCE[[#This Row],[REVESTIMIENTO INTERIOR ZONA SECA]]=AW$2,100%,AVANCE[[#This Row],[REVESTIMIENTO INTERIOR ZONA SECA]])</f>
        <v>1</v>
      </c>
      <c r="CK36" s="3">
        <f>+IF(AVANCE[[#This Row],[REVESTIMIENTO INTERIOR ZONAS HUMEDAS]]=AX$2,100%,AVANCE[[#This Row],[REVESTIMIENTO INTERIOR ZONAS HUMEDAS]])</f>
        <v>1</v>
      </c>
      <c r="CL36" s="3">
        <f>+IF(AVANCE[[#This Row],[MEMBRANA CIELO]]=AY$2,100%,AVANCE[[#This Row],[MEMBRANA CIELO]])</f>
        <v>1</v>
      </c>
      <c r="CM36" s="3">
        <f>+IF(AVANCE[[#This Row],[LIMPIEZA FINAL]]=AZ$2,100%,AVANCE[[#This Row],[LIMPIEZA FINAL]])</f>
        <v>0</v>
      </c>
      <c r="CN36" s="3">
        <f>+IF(AVANCE[[#This Row],[PUERTAS DORMITORIO]]=BA$2,100%,AVANCE[[#This Row],[PUERTAS DORMITORIO]])</f>
        <v>1</v>
      </c>
      <c r="CO36" s="3">
        <f>+IF(AVANCE[[#This Row],[REVESTIMIENTO INTERIOR BANO]]=BB$2,100%,AVANCE[[#This Row],[REVESTIMIENTO INTERIOR BANO]])</f>
        <v>1</v>
      </c>
      <c r="CP36" s="3">
        <f>+IF(AVANCE[[#This Row],[MUEBLE LAVAPLATOS]]=BC$2,100%,AVANCE[[#This Row],[MUEBLE LAVAPLATOS]])</f>
        <v>1</v>
      </c>
      <c r="CQ36" s="3">
        <f>+IF(AVANCE[[#This Row],[IMPERMEABILIZACION BANO - COCINA LOGIA]]=BD$2,100%,AVANCE[[#This Row],[IMPERMEABILIZACION BANO - COCINA LOGIA]])</f>
        <v>1</v>
      </c>
      <c r="CR36" s="40">
        <f ca="1">+IF(AVANCE[[#This Row],[ESTADO MODULO]]="PENDIENTE",(TODAY()-AVANCE[[#This Row],[FECHA TERMINO  PLANIFICADO]]),0)</f>
        <v>24</v>
      </c>
      <c r="CS36" s="42" t="str" cm="1">
        <f t="array" ref="CS36">_xlfn.TEXTJOIN(" | ",TRUE,IF(SUMPRODUCT((BF36:CQ36&lt;1)*(PARTIDAS!$I$2:$AT$2="OBRA GRUESA"))&gt;0,"OBRA GRUESA: "&amp;_xlfn.TEXTJOIN(", ",TRUE,IF((BF36:CQ36&lt;1)*(PARTIDAS!$I$2:$AT$2="OBRA GRUESA"),PARTIDAS!$I$1:$AT$1,"")),""),IF(SUMPRODUCT((BF36:CQ36&lt;1)*(PARTIDAS!$I$2:$AT$2="SANITARIOS"))&gt;0,"SANITARIOS: "&amp;_xlfn.TEXTJOIN(", ",TRUE,IF((BF36:CQ36&lt;1)*(PARTIDAS!$I$2:$AT$2="SANITARIOS"),PARTIDAS!$I$1:$AT$1,"")),""),IF(SUMPRODUCT((BF36:CQ36&lt;1)*(PARTIDAS!$I$2:$AT$2="ELÉCTRICO"))&gt;0,"ELÉCTRICO: "&amp;_xlfn.TEXTJOIN(", ",TRUE,IF((BF36:CQ36&lt;1)*(PARTIDAS!$I$2:$AT$2="ELÉCTRICO"),PARTIDAS!$I$1:$AT$1,"")),""),IF(SUMPRODUCT((BF36:CQ36&lt;1)*(PARTIDAS!$I$2:$AT$2="TERMINACIONES"))&gt;0,"TERMINACIONES: "&amp;_xlfn.TEXTJOIN(", ",TRUE,IF((BF36:CQ36&lt;1)*(PARTIDAS!$I$2:$AT$2="TERMINACIONES"),PARTIDAS!$I$1:$AT$1,"")),""))</f>
        <v>TERMINACIONES: BARANDA BALCON, LIMPIEZA FINAL</v>
      </c>
      <c r="CT36" s="45" t="str" cm="1">
        <f t="array" ref="CT36">_xlfn.TEXTJOIN(", ",TRUE,IF(SUMPRODUCT((BF36:CQ36&lt;1)*(PARTIDAS!$I$2:$AT$2="OBRA GRUESA"))&gt;0,"OBRA GRUESA",""),IF(SUMPRODUCT((BF36:CQ36&lt;1)*(PARTIDAS!$I$2:$AT$2="SANITARIOS"))&gt;0,"SANITARIOS",""),IF(SUMPRODUCT((BF36:CQ36&lt;1)*(PARTIDAS!$I$2:$AT$2="ELÉCTRICO"))&gt;0,"ELÉCTRICO",""),IF(SUMPRODUCT((BF36:CQ36&lt;1)*(PARTIDAS!$I$2:$AT$2="TERMINACIONES"))&gt;0,"TERMINACIONES",""))</f>
        <v>TERMINACIONES</v>
      </c>
      <c r="CU36" s="46" cm="1">
        <f t="array" ref="CU36">SUMPRODUCT(--(BF36:CQ36&lt;1))</f>
        <v>2</v>
      </c>
    </row>
    <row r="37" spans="1:99" x14ac:dyDescent="0.25">
      <c r="A37" t="s">
        <v>91</v>
      </c>
      <c r="B37" t="s">
        <v>95</v>
      </c>
      <c r="C37">
        <v>2282600036</v>
      </c>
      <c r="D37" t="s">
        <v>58</v>
      </c>
      <c r="E37" s="2">
        <v>0.96999999999999975</v>
      </c>
      <c r="F37" s="1">
        <v>46122</v>
      </c>
      <c r="G37" s="1">
        <v>46122</v>
      </c>
      <c r="H37" s="1">
        <v>46174</v>
      </c>
      <c r="I37" s="1">
        <v>46157</v>
      </c>
      <c r="J37">
        <v>7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</v>
      </c>
      <c r="AB37" s="3">
        <v>0.90909090909090917</v>
      </c>
      <c r="AC37" s="3">
        <v>0.27272727272727271</v>
      </c>
      <c r="AD37" s="3">
        <v>0.27272727272727271</v>
      </c>
      <c r="AE37" s="3">
        <v>0</v>
      </c>
      <c r="AF37" s="3">
        <v>0.18181818181818182</v>
      </c>
      <c r="AG37" s="3">
        <v>0.18181818181818182</v>
      </c>
      <c r="AH37" s="3">
        <v>0.34999999999999981</v>
      </c>
      <c r="AI37" s="3">
        <v>0.9459459459459455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0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 s="3" t="str">
        <f>+IF(AVANCE[[#This Row],[% AVANCE]]=100%,"MODULO TERMINADO",IF(AVANCE[[#This Row],[FECHA INICIO REAL]]="","MODULO NO INICIADO","PENDIENTE"))</f>
        <v>PENDIENTE</v>
      </c>
      <c r="BF37" s="3">
        <f>+IF(AVANCE[[#This Row],[VENTANAS]]=8.10810810810811%,100%,AVANCE[[#This Row],[VENTANAS]])</f>
        <v>1</v>
      </c>
      <c r="BG37" s="3">
        <f>+IF(AVANCE[[#This Row],[PISO]]=N$2,100%,AVANCE[[#This Row],[PISO]])</f>
        <v>1</v>
      </c>
      <c r="BH37" s="3">
        <f>+IF(AVANCE[[#This Row],[TABIQUES]]=O$2,100%,AVANCE[[#This Row],[TABIQUES]])</f>
        <v>1</v>
      </c>
      <c r="BI37" s="3">
        <f>+IF(AVANCE[[#This Row],[MUROS]]=P$2,100%,AVANCE[[#This Row],[MUROS]])</f>
        <v>1</v>
      </c>
      <c r="BJ37" s="3">
        <f>+IF(AVANCE[[#This Row],[CIELO]]=Q$2,100%,AVANCE[[#This Row],[CIELO]])</f>
        <v>1</v>
      </c>
      <c r="BK37" s="3">
        <f>+IF(AVANCE[[#This Row],[BALCÓN]]=R$2,100%,AVANCE[[#This Row],[BALCÓN]])</f>
        <v>1</v>
      </c>
      <c r="BL37" s="3">
        <f>+IF(AVANCE[[#This Row],[RED ALCANTARILLADO]]=U$2,100%,AVANCE[[#This Row],[RED ALCANTARILLADO]])</f>
        <v>1</v>
      </c>
      <c r="BM37" s="3">
        <f>+IF(AVANCE[[#This Row],[RED DE AGUA]]=V$2,100%,AVANCE[[#This Row],[RED DE AGUA]])</f>
        <v>1</v>
      </c>
      <c r="BN37" s="3">
        <f>+IF(AVANCE[[#This Row],[VENTILACIONES]]=W$2,100%,AVANCE[[#This Row],[VENTILACIONES]])</f>
        <v>1</v>
      </c>
      <c r="BO37" s="3">
        <f>+IF(AVANCE[[#This Row],[TINA]]=X$2,100%,AVANCE[[#This Row],[TINA]])</f>
        <v>1</v>
      </c>
      <c r="BP37" s="3">
        <f>+IF(AVANCE[[#This Row],[WC]]=Y$2,100%,AVANCE[[#This Row],[WC]])</f>
        <v>1</v>
      </c>
      <c r="BQ37" s="3">
        <f>+IF(AVANCE[[#This Row],[LAVAMANOS / LAVAPLATOS / LAVADERO]]=Z$2,100%,AVANCE[[#This Row],[LAVAMANOS / LAVAPLATOS / LAVADERO]])</f>
        <v>1</v>
      </c>
      <c r="BR37" s="3">
        <f>+IF(AVANCE[[#This Row],[CANALIZACIÓN]]=AC$2,100%,AVANCE[[#This Row],[CANALIZACIÓN]])</f>
        <v>1</v>
      </c>
      <c r="BS37" s="3">
        <f>+IF(AVANCE[[#This Row],[CABLEADO]]=AD$2,100%,AVANCE[[#This Row],[CABLEADO]])</f>
        <v>1</v>
      </c>
      <c r="BT37" s="3">
        <f>+IF(AVANCE[[#This Row],[ARTEFACTOS]]=AE$2,100%,AVANCE[[#This Row],[ARTEFACTOS]])</f>
        <v>0</v>
      </c>
      <c r="BU37" s="3">
        <f>+IF(AVANCE[[#This Row],[TABLERO]]=AF$2,100%,AVANCE[[#This Row],[TABLERO]])</f>
        <v>1</v>
      </c>
      <c r="BV37" s="3">
        <f>+IF(AVANCE[[#This Row],[CAJA PAU]]=AG$2,100%,AVANCE[[#This Row],[CAJA PAU]])</f>
        <v>1</v>
      </c>
      <c r="BW37" s="3">
        <f>+IF(AVANCE[[#This Row],[INSTALACION VINILICO]]=AJ$2,100%,AVANCE[[#This Row],[INSTALACION VINILICO]])</f>
        <v>1</v>
      </c>
      <c r="BX37" s="3">
        <f>+IF(AVANCE[[#This Row],[OSB CUBIERTA]]=AK$2,100%,AVANCE[[#This Row],[OSB CUBIERTA]])</f>
        <v>1</v>
      </c>
      <c r="BY37" s="3">
        <f>+IF(AVANCE[[#This Row],[BARANDA BALCON]]=AL$2,100%,AVANCE[[#This Row],[BARANDA BALCON]])</f>
        <v>1</v>
      </c>
      <c r="BZ37" s="3">
        <f>+IF(AVANCE[[#This Row],[OSB EXTERIOR]]=AM$2,100%,AVANCE[[#This Row],[OSB EXTERIOR]])</f>
        <v>1</v>
      </c>
      <c r="CA37" s="3">
        <f>+IF(AVANCE[[#This Row],[SMART PANEL]]=AN$2,100%,AVANCE[[#This Row],[SMART PANEL]])</f>
        <v>1</v>
      </c>
      <c r="CB37" s="3">
        <f>+IF(AVANCE[[#This Row],[PINTURA EXTERIOR]]=AO$2,100%,AVANCE[[#This Row],[PINTURA EXTERIOR]])</f>
        <v>1</v>
      </c>
      <c r="CC37" s="3">
        <f>+IF(AVANCE[[#This Row],[ZOCALOS LOGIA]]=AP$2,100%,AVANCE[[#This Row],[ZOCALOS LOGIA]])</f>
        <v>1</v>
      </c>
      <c r="CD37" s="3">
        <f>+IF(AVANCE[[#This Row],[MOLDURAS]]=AQ$2,100%,AVANCE[[#This Row],[MOLDURAS]])</f>
        <v>1</v>
      </c>
      <c r="CE37" s="3">
        <f>+IF(AVANCE[[#This Row],[PILASTREO]]=AR$2,100%,AVANCE[[#This Row],[PILASTREO]])</f>
        <v>1</v>
      </c>
      <c r="CF37" s="3">
        <f>+IF(AVANCE[[#This Row],[CELOSIAS]]=AS$2,100%,AVANCE[[#This Row],[CELOSIAS]])</f>
        <v>0</v>
      </c>
      <c r="CG37" s="3">
        <f>+IF(AVANCE[[#This Row],[VENTANAS]]=AT$2,100%,AVANCE[[#This Row],[VENTANAS]])</f>
        <v>1</v>
      </c>
      <c r="CH37" s="3">
        <f>+IF(AVANCE[[#This Row],[PUERTAS ACCESO - LOGIA - BANO]]=AU$2,100%,AVANCE[[#This Row],[PUERTAS ACCESO - LOGIA - BANO]])</f>
        <v>1</v>
      </c>
      <c r="CI37" s="3">
        <f>+IF(AVANCE[[#This Row],[CERRADURAS]]=AV$2,100%,AVANCE[[#This Row],[CERRADURAS]])</f>
        <v>1</v>
      </c>
      <c r="CJ37" s="3">
        <f>+IF(AVANCE[[#This Row],[REVESTIMIENTO INTERIOR ZONA SECA]]=AW$2,100%,AVANCE[[#This Row],[REVESTIMIENTO INTERIOR ZONA SECA]])</f>
        <v>1</v>
      </c>
      <c r="CK37" s="3">
        <f>+IF(AVANCE[[#This Row],[REVESTIMIENTO INTERIOR ZONAS HUMEDAS]]=AX$2,100%,AVANCE[[#This Row],[REVESTIMIENTO INTERIOR ZONAS HUMEDAS]])</f>
        <v>1</v>
      </c>
      <c r="CL37" s="3">
        <f>+IF(AVANCE[[#This Row],[MEMBRANA CIELO]]=AY$2,100%,AVANCE[[#This Row],[MEMBRANA CIELO]])</f>
        <v>1</v>
      </c>
      <c r="CM37" s="3">
        <f>+IF(AVANCE[[#This Row],[LIMPIEZA FINAL]]=AZ$2,100%,AVANCE[[#This Row],[LIMPIEZA FINAL]])</f>
        <v>0</v>
      </c>
      <c r="CN37" s="3">
        <f>+IF(AVANCE[[#This Row],[PUERTAS DORMITORIO]]=BA$2,100%,AVANCE[[#This Row],[PUERTAS DORMITORIO]])</f>
        <v>1</v>
      </c>
      <c r="CO37" s="3">
        <f>+IF(AVANCE[[#This Row],[REVESTIMIENTO INTERIOR BANO]]=BB$2,100%,AVANCE[[#This Row],[REVESTIMIENTO INTERIOR BANO]])</f>
        <v>1</v>
      </c>
      <c r="CP37" s="3">
        <f>+IF(AVANCE[[#This Row],[MUEBLE LAVAPLATOS]]=BC$2,100%,AVANCE[[#This Row],[MUEBLE LAVAPLATOS]])</f>
        <v>1</v>
      </c>
      <c r="CQ37" s="3">
        <f>+IF(AVANCE[[#This Row],[IMPERMEABILIZACION BANO - COCINA LOGIA]]=BD$2,100%,AVANCE[[#This Row],[IMPERMEABILIZACION BANO - COCINA LOGIA]])</f>
        <v>1</v>
      </c>
      <c r="CR37" s="40">
        <f ca="1">+IF(AVANCE[[#This Row],[ESTADO MODULO]]="PENDIENTE",(TODAY()-AVANCE[[#This Row],[FECHA TERMINO  PLANIFICADO]]),0)</f>
        <v>24</v>
      </c>
      <c r="CS37" s="42" t="str" cm="1">
        <f t="array" ref="CS37">_xlfn.TEXTJOIN(" | ",TRUE,IF(SUMPRODUCT((BF37:CQ37&lt;1)*(PARTIDAS!$I$2:$AT$2="OBRA GRUESA"))&gt;0,"OBRA GRUESA: "&amp;_xlfn.TEXTJOIN(", ",TRUE,IF((BF37:CQ37&lt;1)*(PARTIDAS!$I$2:$AT$2="OBRA GRUESA"),PARTIDAS!$I$1:$AT$1,"")),""),IF(SUMPRODUCT((BF37:CQ37&lt;1)*(PARTIDAS!$I$2:$AT$2="SANITARIOS"))&gt;0,"SANITARIOS: "&amp;_xlfn.TEXTJOIN(", ",TRUE,IF((BF37:CQ37&lt;1)*(PARTIDAS!$I$2:$AT$2="SANITARIOS"),PARTIDAS!$I$1:$AT$1,"")),""),IF(SUMPRODUCT((BF37:CQ37&lt;1)*(PARTIDAS!$I$2:$AT$2="ELÉCTRICO"))&gt;0,"ELÉCTRICO: "&amp;_xlfn.TEXTJOIN(", ",TRUE,IF((BF37:CQ37&lt;1)*(PARTIDAS!$I$2:$AT$2="ELÉCTRICO"),PARTIDAS!$I$1:$AT$1,"")),""),IF(SUMPRODUCT((BF37:CQ37&lt;1)*(PARTIDAS!$I$2:$AT$2="TERMINACIONES"))&gt;0,"TERMINACIONES: "&amp;_xlfn.TEXTJOIN(", ",TRUE,IF((BF37:CQ37&lt;1)*(PARTIDAS!$I$2:$AT$2="TERMINACIONES"),PARTIDAS!$I$1:$AT$1,"")),""))</f>
        <v>ELÉCTRICO: ARTEFACTOS | TERMINACIONES: CELOSIAS, LIMPIEZA FINAL</v>
      </c>
      <c r="CT37" s="45" t="str" cm="1">
        <f t="array" ref="CT37">_xlfn.TEXTJOIN(", ",TRUE,IF(SUMPRODUCT((BF37:CQ37&lt;1)*(PARTIDAS!$I$2:$AT$2="OBRA GRUESA"))&gt;0,"OBRA GRUESA",""),IF(SUMPRODUCT((BF37:CQ37&lt;1)*(PARTIDAS!$I$2:$AT$2="SANITARIOS"))&gt;0,"SANITARIOS",""),IF(SUMPRODUCT((BF37:CQ37&lt;1)*(PARTIDAS!$I$2:$AT$2="ELÉCTRICO"))&gt;0,"ELÉCTRICO",""),IF(SUMPRODUCT((BF37:CQ37&lt;1)*(PARTIDAS!$I$2:$AT$2="TERMINACIONES"))&gt;0,"TERMINACIONES",""))</f>
        <v>ELÉCTRICO, TERMINACIONES</v>
      </c>
      <c r="CU37" s="46" cm="1">
        <f t="array" ref="CU37">SUMPRODUCT(--(BF37:CQ37&lt;1))</f>
        <v>3</v>
      </c>
    </row>
    <row r="38" spans="1:99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3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 s="3" t="str">
        <f>+IF(AVANCE[[#This Row],[% AVANCE]]=100%,"MODULO TERMINADO",IF(AVANCE[[#This Row],[FECHA INICIO REAL]]="","MODULO NO INICIADO","PENDIENTE"))</f>
        <v>PENDIENTE</v>
      </c>
      <c r="BF38" s="3">
        <f>+IF(AVANCE[[#This Row],[VENTANAS]]=8.10810810810811%,100%,AVANCE[[#This Row],[VENTANAS]])</f>
        <v>1</v>
      </c>
      <c r="BG38" s="3">
        <f>+IF(AVANCE[[#This Row],[PISO]]=N$2,100%,AVANCE[[#This Row],[PISO]])</f>
        <v>1</v>
      </c>
      <c r="BH38" s="3">
        <f>+IF(AVANCE[[#This Row],[TABIQUES]]=O$2,100%,AVANCE[[#This Row],[TABIQUES]])</f>
        <v>1</v>
      </c>
      <c r="BI38" s="3">
        <f>+IF(AVANCE[[#This Row],[MUROS]]=P$2,100%,AVANCE[[#This Row],[MUROS]])</f>
        <v>1</v>
      </c>
      <c r="BJ38" s="3">
        <f>+IF(AVANCE[[#This Row],[CIELO]]=Q$2,100%,AVANCE[[#This Row],[CIELO]])</f>
        <v>1</v>
      </c>
      <c r="BK38" s="3">
        <f>+IF(AVANCE[[#This Row],[BALCÓN]]=R$2,100%,AVANCE[[#This Row],[BALCÓN]])</f>
        <v>1</v>
      </c>
      <c r="BL38" s="3">
        <f>+IF(AVANCE[[#This Row],[RED ALCANTARILLADO]]=U$2,100%,AVANCE[[#This Row],[RED ALCANTARILLADO]])</f>
        <v>1</v>
      </c>
      <c r="BM38" s="3">
        <f>+IF(AVANCE[[#This Row],[RED DE AGUA]]=V$2,100%,AVANCE[[#This Row],[RED DE AGUA]])</f>
        <v>1</v>
      </c>
      <c r="BN38" s="3">
        <f>+IF(AVANCE[[#This Row],[VENTILACIONES]]=W$2,100%,AVANCE[[#This Row],[VENTILACIONES]])</f>
        <v>1</v>
      </c>
      <c r="BO38" s="3">
        <f>+IF(AVANCE[[#This Row],[TINA]]=X$2,100%,AVANCE[[#This Row],[TINA]])</f>
        <v>1</v>
      </c>
      <c r="BP38" s="3">
        <f>+IF(AVANCE[[#This Row],[WC]]=Y$2,100%,AVANCE[[#This Row],[WC]])</f>
        <v>1</v>
      </c>
      <c r="BQ38" s="3">
        <f>+IF(AVANCE[[#This Row],[LAVAMANOS / LAVAPLATOS / LAVADERO]]=Z$2,100%,AVANCE[[#This Row],[LAVAMANOS / LAVAPLATOS / LAVADERO]])</f>
        <v>1</v>
      </c>
      <c r="BR38" s="3">
        <f>+IF(AVANCE[[#This Row],[CANALIZACIÓN]]=AC$2,100%,AVANCE[[#This Row],[CANALIZACIÓN]])</f>
        <v>1</v>
      </c>
      <c r="BS38" s="3">
        <f>+IF(AVANCE[[#This Row],[CABLEADO]]=AD$2,100%,AVANCE[[#This Row],[CABLEADO]])</f>
        <v>1</v>
      </c>
      <c r="BT38" s="3">
        <f>+IF(AVANCE[[#This Row],[ARTEFACTOS]]=AE$2,100%,AVANCE[[#This Row],[ARTEFACTOS]])</f>
        <v>1</v>
      </c>
      <c r="BU38" s="3">
        <f>+IF(AVANCE[[#This Row],[TABLERO]]=AF$2,100%,AVANCE[[#This Row],[TABLERO]])</f>
        <v>1</v>
      </c>
      <c r="BV38" s="3">
        <f>+IF(AVANCE[[#This Row],[CAJA PAU]]=AG$2,100%,AVANCE[[#This Row],[CAJA PAU]])</f>
        <v>1</v>
      </c>
      <c r="BW38" s="3">
        <f>+IF(AVANCE[[#This Row],[INSTALACION VINILICO]]=AJ$2,100%,AVANCE[[#This Row],[INSTALACION VINILICO]])</f>
        <v>1</v>
      </c>
      <c r="BX38" s="3">
        <f>+IF(AVANCE[[#This Row],[OSB CUBIERTA]]=AK$2,100%,AVANCE[[#This Row],[OSB CUBIERTA]])</f>
        <v>1</v>
      </c>
      <c r="BY38" s="3">
        <f>+IF(AVANCE[[#This Row],[BARANDA BALCON]]=AL$2,100%,AVANCE[[#This Row],[BARANDA BALCON]])</f>
        <v>1</v>
      </c>
      <c r="BZ38" s="3">
        <f>+IF(AVANCE[[#This Row],[OSB EXTERIOR]]=AM$2,100%,AVANCE[[#This Row],[OSB EXTERIOR]])</f>
        <v>1</v>
      </c>
      <c r="CA38" s="3">
        <f>+IF(AVANCE[[#This Row],[SMART PANEL]]=AN$2,100%,AVANCE[[#This Row],[SMART PANEL]])</f>
        <v>1</v>
      </c>
      <c r="CB38" s="3">
        <f>+IF(AVANCE[[#This Row],[PINTURA EXTERIOR]]=AO$2,100%,AVANCE[[#This Row],[PINTURA EXTERIOR]])</f>
        <v>1</v>
      </c>
      <c r="CC38" s="3">
        <f>+IF(AVANCE[[#This Row],[ZOCALOS LOGIA]]=AP$2,100%,AVANCE[[#This Row],[ZOCALOS LOGIA]])</f>
        <v>1</v>
      </c>
      <c r="CD38" s="3">
        <f>+IF(AVANCE[[#This Row],[MOLDURAS]]=AQ$2,100%,AVANCE[[#This Row],[MOLDURAS]])</f>
        <v>0</v>
      </c>
      <c r="CE38" s="3">
        <f>+IF(AVANCE[[#This Row],[PILASTREO]]=AR$2,100%,AVANCE[[#This Row],[PILASTREO]])</f>
        <v>0</v>
      </c>
      <c r="CF38" s="3">
        <f>+IF(AVANCE[[#This Row],[CELOSIAS]]=AS$2,100%,AVANCE[[#This Row],[CELOSIAS]])</f>
        <v>0</v>
      </c>
      <c r="CG38" s="3">
        <f>+IF(AVANCE[[#This Row],[VENTANAS]]=AT$2,100%,AVANCE[[#This Row],[VENTANAS]])</f>
        <v>1</v>
      </c>
      <c r="CH38" s="3">
        <f>+IF(AVANCE[[#This Row],[PUERTAS ACCESO - LOGIA - BANO]]=AU$2,100%,AVANCE[[#This Row],[PUERTAS ACCESO - LOGIA - BANO]])</f>
        <v>1</v>
      </c>
      <c r="CI38" s="3">
        <f>+IF(AVANCE[[#This Row],[CERRADURAS]]=AV$2,100%,AVANCE[[#This Row],[CERRADURAS]])</f>
        <v>1</v>
      </c>
      <c r="CJ38" s="3">
        <f>+IF(AVANCE[[#This Row],[REVESTIMIENTO INTERIOR ZONA SECA]]=AW$2,100%,AVANCE[[#This Row],[REVESTIMIENTO INTERIOR ZONA SECA]])</f>
        <v>1</v>
      </c>
      <c r="CK38" s="3">
        <f>+IF(AVANCE[[#This Row],[REVESTIMIENTO INTERIOR ZONAS HUMEDAS]]=AX$2,100%,AVANCE[[#This Row],[REVESTIMIENTO INTERIOR ZONAS HUMEDAS]])</f>
        <v>1</v>
      </c>
      <c r="CL38" s="3">
        <f>+IF(AVANCE[[#This Row],[MEMBRANA CIELO]]=AY$2,100%,AVANCE[[#This Row],[MEMBRANA CIELO]])</f>
        <v>1</v>
      </c>
      <c r="CM38" s="3">
        <f>+IF(AVANCE[[#This Row],[LIMPIEZA FINAL]]=AZ$2,100%,AVANCE[[#This Row],[LIMPIEZA FINAL]])</f>
        <v>0</v>
      </c>
      <c r="CN38" s="3">
        <f>+IF(AVANCE[[#This Row],[PUERTAS DORMITORIO]]=BA$2,100%,AVANCE[[#This Row],[PUERTAS DORMITORIO]])</f>
        <v>1</v>
      </c>
      <c r="CO38" s="3">
        <f>+IF(AVANCE[[#This Row],[REVESTIMIENTO INTERIOR BANO]]=BB$2,100%,AVANCE[[#This Row],[REVESTIMIENTO INTERIOR BANO]])</f>
        <v>1</v>
      </c>
      <c r="CP38" s="3">
        <f>+IF(AVANCE[[#This Row],[MUEBLE LAVAPLATOS]]=BC$2,100%,AVANCE[[#This Row],[MUEBLE LAVAPLATOS]])</f>
        <v>1</v>
      </c>
      <c r="CQ38" s="3">
        <f>+IF(AVANCE[[#This Row],[IMPERMEABILIZACION BANO - COCINA LOGIA]]=BD$2,100%,AVANCE[[#This Row],[IMPERMEABILIZACION BANO - COCINA LOGIA]])</f>
        <v>1</v>
      </c>
      <c r="CR38" s="40">
        <f ca="1">+IF(AVANCE[[#This Row],[ESTADO MODULO]]="PENDIENTE",(TODAY()-AVANCE[[#This Row],[FECHA TERMINO  PLANIFICADO]]),0)</f>
        <v>21</v>
      </c>
      <c r="CS38" s="42" t="str" cm="1">
        <f t="array" ref="CS38">_xlfn.TEXTJOIN(" | ",TRUE,IF(SUMPRODUCT((BF38:CQ38&lt;1)*(PARTIDAS!$I$2:$AT$2="OBRA GRUESA"))&gt;0,"OBRA GRUESA: "&amp;_xlfn.TEXTJOIN(", ",TRUE,IF((BF38:CQ38&lt;1)*(PARTIDAS!$I$2:$AT$2="OBRA GRUESA"),PARTIDAS!$I$1:$AT$1,"")),""),IF(SUMPRODUCT((BF38:CQ38&lt;1)*(PARTIDAS!$I$2:$AT$2="SANITARIOS"))&gt;0,"SANITARIOS: "&amp;_xlfn.TEXTJOIN(", ",TRUE,IF((BF38:CQ38&lt;1)*(PARTIDAS!$I$2:$AT$2="SANITARIOS"),PARTIDAS!$I$1:$AT$1,"")),""),IF(SUMPRODUCT((BF38:CQ38&lt;1)*(PARTIDAS!$I$2:$AT$2="ELÉCTRICO"))&gt;0,"ELÉCTRICO: "&amp;_xlfn.TEXTJOIN(", ",TRUE,IF((BF38:CQ38&lt;1)*(PARTIDAS!$I$2:$AT$2="ELÉCTRICO"),PARTIDAS!$I$1:$AT$1,"")),""),IF(SUMPRODUCT((BF38:CQ38&lt;1)*(PARTIDAS!$I$2:$AT$2="TERMINACIONES"))&gt;0,"TERMINACIONES: "&amp;_xlfn.TEXTJOIN(", ",TRUE,IF((BF38:CQ38&lt;1)*(PARTIDAS!$I$2:$AT$2="TERMINACIONES"),PARTIDAS!$I$1:$AT$1,"")),""))</f>
        <v>TERMINACIONES: MOLDURAS, PILASTREO, CELOSIAS, LIMPIEZA FINAL</v>
      </c>
      <c r="CT38" s="45" t="str" cm="1">
        <f t="array" ref="CT38">_xlfn.TEXTJOIN(", ",TRUE,IF(SUMPRODUCT((BF38:CQ38&lt;1)*(PARTIDAS!$I$2:$AT$2="OBRA GRUESA"))&gt;0,"OBRA GRUESA",""),IF(SUMPRODUCT((BF38:CQ38&lt;1)*(PARTIDAS!$I$2:$AT$2="SANITARIOS"))&gt;0,"SANITARIOS",""),IF(SUMPRODUCT((BF38:CQ38&lt;1)*(PARTIDAS!$I$2:$AT$2="ELÉCTRICO"))&gt;0,"ELÉCTRICO",""),IF(SUMPRODUCT((BF38:CQ38&lt;1)*(PARTIDAS!$I$2:$AT$2="TERMINACIONES"))&gt;0,"TERMINACIONES",""))</f>
        <v>TERMINACIONES</v>
      </c>
      <c r="CU38" s="46" cm="1">
        <f t="array" ref="CU38">SUMPRODUCT(--(BF38:CQ38&lt;1))</f>
        <v>4</v>
      </c>
    </row>
    <row r="39" spans="1:99" x14ac:dyDescent="0.25">
      <c r="A39" t="s">
        <v>91</v>
      </c>
      <c r="B39" t="s">
        <v>97</v>
      </c>
      <c r="C39">
        <v>2302600038</v>
      </c>
      <c r="D39" t="s">
        <v>60</v>
      </c>
      <c r="E39" s="2">
        <v>0.95499999999999985</v>
      </c>
      <c r="F39" s="1">
        <v>46123</v>
      </c>
      <c r="G39" s="1">
        <v>46123</v>
      </c>
      <c r="H39" s="1">
        <v>46178</v>
      </c>
      <c r="I39" s="1">
        <v>46160</v>
      </c>
      <c r="J39">
        <v>3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</v>
      </c>
      <c r="AB39" s="3">
        <v>0.90909090909090917</v>
      </c>
      <c r="AC39" s="3">
        <v>0.27272727272727271</v>
      </c>
      <c r="AD39" s="3">
        <v>0.27272727272727271</v>
      </c>
      <c r="AE39" s="3">
        <v>0</v>
      </c>
      <c r="AF39" s="3">
        <v>0.18181818181818182</v>
      </c>
      <c r="AG39" s="3">
        <v>0.18181818181818182</v>
      </c>
      <c r="AH39" s="3">
        <v>0.34499999999999986</v>
      </c>
      <c r="AI39" s="3">
        <v>0.93243243243243201</v>
      </c>
      <c r="AJ39" s="3">
        <v>5.4054054054054036E-2</v>
      </c>
      <c r="AK39" s="3">
        <v>5.4054054054054036E-2</v>
      </c>
      <c r="AL39" s="3">
        <v>0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 s="3" t="str">
        <f>+IF(AVANCE[[#This Row],[% AVANCE]]=100%,"MODULO TERMINADO",IF(AVANCE[[#This Row],[FECHA INICIO REAL]]="","MODULO NO INICIADO","PENDIENTE"))</f>
        <v>PENDIENTE</v>
      </c>
      <c r="BF39" s="3">
        <f>+IF(AVANCE[[#This Row],[VENTANAS]]=8.10810810810811%,100%,AVANCE[[#This Row],[VENTANAS]])</f>
        <v>1</v>
      </c>
      <c r="BG39" s="3">
        <f>+IF(AVANCE[[#This Row],[PISO]]=N$2,100%,AVANCE[[#This Row],[PISO]])</f>
        <v>1</v>
      </c>
      <c r="BH39" s="3">
        <f>+IF(AVANCE[[#This Row],[TABIQUES]]=O$2,100%,AVANCE[[#This Row],[TABIQUES]])</f>
        <v>1</v>
      </c>
      <c r="BI39" s="3">
        <f>+IF(AVANCE[[#This Row],[MUROS]]=P$2,100%,AVANCE[[#This Row],[MUROS]])</f>
        <v>1</v>
      </c>
      <c r="BJ39" s="3">
        <f>+IF(AVANCE[[#This Row],[CIELO]]=Q$2,100%,AVANCE[[#This Row],[CIELO]])</f>
        <v>1</v>
      </c>
      <c r="BK39" s="3">
        <f>+IF(AVANCE[[#This Row],[BALCÓN]]=R$2,100%,AVANCE[[#This Row],[BALCÓN]])</f>
        <v>1</v>
      </c>
      <c r="BL39" s="3">
        <f>+IF(AVANCE[[#This Row],[RED ALCANTARILLADO]]=U$2,100%,AVANCE[[#This Row],[RED ALCANTARILLADO]])</f>
        <v>1</v>
      </c>
      <c r="BM39" s="3">
        <f>+IF(AVANCE[[#This Row],[RED DE AGUA]]=V$2,100%,AVANCE[[#This Row],[RED DE AGUA]])</f>
        <v>1</v>
      </c>
      <c r="BN39" s="3">
        <f>+IF(AVANCE[[#This Row],[VENTILACIONES]]=W$2,100%,AVANCE[[#This Row],[VENTILACIONES]])</f>
        <v>0</v>
      </c>
      <c r="BO39" s="3">
        <f>+IF(AVANCE[[#This Row],[TINA]]=X$2,100%,AVANCE[[#This Row],[TINA]])</f>
        <v>1</v>
      </c>
      <c r="BP39" s="3">
        <f>+IF(AVANCE[[#This Row],[WC]]=Y$2,100%,AVANCE[[#This Row],[WC]])</f>
        <v>1</v>
      </c>
      <c r="BQ39" s="3">
        <f>+IF(AVANCE[[#This Row],[LAVAMANOS / LAVAPLATOS / LAVADERO]]=Z$2,100%,AVANCE[[#This Row],[LAVAMANOS / LAVAPLATOS / LAVADERO]])</f>
        <v>1</v>
      </c>
      <c r="BR39" s="3">
        <f>+IF(AVANCE[[#This Row],[CANALIZACIÓN]]=AC$2,100%,AVANCE[[#This Row],[CANALIZACIÓN]])</f>
        <v>1</v>
      </c>
      <c r="BS39" s="3">
        <f>+IF(AVANCE[[#This Row],[CABLEADO]]=AD$2,100%,AVANCE[[#This Row],[CABLEADO]])</f>
        <v>1</v>
      </c>
      <c r="BT39" s="3">
        <f>+IF(AVANCE[[#This Row],[ARTEFACTOS]]=AE$2,100%,AVANCE[[#This Row],[ARTEFACTOS]])</f>
        <v>0</v>
      </c>
      <c r="BU39" s="3">
        <f>+IF(AVANCE[[#This Row],[TABLERO]]=AF$2,100%,AVANCE[[#This Row],[TABLERO]])</f>
        <v>1</v>
      </c>
      <c r="BV39" s="3">
        <f>+IF(AVANCE[[#This Row],[CAJA PAU]]=AG$2,100%,AVANCE[[#This Row],[CAJA PAU]])</f>
        <v>1</v>
      </c>
      <c r="BW39" s="3">
        <f>+IF(AVANCE[[#This Row],[INSTALACION VINILICO]]=AJ$2,100%,AVANCE[[#This Row],[INSTALACION VINILICO]])</f>
        <v>1</v>
      </c>
      <c r="BX39" s="3">
        <f>+IF(AVANCE[[#This Row],[OSB CUBIERTA]]=AK$2,100%,AVANCE[[#This Row],[OSB CUBIERTA]])</f>
        <v>1</v>
      </c>
      <c r="BY39" s="3">
        <f>+IF(AVANCE[[#This Row],[BARANDA BALCON]]=AL$2,100%,AVANCE[[#This Row],[BARANDA BALCON]])</f>
        <v>0</v>
      </c>
      <c r="BZ39" s="3">
        <f>+IF(AVANCE[[#This Row],[OSB EXTERIOR]]=AM$2,100%,AVANCE[[#This Row],[OSB EXTERIOR]])</f>
        <v>1</v>
      </c>
      <c r="CA39" s="3">
        <f>+IF(AVANCE[[#This Row],[SMART PANEL]]=AN$2,100%,AVANCE[[#This Row],[SMART PANEL]])</f>
        <v>1</v>
      </c>
      <c r="CB39" s="3">
        <f>+IF(AVANCE[[#This Row],[PINTURA EXTERIOR]]=AO$2,100%,AVANCE[[#This Row],[PINTURA EXTERIOR]])</f>
        <v>1</v>
      </c>
      <c r="CC39" s="3">
        <f>+IF(AVANCE[[#This Row],[ZOCALOS LOGIA]]=AP$2,100%,AVANCE[[#This Row],[ZOCALOS LOGIA]])</f>
        <v>1</v>
      </c>
      <c r="CD39" s="3">
        <f>+IF(AVANCE[[#This Row],[MOLDURAS]]=AQ$2,100%,AVANCE[[#This Row],[MOLDURAS]])</f>
        <v>1</v>
      </c>
      <c r="CE39" s="3">
        <f>+IF(AVANCE[[#This Row],[PILASTREO]]=AR$2,100%,AVANCE[[#This Row],[PILASTREO]])</f>
        <v>1</v>
      </c>
      <c r="CF39" s="3">
        <f>+IF(AVANCE[[#This Row],[CELOSIAS]]=AS$2,100%,AVANCE[[#This Row],[CELOSIAS]])</f>
        <v>1</v>
      </c>
      <c r="CG39" s="3">
        <f>+IF(AVANCE[[#This Row],[VENTANAS]]=AT$2,100%,AVANCE[[#This Row],[VENTANAS]])</f>
        <v>1</v>
      </c>
      <c r="CH39" s="3">
        <f>+IF(AVANCE[[#This Row],[PUERTAS ACCESO - LOGIA - BANO]]=AU$2,100%,AVANCE[[#This Row],[PUERTAS ACCESO - LOGIA - BANO]])</f>
        <v>1</v>
      </c>
      <c r="CI39" s="3">
        <f>+IF(AVANCE[[#This Row],[CERRADURAS]]=AV$2,100%,AVANCE[[#This Row],[CERRADURAS]])</f>
        <v>1</v>
      </c>
      <c r="CJ39" s="3">
        <f>+IF(AVANCE[[#This Row],[REVESTIMIENTO INTERIOR ZONA SECA]]=AW$2,100%,AVANCE[[#This Row],[REVESTIMIENTO INTERIOR ZONA SECA]])</f>
        <v>1</v>
      </c>
      <c r="CK39" s="3">
        <f>+IF(AVANCE[[#This Row],[REVESTIMIENTO INTERIOR ZONAS HUMEDAS]]=AX$2,100%,AVANCE[[#This Row],[REVESTIMIENTO INTERIOR ZONAS HUMEDAS]])</f>
        <v>1</v>
      </c>
      <c r="CL39" s="3">
        <f>+IF(AVANCE[[#This Row],[MEMBRANA CIELO]]=AY$2,100%,AVANCE[[#This Row],[MEMBRANA CIELO]])</f>
        <v>1</v>
      </c>
      <c r="CM39" s="3">
        <f>+IF(AVANCE[[#This Row],[LIMPIEZA FINAL]]=AZ$2,100%,AVANCE[[#This Row],[LIMPIEZA FINAL]])</f>
        <v>0</v>
      </c>
      <c r="CN39" s="3">
        <f>+IF(AVANCE[[#This Row],[PUERTAS DORMITORIO]]=BA$2,100%,AVANCE[[#This Row],[PUERTAS DORMITORIO]])</f>
        <v>1</v>
      </c>
      <c r="CO39" s="3">
        <f>+IF(AVANCE[[#This Row],[REVESTIMIENTO INTERIOR BANO]]=BB$2,100%,AVANCE[[#This Row],[REVESTIMIENTO INTERIOR BANO]])</f>
        <v>1</v>
      </c>
      <c r="CP39" s="3">
        <f>+IF(AVANCE[[#This Row],[MUEBLE LAVAPLATOS]]=BC$2,100%,AVANCE[[#This Row],[MUEBLE LAVAPLATOS]])</f>
        <v>1</v>
      </c>
      <c r="CQ39" s="3">
        <f>+IF(AVANCE[[#This Row],[IMPERMEABILIZACION BANO - COCINA LOGIA]]=BD$2,100%,AVANCE[[#This Row],[IMPERMEABILIZACION BANO - COCINA LOGIA]])</f>
        <v>1</v>
      </c>
      <c r="CR39" s="40">
        <f ca="1">+IF(AVANCE[[#This Row],[ESTADO MODULO]]="PENDIENTE",(TODAY()-AVANCE[[#This Row],[FECHA TERMINO  PLANIFICADO]]),0)</f>
        <v>21</v>
      </c>
      <c r="CS39" s="42" t="str" cm="1">
        <f t="array" ref="CS39">_xlfn.TEXTJOIN(" | ",TRUE,IF(SUMPRODUCT((BF39:CQ39&lt;1)*(PARTIDAS!$I$2:$AT$2="OBRA GRUESA"))&gt;0,"OBRA GRUESA: "&amp;_xlfn.TEXTJOIN(", ",TRUE,IF((BF39:CQ39&lt;1)*(PARTIDAS!$I$2:$AT$2="OBRA GRUESA"),PARTIDAS!$I$1:$AT$1,"")),""),IF(SUMPRODUCT((BF39:CQ39&lt;1)*(PARTIDAS!$I$2:$AT$2="SANITARIOS"))&gt;0,"SANITARIOS: "&amp;_xlfn.TEXTJOIN(", ",TRUE,IF((BF39:CQ39&lt;1)*(PARTIDAS!$I$2:$AT$2="SANITARIOS"),PARTIDAS!$I$1:$AT$1,"")),""),IF(SUMPRODUCT((BF39:CQ39&lt;1)*(PARTIDAS!$I$2:$AT$2="ELÉCTRICO"))&gt;0,"ELÉCTRICO: "&amp;_xlfn.TEXTJOIN(", ",TRUE,IF((BF39:CQ39&lt;1)*(PARTIDAS!$I$2:$AT$2="ELÉCTRICO"),PARTIDAS!$I$1:$AT$1,"")),""),IF(SUMPRODUCT((BF39:CQ39&lt;1)*(PARTIDAS!$I$2:$AT$2="TERMINACIONES"))&gt;0,"TERMINACIONES: "&amp;_xlfn.TEXTJOIN(", ",TRUE,IF((BF39:CQ39&lt;1)*(PARTIDAS!$I$2:$AT$2="TERMINACIONES"),PARTIDAS!$I$1:$AT$1,"")),""))</f>
        <v>SANITARIOS: VENTILACIONES | ELÉCTRICO: ARTEFACTOS | TERMINACIONES: BARANDA BALCON, LIMPIEZA FINAL</v>
      </c>
      <c r="CT39" s="45" t="str" cm="1">
        <f t="array" ref="CT39">_xlfn.TEXTJOIN(", ",TRUE,IF(SUMPRODUCT((BF39:CQ39&lt;1)*(PARTIDAS!$I$2:$AT$2="OBRA GRUESA"))&gt;0,"OBRA GRUESA",""),IF(SUMPRODUCT((BF39:CQ39&lt;1)*(PARTIDAS!$I$2:$AT$2="SANITARIOS"))&gt;0,"SANITARIOS",""),IF(SUMPRODUCT((BF39:CQ39&lt;1)*(PARTIDAS!$I$2:$AT$2="ELÉCTRICO"))&gt;0,"ELÉCTRICO",""),IF(SUMPRODUCT((BF39:CQ39&lt;1)*(PARTIDAS!$I$2:$AT$2="TERMINACIONES"))&gt;0,"TERMINACIONES",""))</f>
        <v>SANITARIOS, ELÉCTRICO, TERMINACIONES</v>
      </c>
      <c r="CU39" s="46" cm="1">
        <f t="array" ref="CU39">SUMPRODUCT(--(BF39:CQ39&lt;1))</f>
        <v>4</v>
      </c>
    </row>
    <row r="40" spans="1:99" x14ac:dyDescent="0.25">
      <c r="A40" t="s">
        <v>91</v>
      </c>
      <c r="B40" t="s">
        <v>98</v>
      </c>
      <c r="C40">
        <v>2302600039</v>
      </c>
      <c r="D40" t="s">
        <v>60</v>
      </c>
      <c r="E40" s="2">
        <v>0.77499999999999991</v>
      </c>
      <c r="F40" s="1">
        <v>46119</v>
      </c>
      <c r="G40" s="1">
        <v>46119</v>
      </c>
      <c r="H40" s="1">
        <v>46176</v>
      </c>
      <c r="I40" s="1">
        <v>46161</v>
      </c>
      <c r="J40">
        <v>5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0.08</v>
      </c>
      <c r="T40" s="3">
        <v>0.88888888888888895</v>
      </c>
      <c r="U40" s="3">
        <v>0.22222222222222221</v>
      </c>
      <c r="V40" s="3">
        <v>0.22222222222222221</v>
      </c>
      <c r="W40" s="3">
        <v>0</v>
      </c>
      <c r="X40" s="3">
        <v>0.1111111111111111</v>
      </c>
      <c r="Y40" s="3">
        <v>0.1111111111111111</v>
      </c>
      <c r="Z40" s="3">
        <v>0.22222222222222221</v>
      </c>
      <c r="AA40" s="3">
        <v>0.03</v>
      </c>
      <c r="AB40" s="3">
        <v>0.27272727272727271</v>
      </c>
      <c r="AC40" s="3">
        <v>0.27272727272727271</v>
      </c>
      <c r="AD40" s="3">
        <v>0</v>
      </c>
      <c r="AE40" s="3">
        <v>0</v>
      </c>
      <c r="AF40" s="3">
        <v>0</v>
      </c>
      <c r="AG40" s="3">
        <v>0</v>
      </c>
      <c r="AH40" s="3">
        <v>0.2349999999999999</v>
      </c>
      <c r="AI40" s="3">
        <v>0.63513513513513487</v>
      </c>
      <c r="AJ40" s="3">
        <v>5.4054054054054036E-2</v>
      </c>
      <c r="AK40" s="3">
        <v>5.4054054054054036E-2</v>
      </c>
      <c r="AL40" s="3">
        <v>0</v>
      </c>
      <c r="AM40" s="3">
        <v>8.1081081081081058E-2</v>
      </c>
      <c r="AN40" s="3">
        <v>8.1081081081081058E-2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8.1081081081081058E-2</v>
      </c>
      <c r="AU40" s="3">
        <v>5.4054054054054036E-2</v>
      </c>
      <c r="AV40" s="3">
        <v>0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 s="3" t="str">
        <f>+IF(AVANCE[[#This Row],[% AVANCE]]=100%,"MODULO TERMINADO",IF(AVANCE[[#This Row],[FECHA INICIO REAL]]="","MODULO NO INICIADO","PENDIENTE"))</f>
        <v>PENDIENTE</v>
      </c>
      <c r="BF40" s="3">
        <f>+IF(AVANCE[[#This Row],[VENTANAS]]=8.10810810810811%,100%,AVANCE[[#This Row],[VENTANAS]])</f>
        <v>1</v>
      </c>
      <c r="BG40" s="3">
        <f>+IF(AVANCE[[#This Row],[PISO]]=N$2,100%,AVANCE[[#This Row],[PISO]])</f>
        <v>1</v>
      </c>
      <c r="BH40" s="3">
        <f>+IF(AVANCE[[#This Row],[TABIQUES]]=O$2,100%,AVANCE[[#This Row],[TABIQUES]])</f>
        <v>1</v>
      </c>
      <c r="BI40" s="3">
        <f>+IF(AVANCE[[#This Row],[MUROS]]=P$2,100%,AVANCE[[#This Row],[MUROS]])</f>
        <v>1</v>
      </c>
      <c r="BJ40" s="3">
        <f>+IF(AVANCE[[#This Row],[CIELO]]=Q$2,100%,AVANCE[[#This Row],[CIELO]])</f>
        <v>1</v>
      </c>
      <c r="BK40" s="3">
        <f>+IF(AVANCE[[#This Row],[BALCÓN]]=R$2,100%,AVANCE[[#This Row],[BALCÓN]])</f>
        <v>1</v>
      </c>
      <c r="BL40" s="3">
        <f>+IF(AVANCE[[#This Row],[RED ALCANTARILLADO]]=U$2,100%,AVANCE[[#This Row],[RED ALCANTARILLADO]])</f>
        <v>1</v>
      </c>
      <c r="BM40" s="3">
        <f>+IF(AVANCE[[#This Row],[RED DE AGUA]]=V$2,100%,AVANCE[[#This Row],[RED DE AGUA]])</f>
        <v>1</v>
      </c>
      <c r="BN40" s="3">
        <f>+IF(AVANCE[[#This Row],[VENTILACIONES]]=W$2,100%,AVANCE[[#This Row],[VENTILACIONES]])</f>
        <v>0</v>
      </c>
      <c r="BO40" s="3">
        <f>+IF(AVANCE[[#This Row],[TINA]]=X$2,100%,AVANCE[[#This Row],[TINA]])</f>
        <v>1</v>
      </c>
      <c r="BP40" s="3">
        <f>+IF(AVANCE[[#This Row],[WC]]=Y$2,100%,AVANCE[[#This Row],[WC]])</f>
        <v>1</v>
      </c>
      <c r="BQ40" s="3">
        <f>+IF(AVANCE[[#This Row],[LAVAMANOS / LAVAPLATOS / LAVADERO]]=Z$2,100%,AVANCE[[#This Row],[LAVAMANOS / LAVAPLATOS / LAVADERO]])</f>
        <v>1</v>
      </c>
      <c r="BR40" s="3">
        <f>+IF(AVANCE[[#This Row],[CANALIZACIÓN]]=AC$2,100%,AVANCE[[#This Row],[CANALIZACIÓN]])</f>
        <v>1</v>
      </c>
      <c r="BS40" s="3">
        <f>+IF(AVANCE[[#This Row],[CABLEADO]]=AD$2,100%,AVANCE[[#This Row],[CABLEADO]])</f>
        <v>0</v>
      </c>
      <c r="BT40" s="3">
        <f>+IF(AVANCE[[#This Row],[ARTEFACTOS]]=AE$2,100%,AVANCE[[#This Row],[ARTEFACTOS]])</f>
        <v>0</v>
      </c>
      <c r="BU40" s="3">
        <f>+IF(AVANCE[[#This Row],[TABLERO]]=AF$2,100%,AVANCE[[#This Row],[TABLERO]])</f>
        <v>0</v>
      </c>
      <c r="BV40" s="3">
        <f>+IF(AVANCE[[#This Row],[CAJA PAU]]=AG$2,100%,AVANCE[[#This Row],[CAJA PAU]])</f>
        <v>0</v>
      </c>
      <c r="BW40" s="3">
        <f>+IF(AVANCE[[#This Row],[INSTALACION VINILICO]]=AJ$2,100%,AVANCE[[#This Row],[INSTALACION VINILICO]])</f>
        <v>1</v>
      </c>
      <c r="BX40" s="3">
        <f>+IF(AVANCE[[#This Row],[OSB CUBIERTA]]=AK$2,100%,AVANCE[[#This Row],[OSB CUBIERTA]])</f>
        <v>1</v>
      </c>
      <c r="BY40" s="3">
        <f>+IF(AVANCE[[#This Row],[BARANDA BALCON]]=AL$2,100%,AVANCE[[#This Row],[BARANDA BALCON]])</f>
        <v>0</v>
      </c>
      <c r="BZ40" s="3">
        <f>+IF(AVANCE[[#This Row],[OSB EXTERIOR]]=AM$2,100%,AVANCE[[#This Row],[OSB EXTERIOR]])</f>
        <v>1</v>
      </c>
      <c r="CA40" s="3">
        <f>+IF(AVANCE[[#This Row],[SMART PANEL]]=AN$2,100%,AVANCE[[#This Row],[SMART PANEL]])</f>
        <v>1</v>
      </c>
      <c r="CB40" s="3">
        <f>+IF(AVANCE[[#This Row],[PINTURA EXTERIOR]]=AO$2,100%,AVANCE[[#This Row],[PINTURA EXTERIOR]])</f>
        <v>0</v>
      </c>
      <c r="CC40" s="3">
        <f>+IF(AVANCE[[#This Row],[ZOCALOS LOGIA]]=AP$2,100%,AVANCE[[#This Row],[ZOCALOS LOGIA]])</f>
        <v>0</v>
      </c>
      <c r="CD40" s="3">
        <f>+IF(AVANCE[[#This Row],[MOLDURAS]]=AQ$2,100%,AVANCE[[#This Row],[MOLDURAS]])</f>
        <v>0</v>
      </c>
      <c r="CE40" s="3">
        <f>+IF(AVANCE[[#This Row],[PILASTREO]]=AR$2,100%,AVANCE[[#This Row],[PILASTREO]])</f>
        <v>0</v>
      </c>
      <c r="CF40" s="3">
        <f>+IF(AVANCE[[#This Row],[CELOSIAS]]=AS$2,100%,AVANCE[[#This Row],[CELOSIAS]])</f>
        <v>0</v>
      </c>
      <c r="CG40" s="3">
        <f>+IF(AVANCE[[#This Row],[VENTANAS]]=AT$2,100%,AVANCE[[#This Row],[VENTANAS]])</f>
        <v>1</v>
      </c>
      <c r="CH40" s="3">
        <f>+IF(AVANCE[[#This Row],[PUERTAS ACCESO - LOGIA - BANO]]=AU$2,100%,AVANCE[[#This Row],[PUERTAS ACCESO - LOGIA - BANO]])</f>
        <v>1</v>
      </c>
      <c r="CI40" s="3">
        <f>+IF(AVANCE[[#This Row],[CERRADURAS]]=AV$2,100%,AVANCE[[#This Row],[CERRADURAS]])</f>
        <v>0</v>
      </c>
      <c r="CJ40" s="3">
        <f>+IF(AVANCE[[#This Row],[REVESTIMIENTO INTERIOR ZONA SECA]]=AW$2,100%,AVANCE[[#This Row],[REVESTIMIENTO INTERIOR ZONA SECA]])</f>
        <v>1</v>
      </c>
      <c r="CK40" s="3">
        <f>+IF(AVANCE[[#This Row],[REVESTIMIENTO INTERIOR ZONAS HUMEDAS]]=AX$2,100%,AVANCE[[#This Row],[REVESTIMIENTO INTERIOR ZONAS HUMEDAS]])</f>
        <v>1</v>
      </c>
      <c r="CL40" s="3">
        <f>+IF(AVANCE[[#This Row],[MEMBRANA CIELO]]=AY$2,100%,AVANCE[[#This Row],[MEMBRANA CIELO]])</f>
        <v>1</v>
      </c>
      <c r="CM40" s="3">
        <f>+IF(AVANCE[[#This Row],[LIMPIEZA FINAL]]=AZ$2,100%,AVANCE[[#This Row],[LIMPIEZA FINAL]])</f>
        <v>0</v>
      </c>
      <c r="CN40" s="3">
        <f>+IF(AVANCE[[#This Row],[PUERTAS DORMITORIO]]=BA$2,100%,AVANCE[[#This Row],[PUERTAS DORMITORIO]])</f>
        <v>1</v>
      </c>
      <c r="CO40" s="3">
        <f>+IF(AVANCE[[#This Row],[REVESTIMIENTO INTERIOR BANO]]=BB$2,100%,AVANCE[[#This Row],[REVESTIMIENTO INTERIOR BANO]])</f>
        <v>0</v>
      </c>
      <c r="CP40" s="3">
        <f>+IF(AVANCE[[#This Row],[MUEBLE LAVAPLATOS]]=BC$2,100%,AVANCE[[#This Row],[MUEBLE LAVAPLATOS]])</f>
        <v>1</v>
      </c>
      <c r="CQ40" s="3">
        <f>+IF(AVANCE[[#This Row],[IMPERMEABILIZACION BANO - COCINA LOGIA]]=BD$2,100%,AVANCE[[#This Row],[IMPERMEABILIZACION BANO - COCINA LOGIA]])</f>
        <v>1</v>
      </c>
      <c r="CR40" s="40">
        <f ca="1">+IF(AVANCE[[#This Row],[ESTADO MODULO]]="PENDIENTE",(TODAY()-AVANCE[[#This Row],[FECHA TERMINO  PLANIFICADO]]),0)</f>
        <v>20</v>
      </c>
      <c r="CS40" s="42" t="str" cm="1">
        <f t="array" ref="CS40">_xlfn.TEXTJOIN(" | ",TRUE,IF(SUMPRODUCT((BF40:CQ40&lt;1)*(PARTIDAS!$I$2:$AT$2="OBRA GRUESA"))&gt;0,"OBRA GRUESA: "&amp;_xlfn.TEXTJOIN(", ",TRUE,IF((BF40:CQ40&lt;1)*(PARTIDAS!$I$2:$AT$2="OBRA GRUESA"),PARTIDAS!$I$1:$AT$1,"")),""),IF(SUMPRODUCT((BF40:CQ40&lt;1)*(PARTIDAS!$I$2:$AT$2="SANITARIOS"))&gt;0,"SANITARIOS: "&amp;_xlfn.TEXTJOIN(", ",TRUE,IF((BF40:CQ40&lt;1)*(PARTIDAS!$I$2:$AT$2="SANITARIOS"),PARTIDAS!$I$1:$AT$1,"")),""),IF(SUMPRODUCT((BF40:CQ40&lt;1)*(PARTIDAS!$I$2:$AT$2="ELÉCTRICO"))&gt;0,"ELÉCTRICO: "&amp;_xlfn.TEXTJOIN(", ",TRUE,IF((BF40:CQ40&lt;1)*(PARTIDAS!$I$2:$AT$2="ELÉCTRICO"),PARTIDAS!$I$1:$AT$1,"")),""),IF(SUMPRODUCT((BF40:CQ40&lt;1)*(PARTIDAS!$I$2:$AT$2="TERMINACIONES"))&gt;0,"TERMINACIONES: "&amp;_xlfn.TEXTJOIN(", ",TRUE,IF((BF40:CQ40&lt;1)*(PARTIDAS!$I$2:$AT$2="TERMINACIONES"),PARTIDAS!$I$1:$AT$1,"")),""))</f>
        <v>SANITARIOS: VENTILACIONES | ELÉCTRICO: CABLEADO, ARTEFACTOS, TABLERO, CAJA PAU | TERMINACIONES: BARANDA BALCON, PINTURA EXTERIOR, ZOCALOS LOGIA, MOLDURAS, PILASTREO, CELOSIAS, CERRADURAS, LIMPIEZA FINAL, REVESTIMIENTO INTERIOR BANO</v>
      </c>
      <c r="CT40" s="45" t="str" cm="1">
        <f t="array" ref="CT40">_xlfn.TEXTJOIN(", ",TRUE,IF(SUMPRODUCT((BF40:CQ40&lt;1)*(PARTIDAS!$I$2:$AT$2="OBRA GRUESA"))&gt;0,"OBRA GRUESA",""),IF(SUMPRODUCT((BF40:CQ40&lt;1)*(PARTIDAS!$I$2:$AT$2="SANITARIOS"))&gt;0,"SANITARIOS",""),IF(SUMPRODUCT((BF40:CQ40&lt;1)*(PARTIDAS!$I$2:$AT$2="ELÉCTRICO"))&gt;0,"ELÉCTRICO",""),IF(SUMPRODUCT((BF40:CQ40&lt;1)*(PARTIDAS!$I$2:$AT$2="TERMINACIONES"))&gt;0,"TERMINACIONES",""))</f>
        <v>SANITARIOS, ELÉCTRICO, TERMINACIONES</v>
      </c>
      <c r="CU40" s="46" cm="1">
        <f t="array" ref="CU40">SUMPRODUCT(--(BF40:CQ40&lt;1))</f>
        <v>14</v>
      </c>
    </row>
    <row r="41" spans="1:99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4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 s="3" t="str">
        <f>+IF(AVANCE[[#This Row],[% AVANCE]]=100%,"MODULO TERMINADO",IF(AVANCE[[#This Row],[FECHA INICIO REAL]]="","MODULO NO INICIADO","PENDIENTE"))</f>
        <v>PENDIENTE</v>
      </c>
      <c r="BF41" s="3">
        <f>+IF(AVANCE[[#This Row],[VENTANAS]]=8.10810810810811%,100%,AVANCE[[#This Row],[VENTANAS]])</f>
        <v>1</v>
      </c>
      <c r="BG41" s="3">
        <f>+IF(AVANCE[[#This Row],[PISO]]=N$2,100%,AVANCE[[#This Row],[PISO]])</f>
        <v>1</v>
      </c>
      <c r="BH41" s="3">
        <f>+IF(AVANCE[[#This Row],[TABIQUES]]=O$2,100%,AVANCE[[#This Row],[TABIQUES]])</f>
        <v>1</v>
      </c>
      <c r="BI41" s="3">
        <f>+IF(AVANCE[[#This Row],[MUROS]]=P$2,100%,AVANCE[[#This Row],[MUROS]])</f>
        <v>1</v>
      </c>
      <c r="BJ41" s="3">
        <f>+IF(AVANCE[[#This Row],[CIELO]]=Q$2,100%,AVANCE[[#This Row],[CIELO]])</f>
        <v>1</v>
      </c>
      <c r="BK41" s="3">
        <f>+IF(AVANCE[[#This Row],[BALCÓN]]=R$2,100%,AVANCE[[#This Row],[BALCÓN]])</f>
        <v>1</v>
      </c>
      <c r="BL41" s="3">
        <f>+IF(AVANCE[[#This Row],[RED ALCANTARILLADO]]=U$2,100%,AVANCE[[#This Row],[RED ALCANTARILLADO]])</f>
        <v>1</v>
      </c>
      <c r="BM41" s="3">
        <f>+IF(AVANCE[[#This Row],[RED DE AGUA]]=V$2,100%,AVANCE[[#This Row],[RED DE AGUA]])</f>
        <v>1</v>
      </c>
      <c r="BN41" s="3">
        <f>+IF(AVANCE[[#This Row],[VENTILACIONES]]=W$2,100%,AVANCE[[#This Row],[VENTILACIONES]])</f>
        <v>1</v>
      </c>
      <c r="BO41" s="3">
        <f>+IF(AVANCE[[#This Row],[TINA]]=X$2,100%,AVANCE[[#This Row],[TINA]])</f>
        <v>1</v>
      </c>
      <c r="BP41" s="3">
        <f>+IF(AVANCE[[#This Row],[WC]]=Y$2,100%,AVANCE[[#This Row],[WC]])</f>
        <v>1</v>
      </c>
      <c r="BQ41" s="3">
        <f>+IF(AVANCE[[#This Row],[LAVAMANOS / LAVAPLATOS / LAVADERO]]=Z$2,100%,AVANCE[[#This Row],[LAVAMANOS / LAVAPLATOS / LAVADERO]])</f>
        <v>1</v>
      </c>
      <c r="BR41" s="3">
        <f>+IF(AVANCE[[#This Row],[CANALIZACIÓN]]=AC$2,100%,AVANCE[[#This Row],[CANALIZACIÓN]])</f>
        <v>1</v>
      </c>
      <c r="BS41" s="3">
        <f>+IF(AVANCE[[#This Row],[CABLEADO]]=AD$2,100%,AVANCE[[#This Row],[CABLEADO]])</f>
        <v>1</v>
      </c>
      <c r="BT41" s="3">
        <f>+IF(AVANCE[[#This Row],[ARTEFACTOS]]=AE$2,100%,AVANCE[[#This Row],[ARTEFACTOS]])</f>
        <v>0</v>
      </c>
      <c r="BU41" s="3">
        <f>+IF(AVANCE[[#This Row],[TABLERO]]=AF$2,100%,AVANCE[[#This Row],[TABLERO]])</f>
        <v>1</v>
      </c>
      <c r="BV41" s="3">
        <f>+IF(AVANCE[[#This Row],[CAJA PAU]]=AG$2,100%,AVANCE[[#This Row],[CAJA PAU]])</f>
        <v>1</v>
      </c>
      <c r="BW41" s="3">
        <f>+IF(AVANCE[[#This Row],[INSTALACION VINILICO]]=AJ$2,100%,AVANCE[[#This Row],[INSTALACION VINILICO]])</f>
        <v>1</v>
      </c>
      <c r="BX41" s="3">
        <f>+IF(AVANCE[[#This Row],[OSB CUBIERTA]]=AK$2,100%,AVANCE[[#This Row],[OSB CUBIERTA]])</f>
        <v>1</v>
      </c>
      <c r="BY41" s="3">
        <f>+IF(AVANCE[[#This Row],[BARANDA BALCON]]=AL$2,100%,AVANCE[[#This Row],[BARANDA BALCON]])</f>
        <v>1</v>
      </c>
      <c r="BZ41" s="3">
        <f>+IF(AVANCE[[#This Row],[OSB EXTERIOR]]=AM$2,100%,AVANCE[[#This Row],[OSB EXTERIOR]])</f>
        <v>1</v>
      </c>
      <c r="CA41" s="3">
        <f>+IF(AVANCE[[#This Row],[SMART PANEL]]=AN$2,100%,AVANCE[[#This Row],[SMART PANEL]])</f>
        <v>1</v>
      </c>
      <c r="CB41" s="3">
        <f>+IF(AVANCE[[#This Row],[PINTURA EXTERIOR]]=AO$2,100%,AVANCE[[#This Row],[PINTURA EXTERIOR]])</f>
        <v>1</v>
      </c>
      <c r="CC41" s="3">
        <f>+IF(AVANCE[[#This Row],[ZOCALOS LOGIA]]=AP$2,100%,AVANCE[[#This Row],[ZOCALOS LOGIA]])</f>
        <v>1</v>
      </c>
      <c r="CD41" s="3">
        <f>+IF(AVANCE[[#This Row],[MOLDURAS]]=AQ$2,100%,AVANCE[[#This Row],[MOLDURAS]])</f>
        <v>1</v>
      </c>
      <c r="CE41" s="3">
        <f>+IF(AVANCE[[#This Row],[PILASTREO]]=AR$2,100%,AVANCE[[#This Row],[PILASTREO]])</f>
        <v>1</v>
      </c>
      <c r="CF41" s="3">
        <f>+IF(AVANCE[[#This Row],[CELOSIAS]]=AS$2,100%,AVANCE[[#This Row],[CELOSIAS]])</f>
        <v>1</v>
      </c>
      <c r="CG41" s="3">
        <f>+IF(AVANCE[[#This Row],[VENTANAS]]=AT$2,100%,AVANCE[[#This Row],[VENTANAS]])</f>
        <v>1</v>
      </c>
      <c r="CH41" s="3">
        <f>+IF(AVANCE[[#This Row],[PUERTAS ACCESO - LOGIA - BANO]]=AU$2,100%,AVANCE[[#This Row],[PUERTAS ACCESO - LOGIA - BANO]])</f>
        <v>1</v>
      </c>
      <c r="CI41" s="3">
        <f>+IF(AVANCE[[#This Row],[CERRADURAS]]=AV$2,100%,AVANCE[[#This Row],[CERRADURAS]])</f>
        <v>1</v>
      </c>
      <c r="CJ41" s="3">
        <f>+IF(AVANCE[[#This Row],[REVESTIMIENTO INTERIOR ZONA SECA]]=AW$2,100%,AVANCE[[#This Row],[REVESTIMIENTO INTERIOR ZONA SECA]])</f>
        <v>1</v>
      </c>
      <c r="CK41" s="3">
        <f>+IF(AVANCE[[#This Row],[REVESTIMIENTO INTERIOR ZONAS HUMEDAS]]=AX$2,100%,AVANCE[[#This Row],[REVESTIMIENTO INTERIOR ZONAS HUMEDAS]])</f>
        <v>1</v>
      </c>
      <c r="CL41" s="3">
        <f>+IF(AVANCE[[#This Row],[MEMBRANA CIELO]]=AY$2,100%,AVANCE[[#This Row],[MEMBRANA CIELO]])</f>
        <v>1</v>
      </c>
      <c r="CM41" s="3">
        <f>+IF(AVANCE[[#This Row],[LIMPIEZA FINAL]]=AZ$2,100%,AVANCE[[#This Row],[LIMPIEZA FINAL]])</f>
        <v>0</v>
      </c>
      <c r="CN41" s="3">
        <f>+IF(AVANCE[[#This Row],[PUERTAS DORMITORIO]]=BA$2,100%,AVANCE[[#This Row],[PUERTAS DORMITORIO]])</f>
        <v>1</v>
      </c>
      <c r="CO41" s="3">
        <f>+IF(AVANCE[[#This Row],[REVESTIMIENTO INTERIOR BANO]]=BB$2,100%,AVANCE[[#This Row],[REVESTIMIENTO INTERIOR BANO]])</f>
        <v>1</v>
      </c>
      <c r="CP41" s="3">
        <f>+IF(AVANCE[[#This Row],[MUEBLE LAVAPLATOS]]=BC$2,100%,AVANCE[[#This Row],[MUEBLE LAVAPLATOS]])</f>
        <v>1</v>
      </c>
      <c r="CQ41" s="3">
        <f>+IF(AVANCE[[#This Row],[IMPERMEABILIZACION BANO - COCINA LOGIA]]=BD$2,100%,AVANCE[[#This Row],[IMPERMEABILIZACION BANO - COCINA LOGIA]])</f>
        <v>1</v>
      </c>
      <c r="CR41" s="40">
        <f ca="1">+IF(AVANCE[[#This Row],[ESTADO MODULO]]="PENDIENTE",(TODAY()-AVANCE[[#This Row],[FECHA TERMINO  PLANIFICADO]]),0)</f>
        <v>20</v>
      </c>
      <c r="CS41" s="42" t="str" cm="1">
        <f t="array" ref="CS41">_xlfn.TEXTJOIN(" | ",TRUE,IF(SUMPRODUCT((BF41:CQ41&lt;1)*(PARTIDAS!$I$2:$AT$2="OBRA GRUESA"))&gt;0,"OBRA GRUESA: "&amp;_xlfn.TEXTJOIN(", ",TRUE,IF((BF41:CQ41&lt;1)*(PARTIDAS!$I$2:$AT$2="OBRA GRUESA"),PARTIDAS!$I$1:$AT$1,"")),""),IF(SUMPRODUCT((BF41:CQ41&lt;1)*(PARTIDAS!$I$2:$AT$2="SANITARIOS"))&gt;0,"SANITARIOS: "&amp;_xlfn.TEXTJOIN(", ",TRUE,IF((BF41:CQ41&lt;1)*(PARTIDAS!$I$2:$AT$2="SANITARIOS"),PARTIDAS!$I$1:$AT$1,"")),""),IF(SUMPRODUCT((BF41:CQ41&lt;1)*(PARTIDAS!$I$2:$AT$2="ELÉCTRICO"))&gt;0,"ELÉCTRICO: "&amp;_xlfn.TEXTJOIN(", ",TRUE,IF((BF41:CQ41&lt;1)*(PARTIDAS!$I$2:$AT$2="ELÉCTRICO"),PARTIDAS!$I$1:$AT$1,"")),""),IF(SUMPRODUCT((BF41:CQ41&lt;1)*(PARTIDAS!$I$2:$AT$2="TERMINACIONES"))&gt;0,"TERMINACIONES: "&amp;_xlfn.TEXTJOIN(", ",TRUE,IF((BF41:CQ41&lt;1)*(PARTIDAS!$I$2:$AT$2="TERMINACIONES"),PARTIDAS!$I$1:$AT$1,"")),""))</f>
        <v>ELÉCTRICO: ARTEFACTOS | TERMINACIONES: LIMPIEZA FINAL</v>
      </c>
      <c r="CT41" s="45" t="str" cm="1">
        <f t="array" ref="CT41">_xlfn.TEXTJOIN(", ",TRUE,IF(SUMPRODUCT((BF41:CQ41&lt;1)*(PARTIDAS!$I$2:$AT$2="OBRA GRUESA"))&gt;0,"OBRA GRUESA",""),IF(SUMPRODUCT((BF41:CQ41&lt;1)*(PARTIDAS!$I$2:$AT$2="SANITARIOS"))&gt;0,"SANITARIOS",""),IF(SUMPRODUCT((BF41:CQ41&lt;1)*(PARTIDAS!$I$2:$AT$2="ELÉCTRICO"))&gt;0,"ELÉCTRICO",""),IF(SUMPRODUCT((BF41:CQ41&lt;1)*(PARTIDAS!$I$2:$AT$2="TERMINACIONES"))&gt;0,"TERMINACIONES",""))</f>
        <v>ELÉCTRICO, TERMINACIONES</v>
      </c>
      <c r="CU41" s="46" cm="1">
        <f t="array" ref="CU41">SUMPRODUCT(--(BF41:CQ41&lt;1))</f>
        <v>2</v>
      </c>
    </row>
    <row r="42" spans="1:99" x14ac:dyDescent="0.25">
      <c r="A42" t="s">
        <v>91</v>
      </c>
      <c r="B42" t="s">
        <v>100</v>
      </c>
      <c r="C42">
        <v>2282600041</v>
      </c>
      <c r="D42" t="s">
        <v>58</v>
      </c>
      <c r="E42" s="2">
        <v>0.97499999999999987</v>
      </c>
      <c r="F42" s="1">
        <v>46124</v>
      </c>
      <c r="G42" s="1">
        <v>46124</v>
      </c>
      <c r="H42" s="1">
        <v>46169</v>
      </c>
      <c r="I42" s="1">
        <v>46162</v>
      </c>
      <c r="J42">
        <v>12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</v>
      </c>
      <c r="AB42" s="3">
        <v>0.90909090909090917</v>
      </c>
      <c r="AC42" s="3">
        <v>0.27272727272727271</v>
      </c>
      <c r="AD42" s="3">
        <v>0.27272727272727271</v>
      </c>
      <c r="AE42" s="3">
        <v>0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 s="3" t="str">
        <f>+IF(AVANCE[[#This Row],[% AVANCE]]=100%,"MODULO TERMINADO",IF(AVANCE[[#This Row],[FECHA INICIO REAL]]="","MODULO NO INICIADO","PENDIENTE"))</f>
        <v>PENDIENTE</v>
      </c>
      <c r="BF42" s="3">
        <f>+IF(AVANCE[[#This Row],[VENTANAS]]=8.10810810810811%,100%,AVANCE[[#This Row],[VENTANAS]])</f>
        <v>1</v>
      </c>
      <c r="BG42" s="3">
        <f>+IF(AVANCE[[#This Row],[PISO]]=N$2,100%,AVANCE[[#This Row],[PISO]])</f>
        <v>1</v>
      </c>
      <c r="BH42" s="3">
        <f>+IF(AVANCE[[#This Row],[TABIQUES]]=O$2,100%,AVANCE[[#This Row],[TABIQUES]])</f>
        <v>1</v>
      </c>
      <c r="BI42" s="3">
        <f>+IF(AVANCE[[#This Row],[MUROS]]=P$2,100%,AVANCE[[#This Row],[MUROS]])</f>
        <v>1</v>
      </c>
      <c r="BJ42" s="3">
        <f>+IF(AVANCE[[#This Row],[CIELO]]=Q$2,100%,AVANCE[[#This Row],[CIELO]])</f>
        <v>1</v>
      </c>
      <c r="BK42" s="3">
        <f>+IF(AVANCE[[#This Row],[BALCÓN]]=R$2,100%,AVANCE[[#This Row],[BALCÓN]])</f>
        <v>1</v>
      </c>
      <c r="BL42" s="3">
        <f>+IF(AVANCE[[#This Row],[RED ALCANTARILLADO]]=U$2,100%,AVANCE[[#This Row],[RED ALCANTARILLADO]])</f>
        <v>1</v>
      </c>
      <c r="BM42" s="3">
        <f>+IF(AVANCE[[#This Row],[RED DE AGUA]]=V$2,100%,AVANCE[[#This Row],[RED DE AGUA]])</f>
        <v>1</v>
      </c>
      <c r="BN42" s="3">
        <f>+IF(AVANCE[[#This Row],[VENTILACIONES]]=W$2,100%,AVANCE[[#This Row],[VENTILACIONES]])</f>
        <v>1</v>
      </c>
      <c r="BO42" s="3">
        <f>+IF(AVANCE[[#This Row],[TINA]]=X$2,100%,AVANCE[[#This Row],[TINA]])</f>
        <v>1</v>
      </c>
      <c r="BP42" s="3">
        <f>+IF(AVANCE[[#This Row],[WC]]=Y$2,100%,AVANCE[[#This Row],[WC]])</f>
        <v>1</v>
      </c>
      <c r="BQ42" s="3">
        <f>+IF(AVANCE[[#This Row],[LAVAMANOS / LAVAPLATOS / LAVADERO]]=Z$2,100%,AVANCE[[#This Row],[LAVAMANOS / LAVAPLATOS / LAVADERO]])</f>
        <v>1</v>
      </c>
      <c r="BR42" s="3">
        <f>+IF(AVANCE[[#This Row],[CANALIZACIÓN]]=AC$2,100%,AVANCE[[#This Row],[CANALIZACIÓN]])</f>
        <v>1</v>
      </c>
      <c r="BS42" s="3">
        <f>+IF(AVANCE[[#This Row],[CABLEADO]]=AD$2,100%,AVANCE[[#This Row],[CABLEADO]])</f>
        <v>1</v>
      </c>
      <c r="BT42" s="3">
        <f>+IF(AVANCE[[#This Row],[ARTEFACTOS]]=AE$2,100%,AVANCE[[#This Row],[ARTEFACTOS]])</f>
        <v>0</v>
      </c>
      <c r="BU42" s="3">
        <f>+IF(AVANCE[[#This Row],[TABLERO]]=AF$2,100%,AVANCE[[#This Row],[TABLERO]])</f>
        <v>1</v>
      </c>
      <c r="BV42" s="3">
        <f>+IF(AVANCE[[#This Row],[CAJA PAU]]=AG$2,100%,AVANCE[[#This Row],[CAJA PAU]])</f>
        <v>1</v>
      </c>
      <c r="BW42" s="3">
        <f>+IF(AVANCE[[#This Row],[INSTALACION VINILICO]]=AJ$2,100%,AVANCE[[#This Row],[INSTALACION VINILICO]])</f>
        <v>1</v>
      </c>
      <c r="BX42" s="3">
        <f>+IF(AVANCE[[#This Row],[OSB CUBIERTA]]=AK$2,100%,AVANCE[[#This Row],[OSB CUBIERTA]])</f>
        <v>1</v>
      </c>
      <c r="BY42" s="3">
        <f>+IF(AVANCE[[#This Row],[BARANDA BALCON]]=AL$2,100%,AVANCE[[#This Row],[BARANDA BALCON]])</f>
        <v>1</v>
      </c>
      <c r="BZ42" s="3">
        <f>+IF(AVANCE[[#This Row],[OSB EXTERIOR]]=AM$2,100%,AVANCE[[#This Row],[OSB EXTERIOR]])</f>
        <v>1</v>
      </c>
      <c r="CA42" s="3">
        <f>+IF(AVANCE[[#This Row],[SMART PANEL]]=AN$2,100%,AVANCE[[#This Row],[SMART PANEL]])</f>
        <v>1</v>
      </c>
      <c r="CB42" s="3">
        <f>+IF(AVANCE[[#This Row],[PINTURA EXTERIOR]]=AO$2,100%,AVANCE[[#This Row],[PINTURA EXTERIOR]])</f>
        <v>1</v>
      </c>
      <c r="CC42" s="3">
        <f>+IF(AVANCE[[#This Row],[ZOCALOS LOGIA]]=AP$2,100%,AVANCE[[#This Row],[ZOCALOS LOGIA]])</f>
        <v>1</v>
      </c>
      <c r="CD42" s="3">
        <f>+IF(AVANCE[[#This Row],[MOLDURAS]]=AQ$2,100%,AVANCE[[#This Row],[MOLDURAS]])</f>
        <v>1</v>
      </c>
      <c r="CE42" s="3">
        <f>+IF(AVANCE[[#This Row],[PILASTREO]]=AR$2,100%,AVANCE[[#This Row],[PILASTREO]])</f>
        <v>1</v>
      </c>
      <c r="CF42" s="3">
        <f>+IF(AVANCE[[#This Row],[CELOSIAS]]=AS$2,100%,AVANCE[[#This Row],[CELOSIAS]])</f>
        <v>1</v>
      </c>
      <c r="CG42" s="3">
        <f>+IF(AVANCE[[#This Row],[VENTANAS]]=AT$2,100%,AVANCE[[#This Row],[VENTANAS]])</f>
        <v>1</v>
      </c>
      <c r="CH42" s="3">
        <f>+IF(AVANCE[[#This Row],[PUERTAS ACCESO - LOGIA - BANO]]=AU$2,100%,AVANCE[[#This Row],[PUERTAS ACCESO - LOGIA - BANO]])</f>
        <v>1</v>
      </c>
      <c r="CI42" s="3">
        <f>+IF(AVANCE[[#This Row],[CERRADURAS]]=AV$2,100%,AVANCE[[#This Row],[CERRADURAS]])</f>
        <v>1</v>
      </c>
      <c r="CJ42" s="3">
        <f>+IF(AVANCE[[#This Row],[REVESTIMIENTO INTERIOR ZONA SECA]]=AW$2,100%,AVANCE[[#This Row],[REVESTIMIENTO INTERIOR ZONA SECA]])</f>
        <v>1</v>
      </c>
      <c r="CK42" s="3">
        <f>+IF(AVANCE[[#This Row],[REVESTIMIENTO INTERIOR ZONAS HUMEDAS]]=AX$2,100%,AVANCE[[#This Row],[REVESTIMIENTO INTERIOR ZONAS HUMEDAS]])</f>
        <v>1</v>
      </c>
      <c r="CL42" s="3">
        <f>+IF(AVANCE[[#This Row],[MEMBRANA CIELO]]=AY$2,100%,AVANCE[[#This Row],[MEMBRANA CIELO]])</f>
        <v>1</v>
      </c>
      <c r="CM42" s="3">
        <f>+IF(AVANCE[[#This Row],[LIMPIEZA FINAL]]=AZ$2,100%,AVANCE[[#This Row],[LIMPIEZA FINAL]])</f>
        <v>0</v>
      </c>
      <c r="CN42" s="3">
        <f>+IF(AVANCE[[#This Row],[PUERTAS DORMITORIO]]=BA$2,100%,AVANCE[[#This Row],[PUERTAS DORMITORIO]])</f>
        <v>1</v>
      </c>
      <c r="CO42" s="3">
        <f>+IF(AVANCE[[#This Row],[REVESTIMIENTO INTERIOR BANO]]=BB$2,100%,AVANCE[[#This Row],[REVESTIMIENTO INTERIOR BANO]])</f>
        <v>1</v>
      </c>
      <c r="CP42" s="3">
        <f>+IF(AVANCE[[#This Row],[MUEBLE LAVAPLATOS]]=BC$2,100%,AVANCE[[#This Row],[MUEBLE LAVAPLATOS]])</f>
        <v>1</v>
      </c>
      <c r="CQ42" s="3">
        <f>+IF(AVANCE[[#This Row],[IMPERMEABILIZACION BANO - COCINA LOGIA]]=BD$2,100%,AVANCE[[#This Row],[IMPERMEABILIZACION BANO - COCINA LOGIA]])</f>
        <v>1</v>
      </c>
      <c r="CR42" s="40">
        <f ca="1">+IF(AVANCE[[#This Row],[ESTADO MODULO]]="PENDIENTE",(TODAY()-AVANCE[[#This Row],[FECHA TERMINO  PLANIFICADO]]),0)</f>
        <v>19</v>
      </c>
      <c r="CS42" s="42" t="str" cm="1">
        <f t="array" ref="CS42">_xlfn.TEXTJOIN(" | ",TRUE,IF(SUMPRODUCT((BF42:CQ42&lt;1)*(PARTIDAS!$I$2:$AT$2="OBRA GRUESA"))&gt;0,"OBRA GRUESA: "&amp;_xlfn.TEXTJOIN(", ",TRUE,IF((BF42:CQ42&lt;1)*(PARTIDAS!$I$2:$AT$2="OBRA GRUESA"),PARTIDAS!$I$1:$AT$1,"")),""),IF(SUMPRODUCT((BF42:CQ42&lt;1)*(PARTIDAS!$I$2:$AT$2="SANITARIOS"))&gt;0,"SANITARIOS: "&amp;_xlfn.TEXTJOIN(", ",TRUE,IF((BF42:CQ42&lt;1)*(PARTIDAS!$I$2:$AT$2="SANITARIOS"),PARTIDAS!$I$1:$AT$1,"")),""),IF(SUMPRODUCT((BF42:CQ42&lt;1)*(PARTIDAS!$I$2:$AT$2="ELÉCTRICO"))&gt;0,"ELÉCTRICO: "&amp;_xlfn.TEXTJOIN(", ",TRUE,IF((BF42:CQ42&lt;1)*(PARTIDAS!$I$2:$AT$2="ELÉCTRICO"),PARTIDAS!$I$1:$AT$1,"")),""),IF(SUMPRODUCT((BF42:CQ42&lt;1)*(PARTIDAS!$I$2:$AT$2="TERMINACIONES"))&gt;0,"TERMINACIONES: "&amp;_xlfn.TEXTJOIN(", ",TRUE,IF((BF42:CQ42&lt;1)*(PARTIDAS!$I$2:$AT$2="TERMINACIONES"),PARTIDAS!$I$1:$AT$1,"")),""))</f>
        <v>ELÉCTRICO: ARTEFACTOS | TERMINACIONES: LIMPIEZA FINAL</v>
      </c>
      <c r="CT42" s="45" t="str" cm="1">
        <f t="array" ref="CT42">_xlfn.TEXTJOIN(", ",TRUE,IF(SUMPRODUCT((BF42:CQ42&lt;1)*(PARTIDAS!$I$2:$AT$2="OBRA GRUESA"))&gt;0,"OBRA GRUESA",""),IF(SUMPRODUCT((BF42:CQ42&lt;1)*(PARTIDAS!$I$2:$AT$2="SANITARIOS"))&gt;0,"SANITARIOS",""),IF(SUMPRODUCT((BF42:CQ42&lt;1)*(PARTIDAS!$I$2:$AT$2="ELÉCTRICO"))&gt;0,"ELÉCTRICO",""),IF(SUMPRODUCT((BF42:CQ42&lt;1)*(PARTIDAS!$I$2:$AT$2="TERMINACIONES"))&gt;0,"TERMINACIONES",""))</f>
        <v>ELÉCTRICO, TERMINACIONES</v>
      </c>
      <c r="CU42" s="46" cm="1">
        <f t="array" ref="CU42">SUMPRODUCT(--(BF42:CQ42&lt;1))</f>
        <v>2</v>
      </c>
    </row>
    <row r="43" spans="1:99" x14ac:dyDescent="0.25">
      <c r="A43" t="s">
        <v>91</v>
      </c>
      <c r="B43" t="s">
        <v>101</v>
      </c>
      <c r="C43">
        <v>2302600042</v>
      </c>
      <c r="D43" t="s">
        <v>60</v>
      </c>
      <c r="E43" s="2">
        <v>0.71</v>
      </c>
      <c r="F43" s="1">
        <v>46129</v>
      </c>
      <c r="G43" s="1">
        <v>46129</v>
      </c>
      <c r="H43" s="1">
        <v>46178</v>
      </c>
      <c r="I43" s="1">
        <v>46162</v>
      </c>
      <c r="J43">
        <v>3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0.03</v>
      </c>
      <c r="AB43" s="3">
        <v>0.27272727272727271</v>
      </c>
      <c r="AC43" s="3">
        <v>0.27272727272727271</v>
      </c>
      <c r="AD43" s="3">
        <v>0</v>
      </c>
      <c r="AE43" s="3">
        <v>0</v>
      </c>
      <c r="AF43" s="3">
        <v>0</v>
      </c>
      <c r="AG43" s="3">
        <v>0</v>
      </c>
      <c r="AH43" s="3">
        <v>0.17999999999999997</v>
      </c>
      <c r="AI43" s="3">
        <v>0.4864864864864864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0</v>
      </c>
      <c r="BC43" s="3">
        <v>0</v>
      </c>
      <c r="BD43" s="3">
        <v>2.7027027027027018E-2</v>
      </c>
      <c r="BE43" s="3" t="str">
        <f>+IF(AVANCE[[#This Row],[% AVANCE]]=100%,"MODULO TERMINADO",IF(AVANCE[[#This Row],[FECHA INICIO REAL]]="","MODULO NO INICIADO","PENDIENTE"))</f>
        <v>PENDIENTE</v>
      </c>
      <c r="BF43" s="3">
        <f>+IF(AVANCE[[#This Row],[VENTANAS]]=8.10810810810811%,100%,AVANCE[[#This Row],[VENTANAS]])</f>
        <v>0</v>
      </c>
      <c r="BG43" s="3">
        <f>+IF(AVANCE[[#This Row],[PISO]]=N$2,100%,AVANCE[[#This Row],[PISO]])</f>
        <v>1</v>
      </c>
      <c r="BH43" s="3">
        <f>+IF(AVANCE[[#This Row],[TABIQUES]]=O$2,100%,AVANCE[[#This Row],[TABIQUES]])</f>
        <v>1</v>
      </c>
      <c r="BI43" s="3">
        <f>+IF(AVANCE[[#This Row],[MUROS]]=P$2,100%,AVANCE[[#This Row],[MUROS]])</f>
        <v>1</v>
      </c>
      <c r="BJ43" s="3">
        <f>+IF(AVANCE[[#This Row],[CIELO]]=Q$2,100%,AVANCE[[#This Row],[CIELO]])</f>
        <v>1</v>
      </c>
      <c r="BK43" s="3">
        <f>+IF(AVANCE[[#This Row],[BALCÓN]]=R$2,100%,AVANCE[[#This Row],[BALCÓN]])</f>
        <v>1</v>
      </c>
      <c r="BL43" s="3">
        <f>+IF(AVANCE[[#This Row],[RED ALCANTARILLADO]]=U$2,100%,AVANCE[[#This Row],[RED ALCANTARILLADO]])</f>
        <v>1</v>
      </c>
      <c r="BM43" s="3">
        <f>+IF(AVANCE[[#This Row],[RED DE AGUA]]=V$2,100%,AVANCE[[#This Row],[RED DE AGUA]])</f>
        <v>1</v>
      </c>
      <c r="BN43" s="3">
        <f>+IF(AVANCE[[#This Row],[VENTILACIONES]]=W$2,100%,AVANCE[[#This Row],[VENTILACIONES]])</f>
        <v>0</v>
      </c>
      <c r="BO43" s="3">
        <f>+IF(AVANCE[[#This Row],[TINA]]=X$2,100%,AVANCE[[#This Row],[TINA]])</f>
        <v>1</v>
      </c>
      <c r="BP43" s="3">
        <f>+IF(AVANCE[[#This Row],[WC]]=Y$2,100%,AVANCE[[#This Row],[WC]])</f>
        <v>0</v>
      </c>
      <c r="BQ43" s="3">
        <f>+IF(AVANCE[[#This Row],[LAVAMANOS / LAVAPLATOS / LAVADERO]]=Z$2,100%,AVANCE[[#This Row],[LAVAMANOS / LAVAPLATOS / LAVADERO]])</f>
        <v>1</v>
      </c>
      <c r="BR43" s="3">
        <f>+IF(AVANCE[[#This Row],[CANALIZACIÓN]]=AC$2,100%,AVANCE[[#This Row],[CANALIZACIÓN]])</f>
        <v>1</v>
      </c>
      <c r="BS43" s="3">
        <f>+IF(AVANCE[[#This Row],[CABLEADO]]=AD$2,100%,AVANCE[[#This Row],[CABLEADO]])</f>
        <v>0</v>
      </c>
      <c r="BT43" s="3">
        <f>+IF(AVANCE[[#This Row],[ARTEFACTOS]]=AE$2,100%,AVANCE[[#This Row],[ARTEFACTOS]])</f>
        <v>0</v>
      </c>
      <c r="BU43" s="3">
        <f>+IF(AVANCE[[#This Row],[TABLERO]]=AF$2,100%,AVANCE[[#This Row],[TABLERO]])</f>
        <v>0</v>
      </c>
      <c r="BV43" s="3">
        <f>+IF(AVANCE[[#This Row],[CAJA PAU]]=AG$2,100%,AVANCE[[#This Row],[CAJA PAU]])</f>
        <v>0</v>
      </c>
      <c r="BW43" s="3">
        <f>+IF(AVANCE[[#This Row],[INSTALACION VINILICO]]=AJ$2,100%,AVANCE[[#This Row],[INSTALACION VINILICO]])</f>
        <v>1</v>
      </c>
      <c r="BX43" s="3">
        <f>+IF(AVANCE[[#This Row],[OSB CUBIERTA]]=AK$2,100%,AVANCE[[#This Row],[OSB CUBIERTA]])</f>
        <v>1</v>
      </c>
      <c r="BY43" s="3">
        <f>+IF(AVANCE[[#This Row],[BARANDA BALCON]]=AL$2,100%,AVANCE[[#This Row],[BARANDA BALCON]])</f>
        <v>0</v>
      </c>
      <c r="BZ43" s="3">
        <f>+IF(AVANCE[[#This Row],[OSB EXTERIOR]]=AM$2,100%,AVANCE[[#This Row],[OSB EXTERIOR]])</f>
        <v>1</v>
      </c>
      <c r="CA43" s="3">
        <f>+IF(AVANCE[[#This Row],[SMART PANEL]]=AN$2,100%,AVANCE[[#This Row],[SMART PANEL]])</f>
        <v>1</v>
      </c>
      <c r="CB43" s="3">
        <f>+IF(AVANCE[[#This Row],[PINTURA EXTERIOR]]=AO$2,100%,AVANCE[[#This Row],[PINTURA EXTERIOR]])</f>
        <v>0</v>
      </c>
      <c r="CC43" s="3">
        <f>+IF(AVANCE[[#This Row],[ZOCALOS LOGIA]]=AP$2,100%,AVANCE[[#This Row],[ZOCALOS LOGIA]])</f>
        <v>0</v>
      </c>
      <c r="CD43" s="3">
        <f>+IF(AVANCE[[#This Row],[MOLDURAS]]=AQ$2,100%,AVANCE[[#This Row],[MOLDURAS]])</f>
        <v>0</v>
      </c>
      <c r="CE43" s="3">
        <f>+IF(AVANCE[[#This Row],[PILASTREO]]=AR$2,100%,AVANCE[[#This Row],[PILASTREO]])</f>
        <v>0</v>
      </c>
      <c r="CF43" s="3">
        <f>+IF(AVANCE[[#This Row],[CELOSIAS]]=AS$2,100%,AVANCE[[#This Row],[CELOSIAS]])</f>
        <v>0</v>
      </c>
      <c r="CG43" s="3">
        <f>+IF(AVANCE[[#This Row],[VENTANAS]]=AT$2,100%,AVANCE[[#This Row],[VENTANAS]])</f>
        <v>0</v>
      </c>
      <c r="CH43" s="3">
        <f>+IF(AVANCE[[#This Row],[PUERTAS ACCESO - LOGIA - BANO]]=AU$2,100%,AVANCE[[#This Row],[PUERTAS ACCESO - LOGIA - BANO]])</f>
        <v>0</v>
      </c>
      <c r="CI43" s="3">
        <f>+IF(AVANCE[[#This Row],[CERRADURAS]]=AV$2,100%,AVANCE[[#This Row],[CERRADURAS]])</f>
        <v>0</v>
      </c>
      <c r="CJ43" s="3">
        <f>+IF(AVANCE[[#This Row],[REVESTIMIENTO INTERIOR ZONA SECA]]=AW$2,100%,AVANCE[[#This Row],[REVESTIMIENTO INTERIOR ZONA SECA]])</f>
        <v>1</v>
      </c>
      <c r="CK43" s="3">
        <f>+IF(AVANCE[[#This Row],[REVESTIMIENTO INTERIOR ZONAS HUMEDAS]]=AX$2,100%,AVANCE[[#This Row],[REVESTIMIENTO INTERIOR ZONAS HUMEDAS]])</f>
        <v>1</v>
      </c>
      <c r="CL43" s="3">
        <f>+IF(AVANCE[[#This Row],[MEMBRANA CIELO]]=AY$2,100%,AVANCE[[#This Row],[MEMBRANA CIELO]])</f>
        <v>1</v>
      </c>
      <c r="CM43" s="3">
        <f>+IF(AVANCE[[#This Row],[LIMPIEZA FINAL]]=AZ$2,100%,AVANCE[[#This Row],[LIMPIEZA FINAL]])</f>
        <v>0</v>
      </c>
      <c r="CN43" s="3">
        <f>+IF(AVANCE[[#This Row],[PUERTAS DORMITORIO]]=BA$2,100%,AVANCE[[#This Row],[PUERTAS DORMITORIO]])</f>
        <v>1</v>
      </c>
      <c r="CO43" s="3">
        <f>+IF(AVANCE[[#This Row],[REVESTIMIENTO INTERIOR BANO]]=BB$2,100%,AVANCE[[#This Row],[REVESTIMIENTO INTERIOR BANO]])</f>
        <v>0</v>
      </c>
      <c r="CP43" s="3">
        <f>+IF(AVANCE[[#This Row],[MUEBLE LAVAPLATOS]]=BC$2,100%,AVANCE[[#This Row],[MUEBLE LAVAPLATOS]])</f>
        <v>0</v>
      </c>
      <c r="CQ43" s="3">
        <f>+IF(AVANCE[[#This Row],[IMPERMEABILIZACION BANO - COCINA LOGIA]]=BD$2,100%,AVANCE[[#This Row],[IMPERMEABILIZACION BANO - COCINA LOGIA]])</f>
        <v>1</v>
      </c>
      <c r="CR43" s="40">
        <f ca="1">+IF(AVANCE[[#This Row],[ESTADO MODULO]]="PENDIENTE",(TODAY()-AVANCE[[#This Row],[FECHA TERMINO  PLANIFICADO]]),0)</f>
        <v>19</v>
      </c>
      <c r="CS43" s="42" t="str" cm="1">
        <f t="array" ref="CS43">_xlfn.TEXTJOIN(" | ",TRUE,IF(SUMPRODUCT((BF43:CQ43&lt;1)*(PARTIDAS!$I$2:$AT$2="OBRA GRUESA"))&gt;0,"OBRA GRUESA: "&amp;_xlfn.TEXTJOIN(", ",TRUE,IF((BF43:CQ43&lt;1)*(PARTIDAS!$I$2:$AT$2="OBRA GRUESA"),PARTIDAS!$I$1:$AT$1,"")),""),IF(SUMPRODUCT((BF43:CQ43&lt;1)*(PARTIDAS!$I$2:$AT$2="SANITARIOS"))&gt;0,"SANITARIOS: "&amp;_xlfn.TEXTJOIN(", ",TRUE,IF((BF43:CQ43&lt;1)*(PARTIDAS!$I$2:$AT$2="SANITARIOS"),PARTIDAS!$I$1:$AT$1,"")),""),IF(SUMPRODUCT((BF43:CQ43&lt;1)*(PARTIDAS!$I$2:$AT$2="ELÉCTRICO"))&gt;0,"ELÉCTRICO: "&amp;_xlfn.TEXTJOIN(", ",TRUE,IF((BF43:CQ43&lt;1)*(PARTIDAS!$I$2:$AT$2="ELÉCTRICO"),PARTIDAS!$I$1:$AT$1,"")),""),IF(SUMPRODUCT((BF43:CQ43&lt;1)*(PARTIDAS!$I$2:$AT$2="TERMINACIONES"))&gt;0,"TERMINACIONES: "&amp;_xlfn.TEXTJOIN(", ",TRUE,IF((BF43:CQ43&lt;1)*(PARTIDAS!$I$2:$AT$2="TERMINACIONES"),PARTIDAS!$I$1:$AT$1,"")),""))</f>
        <v>SANITARIOS: VENTILACIONES, WC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T43" s="45" t="str" cm="1">
        <f t="array" ref="CT43">_xlfn.TEXTJOIN(", ",TRUE,IF(SUMPRODUCT((BF43:CQ43&lt;1)*(PARTIDAS!$I$2:$AT$2="OBRA GRUESA"))&gt;0,"OBRA GRUESA",""),IF(SUMPRODUCT((BF43:CQ43&lt;1)*(PARTIDAS!$I$2:$AT$2="SANITARIOS"))&gt;0,"SANITARIOS",""),IF(SUMPRODUCT((BF43:CQ43&lt;1)*(PARTIDAS!$I$2:$AT$2="ELÉCTRICO"))&gt;0,"ELÉCTRICO",""),IF(SUMPRODUCT((BF43:CQ43&lt;1)*(PARTIDAS!$I$2:$AT$2="TERMINACIONES"))&gt;0,"TERMINACIONES",""))</f>
        <v>SANITARIOS, ELÉCTRICO, TERMINACIONES</v>
      </c>
      <c r="CU43" s="46" cm="1">
        <f t="array" ref="CU43">SUMPRODUCT(--(BF43:CQ43&lt;1))</f>
        <v>19</v>
      </c>
    </row>
    <row r="44" spans="1:99" x14ac:dyDescent="0.25">
      <c r="A44" t="s">
        <v>91</v>
      </c>
      <c r="B44" t="s">
        <v>102</v>
      </c>
      <c r="C44">
        <v>2302600043</v>
      </c>
      <c r="D44" t="s">
        <v>60</v>
      </c>
      <c r="E44" s="2">
        <v>0.77999999999999992</v>
      </c>
      <c r="F44" s="1">
        <v>46127</v>
      </c>
      <c r="G44" s="1">
        <v>46127</v>
      </c>
      <c r="H44" s="1">
        <v>46178</v>
      </c>
      <c r="I44" s="1">
        <v>46164</v>
      </c>
      <c r="J44">
        <v>3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0.05</v>
      </c>
      <c r="T44" s="3">
        <v>0.55555555555555558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</v>
      </c>
      <c r="Z44" s="3">
        <v>0</v>
      </c>
      <c r="AA44" s="3">
        <v>0.06</v>
      </c>
      <c r="AB44" s="3">
        <v>0.54545454545454541</v>
      </c>
      <c r="AC44" s="3">
        <v>0.27272727272727271</v>
      </c>
      <c r="AD44" s="3">
        <v>0.27272727272727271</v>
      </c>
      <c r="AE44" s="3">
        <v>0</v>
      </c>
      <c r="AF44" s="3">
        <v>0</v>
      </c>
      <c r="AG44" s="3">
        <v>0</v>
      </c>
      <c r="AH44" s="3">
        <v>0.23999999999999988</v>
      </c>
      <c r="AI44" s="3">
        <v>0.64864864864864835</v>
      </c>
      <c r="AJ44" s="3">
        <v>5.4054054054054036E-2</v>
      </c>
      <c r="AK44" s="3">
        <v>5.4054054054054036E-2</v>
      </c>
      <c r="AL44" s="3">
        <v>0</v>
      </c>
      <c r="AM44" s="3">
        <v>8.1081081081081058E-2</v>
      </c>
      <c r="AN44" s="3">
        <v>8.1081081081081058E-2</v>
      </c>
      <c r="AO44" s="3">
        <v>6.7567567567567557E-2</v>
      </c>
      <c r="AP44" s="3">
        <v>0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0</v>
      </c>
      <c r="BD44" s="3">
        <v>2.7027027027027018E-2</v>
      </c>
      <c r="BE44" s="3" t="str">
        <f>+IF(AVANCE[[#This Row],[% AVANCE]]=100%,"MODULO TERMINADO",IF(AVANCE[[#This Row],[FECHA INICIO REAL]]="","MODULO NO INICIADO","PENDIENTE"))</f>
        <v>PENDIENTE</v>
      </c>
      <c r="BF44" s="3">
        <f>+IF(AVANCE[[#This Row],[VENTANAS]]=8.10810810810811%,100%,AVANCE[[#This Row],[VENTANAS]])</f>
        <v>1</v>
      </c>
      <c r="BG44" s="3">
        <f>+IF(AVANCE[[#This Row],[PISO]]=N$2,100%,AVANCE[[#This Row],[PISO]])</f>
        <v>1</v>
      </c>
      <c r="BH44" s="3">
        <f>+IF(AVANCE[[#This Row],[TABIQUES]]=O$2,100%,AVANCE[[#This Row],[TABIQUES]])</f>
        <v>1</v>
      </c>
      <c r="BI44" s="3">
        <f>+IF(AVANCE[[#This Row],[MUROS]]=P$2,100%,AVANCE[[#This Row],[MUROS]])</f>
        <v>1</v>
      </c>
      <c r="BJ44" s="3">
        <f>+IF(AVANCE[[#This Row],[CIELO]]=Q$2,100%,AVANCE[[#This Row],[CIELO]])</f>
        <v>1</v>
      </c>
      <c r="BK44" s="3">
        <f>+IF(AVANCE[[#This Row],[BALCÓN]]=R$2,100%,AVANCE[[#This Row],[BALCÓN]])</f>
        <v>1</v>
      </c>
      <c r="BL44" s="3">
        <f>+IF(AVANCE[[#This Row],[RED ALCANTARILLADO]]=U$2,100%,AVANCE[[#This Row],[RED ALCANTARILLADO]])</f>
        <v>1</v>
      </c>
      <c r="BM44" s="3">
        <f>+IF(AVANCE[[#This Row],[RED DE AGUA]]=V$2,100%,AVANCE[[#This Row],[RED DE AGUA]])</f>
        <v>1</v>
      </c>
      <c r="BN44" s="3">
        <f>+IF(AVANCE[[#This Row],[VENTILACIONES]]=W$2,100%,AVANCE[[#This Row],[VENTILACIONES]])</f>
        <v>0</v>
      </c>
      <c r="BO44" s="3">
        <f>+IF(AVANCE[[#This Row],[TINA]]=X$2,100%,AVANCE[[#This Row],[TINA]])</f>
        <v>1</v>
      </c>
      <c r="BP44" s="3">
        <f>+IF(AVANCE[[#This Row],[WC]]=Y$2,100%,AVANCE[[#This Row],[WC]])</f>
        <v>0</v>
      </c>
      <c r="BQ44" s="3">
        <f>+IF(AVANCE[[#This Row],[LAVAMANOS / LAVAPLATOS / LAVADERO]]=Z$2,100%,AVANCE[[#This Row],[LAVAMANOS / LAVAPLATOS / LAVADERO]])</f>
        <v>0</v>
      </c>
      <c r="BR44" s="3">
        <f>+IF(AVANCE[[#This Row],[CANALIZACIÓN]]=AC$2,100%,AVANCE[[#This Row],[CANALIZACIÓN]])</f>
        <v>1</v>
      </c>
      <c r="BS44" s="3">
        <f>+IF(AVANCE[[#This Row],[CABLEADO]]=AD$2,100%,AVANCE[[#This Row],[CABLEADO]])</f>
        <v>1</v>
      </c>
      <c r="BT44" s="3">
        <f>+IF(AVANCE[[#This Row],[ARTEFACTOS]]=AE$2,100%,AVANCE[[#This Row],[ARTEFACTOS]])</f>
        <v>0</v>
      </c>
      <c r="BU44" s="3">
        <f>+IF(AVANCE[[#This Row],[TABLERO]]=AF$2,100%,AVANCE[[#This Row],[TABLERO]])</f>
        <v>0</v>
      </c>
      <c r="BV44" s="3">
        <f>+IF(AVANCE[[#This Row],[CAJA PAU]]=AG$2,100%,AVANCE[[#This Row],[CAJA PAU]])</f>
        <v>0</v>
      </c>
      <c r="BW44" s="3">
        <f>+IF(AVANCE[[#This Row],[INSTALACION VINILICO]]=AJ$2,100%,AVANCE[[#This Row],[INSTALACION VINILICO]])</f>
        <v>1</v>
      </c>
      <c r="BX44" s="3">
        <f>+IF(AVANCE[[#This Row],[OSB CUBIERTA]]=AK$2,100%,AVANCE[[#This Row],[OSB CUBIERTA]])</f>
        <v>1</v>
      </c>
      <c r="BY44" s="3">
        <f>+IF(AVANCE[[#This Row],[BARANDA BALCON]]=AL$2,100%,AVANCE[[#This Row],[BARANDA BALCON]])</f>
        <v>0</v>
      </c>
      <c r="BZ44" s="3">
        <f>+IF(AVANCE[[#This Row],[OSB EXTERIOR]]=AM$2,100%,AVANCE[[#This Row],[OSB EXTERIOR]])</f>
        <v>1</v>
      </c>
      <c r="CA44" s="3">
        <f>+IF(AVANCE[[#This Row],[SMART PANEL]]=AN$2,100%,AVANCE[[#This Row],[SMART PANEL]])</f>
        <v>1</v>
      </c>
      <c r="CB44" s="3">
        <f>+IF(AVANCE[[#This Row],[PINTURA EXTERIOR]]=AO$2,100%,AVANCE[[#This Row],[PINTURA EXTERIOR]])</f>
        <v>1</v>
      </c>
      <c r="CC44" s="3">
        <f>+IF(AVANCE[[#This Row],[ZOCALOS LOGIA]]=AP$2,100%,AVANCE[[#This Row],[ZOCALOS LOGIA]])</f>
        <v>0</v>
      </c>
      <c r="CD44" s="3">
        <f>+IF(AVANCE[[#This Row],[MOLDURAS]]=AQ$2,100%,AVANCE[[#This Row],[MOLDURAS]])</f>
        <v>0</v>
      </c>
      <c r="CE44" s="3">
        <f>+IF(AVANCE[[#This Row],[PILASTREO]]=AR$2,100%,AVANCE[[#This Row],[PILASTREO]])</f>
        <v>0</v>
      </c>
      <c r="CF44" s="3">
        <f>+IF(AVANCE[[#This Row],[CELOSIAS]]=AS$2,100%,AVANCE[[#This Row],[CELOSIAS]])</f>
        <v>1</v>
      </c>
      <c r="CG44" s="3">
        <f>+IF(AVANCE[[#This Row],[VENTANAS]]=AT$2,100%,AVANCE[[#This Row],[VENTANAS]])</f>
        <v>1</v>
      </c>
      <c r="CH44" s="3">
        <f>+IF(AVANCE[[#This Row],[PUERTAS ACCESO - LOGIA - BANO]]=AU$2,100%,AVANCE[[#This Row],[PUERTAS ACCESO - LOGIA - BANO]])</f>
        <v>0</v>
      </c>
      <c r="CI44" s="3">
        <f>+IF(AVANCE[[#This Row],[CERRADURAS]]=AV$2,100%,AVANCE[[#This Row],[CERRADURAS]])</f>
        <v>0</v>
      </c>
      <c r="CJ44" s="3">
        <f>+IF(AVANCE[[#This Row],[REVESTIMIENTO INTERIOR ZONA SECA]]=AW$2,100%,AVANCE[[#This Row],[REVESTIMIENTO INTERIOR ZONA SECA]])</f>
        <v>1</v>
      </c>
      <c r="CK44" s="3">
        <f>+IF(AVANCE[[#This Row],[REVESTIMIENTO INTERIOR ZONAS HUMEDAS]]=AX$2,100%,AVANCE[[#This Row],[REVESTIMIENTO INTERIOR ZONAS HUMEDAS]])</f>
        <v>1</v>
      </c>
      <c r="CL44" s="3">
        <f>+IF(AVANCE[[#This Row],[MEMBRANA CIELO]]=AY$2,100%,AVANCE[[#This Row],[MEMBRANA CIELO]])</f>
        <v>1</v>
      </c>
      <c r="CM44" s="3">
        <f>+IF(AVANCE[[#This Row],[LIMPIEZA FINAL]]=AZ$2,100%,AVANCE[[#This Row],[LIMPIEZA FINAL]])</f>
        <v>0</v>
      </c>
      <c r="CN44" s="3">
        <f>+IF(AVANCE[[#This Row],[PUERTAS DORMITORIO]]=BA$2,100%,AVANCE[[#This Row],[PUERTAS DORMITORIO]])</f>
        <v>1</v>
      </c>
      <c r="CO44" s="3">
        <f>+IF(AVANCE[[#This Row],[REVESTIMIENTO INTERIOR BANO]]=BB$2,100%,AVANCE[[#This Row],[REVESTIMIENTO INTERIOR BANO]])</f>
        <v>0</v>
      </c>
      <c r="CP44" s="3">
        <f>+IF(AVANCE[[#This Row],[MUEBLE LAVAPLATOS]]=BC$2,100%,AVANCE[[#This Row],[MUEBLE LAVAPLATOS]])</f>
        <v>0</v>
      </c>
      <c r="CQ44" s="3">
        <f>+IF(AVANCE[[#This Row],[IMPERMEABILIZACION BANO - COCINA LOGIA]]=BD$2,100%,AVANCE[[#This Row],[IMPERMEABILIZACION BANO - COCINA LOGIA]])</f>
        <v>1</v>
      </c>
      <c r="CR44" s="40">
        <f ca="1">+IF(AVANCE[[#This Row],[ESTADO MODULO]]="PENDIENTE",(TODAY()-AVANCE[[#This Row],[FECHA TERMINO  PLANIFICADO]]),0)</f>
        <v>17</v>
      </c>
      <c r="CS44" s="42" t="str" cm="1">
        <f t="array" ref="CS44">_xlfn.TEXTJOIN(" | ",TRUE,IF(SUMPRODUCT((BF44:CQ44&lt;1)*(PARTIDAS!$I$2:$AT$2="OBRA GRUESA"))&gt;0,"OBRA GRUESA: "&amp;_xlfn.TEXTJOIN(", ",TRUE,IF((BF44:CQ44&lt;1)*(PARTIDAS!$I$2:$AT$2="OBRA GRUESA"),PARTIDAS!$I$1:$AT$1,"")),""),IF(SUMPRODUCT((BF44:CQ44&lt;1)*(PARTIDAS!$I$2:$AT$2="SANITARIOS"))&gt;0,"SANITARIOS: "&amp;_xlfn.TEXTJOIN(", ",TRUE,IF((BF44:CQ44&lt;1)*(PARTIDAS!$I$2:$AT$2="SANITARIOS"),PARTIDAS!$I$1:$AT$1,"")),""),IF(SUMPRODUCT((BF44:CQ44&lt;1)*(PARTIDAS!$I$2:$AT$2="ELÉCTRICO"))&gt;0,"ELÉCTRICO: "&amp;_xlfn.TEXTJOIN(", ",TRUE,IF((BF44:CQ44&lt;1)*(PARTIDAS!$I$2:$AT$2="ELÉCTRICO"),PARTIDAS!$I$1:$AT$1,"")),""),IF(SUMPRODUCT((BF44:CQ44&lt;1)*(PARTIDAS!$I$2:$AT$2="TERMINACIONES"))&gt;0,"TERMINACIONES: "&amp;_xlfn.TEXTJOIN(", ",TRUE,IF((BF44:CQ44&lt;1)*(PARTIDAS!$I$2:$AT$2="TERMINACIONES"),PARTIDAS!$I$1:$AT$1,"")),""))</f>
        <v>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</v>
      </c>
      <c r="CT44" s="45" t="str" cm="1">
        <f t="array" ref="CT44">_xlfn.TEXTJOIN(", ",TRUE,IF(SUMPRODUCT((BF44:CQ44&lt;1)*(PARTIDAS!$I$2:$AT$2="OBRA GRUESA"))&gt;0,"OBRA GRUESA",""),IF(SUMPRODUCT((BF44:CQ44&lt;1)*(PARTIDAS!$I$2:$AT$2="SANITARIOS"))&gt;0,"SANITARIOS",""),IF(SUMPRODUCT((BF44:CQ44&lt;1)*(PARTIDAS!$I$2:$AT$2="ELÉCTRICO"))&gt;0,"ELÉCTRICO",""),IF(SUMPRODUCT((BF44:CQ44&lt;1)*(PARTIDAS!$I$2:$AT$2="TERMINACIONES"))&gt;0,"TERMINACIONES",""))</f>
        <v>SANITARIOS, ELÉCTRICO, TERMINACIONES</v>
      </c>
      <c r="CU44" s="46" cm="1">
        <f t="array" ref="CU44">SUMPRODUCT(--(BF44:CQ44&lt;1))</f>
        <v>15</v>
      </c>
    </row>
    <row r="45" spans="1:99" x14ac:dyDescent="0.25">
      <c r="A45" t="s">
        <v>91</v>
      </c>
      <c r="B45" t="s">
        <v>103</v>
      </c>
      <c r="C45">
        <v>2282600044</v>
      </c>
      <c r="D45" t="s">
        <v>58</v>
      </c>
      <c r="E45" s="2">
        <v>0.96999999999999975</v>
      </c>
      <c r="F45" s="1">
        <v>46127</v>
      </c>
      <c r="G45" s="1">
        <v>46127</v>
      </c>
      <c r="H45" s="1">
        <v>46171</v>
      </c>
      <c r="I45" s="1">
        <v>46164</v>
      </c>
      <c r="J45">
        <v>10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</v>
      </c>
      <c r="AB45" s="3">
        <v>0.90909090909090917</v>
      </c>
      <c r="AC45" s="3">
        <v>0.27272727272727271</v>
      </c>
      <c r="AD45" s="3">
        <v>0.27272727272727271</v>
      </c>
      <c r="AE45" s="3">
        <v>0</v>
      </c>
      <c r="AF45" s="3">
        <v>0.18181818181818182</v>
      </c>
      <c r="AG45" s="3">
        <v>0.18181818181818182</v>
      </c>
      <c r="AH45" s="3">
        <v>0.34999999999999981</v>
      </c>
      <c r="AI45" s="3">
        <v>0.9459459459459455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0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 s="3" t="str">
        <f>+IF(AVANCE[[#This Row],[% AVANCE]]=100%,"MODULO TERMINADO",IF(AVANCE[[#This Row],[FECHA INICIO REAL]]="","MODULO NO INICIADO","PENDIENTE"))</f>
        <v>PENDIENTE</v>
      </c>
      <c r="BF45" s="3">
        <f>+IF(AVANCE[[#This Row],[VENTANAS]]=8.10810810810811%,100%,AVANCE[[#This Row],[VENTANAS]])</f>
        <v>1</v>
      </c>
      <c r="BG45" s="3">
        <f>+IF(AVANCE[[#This Row],[PISO]]=N$2,100%,AVANCE[[#This Row],[PISO]])</f>
        <v>1</v>
      </c>
      <c r="BH45" s="3">
        <f>+IF(AVANCE[[#This Row],[TABIQUES]]=O$2,100%,AVANCE[[#This Row],[TABIQUES]])</f>
        <v>1</v>
      </c>
      <c r="BI45" s="3">
        <f>+IF(AVANCE[[#This Row],[MUROS]]=P$2,100%,AVANCE[[#This Row],[MUROS]])</f>
        <v>1</v>
      </c>
      <c r="BJ45" s="3">
        <f>+IF(AVANCE[[#This Row],[CIELO]]=Q$2,100%,AVANCE[[#This Row],[CIELO]])</f>
        <v>1</v>
      </c>
      <c r="BK45" s="3">
        <f>+IF(AVANCE[[#This Row],[BALCÓN]]=R$2,100%,AVANCE[[#This Row],[BALCÓN]])</f>
        <v>1</v>
      </c>
      <c r="BL45" s="3">
        <f>+IF(AVANCE[[#This Row],[RED ALCANTARILLADO]]=U$2,100%,AVANCE[[#This Row],[RED ALCANTARILLADO]])</f>
        <v>1</v>
      </c>
      <c r="BM45" s="3">
        <f>+IF(AVANCE[[#This Row],[RED DE AGUA]]=V$2,100%,AVANCE[[#This Row],[RED DE AGUA]])</f>
        <v>1</v>
      </c>
      <c r="BN45" s="3">
        <f>+IF(AVANCE[[#This Row],[VENTILACIONES]]=W$2,100%,AVANCE[[#This Row],[VENTILACIONES]])</f>
        <v>1</v>
      </c>
      <c r="BO45" s="3">
        <f>+IF(AVANCE[[#This Row],[TINA]]=X$2,100%,AVANCE[[#This Row],[TINA]])</f>
        <v>1</v>
      </c>
      <c r="BP45" s="3">
        <f>+IF(AVANCE[[#This Row],[WC]]=Y$2,100%,AVANCE[[#This Row],[WC]])</f>
        <v>1</v>
      </c>
      <c r="BQ45" s="3">
        <f>+IF(AVANCE[[#This Row],[LAVAMANOS / LAVAPLATOS / LAVADERO]]=Z$2,100%,AVANCE[[#This Row],[LAVAMANOS / LAVAPLATOS / LAVADERO]])</f>
        <v>1</v>
      </c>
      <c r="BR45" s="3">
        <f>+IF(AVANCE[[#This Row],[CANALIZACIÓN]]=AC$2,100%,AVANCE[[#This Row],[CANALIZACIÓN]])</f>
        <v>1</v>
      </c>
      <c r="BS45" s="3">
        <f>+IF(AVANCE[[#This Row],[CABLEADO]]=AD$2,100%,AVANCE[[#This Row],[CABLEADO]])</f>
        <v>1</v>
      </c>
      <c r="BT45" s="3">
        <f>+IF(AVANCE[[#This Row],[ARTEFACTOS]]=AE$2,100%,AVANCE[[#This Row],[ARTEFACTOS]])</f>
        <v>0</v>
      </c>
      <c r="BU45" s="3">
        <f>+IF(AVANCE[[#This Row],[TABLERO]]=AF$2,100%,AVANCE[[#This Row],[TABLERO]])</f>
        <v>1</v>
      </c>
      <c r="BV45" s="3">
        <f>+IF(AVANCE[[#This Row],[CAJA PAU]]=AG$2,100%,AVANCE[[#This Row],[CAJA PAU]])</f>
        <v>1</v>
      </c>
      <c r="BW45" s="3">
        <f>+IF(AVANCE[[#This Row],[INSTALACION VINILICO]]=AJ$2,100%,AVANCE[[#This Row],[INSTALACION VINILICO]])</f>
        <v>1</v>
      </c>
      <c r="BX45" s="3">
        <f>+IF(AVANCE[[#This Row],[OSB CUBIERTA]]=AK$2,100%,AVANCE[[#This Row],[OSB CUBIERTA]])</f>
        <v>1</v>
      </c>
      <c r="BY45" s="3">
        <f>+IF(AVANCE[[#This Row],[BARANDA BALCON]]=AL$2,100%,AVANCE[[#This Row],[BARANDA BALCON]])</f>
        <v>1</v>
      </c>
      <c r="BZ45" s="3">
        <f>+IF(AVANCE[[#This Row],[OSB EXTERIOR]]=AM$2,100%,AVANCE[[#This Row],[OSB EXTERIOR]])</f>
        <v>1</v>
      </c>
      <c r="CA45" s="3">
        <f>+IF(AVANCE[[#This Row],[SMART PANEL]]=AN$2,100%,AVANCE[[#This Row],[SMART PANEL]])</f>
        <v>1</v>
      </c>
      <c r="CB45" s="3">
        <f>+IF(AVANCE[[#This Row],[PINTURA EXTERIOR]]=AO$2,100%,AVANCE[[#This Row],[PINTURA EXTERIOR]])</f>
        <v>1</v>
      </c>
      <c r="CC45" s="3">
        <f>+IF(AVANCE[[#This Row],[ZOCALOS LOGIA]]=AP$2,100%,AVANCE[[#This Row],[ZOCALOS LOGIA]])</f>
        <v>1</v>
      </c>
      <c r="CD45" s="3">
        <f>+IF(AVANCE[[#This Row],[MOLDURAS]]=AQ$2,100%,AVANCE[[#This Row],[MOLDURAS]])</f>
        <v>0</v>
      </c>
      <c r="CE45" s="3">
        <f>+IF(AVANCE[[#This Row],[PILASTREO]]=AR$2,100%,AVANCE[[#This Row],[PILASTREO]])</f>
        <v>1</v>
      </c>
      <c r="CF45" s="3">
        <f>+IF(AVANCE[[#This Row],[CELOSIAS]]=AS$2,100%,AVANCE[[#This Row],[CELOSIAS]])</f>
        <v>1</v>
      </c>
      <c r="CG45" s="3">
        <f>+IF(AVANCE[[#This Row],[VENTANAS]]=AT$2,100%,AVANCE[[#This Row],[VENTANAS]])</f>
        <v>1</v>
      </c>
      <c r="CH45" s="3">
        <f>+IF(AVANCE[[#This Row],[PUERTAS ACCESO - LOGIA - BANO]]=AU$2,100%,AVANCE[[#This Row],[PUERTAS ACCESO - LOGIA - BANO]])</f>
        <v>1</v>
      </c>
      <c r="CI45" s="3">
        <f>+IF(AVANCE[[#This Row],[CERRADURAS]]=AV$2,100%,AVANCE[[#This Row],[CERRADURAS]])</f>
        <v>1</v>
      </c>
      <c r="CJ45" s="3">
        <f>+IF(AVANCE[[#This Row],[REVESTIMIENTO INTERIOR ZONA SECA]]=AW$2,100%,AVANCE[[#This Row],[REVESTIMIENTO INTERIOR ZONA SECA]])</f>
        <v>1</v>
      </c>
      <c r="CK45" s="3">
        <f>+IF(AVANCE[[#This Row],[REVESTIMIENTO INTERIOR ZONAS HUMEDAS]]=AX$2,100%,AVANCE[[#This Row],[REVESTIMIENTO INTERIOR ZONAS HUMEDAS]])</f>
        <v>1</v>
      </c>
      <c r="CL45" s="3">
        <f>+IF(AVANCE[[#This Row],[MEMBRANA CIELO]]=AY$2,100%,AVANCE[[#This Row],[MEMBRANA CIELO]])</f>
        <v>1</v>
      </c>
      <c r="CM45" s="3">
        <f>+IF(AVANCE[[#This Row],[LIMPIEZA FINAL]]=AZ$2,100%,AVANCE[[#This Row],[LIMPIEZA FINAL]])</f>
        <v>0</v>
      </c>
      <c r="CN45" s="3">
        <f>+IF(AVANCE[[#This Row],[PUERTAS DORMITORIO]]=BA$2,100%,AVANCE[[#This Row],[PUERTAS DORMITORIO]])</f>
        <v>1</v>
      </c>
      <c r="CO45" s="3">
        <f>+IF(AVANCE[[#This Row],[REVESTIMIENTO INTERIOR BANO]]=BB$2,100%,AVANCE[[#This Row],[REVESTIMIENTO INTERIOR BANO]])</f>
        <v>1</v>
      </c>
      <c r="CP45" s="3">
        <f>+IF(AVANCE[[#This Row],[MUEBLE LAVAPLATOS]]=BC$2,100%,AVANCE[[#This Row],[MUEBLE LAVAPLATOS]])</f>
        <v>1</v>
      </c>
      <c r="CQ45" s="3">
        <f>+IF(AVANCE[[#This Row],[IMPERMEABILIZACION BANO - COCINA LOGIA]]=BD$2,100%,AVANCE[[#This Row],[IMPERMEABILIZACION BANO - COCINA LOGIA]])</f>
        <v>1</v>
      </c>
      <c r="CR45" s="40">
        <f ca="1">+IF(AVANCE[[#This Row],[ESTADO MODULO]]="PENDIENTE",(TODAY()-AVANCE[[#This Row],[FECHA TERMINO  PLANIFICADO]]),0)</f>
        <v>17</v>
      </c>
      <c r="CS45" s="42" t="str" cm="1">
        <f t="array" ref="CS45">_xlfn.TEXTJOIN(" | ",TRUE,IF(SUMPRODUCT((BF45:CQ45&lt;1)*(PARTIDAS!$I$2:$AT$2="OBRA GRUESA"))&gt;0,"OBRA GRUESA: "&amp;_xlfn.TEXTJOIN(", ",TRUE,IF((BF45:CQ45&lt;1)*(PARTIDAS!$I$2:$AT$2="OBRA GRUESA"),PARTIDAS!$I$1:$AT$1,"")),""),IF(SUMPRODUCT((BF45:CQ45&lt;1)*(PARTIDAS!$I$2:$AT$2="SANITARIOS"))&gt;0,"SANITARIOS: "&amp;_xlfn.TEXTJOIN(", ",TRUE,IF((BF45:CQ45&lt;1)*(PARTIDAS!$I$2:$AT$2="SANITARIOS"),PARTIDAS!$I$1:$AT$1,"")),""),IF(SUMPRODUCT((BF45:CQ45&lt;1)*(PARTIDAS!$I$2:$AT$2="ELÉCTRICO"))&gt;0,"ELÉCTRICO: "&amp;_xlfn.TEXTJOIN(", ",TRUE,IF((BF45:CQ45&lt;1)*(PARTIDAS!$I$2:$AT$2="ELÉCTRICO"),PARTIDAS!$I$1:$AT$1,"")),""),IF(SUMPRODUCT((BF45:CQ45&lt;1)*(PARTIDAS!$I$2:$AT$2="TERMINACIONES"))&gt;0,"TERMINACIONES: "&amp;_xlfn.TEXTJOIN(", ",TRUE,IF((BF45:CQ45&lt;1)*(PARTIDAS!$I$2:$AT$2="TERMINACIONES"),PARTIDAS!$I$1:$AT$1,"")),""))</f>
        <v>ELÉCTRICO: ARTEFACTOS | TERMINACIONES: MOLDURAS, LIMPIEZA FINAL</v>
      </c>
      <c r="CT45" s="45" t="str" cm="1">
        <f t="array" ref="CT45">_xlfn.TEXTJOIN(", ",TRUE,IF(SUMPRODUCT((BF45:CQ45&lt;1)*(PARTIDAS!$I$2:$AT$2="OBRA GRUESA"))&gt;0,"OBRA GRUESA",""),IF(SUMPRODUCT((BF45:CQ45&lt;1)*(PARTIDAS!$I$2:$AT$2="SANITARIOS"))&gt;0,"SANITARIOS",""),IF(SUMPRODUCT((BF45:CQ45&lt;1)*(PARTIDAS!$I$2:$AT$2="ELÉCTRICO"))&gt;0,"ELÉCTRICO",""),IF(SUMPRODUCT((BF45:CQ45&lt;1)*(PARTIDAS!$I$2:$AT$2="TERMINACIONES"))&gt;0,"TERMINACIONES",""))</f>
        <v>ELÉCTRICO, TERMINACIONES</v>
      </c>
      <c r="CU45" s="46" cm="1">
        <f t="array" ref="CU45">SUMPRODUCT(--(BF45:CQ45&lt;1))</f>
        <v>3</v>
      </c>
    </row>
    <row r="46" spans="1:99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5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 s="3" t="str">
        <f>+IF(AVANCE[[#This Row],[% AVANCE]]=100%,"MODULO TERMINADO",IF(AVANCE[[#This Row],[FECHA INICIO REAL]]="","MODULO NO INICIADO","PENDIENTE"))</f>
        <v>PENDIENTE</v>
      </c>
      <c r="BF46" s="3">
        <f>+IF(AVANCE[[#This Row],[VENTANAS]]=8.10810810810811%,100%,AVANCE[[#This Row],[VENTANAS]])</f>
        <v>1</v>
      </c>
      <c r="BG46" s="3">
        <f>+IF(AVANCE[[#This Row],[PISO]]=N$2,100%,AVANCE[[#This Row],[PISO]])</f>
        <v>1</v>
      </c>
      <c r="BH46" s="3">
        <f>+IF(AVANCE[[#This Row],[TABIQUES]]=O$2,100%,AVANCE[[#This Row],[TABIQUES]])</f>
        <v>1</v>
      </c>
      <c r="BI46" s="3">
        <f>+IF(AVANCE[[#This Row],[MUROS]]=P$2,100%,AVANCE[[#This Row],[MUROS]])</f>
        <v>1</v>
      </c>
      <c r="BJ46" s="3">
        <f>+IF(AVANCE[[#This Row],[CIELO]]=Q$2,100%,AVANCE[[#This Row],[CIELO]])</f>
        <v>1</v>
      </c>
      <c r="BK46" s="3">
        <f>+IF(AVANCE[[#This Row],[BALCÓN]]=R$2,100%,AVANCE[[#This Row],[BALCÓN]])</f>
        <v>1</v>
      </c>
      <c r="BL46" s="3">
        <f>+IF(AVANCE[[#This Row],[RED ALCANTARILLADO]]=U$2,100%,AVANCE[[#This Row],[RED ALCANTARILLADO]])</f>
        <v>1</v>
      </c>
      <c r="BM46" s="3">
        <f>+IF(AVANCE[[#This Row],[RED DE AGUA]]=V$2,100%,AVANCE[[#This Row],[RED DE AGUA]])</f>
        <v>1</v>
      </c>
      <c r="BN46" s="3">
        <f>+IF(AVANCE[[#This Row],[VENTILACIONES]]=W$2,100%,AVANCE[[#This Row],[VENTILACIONES]])</f>
        <v>1</v>
      </c>
      <c r="BO46" s="3">
        <f>+IF(AVANCE[[#This Row],[TINA]]=X$2,100%,AVANCE[[#This Row],[TINA]])</f>
        <v>1</v>
      </c>
      <c r="BP46" s="3">
        <f>+IF(AVANCE[[#This Row],[WC]]=Y$2,100%,AVANCE[[#This Row],[WC]])</f>
        <v>1</v>
      </c>
      <c r="BQ46" s="3">
        <f>+IF(AVANCE[[#This Row],[LAVAMANOS / LAVAPLATOS / LAVADERO]]=Z$2,100%,AVANCE[[#This Row],[LAVAMANOS / LAVAPLATOS / LAVADERO]])</f>
        <v>1</v>
      </c>
      <c r="BR46" s="3">
        <f>+IF(AVANCE[[#This Row],[CANALIZACIÓN]]=AC$2,100%,AVANCE[[#This Row],[CANALIZACIÓN]])</f>
        <v>1</v>
      </c>
      <c r="BS46" s="3">
        <f>+IF(AVANCE[[#This Row],[CABLEADO]]=AD$2,100%,AVANCE[[#This Row],[CABLEADO]])</f>
        <v>1</v>
      </c>
      <c r="BT46" s="3">
        <f>+IF(AVANCE[[#This Row],[ARTEFACTOS]]=AE$2,100%,AVANCE[[#This Row],[ARTEFACTOS]])</f>
        <v>0</v>
      </c>
      <c r="BU46" s="3">
        <f>+IF(AVANCE[[#This Row],[TABLERO]]=AF$2,100%,AVANCE[[#This Row],[TABLERO]])</f>
        <v>1</v>
      </c>
      <c r="BV46" s="3">
        <f>+IF(AVANCE[[#This Row],[CAJA PAU]]=AG$2,100%,AVANCE[[#This Row],[CAJA PAU]])</f>
        <v>1</v>
      </c>
      <c r="BW46" s="3">
        <f>+IF(AVANCE[[#This Row],[INSTALACION VINILICO]]=AJ$2,100%,AVANCE[[#This Row],[INSTALACION VINILICO]])</f>
        <v>1</v>
      </c>
      <c r="BX46" s="3">
        <f>+IF(AVANCE[[#This Row],[OSB CUBIERTA]]=AK$2,100%,AVANCE[[#This Row],[OSB CUBIERTA]])</f>
        <v>1</v>
      </c>
      <c r="BY46" s="3">
        <f>+IF(AVANCE[[#This Row],[BARANDA BALCON]]=AL$2,100%,AVANCE[[#This Row],[BARANDA BALCON]])</f>
        <v>1</v>
      </c>
      <c r="BZ46" s="3">
        <f>+IF(AVANCE[[#This Row],[OSB EXTERIOR]]=AM$2,100%,AVANCE[[#This Row],[OSB EXTERIOR]])</f>
        <v>1</v>
      </c>
      <c r="CA46" s="3">
        <f>+IF(AVANCE[[#This Row],[SMART PANEL]]=AN$2,100%,AVANCE[[#This Row],[SMART PANEL]])</f>
        <v>1</v>
      </c>
      <c r="CB46" s="3">
        <f>+IF(AVANCE[[#This Row],[PINTURA EXTERIOR]]=AO$2,100%,AVANCE[[#This Row],[PINTURA EXTERIOR]])</f>
        <v>1</v>
      </c>
      <c r="CC46" s="3">
        <f>+IF(AVANCE[[#This Row],[ZOCALOS LOGIA]]=AP$2,100%,AVANCE[[#This Row],[ZOCALOS LOGIA]])</f>
        <v>1</v>
      </c>
      <c r="CD46" s="3">
        <f>+IF(AVANCE[[#This Row],[MOLDURAS]]=AQ$2,100%,AVANCE[[#This Row],[MOLDURAS]])</f>
        <v>1</v>
      </c>
      <c r="CE46" s="3">
        <f>+IF(AVANCE[[#This Row],[PILASTREO]]=AR$2,100%,AVANCE[[#This Row],[PILASTREO]])</f>
        <v>1</v>
      </c>
      <c r="CF46" s="3">
        <f>+IF(AVANCE[[#This Row],[CELOSIAS]]=AS$2,100%,AVANCE[[#This Row],[CELOSIAS]])</f>
        <v>0</v>
      </c>
      <c r="CG46" s="3">
        <f>+IF(AVANCE[[#This Row],[VENTANAS]]=AT$2,100%,AVANCE[[#This Row],[VENTANAS]])</f>
        <v>1</v>
      </c>
      <c r="CH46" s="3">
        <f>+IF(AVANCE[[#This Row],[PUERTAS ACCESO - LOGIA - BANO]]=AU$2,100%,AVANCE[[#This Row],[PUERTAS ACCESO - LOGIA - BANO]])</f>
        <v>1</v>
      </c>
      <c r="CI46" s="3">
        <f>+IF(AVANCE[[#This Row],[CERRADURAS]]=AV$2,100%,AVANCE[[#This Row],[CERRADURAS]])</f>
        <v>0</v>
      </c>
      <c r="CJ46" s="3">
        <f>+IF(AVANCE[[#This Row],[REVESTIMIENTO INTERIOR ZONA SECA]]=AW$2,100%,AVANCE[[#This Row],[REVESTIMIENTO INTERIOR ZONA SECA]])</f>
        <v>1</v>
      </c>
      <c r="CK46" s="3">
        <f>+IF(AVANCE[[#This Row],[REVESTIMIENTO INTERIOR ZONAS HUMEDAS]]=AX$2,100%,AVANCE[[#This Row],[REVESTIMIENTO INTERIOR ZONAS HUMEDAS]])</f>
        <v>1</v>
      </c>
      <c r="CL46" s="3">
        <f>+IF(AVANCE[[#This Row],[MEMBRANA CIELO]]=AY$2,100%,AVANCE[[#This Row],[MEMBRANA CIELO]])</f>
        <v>1</v>
      </c>
      <c r="CM46" s="3">
        <f>+IF(AVANCE[[#This Row],[LIMPIEZA FINAL]]=AZ$2,100%,AVANCE[[#This Row],[LIMPIEZA FINAL]])</f>
        <v>0</v>
      </c>
      <c r="CN46" s="3">
        <f>+IF(AVANCE[[#This Row],[PUERTAS DORMITORIO]]=BA$2,100%,AVANCE[[#This Row],[PUERTAS DORMITORIO]])</f>
        <v>1</v>
      </c>
      <c r="CO46" s="3">
        <f>+IF(AVANCE[[#This Row],[REVESTIMIENTO INTERIOR BANO]]=BB$2,100%,AVANCE[[#This Row],[REVESTIMIENTO INTERIOR BANO]])</f>
        <v>1</v>
      </c>
      <c r="CP46" s="3">
        <f>+IF(AVANCE[[#This Row],[MUEBLE LAVAPLATOS]]=BC$2,100%,AVANCE[[#This Row],[MUEBLE LAVAPLATOS]])</f>
        <v>1</v>
      </c>
      <c r="CQ46" s="3">
        <f>+IF(AVANCE[[#This Row],[IMPERMEABILIZACION BANO - COCINA LOGIA]]=BD$2,100%,AVANCE[[#This Row],[IMPERMEABILIZACION BANO - COCINA LOGIA]])</f>
        <v>1</v>
      </c>
      <c r="CR46" s="40">
        <f ca="1">+IF(AVANCE[[#This Row],[ESTADO MODULO]]="PENDIENTE",(TODAY()-AVANCE[[#This Row],[FECHA TERMINO  PLANIFICADO]]),0)</f>
        <v>14</v>
      </c>
      <c r="CS46" s="42" t="str" cm="1">
        <f t="array" ref="CS46">_xlfn.TEXTJOIN(" | ",TRUE,IF(SUMPRODUCT((BF46:CQ46&lt;1)*(PARTIDAS!$I$2:$AT$2="OBRA GRUESA"))&gt;0,"OBRA GRUESA: "&amp;_xlfn.TEXTJOIN(", ",TRUE,IF((BF46:CQ46&lt;1)*(PARTIDAS!$I$2:$AT$2="OBRA GRUESA"),PARTIDAS!$I$1:$AT$1,"")),""),IF(SUMPRODUCT((BF46:CQ46&lt;1)*(PARTIDAS!$I$2:$AT$2="SANITARIOS"))&gt;0,"SANITARIOS: "&amp;_xlfn.TEXTJOIN(", ",TRUE,IF((BF46:CQ46&lt;1)*(PARTIDAS!$I$2:$AT$2="SANITARIOS"),PARTIDAS!$I$1:$AT$1,"")),""),IF(SUMPRODUCT((BF46:CQ46&lt;1)*(PARTIDAS!$I$2:$AT$2="ELÉCTRICO"))&gt;0,"ELÉCTRICO: "&amp;_xlfn.TEXTJOIN(", ",TRUE,IF((BF46:CQ46&lt;1)*(PARTIDAS!$I$2:$AT$2="ELÉCTRICO"),PARTIDAS!$I$1:$AT$1,"")),""),IF(SUMPRODUCT((BF46:CQ46&lt;1)*(PARTIDAS!$I$2:$AT$2="TERMINACIONES"))&gt;0,"TERMINACIONES: "&amp;_xlfn.TEXTJOIN(", ",TRUE,IF((BF46:CQ46&lt;1)*(PARTIDAS!$I$2:$AT$2="TERMINACIONES"),PARTIDAS!$I$1:$AT$1,"")),""))</f>
        <v>ELÉCTRICO: ARTEFACTOS | TERMINACIONES: CELOSIAS, CERRADURAS, LIMPIEZA FINAL</v>
      </c>
      <c r="CT46" s="45" t="str" cm="1">
        <f t="array" ref="CT46">_xlfn.TEXTJOIN(", ",TRUE,IF(SUMPRODUCT((BF46:CQ46&lt;1)*(PARTIDAS!$I$2:$AT$2="OBRA GRUESA"))&gt;0,"OBRA GRUESA",""),IF(SUMPRODUCT((BF46:CQ46&lt;1)*(PARTIDAS!$I$2:$AT$2="SANITARIOS"))&gt;0,"SANITARIOS",""),IF(SUMPRODUCT((BF46:CQ46&lt;1)*(PARTIDAS!$I$2:$AT$2="ELÉCTRICO"))&gt;0,"ELÉCTRICO",""),IF(SUMPRODUCT((BF46:CQ46&lt;1)*(PARTIDAS!$I$2:$AT$2="TERMINACIONES"))&gt;0,"TERMINACIONES",""))</f>
        <v>ELÉCTRICO, TERMINACIONES</v>
      </c>
      <c r="CU46" s="46" cm="1">
        <f t="array" ref="CU46">SUMPRODUCT(--(BF46:CQ46&lt;1))</f>
        <v>4</v>
      </c>
    </row>
    <row r="47" spans="1:99" x14ac:dyDescent="0.25">
      <c r="A47" t="s">
        <v>91</v>
      </c>
      <c r="B47" t="s">
        <v>105</v>
      </c>
      <c r="C47">
        <v>2302600046</v>
      </c>
      <c r="D47" t="s">
        <v>60</v>
      </c>
      <c r="E47" s="2">
        <v>0.83499999999999996</v>
      </c>
      <c r="F47" s="1">
        <v>46126</v>
      </c>
      <c r="G47" s="1">
        <v>46126</v>
      </c>
      <c r="H47" s="1">
        <v>46168</v>
      </c>
      <c r="I47" s="1">
        <v>46167</v>
      </c>
      <c r="J47">
        <v>13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0.2649999999999999</v>
      </c>
      <c r="AI47" s="3">
        <v>0.7162162162162159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0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 s="3" t="str">
        <f>+IF(AVANCE[[#This Row],[% AVANCE]]=100%,"MODULO TERMINADO",IF(AVANCE[[#This Row],[FECHA INICIO REAL]]="","MODULO NO INICIADO","PENDIENTE"))</f>
        <v>PENDIENTE</v>
      </c>
      <c r="BF47" s="3">
        <f>+IF(AVANCE[[#This Row],[VENTANAS]]=8.10810810810811%,100%,AVANCE[[#This Row],[VENTANAS]])</f>
        <v>1</v>
      </c>
      <c r="BG47" s="3">
        <f>+IF(AVANCE[[#This Row],[PISO]]=N$2,100%,AVANCE[[#This Row],[PISO]])</f>
        <v>1</v>
      </c>
      <c r="BH47" s="3">
        <f>+IF(AVANCE[[#This Row],[TABIQUES]]=O$2,100%,AVANCE[[#This Row],[TABIQUES]])</f>
        <v>1</v>
      </c>
      <c r="BI47" s="3">
        <f>+IF(AVANCE[[#This Row],[MUROS]]=P$2,100%,AVANCE[[#This Row],[MUROS]])</f>
        <v>1</v>
      </c>
      <c r="BJ47" s="3">
        <f>+IF(AVANCE[[#This Row],[CIELO]]=Q$2,100%,AVANCE[[#This Row],[CIELO]])</f>
        <v>1</v>
      </c>
      <c r="BK47" s="3">
        <f>+IF(AVANCE[[#This Row],[BALCÓN]]=R$2,100%,AVANCE[[#This Row],[BALCÓN]])</f>
        <v>1</v>
      </c>
      <c r="BL47" s="3">
        <f>+IF(AVANCE[[#This Row],[RED ALCANTARILLADO]]=U$2,100%,AVANCE[[#This Row],[RED ALCANTARILLADO]])</f>
        <v>1</v>
      </c>
      <c r="BM47" s="3">
        <f>+IF(AVANCE[[#This Row],[RED DE AGUA]]=V$2,100%,AVANCE[[#This Row],[RED DE AGUA]])</f>
        <v>1</v>
      </c>
      <c r="BN47" s="3">
        <f>+IF(AVANCE[[#This Row],[VENTILACIONES]]=W$2,100%,AVANCE[[#This Row],[VENTILACIONES]])</f>
        <v>0</v>
      </c>
      <c r="BO47" s="3">
        <f>+IF(AVANCE[[#This Row],[TINA]]=X$2,100%,AVANCE[[#This Row],[TINA]])</f>
        <v>1</v>
      </c>
      <c r="BP47" s="3">
        <f>+IF(AVANCE[[#This Row],[WC]]=Y$2,100%,AVANCE[[#This Row],[WC]])</f>
        <v>1</v>
      </c>
      <c r="BQ47" s="3">
        <f>+IF(AVANCE[[#This Row],[LAVAMANOS / LAVAPLATOS / LAVADERO]]=Z$2,100%,AVANCE[[#This Row],[LAVAMANOS / LAVAPLATOS / LAVADERO]])</f>
        <v>1</v>
      </c>
      <c r="BR47" s="3">
        <f>+IF(AVANCE[[#This Row],[CANALIZACIÓN]]=AC$2,100%,AVANCE[[#This Row],[CANALIZACIÓN]])</f>
        <v>1</v>
      </c>
      <c r="BS47" s="3">
        <f>+IF(AVANCE[[#This Row],[CABLEADO]]=AD$2,100%,AVANCE[[#This Row],[CABLEADO]])</f>
        <v>1</v>
      </c>
      <c r="BT47" s="3">
        <f>+IF(AVANCE[[#This Row],[ARTEFACTOS]]=AE$2,100%,AVANCE[[#This Row],[ARTEFACTOS]])</f>
        <v>0</v>
      </c>
      <c r="BU47" s="3">
        <f>+IF(AVANCE[[#This Row],[TABLERO]]=AF$2,100%,AVANCE[[#This Row],[TABLERO]])</f>
        <v>0</v>
      </c>
      <c r="BV47" s="3">
        <f>+IF(AVANCE[[#This Row],[CAJA PAU]]=AG$2,100%,AVANCE[[#This Row],[CAJA PAU]])</f>
        <v>0</v>
      </c>
      <c r="BW47" s="3">
        <f>+IF(AVANCE[[#This Row],[INSTALACION VINILICO]]=AJ$2,100%,AVANCE[[#This Row],[INSTALACION VINILICO]])</f>
        <v>1</v>
      </c>
      <c r="BX47" s="3">
        <f>+IF(AVANCE[[#This Row],[OSB CUBIERTA]]=AK$2,100%,AVANCE[[#This Row],[OSB CUBIERTA]])</f>
        <v>1</v>
      </c>
      <c r="BY47" s="3">
        <f>+IF(AVANCE[[#This Row],[BARANDA BALCON]]=AL$2,100%,AVANCE[[#This Row],[BARANDA BALCON]])</f>
        <v>0</v>
      </c>
      <c r="BZ47" s="3">
        <f>+IF(AVANCE[[#This Row],[OSB EXTERIOR]]=AM$2,100%,AVANCE[[#This Row],[OSB EXTERIOR]])</f>
        <v>1</v>
      </c>
      <c r="CA47" s="3">
        <f>+IF(AVANCE[[#This Row],[SMART PANEL]]=AN$2,100%,AVANCE[[#This Row],[SMART PANEL]])</f>
        <v>1</v>
      </c>
      <c r="CB47" s="3">
        <f>+IF(AVANCE[[#This Row],[PINTURA EXTERIOR]]=AO$2,100%,AVANCE[[#This Row],[PINTURA EXTERIOR]])</f>
        <v>1</v>
      </c>
      <c r="CC47" s="3">
        <f>+IF(AVANCE[[#This Row],[ZOCALOS LOGIA]]=AP$2,100%,AVANCE[[#This Row],[ZOCALOS LOGIA]])</f>
        <v>1</v>
      </c>
      <c r="CD47" s="3">
        <f>+IF(AVANCE[[#This Row],[MOLDURAS]]=AQ$2,100%,AVANCE[[#This Row],[MOLDURAS]])</f>
        <v>0</v>
      </c>
      <c r="CE47" s="3">
        <f>+IF(AVANCE[[#This Row],[PILASTREO]]=AR$2,100%,AVANCE[[#This Row],[PILASTREO]])</f>
        <v>0</v>
      </c>
      <c r="CF47" s="3">
        <f>+IF(AVANCE[[#This Row],[CELOSIAS]]=AS$2,100%,AVANCE[[#This Row],[CELOSIAS]])</f>
        <v>1</v>
      </c>
      <c r="CG47" s="3">
        <f>+IF(AVANCE[[#This Row],[VENTANAS]]=AT$2,100%,AVANCE[[#This Row],[VENTANAS]])</f>
        <v>1</v>
      </c>
      <c r="CH47" s="3">
        <f>+IF(AVANCE[[#This Row],[PUERTAS ACCESO - LOGIA - BANO]]=AU$2,100%,AVANCE[[#This Row],[PUERTAS ACCESO - LOGIA - BANO]])</f>
        <v>0</v>
      </c>
      <c r="CI47" s="3">
        <f>+IF(AVANCE[[#This Row],[CERRADURAS]]=AV$2,100%,AVANCE[[#This Row],[CERRADURAS]])</f>
        <v>0</v>
      </c>
      <c r="CJ47" s="3">
        <f>+IF(AVANCE[[#This Row],[REVESTIMIENTO INTERIOR ZONA SECA]]=AW$2,100%,AVANCE[[#This Row],[REVESTIMIENTO INTERIOR ZONA SECA]])</f>
        <v>1</v>
      </c>
      <c r="CK47" s="3">
        <f>+IF(AVANCE[[#This Row],[REVESTIMIENTO INTERIOR ZONAS HUMEDAS]]=AX$2,100%,AVANCE[[#This Row],[REVESTIMIENTO INTERIOR ZONAS HUMEDAS]])</f>
        <v>1</v>
      </c>
      <c r="CL47" s="3">
        <f>+IF(AVANCE[[#This Row],[MEMBRANA CIELO]]=AY$2,100%,AVANCE[[#This Row],[MEMBRANA CIELO]])</f>
        <v>1</v>
      </c>
      <c r="CM47" s="3">
        <f>+IF(AVANCE[[#This Row],[LIMPIEZA FINAL]]=AZ$2,100%,AVANCE[[#This Row],[LIMPIEZA FINAL]])</f>
        <v>0</v>
      </c>
      <c r="CN47" s="3">
        <f>+IF(AVANCE[[#This Row],[PUERTAS DORMITORIO]]=BA$2,100%,AVANCE[[#This Row],[PUERTAS DORMITORIO]])</f>
        <v>1</v>
      </c>
      <c r="CO47" s="3">
        <f>+IF(AVANCE[[#This Row],[REVESTIMIENTO INTERIOR BANO]]=BB$2,100%,AVANCE[[#This Row],[REVESTIMIENTO INTERIOR BANO]])</f>
        <v>0</v>
      </c>
      <c r="CP47" s="3">
        <f>+IF(AVANCE[[#This Row],[MUEBLE LAVAPLATOS]]=BC$2,100%,AVANCE[[#This Row],[MUEBLE LAVAPLATOS]])</f>
        <v>1</v>
      </c>
      <c r="CQ47" s="3">
        <f>+IF(AVANCE[[#This Row],[IMPERMEABILIZACION BANO - COCINA LOGIA]]=BD$2,100%,AVANCE[[#This Row],[IMPERMEABILIZACION BANO - COCINA LOGIA]])</f>
        <v>1</v>
      </c>
      <c r="CR47" s="40">
        <f ca="1">+IF(AVANCE[[#This Row],[ESTADO MODULO]]="PENDIENTE",(TODAY()-AVANCE[[#This Row],[FECHA TERMINO  PLANIFICADO]]),0)</f>
        <v>14</v>
      </c>
      <c r="CS47" s="42" t="str" cm="1">
        <f t="array" ref="CS47">_xlfn.TEXTJOIN(" | ",TRUE,IF(SUMPRODUCT((BF47:CQ47&lt;1)*(PARTIDAS!$I$2:$AT$2="OBRA GRUESA"))&gt;0,"OBRA GRUESA: "&amp;_xlfn.TEXTJOIN(", ",TRUE,IF((BF47:CQ47&lt;1)*(PARTIDAS!$I$2:$AT$2="OBRA GRUESA"),PARTIDAS!$I$1:$AT$1,"")),""),IF(SUMPRODUCT((BF47:CQ47&lt;1)*(PARTIDAS!$I$2:$AT$2="SANITARIOS"))&gt;0,"SANITARIOS: "&amp;_xlfn.TEXTJOIN(", ",TRUE,IF((BF47:CQ47&lt;1)*(PARTIDAS!$I$2:$AT$2="SANITARIOS"),PARTIDAS!$I$1:$AT$1,"")),""),IF(SUMPRODUCT((BF47:CQ47&lt;1)*(PARTIDAS!$I$2:$AT$2="ELÉCTRICO"))&gt;0,"ELÉCTRICO: "&amp;_xlfn.TEXTJOIN(", ",TRUE,IF((BF47:CQ47&lt;1)*(PARTIDAS!$I$2:$AT$2="ELÉCTRICO"),PARTIDAS!$I$1:$AT$1,"")),""),IF(SUMPRODUCT((BF47:CQ47&lt;1)*(PARTIDAS!$I$2:$AT$2="TERMINACIONES"))&gt;0,"TERMINACIONES: "&amp;_xlfn.TEXTJOIN(", ",TRUE,IF((BF47:CQ47&lt;1)*(PARTIDAS!$I$2:$AT$2="TERMINACIONES"),PARTIDAS!$I$1:$AT$1,"")),""))</f>
        <v>SANITARIOS: VENTILACIONES | ELÉCTRICO: ARTEFACTOS, TABLERO, CAJA PAU | TERMINACIONES: BARANDA BALCON, MOLDURAS, PILASTREO, PUERTAS ACCESO - LOGIA - BANO, CERRADURAS, LIMPIEZA FINAL, REVESTIMIENTO INTERIOR BANO</v>
      </c>
      <c r="CT47" s="45" t="str" cm="1">
        <f t="array" ref="CT47">_xlfn.TEXTJOIN(", ",TRUE,IF(SUMPRODUCT((BF47:CQ47&lt;1)*(PARTIDAS!$I$2:$AT$2="OBRA GRUESA"))&gt;0,"OBRA GRUESA",""),IF(SUMPRODUCT((BF47:CQ47&lt;1)*(PARTIDAS!$I$2:$AT$2="SANITARIOS"))&gt;0,"SANITARIOS",""),IF(SUMPRODUCT((BF47:CQ47&lt;1)*(PARTIDAS!$I$2:$AT$2="ELÉCTRICO"))&gt;0,"ELÉCTRICO",""),IF(SUMPRODUCT((BF47:CQ47&lt;1)*(PARTIDAS!$I$2:$AT$2="TERMINACIONES"))&gt;0,"TERMINACIONES",""))</f>
        <v>SANITARIOS, ELÉCTRICO, TERMINACIONES</v>
      </c>
      <c r="CU47" s="46" cm="1">
        <f t="array" ref="CU47">SUMPRODUCT(--(BF47:CQ47&lt;1))</f>
        <v>11</v>
      </c>
    </row>
    <row r="48" spans="1:99" x14ac:dyDescent="0.25">
      <c r="A48" t="s">
        <v>91</v>
      </c>
      <c r="B48" t="s">
        <v>106</v>
      </c>
      <c r="C48">
        <v>2302600047</v>
      </c>
      <c r="D48" t="s">
        <v>60</v>
      </c>
      <c r="E48" s="2">
        <v>0.7599999999999999</v>
      </c>
      <c r="F48" s="1">
        <v>46127</v>
      </c>
      <c r="G48" s="1">
        <v>46127</v>
      </c>
      <c r="H48" s="1">
        <v>46178</v>
      </c>
      <c r="I48" s="1">
        <v>46168</v>
      </c>
      <c r="J48">
        <v>3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3.9999999999999994E-2</v>
      </c>
      <c r="T48" s="3">
        <v>0.44444444444444442</v>
      </c>
      <c r="U48" s="3">
        <v>0.22222222222222221</v>
      </c>
      <c r="V48" s="3">
        <v>0.22222222222222221</v>
      </c>
      <c r="W48" s="3">
        <v>0</v>
      </c>
      <c r="X48" s="3">
        <v>0</v>
      </c>
      <c r="Y48" s="3">
        <v>0</v>
      </c>
      <c r="Z48" s="3">
        <v>0</v>
      </c>
      <c r="AA48" s="3">
        <v>0.06</v>
      </c>
      <c r="AB48" s="3">
        <v>0.54545454545454541</v>
      </c>
      <c r="AC48" s="3">
        <v>0.27272727272727271</v>
      </c>
      <c r="AD48" s="3">
        <v>0.27272727272727271</v>
      </c>
      <c r="AE48" s="3">
        <v>0</v>
      </c>
      <c r="AF48" s="3">
        <v>0</v>
      </c>
      <c r="AG48" s="3">
        <v>0</v>
      </c>
      <c r="AH48" s="3">
        <v>0.2299999999999999</v>
      </c>
      <c r="AI48" s="3">
        <v>0.62162162162162138</v>
      </c>
      <c r="AJ48" s="3">
        <v>5.4054054054054036E-2</v>
      </c>
      <c r="AK48" s="3">
        <v>5.4054054054054036E-2</v>
      </c>
      <c r="AL48" s="3">
        <v>0</v>
      </c>
      <c r="AM48" s="3">
        <v>8.1081081081081058E-2</v>
      </c>
      <c r="AN48" s="3">
        <v>8.1081081081081058E-2</v>
      </c>
      <c r="AO48" s="3">
        <v>0</v>
      </c>
      <c r="AP48" s="3">
        <v>5.4054054054054036E-2</v>
      </c>
      <c r="AQ48" s="3">
        <v>0</v>
      </c>
      <c r="AR48" s="3">
        <v>0</v>
      </c>
      <c r="AS48" s="3">
        <v>0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 s="3" t="str">
        <f>+IF(AVANCE[[#This Row],[% AVANCE]]=100%,"MODULO TERMINADO",IF(AVANCE[[#This Row],[FECHA INICIO REAL]]="","MODULO NO INICIADO","PENDIENTE"))</f>
        <v>PENDIENTE</v>
      </c>
      <c r="BF48" s="3">
        <f>+IF(AVANCE[[#This Row],[VENTANAS]]=8.10810810810811%,100%,AVANCE[[#This Row],[VENTANAS]])</f>
        <v>1</v>
      </c>
      <c r="BG48" s="3">
        <f>+IF(AVANCE[[#This Row],[PISO]]=N$2,100%,AVANCE[[#This Row],[PISO]])</f>
        <v>1</v>
      </c>
      <c r="BH48" s="3">
        <f>+IF(AVANCE[[#This Row],[TABIQUES]]=O$2,100%,AVANCE[[#This Row],[TABIQUES]])</f>
        <v>1</v>
      </c>
      <c r="BI48" s="3">
        <f>+IF(AVANCE[[#This Row],[MUROS]]=P$2,100%,AVANCE[[#This Row],[MUROS]])</f>
        <v>1</v>
      </c>
      <c r="BJ48" s="3">
        <f>+IF(AVANCE[[#This Row],[CIELO]]=Q$2,100%,AVANCE[[#This Row],[CIELO]])</f>
        <v>1</v>
      </c>
      <c r="BK48" s="3">
        <f>+IF(AVANCE[[#This Row],[BALCÓN]]=R$2,100%,AVANCE[[#This Row],[BALCÓN]])</f>
        <v>1</v>
      </c>
      <c r="BL48" s="3">
        <f>+IF(AVANCE[[#This Row],[RED ALCANTARILLADO]]=U$2,100%,AVANCE[[#This Row],[RED ALCANTARILLADO]])</f>
        <v>1</v>
      </c>
      <c r="BM48" s="3">
        <f>+IF(AVANCE[[#This Row],[RED DE AGUA]]=V$2,100%,AVANCE[[#This Row],[RED DE AGUA]])</f>
        <v>1</v>
      </c>
      <c r="BN48" s="3">
        <f>+IF(AVANCE[[#This Row],[VENTILACIONES]]=W$2,100%,AVANCE[[#This Row],[VENTILACIONES]])</f>
        <v>0</v>
      </c>
      <c r="BO48" s="3">
        <f>+IF(AVANCE[[#This Row],[TINA]]=X$2,100%,AVANCE[[#This Row],[TINA]])</f>
        <v>0</v>
      </c>
      <c r="BP48" s="3">
        <f>+IF(AVANCE[[#This Row],[WC]]=Y$2,100%,AVANCE[[#This Row],[WC]])</f>
        <v>0</v>
      </c>
      <c r="BQ48" s="3">
        <f>+IF(AVANCE[[#This Row],[LAVAMANOS / LAVAPLATOS / LAVADERO]]=Z$2,100%,AVANCE[[#This Row],[LAVAMANOS / LAVAPLATOS / LAVADERO]])</f>
        <v>0</v>
      </c>
      <c r="BR48" s="3">
        <f>+IF(AVANCE[[#This Row],[CANALIZACIÓN]]=AC$2,100%,AVANCE[[#This Row],[CANALIZACIÓN]])</f>
        <v>1</v>
      </c>
      <c r="BS48" s="3">
        <f>+IF(AVANCE[[#This Row],[CABLEADO]]=AD$2,100%,AVANCE[[#This Row],[CABLEADO]])</f>
        <v>1</v>
      </c>
      <c r="BT48" s="3">
        <f>+IF(AVANCE[[#This Row],[ARTEFACTOS]]=AE$2,100%,AVANCE[[#This Row],[ARTEFACTOS]])</f>
        <v>0</v>
      </c>
      <c r="BU48" s="3">
        <f>+IF(AVANCE[[#This Row],[TABLERO]]=AF$2,100%,AVANCE[[#This Row],[TABLERO]])</f>
        <v>0</v>
      </c>
      <c r="BV48" s="3">
        <f>+IF(AVANCE[[#This Row],[CAJA PAU]]=AG$2,100%,AVANCE[[#This Row],[CAJA PAU]])</f>
        <v>0</v>
      </c>
      <c r="BW48" s="3">
        <f>+IF(AVANCE[[#This Row],[INSTALACION VINILICO]]=AJ$2,100%,AVANCE[[#This Row],[INSTALACION VINILICO]])</f>
        <v>1</v>
      </c>
      <c r="BX48" s="3">
        <f>+IF(AVANCE[[#This Row],[OSB CUBIERTA]]=AK$2,100%,AVANCE[[#This Row],[OSB CUBIERTA]])</f>
        <v>1</v>
      </c>
      <c r="BY48" s="3">
        <f>+IF(AVANCE[[#This Row],[BARANDA BALCON]]=AL$2,100%,AVANCE[[#This Row],[BARANDA BALCON]])</f>
        <v>0</v>
      </c>
      <c r="BZ48" s="3">
        <f>+IF(AVANCE[[#This Row],[OSB EXTERIOR]]=AM$2,100%,AVANCE[[#This Row],[OSB EXTERIOR]])</f>
        <v>1</v>
      </c>
      <c r="CA48" s="3">
        <f>+IF(AVANCE[[#This Row],[SMART PANEL]]=AN$2,100%,AVANCE[[#This Row],[SMART PANEL]])</f>
        <v>1</v>
      </c>
      <c r="CB48" s="3">
        <f>+IF(AVANCE[[#This Row],[PINTURA EXTERIOR]]=AO$2,100%,AVANCE[[#This Row],[PINTURA EXTERIOR]])</f>
        <v>0</v>
      </c>
      <c r="CC48" s="3">
        <f>+IF(AVANCE[[#This Row],[ZOCALOS LOGIA]]=AP$2,100%,AVANCE[[#This Row],[ZOCALOS LOGIA]])</f>
        <v>1</v>
      </c>
      <c r="CD48" s="3">
        <f>+IF(AVANCE[[#This Row],[MOLDURAS]]=AQ$2,100%,AVANCE[[#This Row],[MOLDURAS]])</f>
        <v>0</v>
      </c>
      <c r="CE48" s="3">
        <f>+IF(AVANCE[[#This Row],[PILASTREO]]=AR$2,100%,AVANCE[[#This Row],[PILASTREO]])</f>
        <v>0</v>
      </c>
      <c r="CF48" s="3">
        <f>+IF(AVANCE[[#This Row],[CELOSIAS]]=AS$2,100%,AVANCE[[#This Row],[CELOSIAS]])</f>
        <v>0</v>
      </c>
      <c r="CG48" s="3">
        <f>+IF(AVANCE[[#This Row],[VENTANAS]]=AT$2,100%,AVANCE[[#This Row],[VENTANAS]])</f>
        <v>1</v>
      </c>
      <c r="CH48" s="3">
        <f>+IF(AVANCE[[#This Row],[PUERTAS ACCESO - LOGIA - BANO]]=AU$2,100%,AVANCE[[#This Row],[PUERTAS ACCESO - LOGIA - BANO]])</f>
        <v>0</v>
      </c>
      <c r="CI48" s="3">
        <f>+IF(AVANCE[[#This Row],[CERRADURAS]]=AV$2,100%,AVANCE[[#This Row],[CERRADURAS]])</f>
        <v>0</v>
      </c>
      <c r="CJ48" s="3">
        <f>+IF(AVANCE[[#This Row],[REVESTIMIENTO INTERIOR ZONA SECA]]=AW$2,100%,AVANCE[[#This Row],[REVESTIMIENTO INTERIOR ZONA SECA]])</f>
        <v>1</v>
      </c>
      <c r="CK48" s="3">
        <f>+IF(AVANCE[[#This Row],[REVESTIMIENTO INTERIOR ZONAS HUMEDAS]]=AX$2,100%,AVANCE[[#This Row],[REVESTIMIENTO INTERIOR ZONAS HUMEDAS]])</f>
        <v>1</v>
      </c>
      <c r="CL48" s="3">
        <f>+IF(AVANCE[[#This Row],[MEMBRANA CIELO]]=AY$2,100%,AVANCE[[#This Row],[MEMBRANA CIELO]])</f>
        <v>1</v>
      </c>
      <c r="CM48" s="3">
        <f>+IF(AVANCE[[#This Row],[LIMPIEZA FINAL]]=AZ$2,100%,AVANCE[[#This Row],[LIMPIEZA FINAL]])</f>
        <v>0</v>
      </c>
      <c r="CN48" s="3">
        <f>+IF(AVANCE[[#This Row],[PUERTAS DORMITORIO]]=BA$2,100%,AVANCE[[#This Row],[PUERTAS DORMITORIO]])</f>
        <v>1</v>
      </c>
      <c r="CO48" s="3">
        <f>+IF(AVANCE[[#This Row],[REVESTIMIENTO INTERIOR BANO]]=BB$2,100%,AVANCE[[#This Row],[REVESTIMIENTO INTERIOR BANO]])</f>
        <v>0</v>
      </c>
      <c r="CP48" s="3">
        <f>+IF(AVANCE[[#This Row],[MUEBLE LAVAPLATOS]]=BC$2,100%,AVANCE[[#This Row],[MUEBLE LAVAPLATOS]])</f>
        <v>0</v>
      </c>
      <c r="CQ48" s="3">
        <f>+IF(AVANCE[[#This Row],[IMPERMEABILIZACION BANO - COCINA LOGIA]]=BD$2,100%,AVANCE[[#This Row],[IMPERMEABILIZACION BANO - COCINA LOGIA]])</f>
        <v>1</v>
      </c>
      <c r="CR48" s="40">
        <f ca="1">+IF(AVANCE[[#This Row],[ESTADO MODULO]]="PENDIENTE",(TODAY()-AVANCE[[#This Row],[FECHA TERMINO  PLANIFICADO]]),0)</f>
        <v>13</v>
      </c>
      <c r="CS48" s="42" t="str" cm="1">
        <f t="array" ref="CS48">_xlfn.TEXTJOIN(" | ",TRUE,IF(SUMPRODUCT((BF48:CQ48&lt;1)*(PARTIDAS!$I$2:$AT$2="OBRA GRUESA"))&gt;0,"OBRA GRUESA: "&amp;_xlfn.TEXTJOIN(", ",TRUE,IF((BF48:CQ48&lt;1)*(PARTIDAS!$I$2:$AT$2="OBRA GRUESA"),PARTIDAS!$I$1:$AT$1,"")),""),IF(SUMPRODUCT((BF48:CQ48&lt;1)*(PARTIDAS!$I$2:$AT$2="SANITARIOS"))&gt;0,"SANITARIOS: "&amp;_xlfn.TEXTJOIN(", ",TRUE,IF((BF48:CQ48&lt;1)*(PARTIDAS!$I$2:$AT$2="SANITARIOS"),PARTIDAS!$I$1:$AT$1,"")),""),IF(SUMPRODUCT((BF48:CQ48&lt;1)*(PARTIDAS!$I$2:$AT$2="ELÉCTRICO"))&gt;0,"ELÉCTRICO: "&amp;_xlfn.TEXTJOIN(", ",TRUE,IF((BF48:CQ48&lt;1)*(PARTIDAS!$I$2:$AT$2="ELÉCTRICO"),PARTIDAS!$I$1:$AT$1,"")),""),IF(SUMPRODUCT((BF48:CQ48&lt;1)*(PARTIDAS!$I$2:$AT$2="TERMINACIONES"))&gt;0,"TERMINACIONES: "&amp;_xlfn.TEXTJOIN(", ",TRUE,IF((BF48:CQ48&lt;1)*(PARTIDAS!$I$2:$AT$2="TERMINACIONES"),PARTIDAS!$I$1:$AT$1,"")),""))</f>
        <v>SANITARIOS: VENTILACIONES, TINA, WC, LAVAMANOS / LAVAPLATOS / LAVADERO | ELÉCTRICO: ARTEFACTOS, TABLERO, CAJA PAU | TERMINACIONES: BARANDA BALCON, PINTURA EXTERIOR, MOLDURAS, PILASTREO, CELOSIAS, PUERTAS ACCESO - LOGIA - BANO, CERRADURAS, LIMPIEZA FINAL, REVESTIMIENTO INTERIOR BANO, MUEBLE LAVAPLATOS</v>
      </c>
      <c r="CT48" s="45" t="str" cm="1">
        <f t="array" ref="CT48">_xlfn.TEXTJOIN(", ",TRUE,IF(SUMPRODUCT((BF48:CQ48&lt;1)*(PARTIDAS!$I$2:$AT$2="OBRA GRUESA"))&gt;0,"OBRA GRUESA",""),IF(SUMPRODUCT((BF48:CQ48&lt;1)*(PARTIDAS!$I$2:$AT$2="SANITARIOS"))&gt;0,"SANITARIOS",""),IF(SUMPRODUCT((BF48:CQ48&lt;1)*(PARTIDAS!$I$2:$AT$2="ELÉCTRICO"))&gt;0,"ELÉCTRICO",""),IF(SUMPRODUCT((BF48:CQ48&lt;1)*(PARTIDAS!$I$2:$AT$2="TERMINACIONES"))&gt;0,"TERMINACIONES",""))</f>
        <v>SANITARIOS, ELÉCTRICO, TERMINACIONES</v>
      </c>
      <c r="CU48" s="46" cm="1">
        <f t="array" ref="CU48">SUMPRODUCT(--(BF48:CQ48&lt;1))</f>
        <v>17</v>
      </c>
    </row>
    <row r="49" spans="1:99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12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 s="3" t="str">
        <f>+IF(AVANCE[[#This Row],[% AVANCE]]=100%,"MODULO TERMINADO",IF(AVANCE[[#This Row],[FECHA INICIO REAL]]="","MODULO NO INICIADO","PENDIENTE"))</f>
        <v>PENDIENTE</v>
      </c>
      <c r="BF49" s="3">
        <f>+IF(AVANCE[[#This Row],[VENTANAS]]=8.10810810810811%,100%,AVANCE[[#This Row],[VENTANAS]])</f>
        <v>1</v>
      </c>
      <c r="BG49" s="3">
        <f>+IF(AVANCE[[#This Row],[PISO]]=N$2,100%,AVANCE[[#This Row],[PISO]])</f>
        <v>1</v>
      </c>
      <c r="BH49" s="3">
        <f>+IF(AVANCE[[#This Row],[TABIQUES]]=O$2,100%,AVANCE[[#This Row],[TABIQUES]])</f>
        <v>1</v>
      </c>
      <c r="BI49" s="3">
        <f>+IF(AVANCE[[#This Row],[MUROS]]=P$2,100%,AVANCE[[#This Row],[MUROS]])</f>
        <v>1</v>
      </c>
      <c r="BJ49" s="3">
        <f>+IF(AVANCE[[#This Row],[CIELO]]=Q$2,100%,AVANCE[[#This Row],[CIELO]])</f>
        <v>1</v>
      </c>
      <c r="BK49" s="3">
        <f>+IF(AVANCE[[#This Row],[BALCÓN]]=R$2,100%,AVANCE[[#This Row],[BALCÓN]])</f>
        <v>1</v>
      </c>
      <c r="BL49" s="3">
        <f>+IF(AVANCE[[#This Row],[RED ALCANTARILLADO]]=U$2,100%,AVANCE[[#This Row],[RED ALCANTARILLADO]])</f>
        <v>1</v>
      </c>
      <c r="BM49" s="3">
        <f>+IF(AVANCE[[#This Row],[RED DE AGUA]]=V$2,100%,AVANCE[[#This Row],[RED DE AGUA]])</f>
        <v>1</v>
      </c>
      <c r="BN49" s="3">
        <f>+IF(AVANCE[[#This Row],[VENTILACIONES]]=W$2,100%,AVANCE[[#This Row],[VENTILACIONES]])</f>
        <v>1</v>
      </c>
      <c r="BO49" s="3">
        <f>+IF(AVANCE[[#This Row],[TINA]]=X$2,100%,AVANCE[[#This Row],[TINA]])</f>
        <v>1</v>
      </c>
      <c r="BP49" s="3">
        <f>+IF(AVANCE[[#This Row],[WC]]=Y$2,100%,AVANCE[[#This Row],[WC]])</f>
        <v>1</v>
      </c>
      <c r="BQ49" s="3">
        <f>+IF(AVANCE[[#This Row],[LAVAMANOS / LAVAPLATOS / LAVADERO]]=Z$2,100%,AVANCE[[#This Row],[LAVAMANOS / LAVAPLATOS / LAVADERO]])</f>
        <v>1</v>
      </c>
      <c r="BR49" s="3">
        <f>+IF(AVANCE[[#This Row],[CANALIZACIÓN]]=AC$2,100%,AVANCE[[#This Row],[CANALIZACIÓN]])</f>
        <v>1</v>
      </c>
      <c r="BS49" s="3">
        <f>+IF(AVANCE[[#This Row],[CABLEADO]]=AD$2,100%,AVANCE[[#This Row],[CABLEADO]])</f>
        <v>1</v>
      </c>
      <c r="BT49" s="3">
        <f>+IF(AVANCE[[#This Row],[ARTEFACTOS]]=AE$2,100%,AVANCE[[#This Row],[ARTEFACTOS]])</f>
        <v>0</v>
      </c>
      <c r="BU49" s="3">
        <f>+IF(AVANCE[[#This Row],[TABLERO]]=AF$2,100%,AVANCE[[#This Row],[TABLERO]])</f>
        <v>1</v>
      </c>
      <c r="BV49" s="3">
        <f>+IF(AVANCE[[#This Row],[CAJA PAU]]=AG$2,100%,AVANCE[[#This Row],[CAJA PAU]])</f>
        <v>1</v>
      </c>
      <c r="BW49" s="3">
        <f>+IF(AVANCE[[#This Row],[INSTALACION VINILICO]]=AJ$2,100%,AVANCE[[#This Row],[INSTALACION VINILICO]])</f>
        <v>1</v>
      </c>
      <c r="BX49" s="3">
        <f>+IF(AVANCE[[#This Row],[OSB CUBIERTA]]=AK$2,100%,AVANCE[[#This Row],[OSB CUBIERTA]])</f>
        <v>1</v>
      </c>
      <c r="BY49" s="3">
        <f>+IF(AVANCE[[#This Row],[BARANDA BALCON]]=AL$2,100%,AVANCE[[#This Row],[BARANDA BALCON]])</f>
        <v>1</v>
      </c>
      <c r="BZ49" s="3">
        <f>+IF(AVANCE[[#This Row],[OSB EXTERIOR]]=AM$2,100%,AVANCE[[#This Row],[OSB EXTERIOR]])</f>
        <v>1</v>
      </c>
      <c r="CA49" s="3">
        <f>+IF(AVANCE[[#This Row],[SMART PANEL]]=AN$2,100%,AVANCE[[#This Row],[SMART PANEL]])</f>
        <v>1</v>
      </c>
      <c r="CB49" s="3">
        <f>+IF(AVANCE[[#This Row],[PINTURA EXTERIOR]]=AO$2,100%,AVANCE[[#This Row],[PINTURA EXTERIOR]])</f>
        <v>1</v>
      </c>
      <c r="CC49" s="3">
        <f>+IF(AVANCE[[#This Row],[ZOCALOS LOGIA]]=AP$2,100%,AVANCE[[#This Row],[ZOCALOS LOGIA]])</f>
        <v>1</v>
      </c>
      <c r="CD49" s="3">
        <f>+IF(AVANCE[[#This Row],[MOLDURAS]]=AQ$2,100%,AVANCE[[#This Row],[MOLDURAS]])</f>
        <v>0</v>
      </c>
      <c r="CE49" s="3">
        <f>+IF(AVANCE[[#This Row],[PILASTREO]]=AR$2,100%,AVANCE[[#This Row],[PILASTREO]])</f>
        <v>0</v>
      </c>
      <c r="CF49" s="3">
        <f>+IF(AVANCE[[#This Row],[CELOSIAS]]=AS$2,100%,AVANCE[[#This Row],[CELOSIAS]])</f>
        <v>1</v>
      </c>
      <c r="CG49" s="3">
        <f>+IF(AVANCE[[#This Row],[VENTANAS]]=AT$2,100%,AVANCE[[#This Row],[VENTANAS]])</f>
        <v>1</v>
      </c>
      <c r="CH49" s="3">
        <f>+IF(AVANCE[[#This Row],[PUERTAS ACCESO - LOGIA - BANO]]=AU$2,100%,AVANCE[[#This Row],[PUERTAS ACCESO - LOGIA - BANO]])</f>
        <v>1</v>
      </c>
      <c r="CI49" s="3">
        <f>+IF(AVANCE[[#This Row],[CERRADURAS]]=AV$2,100%,AVANCE[[#This Row],[CERRADURAS]])</f>
        <v>1</v>
      </c>
      <c r="CJ49" s="3">
        <f>+IF(AVANCE[[#This Row],[REVESTIMIENTO INTERIOR ZONA SECA]]=AW$2,100%,AVANCE[[#This Row],[REVESTIMIENTO INTERIOR ZONA SECA]])</f>
        <v>1</v>
      </c>
      <c r="CK49" s="3">
        <f>+IF(AVANCE[[#This Row],[REVESTIMIENTO INTERIOR ZONAS HUMEDAS]]=AX$2,100%,AVANCE[[#This Row],[REVESTIMIENTO INTERIOR ZONAS HUMEDAS]])</f>
        <v>1</v>
      </c>
      <c r="CL49" s="3">
        <f>+IF(AVANCE[[#This Row],[MEMBRANA CIELO]]=AY$2,100%,AVANCE[[#This Row],[MEMBRANA CIELO]])</f>
        <v>1</v>
      </c>
      <c r="CM49" s="3">
        <f>+IF(AVANCE[[#This Row],[LIMPIEZA FINAL]]=AZ$2,100%,AVANCE[[#This Row],[LIMPIEZA FINAL]])</f>
        <v>0</v>
      </c>
      <c r="CN49" s="3">
        <f>+IF(AVANCE[[#This Row],[PUERTAS DORMITORIO]]=BA$2,100%,AVANCE[[#This Row],[PUERTAS DORMITORIO]])</f>
        <v>1</v>
      </c>
      <c r="CO49" s="3">
        <f>+IF(AVANCE[[#This Row],[REVESTIMIENTO INTERIOR BANO]]=BB$2,100%,AVANCE[[#This Row],[REVESTIMIENTO INTERIOR BANO]])</f>
        <v>1</v>
      </c>
      <c r="CP49" s="3">
        <f>+IF(AVANCE[[#This Row],[MUEBLE LAVAPLATOS]]=BC$2,100%,AVANCE[[#This Row],[MUEBLE LAVAPLATOS]])</f>
        <v>1</v>
      </c>
      <c r="CQ49" s="3">
        <f>+IF(AVANCE[[#This Row],[IMPERMEABILIZACION BANO - COCINA LOGIA]]=BD$2,100%,AVANCE[[#This Row],[IMPERMEABILIZACION BANO - COCINA LOGIA]])</f>
        <v>1</v>
      </c>
      <c r="CR49" s="40">
        <f ca="1">+IF(AVANCE[[#This Row],[ESTADO MODULO]]="PENDIENTE",(TODAY()-AVANCE[[#This Row],[FECHA TERMINO  PLANIFICADO]]),0)</f>
        <v>13</v>
      </c>
      <c r="CS49" s="42" t="str" cm="1">
        <f t="array" ref="CS49">_xlfn.TEXTJOIN(" | ",TRUE,IF(SUMPRODUCT((BF49:CQ49&lt;1)*(PARTIDAS!$I$2:$AT$2="OBRA GRUESA"))&gt;0,"OBRA GRUESA: "&amp;_xlfn.TEXTJOIN(", ",TRUE,IF((BF49:CQ49&lt;1)*(PARTIDAS!$I$2:$AT$2="OBRA GRUESA"),PARTIDAS!$I$1:$AT$1,"")),""),IF(SUMPRODUCT((BF49:CQ49&lt;1)*(PARTIDAS!$I$2:$AT$2="SANITARIOS"))&gt;0,"SANITARIOS: "&amp;_xlfn.TEXTJOIN(", ",TRUE,IF((BF49:CQ49&lt;1)*(PARTIDAS!$I$2:$AT$2="SANITARIOS"),PARTIDAS!$I$1:$AT$1,"")),""),IF(SUMPRODUCT((BF49:CQ49&lt;1)*(PARTIDAS!$I$2:$AT$2="ELÉCTRICO"))&gt;0,"ELÉCTRICO: "&amp;_xlfn.TEXTJOIN(", ",TRUE,IF((BF49:CQ49&lt;1)*(PARTIDAS!$I$2:$AT$2="ELÉCTRICO"),PARTIDAS!$I$1:$AT$1,"")),""),IF(SUMPRODUCT((BF49:CQ49&lt;1)*(PARTIDAS!$I$2:$AT$2="TERMINACIONES"))&gt;0,"TERMINACIONES: "&amp;_xlfn.TEXTJOIN(", ",TRUE,IF((BF49:CQ49&lt;1)*(PARTIDAS!$I$2:$AT$2="TERMINACIONES"),PARTIDAS!$I$1:$AT$1,"")),""))</f>
        <v>ELÉCTRICO: ARTEFACTOS | TERMINACIONES: MOLDURAS, PILASTREO, LIMPIEZA FINAL</v>
      </c>
      <c r="CT49" s="45" t="str" cm="1">
        <f t="array" ref="CT49">_xlfn.TEXTJOIN(", ",TRUE,IF(SUMPRODUCT((BF49:CQ49&lt;1)*(PARTIDAS!$I$2:$AT$2="OBRA GRUESA"))&gt;0,"OBRA GRUESA",""),IF(SUMPRODUCT((BF49:CQ49&lt;1)*(PARTIDAS!$I$2:$AT$2="SANITARIOS"))&gt;0,"SANITARIOS",""),IF(SUMPRODUCT((BF49:CQ49&lt;1)*(PARTIDAS!$I$2:$AT$2="ELÉCTRICO"))&gt;0,"ELÉCTRICO",""),IF(SUMPRODUCT((BF49:CQ49&lt;1)*(PARTIDAS!$I$2:$AT$2="TERMINACIONES"))&gt;0,"TERMINACIONES",""))</f>
        <v>ELÉCTRICO, TERMINACIONES</v>
      </c>
      <c r="CU49" s="46" cm="1">
        <f t="array" ref="CU49">SUMPRODUCT(--(BF49:CQ49&lt;1))</f>
        <v>4</v>
      </c>
    </row>
    <row r="50" spans="1:99" x14ac:dyDescent="0.25">
      <c r="A50" t="s">
        <v>91</v>
      </c>
      <c r="B50" t="s">
        <v>108</v>
      </c>
      <c r="C50">
        <v>2282600049</v>
      </c>
      <c r="D50" t="s">
        <v>58</v>
      </c>
      <c r="E50" s="2">
        <v>0.88499999999999979</v>
      </c>
      <c r="F50" s="1">
        <v>46134</v>
      </c>
      <c r="G50" s="1">
        <v>46134</v>
      </c>
      <c r="H50" s="1">
        <v>46174</v>
      </c>
      <c r="I50" s="1">
        <v>46169</v>
      </c>
      <c r="J50">
        <v>7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0.29499999999999987</v>
      </c>
      <c r="AI50" s="3">
        <v>0.79729729729729704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0</v>
      </c>
      <c r="AP50" s="3">
        <v>5.4054054054054036E-2</v>
      </c>
      <c r="AQ50" s="3">
        <v>0</v>
      </c>
      <c r="AR50" s="3">
        <v>0</v>
      </c>
      <c r="AS50" s="3">
        <v>0</v>
      </c>
      <c r="AT50" s="3">
        <v>8.1081081081081058E-2</v>
      </c>
      <c r="AU50" s="3">
        <v>5.4054054054054036E-2</v>
      </c>
      <c r="AV50" s="3">
        <v>0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 s="3" t="str">
        <f>+IF(AVANCE[[#This Row],[% AVANCE]]=100%,"MODULO TERMINADO",IF(AVANCE[[#This Row],[FECHA INICIO REAL]]="","MODULO NO INICIADO","PENDIENTE"))</f>
        <v>PENDIENTE</v>
      </c>
      <c r="BF50" s="3">
        <f>+IF(AVANCE[[#This Row],[VENTANAS]]=8.10810810810811%,100%,AVANCE[[#This Row],[VENTANAS]])</f>
        <v>1</v>
      </c>
      <c r="BG50" s="3">
        <f>+IF(AVANCE[[#This Row],[PISO]]=N$2,100%,AVANCE[[#This Row],[PISO]])</f>
        <v>1</v>
      </c>
      <c r="BH50" s="3">
        <f>+IF(AVANCE[[#This Row],[TABIQUES]]=O$2,100%,AVANCE[[#This Row],[TABIQUES]])</f>
        <v>1</v>
      </c>
      <c r="BI50" s="3">
        <f>+IF(AVANCE[[#This Row],[MUROS]]=P$2,100%,AVANCE[[#This Row],[MUROS]])</f>
        <v>1</v>
      </c>
      <c r="BJ50" s="3">
        <f>+IF(AVANCE[[#This Row],[CIELO]]=Q$2,100%,AVANCE[[#This Row],[CIELO]])</f>
        <v>1</v>
      </c>
      <c r="BK50" s="3">
        <f>+IF(AVANCE[[#This Row],[BALCÓN]]=R$2,100%,AVANCE[[#This Row],[BALCÓN]])</f>
        <v>1</v>
      </c>
      <c r="BL50" s="3">
        <f>+IF(AVANCE[[#This Row],[RED ALCANTARILLADO]]=U$2,100%,AVANCE[[#This Row],[RED ALCANTARILLADO]])</f>
        <v>1</v>
      </c>
      <c r="BM50" s="3">
        <f>+IF(AVANCE[[#This Row],[RED DE AGUA]]=V$2,100%,AVANCE[[#This Row],[RED DE AGUA]])</f>
        <v>1</v>
      </c>
      <c r="BN50" s="3">
        <f>+IF(AVANCE[[#This Row],[VENTILACIONES]]=W$2,100%,AVANCE[[#This Row],[VENTILACIONES]])</f>
        <v>1</v>
      </c>
      <c r="BO50" s="3">
        <f>+IF(AVANCE[[#This Row],[TINA]]=X$2,100%,AVANCE[[#This Row],[TINA]])</f>
        <v>1</v>
      </c>
      <c r="BP50" s="3">
        <f>+IF(AVANCE[[#This Row],[WC]]=Y$2,100%,AVANCE[[#This Row],[WC]])</f>
        <v>1</v>
      </c>
      <c r="BQ50" s="3">
        <f>+IF(AVANCE[[#This Row],[LAVAMANOS / LAVAPLATOS / LAVADERO]]=Z$2,100%,AVANCE[[#This Row],[LAVAMANOS / LAVAPLATOS / LAVADERO]])</f>
        <v>1</v>
      </c>
      <c r="BR50" s="3">
        <f>+IF(AVANCE[[#This Row],[CANALIZACIÓN]]=AC$2,100%,AVANCE[[#This Row],[CANALIZACIÓN]])</f>
        <v>1</v>
      </c>
      <c r="BS50" s="3">
        <f>+IF(AVANCE[[#This Row],[CABLEADO]]=AD$2,100%,AVANCE[[#This Row],[CABLEADO]])</f>
        <v>0</v>
      </c>
      <c r="BT50" s="3">
        <f>+IF(AVANCE[[#This Row],[ARTEFACTOS]]=AE$2,100%,AVANCE[[#This Row],[ARTEFACTOS]])</f>
        <v>0</v>
      </c>
      <c r="BU50" s="3">
        <f>+IF(AVANCE[[#This Row],[TABLERO]]=AF$2,100%,AVANCE[[#This Row],[TABLERO]])</f>
        <v>1</v>
      </c>
      <c r="BV50" s="3">
        <f>+IF(AVANCE[[#This Row],[CAJA PAU]]=AG$2,100%,AVANCE[[#This Row],[CAJA PAU]])</f>
        <v>1</v>
      </c>
      <c r="BW50" s="3">
        <f>+IF(AVANCE[[#This Row],[INSTALACION VINILICO]]=AJ$2,100%,AVANCE[[#This Row],[INSTALACION VINILICO]])</f>
        <v>1</v>
      </c>
      <c r="BX50" s="3">
        <f>+IF(AVANCE[[#This Row],[OSB CUBIERTA]]=AK$2,100%,AVANCE[[#This Row],[OSB CUBIERTA]])</f>
        <v>1</v>
      </c>
      <c r="BY50" s="3">
        <f>+IF(AVANCE[[#This Row],[BARANDA BALCON]]=AL$2,100%,AVANCE[[#This Row],[BARANDA BALCON]])</f>
        <v>1</v>
      </c>
      <c r="BZ50" s="3">
        <f>+IF(AVANCE[[#This Row],[OSB EXTERIOR]]=AM$2,100%,AVANCE[[#This Row],[OSB EXTERIOR]])</f>
        <v>1</v>
      </c>
      <c r="CA50" s="3">
        <f>+IF(AVANCE[[#This Row],[SMART PANEL]]=AN$2,100%,AVANCE[[#This Row],[SMART PANEL]])</f>
        <v>1</v>
      </c>
      <c r="CB50" s="3">
        <f>+IF(AVANCE[[#This Row],[PINTURA EXTERIOR]]=AO$2,100%,AVANCE[[#This Row],[PINTURA EXTERIOR]])</f>
        <v>0</v>
      </c>
      <c r="CC50" s="3">
        <f>+IF(AVANCE[[#This Row],[ZOCALOS LOGIA]]=AP$2,100%,AVANCE[[#This Row],[ZOCALOS LOGIA]])</f>
        <v>1</v>
      </c>
      <c r="CD50" s="3">
        <f>+IF(AVANCE[[#This Row],[MOLDURAS]]=AQ$2,100%,AVANCE[[#This Row],[MOLDURAS]])</f>
        <v>0</v>
      </c>
      <c r="CE50" s="3">
        <f>+IF(AVANCE[[#This Row],[PILASTREO]]=AR$2,100%,AVANCE[[#This Row],[PILASTREO]])</f>
        <v>0</v>
      </c>
      <c r="CF50" s="3">
        <f>+IF(AVANCE[[#This Row],[CELOSIAS]]=AS$2,100%,AVANCE[[#This Row],[CELOSIAS]])</f>
        <v>0</v>
      </c>
      <c r="CG50" s="3">
        <f>+IF(AVANCE[[#This Row],[VENTANAS]]=AT$2,100%,AVANCE[[#This Row],[VENTANAS]])</f>
        <v>1</v>
      </c>
      <c r="CH50" s="3">
        <f>+IF(AVANCE[[#This Row],[PUERTAS ACCESO - LOGIA - BANO]]=AU$2,100%,AVANCE[[#This Row],[PUERTAS ACCESO - LOGIA - BANO]])</f>
        <v>1</v>
      </c>
      <c r="CI50" s="3">
        <f>+IF(AVANCE[[#This Row],[CERRADURAS]]=AV$2,100%,AVANCE[[#This Row],[CERRADURAS]])</f>
        <v>0</v>
      </c>
      <c r="CJ50" s="3">
        <f>+IF(AVANCE[[#This Row],[REVESTIMIENTO INTERIOR ZONA SECA]]=AW$2,100%,AVANCE[[#This Row],[REVESTIMIENTO INTERIOR ZONA SECA]])</f>
        <v>1</v>
      </c>
      <c r="CK50" s="3">
        <f>+IF(AVANCE[[#This Row],[REVESTIMIENTO INTERIOR ZONAS HUMEDAS]]=AX$2,100%,AVANCE[[#This Row],[REVESTIMIENTO INTERIOR ZONAS HUMEDAS]])</f>
        <v>1</v>
      </c>
      <c r="CL50" s="3">
        <f>+IF(AVANCE[[#This Row],[MEMBRANA CIELO]]=AY$2,100%,AVANCE[[#This Row],[MEMBRANA CIELO]])</f>
        <v>1</v>
      </c>
      <c r="CM50" s="3">
        <f>+IF(AVANCE[[#This Row],[LIMPIEZA FINAL]]=AZ$2,100%,AVANCE[[#This Row],[LIMPIEZA FINAL]])</f>
        <v>0</v>
      </c>
      <c r="CN50" s="3">
        <f>+IF(AVANCE[[#This Row],[PUERTAS DORMITORIO]]=BA$2,100%,AVANCE[[#This Row],[PUERTAS DORMITORIO]])</f>
        <v>1</v>
      </c>
      <c r="CO50" s="3">
        <f>+IF(AVANCE[[#This Row],[REVESTIMIENTO INTERIOR BANO]]=BB$2,100%,AVANCE[[#This Row],[REVESTIMIENTO INTERIOR BANO]])</f>
        <v>1</v>
      </c>
      <c r="CP50" s="3">
        <f>+IF(AVANCE[[#This Row],[MUEBLE LAVAPLATOS]]=BC$2,100%,AVANCE[[#This Row],[MUEBLE LAVAPLATOS]])</f>
        <v>1</v>
      </c>
      <c r="CQ50" s="3">
        <f>+IF(AVANCE[[#This Row],[IMPERMEABILIZACION BANO - COCINA LOGIA]]=BD$2,100%,AVANCE[[#This Row],[IMPERMEABILIZACION BANO - COCINA LOGIA]])</f>
        <v>1</v>
      </c>
      <c r="CR50" s="40">
        <f ca="1">+IF(AVANCE[[#This Row],[ESTADO MODULO]]="PENDIENTE",(TODAY()-AVANCE[[#This Row],[FECHA TERMINO  PLANIFICADO]]),0)</f>
        <v>12</v>
      </c>
      <c r="CS50" s="42" t="str" cm="1">
        <f t="array" ref="CS50">_xlfn.TEXTJOIN(" | ",TRUE,IF(SUMPRODUCT((BF50:CQ50&lt;1)*(PARTIDAS!$I$2:$AT$2="OBRA GRUESA"))&gt;0,"OBRA GRUESA: "&amp;_xlfn.TEXTJOIN(", ",TRUE,IF((BF50:CQ50&lt;1)*(PARTIDAS!$I$2:$AT$2="OBRA GRUESA"),PARTIDAS!$I$1:$AT$1,"")),""),IF(SUMPRODUCT((BF50:CQ50&lt;1)*(PARTIDAS!$I$2:$AT$2="SANITARIOS"))&gt;0,"SANITARIOS: "&amp;_xlfn.TEXTJOIN(", ",TRUE,IF((BF50:CQ50&lt;1)*(PARTIDAS!$I$2:$AT$2="SANITARIOS"),PARTIDAS!$I$1:$AT$1,"")),""),IF(SUMPRODUCT((BF50:CQ50&lt;1)*(PARTIDAS!$I$2:$AT$2="ELÉCTRICO"))&gt;0,"ELÉCTRICO: "&amp;_xlfn.TEXTJOIN(", ",TRUE,IF((BF50:CQ50&lt;1)*(PARTIDAS!$I$2:$AT$2="ELÉCTRICO"),PARTIDAS!$I$1:$AT$1,"")),""),IF(SUMPRODUCT((BF50:CQ50&lt;1)*(PARTIDAS!$I$2:$AT$2="TERMINACIONES"))&gt;0,"TERMINACIONES: "&amp;_xlfn.TEXTJOIN(", ",TRUE,IF((BF50:CQ50&lt;1)*(PARTIDAS!$I$2:$AT$2="TERMINACIONES"),PARTIDAS!$I$1:$AT$1,"")),""))</f>
        <v>ELÉCTRICO: CABLEADO, ARTEFACTOS | TERMINACIONES: PINTURA EXTERIOR, MOLDURAS, PILASTREO, CELOSIAS, CERRADURAS, LIMPIEZA FINAL</v>
      </c>
      <c r="CT50" s="45" t="str" cm="1">
        <f t="array" ref="CT50">_xlfn.TEXTJOIN(", ",TRUE,IF(SUMPRODUCT((BF50:CQ50&lt;1)*(PARTIDAS!$I$2:$AT$2="OBRA GRUESA"))&gt;0,"OBRA GRUESA",""),IF(SUMPRODUCT((BF50:CQ50&lt;1)*(PARTIDAS!$I$2:$AT$2="SANITARIOS"))&gt;0,"SANITARIOS",""),IF(SUMPRODUCT((BF50:CQ50&lt;1)*(PARTIDAS!$I$2:$AT$2="ELÉCTRICO"))&gt;0,"ELÉCTRICO",""),IF(SUMPRODUCT((BF50:CQ50&lt;1)*(PARTIDAS!$I$2:$AT$2="TERMINACIONES"))&gt;0,"TERMINACIONES",""))</f>
        <v>ELÉCTRICO, TERMINACIONES</v>
      </c>
      <c r="CU50" s="46" cm="1">
        <f t="array" ref="CU50">SUMPRODUCT(--(BF50:CQ50&lt;1))</f>
        <v>8</v>
      </c>
    </row>
    <row r="51" spans="1:99" x14ac:dyDescent="0.25">
      <c r="A51" t="s">
        <v>91</v>
      </c>
      <c r="B51" t="s">
        <v>109</v>
      </c>
      <c r="C51">
        <v>2302600050</v>
      </c>
      <c r="D51" t="s">
        <v>60</v>
      </c>
      <c r="E51" s="2">
        <v>0.73999999999999988</v>
      </c>
      <c r="F51" s="1">
        <v>46136</v>
      </c>
      <c r="G51" s="1">
        <v>46136</v>
      </c>
      <c r="H51" s="1">
        <v>46171</v>
      </c>
      <c r="I51" s="1">
        <v>46169</v>
      </c>
      <c r="J51">
        <v>10</v>
      </c>
      <c r="K51" s="1"/>
      <c r="L51" s="3">
        <v>0.38999999999999996</v>
      </c>
      <c r="M51" s="3">
        <v>0.90697674418604646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0</v>
      </c>
      <c r="S51" s="3">
        <v>0.08</v>
      </c>
      <c r="T51" s="3">
        <v>0.88888888888888895</v>
      </c>
      <c r="U51" s="3">
        <v>0.22222222222222221</v>
      </c>
      <c r="V51" s="3">
        <v>0.22222222222222221</v>
      </c>
      <c r="W51" s="3">
        <v>0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0.23999999999999988</v>
      </c>
      <c r="AI51" s="3">
        <v>0.64864864864864835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0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 s="3" t="str">
        <f>+IF(AVANCE[[#This Row],[% AVANCE]]=100%,"MODULO TERMINADO",IF(AVANCE[[#This Row],[FECHA INICIO REAL]]="","MODULO NO INICIADO","PENDIENTE"))</f>
        <v>PENDIENTE</v>
      </c>
      <c r="BF51" s="3">
        <f>+IF(AVANCE[[#This Row],[VENTANAS]]=8.10810810810811%,100%,AVANCE[[#This Row],[VENTANAS]])</f>
        <v>1</v>
      </c>
      <c r="BG51" s="3">
        <f>+IF(AVANCE[[#This Row],[PISO]]=N$2,100%,AVANCE[[#This Row],[PISO]])</f>
        <v>1</v>
      </c>
      <c r="BH51" s="3">
        <f>+IF(AVANCE[[#This Row],[TABIQUES]]=O$2,100%,AVANCE[[#This Row],[TABIQUES]])</f>
        <v>1</v>
      </c>
      <c r="BI51" s="3">
        <f>+IF(AVANCE[[#This Row],[MUROS]]=P$2,100%,AVANCE[[#This Row],[MUROS]])</f>
        <v>1</v>
      </c>
      <c r="BJ51" s="3">
        <f>+IF(AVANCE[[#This Row],[CIELO]]=Q$2,100%,AVANCE[[#This Row],[CIELO]])</f>
        <v>1</v>
      </c>
      <c r="BK51" s="3">
        <f>+IF(AVANCE[[#This Row],[BALCÓN]]=R$2,100%,AVANCE[[#This Row],[BALCÓN]])</f>
        <v>0</v>
      </c>
      <c r="BL51" s="3">
        <f>+IF(AVANCE[[#This Row],[RED ALCANTARILLADO]]=U$2,100%,AVANCE[[#This Row],[RED ALCANTARILLADO]])</f>
        <v>1</v>
      </c>
      <c r="BM51" s="3">
        <f>+IF(AVANCE[[#This Row],[RED DE AGUA]]=V$2,100%,AVANCE[[#This Row],[RED DE AGUA]])</f>
        <v>1</v>
      </c>
      <c r="BN51" s="3">
        <f>+IF(AVANCE[[#This Row],[VENTILACIONES]]=W$2,100%,AVANCE[[#This Row],[VENTILACIONES]])</f>
        <v>0</v>
      </c>
      <c r="BO51" s="3">
        <f>+IF(AVANCE[[#This Row],[TINA]]=X$2,100%,AVANCE[[#This Row],[TINA]])</f>
        <v>1</v>
      </c>
      <c r="BP51" s="3">
        <f>+IF(AVANCE[[#This Row],[WC]]=Y$2,100%,AVANCE[[#This Row],[WC]])</f>
        <v>1</v>
      </c>
      <c r="BQ51" s="3">
        <f>+IF(AVANCE[[#This Row],[LAVAMANOS / LAVAPLATOS / LAVADERO]]=Z$2,100%,AVANCE[[#This Row],[LAVAMANOS / LAVAPLATOS / LAVADERO]])</f>
        <v>1</v>
      </c>
      <c r="BR51" s="3">
        <f>+IF(AVANCE[[#This Row],[CANALIZACIÓN]]=AC$2,100%,AVANCE[[#This Row],[CANALIZACIÓN]])</f>
        <v>1</v>
      </c>
      <c r="BS51" s="3">
        <f>+IF(AVANCE[[#This Row],[CABLEADO]]=AD$2,100%,AVANCE[[#This Row],[CABLEADO]])</f>
        <v>0</v>
      </c>
      <c r="BT51" s="3">
        <f>+IF(AVANCE[[#This Row],[ARTEFACTOS]]=AE$2,100%,AVANCE[[#This Row],[ARTEFACTOS]])</f>
        <v>0</v>
      </c>
      <c r="BU51" s="3">
        <f>+IF(AVANCE[[#This Row],[TABLERO]]=AF$2,100%,AVANCE[[#This Row],[TABLERO]])</f>
        <v>0</v>
      </c>
      <c r="BV51" s="3">
        <f>+IF(AVANCE[[#This Row],[CAJA PAU]]=AG$2,100%,AVANCE[[#This Row],[CAJA PAU]])</f>
        <v>0</v>
      </c>
      <c r="BW51" s="3">
        <f>+IF(AVANCE[[#This Row],[INSTALACION VINILICO]]=AJ$2,100%,AVANCE[[#This Row],[INSTALACION VINILICO]])</f>
        <v>1</v>
      </c>
      <c r="BX51" s="3">
        <f>+IF(AVANCE[[#This Row],[OSB CUBIERTA]]=AK$2,100%,AVANCE[[#This Row],[OSB CUBIERTA]])</f>
        <v>1</v>
      </c>
      <c r="BY51" s="3">
        <f>+IF(AVANCE[[#This Row],[BARANDA BALCON]]=AL$2,100%,AVANCE[[#This Row],[BARANDA BALCON]])</f>
        <v>0</v>
      </c>
      <c r="BZ51" s="3">
        <f>+IF(AVANCE[[#This Row],[OSB EXTERIOR]]=AM$2,100%,AVANCE[[#This Row],[OSB EXTERIOR]])</f>
        <v>1</v>
      </c>
      <c r="CA51" s="3">
        <f>+IF(AVANCE[[#This Row],[SMART PANEL]]=AN$2,100%,AVANCE[[#This Row],[SMART PANEL]])</f>
        <v>1</v>
      </c>
      <c r="CB51" s="3">
        <f>+IF(AVANCE[[#This Row],[PINTURA EXTERIOR]]=AO$2,100%,AVANCE[[#This Row],[PINTURA EXTERIOR]])</f>
        <v>0</v>
      </c>
      <c r="CC51" s="3">
        <f>+IF(AVANCE[[#This Row],[ZOCALOS LOGIA]]=AP$2,100%,AVANCE[[#This Row],[ZOCALOS LOGIA]])</f>
        <v>1</v>
      </c>
      <c r="CD51" s="3">
        <f>+IF(AVANCE[[#This Row],[MOLDURAS]]=AQ$2,100%,AVANCE[[#This Row],[MOLDURAS]])</f>
        <v>0</v>
      </c>
      <c r="CE51" s="3">
        <f>+IF(AVANCE[[#This Row],[PILASTREO]]=AR$2,100%,AVANCE[[#This Row],[PILASTREO]])</f>
        <v>0</v>
      </c>
      <c r="CF51" s="3">
        <f>+IF(AVANCE[[#This Row],[CELOSIAS]]=AS$2,100%,AVANCE[[#This Row],[CELOSIAS]])</f>
        <v>1</v>
      </c>
      <c r="CG51" s="3">
        <f>+IF(AVANCE[[#This Row],[VENTANAS]]=AT$2,100%,AVANCE[[#This Row],[VENTANAS]])</f>
        <v>1</v>
      </c>
      <c r="CH51" s="3">
        <f>+IF(AVANCE[[#This Row],[PUERTAS ACCESO - LOGIA - BANO]]=AU$2,100%,AVANCE[[#This Row],[PUERTAS ACCESO - LOGIA - BANO]])</f>
        <v>0</v>
      </c>
      <c r="CI51" s="3">
        <f>+IF(AVANCE[[#This Row],[CERRADURAS]]=AV$2,100%,AVANCE[[#This Row],[CERRADURAS]])</f>
        <v>0</v>
      </c>
      <c r="CJ51" s="3">
        <f>+IF(AVANCE[[#This Row],[REVESTIMIENTO INTERIOR ZONA SECA]]=AW$2,100%,AVANCE[[#This Row],[REVESTIMIENTO INTERIOR ZONA SECA]])</f>
        <v>1</v>
      </c>
      <c r="CK51" s="3">
        <f>+IF(AVANCE[[#This Row],[REVESTIMIENTO INTERIOR ZONAS HUMEDAS]]=AX$2,100%,AVANCE[[#This Row],[REVESTIMIENTO INTERIOR ZONAS HUMEDAS]])</f>
        <v>1</v>
      </c>
      <c r="CL51" s="3">
        <f>+IF(AVANCE[[#This Row],[MEMBRANA CIELO]]=AY$2,100%,AVANCE[[#This Row],[MEMBRANA CIELO]])</f>
        <v>1</v>
      </c>
      <c r="CM51" s="3">
        <f>+IF(AVANCE[[#This Row],[LIMPIEZA FINAL]]=AZ$2,100%,AVANCE[[#This Row],[LIMPIEZA FINAL]])</f>
        <v>0</v>
      </c>
      <c r="CN51" s="3">
        <f>+IF(AVANCE[[#This Row],[PUERTAS DORMITORIO]]=BA$2,100%,AVANCE[[#This Row],[PUERTAS DORMITORIO]])</f>
        <v>1</v>
      </c>
      <c r="CO51" s="3">
        <f>+IF(AVANCE[[#This Row],[REVESTIMIENTO INTERIOR BANO]]=BB$2,100%,AVANCE[[#This Row],[REVESTIMIENTO INTERIOR BANO]])</f>
        <v>0</v>
      </c>
      <c r="CP51" s="3">
        <f>+IF(AVANCE[[#This Row],[MUEBLE LAVAPLATOS]]=BC$2,100%,AVANCE[[#This Row],[MUEBLE LAVAPLATOS]])</f>
        <v>1</v>
      </c>
      <c r="CQ51" s="3">
        <f>+IF(AVANCE[[#This Row],[IMPERMEABILIZACION BANO - COCINA LOGIA]]=BD$2,100%,AVANCE[[#This Row],[IMPERMEABILIZACION BANO - COCINA LOGIA]])</f>
        <v>1</v>
      </c>
      <c r="CR51" s="40">
        <f ca="1">+IF(AVANCE[[#This Row],[ESTADO MODULO]]="PENDIENTE",(TODAY()-AVANCE[[#This Row],[FECHA TERMINO  PLANIFICADO]]),0)</f>
        <v>12</v>
      </c>
      <c r="CS51" s="42" t="str" cm="1">
        <f t="array" ref="CS51">_xlfn.TEXTJOIN(" | ",TRUE,IF(SUMPRODUCT((BF51:CQ51&lt;1)*(PARTIDAS!$I$2:$AT$2="OBRA GRUESA"))&gt;0,"OBRA GRUESA: "&amp;_xlfn.TEXTJOIN(", ",TRUE,IF((BF51:CQ51&lt;1)*(PARTIDAS!$I$2:$AT$2="OBRA GRUESA"),PARTIDAS!$I$1:$AT$1,"")),""),IF(SUMPRODUCT((BF51:CQ51&lt;1)*(PARTIDAS!$I$2:$AT$2="SANITARIOS"))&gt;0,"SANITARIOS: "&amp;_xlfn.TEXTJOIN(", ",TRUE,IF((BF51:CQ51&lt;1)*(PARTIDAS!$I$2:$AT$2="SANITARIOS"),PARTIDAS!$I$1:$AT$1,"")),""),IF(SUMPRODUCT((BF51:CQ51&lt;1)*(PARTIDAS!$I$2:$AT$2="ELÉCTRICO"))&gt;0,"ELÉCTRICO: "&amp;_xlfn.TEXTJOIN(", ",TRUE,IF((BF51:CQ51&lt;1)*(PARTIDAS!$I$2:$AT$2="ELÉCTRICO"),PARTIDAS!$I$1:$AT$1,"")),""),IF(SUMPRODUCT((BF51:CQ51&lt;1)*(PARTIDAS!$I$2:$AT$2="TERMINACIONES"))&gt;0,"TERMINACIONES: "&amp;_xlfn.TEXTJOIN(", ",TRUE,IF((BF51:CQ51&lt;1)*(PARTIDAS!$I$2:$AT$2="TERMINACIONES"),PARTIDAS!$I$1:$AT$1,"")),""))</f>
        <v>OBRA GRUESA: BALCÓN | SANITARIOS: VENTILACIONES | ELÉCTRICO: CABLEADO, ARTEFACTOS, TABLERO, CAJA PAU | TERMINACIONES: BARANDA BALCON, PINTURA EXTERIOR, MOLDURAS, PILASTREO, PUERTAS ACCESO - LOGIA - BANO, CERRADURAS, LIMPIEZA FINAL, REVESTIMIENTO INTERIOR BANO</v>
      </c>
      <c r="CT51" s="45" t="str" cm="1">
        <f t="array" ref="CT51">_xlfn.TEXTJOIN(", ",TRUE,IF(SUMPRODUCT((BF51:CQ51&lt;1)*(PARTIDAS!$I$2:$AT$2="OBRA GRUESA"))&gt;0,"OBRA GRUESA",""),IF(SUMPRODUCT((BF51:CQ51&lt;1)*(PARTIDAS!$I$2:$AT$2="SANITARIOS"))&gt;0,"SANITARIOS",""),IF(SUMPRODUCT((BF51:CQ51&lt;1)*(PARTIDAS!$I$2:$AT$2="ELÉCTRICO"))&gt;0,"ELÉCTRICO",""),IF(SUMPRODUCT((BF51:CQ51&lt;1)*(PARTIDAS!$I$2:$AT$2="TERMINACIONES"))&gt;0,"TERMINACIONES",""))</f>
        <v>OBRA GRUESA, SANITARIOS, ELÉCTRICO, TERMINACIONES</v>
      </c>
      <c r="CU51" s="46" cm="1">
        <f t="array" ref="CU51">SUMPRODUCT(--(BF51:CQ51&lt;1))</f>
        <v>14</v>
      </c>
    </row>
    <row r="52" spans="1:99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5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 s="3" t="str">
        <f>+IF(AVANCE[[#This Row],[% AVANCE]]=100%,"MODULO TERMINADO",IF(AVANCE[[#This Row],[FECHA INICIO REAL]]="","MODULO NO INICIADO","PENDIENTE"))</f>
        <v>PENDIENTE</v>
      </c>
      <c r="BF52" s="3">
        <f>+IF(AVANCE[[#This Row],[VENTANAS]]=8.10810810810811%,100%,AVANCE[[#This Row],[VENTANAS]])</f>
        <v>1</v>
      </c>
      <c r="BG52" s="3">
        <f>+IF(AVANCE[[#This Row],[PISO]]=N$2,100%,AVANCE[[#This Row],[PISO]])</f>
        <v>1</v>
      </c>
      <c r="BH52" s="3">
        <f>+IF(AVANCE[[#This Row],[TABIQUES]]=O$2,100%,AVANCE[[#This Row],[TABIQUES]])</f>
        <v>1</v>
      </c>
      <c r="BI52" s="3">
        <f>+IF(AVANCE[[#This Row],[MUROS]]=P$2,100%,AVANCE[[#This Row],[MUROS]])</f>
        <v>1</v>
      </c>
      <c r="BJ52" s="3">
        <f>+IF(AVANCE[[#This Row],[CIELO]]=Q$2,100%,AVANCE[[#This Row],[CIELO]])</f>
        <v>1</v>
      </c>
      <c r="BK52" s="3">
        <f>+IF(AVANCE[[#This Row],[BALCÓN]]=R$2,100%,AVANCE[[#This Row],[BALCÓN]])</f>
        <v>1</v>
      </c>
      <c r="BL52" s="3">
        <f>+IF(AVANCE[[#This Row],[RED ALCANTARILLADO]]=U$2,100%,AVANCE[[#This Row],[RED ALCANTARILLADO]])</f>
        <v>1</v>
      </c>
      <c r="BM52" s="3">
        <f>+IF(AVANCE[[#This Row],[RED DE AGUA]]=V$2,100%,AVANCE[[#This Row],[RED DE AGUA]])</f>
        <v>1</v>
      </c>
      <c r="BN52" s="3">
        <f>+IF(AVANCE[[#This Row],[VENTILACIONES]]=W$2,100%,AVANCE[[#This Row],[VENTILACIONES]])</f>
        <v>0</v>
      </c>
      <c r="BO52" s="3">
        <f>+IF(AVANCE[[#This Row],[TINA]]=X$2,100%,AVANCE[[#This Row],[TINA]])</f>
        <v>1</v>
      </c>
      <c r="BP52" s="3">
        <f>+IF(AVANCE[[#This Row],[WC]]=Y$2,100%,AVANCE[[#This Row],[WC]])</f>
        <v>1</v>
      </c>
      <c r="BQ52" s="3">
        <f>+IF(AVANCE[[#This Row],[LAVAMANOS / LAVAPLATOS / LAVADERO]]=Z$2,100%,AVANCE[[#This Row],[LAVAMANOS / LAVAPLATOS / LAVADERO]])</f>
        <v>1</v>
      </c>
      <c r="BR52" s="3">
        <f>+IF(AVANCE[[#This Row],[CANALIZACIÓN]]=AC$2,100%,AVANCE[[#This Row],[CANALIZACIÓN]])</f>
        <v>1</v>
      </c>
      <c r="BS52" s="3">
        <f>+IF(AVANCE[[#This Row],[CABLEADO]]=AD$2,100%,AVANCE[[#This Row],[CABLEADO]])</f>
        <v>1</v>
      </c>
      <c r="BT52" s="3">
        <f>+IF(AVANCE[[#This Row],[ARTEFACTOS]]=AE$2,100%,AVANCE[[#This Row],[ARTEFACTOS]])</f>
        <v>0</v>
      </c>
      <c r="BU52" s="3">
        <f>+IF(AVANCE[[#This Row],[TABLERO]]=AF$2,100%,AVANCE[[#This Row],[TABLERO]])</f>
        <v>0</v>
      </c>
      <c r="BV52" s="3">
        <f>+IF(AVANCE[[#This Row],[CAJA PAU]]=AG$2,100%,AVANCE[[#This Row],[CAJA PAU]])</f>
        <v>0</v>
      </c>
      <c r="BW52" s="3">
        <f>+IF(AVANCE[[#This Row],[INSTALACION VINILICO]]=AJ$2,100%,AVANCE[[#This Row],[INSTALACION VINILICO]])</f>
        <v>1</v>
      </c>
      <c r="BX52" s="3">
        <f>+IF(AVANCE[[#This Row],[OSB CUBIERTA]]=AK$2,100%,AVANCE[[#This Row],[OSB CUBIERTA]])</f>
        <v>1</v>
      </c>
      <c r="BY52" s="3">
        <f>+IF(AVANCE[[#This Row],[BARANDA BALCON]]=AL$2,100%,AVANCE[[#This Row],[BARANDA BALCON]])</f>
        <v>0</v>
      </c>
      <c r="BZ52" s="3">
        <f>+IF(AVANCE[[#This Row],[OSB EXTERIOR]]=AM$2,100%,AVANCE[[#This Row],[OSB EXTERIOR]])</f>
        <v>1</v>
      </c>
      <c r="CA52" s="3">
        <f>+IF(AVANCE[[#This Row],[SMART PANEL]]=AN$2,100%,AVANCE[[#This Row],[SMART PANEL]])</f>
        <v>1</v>
      </c>
      <c r="CB52" s="3">
        <f>+IF(AVANCE[[#This Row],[PINTURA EXTERIOR]]=AO$2,100%,AVANCE[[#This Row],[PINTURA EXTERIOR]])</f>
        <v>1</v>
      </c>
      <c r="CC52" s="3">
        <f>+IF(AVANCE[[#This Row],[ZOCALOS LOGIA]]=AP$2,100%,AVANCE[[#This Row],[ZOCALOS LOGIA]])</f>
        <v>1</v>
      </c>
      <c r="CD52" s="3">
        <f>+IF(AVANCE[[#This Row],[MOLDURAS]]=AQ$2,100%,AVANCE[[#This Row],[MOLDURAS]])</f>
        <v>0</v>
      </c>
      <c r="CE52" s="3">
        <f>+IF(AVANCE[[#This Row],[PILASTREO]]=AR$2,100%,AVANCE[[#This Row],[PILASTREO]])</f>
        <v>0</v>
      </c>
      <c r="CF52" s="3">
        <f>+IF(AVANCE[[#This Row],[CELOSIAS]]=AS$2,100%,AVANCE[[#This Row],[CELOSIAS]])</f>
        <v>1</v>
      </c>
      <c r="CG52" s="3">
        <f>+IF(AVANCE[[#This Row],[VENTANAS]]=AT$2,100%,AVANCE[[#This Row],[VENTANAS]])</f>
        <v>1</v>
      </c>
      <c r="CH52" s="3">
        <f>+IF(AVANCE[[#This Row],[PUERTAS ACCESO - LOGIA - BANO]]=AU$2,100%,AVANCE[[#This Row],[PUERTAS ACCESO - LOGIA - BANO]])</f>
        <v>0</v>
      </c>
      <c r="CI52" s="3">
        <f>+IF(AVANCE[[#This Row],[CERRADURAS]]=AV$2,100%,AVANCE[[#This Row],[CERRADURAS]])</f>
        <v>0</v>
      </c>
      <c r="CJ52" s="3">
        <f>+IF(AVANCE[[#This Row],[REVESTIMIENTO INTERIOR ZONA SECA]]=AW$2,100%,AVANCE[[#This Row],[REVESTIMIENTO INTERIOR ZONA SECA]])</f>
        <v>1</v>
      </c>
      <c r="CK52" s="3">
        <f>+IF(AVANCE[[#This Row],[REVESTIMIENTO INTERIOR ZONAS HUMEDAS]]=AX$2,100%,AVANCE[[#This Row],[REVESTIMIENTO INTERIOR ZONAS HUMEDAS]])</f>
        <v>1</v>
      </c>
      <c r="CL52" s="3">
        <f>+IF(AVANCE[[#This Row],[MEMBRANA CIELO]]=AY$2,100%,AVANCE[[#This Row],[MEMBRANA CIELO]])</f>
        <v>1</v>
      </c>
      <c r="CM52" s="3">
        <f>+IF(AVANCE[[#This Row],[LIMPIEZA FINAL]]=AZ$2,100%,AVANCE[[#This Row],[LIMPIEZA FINAL]])</f>
        <v>0</v>
      </c>
      <c r="CN52" s="3">
        <f>+IF(AVANCE[[#This Row],[PUERTAS DORMITORIO]]=BA$2,100%,AVANCE[[#This Row],[PUERTAS DORMITORIO]])</f>
        <v>1</v>
      </c>
      <c r="CO52" s="3">
        <f>+IF(AVANCE[[#This Row],[REVESTIMIENTO INTERIOR BANO]]=BB$2,100%,AVANCE[[#This Row],[REVESTIMIENTO INTERIOR BANO]])</f>
        <v>1</v>
      </c>
      <c r="CP52" s="3">
        <f>+IF(AVANCE[[#This Row],[MUEBLE LAVAPLATOS]]=BC$2,100%,AVANCE[[#This Row],[MUEBLE LAVAPLATOS]])</f>
        <v>1</v>
      </c>
      <c r="CQ52" s="3">
        <f>+IF(AVANCE[[#This Row],[IMPERMEABILIZACION BANO - COCINA LOGIA]]=BD$2,100%,AVANCE[[#This Row],[IMPERMEABILIZACION BANO - COCINA LOGIA]])</f>
        <v>1</v>
      </c>
      <c r="CR52" s="40">
        <f ca="1">+IF(AVANCE[[#This Row],[ESTADO MODULO]]="PENDIENTE",(TODAY()-AVANCE[[#This Row],[FECHA TERMINO  PLANIFICADO]]),0)</f>
        <v>11</v>
      </c>
      <c r="CS52" s="42" t="str" cm="1">
        <f t="array" ref="CS52">_xlfn.TEXTJOIN(" | ",TRUE,IF(SUMPRODUCT((BF52:CQ52&lt;1)*(PARTIDAS!$I$2:$AT$2="OBRA GRUESA"))&gt;0,"OBRA GRUESA: "&amp;_xlfn.TEXTJOIN(", ",TRUE,IF((BF52:CQ52&lt;1)*(PARTIDAS!$I$2:$AT$2="OBRA GRUESA"),PARTIDAS!$I$1:$AT$1,"")),""),IF(SUMPRODUCT((BF52:CQ52&lt;1)*(PARTIDAS!$I$2:$AT$2="SANITARIOS"))&gt;0,"SANITARIOS: "&amp;_xlfn.TEXTJOIN(", ",TRUE,IF((BF52:CQ52&lt;1)*(PARTIDAS!$I$2:$AT$2="SANITARIOS"),PARTIDAS!$I$1:$AT$1,"")),""),IF(SUMPRODUCT((BF52:CQ52&lt;1)*(PARTIDAS!$I$2:$AT$2="ELÉCTRICO"))&gt;0,"ELÉCTRICO: "&amp;_xlfn.TEXTJOIN(", ",TRUE,IF((BF52:CQ52&lt;1)*(PARTIDAS!$I$2:$AT$2="ELÉCTRICO"),PARTIDAS!$I$1:$AT$1,"")),""),IF(SUMPRODUCT((BF52:CQ52&lt;1)*(PARTIDAS!$I$2:$AT$2="TERMINACIONES"))&gt;0,"TERMINACIONES: "&amp;_xlfn.TEXTJOIN(", ",TRUE,IF((BF52:CQ52&lt;1)*(PARTIDAS!$I$2:$AT$2="TERMINACIONES"),PARTIDAS!$I$1:$AT$1,"")),""))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T52" s="45" t="str" cm="1">
        <f t="array" ref="CT52">_xlfn.TEXTJOIN(", ",TRUE,IF(SUMPRODUCT((BF52:CQ52&lt;1)*(PARTIDAS!$I$2:$AT$2="OBRA GRUESA"))&gt;0,"OBRA GRUESA",""),IF(SUMPRODUCT((BF52:CQ52&lt;1)*(PARTIDAS!$I$2:$AT$2="SANITARIOS"))&gt;0,"SANITARIOS",""),IF(SUMPRODUCT((BF52:CQ52&lt;1)*(PARTIDAS!$I$2:$AT$2="ELÉCTRICO"))&gt;0,"ELÉCTRICO",""),IF(SUMPRODUCT((BF52:CQ52&lt;1)*(PARTIDAS!$I$2:$AT$2="TERMINACIONES"))&gt;0,"TERMINACIONES",""))</f>
        <v>SANITARIOS, ELÉCTRICO, TERMINACIONES</v>
      </c>
      <c r="CU52" s="46" cm="1">
        <f t="array" ref="CU52">SUMPRODUCT(--(BF52:CQ52&lt;1))</f>
        <v>10</v>
      </c>
    </row>
    <row r="53" spans="1:99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19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 s="3" t="str">
        <f>+IF(AVANCE[[#This Row],[% AVANCE]]=100%,"MODULO TERMINADO",IF(AVANCE[[#This Row],[FECHA INICIO REAL]]="","MODULO NO INICIADO","PENDIENTE"))</f>
        <v>PENDIENTE</v>
      </c>
      <c r="BF53" s="3">
        <f>+IF(AVANCE[[#This Row],[VENTANAS]]=8.10810810810811%,100%,AVANCE[[#This Row],[VENTANAS]])</f>
        <v>1</v>
      </c>
      <c r="BG53" s="3">
        <f>+IF(AVANCE[[#This Row],[PISO]]=N$2,100%,AVANCE[[#This Row],[PISO]])</f>
        <v>1</v>
      </c>
      <c r="BH53" s="3">
        <f>+IF(AVANCE[[#This Row],[TABIQUES]]=O$2,100%,AVANCE[[#This Row],[TABIQUES]])</f>
        <v>1</v>
      </c>
      <c r="BI53" s="3">
        <f>+IF(AVANCE[[#This Row],[MUROS]]=P$2,100%,AVANCE[[#This Row],[MUROS]])</f>
        <v>1</v>
      </c>
      <c r="BJ53" s="3">
        <f>+IF(AVANCE[[#This Row],[CIELO]]=Q$2,100%,AVANCE[[#This Row],[CIELO]])</f>
        <v>1</v>
      </c>
      <c r="BK53" s="3">
        <f>+IF(AVANCE[[#This Row],[BALCÓN]]=R$2,100%,AVANCE[[#This Row],[BALCÓN]])</f>
        <v>1</v>
      </c>
      <c r="BL53" s="3">
        <f>+IF(AVANCE[[#This Row],[RED ALCANTARILLADO]]=U$2,100%,AVANCE[[#This Row],[RED ALCANTARILLADO]])</f>
        <v>1</v>
      </c>
      <c r="BM53" s="3">
        <f>+IF(AVANCE[[#This Row],[RED DE AGUA]]=V$2,100%,AVANCE[[#This Row],[RED DE AGUA]])</f>
        <v>1</v>
      </c>
      <c r="BN53" s="3">
        <f>+IF(AVANCE[[#This Row],[VENTILACIONES]]=W$2,100%,AVANCE[[#This Row],[VENTILACIONES]])</f>
        <v>1</v>
      </c>
      <c r="BO53" s="3">
        <f>+IF(AVANCE[[#This Row],[TINA]]=X$2,100%,AVANCE[[#This Row],[TINA]])</f>
        <v>1</v>
      </c>
      <c r="BP53" s="3">
        <f>+IF(AVANCE[[#This Row],[WC]]=Y$2,100%,AVANCE[[#This Row],[WC]])</f>
        <v>1</v>
      </c>
      <c r="BQ53" s="3">
        <f>+IF(AVANCE[[#This Row],[LAVAMANOS / LAVAPLATOS / LAVADERO]]=Z$2,100%,AVANCE[[#This Row],[LAVAMANOS / LAVAPLATOS / LAVADERO]])</f>
        <v>1</v>
      </c>
      <c r="BR53" s="3">
        <f>+IF(AVANCE[[#This Row],[CANALIZACIÓN]]=AC$2,100%,AVANCE[[#This Row],[CANALIZACIÓN]])</f>
        <v>1</v>
      </c>
      <c r="BS53" s="3">
        <f>+IF(AVANCE[[#This Row],[CABLEADO]]=AD$2,100%,AVANCE[[#This Row],[CABLEADO]])</f>
        <v>1</v>
      </c>
      <c r="BT53" s="3">
        <f>+IF(AVANCE[[#This Row],[ARTEFACTOS]]=AE$2,100%,AVANCE[[#This Row],[ARTEFACTOS]])</f>
        <v>0</v>
      </c>
      <c r="BU53" s="3">
        <f>+IF(AVANCE[[#This Row],[TABLERO]]=AF$2,100%,AVANCE[[#This Row],[TABLERO]])</f>
        <v>1</v>
      </c>
      <c r="BV53" s="3">
        <f>+IF(AVANCE[[#This Row],[CAJA PAU]]=AG$2,100%,AVANCE[[#This Row],[CAJA PAU]])</f>
        <v>1</v>
      </c>
      <c r="BW53" s="3">
        <f>+IF(AVANCE[[#This Row],[INSTALACION VINILICO]]=AJ$2,100%,AVANCE[[#This Row],[INSTALACION VINILICO]])</f>
        <v>1</v>
      </c>
      <c r="BX53" s="3">
        <f>+IF(AVANCE[[#This Row],[OSB CUBIERTA]]=AK$2,100%,AVANCE[[#This Row],[OSB CUBIERTA]])</f>
        <v>1</v>
      </c>
      <c r="BY53" s="3">
        <f>+IF(AVANCE[[#This Row],[BARANDA BALCON]]=AL$2,100%,AVANCE[[#This Row],[BARANDA BALCON]])</f>
        <v>1</v>
      </c>
      <c r="BZ53" s="3">
        <f>+IF(AVANCE[[#This Row],[OSB EXTERIOR]]=AM$2,100%,AVANCE[[#This Row],[OSB EXTERIOR]])</f>
        <v>1</v>
      </c>
      <c r="CA53" s="3">
        <f>+IF(AVANCE[[#This Row],[SMART PANEL]]=AN$2,100%,AVANCE[[#This Row],[SMART PANEL]])</f>
        <v>1</v>
      </c>
      <c r="CB53" s="3">
        <f>+IF(AVANCE[[#This Row],[PINTURA EXTERIOR]]=AO$2,100%,AVANCE[[#This Row],[PINTURA EXTERIOR]])</f>
        <v>1</v>
      </c>
      <c r="CC53" s="3">
        <f>+IF(AVANCE[[#This Row],[ZOCALOS LOGIA]]=AP$2,100%,AVANCE[[#This Row],[ZOCALOS LOGIA]])</f>
        <v>1</v>
      </c>
      <c r="CD53" s="3">
        <f>+IF(AVANCE[[#This Row],[MOLDURAS]]=AQ$2,100%,AVANCE[[#This Row],[MOLDURAS]])</f>
        <v>0</v>
      </c>
      <c r="CE53" s="3">
        <f>+IF(AVANCE[[#This Row],[PILASTREO]]=AR$2,100%,AVANCE[[#This Row],[PILASTREO]])</f>
        <v>0</v>
      </c>
      <c r="CF53" s="3">
        <f>+IF(AVANCE[[#This Row],[CELOSIAS]]=AS$2,100%,AVANCE[[#This Row],[CELOSIAS]])</f>
        <v>1</v>
      </c>
      <c r="CG53" s="3">
        <f>+IF(AVANCE[[#This Row],[VENTANAS]]=AT$2,100%,AVANCE[[#This Row],[VENTANAS]])</f>
        <v>1</v>
      </c>
      <c r="CH53" s="3">
        <f>+IF(AVANCE[[#This Row],[PUERTAS ACCESO - LOGIA - BANO]]=AU$2,100%,AVANCE[[#This Row],[PUERTAS ACCESO - LOGIA - BANO]])</f>
        <v>1</v>
      </c>
      <c r="CI53" s="3">
        <f>+IF(AVANCE[[#This Row],[CERRADURAS]]=AV$2,100%,AVANCE[[#This Row],[CERRADURAS]])</f>
        <v>1</v>
      </c>
      <c r="CJ53" s="3">
        <f>+IF(AVANCE[[#This Row],[REVESTIMIENTO INTERIOR ZONA SECA]]=AW$2,100%,AVANCE[[#This Row],[REVESTIMIENTO INTERIOR ZONA SECA]])</f>
        <v>1</v>
      </c>
      <c r="CK53" s="3">
        <f>+IF(AVANCE[[#This Row],[REVESTIMIENTO INTERIOR ZONAS HUMEDAS]]=AX$2,100%,AVANCE[[#This Row],[REVESTIMIENTO INTERIOR ZONAS HUMEDAS]])</f>
        <v>1</v>
      </c>
      <c r="CL53" s="3">
        <f>+IF(AVANCE[[#This Row],[MEMBRANA CIELO]]=AY$2,100%,AVANCE[[#This Row],[MEMBRANA CIELO]])</f>
        <v>1</v>
      </c>
      <c r="CM53" s="3">
        <f>+IF(AVANCE[[#This Row],[LIMPIEZA FINAL]]=AZ$2,100%,AVANCE[[#This Row],[LIMPIEZA FINAL]])</f>
        <v>0</v>
      </c>
      <c r="CN53" s="3">
        <f>+IF(AVANCE[[#This Row],[PUERTAS DORMITORIO]]=BA$2,100%,AVANCE[[#This Row],[PUERTAS DORMITORIO]])</f>
        <v>1</v>
      </c>
      <c r="CO53" s="3">
        <f>+IF(AVANCE[[#This Row],[REVESTIMIENTO INTERIOR BANO]]=BB$2,100%,AVANCE[[#This Row],[REVESTIMIENTO INTERIOR BANO]])</f>
        <v>1</v>
      </c>
      <c r="CP53" s="3">
        <f>+IF(AVANCE[[#This Row],[MUEBLE LAVAPLATOS]]=BC$2,100%,AVANCE[[#This Row],[MUEBLE LAVAPLATOS]])</f>
        <v>1</v>
      </c>
      <c r="CQ53" s="3">
        <f>+IF(AVANCE[[#This Row],[IMPERMEABILIZACION BANO - COCINA LOGIA]]=BD$2,100%,AVANCE[[#This Row],[IMPERMEABILIZACION BANO - COCINA LOGIA]])</f>
        <v>1</v>
      </c>
      <c r="CR53" s="40">
        <f ca="1">+IF(AVANCE[[#This Row],[ESTADO MODULO]]="PENDIENTE",(TODAY()-AVANCE[[#This Row],[FECHA TERMINO  PLANIFICADO]]),0)</f>
        <v>11</v>
      </c>
      <c r="CS53" s="42" t="str" cm="1">
        <f t="array" ref="CS53">_xlfn.TEXTJOIN(" | ",TRUE,IF(SUMPRODUCT((BF53:CQ53&lt;1)*(PARTIDAS!$I$2:$AT$2="OBRA GRUESA"))&gt;0,"OBRA GRUESA: "&amp;_xlfn.TEXTJOIN(", ",TRUE,IF((BF53:CQ53&lt;1)*(PARTIDAS!$I$2:$AT$2="OBRA GRUESA"),PARTIDAS!$I$1:$AT$1,"")),""),IF(SUMPRODUCT((BF53:CQ53&lt;1)*(PARTIDAS!$I$2:$AT$2="SANITARIOS"))&gt;0,"SANITARIOS: "&amp;_xlfn.TEXTJOIN(", ",TRUE,IF((BF53:CQ53&lt;1)*(PARTIDAS!$I$2:$AT$2="SANITARIOS"),PARTIDAS!$I$1:$AT$1,"")),""),IF(SUMPRODUCT((BF53:CQ53&lt;1)*(PARTIDAS!$I$2:$AT$2="ELÉCTRICO"))&gt;0,"ELÉCTRICO: "&amp;_xlfn.TEXTJOIN(", ",TRUE,IF((BF53:CQ53&lt;1)*(PARTIDAS!$I$2:$AT$2="ELÉCTRICO"),PARTIDAS!$I$1:$AT$1,"")),""),IF(SUMPRODUCT((BF53:CQ53&lt;1)*(PARTIDAS!$I$2:$AT$2="TERMINACIONES"))&gt;0,"TERMINACIONES: "&amp;_xlfn.TEXTJOIN(", ",TRUE,IF((BF53:CQ53&lt;1)*(PARTIDAS!$I$2:$AT$2="TERMINACIONES"),PARTIDAS!$I$1:$AT$1,"")),""))</f>
        <v>ELÉCTRICO: ARTEFACTOS | TERMINACIONES: MOLDURAS, PILASTREO, LIMPIEZA FINAL</v>
      </c>
      <c r="CT53" s="45" t="str" cm="1">
        <f t="array" ref="CT53">_xlfn.TEXTJOIN(", ",TRUE,IF(SUMPRODUCT((BF53:CQ53&lt;1)*(PARTIDAS!$I$2:$AT$2="OBRA GRUESA"))&gt;0,"OBRA GRUESA",""),IF(SUMPRODUCT((BF53:CQ53&lt;1)*(PARTIDAS!$I$2:$AT$2="SANITARIOS"))&gt;0,"SANITARIOS",""),IF(SUMPRODUCT((BF53:CQ53&lt;1)*(PARTIDAS!$I$2:$AT$2="ELÉCTRICO"))&gt;0,"ELÉCTRICO",""),IF(SUMPRODUCT((BF53:CQ53&lt;1)*(PARTIDAS!$I$2:$AT$2="TERMINACIONES"))&gt;0,"TERMINACIONES",""))</f>
        <v>ELÉCTRICO, TERMINACIONES</v>
      </c>
      <c r="CU53" s="46" cm="1">
        <f t="array" ref="CU53">SUMPRODUCT(--(BF53:CQ53&lt;1))</f>
        <v>4</v>
      </c>
    </row>
    <row r="54" spans="1:99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10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 s="3" t="str">
        <f>+IF(AVANCE[[#This Row],[% AVANCE]]=100%,"MODULO TERMINADO",IF(AVANCE[[#This Row],[FECHA INICIO REAL]]="","MODULO NO INICIADO","PENDIENTE"))</f>
        <v>PENDIENTE</v>
      </c>
      <c r="BF54" s="3">
        <f>+IF(AVANCE[[#This Row],[VENTANAS]]=8.10810810810811%,100%,AVANCE[[#This Row],[VENTANAS]])</f>
        <v>1</v>
      </c>
      <c r="BG54" s="3">
        <f>+IF(AVANCE[[#This Row],[PISO]]=N$2,100%,AVANCE[[#This Row],[PISO]])</f>
        <v>1</v>
      </c>
      <c r="BH54" s="3">
        <f>+IF(AVANCE[[#This Row],[TABIQUES]]=O$2,100%,AVANCE[[#This Row],[TABIQUES]])</f>
        <v>1</v>
      </c>
      <c r="BI54" s="3">
        <f>+IF(AVANCE[[#This Row],[MUROS]]=P$2,100%,AVANCE[[#This Row],[MUROS]])</f>
        <v>1</v>
      </c>
      <c r="BJ54" s="3">
        <f>+IF(AVANCE[[#This Row],[CIELO]]=Q$2,100%,AVANCE[[#This Row],[CIELO]])</f>
        <v>1</v>
      </c>
      <c r="BK54" s="3">
        <f>+IF(AVANCE[[#This Row],[BALCÓN]]=R$2,100%,AVANCE[[#This Row],[BALCÓN]])</f>
        <v>1</v>
      </c>
      <c r="BL54" s="3">
        <f>+IF(AVANCE[[#This Row],[RED ALCANTARILLADO]]=U$2,100%,AVANCE[[#This Row],[RED ALCANTARILLADO]])</f>
        <v>1</v>
      </c>
      <c r="BM54" s="3">
        <f>+IF(AVANCE[[#This Row],[RED DE AGUA]]=V$2,100%,AVANCE[[#This Row],[RED DE AGUA]])</f>
        <v>1</v>
      </c>
      <c r="BN54" s="3">
        <f>+IF(AVANCE[[#This Row],[VENTILACIONES]]=W$2,100%,AVANCE[[#This Row],[VENTILACIONES]])</f>
        <v>1</v>
      </c>
      <c r="BO54" s="3">
        <f>+IF(AVANCE[[#This Row],[TINA]]=X$2,100%,AVANCE[[#This Row],[TINA]])</f>
        <v>1</v>
      </c>
      <c r="BP54" s="3">
        <f>+IF(AVANCE[[#This Row],[WC]]=Y$2,100%,AVANCE[[#This Row],[WC]])</f>
        <v>1</v>
      </c>
      <c r="BQ54" s="3">
        <f>+IF(AVANCE[[#This Row],[LAVAMANOS / LAVAPLATOS / LAVADERO]]=Z$2,100%,AVANCE[[#This Row],[LAVAMANOS / LAVAPLATOS / LAVADERO]])</f>
        <v>1</v>
      </c>
      <c r="BR54" s="3">
        <f>+IF(AVANCE[[#This Row],[CANALIZACIÓN]]=AC$2,100%,AVANCE[[#This Row],[CANALIZACIÓN]])</f>
        <v>1</v>
      </c>
      <c r="BS54" s="3">
        <f>+IF(AVANCE[[#This Row],[CABLEADO]]=AD$2,100%,AVANCE[[#This Row],[CABLEADO]])</f>
        <v>1</v>
      </c>
      <c r="BT54" s="3">
        <f>+IF(AVANCE[[#This Row],[ARTEFACTOS]]=AE$2,100%,AVANCE[[#This Row],[ARTEFACTOS]])</f>
        <v>0</v>
      </c>
      <c r="BU54" s="3">
        <f>+IF(AVANCE[[#This Row],[TABLERO]]=AF$2,100%,AVANCE[[#This Row],[TABLERO]])</f>
        <v>1</v>
      </c>
      <c r="BV54" s="3">
        <f>+IF(AVANCE[[#This Row],[CAJA PAU]]=AG$2,100%,AVANCE[[#This Row],[CAJA PAU]])</f>
        <v>1</v>
      </c>
      <c r="BW54" s="3">
        <f>+IF(AVANCE[[#This Row],[INSTALACION VINILICO]]=AJ$2,100%,AVANCE[[#This Row],[INSTALACION VINILICO]])</f>
        <v>1</v>
      </c>
      <c r="BX54" s="3">
        <f>+IF(AVANCE[[#This Row],[OSB CUBIERTA]]=AK$2,100%,AVANCE[[#This Row],[OSB CUBIERTA]])</f>
        <v>1</v>
      </c>
      <c r="BY54" s="3">
        <f>+IF(AVANCE[[#This Row],[BARANDA BALCON]]=AL$2,100%,AVANCE[[#This Row],[BARANDA BALCON]])</f>
        <v>1</v>
      </c>
      <c r="BZ54" s="3">
        <f>+IF(AVANCE[[#This Row],[OSB EXTERIOR]]=AM$2,100%,AVANCE[[#This Row],[OSB EXTERIOR]])</f>
        <v>1</v>
      </c>
      <c r="CA54" s="3">
        <f>+IF(AVANCE[[#This Row],[SMART PANEL]]=AN$2,100%,AVANCE[[#This Row],[SMART PANEL]])</f>
        <v>1</v>
      </c>
      <c r="CB54" s="3">
        <f>+IF(AVANCE[[#This Row],[PINTURA EXTERIOR]]=AO$2,100%,AVANCE[[#This Row],[PINTURA EXTERIOR]])</f>
        <v>1</v>
      </c>
      <c r="CC54" s="3">
        <f>+IF(AVANCE[[#This Row],[ZOCALOS LOGIA]]=AP$2,100%,AVANCE[[#This Row],[ZOCALOS LOGIA]])</f>
        <v>1</v>
      </c>
      <c r="CD54" s="3">
        <f>+IF(AVANCE[[#This Row],[MOLDURAS]]=AQ$2,100%,AVANCE[[#This Row],[MOLDURAS]])</f>
        <v>0</v>
      </c>
      <c r="CE54" s="3">
        <f>+IF(AVANCE[[#This Row],[PILASTREO]]=AR$2,100%,AVANCE[[#This Row],[PILASTREO]])</f>
        <v>0</v>
      </c>
      <c r="CF54" s="3">
        <f>+IF(AVANCE[[#This Row],[CELOSIAS]]=AS$2,100%,AVANCE[[#This Row],[CELOSIAS]])</f>
        <v>0</v>
      </c>
      <c r="CG54" s="3">
        <f>+IF(AVANCE[[#This Row],[VENTANAS]]=AT$2,100%,AVANCE[[#This Row],[VENTANAS]])</f>
        <v>1</v>
      </c>
      <c r="CH54" s="3">
        <f>+IF(AVANCE[[#This Row],[PUERTAS ACCESO - LOGIA - BANO]]=AU$2,100%,AVANCE[[#This Row],[PUERTAS ACCESO - LOGIA - BANO]])</f>
        <v>1</v>
      </c>
      <c r="CI54" s="3">
        <f>+IF(AVANCE[[#This Row],[CERRADURAS]]=AV$2,100%,AVANCE[[#This Row],[CERRADURAS]])</f>
        <v>1</v>
      </c>
      <c r="CJ54" s="3">
        <f>+IF(AVANCE[[#This Row],[REVESTIMIENTO INTERIOR ZONA SECA]]=AW$2,100%,AVANCE[[#This Row],[REVESTIMIENTO INTERIOR ZONA SECA]])</f>
        <v>1</v>
      </c>
      <c r="CK54" s="3">
        <f>+IF(AVANCE[[#This Row],[REVESTIMIENTO INTERIOR ZONAS HUMEDAS]]=AX$2,100%,AVANCE[[#This Row],[REVESTIMIENTO INTERIOR ZONAS HUMEDAS]])</f>
        <v>1</v>
      </c>
      <c r="CL54" s="3">
        <f>+IF(AVANCE[[#This Row],[MEMBRANA CIELO]]=AY$2,100%,AVANCE[[#This Row],[MEMBRANA CIELO]])</f>
        <v>1</v>
      </c>
      <c r="CM54" s="3">
        <f>+IF(AVANCE[[#This Row],[LIMPIEZA FINAL]]=AZ$2,100%,AVANCE[[#This Row],[LIMPIEZA FINAL]])</f>
        <v>0</v>
      </c>
      <c r="CN54" s="3">
        <f>+IF(AVANCE[[#This Row],[PUERTAS DORMITORIO]]=BA$2,100%,AVANCE[[#This Row],[PUERTAS DORMITORIO]])</f>
        <v>1</v>
      </c>
      <c r="CO54" s="3">
        <f>+IF(AVANCE[[#This Row],[REVESTIMIENTO INTERIOR BANO]]=BB$2,100%,AVANCE[[#This Row],[REVESTIMIENTO INTERIOR BANO]])</f>
        <v>1</v>
      </c>
      <c r="CP54" s="3">
        <f>+IF(AVANCE[[#This Row],[MUEBLE LAVAPLATOS]]=BC$2,100%,AVANCE[[#This Row],[MUEBLE LAVAPLATOS]])</f>
        <v>1</v>
      </c>
      <c r="CQ54" s="3">
        <f>+IF(AVANCE[[#This Row],[IMPERMEABILIZACION BANO - COCINA LOGIA]]=BD$2,100%,AVANCE[[#This Row],[IMPERMEABILIZACION BANO - COCINA LOGIA]])</f>
        <v>1</v>
      </c>
      <c r="CR54" s="40">
        <f ca="1">+IF(AVANCE[[#This Row],[ESTADO MODULO]]="PENDIENTE",(TODAY()-AVANCE[[#This Row],[FECHA TERMINO  PLANIFICADO]]),0)</f>
        <v>10</v>
      </c>
      <c r="CS54" s="42" t="str" cm="1">
        <f t="array" ref="CS54">_xlfn.TEXTJOIN(" | ",TRUE,IF(SUMPRODUCT((BF54:CQ54&lt;1)*(PARTIDAS!$I$2:$AT$2="OBRA GRUESA"))&gt;0,"OBRA GRUESA: "&amp;_xlfn.TEXTJOIN(", ",TRUE,IF((BF54:CQ54&lt;1)*(PARTIDAS!$I$2:$AT$2="OBRA GRUESA"),PARTIDAS!$I$1:$AT$1,"")),""),IF(SUMPRODUCT((BF54:CQ54&lt;1)*(PARTIDAS!$I$2:$AT$2="SANITARIOS"))&gt;0,"SANITARIOS: "&amp;_xlfn.TEXTJOIN(", ",TRUE,IF((BF54:CQ54&lt;1)*(PARTIDAS!$I$2:$AT$2="SANITARIOS"),PARTIDAS!$I$1:$AT$1,"")),""),IF(SUMPRODUCT((BF54:CQ54&lt;1)*(PARTIDAS!$I$2:$AT$2="ELÉCTRICO"))&gt;0,"ELÉCTRICO: "&amp;_xlfn.TEXTJOIN(", ",TRUE,IF((BF54:CQ54&lt;1)*(PARTIDAS!$I$2:$AT$2="ELÉCTRICO"),PARTIDAS!$I$1:$AT$1,"")),""),IF(SUMPRODUCT((BF54:CQ54&lt;1)*(PARTIDAS!$I$2:$AT$2="TERMINACIONES"))&gt;0,"TERMINACIONES: "&amp;_xlfn.TEXTJOIN(", ",TRUE,IF((BF54:CQ54&lt;1)*(PARTIDAS!$I$2:$AT$2="TERMINACIONES"),PARTIDAS!$I$1:$AT$1,"")),""))</f>
        <v>ELÉCTRICO: ARTEFACTOS | TERMINACIONES: MOLDURAS, PILASTREO, CELOSIAS, LIMPIEZA FINAL</v>
      </c>
      <c r="CT54" s="45" t="str" cm="1">
        <f t="array" ref="CT54">_xlfn.TEXTJOIN(", ",TRUE,IF(SUMPRODUCT((BF54:CQ54&lt;1)*(PARTIDAS!$I$2:$AT$2="OBRA GRUESA"))&gt;0,"OBRA GRUESA",""),IF(SUMPRODUCT((BF54:CQ54&lt;1)*(PARTIDAS!$I$2:$AT$2="SANITARIOS"))&gt;0,"SANITARIOS",""),IF(SUMPRODUCT((BF54:CQ54&lt;1)*(PARTIDAS!$I$2:$AT$2="ELÉCTRICO"))&gt;0,"ELÉCTRICO",""),IF(SUMPRODUCT((BF54:CQ54&lt;1)*(PARTIDAS!$I$2:$AT$2="TERMINACIONES"))&gt;0,"TERMINACIONES",""))</f>
        <v>ELÉCTRICO, TERMINACIONES</v>
      </c>
      <c r="CU54" s="46" cm="1">
        <f t="array" ref="CU54">SUMPRODUCT(--(BF54:CQ54&lt;1))</f>
        <v>5</v>
      </c>
    </row>
    <row r="55" spans="1:99" x14ac:dyDescent="0.25">
      <c r="A55" t="s">
        <v>91</v>
      </c>
      <c r="B55" t="s">
        <v>113</v>
      </c>
      <c r="C55">
        <v>2302600054</v>
      </c>
      <c r="D55" t="s">
        <v>60</v>
      </c>
      <c r="E55" s="2">
        <v>0.73499999999999988</v>
      </c>
      <c r="F55" s="1">
        <v>46141</v>
      </c>
      <c r="G55" s="1">
        <v>46141</v>
      </c>
      <c r="H55" s="1">
        <v>46176</v>
      </c>
      <c r="I55" s="1">
        <v>46171</v>
      </c>
      <c r="J55">
        <v>5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3.9999999999999994E-2</v>
      </c>
      <c r="T55" s="3">
        <v>0.44444444444444442</v>
      </c>
      <c r="U55" s="3">
        <v>0.22222222222222221</v>
      </c>
      <c r="V55" s="3">
        <v>0.22222222222222221</v>
      </c>
      <c r="W55" s="3">
        <v>0</v>
      </c>
      <c r="X55" s="3">
        <v>0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0.23499999999999993</v>
      </c>
      <c r="AI55" s="3">
        <v>0.63513513513513498</v>
      </c>
      <c r="AJ55" s="3">
        <v>0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 s="3" t="str">
        <f>+IF(AVANCE[[#This Row],[% AVANCE]]=100%,"MODULO TERMINADO",IF(AVANCE[[#This Row],[FECHA INICIO REAL]]="","MODULO NO INICIADO","PENDIENTE"))</f>
        <v>PENDIENTE</v>
      </c>
      <c r="BF55" s="3">
        <f>+IF(AVANCE[[#This Row],[VENTANAS]]=8.10810810810811%,100%,AVANCE[[#This Row],[VENTANAS]])</f>
        <v>1</v>
      </c>
      <c r="BG55" s="3">
        <f>+IF(AVANCE[[#This Row],[PISO]]=N$2,100%,AVANCE[[#This Row],[PISO]])</f>
        <v>1</v>
      </c>
      <c r="BH55" s="3">
        <f>+IF(AVANCE[[#This Row],[TABIQUES]]=O$2,100%,AVANCE[[#This Row],[TABIQUES]])</f>
        <v>1</v>
      </c>
      <c r="BI55" s="3">
        <f>+IF(AVANCE[[#This Row],[MUROS]]=P$2,100%,AVANCE[[#This Row],[MUROS]])</f>
        <v>1</v>
      </c>
      <c r="BJ55" s="3">
        <f>+IF(AVANCE[[#This Row],[CIELO]]=Q$2,100%,AVANCE[[#This Row],[CIELO]])</f>
        <v>1</v>
      </c>
      <c r="BK55" s="3">
        <f>+IF(AVANCE[[#This Row],[BALCÓN]]=R$2,100%,AVANCE[[#This Row],[BALCÓN]])</f>
        <v>1</v>
      </c>
      <c r="BL55" s="3">
        <f>+IF(AVANCE[[#This Row],[RED ALCANTARILLADO]]=U$2,100%,AVANCE[[#This Row],[RED ALCANTARILLADO]])</f>
        <v>1</v>
      </c>
      <c r="BM55" s="3">
        <f>+IF(AVANCE[[#This Row],[RED DE AGUA]]=V$2,100%,AVANCE[[#This Row],[RED DE AGUA]])</f>
        <v>1</v>
      </c>
      <c r="BN55" s="3">
        <f>+IF(AVANCE[[#This Row],[VENTILACIONES]]=W$2,100%,AVANCE[[#This Row],[VENTILACIONES]])</f>
        <v>0</v>
      </c>
      <c r="BO55" s="3">
        <f>+IF(AVANCE[[#This Row],[TINA]]=X$2,100%,AVANCE[[#This Row],[TINA]])</f>
        <v>0</v>
      </c>
      <c r="BP55" s="3">
        <f>+IF(AVANCE[[#This Row],[WC]]=Y$2,100%,AVANCE[[#This Row],[WC]])</f>
        <v>0</v>
      </c>
      <c r="BQ55" s="3">
        <f>+IF(AVANCE[[#This Row],[LAVAMANOS / LAVAPLATOS / LAVADERO]]=Z$2,100%,AVANCE[[#This Row],[LAVAMANOS / LAVAPLATOS / LAVADERO]])</f>
        <v>0</v>
      </c>
      <c r="BR55" s="3">
        <f>+IF(AVANCE[[#This Row],[CANALIZACIÓN]]=AC$2,100%,AVANCE[[#This Row],[CANALIZACIÓN]])</f>
        <v>1</v>
      </c>
      <c r="BS55" s="3">
        <f>+IF(AVANCE[[#This Row],[CABLEADO]]=AD$2,100%,AVANCE[[#This Row],[CABLEADO]])</f>
        <v>0</v>
      </c>
      <c r="BT55" s="3">
        <f>+IF(AVANCE[[#This Row],[ARTEFACTOS]]=AE$2,100%,AVANCE[[#This Row],[ARTEFACTOS]])</f>
        <v>0</v>
      </c>
      <c r="BU55" s="3">
        <f>+IF(AVANCE[[#This Row],[TABLERO]]=AF$2,100%,AVANCE[[#This Row],[TABLERO]])</f>
        <v>0</v>
      </c>
      <c r="BV55" s="3">
        <f>+IF(AVANCE[[#This Row],[CAJA PAU]]=AG$2,100%,AVANCE[[#This Row],[CAJA PAU]])</f>
        <v>0</v>
      </c>
      <c r="BW55" s="3">
        <f>+IF(AVANCE[[#This Row],[INSTALACION VINILICO]]=AJ$2,100%,AVANCE[[#This Row],[INSTALACION VINILICO]])</f>
        <v>0</v>
      </c>
      <c r="BX55" s="3">
        <f>+IF(AVANCE[[#This Row],[OSB CUBIERTA]]=AK$2,100%,AVANCE[[#This Row],[OSB CUBIERTA]])</f>
        <v>1</v>
      </c>
      <c r="BY55" s="3">
        <f>+IF(AVANCE[[#This Row],[BARANDA BALCON]]=AL$2,100%,AVANCE[[#This Row],[BARANDA BALCON]])</f>
        <v>0</v>
      </c>
      <c r="BZ55" s="3">
        <f>+IF(AVANCE[[#This Row],[OSB EXTERIOR]]=AM$2,100%,AVANCE[[#This Row],[OSB EXTERIOR]])</f>
        <v>1</v>
      </c>
      <c r="CA55" s="3">
        <f>+IF(AVANCE[[#This Row],[SMART PANEL]]=AN$2,100%,AVANCE[[#This Row],[SMART PANEL]])</f>
        <v>1</v>
      </c>
      <c r="CB55" s="3">
        <f>+IF(AVANCE[[#This Row],[PINTURA EXTERIOR]]=AO$2,100%,AVANCE[[#This Row],[PINTURA EXTERIOR]])</f>
        <v>1</v>
      </c>
      <c r="CC55" s="3">
        <f>+IF(AVANCE[[#This Row],[ZOCALOS LOGIA]]=AP$2,100%,AVANCE[[#This Row],[ZOCALOS LOGIA]])</f>
        <v>1</v>
      </c>
      <c r="CD55" s="3">
        <f>+IF(AVANCE[[#This Row],[MOLDURAS]]=AQ$2,100%,AVANCE[[#This Row],[MOLDURAS]])</f>
        <v>0</v>
      </c>
      <c r="CE55" s="3">
        <f>+IF(AVANCE[[#This Row],[PILASTREO]]=AR$2,100%,AVANCE[[#This Row],[PILASTREO]])</f>
        <v>0</v>
      </c>
      <c r="CF55" s="3">
        <f>+IF(AVANCE[[#This Row],[CELOSIAS]]=AS$2,100%,AVANCE[[#This Row],[CELOSIAS]])</f>
        <v>0</v>
      </c>
      <c r="CG55" s="3">
        <f>+IF(AVANCE[[#This Row],[VENTANAS]]=AT$2,100%,AVANCE[[#This Row],[VENTANAS]])</f>
        <v>1</v>
      </c>
      <c r="CH55" s="3">
        <f>+IF(AVANCE[[#This Row],[PUERTAS ACCESO - LOGIA - BANO]]=AU$2,100%,AVANCE[[#This Row],[PUERTAS ACCESO - LOGIA - BANO]])</f>
        <v>0</v>
      </c>
      <c r="CI55" s="3">
        <f>+IF(AVANCE[[#This Row],[CERRADURAS]]=AV$2,100%,AVANCE[[#This Row],[CERRADURAS]])</f>
        <v>0</v>
      </c>
      <c r="CJ55" s="3">
        <f>+IF(AVANCE[[#This Row],[REVESTIMIENTO INTERIOR ZONA SECA]]=AW$2,100%,AVANCE[[#This Row],[REVESTIMIENTO INTERIOR ZONA SECA]])</f>
        <v>1</v>
      </c>
      <c r="CK55" s="3">
        <f>+IF(AVANCE[[#This Row],[REVESTIMIENTO INTERIOR ZONAS HUMEDAS]]=AX$2,100%,AVANCE[[#This Row],[REVESTIMIENTO INTERIOR ZONAS HUMEDAS]])</f>
        <v>1</v>
      </c>
      <c r="CL55" s="3">
        <f>+IF(AVANCE[[#This Row],[MEMBRANA CIELO]]=AY$2,100%,AVANCE[[#This Row],[MEMBRANA CIELO]])</f>
        <v>1</v>
      </c>
      <c r="CM55" s="3">
        <f>+IF(AVANCE[[#This Row],[LIMPIEZA FINAL]]=AZ$2,100%,AVANCE[[#This Row],[LIMPIEZA FINAL]])</f>
        <v>0</v>
      </c>
      <c r="CN55" s="3">
        <f>+IF(AVANCE[[#This Row],[PUERTAS DORMITORIO]]=BA$2,100%,AVANCE[[#This Row],[PUERTAS DORMITORIO]])</f>
        <v>1</v>
      </c>
      <c r="CO55" s="3">
        <f>+IF(AVANCE[[#This Row],[REVESTIMIENTO INTERIOR BANO]]=BB$2,100%,AVANCE[[#This Row],[REVESTIMIENTO INTERIOR BANO]])</f>
        <v>0</v>
      </c>
      <c r="CP55" s="3">
        <f>+IF(AVANCE[[#This Row],[MUEBLE LAVAPLATOS]]=BC$2,100%,AVANCE[[#This Row],[MUEBLE LAVAPLATOS]])</f>
        <v>0</v>
      </c>
      <c r="CQ55" s="3">
        <f>+IF(AVANCE[[#This Row],[IMPERMEABILIZACION BANO - COCINA LOGIA]]=BD$2,100%,AVANCE[[#This Row],[IMPERMEABILIZACION BANO - COCINA LOGIA]])</f>
        <v>1</v>
      </c>
      <c r="CR55" s="40">
        <f ca="1">+IF(AVANCE[[#This Row],[ESTADO MODULO]]="PENDIENTE",(TODAY()-AVANCE[[#This Row],[FECHA TERMINO  PLANIFICADO]]),0)</f>
        <v>10</v>
      </c>
      <c r="CS55" s="42" t="str" cm="1">
        <f t="array" ref="CS55">_xlfn.TEXTJOIN(" | ",TRUE,IF(SUMPRODUCT((BF55:CQ55&lt;1)*(PARTIDAS!$I$2:$AT$2="OBRA GRUESA"))&gt;0,"OBRA GRUESA: "&amp;_xlfn.TEXTJOIN(", ",TRUE,IF((BF55:CQ55&lt;1)*(PARTIDAS!$I$2:$AT$2="OBRA GRUESA"),PARTIDAS!$I$1:$AT$1,"")),""),IF(SUMPRODUCT((BF55:CQ55&lt;1)*(PARTIDAS!$I$2:$AT$2="SANITARIOS"))&gt;0,"SANITARIOS: "&amp;_xlfn.TEXTJOIN(", ",TRUE,IF((BF55:CQ55&lt;1)*(PARTIDAS!$I$2:$AT$2="SANITARIOS"),PARTIDAS!$I$1:$AT$1,"")),""),IF(SUMPRODUCT((BF55:CQ55&lt;1)*(PARTIDAS!$I$2:$AT$2="ELÉCTRICO"))&gt;0,"ELÉCTRICO: "&amp;_xlfn.TEXTJOIN(", ",TRUE,IF((BF55:CQ55&lt;1)*(PARTIDAS!$I$2:$AT$2="ELÉCTRICO"),PARTIDAS!$I$1:$AT$1,"")),""),IF(SUMPRODUCT((BF55:CQ55&lt;1)*(PARTIDAS!$I$2:$AT$2="TERMINACIONES"))&gt;0,"TERMINACIONES: "&amp;_xlfn.TEXTJOIN(", ",TRUE,IF((BF55:CQ55&lt;1)*(PARTIDAS!$I$2:$AT$2="TERMINACIONES"),PARTIDAS!$I$1:$AT$1,"")),""))</f>
        <v>SANITARIOS: VENTILACIONES, TINA,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</v>
      </c>
      <c r="CT55" s="45" t="str" cm="1">
        <f t="array" ref="CT55">_xlfn.TEXTJOIN(", ",TRUE,IF(SUMPRODUCT((BF55:CQ55&lt;1)*(PARTIDAS!$I$2:$AT$2="OBRA GRUESA"))&gt;0,"OBRA GRUESA",""),IF(SUMPRODUCT((BF55:CQ55&lt;1)*(PARTIDAS!$I$2:$AT$2="SANITARIOS"))&gt;0,"SANITARIOS",""),IF(SUMPRODUCT((BF55:CQ55&lt;1)*(PARTIDAS!$I$2:$AT$2="ELÉCTRICO"))&gt;0,"ELÉCTRICO",""),IF(SUMPRODUCT((BF55:CQ55&lt;1)*(PARTIDAS!$I$2:$AT$2="TERMINACIONES"))&gt;0,"TERMINACIONES",""))</f>
        <v>SANITARIOS, ELÉCTRICO, TERMINACIONES</v>
      </c>
      <c r="CU55" s="46" cm="1">
        <f t="array" ref="CU55">SUMPRODUCT(--(BF55:CQ55&lt;1))</f>
        <v>18</v>
      </c>
    </row>
    <row r="56" spans="1:99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4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 s="3" t="str">
        <f>+IF(AVANCE[[#This Row],[% AVANCE]]=100%,"MODULO TERMINADO",IF(AVANCE[[#This Row],[FECHA INICIO REAL]]="","MODULO NO INICIADO","PENDIENTE"))</f>
        <v>PENDIENTE</v>
      </c>
      <c r="BF56" s="3">
        <f>+IF(AVANCE[[#This Row],[VENTANAS]]=8.10810810810811%,100%,AVANCE[[#This Row],[VENTANAS]])</f>
        <v>1</v>
      </c>
      <c r="BG56" s="3">
        <f>+IF(AVANCE[[#This Row],[PISO]]=N$2,100%,AVANCE[[#This Row],[PISO]])</f>
        <v>1</v>
      </c>
      <c r="BH56" s="3">
        <f>+IF(AVANCE[[#This Row],[TABIQUES]]=O$2,100%,AVANCE[[#This Row],[TABIQUES]])</f>
        <v>1</v>
      </c>
      <c r="BI56" s="3">
        <f>+IF(AVANCE[[#This Row],[MUROS]]=P$2,100%,AVANCE[[#This Row],[MUROS]])</f>
        <v>1</v>
      </c>
      <c r="BJ56" s="3">
        <f>+IF(AVANCE[[#This Row],[CIELO]]=Q$2,100%,AVANCE[[#This Row],[CIELO]])</f>
        <v>1</v>
      </c>
      <c r="BK56" s="3">
        <f>+IF(AVANCE[[#This Row],[BALCÓN]]=R$2,100%,AVANCE[[#This Row],[BALCÓN]])</f>
        <v>1</v>
      </c>
      <c r="BL56" s="3">
        <f>+IF(AVANCE[[#This Row],[RED ALCANTARILLADO]]=U$2,100%,AVANCE[[#This Row],[RED ALCANTARILLADO]])</f>
        <v>1</v>
      </c>
      <c r="BM56" s="3">
        <f>+IF(AVANCE[[#This Row],[RED DE AGUA]]=V$2,100%,AVANCE[[#This Row],[RED DE AGUA]])</f>
        <v>1</v>
      </c>
      <c r="BN56" s="3">
        <f>+IF(AVANCE[[#This Row],[VENTILACIONES]]=W$2,100%,AVANCE[[#This Row],[VENTILACIONES]])</f>
        <v>0</v>
      </c>
      <c r="BO56" s="3">
        <f>+IF(AVANCE[[#This Row],[TINA]]=X$2,100%,AVANCE[[#This Row],[TINA]])</f>
        <v>1</v>
      </c>
      <c r="BP56" s="3">
        <f>+IF(AVANCE[[#This Row],[WC]]=Y$2,100%,AVANCE[[#This Row],[WC]])</f>
        <v>0</v>
      </c>
      <c r="BQ56" s="3">
        <f>+IF(AVANCE[[#This Row],[LAVAMANOS / LAVAPLATOS / LAVADERO]]=Z$2,100%,AVANCE[[#This Row],[LAVAMANOS / LAVAPLATOS / LAVADERO]])</f>
        <v>0</v>
      </c>
      <c r="BR56" s="3">
        <f>+IF(AVANCE[[#This Row],[CANALIZACIÓN]]=AC$2,100%,AVANCE[[#This Row],[CANALIZACIÓN]])</f>
        <v>1</v>
      </c>
      <c r="BS56" s="3">
        <f>+IF(AVANCE[[#This Row],[CABLEADO]]=AD$2,100%,AVANCE[[#This Row],[CABLEADO]])</f>
        <v>1</v>
      </c>
      <c r="BT56" s="3">
        <f>+IF(AVANCE[[#This Row],[ARTEFACTOS]]=AE$2,100%,AVANCE[[#This Row],[ARTEFACTOS]])</f>
        <v>0</v>
      </c>
      <c r="BU56" s="3">
        <f>+IF(AVANCE[[#This Row],[TABLERO]]=AF$2,100%,AVANCE[[#This Row],[TABLERO]])</f>
        <v>0</v>
      </c>
      <c r="BV56" s="3">
        <f>+IF(AVANCE[[#This Row],[CAJA PAU]]=AG$2,100%,AVANCE[[#This Row],[CAJA PAU]])</f>
        <v>0</v>
      </c>
      <c r="BW56" s="3">
        <f>+IF(AVANCE[[#This Row],[INSTALACION VINILICO]]=AJ$2,100%,AVANCE[[#This Row],[INSTALACION VINILICO]])</f>
        <v>1</v>
      </c>
      <c r="BX56" s="3">
        <f>+IF(AVANCE[[#This Row],[OSB CUBIERTA]]=AK$2,100%,AVANCE[[#This Row],[OSB CUBIERTA]])</f>
        <v>1</v>
      </c>
      <c r="BY56" s="3">
        <f>+IF(AVANCE[[#This Row],[BARANDA BALCON]]=AL$2,100%,AVANCE[[#This Row],[BARANDA BALCON]])</f>
        <v>0</v>
      </c>
      <c r="BZ56" s="3">
        <f>+IF(AVANCE[[#This Row],[OSB EXTERIOR]]=AM$2,100%,AVANCE[[#This Row],[OSB EXTERIOR]])</f>
        <v>1</v>
      </c>
      <c r="CA56" s="3">
        <f>+IF(AVANCE[[#This Row],[SMART PANEL]]=AN$2,100%,AVANCE[[#This Row],[SMART PANEL]])</f>
        <v>1</v>
      </c>
      <c r="CB56" s="3">
        <f>+IF(AVANCE[[#This Row],[PINTURA EXTERIOR]]=AO$2,100%,AVANCE[[#This Row],[PINTURA EXTERIOR]])</f>
        <v>1</v>
      </c>
      <c r="CC56" s="3">
        <f>+IF(AVANCE[[#This Row],[ZOCALOS LOGIA]]=AP$2,100%,AVANCE[[#This Row],[ZOCALOS LOGIA]])</f>
        <v>1</v>
      </c>
      <c r="CD56" s="3">
        <f>+IF(AVANCE[[#This Row],[MOLDURAS]]=AQ$2,100%,AVANCE[[#This Row],[MOLDURAS]])</f>
        <v>0</v>
      </c>
      <c r="CE56" s="3">
        <f>+IF(AVANCE[[#This Row],[PILASTREO]]=AR$2,100%,AVANCE[[#This Row],[PILASTREO]])</f>
        <v>0</v>
      </c>
      <c r="CF56" s="3">
        <f>+IF(AVANCE[[#This Row],[CELOSIAS]]=AS$2,100%,AVANCE[[#This Row],[CELOSIAS]])</f>
        <v>1</v>
      </c>
      <c r="CG56" s="3">
        <f>+IF(AVANCE[[#This Row],[VENTANAS]]=AT$2,100%,AVANCE[[#This Row],[VENTANAS]])</f>
        <v>1</v>
      </c>
      <c r="CH56" s="3">
        <f>+IF(AVANCE[[#This Row],[PUERTAS ACCESO - LOGIA - BANO]]=AU$2,100%,AVANCE[[#This Row],[PUERTAS ACCESO - LOGIA - BANO]])</f>
        <v>0</v>
      </c>
      <c r="CI56" s="3">
        <f>+IF(AVANCE[[#This Row],[CERRADURAS]]=AV$2,100%,AVANCE[[#This Row],[CERRADURAS]])</f>
        <v>0</v>
      </c>
      <c r="CJ56" s="3">
        <f>+IF(AVANCE[[#This Row],[REVESTIMIENTO INTERIOR ZONA SECA]]=AW$2,100%,AVANCE[[#This Row],[REVESTIMIENTO INTERIOR ZONA SECA]])</f>
        <v>1</v>
      </c>
      <c r="CK56" s="3">
        <f>+IF(AVANCE[[#This Row],[REVESTIMIENTO INTERIOR ZONAS HUMEDAS]]=AX$2,100%,AVANCE[[#This Row],[REVESTIMIENTO INTERIOR ZONAS HUMEDAS]])</f>
        <v>1</v>
      </c>
      <c r="CL56" s="3">
        <f>+IF(AVANCE[[#This Row],[MEMBRANA CIELO]]=AY$2,100%,AVANCE[[#This Row],[MEMBRANA CIELO]])</f>
        <v>1</v>
      </c>
      <c r="CM56" s="3">
        <f>+IF(AVANCE[[#This Row],[LIMPIEZA FINAL]]=AZ$2,100%,AVANCE[[#This Row],[LIMPIEZA FINAL]])</f>
        <v>0</v>
      </c>
      <c r="CN56" s="3">
        <f>+IF(AVANCE[[#This Row],[PUERTAS DORMITORIO]]=BA$2,100%,AVANCE[[#This Row],[PUERTAS DORMITORIO]])</f>
        <v>1</v>
      </c>
      <c r="CO56" s="3">
        <f>+IF(AVANCE[[#This Row],[REVESTIMIENTO INTERIOR BANO]]=BB$2,100%,AVANCE[[#This Row],[REVESTIMIENTO INTERIOR BANO]])</f>
        <v>0</v>
      </c>
      <c r="CP56" s="3">
        <f>+IF(AVANCE[[#This Row],[MUEBLE LAVAPLATOS]]=BC$2,100%,AVANCE[[#This Row],[MUEBLE LAVAPLATOS]])</f>
        <v>0</v>
      </c>
      <c r="CQ56" s="3">
        <f>+IF(AVANCE[[#This Row],[IMPERMEABILIZACION BANO - COCINA LOGIA]]=BD$2,100%,AVANCE[[#This Row],[IMPERMEABILIZACION BANO - COCINA LOGIA]])</f>
        <v>1</v>
      </c>
      <c r="CR56" s="40">
        <f ca="1">+IF(AVANCE[[#This Row],[ESTADO MODULO]]="PENDIENTE",(TODAY()-AVANCE[[#This Row],[FECHA TERMINO  PLANIFICADO]]),0)</f>
        <v>7</v>
      </c>
      <c r="CS56" s="42" t="str" cm="1">
        <f t="array" ref="CS56">_xlfn.TEXTJOIN(" | ",TRUE,IF(SUMPRODUCT((BF56:CQ56&lt;1)*(PARTIDAS!$I$2:$AT$2="OBRA GRUESA"))&gt;0,"OBRA GRUESA: "&amp;_xlfn.TEXTJOIN(", ",TRUE,IF((BF56:CQ56&lt;1)*(PARTIDAS!$I$2:$AT$2="OBRA GRUESA"),PARTIDAS!$I$1:$AT$1,"")),""),IF(SUMPRODUCT((BF56:CQ56&lt;1)*(PARTIDAS!$I$2:$AT$2="SANITARIOS"))&gt;0,"SANITARIOS: "&amp;_xlfn.TEXTJOIN(", ",TRUE,IF((BF56:CQ56&lt;1)*(PARTIDAS!$I$2:$AT$2="SANITARIOS"),PARTIDAS!$I$1:$AT$1,"")),""),IF(SUMPRODUCT((BF56:CQ56&lt;1)*(PARTIDAS!$I$2:$AT$2="ELÉCTRICO"))&gt;0,"ELÉCTRICO: "&amp;_xlfn.TEXTJOIN(", ",TRUE,IF((BF56:CQ56&lt;1)*(PARTIDAS!$I$2:$AT$2="ELÉCTRICO"),PARTIDAS!$I$1:$AT$1,"")),""),IF(SUMPRODUCT((BF56:CQ56&lt;1)*(PARTIDAS!$I$2:$AT$2="TERMINACIONES"))&gt;0,"TERMINACIONES: "&amp;_xlfn.TEXTJOIN(", ",TRUE,IF((BF56:CQ56&lt;1)*(PARTIDAS!$I$2:$AT$2="TERMINACIONES"),PARTIDAS!$I$1:$AT$1,"")),""))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T56" s="45" t="str" cm="1">
        <f t="array" ref="CT56">_xlfn.TEXTJOIN(", ",TRUE,IF(SUMPRODUCT((BF56:CQ56&lt;1)*(PARTIDAS!$I$2:$AT$2="OBRA GRUESA"))&gt;0,"OBRA GRUESA",""),IF(SUMPRODUCT((BF56:CQ56&lt;1)*(PARTIDAS!$I$2:$AT$2="SANITARIOS"))&gt;0,"SANITARIOS",""),IF(SUMPRODUCT((BF56:CQ56&lt;1)*(PARTIDAS!$I$2:$AT$2="ELÉCTRICO"))&gt;0,"ELÉCTRICO",""),IF(SUMPRODUCT((BF56:CQ56&lt;1)*(PARTIDAS!$I$2:$AT$2="TERMINACIONES"))&gt;0,"TERMINACIONES",""))</f>
        <v>SANITARIOS, ELÉCTRICO, TERMINACIONES</v>
      </c>
      <c r="CU56" s="46" cm="1">
        <f t="array" ref="CU56">SUMPRODUCT(--(BF56:CQ56&lt;1))</f>
        <v>14</v>
      </c>
    </row>
    <row r="57" spans="1:99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19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 s="3" t="str">
        <f>+IF(AVANCE[[#This Row],[% AVANCE]]=100%,"MODULO TERMINADO",IF(AVANCE[[#This Row],[FECHA INICIO REAL]]="","MODULO NO INICIADO","PENDIENTE"))</f>
        <v>PENDIENTE</v>
      </c>
      <c r="BF57" s="3">
        <f>+IF(AVANCE[[#This Row],[VENTANAS]]=8.10810810810811%,100%,AVANCE[[#This Row],[VENTANAS]])</f>
        <v>1</v>
      </c>
      <c r="BG57" s="3">
        <f>+IF(AVANCE[[#This Row],[PISO]]=N$2,100%,AVANCE[[#This Row],[PISO]])</f>
        <v>1</v>
      </c>
      <c r="BH57" s="3">
        <f>+IF(AVANCE[[#This Row],[TABIQUES]]=O$2,100%,AVANCE[[#This Row],[TABIQUES]])</f>
        <v>1</v>
      </c>
      <c r="BI57" s="3">
        <f>+IF(AVANCE[[#This Row],[MUROS]]=P$2,100%,AVANCE[[#This Row],[MUROS]])</f>
        <v>1</v>
      </c>
      <c r="BJ57" s="3">
        <f>+IF(AVANCE[[#This Row],[CIELO]]=Q$2,100%,AVANCE[[#This Row],[CIELO]])</f>
        <v>1</v>
      </c>
      <c r="BK57" s="3">
        <f>+IF(AVANCE[[#This Row],[BALCÓN]]=R$2,100%,AVANCE[[#This Row],[BALCÓN]])</f>
        <v>1</v>
      </c>
      <c r="BL57" s="3">
        <f>+IF(AVANCE[[#This Row],[RED ALCANTARILLADO]]=U$2,100%,AVANCE[[#This Row],[RED ALCANTARILLADO]])</f>
        <v>1</v>
      </c>
      <c r="BM57" s="3">
        <f>+IF(AVANCE[[#This Row],[RED DE AGUA]]=V$2,100%,AVANCE[[#This Row],[RED DE AGUA]])</f>
        <v>1</v>
      </c>
      <c r="BN57" s="3">
        <f>+IF(AVANCE[[#This Row],[VENTILACIONES]]=W$2,100%,AVANCE[[#This Row],[VENTILACIONES]])</f>
        <v>1</v>
      </c>
      <c r="BO57" s="3">
        <f>+IF(AVANCE[[#This Row],[TINA]]=X$2,100%,AVANCE[[#This Row],[TINA]])</f>
        <v>1</v>
      </c>
      <c r="BP57" s="3">
        <f>+IF(AVANCE[[#This Row],[WC]]=Y$2,100%,AVANCE[[#This Row],[WC]])</f>
        <v>1</v>
      </c>
      <c r="BQ57" s="3">
        <f>+IF(AVANCE[[#This Row],[LAVAMANOS / LAVAPLATOS / LAVADERO]]=Z$2,100%,AVANCE[[#This Row],[LAVAMANOS / LAVAPLATOS / LAVADERO]])</f>
        <v>1</v>
      </c>
      <c r="BR57" s="3">
        <f>+IF(AVANCE[[#This Row],[CANALIZACIÓN]]=AC$2,100%,AVANCE[[#This Row],[CANALIZACIÓN]])</f>
        <v>1</v>
      </c>
      <c r="BS57" s="3">
        <f>+IF(AVANCE[[#This Row],[CABLEADO]]=AD$2,100%,AVANCE[[#This Row],[CABLEADO]])</f>
        <v>1</v>
      </c>
      <c r="BT57" s="3">
        <f>+IF(AVANCE[[#This Row],[ARTEFACTOS]]=AE$2,100%,AVANCE[[#This Row],[ARTEFACTOS]])</f>
        <v>0</v>
      </c>
      <c r="BU57" s="3">
        <f>+IF(AVANCE[[#This Row],[TABLERO]]=AF$2,100%,AVANCE[[#This Row],[TABLERO]])</f>
        <v>1</v>
      </c>
      <c r="BV57" s="3">
        <f>+IF(AVANCE[[#This Row],[CAJA PAU]]=AG$2,100%,AVANCE[[#This Row],[CAJA PAU]])</f>
        <v>1</v>
      </c>
      <c r="BW57" s="3">
        <f>+IF(AVANCE[[#This Row],[INSTALACION VINILICO]]=AJ$2,100%,AVANCE[[#This Row],[INSTALACION VINILICO]])</f>
        <v>1</v>
      </c>
      <c r="BX57" s="3">
        <f>+IF(AVANCE[[#This Row],[OSB CUBIERTA]]=AK$2,100%,AVANCE[[#This Row],[OSB CUBIERTA]])</f>
        <v>1</v>
      </c>
      <c r="BY57" s="3">
        <f>+IF(AVANCE[[#This Row],[BARANDA BALCON]]=AL$2,100%,AVANCE[[#This Row],[BARANDA BALCON]])</f>
        <v>1</v>
      </c>
      <c r="BZ57" s="3">
        <f>+IF(AVANCE[[#This Row],[OSB EXTERIOR]]=AM$2,100%,AVANCE[[#This Row],[OSB EXTERIOR]])</f>
        <v>1</v>
      </c>
      <c r="CA57" s="3">
        <f>+IF(AVANCE[[#This Row],[SMART PANEL]]=AN$2,100%,AVANCE[[#This Row],[SMART PANEL]])</f>
        <v>1</v>
      </c>
      <c r="CB57" s="3">
        <f>+IF(AVANCE[[#This Row],[PINTURA EXTERIOR]]=AO$2,100%,AVANCE[[#This Row],[PINTURA EXTERIOR]])</f>
        <v>1</v>
      </c>
      <c r="CC57" s="3">
        <f>+IF(AVANCE[[#This Row],[ZOCALOS LOGIA]]=AP$2,100%,AVANCE[[#This Row],[ZOCALOS LOGIA]])</f>
        <v>1</v>
      </c>
      <c r="CD57" s="3">
        <f>+IF(AVANCE[[#This Row],[MOLDURAS]]=AQ$2,100%,AVANCE[[#This Row],[MOLDURAS]])</f>
        <v>1</v>
      </c>
      <c r="CE57" s="3">
        <f>+IF(AVANCE[[#This Row],[PILASTREO]]=AR$2,100%,AVANCE[[#This Row],[PILASTREO]])</f>
        <v>1</v>
      </c>
      <c r="CF57" s="3">
        <f>+IF(AVANCE[[#This Row],[CELOSIAS]]=AS$2,100%,AVANCE[[#This Row],[CELOSIAS]])</f>
        <v>1</v>
      </c>
      <c r="CG57" s="3">
        <f>+IF(AVANCE[[#This Row],[VENTANAS]]=AT$2,100%,AVANCE[[#This Row],[VENTANAS]])</f>
        <v>1</v>
      </c>
      <c r="CH57" s="3">
        <f>+IF(AVANCE[[#This Row],[PUERTAS ACCESO - LOGIA - BANO]]=AU$2,100%,AVANCE[[#This Row],[PUERTAS ACCESO - LOGIA - BANO]])</f>
        <v>1</v>
      </c>
      <c r="CI57" s="3">
        <f>+IF(AVANCE[[#This Row],[CERRADURAS]]=AV$2,100%,AVANCE[[#This Row],[CERRADURAS]])</f>
        <v>1</v>
      </c>
      <c r="CJ57" s="3">
        <f>+IF(AVANCE[[#This Row],[REVESTIMIENTO INTERIOR ZONA SECA]]=AW$2,100%,AVANCE[[#This Row],[REVESTIMIENTO INTERIOR ZONA SECA]])</f>
        <v>1</v>
      </c>
      <c r="CK57" s="3">
        <f>+IF(AVANCE[[#This Row],[REVESTIMIENTO INTERIOR ZONAS HUMEDAS]]=AX$2,100%,AVANCE[[#This Row],[REVESTIMIENTO INTERIOR ZONAS HUMEDAS]])</f>
        <v>1</v>
      </c>
      <c r="CL57" s="3">
        <f>+IF(AVANCE[[#This Row],[MEMBRANA CIELO]]=AY$2,100%,AVANCE[[#This Row],[MEMBRANA CIELO]])</f>
        <v>1</v>
      </c>
      <c r="CM57" s="3">
        <f>+IF(AVANCE[[#This Row],[LIMPIEZA FINAL]]=AZ$2,100%,AVANCE[[#This Row],[LIMPIEZA FINAL]])</f>
        <v>0</v>
      </c>
      <c r="CN57" s="3">
        <f>+IF(AVANCE[[#This Row],[PUERTAS DORMITORIO]]=BA$2,100%,AVANCE[[#This Row],[PUERTAS DORMITORIO]])</f>
        <v>1</v>
      </c>
      <c r="CO57" s="3">
        <f>+IF(AVANCE[[#This Row],[REVESTIMIENTO INTERIOR BANO]]=BB$2,100%,AVANCE[[#This Row],[REVESTIMIENTO INTERIOR BANO]])</f>
        <v>1</v>
      </c>
      <c r="CP57" s="3">
        <f>+IF(AVANCE[[#This Row],[MUEBLE LAVAPLATOS]]=BC$2,100%,AVANCE[[#This Row],[MUEBLE LAVAPLATOS]])</f>
        <v>1</v>
      </c>
      <c r="CQ57" s="3">
        <f>+IF(AVANCE[[#This Row],[IMPERMEABILIZACION BANO - COCINA LOGIA]]=BD$2,100%,AVANCE[[#This Row],[IMPERMEABILIZACION BANO - COCINA LOGIA]])</f>
        <v>1</v>
      </c>
      <c r="CR57" s="40">
        <f ca="1">+IF(AVANCE[[#This Row],[ESTADO MODULO]]="PENDIENTE",(TODAY()-AVANCE[[#This Row],[FECHA TERMINO  PLANIFICADO]]),0)</f>
        <v>7</v>
      </c>
      <c r="CS57" s="42" t="str" cm="1">
        <f t="array" ref="CS57">_xlfn.TEXTJOIN(" | ",TRUE,IF(SUMPRODUCT((BF57:CQ57&lt;1)*(PARTIDAS!$I$2:$AT$2="OBRA GRUESA"))&gt;0,"OBRA GRUESA: "&amp;_xlfn.TEXTJOIN(", ",TRUE,IF((BF57:CQ57&lt;1)*(PARTIDAS!$I$2:$AT$2="OBRA GRUESA"),PARTIDAS!$I$1:$AT$1,"")),""),IF(SUMPRODUCT((BF57:CQ57&lt;1)*(PARTIDAS!$I$2:$AT$2="SANITARIOS"))&gt;0,"SANITARIOS: "&amp;_xlfn.TEXTJOIN(", ",TRUE,IF((BF57:CQ57&lt;1)*(PARTIDAS!$I$2:$AT$2="SANITARIOS"),PARTIDAS!$I$1:$AT$1,"")),""),IF(SUMPRODUCT((BF57:CQ57&lt;1)*(PARTIDAS!$I$2:$AT$2="ELÉCTRICO"))&gt;0,"ELÉCTRICO: "&amp;_xlfn.TEXTJOIN(", ",TRUE,IF((BF57:CQ57&lt;1)*(PARTIDAS!$I$2:$AT$2="ELÉCTRICO"),PARTIDAS!$I$1:$AT$1,"")),""),IF(SUMPRODUCT((BF57:CQ57&lt;1)*(PARTIDAS!$I$2:$AT$2="TERMINACIONES"))&gt;0,"TERMINACIONES: "&amp;_xlfn.TEXTJOIN(", ",TRUE,IF((BF57:CQ57&lt;1)*(PARTIDAS!$I$2:$AT$2="TERMINACIONES"),PARTIDAS!$I$1:$AT$1,"")),""))</f>
        <v>ELÉCTRICO: ARTEFACTOS | TERMINACIONES: LIMPIEZA FINAL</v>
      </c>
      <c r="CT57" s="45" t="str" cm="1">
        <f t="array" ref="CT57">_xlfn.TEXTJOIN(", ",TRUE,IF(SUMPRODUCT((BF57:CQ57&lt;1)*(PARTIDAS!$I$2:$AT$2="OBRA GRUESA"))&gt;0,"OBRA GRUESA",""),IF(SUMPRODUCT((BF57:CQ57&lt;1)*(PARTIDAS!$I$2:$AT$2="SANITARIOS"))&gt;0,"SANITARIOS",""),IF(SUMPRODUCT((BF57:CQ57&lt;1)*(PARTIDAS!$I$2:$AT$2="ELÉCTRICO"))&gt;0,"ELÉCTRICO",""),IF(SUMPRODUCT((BF57:CQ57&lt;1)*(PARTIDAS!$I$2:$AT$2="TERMINACIONES"))&gt;0,"TERMINACIONES",""))</f>
        <v>ELÉCTRICO, TERMINACIONES</v>
      </c>
      <c r="CU57" s="46" cm="1">
        <f t="array" ref="CU57">SUMPRODUCT(--(BF57:CQ57&lt;1))</f>
        <v>2</v>
      </c>
    </row>
    <row r="58" spans="1:99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10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 s="3" t="str">
        <f>+IF(AVANCE[[#This Row],[% AVANCE]]=100%,"MODULO TERMINADO",IF(AVANCE[[#This Row],[FECHA INICIO REAL]]="","MODULO NO INICIADO","PENDIENTE"))</f>
        <v>PENDIENTE</v>
      </c>
      <c r="BF58" s="3">
        <f>+IF(AVANCE[[#This Row],[VENTANAS]]=8.10810810810811%,100%,AVANCE[[#This Row],[VENTANAS]])</f>
        <v>1</v>
      </c>
      <c r="BG58" s="3">
        <f>+IF(AVANCE[[#This Row],[PISO]]=N$2,100%,AVANCE[[#This Row],[PISO]])</f>
        <v>1</v>
      </c>
      <c r="BH58" s="3">
        <f>+IF(AVANCE[[#This Row],[TABIQUES]]=O$2,100%,AVANCE[[#This Row],[TABIQUES]])</f>
        <v>1</v>
      </c>
      <c r="BI58" s="3">
        <f>+IF(AVANCE[[#This Row],[MUROS]]=P$2,100%,AVANCE[[#This Row],[MUROS]])</f>
        <v>1</v>
      </c>
      <c r="BJ58" s="3">
        <f>+IF(AVANCE[[#This Row],[CIELO]]=Q$2,100%,AVANCE[[#This Row],[CIELO]])</f>
        <v>1</v>
      </c>
      <c r="BK58" s="3">
        <f>+IF(AVANCE[[#This Row],[BALCÓN]]=R$2,100%,AVANCE[[#This Row],[BALCÓN]])</f>
        <v>1</v>
      </c>
      <c r="BL58" s="3">
        <f>+IF(AVANCE[[#This Row],[RED ALCANTARILLADO]]=U$2,100%,AVANCE[[#This Row],[RED ALCANTARILLADO]])</f>
        <v>1</v>
      </c>
      <c r="BM58" s="3">
        <f>+IF(AVANCE[[#This Row],[RED DE AGUA]]=V$2,100%,AVANCE[[#This Row],[RED DE AGUA]])</f>
        <v>1</v>
      </c>
      <c r="BN58" s="3">
        <f>+IF(AVANCE[[#This Row],[VENTILACIONES]]=W$2,100%,AVANCE[[#This Row],[VENTILACIONES]])</f>
        <v>1</v>
      </c>
      <c r="BO58" s="3">
        <f>+IF(AVANCE[[#This Row],[TINA]]=X$2,100%,AVANCE[[#This Row],[TINA]])</f>
        <v>1</v>
      </c>
      <c r="BP58" s="3">
        <f>+IF(AVANCE[[#This Row],[WC]]=Y$2,100%,AVANCE[[#This Row],[WC]])</f>
        <v>1</v>
      </c>
      <c r="BQ58" s="3">
        <f>+IF(AVANCE[[#This Row],[LAVAMANOS / LAVAPLATOS / LAVADERO]]=Z$2,100%,AVANCE[[#This Row],[LAVAMANOS / LAVAPLATOS / LAVADERO]])</f>
        <v>1</v>
      </c>
      <c r="BR58" s="3">
        <f>+IF(AVANCE[[#This Row],[CANALIZACIÓN]]=AC$2,100%,AVANCE[[#This Row],[CANALIZACIÓN]])</f>
        <v>1</v>
      </c>
      <c r="BS58" s="3">
        <f>+IF(AVANCE[[#This Row],[CABLEADO]]=AD$2,100%,AVANCE[[#This Row],[CABLEADO]])</f>
        <v>1</v>
      </c>
      <c r="BT58" s="3">
        <f>+IF(AVANCE[[#This Row],[ARTEFACTOS]]=AE$2,100%,AVANCE[[#This Row],[ARTEFACTOS]])</f>
        <v>0</v>
      </c>
      <c r="BU58" s="3">
        <f>+IF(AVANCE[[#This Row],[TABLERO]]=AF$2,100%,AVANCE[[#This Row],[TABLERO]])</f>
        <v>1</v>
      </c>
      <c r="BV58" s="3">
        <f>+IF(AVANCE[[#This Row],[CAJA PAU]]=AG$2,100%,AVANCE[[#This Row],[CAJA PAU]])</f>
        <v>1</v>
      </c>
      <c r="BW58" s="3">
        <f>+IF(AVANCE[[#This Row],[INSTALACION VINILICO]]=AJ$2,100%,AVANCE[[#This Row],[INSTALACION VINILICO]])</f>
        <v>1</v>
      </c>
      <c r="BX58" s="3">
        <f>+IF(AVANCE[[#This Row],[OSB CUBIERTA]]=AK$2,100%,AVANCE[[#This Row],[OSB CUBIERTA]])</f>
        <v>1</v>
      </c>
      <c r="BY58" s="3">
        <f>+IF(AVANCE[[#This Row],[BARANDA BALCON]]=AL$2,100%,AVANCE[[#This Row],[BARANDA BALCON]])</f>
        <v>1</v>
      </c>
      <c r="BZ58" s="3">
        <f>+IF(AVANCE[[#This Row],[OSB EXTERIOR]]=AM$2,100%,AVANCE[[#This Row],[OSB EXTERIOR]])</f>
        <v>1</v>
      </c>
      <c r="CA58" s="3">
        <f>+IF(AVANCE[[#This Row],[SMART PANEL]]=AN$2,100%,AVANCE[[#This Row],[SMART PANEL]])</f>
        <v>1</v>
      </c>
      <c r="CB58" s="3">
        <f>+IF(AVANCE[[#This Row],[PINTURA EXTERIOR]]=AO$2,100%,AVANCE[[#This Row],[PINTURA EXTERIOR]])</f>
        <v>1</v>
      </c>
      <c r="CC58" s="3">
        <f>+IF(AVANCE[[#This Row],[ZOCALOS LOGIA]]=AP$2,100%,AVANCE[[#This Row],[ZOCALOS LOGIA]])</f>
        <v>1</v>
      </c>
      <c r="CD58" s="3">
        <f>+IF(AVANCE[[#This Row],[MOLDURAS]]=AQ$2,100%,AVANCE[[#This Row],[MOLDURAS]])</f>
        <v>0</v>
      </c>
      <c r="CE58" s="3">
        <f>+IF(AVANCE[[#This Row],[PILASTREO]]=AR$2,100%,AVANCE[[#This Row],[PILASTREO]])</f>
        <v>0</v>
      </c>
      <c r="CF58" s="3">
        <f>+IF(AVANCE[[#This Row],[CELOSIAS]]=AS$2,100%,AVANCE[[#This Row],[CELOSIAS]])</f>
        <v>0</v>
      </c>
      <c r="CG58" s="3">
        <f>+IF(AVANCE[[#This Row],[VENTANAS]]=AT$2,100%,AVANCE[[#This Row],[VENTANAS]])</f>
        <v>1</v>
      </c>
      <c r="CH58" s="3">
        <f>+IF(AVANCE[[#This Row],[PUERTAS ACCESO - LOGIA - BANO]]=AU$2,100%,AVANCE[[#This Row],[PUERTAS ACCESO - LOGIA - BANO]])</f>
        <v>1</v>
      </c>
      <c r="CI58" s="3">
        <f>+IF(AVANCE[[#This Row],[CERRADURAS]]=AV$2,100%,AVANCE[[#This Row],[CERRADURAS]])</f>
        <v>0</v>
      </c>
      <c r="CJ58" s="3">
        <f>+IF(AVANCE[[#This Row],[REVESTIMIENTO INTERIOR ZONA SECA]]=AW$2,100%,AVANCE[[#This Row],[REVESTIMIENTO INTERIOR ZONA SECA]])</f>
        <v>1</v>
      </c>
      <c r="CK58" s="3">
        <f>+IF(AVANCE[[#This Row],[REVESTIMIENTO INTERIOR ZONAS HUMEDAS]]=AX$2,100%,AVANCE[[#This Row],[REVESTIMIENTO INTERIOR ZONAS HUMEDAS]])</f>
        <v>1</v>
      </c>
      <c r="CL58" s="3">
        <f>+IF(AVANCE[[#This Row],[MEMBRANA CIELO]]=AY$2,100%,AVANCE[[#This Row],[MEMBRANA CIELO]])</f>
        <v>1</v>
      </c>
      <c r="CM58" s="3">
        <f>+IF(AVANCE[[#This Row],[LIMPIEZA FINAL]]=AZ$2,100%,AVANCE[[#This Row],[LIMPIEZA FINAL]])</f>
        <v>0</v>
      </c>
      <c r="CN58" s="3">
        <f>+IF(AVANCE[[#This Row],[PUERTAS DORMITORIO]]=BA$2,100%,AVANCE[[#This Row],[PUERTAS DORMITORIO]])</f>
        <v>1</v>
      </c>
      <c r="CO58" s="3">
        <f>+IF(AVANCE[[#This Row],[REVESTIMIENTO INTERIOR BANO]]=BB$2,100%,AVANCE[[#This Row],[REVESTIMIENTO INTERIOR BANO]])</f>
        <v>1</v>
      </c>
      <c r="CP58" s="3">
        <f>+IF(AVANCE[[#This Row],[MUEBLE LAVAPLATOS]]=BC$2,100%,AVANCE[[#This Row],[MUEBLE LAVAPLATOS]])</f>
        <v>1</v>
      </c>
      <c r="CQ58" s="3">
        <f>+IF(AVANCE[[#This Row],[IMPERMEABILIZACION BANO - COCINA LOGIA]]=BD$2,100%,AVANCE[[#This Row],[IMPERMEABILIZACION BANO - COCINA LOGIA]])</f>
        <v>1</v>
      </c>
      <c r="CR58" s="40">
        <f ca="1">+IF(AVANCE[[#This Row],[ESTADO MODULO]]="PENDIENTE",(TODAY()-AVANCE[[#This Row],[FECHA TERMINO  PLANIFICADO]]),0)</f>
        <v>-2</v>
      </c>
      <c r="CS58" s="42" t="str" cm="1">
        <f t="array" ref="CS58">_xlfn.TEXTJOIN(" | ",TRUE,IF(SUMPRODUCT((BF58:CQ58&lt;1)*(PARTIDAS!$I$2:$AT$2="OBRA GRUESA"))&gt;0,"OBRA GRUESA: "&amp;_xlfn.TEXTJOIN(", ",TRUE,IF((BF58:CQ58&lt;1)*(PARTIDAS!$I$2:$AT$2="OBRA GRUESA"),PARTIDAS!$I$1:$AT$1,"")),""),IF(SUMPRODUCT((BF58:CQ58&lt;1)*(PARTIDAS!$I$2:$AT$2="SANITARIOS"))&gt;0,"SANITARIOS: "&amp;_xlfn.TEXTJOIN(", ",TRUE,IF((BF58:CQ58&lt;1)*(PARTIDAS!$I$2:$AT$2="SANITARIOS"),PARTIDAS!$I$1:$AT$1,"")),""),IF(SUMPRODUCT((BF58:CQ58&lt;1)*(PARTIDAS!$I$2:$AT$2="ELÉCTRICO"))&gt;0,"ELÉCTRICO: "&amp;_xlfn.TEXTJOIN(", ",TRUE,IF((BF58:CQ58&lt;1)*(PARTIDAS!$I$2:$AT$2="ELÉCTRICO"),PARTIDAS!$I$1:$AT$1,"")),""),IF(SUMPRODUCT((BF58:CQ58&lt;1)*(PARTIDAS!$I$2:$AT$2="TERMINACIONES"))&gt;0,"TERMINACIONES: "&amp;_xlfn.TEXTJOIN(", ",TRUE,IF((BF58:CQ58&lt;1)*(PARTIDAS!$I$2:$AT$2="TERMINACIONES"),PARTIDAS!$I$1:$AT$1,"")),""))</f>
        <v>ELÉCTRICO: ARTEFACTOS | TERMINACIONES: MOLDURAS, PILASTREO, CELOSIAS, CERRADURAS, LIMPIEZA FINAL</v>
      </c>
      <c r="CT58" s="45" t="str" cm="1">
        <f t="array" ref="CT58">_xlfn.TEXTJOIN(", ",TRUE,IF(SUMPRODUCT((BF58:CQ58&lt;1)*(PARTIDAS!$I$2:$AT$2="OBRA GRUESA"))&gt;0,"OBRA GRUESA",""),IF(SUMPRODUCT((BF58:CQ58&lt;1)*(PARTIDAS!$I$2:$AT$2="SANITARIOS"))&gt;0,"SANITARIOS",""),IF(SUMPRODUCT((BF58:CQ58&lt;1)*(PARTIDAS!$I$2:$AT$2="ELÉCTRICO"))&gt;0,"ELÉCTRICO",""),IF(SUMPRODUCT((BF58:CQ58&lt;1)*(PARTIDAS!$I$2:$AT$2="TERMINACIONES"))&gt;0,"TERMINACIONES",""))</f>
        <v>ELÉCTRICO, TERMINACIONES</v>
      </c>
      <c r="CU58" s="46" cm="1">
        <f t="array" ref="CU58">SUMPRODUCT(--(BF58:CQ58&lt;1))</f>
        <v>6</v>
      </c>
    </row>
    <row r="59" spans="1:99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7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 s="3" t="str">
        <f>+IF(AVANCE[[#This Row],[% AVANCE]]=100%,"MODULO TERMINADO",IF(AVANCE[[#This Row],[FECHA INICIO REAL]]="","MODULO NO INICIADO","PENDIENTE"))</f>
        <v>PENDIENTE</v>
      </c>
      <c r="BF59" s="3">
        <f>+IF(AVANCE[[#This Row],[VENTANAS]]=8.10810810810811%,100%,AVANCE[[#This Row],[VENTANAS]])</f>
        <v>0</v>
      </c>
      <c r="BG59" s="3">
        <f>+IF(AVANCE[[#This Row],[PISO]]=N$2,100%,AVANCE[[#This Row],[PISO]])</f>
        <v>1</v>
      </c>
      <c r="BH59" s="3">
        <f>+IF(AVANCE[[#This Row],[TABIQUES]]=O$2,100%,AVANCE[[#This Row],[TABIQUES]])</f>
        <v>1</v>
      </c>
      <c r="BI59" s="3">
        <f>+IF(AVANCE[[#This Row],[MUROS]]=P$2,100%,AVANCE[[#This Row],[MUROS]])</f>
        <v>1</v>
      </c>
      <c r="BJ59" s="3">
        <f>+IF(AVANCE[[#This Row],[CIELO]]=Q$2,100%,AVANCE[[#This Row],[CIELO]])</f>
        <v>1</v>
      </c>
      <c r="BK59" s="3">
        <f>+IF(AVANCE[[#This Row],[BALCÓN]]=R$2,100%,AVANCE[[#This Row],[BALCÓN]])</f>
        <v>1</v>
      </c>
      <c r="BL59" s="3">
        <f>+IF(AVANCE[[#This Row],[RED ALCANTARILLADO]]=U$2,100%,AVANCE[[#This Row],[RED ALCANTARILLADO]])</f>
        <v>1</v>
      </c>
      <c r="BM59" s="3">
        <f>+IF(AVANCE[[#This Row],[RED DE AGUA]]=V$2,100%,AVANCE[[#This Row],[RED DE AGUA]])</f>
        <v>1</v>
      </c>
      <c r="BN59" s="3">
        <f>+IF(AVANCE[[#This Row],[VENTILACIONES]]=W$2,100%,AVANCE[[#This Row],[VENTILACIONES]])</f>
        <v>0</v>
      </c>
      <c r="BO59" s="3">
        <f>+IF(AVANCE[[#This Row],[TINA]]=X$2,100%,AVANCE[[#This Row],[TINA]])</f>
        <v>0</v>
      </c>
      <c r="BP59" s="3">
        <f>+IF(AVANCE[[#This Row],[WC]]=Y$2,100%,AVANCE[[#This Row],[WC]])</f>
        <v>0</v>
      </c>
      <c r="BQ59" s="3">
        <f>+IF(AVANCE[[#This Row],[LAVAMANOS / LAVAPLATOS / LAVADERO]]=Z$2,100%,AVANCE[[#This Row],[LAVAMANOS / LAVAPLATOS / LAVADERO]])</f>
        <v>0</v>
      </c>
      <c r="BR59" s="3">
        <f>+IF(AVANCE[[#This Row],[CANALIZACIÓN]]=AC$2,100%,AVANCE[[#This Row],[CANALIZACIÓN]])</f>
        <v>1</v>
      </c>
      <c r="BS59" s="3">
        <f>+IF(AVANCE[[#This Row],[CABLEADO]]=AD$2,100%,AVANCE[[#This Row],[CABLEADO]])</f>
        <v>0</v>
      </c>
      <c r="BT59" s="3">
        <f>+IF(AVANCE[[#This Row],[ARTEFACTOS]]=AE$2,100%,AVANCE[[#This Row],[ARTEFACTOS]])</f>
        <v>0</v>
      </c>
      <c r="BU59" s="3">
        <f>+IF(AVANCE[[#This Row],[TABLERO]]=AF$2,100%,AVANCE[[#This Row],[TABLERO]])</f>
        <v>0</v>
      </c>
      <c r="BV59" s="3">
        <f>+IF(AVANCE[[#This Row],[CAJA PAU]]=AG$2,100%,AVANCE[[#This Row],[CAJA PAU]])</f>
        <v>0</v>
      </c>
      <c r="BW59" s="3">
        <f>+IF(AVANCE[[#This Row],[INSTALACION VINILICO]]=AJ$2,100%,AVANCE[[#This Row],[INSTALACION VINILICO]])</f>
        <v>0</v>
      </c>
      <c r="BX59" s="3">
        <f>+IF(AVANCE[[#This Row],[OSB CUBIERTA]]=AK$2,100%,AVANCE[[#This Row],[OSB CUBIERTA]])</f>
        <v>1</v>
      </c>
      <c r="BY59" s="3">
        <f>+IF(AVANCE[[#This Row],[BARANDA BALCON]]=AL$2,100%,AVANCE[[#This Row],[BARANDA BALCON]])</f>
        <v>0</v>
      </c>
      <c r="BZ59" s="3">
        <f>+IF(AVANCE[[#This Row],[OSB EXTERIOR]]=AM$2,100%,AVANCE[[#This Row],[OSB EXTERIOR]])</f>
        <v>1</v>
      </c>
      <c r="CA59" s="3">
        <f>+IF(AVANCE[[#This Row],[SMART PANEL]]=AN$2,100%,AVANCE[[#This Row],[SMART PANEL]])</f>
        <v>1</v>
      </c>
      <c r="CB59" s="3">
        <f>+IF(AVANCE[[#This Row],[PINTURA EXTERIOR]]=AO$2,100%,AVANCE[[#This Row],[PINTURA EXTERIOR]])</f>
        <v>0</v>
      </c>
      <c r="CC59" s="3">
        <f>+IF(AVANCE[[#This Row],[ZOCALOS LOGIA]]=AP$2,100%,AVANCE[[#This Row],[ZOCALOS LOGIA]])</f>
        <v>0</v>
      </c>
      <c r="CD59" s="3">
        <f>+IF(AVANCE[[#This Row],[MOLDURAS]]=AQ$2,100%,AVANCE[[#This Row],[MOLDURAS]])</f>
        <v>0</v>
      </c>
      <c r="CE59" s="3">
        <f>+IF(AVANCE[[#This Row],[PILASTREO]]=AR$2,100%,AVANCE[[#This Row],[PILASTREO]])</f>
        <v>0</v>
      </c>
      <c r="CF59" s="3">
        <f>+IF(AVANCE[[#This Row],[CELOSIAS]]=AS$2,100%,AVANCE[[#This Row],[CELOSIAS]])</f>
        <v>0</v>
      </c>
      <c r="CG59" s="3">
        <f>+IF(AVANCE[[#This Row],[VENTANAS]]=AT$2,100%,AVANCE[[#This Row],[VENTANAS]])</f>
        <v>0</v>
      </c>
      <c r="CH59" s="3">
        <f>+IF(AVANCE[[#This Row],[PUERTAS ACCESO - LOGIA - BANO]]=AU$2,100%,AVANCE[[#This Row],[PUERTAS ACCESO - LOGIA - BANO]])</f>
        <v>0</v>
      </c>
      <c r="CI59" s="3">
        <f>+IF(AVANCE[[#This Row],[CERRADURAS]]=AV$2,100%,AVANCE[[#This Row],[CERRADURAS]])</f>
        <v>0</v>
      </c>
      <c r="CJ59" s="3">
        <f>+IF(AVANCE[[#This Row],[REVESTIMIENTO INTERIOR ZONA SECA]]=AW$2,100%,AVANCE[[#This Row],[REVESTIMIENTO INTERIOR ZONA SECA]])</f>
        <v>1</v>
      </c>
      <c r="CK59" s="3">
        <f>+IF(AVANCE[[#This Row],[REVESTIMIENTO INTERIOR ZONAS HUMEDAS]]=AX$2,100%,AVANCE[[#This Row],[REVESTIMIENTO INTERIOR ZONAS HUMEDAS]])</f>
        <v>1</v>
      </c>
      <c r="CL59" s="3">
        <f>+IF(AVANCE[[#This Row],[MEMBRANA CIELO]]=AY$2,100%,AVANCE[[#This Row],[MEMBRANA CIELO]])</f>
        <v>1</v>
      </c>
      <c r="CM59" s="3">
        <f>+IF(AVANCE[[#This Row],[LIMPIEZA FINAL]]=AZ$2,100%,AVANCE[[#This Row],[LIMPIEZA FINAL]])</f>
        <v>0</v>
      </c>
      <c r="CN59" s="3">
        <f>+IF(AVANCE[[#This Row],[PUERTAS DORMITORIO]]=BA$2,100%,AVANCE[[#This Row],[PUERTAS DORMITORIO]])</f>
        <v>1</v>
      </c>
      <c r="CO59" s="3">
        <f>+IF(AVANCE[[#This Row],[REVESTIMIENTO INTERIOR BANO]]=BB$2,100%,AVANCE[[#This Row],[REVESTIMIENTO INTERIOR BANO]])</f>
        <v>0</v>
      </c>
      <c r="CP59" s="3">
        <f>+IF(AVANCE[[#This Row],[MUEBLE LAVAPLATOS]]=BC$2,100%,AVANCE[[#This Row],[MUEBLE LAVAPLATOS]])</f>
        <v>0</v>
      </c>
      <c r="CQ59" s="3">
        <f>+IF(AVANCE[[#This Row],[IMPERMEABILIZACION BANO - COCINA LOGIA]]=BD$2,100%,AVANCE[[#This Row],[IMPERMEABILIZACION BANO - COCINA LOGIA]])</f>
        <v>1</v>
      </c>
      <c r="CR59" s="40">
        <f ca="1">+IF(AVANCE[[#This Row],[ESTADO MODULO]]="PENDIENTE",(TODAY()-AVANCE[[#This Row],[FECHA TERMINO  PLANIFICADO]]),0)</f>
        <v>-2</v>
      </c>
      <c r="CS59" s="42" t="str" cm="1">
        <f t="array" ref="CS59">_xlfn.TEXTJOIN(" | ",TRUE,IF(SUMPRODUCT((BF59:CQ59&lt;1)*(PARTIDAS!$I$2:$AT$2="OBRA GRUESA"))&gt;0,"OBRA GRUESA: "&amp;_xlfn.TEXTJOIN(", ",TRUE,IF((BF59:CQ59&lt;1)*(PARTIDAS!$I$2:$AT$2="OBRA GRUESA"),PARTIDAS!$I$1:$AT$1,"")),""),IF(SUMPRODUCT((BF59:CQ59&lt;1)*(PARTIDAS!$I$2:$AT$2="SANITARIOS"))&gt;0,"SANITARIOS: "&amp;_xlfn.TEXTJOIN(", ",TRUE,IF((BF59:CQ59&lt;1)*(PARTIDAS!$I$2:$AT$2="SANITARIOS"),PARTIDAS!$I$1:$AT$1,"")),""),IF(SUMPRODUCT((BF59:CQ59&lt;1)*(PARTIDAS!$I$2:$AT$2="ELÉCTRICO"))&gt;0,"ELÉCTRICO: "&amp;_xlfn.TEXTJOIN(", ",TRUE,IF((BF59:CQ59&lt;1)*(PARTIDAS!$I$2:$AT$2="ELÉCTRICO"),PARTIDAS!$I$1:$AT$1,"")),""),IF(SUMPRODUCT((BF59:CQ59&lt;1)*(PARTIDAS!$I$2:$AT$2="TERMINACIONES"))&gt;0,"TERMINACIONES: "&amp;_xlfn.TEXTJOIN(", ",TRUE,IF((BF59:CQ59&lt;1)*(PARTIDAS!$I$2:$AT$2="TERMINACIONES"),PARTIDAS!$I$1:$AT$1,"")),""))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T59" s="45" t="str" cm="1">
        <f t="array" ref="CT59">_xlfn.TEXTJOIN(", ",TRUE,IF(SUMPRODUCT((BF59:CQ59&lt;1)*(PARTIDAS!$I$2:$AT$2="OBRA GRUESA"))&gt;0,"OBRA GRUESA",""),IF(SUMPRODUCT((BF59:CQ59&lt;1)*(PARTIDAS!$I$2:$AT$2="SANITARIOS"))&gt;0,"SANITARIOS",""),IF(SUMPRODUCT((BF59:CQ59&lt;1)*(PARTIDAS!$I$2:$AT$2="ELÉCTRICO"))&gt;0,"ELÉCTRICO",""),IF(SUMPRODUCT((BF59:CQ59&lt;1)*(PARTIDAS!$I$2:$AT$2="TERMINACIONES"))&gt;0,"TERMINACIONES",""))</f>
        <v>SANITARIOS, ELÉCTRICO, TERMINACIONES</v>
      </c>
      <c r="CU59" s="46" cm="1">
        <f t="array" ref="CU59">SUMPRODUCT(--(BF59:CQ59&lt;1))</f>
        <v>22</v>
      </c>
    </row>
    <row r="60" spans="1:99" x14ac:dyDescent="0.25">
      <c r="A60" t="s">
        <v>91</v>
      </c>
      <c r="B60" t="s">
        <v>118</v>
      </c>
      <c r="C60">
        <v>2302600059</v>
      </c>
      <c r="D60" t="s">
        <v>60</v>
      </c>
      <c r="E60" s="2">
        <v>0.75</v>
      </c>
      <c r="F60" s="1">
        <v>46147</v>
      </c>
      <c r="G60" s="1">
        <v>46146</v>
      </c>
      <c r="H60" s="1">
        <v>46176</v>
      </c>
      <c r="I60" s="1">
        <v>46184</v>
      </c>
      <c r="J60">
        <v>5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0.20999999999999991</v>
      </c>
      <c r="AI60" s="3">
        <v>0.56756756756756732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 s="3" t="str">
        <f>+IF(AVANCE[[#This Row],[% AVANCE]]=100%,"MODULO TERMINADO",IF(AVANCE[[#This Row],[FECHA INICIO REAL]]="","MODULO NO INICIADO","PENDIENTE"))</f>
        <v>PENDIENTE</v>
      </c>
      <c r="BF60" s="3">
        <f>+IF(AVANCE[[#This Row],[VENTANAS]]=8.10810810810811%,100%,AVANCE[[#This Row],[VENTANAS]])</f>
        <v>1</v>
      </c>
      <c r="BG60" s="3">
        <f>+IF(AVANCE[[#This Row],[PISO]]=N$2,100%,AVANCE[[#This Row],[PISO]])</f>
        <v>1</v>
      </c>
      <c r="BH60" s="3">
        <f>+IF(AVANCE[[#This Row],[TABIQUES]]=O$2,100%,AVANCE[[#This Row],[TABIQUES]])</f>
        <v>1</v>
      </c>
      <c r="BI60" s="3">
        <f>+IF(AVANCE[[#This Row],[MUROS]]=P$2,100%,AVANCE[[#This Row],[MUROS]])</f>
        <v>1</v>
      </c>
      <c r="BJ60" s="3">
        <f>+IF(AVANCE[[#This Row],[CIELO]]=Q$2,100%,AVANCE[[#This Row],[CIELO]])</f>
        <v>1</v>
      </c>
      <c r="BK60" s="3">
        <f>+IF(AVANCE[[#This Row],[BALCÓN]]=R$2,100%,AVANCE[[#This Row],[BALCÓN]])</f>
        <v>1</v>
      </c>
      <c r="BL60" s="3">
        <f>+IF(AVANCE[[#This Row],[RED ALCANTARILLADO]]=U$2,100%,AVANCE[[#This Row],[RED ALCANTARILLADO]])</f>
        <v>1</v>
      </c>
      <c r="BM60" s="3">
        <f>+IF(AVANCE[[#This Row],[RED DE AGUA]]=V$2,100%,AVANCE[[#This Row],[RED DE AGUA]])</f>
        <v>1</v>
      </c>
      <c r="BN60" s="3">
        <f>+IF(AVANCE[[#This Row],[VENTILACIONES]]=W$2,100%,AVANCE[[#This Row],[VENTILACIONES]])</f>
        <v>0</v>
      </c>
      <c r="BO60" s="3">
        <f>+IF(AVANCE[[#This Row],[TINA]]=X$2,100%,AVANCE[[#This Row],[TINA]])</f>
        <v>1</v>
      </c>
      <c r="BP60" s="3">
        <f>+IF(AVANCE[[#This Row],[WC]]=Y$2,100%,AVANCE[[#This Row],[WC]])</f>
        <v>1</v>
      </c>
      <c r="BQ60" s="3">
        <f>+IF(AVANCE[[#This Row],[LAVAMANOS / LAVAPLATOS / LAVADERO]]=Z$2,100%,AVANCE[[#This Row],[LAVAMANOS / LAVAPLATOS / LAVADERO]])</f>
        <v>1</v>
      </c>
      <c r="BR60" s="3">
        <f>+IF(AVANCE[[#This Row],[CANALIZACIÓN]]=AC$2,100%,AVANCE[[#This Row],[CANALIZACIÓN]])</f>
        <v>1</v>
      </c>
      <c r="BS60" s="3">
        <f>+IF(AVANCE[[#This Row],[CABLEADO]]=AD$2,100%,AVANCE[[#This Row],[CABLEADO]])</f>
        <v>0</v>
      </c>
      <c r="BT60" s="3">
        <f>+IF(AVANCE[[#This Row],[ARTEFACTOS]]=AE$2,100%,AVANCE[[#This Row],[ARTEFACTOS]])</f>
        <v>0</v>
      </c>
      <c r="BU60" s="3">
        <f>+IF(AVANCE[[#This Row],[TABLERO]]=AF$2,100%,AVANCE[[#This Row],[TABLERO]])</f>
        <v>0</v>
      </c>
      <c r="BV60" s="3">
        <f>+IF(AVANCE[[#This Row],[CAJA PAU]]=AG$2,100%,AVANCE[[#This Row],[CAJA PAU]])</f>
        <v>0</v>
      </c>
      <c r="BW60" s="3">
        <f>+IF(AVANCE[[#This Row],[INSTALACION VINILICO]]=AJ$2,100%,AVANCE[[#This Row],[INSTALACION VINILICO]])</f>
        <v>1</v>
      </c>
      <c r="BX60" s="3">
        <f>+IF(AVANCE[[#This Row],[OSB CUBIERTA]]=AK$2,100%,AVANCE[[#This Row],[OSB CUBIERTA]])</f>
        <v>1</v>
      </c>
      <c r="BY60" s="3">
        <f>+IF(AVANCE[[#This Row],[BARANDA BALCON]]=AL$2,100%,AVANCE[[#This Row],[BARANDA BALCON]])</f>
        <v>0</v>
      </c>
      <c r="BZ60" s="3">
        <f>+IF(AVANCE[[#This Row],[OSB EXTERIOR]]=AM$2,100%,AVANCE[[#This Row],[OSB EXTERIOR]])</f>
        <v>1</v>
      </c>
      <c r="CA60" s="3">
        <f>+IF(AVANCE[[#This Row],[SMART PANEL]]=AN$2,100%,AVANCE[[#This Row],[SMART PANEL]])</f>
        <v>1</v>
      </c>
      <c r="CB60" s="3">
        <f>+IF(AVANCE[[#This Row],[PINTURA EXTERIOR]]=AO$2,100%,AVANCE[[#This Row],[PINTURA EXTERIOR]])</f>
        <v>0</v>
      </c>
      <c r="CC60" s="3">
        <f>+IF(AVANCE[[#This Row],[ZOCALOS LOGIA]]=AP$2,100%,AVANCE[[#This Row],[ZOCALOS LOGIA]])</f>
        <v>0</v>
      </c>
      <c r="CD60" s="3">
        <f>+IF(AVANCE[[#This Row],[MOLDURAS]]=AQ$2,100%,AVANCE[[#This Row],[MOLDURAS]])</f>
        <v>0</v>
      </c>
      <c r="CE60" s="3">
        <f>+IF(AVANCE[[#This Row],[PILASTREO]]=AR$2,100%,AVANCE[[#This Row],[PILASTREO]])</f>
        <v>0</v>
      </c>
      <c r="CF60" s="3">
        <f>+IF(AVANCE[[#This Row],[CELOSIAS]]=AS$2,100%,AVANCE[[#This Row],[CELOSIAS]])</f>
        <v>0</v>
      </c>
      <c r="CG60" s="3">
        <f>+IF(AVANCE[[#This Row],[VENTANAS]]=AT$2,100%,AVANCE[[#This Row],[VENTANAS]])</f>
        <v>1</v>
      </c>
      <c r="CH60" s="3">
        <f>+IF(AVANCE[[#This Row],[PUERTAS ACCESO - LOGIA - BANO]]=AU$2,100%,AVANCE[[#This Row],[PUERTAS ACCESO - LOGIA - BANO]])</f>
        <v>0</v>
      </c>
      <c r="CI60" s="3">
        <f>+IF(AVANCE[[#This Row],[CERRADURAS]]=AV$2,100%,AVANCE[[#This Row],[CERRADURAS]])</f>
        <v>0</v>
      </c>
      <c r="CJ60" s="3">
        <f>+IF(AVANCE[[#This Row],[REVESTIMIENTO INTERIOR ZONA SECA]]=AW$2,100%,AVANCE[[#This Row],[REVESTIMIENTO INTERIOR ZONA SECA]])</f>
        <v>1</v>
      </c>
      <c r="CK60" s="3">
        <f>+IF(AVANCE[[#This Row],[REVESTIMIENTO INTERIOR ZONAS HUMEDAS]]=AX$2,100%,AVANCE[[#This Row],[REVESTIMIENTO INTERIOR ZONAS HUMEDAS]])</f>
        <v>1</v>
      </c>
      <c r="CL60" s="3">
        <f>+IF(AVANCE[[#This Row],[MEMBRANA CIELO]]=AY$2,100%,AVANCE[[#This Row],[MEMBRANA CIELO]])</f>
        <v>1</v>
      </c>
      <c r="CM60" s="3">
        <f>+IF(AVANCE[[#This Row],[LIMPIEZA FINAL]]=AZ$2,100%,AVANCE[[#This Row],[LIMPIEZA FINAL]])</f>
        <v>0</v>
      </c>
      <c r="CN60" s="3">
        <f>+IF(AVANCE[[#This Row],[PUERTAS DORMITORIO]]=BA$2,100%,AVANCE[[#This Row],[PUERTAS DORMITORIO]])</f>
        <v>1</v>
      </c>
      <c r="CO60" s="3">
        <f>+IF(AVANCE[[#This Row],[REVESTIMIENTO INTERIOR BANO]]=BB$2,100%,AVANCE[[#This Row],[REVESTIMIENTO INTERIOR BANO]])</f>
        <v>0</v>
      </c>
      <c r="CP60" s="3">
        <f>+IF(AVANCE[[#This Row],[MUEBLE LAVAPLATOS]]=BC$2,100%,AVANCE[[#This Row],[MUEBLE LAVAPLATOS]])</f>
        <v>0</v>
      </c>
      <c r="CQ60" s="3">
        <f>+IF(AVANCE[[#This Row],[IMPERMEABILIZACION BANO - COCINA LOGIA]]=BD$2,100%,AVANCE[[#This Row],[IMPERMEABILIZACION BANO - COCINA LOGIA]])</f>
        <v>1</v>
      </c>
      <c r="CR60" s="40">
        <f ca="1">+IF(AVANCE[[#This Row],[ESTADO MODULO]]="PENDIENTE",(TODAY()-AVANCE[[#This Row],[FECHA TERMINO  PLANIFICADO]]),0)</f>
        <v>-3</v>
      </c>
      <c r="CS60" s="42" t="str" cm="1">
        <f t="array" ref="CS60">_xlfn.TEXTJOIN(" | ",TRUE,IF(SUMPRODUCT((BF60:CQ60&lt;1)*(PARTIDAS!$I$2:$AT$2="OBRA GRUESA"))&gt;0,"OBRA GRUESA: "&amp;_xlfn.TEXTJOIN(", ",TRUE,IF((BF60:CQ60&lt;1)*(PARTIDAS!$I$2:$AT$2="OBRA GRUESA"),PARTIDAS!$I$1:$AT$1,"")),""),IF(SUMPRODUCT((BF60:CQ60&lt;1)*(PARTIDAS!$I$2:$AT$2="SANITARIOS"))&gt;0,"SANITARIOS: "&amp;_xlfn.TEXTJOIN(", ",TRUE,IF((BF60:CQ60&lt;1)*(PARTIDAS!$I$2:$AT$2="SANITARIOS"),PARTIDAS!$I$1:$AT$1,"")),""),IF(SUMPRODUCT((BF60:CQ60&lt;1)*(PARTIDAS!$I$2:$AT$2="ELÉCTRICO"))&gt;0,"ELÉCTRICO: "&amp;_xlfn.TEXTJOIN(", ",TRUE,IF((BF60:CQ60&lt;1)*(PARTIDAS!$I$2:$AT$2="ELÉCTRICO"),PARTIDAS!$I$1:$AT$1,"")),""),IF(SUMPRODUCT((BF60:CQ60&lt;1)*(PARTIDAS!$I$2:$AT$2="TERMINACIONES"))&gt;0,"TERMINACIONES: "&amp;_xlfn.TEXTJOIN(", ",TRUE,IF((BF60:CQ60&lt;1)*(PARTIDAS!$I$2:$AT$2="TERMINACIONES"),PARTIDAS!$I$1:$AT$1,"")),""))</f>
        <v>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T60" s="45" t="str" cm="1">
        <f t="array" ref="CT60">_xlfn.TEXTJOIN(", ",TRUE,IF(SUMPRODUCT((BF60:CQ60&lt;1)*(PARTIDAS!$I$2:$AT$2="OBRA GRUESA"))&gt;0,"OBRA GRUESA",""),IF(SUMPRODUCT((BF60:CQ60&lt;1)*(PARTIDAS!$I$2:$AT$2="SANITARIOS"))&gt;0,"SANITARIOS",""),IF(SUMPRODUCT((BF60:CQ60&lt;1)*(PARTIDAS!$I$2:$AT$2="ELÉCTRICO"))&gt;0,"ELÉCTRICO",""),IF(SUMPRODUCT((BF60:CQ60&lt;1)*(PARTIDAS!$I$2:$AT$2="TERMINACIONES"))&gt;0,"TERMINACIONES",""))</f>
        <v>SANITARIOS, ELÉCTRICO, TERMINACIONES</v>
      </c>
      <c r="CU60" s="46" cm="1">
        <f t="array" ref="CU60">SUMPRODUCT(--(BF60:CQ60&lt;1))</f>
        <v>16</v>
      </c>
    </row>
    <row r="61" spans="1:99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10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 s="3" t="str">
        <f>+IF(AVANCE[[#This Row],[% AVANCE]]=100%,"MODULO TERMINADO",IF(AVANCE[[#This Row],[FECHA INICIO REAL]]="","MODULO NO INICIADO","PENDIENTE"))</f>
        <v>PENDIENTE</v>
      </c>
      <c r="BF61" s="3">
        <f>+IF(AVANCE[[#This Row],[VENTANAS]]=8.10810810810811%,100%,AVANCE[[#This Row],[VENTANAS]])</f>
        <v>1</v>
      </c>
      <c r="BG61" s="3">
        <f>+IF(AVANCE[[#This Row],[PISO]]=N$2,100%,AVANCE[[#This Row],[PISO]])</f>
        <v>1</v>
      </c>
      <c r="BH61" s="3">
        <f>+IF(AVANCE[[#This Row],[TABIQUES]]=O$2,100%,AVANCE[[#This Row],[TABIQUES]])</f>
        <v>1</v>
      </c>
      <c r="BI61" s="3">
        <f>+IF(AVANCE[[#This Row],[MUROS]]=P$2,100%,AVANCE[[#This Row],[MUROS]])</f>
        <v>1</v>
      </c>
      <c r="BJ61" s="3">
        <f>+IF(AVANCE[[#This Row],[CIELO]]=Q$2,100%,AVANCE[[#This Row],[CIELO]])</f>
        <v>1</v>
      </c>
      <c r="BK61" s="3">
        <f>+IF(AVANCE[[#This Row],[BALCÓN]]=R$2,100%,AVANCE[[#This Row],[BALCÓN]])</f>
        <v>1</v>
      </c>
      <c r="BL61" s="3">
        <f>+IF(AVANCE[[#This Row],[RED ALCANTARILLADO]]=U$2,100%,AVANCE[[#This Row],[RED ALCANTARILLADO]])</f>
        <v>1</v>
      </c>
      <c r="BM61" s="3">
        <f>+IF(AVANCE[[#This Row],[RED DE AGUA]]=V$2,100%,AVANCE[[#This Row],[RED DE AGUA]])</f>
        <v>1</v>
      </c>
      <c r="BN61" s="3">
        <f>+IF(AVANCE[[#This Row],[VENTILACIONES]]=W$2,100%,AVANCE[[#This Row],[VENTILACIONES]])</f>
        <v>1</v>
      </c>
      <c r="BO61" s="3">
        <f>+IF(AVANCE[[#This Row],[TINA]]=X$2,100%,AVANCE[[#This Row],[TINA]])</f>
        <v>1</v>
      </c>
      <c r="BP61" s="3">
        <f>+IF(AVANCE[[#This Row],[WC]]=Y$2,100%,AVANCE[[#This Row],[WC]])</f>
        <v>1</v>
      </c>
      <c r="BQ61" s="3">
        <f>+IF(AVANCE[[#This Row],[LAVAMANOS / LAVAPLATOS / LAVADERO]]=Z$2,100%,AVANCE[[#This Row],[LAVAMANOS / LAVAPLATOS / LAVADERO]])</f>
        <v>1</v>
      </c>
      <c r="BR61" s="3">
        <f>+IF(AVANCE[[#This Row],[CANALIZACIÓN]]=AC$2,100%,AVANCE[[#This Row],[CANALIZACIÓN]])</f>
        <v>1</v>
      </c>
      <c r="BS61" s="3">
        <f>+IF(AVANCE[[#This Row],[CABLEADO]]=AD$2,100%,AVANCE[[#This Row],[CABLEADO]])</f>
        <v>1</v>
      </c>
      <c r="BT61" s="3">
        <f>+IF(AVANCE[[#This Row],[ARTEFACTOS]]=AE$2,100%,AVANCE[[#This Row],[ARTEFACTOS]])</f>
        <v>0</v>
      </c>
      <c r="BU61" s="3">
        <f>+IF(AVANCE[[#This Row],[TABLERO]]=AF$2,100%,AVANCE[[#This Row],[TABLERO]])</f>
        <v>1</v>
      </c>
      <c r="BV61" s="3">
        <f>+IF(AVANCE[[#This Row],[CAJA PAU]]=AG$2,100%,AVANCE[[#This Row],[CAJA PAU]])</f>
        <v>1</v>
      </c>
      <c r="BW61" s="3">
        <f>+IF(AVANCE[[#This Row],[INSTALACION VINILICO]]=AJ$2,100%,AVANCE[[#This Row],[INSTALACION VINILICO]])</f>
        <v>1</v>
      </c>
      <c r="BX61" s="3">
        <f>+IF(AVANCE[[#This Row],[OSB CUBIERTA]]=AK$2,100%,AVANCE[[#This Row],[OSB CUBIERTA]])</f>
        <v>1</v>
      </c>
      <c r="BY61" s="3">
        <f>+IF(AVANCE[[#This Row],[BARANDA BALCON]]=AL$2,100%,AVANCE[[#This Row],[BARANDA BALCON]])</f>
        <v>1</v>
      </c>
      <c r="BZ61" s="3">
        <f>+IF(AVANCE[[#This Row],[OSB EXTERIOR]]=AM$2,100%,AVANCE[[#This Row],[OSB EXTERIOR]])</f>
        <v>1</v>
      </c>
      <c r="CA61" s="3">
        <f>+IF(AVANCE[[#This Row],[SMART PANEL]]=AN$2,100%,AVANCE[[#This Row],[SMART PANEL]])</f>
        <v>1</v>
      </c>
      <c r="CB61" s="3">
        <f>+IF(AVANCE[[#This Row],[PINTURA EXTERIOR]]=AO$2,100%,AVANCE[[#This Row],[PINTURA EXTERIOR]])</f>
        <v>1</v>
      </c>
      <c r="CC61" s="3">
        <f>+IF(AVANCE[[#This Row],[ZOCALOS LOGIA]]=AP$2,100%,AVANCE[[#This Row],[ZOCALOS LOGIA]])</f>
        <v>1</v>
      </c>
      <c r="CD61" s="3">
        <f>+IF(AVANCE[[#This Row],[MOLDURAS]]=AQ$2,100%,AVANCE[[#This Row],[MOLDURAS]])</f>
        <v>0</v>
      </c>
      <c r="CE61" s="3">
        <f>+IF(AVANCE[[#This Row],[PILASTREO]]=AR$2,100%,AVANCE[[#This Row],[PILASTREO]])</f>
        <v>0</v>
      </c>
      <c r="CF61" s="3">
        <f>+IF(AVANCE[[#This Row],[CELOSIAS]]=AS$2,100%,AVANCE[[#This Row],[CELOSIAS]])</f>
        <v>0</v>
      </c>
      <c r="CG61" s="3">
        <f>+IF(AVANCE[[#This Row],[VENTANAS]]=AT$2,100%,AVANCE[[#This Row],[VENTANAS]])</f>
        <v>1</v>
      </c>
      <c r="CH61" s="3">
        <f>+IF(AVANCE[[#This Row],[PUERTAS ACCESO - LOGIA - BANO]]=AU$2,100%,AVANCE[[#This Row],[PUERTAS ACCESO - LOGIA - BANO]])</f>
        <v>1</v>
      </c>
      <c r="CI61" s="3">
        <f>+IF(AVANCE[[#This Row],[CERRADURAS]]=AV$2,100%,AVANCE[[#This Row],[CERRADURAS]])</f>
        <v>0</v>
      </c>
      <c r="CJ61" s="3">
        <f>+IF(AVANCE[[#This Row],[REVESTIMIENTO INTERIOR ZONA SECA]]=AW$2,100%,AVANCE[[#This Row],[REVESTIMIENTO INTERIOR ZONA SECA]])</f>
        <v>1</v>
      </c>
      <c r="CK61" s="3">
        <f>+IF(AVANCE[[#This Row],[REVESTIMIENTO INTERIOR ZONAS HUMEDAS]]=AX$2,100%,AVANCE[[#This Row],[REVESTIMIENTO INTERIOR ZONAS HUMEDAS]])</f>
        <v>1</v>
      </c>
      <c r="CL61" s="3">
        <f>+IF(AVANCE[[#This Row],[MEMBRANA CIELO]]=AY$2,100%,AVANCE[[#This Row],[MEMBRANA CIELO]])</f>
        <v>1</v>
      </c>
      <c r="CM61" s="3">
        <f>+IF(AVANCE[[#This Row],[LIMPIEZA FINAL]]=AZ$2,100%,AVANCE[[#This Row],[LIMPIEZA FINAL]])</f>
        <v>0</v>
      </c>
      <c r="CN61" s="3">
        <f>+IF(AVANCE[[#This Row],[PUERTAS DORMITORIO]]=BA$2,100%,AVANCE[[#This Row],[PUERTAS DORMITORIO]])</f>
        <v>0</v>
      </c>
      <c r="CO61" s="3">
        <f>+IF(AVANCE[[#This Row],[REVESTIMIENTO INTERIOR BANO]]=BB$2,100%,AVANCE[[#This Row],[REVESTIMIENTO INTERIOR BANO]])</f>
        <v>1</v>
      </c>
      <c r="CP61" s="3">
        <f>+IF(AVANCE[[#This Row],[MUEBLE LAVAPLATOS]]=BC$2,100%,AVANCE[[#This Row],[MUEBLE LAVAPLATOS]])</f>
        <v>1</v>
      </c>
      <c r="CQ61" s="3">
        <f>+IF(AVANCE[[#This Row],[IMPERMEABILIZACION BANO - COCINA LOGIA]]=BD$2,100%,AVANCE[[#This Row],[IMPERMEABILIZACION BANO - COCINA LOGIA]])</f>
        <v>1</v>
      </c>
      <c r="CR61" s="40">
        <f ca="1">+IF(AVANCE[[#This Row],[ESTADO MODULO]]="PENDIENTE",(TODAY()-AVANCE[[#This Row],[FECHA TERMINO  PLANIFICADO]]),0)</f>
        <v>-3</v>
      </c>
      <c r="CS61" s="42" t="str" cm="1">
        <f t="array" ref="CS61">_xlfn.TEXTJOIN(" | ",TRUE,IF(SUMPRODUCT((BF61:CQ61&lt;1)*(PARTIDAS!$I$2:$AT$2="OBRA GRUESA"))&gt;0,"OBRA GRUESA: "&amp;_xlfn.TEXTJOIN(", ",TRUE,IF((BF61:CQ61&lt;1)*(PARTIDAS!$I$2:$AT$2="OBRA GRUESA"),PARTIDAS!$I$1:$AT$1,"")),""),IF(SUMPRODUCT((BF61:CQ61&lt;1)*(PARTIDAS!$I$2:$AT$2="SANITARIOS"))&gt;0,"SANITARIOS: "&amp;_xlfn.TEXTJOIN(", ",TRUE,IF((BF61:CQ61&lt;1)*(PARTIDAS!$I$2:$AT$2="SANITARIOS"),PARTIDAS!$I$1:$AT$1,"")),""),IF(SUMPRODUCT((BF61:CQ61&lt;1)*(PARTIDAS!$I$2:$AT$2="ELÉCTRICO"))&gt;0,"ELÉCTRICO: "&amp;_xlfn.TEXTJOIN(", ",TRUE,IF((BF61:CQ61&lt;1)*(PARTIDAS!$I$2:$AT$2="ELÉCTRICO"),PARTIDAS!$I$1:$AT$1,"")),""),IF(SUMPRODUCT((BF61:CQ61&lt;1)*(PARTIDAS!$I$2:$AT$2="TERMINACIONES"))&gt;0,"TERMINACIONES: "&amp;_xlfn.TEXTJOIN(", ",TRUE,IF((BF61:CQ61&lt;1)*(PARTIDAS!$I$2:$AT$2="TERMINACIONES"),PARTIDAS!$I$1:$AT$1,"")),""))</f>
        <v>ELÉCTRICO: ARTEFACTOS | TERMINACIONES: MOLDURAS, PILASTREO, CELOSIAS, CERRADURAS, LIMPIEZA FINAL, PUERTAS DORMITORIO</v>
      </c>
      <c r="CT61" s="45" t="str" cm="1">
        <f t="array" ref="CT61">_xlfn.TEXTJOIN(", ",TRUE,IF(SUMPRODUCT((BF61:CQ61&lt;1)*(PARTIDAS!$I$2:$AT$2="OBRA GRUESA"))&gt;0,"OBRA GRUESA",""),IF(SUMPRODUCT((BF61:CQ61&lt;1)*(PARTIDAS!$I$2:$AT$2="SANITARIOS"))&gt;0,"SANITARIOS",""),IF(SUMPRODUCT((BF61:CQ61&lt;1)*(PARTIDAS!$I$2:$AT$2="ELÉCTRICO"))&gt;0,"ELÉCTRICO",""),IF(SUMPRODUCT((BF61:CQ61&lt;1)*(PARTIDAS!$I$2:$AT$2="TERMINACIONES"))&gt;0,"TERMINACIONES",""))</f>
        <v>ELÉCTRICO, TERMINACIONES</v>
      </c>
      <c r="CU61" s="46" cm="1">
        <f t="array" ref="CU61">SUMPRODUCT(--(BF61:CQ61&lt;1))</f>
        <v>7</v>
      </c>
    </row>
    <row r="62" spans="1:99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5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 s="3" t="str">
        <f>+IF(AVANCE[[#This Row],[% AVANCE]]=100%,"MODULO TERMINADO",IF(AVANCE[[#This Row],[FECHA INICIO REAL]]="","MODULO NO INICIADO","PENDIENTE"))</f>
        <v>PENDIENTE</v>
      </c>
      <c r="BF62" s="3">
        <f>+IF(AVANCE[[#This Row],[VENTANAS]]=8.10810810810811%,100%,AVANCE[[#This Row],[VENTANAS]])</f>
        <v>1</v>
      </c>
      <c r="BG62" s="3">
        <f>+IF(AVANCE[[#This Row],[PISO]]=N$2,100%,AVANCE[[#This Row],[PISO]])</f>
        <v>1</v>
      </c>
      <c r="BH62" s="3">
        <f>+IF(AVANCE[[#This Row],[TABIQUES]]=O$2,100%,AVANCE[[#This Row],[TABIQUES]])</f>
        <v>1</v>
      </c>
      <c r="BI62" s="3">
        <f>+IF(AVANCE[[#This Row],[MUROS]]=P$2,100%,AVANCE[[#This Row],[MUROS]])</f>
        <v>1</v>
      </c>
      <c r="BJ62" s="3">
        <f>+IF(AVANCE[[#This Row],[CIELO]]=Q$2,100%,AVANCE[[#This Row],[CIELO]])</f>
        <v>1</v>
      </c>
      <c r="BK62" s="3">
        <f>+IF(AVANCE[[#This Row],[BALCÓN]]=R$2,100%,AVANCE[[#This Row],[BALCÓN]])</f>
        <v>1</v>
      </c>
      <c r="BL62" s="3">
        <f>+IF(AVANCE[[#This Row],[RED ALCANTARILLADO]]=U$2,100%,AVANCE[[#This Row],[RED ALCANTARILLADO]])</f>
        <v>1</v>
      </c>
      <c r="BM62" s="3">
        <f>+IF(AVANCE[[#This Row],[RED DE AGUA]]=V$2,100%,AVANCE[[#This Row],[RED DE AGUA]])</f>
        <v>1</v>
      </c>
      <c r="BN62" s="3">
        <f>+IF(AVANCE[[#This Row],[VENTILACIONES]]=W$2,100%,AVANCE[[#This Row],[VENTILACIONES]])</f>
        <v>1</v>
      </c>
      <c r="BO62" s="3">
        <f>+IF(AVANCE[[#This Row],[TINA]]=X$2,100%,AVANCE[[#This Row],[TINA]])</f>
        <v>1</v>
      </c>
      <c r="BP62" s="3">
        <f>+IF(AVANCE[[#This Row],[WC]]=Y$2,100%,AVANCE[[#This Row],[WC]])</f>
        <v>1</v>
      </c>
      <c r="BQ62" s="3">
        <f>+IF(AVANCE[[#This Row],[LAVAMANOS / LAVAPLATOS / LAVADERO]]=Z$2,100%,AVANCE[[#This Row],[LAVAMANOS / LAVAPLATOS / LAVADERO]])</f>
        <v>1</v>
      </c>
      <c r="BR62" s="3">
        <f>+IF(AVANCE[[#This Row],[CANALIZACIÓN]]=AC$2,100%,AVANCE[[#This Row],[CANALIZACIÓN]])</f>
        <v>1</v>
      </c>
      <c r="BS62" s="3">
        <f>+IF(AVANCE[[#This Row],[CABLEADO]]=AD$2,100%,AVANCE[[#This Row],[CABLEADO]])</f>
        <v>1</v>
      </c>
      <c r="BT62" s="3">
        <f>+IF(AVANCE[[#This Row],[ARTEFACTOS]]=AE$2,100%,AVANCE[[#This Row],[ARTEFACTOS]])</f>
        <v>0</v>
      </c>
      <c r="BU62" s="3">
        <f>+IF(AVANCE[[#This Row],[TABLERO]]=AF$2,100%,AVANCE[[#This Row],[TABLERO]])</f>
        <v>1</v>
      </c>
      <c r="BV62" s="3">
        <f>+IF(AVANCE[[#This Row],[CAJA PAU]]=AG$2,100%,AVANCE[[#This Row],[CAJA PAU]])</f>
        <v>1</v>
      </c>
      <c r="BW62" s="3">
        <f>+IF(AVANCE[[#This Row],[INSTALACION VINILICO]]=AJ$2,100%,AVANCE[[#This Row],[INSTALACION VINILICO]])</f>
        <v>1</v>
      </c>
      <c r="BX62" s="3">
        <f>+IF(AVANCE[[#This Row],[OSB CUBIERTA]]=AK$2,100%,AVANCE[[#This Row],[OSB CUBIERTA]])</f>
        <v>1</v>
      </c>
      <c r="BY62" s="3">
        <f>+IF(AVANCE[[#This Row],[BARANDA BALCON]]=AL$2,100%,AVANCE[[#This Row],[BARANDA BALCON]])</f>
        <v>1</v>
      </c>
      <c r="BZ62" s="3">
        <f>+IF(AVANCE[[#This Row],[OSB EXTERIOR]]=AM$2,100%,AVANCE[[#This Row],[OSB EXTERIOR]])</f>
        <v>1</v>
      </c>
      <c r="CA62" s="3">
        <f>+IF(AVANCE[[#This Row],[SMART PANEL]]=AN$2,100%,AVANCE[[#This Row],[SMART PANEL]])</f>
        <v>1</v>
      </c>
      <c r="CB62" s="3">
        <f>+IF(AVANCE[[#This Row],[PINTURA EXTERIOR]]=AO$2,100%,AVANCE[[#This Row],[PINTURA EXTERIOR]])</f>
        <v>1</v>
      </c>
      <c r="CC62" s="3">
        <f>+IF(AVANCE[[#This Row],[ZOCALOS LOGIA]]=AP$2,100%,AVANCE[[#This Row],[ZOCALOS LOGIA]])</f>
        <v>1</v>
      </c>
      <c r="CD62" s="3">
        <f>+IF(AVANCE[[#This Row],[MOLDURAS]]=AQ$2,100%,AVANCE[[#This Row],[MOLDURAS]])</f>
        <v>0</v>
      </c>
      <c r="CE62" s="3">
        <f>+IF(AVANCE[[#This Row],[PILASTREO]]=AR$2,100%,AVANCE[[#This Row],[PILASTREO]])</f>
        <v>0</v>
      </c>
      <c r="CF62" s="3">
        <f>+IF(AVANCE[[#This Row],[CELOSIAS]]=AS$2,100%,AVANCE[[#This Row],[CELOSIAS]])</f>
        <v>0</v>
      </c>
      <c r="CG62" s="3">
        <f>+IF(AVANCE[[#This Row],[VENTANAS]]=AT$2,100%,AVANCE[[#This Row],[VENTANAS]])</f>
        <v>1</v>
      </c>
      <c r="CH62" s="3">
        <f>+IF(AVANCE[[#This Row],[PUERTAS ACCESO - LOGIA - BANO]]=AU$2,100%,AVANCE[[#This Row],[PUERTAS ACCESO - LOGIA - BANO]])</f>
        <v>1</v>
      </c>
      <c r="CI62" s="3">
        <f>+IF(AVANCE[[#This Row],[CERRADURAS]]=AV$2,100%,AVANCE[[#This Row],[CERRADURAS]])</f>
        <v>0</v>
      </c>
      <c r="CJ62" s="3">
        <f>+IF(AVANCE[[#This Row],[REVESTIMIENTO INTERIOR ZONA SECA]]=AW$2,100%,AVANCE[[#This Row],[REVESTIMIENTO INTERIOR ZONA SECA]])</f>
        <v>1</v>
      </c>
      <c r="CK62" s="3">
        <f>+IF(AVANCE[[#This Row],[REVESTIMIENTO INTERIOR ZONAS HUMEDAS]]=AX$2,100%,AVANCE[[#This Row],[REVESTIMIENTO INTERIOR ZONAS HUMEDAS]])</f>
        <v>1</v>
      </c>
      <c r="CL62" s="3">
        <f>+IF(AVANCE[[#This Row],[MEMBRANA CIELO]]=AY$2,100%,AVANCE[[#This Row],[MEMBRANA CIELO]])</f>
        <v>1</v>
      </c>
      <c r="CM62" s="3">
        <f>+IF(AVANCE[[#This Row],[LIMPIEZA FINAL]]=AZ$2,100%,AVANCE[[#This Row],[LIMPIEZA FINAL]])</f>
        <v>0</v>
      </c>
      <c r="CN62" s="3">
        <f>+IF(AVANCE[[#This Row],[PUERTAS DORMITORIO]]=BA$2,100%,AVANCE[[#This Row],[PUERTAS DORMITORIO]])</f>
        <v>0</v>
      </c>
      <c r="CO62" s="3">
        <f>+IF(AVANCE[[#This Row],[REVESTIMIENTO INTERIOR BANO]]=BB$2,100%,AVANCE[[#This Row],[REVESTIMIENTO INTERIOR BANO]])</f>
        <v>1</v>
      </c>
      <c r="CP62" s="3">
        <f>+IF(AVANCE[[#This Row],[MUEBLE LAVAPLATOS]]=BC$2,100%,AVANCE[[#This Row],[MUEBLE LAVAPLATOS]])</f>
        <v>1</v>
      </c>
      <c r="CQ62" s="3">
        <f>+IF(AVANCE[[#This Row],[IMPERMEABILIZACION BANO - COCINA LOGIA]]=BD$2,100%,AVANCE[[#This Row],[IMPERMEABILIZACION BANO - COCINA LOGIA]])</f>
        <v>1</v>
      </c>
      <c r="CR62" s="40">
        <f ca="1">+IF(AVANCE[[#This Row],[ESTADO MODULO]]="PENDIENTE",(TODAY()-AVANCE[[#This Row],[FECHA TERMINO  PLANIFICADO]]),0)</f>
        <v>-4</v>
      </c>
      <c r="CS62" s="42" t="str" cm="1">
        <f t="array" ref="CS62">_xlfn.TEXTJOIN(" | ",TRUE,IF(SUMPRODUCT((BF62:CQ62&lt;1)*(PARTIDAS!$I$2:$AT$2="OBRA GRUESA"))&gt;0,"OBRA GRUESA: "&amp;_xlfn.TEXTJOIN(", ",TRUE,IF((BF62:CQ62&lt;1)*(PARTIDAS!$I$2:$AT$2="OBRA GRUESA"),PARTIDAS!$I$1:$AT$1,"")),""),IF(SUMPRODUCT((BF62:CQ62&lt;1)*(PARTIDAS!$I$2:$AT$2="SANITARIOS"))&gt;0,"SANITARIOS: "&amp;_xlfn.TEXTJOIN(", ",TRUE,IF((BF62:CQ62&lt;1)*(PARTIDAS!$I$2:$AT$2="SANITARIOS"),PARTIDAS!$I$1:$AT$1,"")),""),IF(SUMPRODUCT((BF62:CQ62&lt;1)*(PARTIDAS!$I$2:$AT$2="ELÉCTRICO"))&gt;0,"ELÉCTRICO: "&amp;_xlfn.TEXTJOIN(", ",TRUE,IF((BF62:CQ62&lt;1)*(PARTIDAS!$I$2:$AT$2="ELÉCTRICO"),PARTIDAS!$I$1:$AT$1,"")),""),IF(SUMPRODUCT((BF62:CQ62&lt;1)*(PARTIDAS!$I$2:$AT$2="TERMINACIONES"))&gt;0,"TERMINACIONES: "&amp;_xlfn.TEXTJOIN(", ",TRUE,IF((BF62:CQ62&lt;1)*(PARTIDAS!$I$2:$AT$2="TERMINACIONES"),PARTIDAS!$I$1:$AT$1,"")),""))</f>
        <v>ELÉCTRICO: ARTEFACTOS | TERMINACIONES: MOLDURAS, PILASTREO, CELOSIAS, CERRADURAS, LIMPIEZA FINAL, PUERTAS DORMITORIO</v>
      </c>
      <c r="CT62" s="45" t="str" cm="1">
        <f t="array" ref="CT62">_xlfn.TEXTJOIN(", ",TRUE,IF(SUMPRODUCT((BF62:CQ62&lt;1)*(PARTIDAS!$I$2:$AT$2="OBRA GRUESA"))&gt;0,"OBRA GRUESA",""),IF(SUMPRODUCT((BF62:CQ62&lt;1)*(PARTIDAS!$I$2:$AT$2="SANITARIOS"))&gt;0,"SANITARIOS",""),IF(SUMPRODUCT((BF62:CQ62&lt;1)*(PARTIDAS!$I$2:$AT$2="ELÉCTRICO"))&gt;0,"ELÉCTRICO",""),IF(SUMPRODUCT((BF62:CQ62&lt;1)*(PARTIDAS!$I$2:$AT$2="TERMINACIONES"))&gt;0,"TERMINACIONES",""))</f>
        <v>ELÉCTRICO, TERMINACIONES</v>
      </c>
      <c r="CU62" s="46" cm="1">
        <f t="array" ref="CU62">SUMPRODUCT(--(BF62:CQ62&lt;1))</f>
        <v>7</v>
      </c>
    </row>
    <row r="63" spans="1:99" x14ac:dyDescent="0.25">
      <c r="A63" t="s">
        <v>91</v>
      </c>
      <c r="B63" t="s">
        <v>121</v>
      </c>
      <c r="C63">
        <v>2302600062</v>
      </c>
      <c r="D63" t="s">
        <v>60</v>
      </c>
      <c r="E63" s="2">
        <v>0.59</v>
      </c>
      <c r="F63" s="1">
        <v>46148</v>
      </c>
      <c r="G63" s="1">
        <v>46149</v>
      </c>
      <c r="H63" s="1">
        <v>46171</v>
      </c>
      <c r="I63" s="1">
        <v>46185</v>
      </c>
      <c r="J63">
        <v>10</v>
      </c>
      <c r="K63" s="1"/>
      <c r="L63" s="3">
        <v>0.38999999999999996</v>
      </c>
      <c r="M63" s="3">
        <v>0.90697674418604646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0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 s="3" t="str">
        <f>+IF(AVANCE[[#This Row],[% AVANCE]]=100%,"MODULO TERMINADO",IF(AVANCE[[#This Row],[FECHA INICIO REAL]]="","MODULO NO INICIADO","PENDIENTE"))</f>
        <v>PENDIENTE</v>
      </c>
      <c r="BF63" s="3">
        <f>+IF(AVANCE[[#This Row],[VENTANAS]]=8.10810810810811%,100%,AVANCE[[#This Row],[VENTANAS]])</f>
        <v>0</v>
      </c>
      <c r="BG63" s="3">
        <f>+IF(AVANCE[[#This Row],[PISO]]=N$2,100%,AVANCE[[#This Row],[PISO]])</f>
        <v>1</v>
      </c>
      <c r="BH63" s="3">
        <f>+IF(AVANCE[[#This Row],[TABIQUES]]=O$2,100%,AVANCE[[#This Row],[TABIQUES]])</f>
        <v>1</v>
      </c>
      <c r="BI63" s="3">
        <f>+IF(AVANCE[[#This Row],[MUROS]]=P$2,100%,AVANCE[[#This Row],[MUROS]])</f>
        <v>1</v>
      </c>
      <c r="BJ63" s="3">
        <f>+IF(AVANCE[[#This Row],[CIELO]]=Q$2,100%,AVANCE[[#This Row],[CIELO]])</f>
        <v>1</v>
      </c>
      <c r="BK63" s="3">
        <f>+IF(AVANCE[[#This Row],[BALCÓN]]=R$2,100%,AVANCE[[#This Row],[BALCÓN]])</f>
        <v>0</v>
      </c>
      <c r="BL63" s="3">
        <f>+IF(AVANCE[[#This Row],[RED ALCANTARILLADO]]=U$2,100%,AVANCE[[#This Row],[RED ALCANTARILLADO]])</f>
        <v>1</v>
      </c>
      <c r="BM63" s="3">
        <f>+IF(AVANCE[[#This Row],[RED DE AGUA]]=V$2,100%,AVANCE[[#This Row],[RED DE AGUA]])</f>
        <v>1</v>
      </c>
      <c r="BN63" s="3">
        <f>+IF(AVANCE[[#This Row],[VENTILACIONES]]=W$2,100%,AVANCE[[#This Row],[VENTILACIONES]])</f>
        <v>0</v>
      </c>
      <c r="BO63" s="3">
        <f>+IF(AVANCE[[#This Row],[TINA]]=X$2,100%,AVANCE[[#This Row],[TINA]])</f>
        <v>0</v>
      </c>
      <c r="BP63" s="3">
        <f>+IF(AVANCE[[#This Row],[WC]]=Y$2,100%,AVANCE[[#This Row],[WC]])</f>
        <v>0</v>
      </c>
      <c r="BQ63" s="3">
        <f>+IF(AVANCE[[#This Row],[LAVAMANOS / LAVAPLATOS / LAVADERO]]=Z$2,100%,AVANCE[[#This Row],[LAVAMANOS / LAVAPLATOS / LAVADERO]])</f>
        <v>0</v>
      </c>
      <c r="BR63" s="3">
        <f>+IF(AVANCE[[#This Row],[CANALIZACIÓN]]=AC$2,100%,AVANCE[[#This Row],[CANALIZACIÓN]])</f>
        <v>1</v>
      </c>
      <c r="BS63" s="3">
        <f>+IF(AVANCE[[#This Row],[CABLEADO]]=AD$2,100%,AVANCE[[#This Row],[CABLEADO]])</f>
        <v>0</v>
      </c>
      <c r="BT63" s="3">
        <f>+IF(AVANCE[[#This Row],[ARTEFACTOS]]=AE$2,100%,AVANCE[[#This Row],[ARTEFACTOS]])</f>
        <v>0</v>
      </c>
      <c r="BU63" s="3">
        <f>+IF(AVANCE[[#This Row],[TABLERO]]=AF$2,100%,AVANCE[[#This Row],[TABLERO]])</f>
        <v>0</v>
      </c>
      <c r="BV63" s="3">
        <f>+IF(AVANCE[[#This Row],[CAJA PAU]]=AG$2,100%,AVANCE[[#This Row],[CAJA PAU]])</f>
        <v>0</v>
      </c>
      <c r="BW63" s="3">
        <f>+IF(AVANCE[[#This Row],[INSTALACION VINILICO]]=AJ$2,100%,AVANCE[[#This Row],[INSTALACION VINILICO]])</f>
        <v>0</v>
      </c>
      <c r="BX63" s="3">
        <f>+IF(AVANCE[[#This Row],[OSB CUBIERTA]]=AK$2,100%,AVANCE[[#This Row],[OSB CUBIERTA]])</f>
        <v>1</v>
      </c>
      <c r="BY63" s="3">
        <f>+IF(AVANCE[[#This Row],[BARANDA BALCON]]=AL$2,100%,AVANCE[[#This Row],[BARANDA BALCON]])</f>
        <v>0</v>
      </c>
      <c r="BZ63" s="3">
        <f>+IF(AVANCE[[#This Row],[OSB EXTERIOR]]=AM$2,100%,AVANCE[[#This Row],[OSB EXTERIOR]])</f>
        <v>1</v>
      </c>
      <c r="CA63" s="3">
        <f>+IF(AVANCE[[#This Row],[SMART PANEL]]=AN$2,100%,AVANCE[[#This Row],[SMART PANEL]])</f>
        <v>0</v>
      </c>
      <c r="CB63" s="3">
        <f>+IF(AVANCE[[#This Row],[PINTURA EXTERIOR]]=AO$2,100%,AVANCE[[#This Row],[PINTURA EXTERIOR]])</f>
        <v>0</v>
      </c>
      <c r="CC63" s="3">
        <f>+IF(AVANCE[[#This Row],[ZOCALOS LOGIA]]=AP$2,100%,AVANCE[[#This Row],[ZOCALOS LOGIA]])</f>
        <v>0</v>
      </c>
      <c r="CD63" s="3">
        <f>+IF(AVANCE[[#This Row],[MOLDURAS]]=AQ$2,100%,AVANCE[[#This Row],[MOLDURAS]])</f>
        <v>0</v>
      </c>
      <c r="CE63" s="3">
        <f>+IF(AVANCE[[#This Row],[PILASTREO]]=AR$2,100%,AVANCE[[#This Row],[PILASTREO]])</f>
        <v>0</v>
      </c>
      <c r="CF63" s="3">
        <f>+IF(AVANCE[[#This Row],[CELOSIAS]]=AS$2,100%,AVANCE[[#This Row],[CELOSIAS]])</f>
        <v>0</v>
      </c>
      <c r="CG63" s="3">
        <f>+IF(AVANCE[[#This Row],[VENTANAS]]=AT$2,100%,AVANCE[[#This Row],[VENTANAS]])</f>
        <v>0</v>
      </c>
      <c r="CH63" s="3">
        <f>+IF(AVANCE[[#This Row],[PUERTAS ACCESO - LOGIA - BANO]]=AU$2,100%,AVANCE[[#This Row],[PUERTAS ACCESO - LOGIA - BANO]])</f>
        <v>0</v>
      </c>
      <c r="CI63" s="3">
        <f>+IF(AVANCE[[#This Row],[CERRADURAS]]=AV$2,100%,AVANCE[[#This Row],[CERRADURAS]])</f>
        <v>0</v>
      </c>
      <c r="CJ63" s="3">
        <f>+IF(AVANCE[[#This Row],[REVESTIMIENTO INTERIOR ZONA SECA]]=AW$2,100%,AVANCE[[#This Row],[REVESTIMIENTO INTERIOR ZONA SECA]])</f>
        <v>1</v>
      </c>
      <c r="CK63" s="3">
        <f>+IF(AVANCE[[#This Row],[REVESTIMIENTO INTERIOR ZONAS HUMEDAS]]=AX$2,100%,AVANCE[[#This Row],[REVESTIMIENTO INTERIOR ZONAS HUMEDAS]])</f>
        <v>1</v>
      </c>
      <c r="CL63" s="3">
        <f>+IF(AVANCE[[#This Row],[MEMBRANA CIELO]]=AY$2,100%,AVANCE[[#This Row],[MEMBRANA CIELO]])</f>
        <v>1</v>
      </c>
      <c r="CM63" s="3">
        <f>+IF(AVANCE[[#This Row],[LIMPIEZA FINAL]]=AZ$2,100%,AVANCE[[#This Row],[LIMPIEZA FINAL]])</f>
        <v>0</v>
      </c>
      <c r="CN63" s="3">
        <f>+IF(AVANCE[[#This Row],[PUERTAS DORMITORIO]]=BA$2,100%,AVANCE[[#This Row],[PUERTAS DORMITORIO]])</f>
        <v>1</v>
      </c>
      <c r="CO63" s="3">
        <f>+IF(AVANCE[[#This Row],[REVESTIMIENTO INTERIOR BANO]]=BB$2,100%,AVANCE[[#This Row],[REVESTIMIENTO INTERIOR BANO]])</f>
        <v>0</v>
      </c>
      <c r="CP63" s="3">
        <f>+IF(AVANCE[[#This Row],[MUEBLE LAVAPLATOS]]=BC$2,100%,AVANCE[[#This Row],[MUEBLE LAVAPLATOS]])</f>
        <v>0</v>
      </c>
      <c r="CQ63" s="3">
        <f>+IF(AVANCE[[#This Row],[IMPERMEABILIZACION BANO - COCINA LOGIA]]=BD$2,100%,AVANCE[[#This Row],[IMPERMEABILIZACION BANO - COCINA LOGIA]])</f>
        <v>1</v>
      </c>
      <c r="CR63" s="40">
        <f ca="1">+IF(AVANCE[[#This Row],[ESTADO MODULO]]="PENDIENTE",(TODAY()-AVANCE[[#This Row],[FECHA TERMINO  PLANIFICADO]]),0)</f>
        <v>-4</v>
      </c>
      <c r="CS63" s="42" t="str" cm="1">
        <f t="array" ref="CS63">_xlfn.TEXTJOIN(" | ",TRUE,IF(SUMPRODUCT((BF63:CQ63&lt;1)*(PARTIDAS!$I$2:$AT$2="OBRA GRUESA"))&gt;0,"OBRA GRUESA: "&amp;_xlfn.TEXTJOIN(", ",TRUE,IF((BF63:CQ63&lt;1)*(PARTIDAS!$I$2:$AT$2="OBRA GRUESA"),PARTIDAS!$I$1:$AT$1,"")),""),IF(SUMPRODUCT((BF63:CQ63&lt;1)*(PARTIDAS!$I$2:$AT$2="SANITARIOS"))&gt;0,"SANITARIOS: "&amp;_xlfn.TEXTJOIN(", ",TRUE,IF((BF63:CQ63&lt;1)*(PARTIDAS!$I$2:$AT$2="SANITARIOS"),PARTIDAS!$I$1:$AT$1,"")),""),IF(SUMPRODUCT((BF63:CQ63&lt;1)*(PARTIDAS!$I$2:$AT$2="ELÉCTRICO"))&gt;0,"ELÉCTRICO: "&amp;_xlfn.TEXTJOIN(", ",TRUE,IF((BF63:CQ63&lt;1)*(PARTIDAS!$I$2:$AT$2="ELÉCTRICO"),PARTIDAS!$I$1:$AT$1,"")),""),IF(SUMPRODUCT((BF63:CQ63&lt;1)*(PARTIDAS!$I$2:$AT$2="TERMINACIONES"))&gt;0,"TERMINACIONES: "&amp;_xlfn.TEXTJOIN(", ",TRUE,IF((BF63:CQ63&lt;1)*(PARTIDAS!$I$2:$AT$2="TERMINACIONES"),PARTIDAS!$I$1:$AT$1,"")),""))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T63" s="45" t="str" cm="1">
        <f t="array" ref="CT63">_xlfn.TEXTJOIN(", ",TRUE,IF(SUMPRODUCT((BF63:CQ63&lt;1)*(PARTIDAS!$I$2:$AT$2="OBRA GRUESA"))&gt;0,"OBRA GRUESA",""),IF(SUMPRODUCT((BF63:CQ63&lt;1)*(PARTIDAS!$I$2:$AT$2="SANITARIOS"))&gt;0,"SANITARIOS",""),IF(SUMPRODUCT((BF63:CQ63&lt;1)*(PARTIDAS!$I$2:$AT$2="ELÉCTRICO"))&gt;0,"ELÉCTRICO",""),IF(SUMPRODUCT((BF63:CQ63&lt;1)*(PARTIDAS!$I$2:$AT$2="TERMINACIONES"))&gt;0,"TERMINACIONES",""))</f>
        <v>OBRA GRUESA, SANITARIOS, ELÉCTRICO, TERMINACIONES</v>
      </c>
      <c r="CU63" s="46" cm="1">
        <f t="array" ref="CU63">SUMPRODUCT(--(BF63:CQ63&lt;1))</f>
        <v>24</v>
      </c>
    </row>
    <row r="64" spans="1:99" x14ac:dyDescent="0.25">
      <c r="A64" t="s">
        <v>91</v>
      </c>
      <c r="B64" t="s">
        <v>122</v>
      </c>
      <c r="C64">
        <v>2302600063</v>
      </c>
      <c r="D64" t="s">
        <v>60</v>
      </c>
      <c r="E64" s="2">
        <v>0.69</v>
      </c>
      <c r="F64" s="1">
        <v>46149</v>
      </c>
      <c r="G64" s="1">
        <v>46147</v>
      </c>
      <c r="H64" s="1">
        <v>46177</v>
      </c>
      <c r="I64" s="1">
        <v>46186</v>
      </c>
      <c r="J64">
        <v>4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0.17999999999999997</v>
      </c>
      <c r="AI64" s="3">
        <v>0.4864864864864864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0</v>
      </c>
      <c r="BE64" s="3" t="str">
        <f>+IF(AVANCE[[#This Row],[% AVANCE]]=100%,"MODULO TERMINADO",IF(AVANCE[[#This Row],[FECHA INICIO REAL]]="","MODULO NO INICIADO","PENDIENTE"))</f>
        <v>PENDIENTE</v>
      </c>
      <c r="BF64" s="3">
        <f>+IF(AVANCE[[#This Row],[VENTANAS]]=8.10810810810811%,100%,AVANCE[[#This Row],[VENTANAS]])</f>
        <v>0</v>
      </c>
      <c r="BG64" s="3">
        <f>+IF(AVANCE[[#This Row],[PISO]]=N$2,100%,AVANCE[[#This Row],[PISO]])</f>
        <v>1</v>
      </c>
      <c r="BH64" s="3">
        <f>+IF(AVANCE[[#This Row],[TABIQUES]]=O$2,100%,AVANCE[[#This Row],[TABIQUES]])</f>
        <v>1</v>
      </c>
      <c r="BI64" s="3">
        <f>+IF(AVANCE[[#This Row],[MUROS]]=P$2,100%,AVANCE[[#This Row],[MUROS]])</f>
        <v>1</v>
      </c>
      <c r="BJ64" s="3">
        <f>+IF(AVANCE[[#This Row],[CIELO]]=Q$2,100%,AVANCE[[#This Row],[CIELO]])</f>
        <v>1</v>
      </c>
      <c r="BK64" s="3">
        <f>+IF(AVANCE[[#This Row],[BALCÓN]]=R$2,100%,AVANCE[[#This Row],[BALCÓN]])</f>
        <v>1</v>
      </c>
      <c r="BL64" s="3">
        <f>+IF(AVANCE[[#This Row],[RED ALCANTARILLADO]]=U$2,100%,AVANCE[[#This Row],[RED ALCANTARILLADO]])</f>
        <v>1</v>
      </c>
      <c r="BM64" s="3">
        <f>+IF(AVANCE[[#This Row],[RED DE AGUA]]=V$2,100%,AVANCE[[#This Row],[RED DE AGUA]])</f>
        <v>1</v>
      </c>
      <c r="BN64" s="3">
        <f>+IF(AVANCE[[#This Row],[VENTILACIONES]]=W$2,100%,AVANCE[[#This Row],[VENTILACIONES]])</f>
        <v>0</v>
      </c>
      <c r="BO64" s="3">
        <f>+IF(AVANCE[[#This Row],[TINA]]=X$2,100%,AVANCE[[#This Row],[TINA]])</f>
        <v>1</v>
      </c>
      <c r="BP64" s="3">
        <f>+IF(AVANCE[[#This Row],[WC]]=Y$2,100%,AVANCE[[#This Row],[WC]])</f>
        <v>0</v>
      </c>
      <c r="BQ64" s="3">
        <f>+IF(AVANCE[[#This Row],[LAVAMANOS / LAVAPLATOS / LAVADERO]]=Z$2,100%,AVANCE[[#This Row],[LAVAMANOS / LAVAPLATOS / LAVADERO]])</f>
        <v>0</v>
      </c>
      <c r="BR64" s="3">
        <f>+IF(AVANCE[[#This Row],[CANALIZACIÓN]]=AC$2,100%,AVANCE[[#This Row],[CANALIZACIÓN]])</f>
        <v>1</v>
      </c>
      <c r="BS64" s="3">
        <f>+IF(AVANCE[[#This Row],[CABLEADO]]=AD$2,100%,AVANCE[[#This Row],[CABLEADO]])</f>
        <v>0</v>
      </c>
      <c r="BT64" s="3">
        <f>+IF(AVANCE[[#This Row],[ARTEFACTOS]]=AE$2,100%,AVANCE[[#This Row],[ARTEFACTOS]])</f>
        <v>0</v>
      </c>
      <c r="BU64" s="3">
        <f>+IF(AVANCE[[#This Row],[TABLERO]]=AF$2,100%,AVANCE[[#This Row],[TABLERO]])</f>
        <v>0</v>
      </c>
      <c r="BV64" s="3">
        <f>+IF(AVANCE[[#This Row],[CAJA PAU]]=AG$2,100%,AVANCE[[#This Row],[CAJA PAU]])</f>
        <v>0</v>
      </c>
      <c r="BW64" s="3">
        <f>+IF(AVANCE[[#This Row],[INSTALACION VINILICO]]=AJ$2,100%,AVANCE[[#This Row],[INSTALACION VINILICO]])</f>
        <v>0</v>
      </c>
      <c r="BX64" s="3">
        <f>+IF(AVANCE[[#This Row],[OSB CUBIERTA]]=AK$2,100%,AVANCE[[#This Row],[OSB CUBIERTA]])</f>
        <v>1</v>
      </c>
      <c r="BY64" s="3">
        <f>+IF(AVANCE[[#This Row],[BARANDA BALCON]]=AL$2,100%,AVANCE[[#This Row],[BARANDA BALCON]])</f>
        <v>0</v>
      </c>
      <c r="BZ64" s="3">
        <f>+IF(AVANCE[[#This Row],[OSB EXTERIOR]]=AM$2,100%,AVANCE[[#This Row],[OSB EXTERIOR]])</f>
        <v>1</v>
      </c>
      <c r="CA64" s="3">
        <f>+IF(AVANCE[[#This Row],[SMART PANEL]]=AN$2,100%,AVANCE[[#This Row],[SMART PANEL]])</f>
        <v>1</v>
      </c>
      <c r="CB64" s="3">
        <f>+IF(AVANCE[[#This Row],[PINTURA EXTERIOR]]=AO$2,100%,AVANCE[[#This Row],[PINTURA EXTERIOR]])</f>
        <v>1</v>
      </c>
      <c r="CC64" s="3">
        <f>+IF(AVANCE[[#This Row],[ZOCALOS LOGIA]]=AP$2,100%,AVANCE[[#This Row],[ZOCALOS LOGIA]])</f>
        <v>0</v>
      </c>
      <c r="CD64" s="3">
        <f>+IF(AVANCE[[#This Row],[MOLDURAS]]=AQ$2,100%,AVANCE[[#This Row],[MOLDURAS]])</f>
        <v>0</v>
      </c>
      <c r="CE64" s="3">
        <f>+IF(AVANCE[[#This Row],[PILASTREO]]=AR$2,100%,AVANCE[[#This Row],[PILASTREO]])</f>
        <v>0</v>
      </c>
      <c r="CF64" s="3">
        <f>+IF(AVANCE[[#This Row],[CELOSIAS]]=AS$2,100%,AVANCE[[#This Row],[CELOSIAS]])</f>
        <v>1</v>
      </c>
      <c r="CG64" s="3">
        <f>+IF(AVANCE[[#This Row],[VENTANAS]]=AT$2,100%,AVANCE[[#This Row],[VENTANAS]])</f>
        <v>0</v>
      </c>
      <c r="CH64" s="3">
        <f>+IF(AVANCE[[#This Row],[PUERTAS ACCESO - LOGIA - BANO]]=AU$2,100%,AVANCE[[#This Row],[PUERTAS ACCESO - LOGIA - BANO]])</f>
        <v>0</v>
      </c>
      <c r="CI64" s="3">
        <f>+IF(AVANCE[[#This Row],[CERRADURAS]]=AV$2,100%,AVANCE[[#This Row],[CERRADURAS]])</f>
        <v>0</v>
      </c>
      <c r="CJ64" s="3">
        <f>+IF(AVANCE[[#This Row],[REVESTIMIENTO INTERIOR ZONA SECA]]=AW$2,100%,AVANCE[[#This Row],[REVESTIMIENTO INTERIOR ZONA SECA]])</f>
        <v>1</v>
      </c>
      <c r="CK64" s="3">
        <f>+IF(AVANCE[[#This Row],[REVESTIMIENTO INTERIOR ZONAS HUMEDAS]]=AX$2,100%,AVANCE[[#This Row],[REVESTIMIENTO INTERIOR ZONAS HUMEDAS]])</f>
        <v>1</v>
      </c>
      <c r="CL64" s="3">
        <f>+IF(AVANCE[[#This Row],[MEMBRANA CIELO]]=AY$2,100%,AVANCE[[#This Row],[MEMBRANA CIELO]])</f>
        <v>1</v>
      </c>
      <c r="CM64" s="3">
        <f>+IF(AVANCE[[#This Row],[LIMPIEZA FINAL]]=AZ$2,100%,AVANCE[[#This Row],[LIMPIEZA FINAL]])</f>
        <v>0</v>
      </c>
      <c r="CN64" s="3">
        <f>+IF(AVANCE[[#This Row],[PUERTAS DORMITORIO]]=BA$2,100%,AVANCE[[#This Row],[PUERTAS DORMITORIO]])</f>
        <v>1</v>
      </c>
      <c r="CO64" s="3">
        <f>+IF(AVANCE[[#This Row],[REVESTIMIENTO INTERIOR BANO]]=BB$2,100%,AVANCE[[#This Row],[REVESTIMIENTO INTERIOR BANO]])</f>
        <v>0</v>
      </c>
      <c r="CP64" s="3">
        <f>+IF(AVANCE[[#This Row],[MUEBLE LAVAPLATOS]]=BC$2,100%,AVANCE[[#This Row],[MUEBLE LAVAPLATOS]])</f>
        <v>0</v>
      </c>
      <c r="CQ64" s="3">
        <f>+IF(AVANCE[[#This Row],[IMPERMEABILIZACION BANO - COCINA LOGIA]]=BD$2,100%,AVANCE[[#This Row],[IMPERMEABILIZACION BANO - COCINA LOGIA]])</f>
        <v>0</v>
      </c>
      <c r="CR64" s="40">
        <f ca="1">+IF(AVANCE[[#This Row],[ESTADO MODULO]]="PENDIENTE",(TODAY()-AVANCE[[#This Row],[FECHA TERMINO  PLANIFICADO]]),0)</f>
        <v>-5</v>
      </c>
      <c r="CS64" s="42" t="str" cm="1">
        <f t="array" ref="CS64">_xlfn.TEXTJOIN(" | ",TRUE,IF(SUMPRODUCT((BF64:CQ64&lt;1)*(PARTIDAS!$I$2:$AT$2="OBRA GRUESA"))&gt;0,"OBRA GRUESA: "&amp;_xlfn.TEXTJOIN(", ",TRUE,IF((BF64:CQ64&lt;1)*(PARTIDAS!$I$2:$AT$2="OBRA GRUESA"),PARTIDAS!$I$1:$AT$1,"")),""),IF(SUMPRODUCT((BF64:CQ64&lt;1)*(PARTIDAS!$I$2:$AT$2="SANITARIOS"))&gt;0,"SANITARIOS: "&amp;_xlfn.TEXTJOIN(", ",TRUE,IF((BF64:CQ64&lt;1)*(PARTIDAS!$I$2:$AT$2="SANITARIOS"),PARTIDAS!$I$1:$AT$1,"")),""),IF(SUMPRODUCT((BF64:CQ64&lt;1)*(PARTIDAS!$I$2:$AT$2="ELÉCTRICO"))&gt;0,"ELÉCTRICO: "&amp;_xlfn.TEXTJOIN(", ",TRUE,IF((BF64:CQ64&lt;1)*(PARTIDAS!$I$2:$AT$2="ELÉCTRICO"),PARTIDAS!$I$1:$AT$1,"")),""),IF(SUMPRODUCT((BF64:CQ64&lt;1)*(PARTIDAS!$I$2:$AT$2="TERMINACIONES"))&gt;0,"TERMINACIONES: "&amp;_xlfn.TEXTJOIN(", ",TRUE,IF((BF64:CQ64&lt;1)*(PARTIDAS!$I$2:$AT$2="TERMINACIONES"),PARTIDAS!$I$1:$AT$1,"")),""))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LAVAPLATOS, IMPERMEABILIZACION BANO - COCINA LOGIA</v>
      </c>
      <c r="CT64" s="45" t="str" cm="1">
        <f t="array" ref="CT64">_xlfn.TEXTJOIN(", ",TRUE,IF(SUMPRODUCT((BF64:CQ64&lt;1)*(PARTIDAS!$I$2:$AT$2="OBRA GRUESA"))&gt;0,"OBRA GRUESA",""),IF(SUMPRODUCT((BF64:CQ64&lt;1)*(PARTIDAS!$I$2:$AT$2="SANITARIOS"))&gt;0,"SANITARIOS",""),IF(SUMPRODUCT((BF64:CQ64&lt;1)*(PARTIDAS!$I$2:$AT$2="ELÉCTRICO"))&gt;0,"ELÉCTRICO",""),IF(SUMPRODUCT((BF64:CQ64&lt;1)*(PARTIDAS!$I$2:$AT$2="TERMINACIONES"))&gt;0,"TERMINACIONES",""))</f>
        <v>SANITARIOS, ELÉCTRICO, TERMINACIONES</v>
      </c>
      <c r="CU64" s="46" cm="1">
        <f t="array" ref="CU64">SUMPRODUCT(--(BF64:CQ64&lt;1))</f>
        <v>20</v>
      </c>
    </row>
    <row r="65" spans="1:99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4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 s="3" t="str">
        <f>+IF(AVANCE[[#This Row],[% AVANCE]]=100%,"MODULO TERMINADO",IF(AVANCE[[#This Row],[FECHA INICIO REAL]]="","MODULO NO INICIADO","PENDIENTE"))</f>
        <v>PENDIENTE</v>
      </c>
      <c r="BF65" s="3">
        <f>+IF(AVANCE[[#This Row],[VENTANAS]]=8.10810810810811%,100%,AVANCE[[#This Row],[VENTANAS]])</f>
        <v>1</v>
      </c>
      <c r="BG65" s="3">
        <f>+IF(AVANCE[[#This Row],[PISO]]=N$2,100%,AVANCE[[#This Row],[PISO]])</f>
        <v>1</v>
      </c>
      <c r="BH65" s="3">
        <f>+IF(AVANCE[[#This Row],[TABIQUES]]=O$2,100%,AVANCE[[#This Row],[TABIQUES]])</f>
        <v>1</v>
      </c>
      <c r="BI65" s="3">
        <f>+IF(AVANCE[[#This Row],[MUROS]]=P$2,100%,AVANCE[[#This Row],[MUROS]])</f>
        <v>1</v>
      </c>
      <c r="BJ65" s="3">
        <f>+IF(AVANCE[[#This Row],[CIELO]]=Q$2,100%,AVANCE[[#This Row],[CIELO]])</f>
        <v>1</v>
      </c>
      <c r="BK65" s="3">
        <f>+IF(AVANCE[[#This Row],[BALCÓN]]=R$2,100%,AVANCE[[#This Row],[BALCÓN]])</f>
        <v>1</v>
      </c>
      <c r="BL65" s="3">
        <f>+IF(AVANCE[[#This Row],[RED ALCANTARILLADO]]=U$2,100%,AVANCE[[#This Row],[RED ALCANTARILLADO]])</f>
        <v>1</v>
      </c>
      <c r="BM65" s="3">
        <f>+IF(AVANCE[[#This Row],[RED DE AGUA]]=V$2,100%,AVANCE[[#This Row],[RED DE AGUA]])</f>
        <v>1</v>
      </c>
      <c r="BN65" s="3">
        <f>+IF(AVANCE[[#This Row],[VENTILACIONES]]=W$2,100%,AVANCE[[#This Row],[VENTILACIONES]])</f>
        <v>1</v>
      </c>
      <c r="BO65" s="3">
        <f>+IF(AVANCE[[#This Row],[TINA]]=X$2,100%,AVANCE[[#This Row],[TINA]])</f>
        <v>1</v>
      </c>
      <c r="BP65" s="3">
        <f>+IF(AVANCE[[#This Row],[WC]]=Y$2,100%,AVANCE[[#This Row],[WC]])</f>
        <v>1</v>
      </c>
      <c r="BQ65" s="3">
        <f>+IF(AVANCE[[#This Row],[LAVAMANOS / LAVAPLATOS / LAVADERO]]=Z$2,100%,AVANCE[[#This Row],[LAVAMANOS / LAVAPLATOS / LAVADERO]])</f>
        <v>1</v>
      </c>
      <c r="BR65" s="3">
        <f>+IF(AVANCE[[#This Row],[CANALIZACIÓN]]=AC$2,100%,AVANCE[[#This Row],[CANALIZACIÓN]])</f>
        <v>1</v>
      </c>
      <c r="BS65" s="3">
        <f>+IF(AVANCE[[#This Row],[CABLEADO]]=AD$2,100%,AVANCE[[#This Row],[CABLEADO]])</f>
        <v>1</v>
      </c>
      <c r="BT65" s="3">
        <f>+IF(AVANCE[[#This Row],[ARTEFACTOS]]=AE$2,100%,AVANCE[[#This Row],[ARTEFACTOS]])</f>
        <v>0</v>
      </c>
      <c r="BU65" s="3">
        <f>+IF(AVANCE[[#This Row],[TABLERO]]=AF$2,100%,AVANCE[[#This Row],[TABLERO]])</f>
        <v>1</v>
      </c>
      <c r="BV65" s="3">
        <f>+IF(AVANCE[[#This Row],[CAJA PAU]]=AG$2,100%,AVANCE[[#This Row],[CAJA PAU]])</f>
        <v>1</v>
      </c>
      <c r="BW65" s="3">
        <f>+IF(AVANCE[[#This Row],[INSTALACION VINILICO]]=AJ$2,100%,AVANCE[[#This Row],[INSTALACION VINILICO]])</f>
        <v>1</v>
      </c>
      <c r="BX65" s="3">
        <f>+IF(AVANCE[[#This Row],[OSB CUBIERTA]]=AK$2,100%,AVANCE[[#This Row],[OSB CUBIERTA]])</f>
        <v>1</v>
      </c>
      <c r="BY65" s="3">
        <f>+IF(AVANCE[[#This Row],[BARANDA BALCON]]=AL$2,100%,AVANCE[[#This Row],[BARANDA BALCON]])</f>
        <v>1</v>
      </c>
      <c r="BZ65" s="3">
        <f>+IF(AVANCE[[#This Row],[OSB EXTERIOR]]=AM$2,100%,AVANCE[[#This Row],[OSB EXTERIOR]])</f>
        <v>1</v>
      </c>
      <c r="CA65" s="3">
        <f>+IF(AVANCE[[#This Row],[SMART PANEL]]=AN$2,100%,AVANCE[[#This Row],[SMART PANEL]])</f>
        <v>1</v>
      </c>
      <c r="CB65" s="3">
        <f>+IF(AVANCE[[#This Row],[PINTURA EXTERIOR]]=AO$2,100%,AVANCE[[#This Row],[PINTURA EXTERIOR]])</f>
        <v>1</v>
      </c>
      <c r="CC65" s="3">
        <f>+IF(AVANCE[[#This Row],[ZOCALOS LOGIA]]=AP$2,100%,AVANCE[[#This Row],[ZOCALOS LOGIA]])</f>
        <v>1</v>
      </c>
      <c r="CD65" s="3">
        <f>+IF(AVANCE[[#This Row],[MOLDURAS]]=AQ$2,100%,AVANCE[[#This Row],[MOLDURAS]])</f>
        <v>0</v>
      </c>
      <c r="CE65" s="3">
        <f>+IF(AVANCE[[#This Row],[PILASTREO]]=AR$2,100%,AVANCE[[#This Row],[PILASTREO]])</f>
        <v>0</v>
      </c>
      <c r="CF65" s="3">
        <f>+IF(AVANCE[[#This Row],[CELOSIAS]]=AS$2,100%,AVANCE[[#This Row],[CELOSIAS]])</f>
        <v>0</v>
      </c>
      <c r="CG65" s="3">
        <f>+IF(AVANCE[[#This Row],[VENTANAS]]=AT$2,100%,AVANCE[[#This Row],[VENTANAS]])</f>
        <v>1</v>
      </c>
      <c r="CH65" s="3">
        <f>+IF(AVANCE[[#This Row],[PUERTAS ACCESO - LOGIA - BANO]]=AU$2,100%,AVANCE[[#This Row],[PUERTAS ACCESO - LOGIA - BANO]])</f>
        <v>1</v>
      </c>
      <c r="CI65" s="3">
        <f>+IF(AVANCE[[#This Row],[CERRADURAS]]=AV$2,100%,AVANCE[[#This Row],[CERRADURAS]])</f>
        <v>0</v>
      </c>
      <c r="CJ65" s="3">
        <f>+IF(AVANCE[[#This Row],[REVESTIMIENTO INTERIOR ZONA SECA]]=AW$2,100%,AVANCE[[#This Row],[REVESTIMIENTO INTERIOR ZONA SECA]])</f>
        <v>1</v>
      </c>
      <c r="CK65" s="3">
        <f>+IF(AVANCE[[#This Row],[REVESTIMIENTO INTERIOR ZONAS HUMEDAS]]=AX$2,100%,AVANCE[[#This Row],[REVESTIMIENTO INTERIOR ZONAS HUMEDAS]])</f>
        <v>1</v>
      </c>
      <c r="CL65" s="3">
        <f>+IF(AVANCE[[#This Row],[MEMBRANA CIELO]]=AY$2,100%,AVANCE[[#This Row],[MEMBRANA CIELO]])</f>
        <v>1</v>
      </c>
      <c r="CM65" s="3">
        <f>+IF(AVANCE[[#This Row],[LIMPIEZA FINAL]]=AZ$2,100%,AVANCE[[#This Row],[LIMPIEZA FINAL]])</f>
        <v>0</v>
      </c>
      <c r="CN65" s="3">
        <f>+IF(AVANCE[[#This Row],[PUERTAS DORMITORIO]]=BA$2,100%,AVANCE[[#This Row],[PUERTAS DORMITORIO]])</f>
        <v>1</v>
      </c>
      <c r="CO65" s="3">
        <f>+IF(AVANCE[[#This Row],[REVESTIMIENTO INTERIOR BANO]]=BB$2,100%,AVANCE[[#This Row],[REVESTIMIENTO INTERIOR BANO]])</f>
        <v>1</v>
      </c>
      <c r="CP65" s="3">
        <f>+IF(AVANCE[[#This Row],[MUEBLE LAVAPLATOS]]=BC$2,100%,AVANCE[[#This Row],[MUEBLE LAVAPLATOS]])</f>
        <v>1</v>
      </c>
      <c r="CQ65" s="3">
        <f>+IF(AVANCE[[#This Row],[IMPERMEABILIZACION BANO - COCINA LOGIA]]=BD$2,100%,AVANCE[[#This Row],[IMPERMEABILIZACION BANO - COCINA LOGIA]])</f>
        <v>1</v>
      </c>
      <c r="CR65" s="40">
        <f ca="1">+IF(AVANCE[[#This Row],[ESTADO MODULO]]="PENDIENTE",(TODAY()-AVANCE[[#This Row],[FECHA TERMINO  PLANIFICADO]]),0)</f>
        <v>-5</v>
      </c>
      <c r="CS65" s="42" t="str" cm="1">
        <f t="array" ref="CS65">_xlfn.TEXTJOIN(" | ",TRUE,IF(SUMPRODUCT((BF65:CQ65&lt;1)*(PARTIDAS!$I$2:$AT$2="OBRA GRUESA"))&gt;0,"OBRA GRUESA: "&amp;_xlfn.TEXTJOIN(", ",TRUE,IF((BF65:CQ65&lt;1)*(PARTIDAS!$I$2:$AT$2="OBRA GRUESA"),PARTIDAS!$I$1:$AT$1,"")),""),IF(SUMPRODUCT((BF65:CQ65&lt;1)*(PARTIDAS!$I$2:$AT$2="SANITARIOS"))&gt;0,"SANITARIOS: "&amp;_xlfn.TEXTJOIN(", ",TRUE,IF((BF65:CQ65&lt;1)*(PARTIDAS!$I$2:$AT$2="SANITARIOS"),PARTIDAS!$I$1:$AT$1,"")),""),IF(SUMPRODUCT((BF65:CQ65&lt;1)*(PARTIDAS!$I$2:$AT$2="ELÉCTRICO"))&gt;0,"ELÉCTRICO: "&amp;_xlfn.TEXTJOIN(", ",TRUE,IF((BF65:CQ65&lt;1)*(PARTIDAS!$I$2:$AT$2="ELÉCTRICO"),PARTIDAS!$I$1:$AT$1,"")),""),IF(SUMPRODUCT((BF65:CQ65&lt;1)*(PARTIDAS!$I$2:$AT$2="TERMINACIONES"))&gt;0,"TERMINACIONES: "&amp;_xlfn.TEXTJOIN(", ",TRUE,IF((BF65:CQ65&lt;1)*(PARTIDAS!$I$2:$AT$2="TERMINACIONES"),PARTIDAS!$I$1:$AT$1,"")),""))</f>
        <v>ELÉCTRICO: ARTEFACTOS | TERMINACIONES: MOLDURAS, PILASTREO, CELOSIAS, CERRADURAS, LIMPIEZA FINAL</v>
      </c>
      <c r="CT65" s="45" t="str" cm="1">
        <f t="array" ref="CT65">_xlfn.TEXTJOIN(", ",TRUE,IF(SUMPRODUCT((BF65:CQ65&lt;1)*(PARTIDAS!$I$2:$AT$2="OBRA GRUESA"))&gt;0,"OBRA GRUESA",""),IF(SUMPRODUCT((BF65:CQ65&lt;1)*(PARTIDAS!$I$2:$AT$2="SANITARIOS"))&gt;0,"SANITARIOS",""),IF(SUMPRODUCT((BF65:CQ65&lt;1)*(PARTIDAS!$I$2:$AT$2="ELÉCTRICO"))&gt;0,"ELÉCTRICO",""),IF(SUMPRODUCT((BF65:CQ65&lt;1)*(PARTIDAS!$I$2:$AT$2="TERMINACIONES"))&gt;0,"TERMINACIONES",""))</f>
        <v>ELÉCTRICO, TERMINACIONES</v>
      </c>
      <c r="CU65" s="46" cm="1">
        <f t="array" ref="CU65">SUMPRODUCT(--(BF65:CQ65&lt;1))</f>
        <v>6</v>
      </c>
    </row>
    <row r="66" spans="1:99" x14ac:dyDescent="0.25">
      <c r="A66" t="s">
        <v>124</v>
      </c>
      <c r="B66" t="s">
        <v>125</v>
      </c>
      <c r="C66">
        <v>2282600065</v>
      </c>
      <c r="D66" t="s">
        <v>58</v>
      </c>
      <c r="E66" s="2">
        <v>0.89999999999999991</v>
      </c>
      <c r="F66" s="1">
        <v>46150</v>
      </c>
      <c r="G66" s="1">
        <v>46153</v>
      </c>
      <c r="H66" s="1">
        <v>46178</v>
      </c>
      <c r="I66" s="1">
        <v>46176</v>
      </c>
      <c r="J66">
        <v>3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0.27999999999999992</v>
      </c>
      <c r="AI66" s="3">
        <v>0.75675675675675647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0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 s="3" t="str">
        <f>+IF(AVANCE[[#This Row],[% AVANCE]]=100%,"MODULO TERMINADO",IF(AVANCE[[#This Row],[FECHA INICIO REAL]]="","MODULO NO INICIADO","PENDIENTE"))</f>
        <v>PENDIENTE</v>
      </c>
      <c r="BF66" s="3">
        <f>+IF(AVANCE[[#This Row],[VENTANAS]]=8.10810810810811%,100%,AVANCE[[#This Row],[VENTANAS]])</f>
        <v>1</v>
      </c>
      <c r="BG66" s="3">
        <f>+IF(AVANCE[[#This Row],[PISO]]=N$2,100%,AVANCE[[#This Row],[PISO]])</f>
        <v>1</v>
      </c>
      <c r="BH66" s="3">
        <f>+IF(AVANCE[[#This Row],[TABIQUES]]=O$2,100%,AVANCE[[#This Row],[TABIQUES]])</f>
        <v>1</v>
      </c>
      <c r="BI66" s="3">
        <f>+IF(AVANCE[[#This Row],[MUROS]]=P$2,100%,AVANCE[[#This Row],[MUROS]])</f>
        <v>1</v>
      </c>
      <c r="BJ66" s="3">
        <f>+IF(AVANCE[[#This Row],[CIELO]]=Q$2,100%,AVANCE[[#This Row],[CIELO]])</f>
        <v>1</v>
      </c>
      <c r="BK66" s="3">
        <f>+IF(AVANCE[[#This Row],[BALCÓN]]=R$2,100%,AVANCE[[#This Row],[BALCÓN]])</f>
        <v>1</v>
      </c>
      <c r="BL66" s="3">
        <f>+IF(AVANCE[[#This Row],[RED ALCANTARILLADO]]=U$2,100%,AVANCE[[#This Row],[RED ALCANTARILLADO]])</f>
        <v>1</v>
      </c>
      <c r="BM66" s="3">
        <f>+IF(AVANCE[[#This Row],[RED DE AGUA]]=V$2,100%,AVANCE[[#This Row],[RED DE AGUA]])</f>
        <v>1</v>
      </c>
      <c r="BN66" s="3">
        <f>+IF(AVANCE[[#This Row],[VENTILACIONES]]=W$2,100%,AVANCE[[#This Row],[VENTILACIONES]])</f>
        <v>1</v>
      </c>
      <c r="BO66" s="3">
        <f>+IF(AVANCE[[#This Row],[TINA]]=X$2,100%,AVANCE[[#This Row],[TINA]])</f>
        <v>1</v>
      </c>
      <c r="BP66" s="3">
        <f>+IF(AVANCE[[#This Row],[WC]]=Y$2,100%,AVANCE[[#This Row],[WC]])</f>
        <v>1</v>
      </c>
      <c r="BQ66" s="3">
        <f>+IF(AVANCE[[#This Row],[LAVAMANOS / LAVAPLATOS / LAVADERO]]=Z$2,100%,AVANCE[[#This Row],[LAVAMANOS / LAVAPLATOS / LAVADERO]])</f>
        <v>1</v>
      </c>
      <c r="BR66" s="3">
        <f>+IF(AVANCE[[#This Row],[CANALIZACIÓN]]=AC$2,100%,AVANCE[[#This Row],[CANALIZACIÓN]])</f>
        <v>1</v>
      </c>
      <c r="BS66" s="3">
        <f>+IF(AVANCE[[#This Row],[CABLEADO]]=AD$2,100%,AVANCE[[#This Row],[CABLEADO]])</f>
        <v>1</v>
      </c>
      <c r="BT66" s="3">
        <f>+IF(AVANCE[[#This Row],[ARTEFACTOS]]=AE$2,100%,AVANCE[[#This Row],[ARTEFACTOS]])</f>
        <v>0</v>
      </c>
      <c r="BU66" s="3">
        <f>+IF(AVANCE[[#This Row],[TABLERO]]=AF$2,100%,AVANCE[[#This Row],[TABLERO]])</f>
        <v>1</v>
      </c>
      <c r="BV66" s="3">
        <f>+IF(AVANCE[[#This Row],[CAJA PAU]]=AG$2,100%,AVANCE[[#This Row],[CAJA PAU]])</f>
        <v>1</v>
      </c>
      <c r="BW66" s="3">
        <f>+IF(AVANCE[[#This Row],[INSTALACION VINILICO]]=AJ$2,100%,AVANCE[[#This Row],[INSTALACION VINILICO]])</f>
        <v>1</v>
      </c>
      <c r="BX66" s="3">
        <f>+IF(AVANCE[[#This Row],[OSB CUBIERTA]]=AK$2,100%,AVANCE[[#This Row],[OSB CUBIERTA]])</f>
        <v>1</v>
      </c>
      <c r="BY66" s="3">
        <f>+IF(AVANCE[[#This Row],[BARANDA BALCON]]=AL$2,100%,AVANCE[[#This Row],[BARANDA BALCON]])</f>
        <v>1</v>
      </c>
      <c r="BZ66" s="3">
        <f>+IF(AVANCE[[#This Row],[OSB EXTERIOR]]=AM$2,100%,AVANCE[[#This Row],[OSB EXTERIOR]])</f>
        <v>1</v>
      </c>
      <c r="CA66" s="3">
        <f>+IF(AVANCE[[#This Row],[SMART PANEL]]=AN$2,100%,AVANCE[[#This Row],[SMART PANEL]])</f>
        <v>1</v>
      </c>
      <c r="CB66" s="3">
        <f>+IF(AVANCE[[#This Row],[PINTURA EXTERIOR]]=AO$2,100%,AVANCE[[#This Row],[PINTURA EXTERIOR]])</f>
        <v>0</v>
      </c>
      <c r="CC66" s="3">
        <f>+IF(AVANCE[[#This Row],[ZOCALOS LOGIA]]=AP$2,100%,AVANCE[[#This Row],[ZOCALOS LOGIA]])</f>
        <v>1</v>
      </c>
      <c r="CD66" s="3">
        <f>+IF(AVANCE[[#This Row],[MOLDURAS]]=AQ$2,100%,AVANCE[[#This Row],[MOLDURAS]])</f>
        <v>0</v>
      </c>
      <c r="CE66" s="3">
        <f>+IF(AVANCE[[#This Row],[PILASTREO]]=AR$2,100%,AVANCE[[#This Row],[PILASTREO]])</f>
        <v>0</v>
      </c>
      <c r="CF66" s="3">
        <f>+IF(AVANCE[[#This Row],[CELOSIAS]]=AS$2,100%,AVANCE[[#This Row],[CELOSIAS]])</f>
        <v>1</v>
      </c>
      <c r="CG66" s="3">
        <f>+IF(AVANCE[[#This Row],[VENTANAS]]=AT$2,100%,AVANCE[[#This Row],[VENTANAS]])</f>
        <v>1</v>
      </c>
      <c r="CH66" s="3">
        <f>+IF(AVANCE[[#This Row],[PUERTAS ACCESO - LOGIA - BANO]]=AU$2,100%,AVANCE[[#This Row],[PUERTAS ACCESO - LOGIA - BANO]])</f>
        <v>1</v>
      </c>
      <c r="CI66" s="3">
        <f>+IF(AVANCE[[#This Row],[CERRADURAS]]=AV$2,100%,AVANCE[[#This Row],[CERRADURAS]])</f>
        <v>0</v>
      </c>
      <c r="CJ66" s="3">
        <f>+IF(AVANCE[[#This Row],[REVESTIMIENTO INTERIOR ZONA SECA]]=AW$2,100%,AVANCE[[#This Row],[REVESTIMIENTO INTERIOR ZONA SECA]])</f>
        <v>1</v>
      </c>
      <c r="CK66" s="3">
        <f>+IF(AVANCE[[#This Row],[REVESTIMIENTO INTERIOR ZONAS HUMEDAS]]=AX$2,100%,AVANCE[[#This Row],[REVESTIMIENTO INTERIOR ZONAS HUMEDAS]])</f>
        <v>1</v>
      </c>
      <c r="CL66" s="3">
        <f>+IF(AVANCE[[#This Row],[MEMBRANA CIELO]]=AY$2,100%,AVANCE[[#This Row],[MEMBRANA CIELO]])</f>
        <v>1</v>
      </c>
      <c r="CM66" s="3">
        <f>+IF(AVANCE[[#This Row],[LIMPIEZA FINAL]]=AZ$2,100%,AVANCE[[#This Row],[LIMPIEZA FINAL]])</f>
        <v>0</v>
      </c>
      <c r="CN66" s="3">
        <f>+IF(AVANCE[[#This Row],[PUERTAS DORMITORIO]]=BA$2,100%,AVANCE[[#This Row],[PUERTAS DORMITORIO]])</f>
        <v>0</v>
      </c>
      <c r="CO66" s="3">
        <f>+IF(AVANCE[[#This Row],[REVESTIMIENTO INTERIOR BANO]]=BB$2,100%,AVANCE[[#This Row],[REVESTIMIENTO INTERIOR BANO]])</f>
        <v>1</v>
      </c>
      <c r="CP66" s="3">
        <f>+IF(AVANCE[[#This Row],[MUEBLE LAVAPLATOS]]=BC$2,100%,AVANCE[[#This Row],[MUEBLE LAVAPLATOS]])</f>
        <v>1</v>
      </c>
      <c r="CQ66" s="3">
        <f>+IF(AVANCE[[#This Row],[IMPERMEABILIZACION BANO - COCINA LOGIA]]=BD$2,100%,AVANCE[[#This Row],[IMPERMEABILIZACION BANO - COCINA LOGIA]])</f>
        <v>1</v>
      </c>
      <c r="CR66" s="40">
        <f ca="1">+IF(AVANCE[[#This Row],[ESTADO MODULO]]="PENDIENTE",(TODAY()-AVANCE[[#This Row],[FECHA TERMINO  PLANIFICADO]]),0)</f>
        <v>5</v>
      </c>
      <c r="CS66" s="42" t="str" cm="1">
        <f t="array" ref="CS66">_xlfn.TEXTJOIN(" | ",TRUE,IF(SUMPRODUCT((BF66:CQ66&lt;1)*(PARTIDAS!$I$2:$AT$2="OBRA GRUESA"))&gt;0,"OBRA GRUESA: "&amp;_xlfn.TEXTJOIN(", ",TRUE,IF((BF66:CQ66&lt;1)*(PARTIDAS!$I$2:$AT$2="OBRA GRUESA"),PARTIDAS!$I$1:$AT$1,"")),""),IF(SUMPRODUCT((BF66:CQ66&lt;1)*(PARTIDAS!$I$2:$AT$2="SANITARIOS"))&gt;0,"SANITARIOS: "&amp;_xlfn.TEXTJOIN(", ",TRUE,IF((BF66:CQ66&lt;1)*(PARTIDAS!$I$2:$AT$2="SANITARIOS"),PARTIDAS!$I$1:$AT$1,"")),""),IF(SUMPRODUCT((BF66:CQ66&lt;1)*(PARTIDAS!$I$2:$AT$2="ELÉCTRICO"))&gt;0,"ELÉCTRICO: "&amp;_xlfn.TEXTJOIN(", ",TRUE,IF((BF66:CQ66&lt;1)*(PARTIDAS!$I$2:$AT$2="ELÉCTRICO"),PARTIDAS!$I$1:$AT$1,"")),""),IF(SUMPRODUCT((BF66:CQ66&lt;1)*(PARTIDAS!$I$2:$AT$2="TERMINACIONES"))&gt;0,"TERMINACIONES: "&amp;_xlfn.TEXTJOIN(", ",TRUE,IF((BF66:CQ66&lt;1)*(PARTIDAS!$I$2:$AT$2="TERMINACIONES"),PARTIDAS!$I$1:$AT$1,"")),""))</f>
        <v>ELÉCTRICO: ARTEFACTOS | TERMINACIONES: PINTURA EXTERIOR, MOLDURAS, PILASTREO, CERRADURAS, LIMPIEZA FINAL, PUERTAS DORMITORIO</v>
      </c>
      <c r="CT66" s="45" t="str" cm="1">
        <f t="array" ref="CT66">_xlfn.TEXTJOIN(", ",TRUE,IF(SUMPRODUCT((BF66:CQ66&lt;1)*(PARTIDAS!$I$2:$AT$2="OBRA GRUESA"))&gt;0,"OBRA GRUESA",""),IF(SUMPRODUCT((BF66:CQ66&lt;1)*(PARTIDAS!$I$2:$AT$2="SANITARIOS"))&gt;0,"SANITARIOS",""),IF(SUMPRODUCT((BF66:CQ66&lt;1)*(PARTIDAS!$I$2:$AT$2="ELÉCTRICO"))&gt;0,"ELÉCTRICO",""),IF(SUMPRODUCT((BF66:CQ66&lt;1)*(PARTIDAS!$I$2:$AT$2="TERMINACIONES"))&gt;0,"TERMINACIONES",""))</f>
        <v>ELÉCTRICO, TERMINACIONES</v>
      </c>
      <c r="CU66" s="46" cm="1">
        <f t="array" ref="CU66">SUMPRODUCT(--(BF66:CQ66&lt;1))</f>
        <v>7</v>
      </c>
    </row>
    <row r="67" spans="1:99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0.66</v>
      </c>
      <c r="F67" s="1">
        <v>46150</v>
      </c>
      <c r="G67" s="1">
        <v>46154</v>
      </c>
      <c r="H67" s="1">
        <v>46178</v>
      </c>
      <c r="I67" s="1">
        <v>46186</v>
      </c>
      <c r="J67">
        <v>3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0.12999999999999998</v>
      </c>
      <c r="AI67" s="3">
        <v>0.35135135135135126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 s="3" t="str">
        <f>+IF(AVANCE[[#This Row],[% AVANCE]]=100%,"MODULO TERMINADO",IF(AVANCE[[#This Row],[FECHA INICIO REAL]]="","MODULO NO INICIADO","PENDIENTE"))</f>
        <v>PENDIENTE</v>
      </c>
      <c r="BF67" s="3">
        <f>+IF(AVANCE[[#This Row],[VENTANAS]]=8.10810810810811%,100%,AVANCE[[#This Row],[VENTANAS]])</f>
        <v>0</v>
      </c>
      <c r="BG67" s="3">
        <f>+IF(AVANCE[[#This Row],[PISO]]=N$2,100%,AVANCE[[#This Row],[PISO]])</f>
        <v>1</v>
      </c>
      <c r="BH67" s="3">
        <f>+IF(AVANCE[[#This Row],[TABIQUES]]=O$2,100%,AVANCE[[#This Row],[TABIQUES]])</f>
        <v>1</v>
      </c>
      <c r="BI67" s="3">
        <f>+IF(AVANCE[[#This Row],[MUROS]]=P$2,100%,AVANCE[[#This Row],[MUROS]])</f>
        <v>1</v>
      </c>
      <c r="BJ67" s="3">
        <f>+IF(AVANCE[[#This Row],[CIELO]]=Q$2,100%,AVANCE[[#This Row],[CIELO]])</f>
        <v>1</v>
      </c>
      <c r="BK67" s="3">
        <f>+IF(AVANCE[[#This Row],[BALCÓN]]=R$2,100%,AVANCE[[#This Row],[BALCÓN]])</f>
        <v>1</v>
      </c>
      <c r="BL67" s="3">
        <f>+IF(AVANCE[[#This Row],[RED ALCANTARILLADO]]=U$2,100%,AVANCE[[#This Row],[RED ALCANTARILLADO]])</f>
        <v>1</v>
      </c>
      <c r="BM67" s="3">
        <f>+IF(AVANCE[[#This Row],[RED DE AGUA]]=V$2,100%,AVANCE[[#This Row],[RED DE AGUA]])</f>
        <v>1</v>
      </c>
      <c r="BN67" s="3">
        <f>+IF(AVANCE[[#This Row],[VENTILACIONES]]=W$2,100%,AVANCE[[#This Row],[VENTILACIONES]])</f>
        <v>0</v>
      </c>
      <c r="BO67" s="3">
        <f>+IF(AVANCE[[#This Row],[TINA]]=X$2,100%,AVANCE[[#This Row],[TINA]])</f>
        <v>0</v>
      </c>
      <c r="BP67" s="3">
        <f>+IF(AVANCE[[#This Row],[WC]]=Y$2,100%,AVANCE[[#This Row],[WC]])</f>
        <v>0</v>
      </c>
      <c r="BQ67" s="3">
        <f>+IF(AVANCE[[#This Row],[LAVAMANOS / LAVAPLATOS / LAVADERO]]=Z$2,100%,AVANCE[[#This Row],[LAVAMANOS / LAVAPLATOS / LAVADERO]])</f>
        <v>0</v>
      </c>
      <c r="BR67" s="3">
        <f>+IF(AVANCE[[#This Row],[CANALIZACIÓN]]=AC$2,100%,AVANCE[[#This Row],[CANALIZACIÓN]])</f>
        <v>1</v>
      </c>
      <c r="BS67" s="3">
        <f>+IF(AVANCE[[#This Row],[CABLEADO]]=AD$2,100%,AVANCE[[#This Row],[CABLEADO]])</f>
        <v>1</v>
      </c>
      <c r="BT67" s="3">
        <f>+IF(AVANCE[[#This Row],[ARTEFACTOS]]=AE$2,100%,AVANCE[[#This Row],[ARTEFACTOS]])</f>
        <v>0</v>
      </c>
      <c r="BU67" s="3">
        <f>+IF(AVANCE[[#This Row],[TABLERO]]=AF$2,100%,AVANCE[[#This Row],[TABLERO]])</f>
        <v>0</v>
      </c>
      <c r="BV67" s="3">
        <f>+IF(AVANCE[[#This Row],[CAJA PAU]]=AG$2,100%,AVANCE[[#This Row],[CAJA PAU]])</f>
        <v>0</v>
      </c>
      <c r="BW67" s="3">
        <f>+IF(AVANCE[[#This Row],[INSTALACION VINILICO]]=AJ$2,100%,AVANCE[[#This Row],[INSTALACION VINILICO]])</f>
        <v>0</v>
      </c>
      <c r="BX67" s="3">
        <f>+IF(AVANCE[[#This Row],[OSB CUBIERTA]]=AK$2,100%,AVANCE[[#This Row],[OSB CUBIERTA]])</f>
        <v>1</v>
      </c>
      <c r="BY67" s="3">
        <f>+IF(AVANCE[[#This Row],[BARANDA BALCON]]=AL$2,100%,AVANCE[[#This Row],[BARANDA BALCON]])</f>
        <v>0</v>
      </c>
      <c r="BZ67" s="3">
        <f>+IF(AVANCE[[#This Row],[OSB EXTERIOR]]=AM$2,100%,AVANCE[[#This Row],[OSB EXTERIOR]])</f>
        <v>1</v>
      </c>
      <c r="CA67" s="3">
        <f>+IF(AVANCE[[#This Row],[SMART PANEL]]=AN$2,100%,AVANCE[[#This Row],[SMART PANEL]])</f>
        <v>0</v>
      </c>
      <c r="CB67" s="3">
        <f>+IF(AVANCE[[#This Row],[PINTURA EXTERIOR]]=AO$2,100%,AVANCE[[#This Row],[PINTURA EXTERIOR]])</f>
        <v>0</v>
      </c>
      <c r="CC67" s="3">
        <f>+IF(AVANCE[[#This Row],[ZOCALOS LOGIA]]=AP$2,100%,AVANCE[[#This Row],[ZOCALOS LOGIA]])</f>
        <v>0</v>
      </c>
      <c r="CD67" s="3">
        <f>+IF(AVANCE[[#This Row],[MOLDURAS]]=AQ$2,100%,AVANCE[[#This Row],[MOLDURAS]])</f>
        <v>0</v>
      </c>
      <c r="CE67" s="3">
        <f>+IF(AVANCE[[#This Row],[PILASTREO]]=AR$2,100%,AVANCE[[#This Row],[PILASTREO]])</f>
        <v>0</v>
      </c>
      <c r="CF67" s="3">
        <f>+IF(AVANCE[[#This Row],[CELOSIAS]]=AS$2,100%,AVANCE[[#This Row],[CELOSIAS]])</f>
        <v>0</v>
      </c>
      <c r="CG67" s="3">
        <f>+IF(AVANCE[[#This Row],[VENTANAS]]=AT$2,100%,AVANCE[[#This Row],[VENTANAS]])</f>
        <v>0</v>
      </c>
      <c r="CH67" s="3">
        <f>+IF(AVANCE[[#This Row],[PUERTAS ACCESO - LOGIA - BANO]]=AU$2,100%,AVANCE[[#This Row],[PUERTAS ACCESO - LOGIA - BANO]])</f>
        <v>0</v>
      </c>
      <c r="CI67" s="3">
        <f>+IF(AVANCE[[#This Row],[CERRADURAS]]=AV$2,100%,AVANCE[[#This Row],[CERRADURAS]])</f>
        <v>0</v>
      </c>
      <c r="CJ67" s="3">
        <f>+IF(AVANCE[[#This Row],[REVESTIMIENTO INTERIOR ZONA SECA]]=AW$2,100%,AVANCE[[#This Row],[REVESTIMIENTO INTERIOR ZONA SECA]])</f>
        <v>1</v>
      </c>
      <c r="CK67" s="3">
        <f>+IF(AVANCE[[#This Row],[REVESTIMIENTO INTERIOR ZONAS HUMEDAS]]=AX$2,100%,AVANCE[[#This Row],[REVESTIMIENTO INTERIOR ZONAS HUMEDAS]])</f>
        <v>1</v>
      </c>
      <c r="CL67" s="3">
        <f>+IF(AVANCE[[#This Row],[MEMBRANA CIELO]]=AY$2,100%,AVANCE[[#This Row],[MEMBRANA CIELO]])</f>
        <v>1</v>
      </c>
      <c r="CM67" s="3">
        <f>+IF(AVANCE[[#This Row],[LIMPIEZA FINAL]]=AZ$2,100%,AVANCE[[#This Row],[LIMPIEZA FINAL]])</f>
        <v>0</v>
      </c>
      <c r="CN67" s="3">
        <f>+IF(AVANCE[[#This Row],[PUERTAS DORMITORIO]]=BA$2,100%,AVANCE[[#This Row],[PUERTAS DORMITORIO]])</f>
        <v>1</v>
      </c>
      <c r="CO67" s="3">
        <f>+IF(AVANCE[[#This Row],[REVESTIMIENTO INTERIOR BANO]]=BB$2,100%,AVANCE[[#This Row],[REVESTIMIENTO INTERIOR BANO]])</f>
        <v>0</v>
      </c>
      <c r="CP67" s="3">
        <f>+IF(AVANCE[[#This Row],[MUEBLE LAVAPLATOS]]=BC$2,100%,AVANCE[[#This Row],[MUEBLE LAVAPLATOS]])</f>
        <v>0</v>
      </c>
      <c r="CQ67" s="3">
        <f>+IF(AVANCE[[#This Row],[IMPERMEABILIZACION BANO - COCINA LOGIA]]=BD$2,100%,AVANCE[[#This Row],[IMPERMEABILIZACION BANO - COCINA LOGIA]])</f>
        <v>1</v>
      </c>
      <c r="CR67" s="40">
        <f ca="1">+IF(AVANCE[[#This Row],[ESTADO MODULO]]="PENDIENTE",(TODAY()-AVANCE[[#This Row],[FECHA TERMINO  PLANIFICADO]]),0)</f>
        <v>-5</v>
      </c>
      <c r="CS67" s="42" t="str" cm="1">
        <f t="array" ref="CS67">_xlfn.TEXTJOIN(" | ",TRUE,IF(SUMPRODUCT((BF67:CQ67&lt;1)*(PARTIDAS!$I$2:$AT$2="OBRA GRUESA"))&gt;0,"OBRA GRUESA: "&amp;_xlfn.TEXTJOIN(", ",TRUE,IF((BF67:CQ67&lt;1)*(PARTIDAS!$I$2:$AT$2="OBRA GRUESA"),PARTIDAS!$I$1:$AT$1,"")),""),IF(SUMPRODUCT((BF67:CQ67&lt;1)*(PARTIDAS!$I$2:$AT$2="SANITARIOS"))&gt;0,"SANITARIOS: "&amp;_xlfn.TEXTJOIN(", ",TRUE,IF((BF67:CQ67&lt;1)*(PARTIDAS!$I$2:$AT$2="SANITARIOS"),PARTIDAS!$I$1:$AT$1,"")),""),IF(SUMPRODUCT((BF67:CQ67&lt;1)*(PARTIDAS!$I$2:$AT$2="ELÉCTRICO"))&gt;0,"ELÉCTRICO: "&amp;_xlfn.TEXTJOIN(", ",TRUE,IF((BF67:CQ67&lt;1)*(PARTIDAS!$I$2:$AT$2="ELÉCTRICO"),PARTIDAS!$I$1:$AT$1,"")),""),IF(SUMPRODUCT((BF67:CQ67&lt;1)*(PARTIDAS!$I$2:$AT$2="TERMINACIONES"))&gt;0,"TERMINACIONES: "&amp;_xlfn.TEXTJOIN(", ",TRUE,IF((BF67:CQ67&lt;1)*(PARTIDAS!$I$2:$AT$2="TERMINACIONES"),PARTIDAS!$I$1:$AT$1,"")),""))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T67" s="45" t="str" cm="1">
        <f t="array" ref="CT67">_xlfn.TEXTJOIN(", ",TRUE,IF(SUMPRODUCT((BF67:CQ67&lt;1)*(PARTIDAS!$I$2:$AT$2="OBRA GRUESA"))&gt;0,"OBRA GRUESA",""),IF(SUMPRODUCT((BF67:CQ67&lt;1)*(PARTIDAS!$I$2:$AT$2="SANITARIOS"))&gt;0,"SANITARIOS",""),IF(SUMPRODUCT((BF67:CQ67&lt;1)*(PARTIDAS!$I$2:$AT$2="ELÉCTRICO"))&gt;0,"ELÉCTRICO",""),IF(SUMPRODUCT((BF67:CQ67&lt;1)*(PARTIDAS!$I$2:$AT$2="TERMINACIONES"))&gt;0,"TERMINACIONES",""))</f>
        <v>SANITARIOS, ELÉCTRICO, TERMINACIONES</v>
      </c>
      <c r="CU67" s="46" cm="1">
        <f t="array" ref="CU67">SUMPRODUCT(--(BF67:CQ67&lt;1))</f>
        <v>22</v>
      </c>
    </row>
    <row r="68" spans="1:99" x14ac:dyDescent="0.25">
      <c r="A68" t="s">
        <v>124</v>
      </c>
      <c r="B68" t="s">
        <v>127</v>
      </c>
      <c r="C68">
        <v>2302600067</v>
      </c>
      <c r="D68" t="s">
        <v>60</v>
      </c>
      <c r="E68" s="2">
        <v>0.63</v>
      </c>
      <c r="F68" s="1">
        <v>46153</v>
      </c>
      <c r="G68" s="1">
        <v>46158</v>
      </c>
      <c r="H68" s="1">
        <v>46176</v>
      </c>
      <c r="I68" s="1">
        <v>46189</v>
      </c>
      <c r="J68">
        <v>5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3.9999999999999994E-2</v>
      </c>
      <c r="T68" s="3">
        <v>0.44444444444444442</v>
      </c>
      <c r="U68" s="3">
        <v>0.22222222222222221</v>
      </c>
      <c r="V68" s="3">
        <v>0.22222222222222221</v>
      </c>
      <c r="W68" s="3">
        <v>0</v>
      </c>
      <c r="X68" s="3">
        <v>0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0.12999999999999998</v>
      </c>
      <c r="AI68" s="3">
        <v>0.35135135135135126</v>
      </c>
      <c r="AJ68" s="3">
        <v>0</v>
      </c>
      <c r="AK68" s="3">
        <v>5.4054054054054036E-2</v>
      </c>
      <c r="AL68" s="3">
        <v>0</v>
      </c>
      <c r="AM68" s="3">
        <v>8.1081081081081058E-2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 s="3" t="str">
        <f>+IF(AVANCE[[#This Row],[% AVANCE]]=100%,"MODULO TERMINADO",IF(AVANCE[[#This Row],[FECHA INICIO REAL]]="","MODULO NO INICIADO","PENDIENTE"))</f>
        <v>PENDIENTE</v>
      </c>
      <c r="BF68" s="3">
        <f>+IF(AVANCE[[#This Row],[VENTANAS]]=8.10810810810811%,100%,AVANCE[[#This Row],[VENTANAS]])</f>
        <v>0</v>
      </c>
      <c r="BG68" s="3">
        <f>+IF(AVANCE[[#This Row],[PISO]]=N$2,100%,AVANCE[[#This Row],[PISO]])</f>
        <v>1</v>
      </c>
      <c r="BH68" s="3">
        <f>+IF(AVANCE[[#This Row],[TABIQUES]]=O$2,100%,AVANCE[[#This Row],[TABIQUES]])</f>
        <v>1</v>
      </c>
      <c r="BI68" s="3">
        <f>+IF(AVANCE[[#This Row],[MUROS]]=P$2,100%,AVANCE[[#This Row],[MUROS]])</f>
        <v>1</v>
      </c>
      <c r="BJ68" s="3">
        <f>+IF(AVANCE[[#This Row],[CIELO]]=Q$2,100%,AVANCE[[#This Row],[CIELO]])</f>
        <v>1</v>
      </c>
      <c r="BK68" s="3">
        <f>+IF(AVANCE[[#This Row],[BALCÓN]]=R$2,100%,AVANCE[[#This Row],[BALCÓN]])</f>
        <v>1</v>
      </c>
      <c r="BL68" s="3">
        <f>+IF(AVANCE[[#This Row],[RED ALCANTARILLADO]]=U$2,100%,AVANCE[[#This Row],[RED ALCANTARILLADO]])</f>
        <v>1</v>
      </c>
      <c r="BM68" s="3">
        <f>+IF(AVANCE[[#This Row],[RED DE AGUA]]=V$2,100%,AVANCE[[#This Row],[RED DE AGUA]])</f>
        <v>1</v>
      </c>
      <c r="BN68" s="3">
        <f>+IF(AVANCE[[#This Row],[VENTILACIONES]]=W$2,100%,AVANCE[[#This Row],[VENTILACIONES]])</f>
        <v>0</v>
      </c>
      <c r="BO68" s="3">
        <f>+IF(AVANCE[[#This Row],[TINA]]=X$2,100%,AVANCE[[#This Row],[TINA]])</f>
        <v>0</v>
      </c>
      <c r="BP68" s="3">
        <f>+IF(AVANCE[[#This Row],[WC]]=Y$2,100%,AVANCE[[#This Row],[WC]])</f>
        <v>0</v>
      </c>
      <c r="BQ68" s="3">
        <f>+IF(AVANCE[[#This Row],[LAVAMANOS / LAVAPLATOS / LAVADERO]]=Z$2,100%,AVANCE[[#This Row],[LAVAMANOS / LAVAPLATOS / LAVADERO]])</f>
        <v>0</v>
      </c>
      <c r="BR68" s="3">
        <f>+IF(AVANCE[[#This Row],[CANALIZACIÓN]]=AC$2,100%,AVANCE[[#This Row],[CANALIZACIÓN]])</f>
        <v>1</v>
      </c>
      <c r="BS68" s="3">
        <f>+IF(AVANCE[[#This Row],[CABLEADO]]=AD$2,100%,AVANCE[[#This Row],[CABLEADO]])</f>
        <v>0</v>
      </c>
      <c r="BT68" s="3">
        <f>+IF(AVANCE[[#This Row],[ARTEFACTOS]]=AE$2,100%,AVANCE[[#This Row],[ARTEFACTOS]])</f>
        <v>0</v>
      </c>
      <c r="BU68" s="3">
        <f>+IF(AVANCE[[#This Row],[TABLERO]]=AF$2,100%,AVANCE[[#This Row],[TABLERO]])</f>
        <v>0</v>
      </c>
      <c r="BV68" s="3">
        <f>+IF(AVANCE[[#This Row],[CAJA PAU]]=AG$2,100%,AVANCE[[#This Row],[CAJA PAU]])</f>
        <v>0</v>
      </c>
      <c r="BW68" s="3">
        <f>+IF(AVANCE[[#This Row],[INSTALACION VINILICO]]=AJ$2,100%,AVANCE[[#This Row],[INSTALACION VINILICO]])</f>
        <v>0</v>
      </c>
      <c r="BX68" s="3">
        <f>+IF(AVANCE[[#This Row],[OSB CUBIERTA]]=AK$2,100%,AVANCE[[#This Row],[OSB CUBIERTA]])</f>
        <v>1</v>
      </c>
      <c r="BY68" s="3">
        <f>+IF(AVANCE[[#This Row],[BARANDA BALCON]]=AL$2,100%,AVANCE[[#This Row],[BARANDA BALCON]])</f>
        <v>0</v>
      </c>
      <c r="BZ68" s="3">
        <f>+IF(AVANCE[[#This Row],[OSB EXTERIOR]]=AM$2,100%,AVANCE[[#This Row],[OSB EXTERIOR]])</f>
        <v>1</v>
      </c>
      <c r="CA68" s="3">
        <f>+IF(AVANCE[[#This Row],[SMART PANEL]]=AN$2,100%,AVANCE[[#This Row],[SMART PANEL]])</f>
        <v>0</v>
      </c>
      <c r="CB68" s="3">
        <f>+IF(AVANCE[[#This Row],[PINTURA EXTERIOR]]=AO$2,100%,AVANCE[[#This Row],[PINTURA EXTERIOR]])</f>
        <v>0</v>
      </c>
      <c r="CC68" s="3">
        <f>+IF(AVANCE[[#This Row],[ZOCALOS LOGIA]]=AP$2,100%,AVANCE[[#This Row],[ZOCALOS LOGIA]])</f>
        <v>0</v>
      </c>
      <c r="CD68" s="3">
        <f>+IF(AVANCE[[#This Row],[MOLDURAS]]=AQ$2,100%,AVANCE[[#This Row],[MOLDURAS]])</f>
        <v>0</v>
      </c>
      <c r="CE68" s="3">
        <f>+IF(AVANCE[[#This Row],[PILASTREO]]=AR$2,100%,AVANCE[[#This Row],[PILASTREO]])</f>
        <v>0</v>
      </c>
      <c r="CF68" s="3">
        <f>+IF(AVANCE[[#This Row],[CELOSIAS]]=AS$2,100%,AVANCE[[#This Row],[CELOSIAS]])</f>
        <v>0</v>
      </c>
      <c r="CG68" s="3">
        <f>+IF(AVANCE[[#This Row],[VENTANAS]]=AT$2,100%,AVANCE[[#This Row],[VENTANAS]])</f>
        <v>0</v>
      </c>
      <c r="CH68" s="3">
        <f>+IF(AVANCE[[#This Row],[PUERTAS ACCESO - LOGIA - BANO]]=AU$2,100%,AVANCE[[#This Row],[PUERTAS ACCESO - LOGIA - BANO]])</f>
        <v>0</v>
      </c>
      <c r="CI68" s="3">
        <f>+IF(AVANCE[[#This Row],[CERRADURAS]]=AV$2,100%,AVANCE[[#This Row],[CERRADURAS]])</f>
        <v>0</v>
      </c>
      <c r="CJ68" s="3">
        <f>+IF(AVANCE[[#This Row],[REVESTIMIENTO INTERIOR ZONA SECA]]=AW$2,100%,AVANCE[[#This Row],[REVESTIMIENTO INTERIOR ZONA SECA]])</f>
        <v>1</v>
      </c>
      <c r="CK68" s="3">
        <f>+IF(AVANCE[[#This Row],[REVESTIMIENTO INTERIOR ZONAS HUMEDAS]]=AX$2,100%,AVANCE[[#This Row],[REVESTIMIENTO INTERIOR ZONAS HUMEDAS]])</f>
        <v>1</v>
      </c>
      <c r="CL68" s="3">
        <f>+IF(AVANCE[[#This Row],[MEMBRANA CIELO]]=AY$2,100%,AVANCE[[#This Row],[MEMBRANA CIELO]])</f>
        <v>1</v>
      </c>
      <c r="CM68" s="3">
        <f>+IF(AVANCE[[#This Row],[LIMPIEZA FINAL]]=AZ$2,100%,AVANCE[[#This Row],[LIMPIEZA FINAL]])</f>
        <v>0</v>
      </c>
      <c r="CN68" s="3">
        <f>+IF(AVANCE[[#This Row],[PUERTAS DORMITORIO]]=BA$2,100%,AVANCE[[#This Row],[PUERTAS DORMITORIO]])</f>
        <v>1</v>
      </c>
      <c r="CO68" s="3">
        <f>+IF(AVANCE[[#This Row],[REVESTIMIENTO INTERIOR BANO]]=BB$2,100%,AVANCE[[#This Row],[REVESTIMIENTO INTERIOR BANO]])</f>
        <v>0</v>
      </c>
      <c r="CP68" s="3">
        <f>+IF(AVANCE[[#This Row],[MUEBLE LAVAPLATOS]]=BC$2,100%,AVANCE[[#This Row],[MUEBLE LAVAPLATOS]])</f>
        <v>0</v>
      </c>
      <c r="CQ68" s="3">
        <f>+IF(AVANCE[[#This Row],[IMPERMEABILIZACION BANO - COCINA LOGIA]]=BD$2,100%,AVANCE[[#This Row],[IMPERMEABILIZACION BANO - COCINA LOGIA]])</f>
        <v>1</v>
      </c>
      <c r="CR68" s="40">
        <f ca="1">+IF(AVANCE[[#This Row],[ESTADO MODULO]]="PENDIENTE",(TODAY()-AVANCE[[#This Row],[FECHA TERMINO  PLANIFICADO]]),0)</f>
        <v>-8</v>
      </c>
      <c r="CS68" s="42" t="str" cm="1">
        <f t="array" ref="CS68">_xlfn.TEXTJOIN(" | ",TRUE,IF(SUMPRODUCT((BF68:CQ68&lt;1)*(PARTIDAS!$I$2:$AT$2="OBRA GRUESA"))&gt;0,"OBRA GRUESA: "&amp;_xlfn.TEXTJOIN(", ",TRUE,IF((BF68:CQ68&lt;1)*(PARTIDAS!$I$2:$AT$2="OBRA GRUESA"),PARTIDAS!$I$1:$AT$1,"")),""),IF(SUMPRODUCT((BF68:CQ68&lt;1)*(PARTIDAS!$I$2:$AT$2="SANITARIOS"))&gt;0,"SANITARIOS: "&amp;_xlfn.TEXTJOIN(", ",TRUE,IF((BF68:CQ68&lt;1)*(PARTIDAS!$I$2:$AT$2="SANITARIOS"),PARTIDAS!$I$1:$AT$1,"")),""),IF(SUMPRODUCT((BF68:CQ68&lt;1)*(PARTIDAS!$I$2:$AT$2="ELÉCTRICO"))&gt;0,"ELÉCTRICO: "&amp;_xlfn.TEXTJOIN(", ",TRUE,IF((BF68:CQ68&lt;1)*(PARTIDAS!$I$2:$AT$2="ELÉCTRICO"),PARTIDAS!$I$1:$AT$1,"")),""),IF(SUMPRODUCT((BF68:CQ68&lt;1)*(PARTIDAS!$I$2:$AT$2="TERMINACIONES"))&gt;0,"TERMINACIONES: "&amp;_xlfn.TEXTJOIN(", ",TRUE,IF((BF68:CQ68&lt;1)*(PARTIDAS!$I$2:$AT$2="TERMINACIONES"),PARTIDAS!$I$1:$AT$1,"")),""))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T68" s="45" t="str" cm="1">
        <f t="array" ref="CT68">_xlfn.TEXTJOIN(", ",TRUE,IF(SUMPRODUCT((BF68:CQ68&lt;1)*(PARTIDAS!$I$2:$AT$2="OBRA GRUESA"))&gt;0,"OBRA GRUESA",""),IF(SUMPRODUCT((BF68:CQ68&lt;1)*(PARTIDAS!$I$2:$AT$2="SANITARIOS"))&gt;0,"SANITARIOS",""),IF(SUMPRODUCT((BF68:CQ68&lt;1)*(PARTIDAS!$I$2:$AT$2="ELÉCTRICO"))&gt;0,"ELÉCTRICO",""),IF(SUMPRODUCT((BF68:CQ68&lt;1)*(PARTIDAS!$I$2:$AT$2="TERMINACIONES"))&gt;0,"TERMINACIONES",""))</f>
        <v>SANITARIOS, ELÉCTRICO, TERMINACIONES</v>
      </c>
      <c r="CU68" s="46" cm="1">
        <f t="array" ref="CU68">SUMPRODUCT(--(BF68:CQ68&lt;1))</f>
        <v>23</v>
      </c>
    </row>
    <row r="69" spans="1:99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0.85999999999999988</v>
      </c>
      <c r="F69" s="1">
        <v>46153</v>
      </c>
      <c r="G69" s="1">
        <v>46156</v>
      </c>
      <c r="H69" s="1">
        <v>46178</v>
      </c>
      <c r="I69" s="1">
        <v>46179</v>
      </c>
      <c r="J69">
        <v>3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0.26999999999999985</v>
      </c>
      <c r="AI69" s="3">
        <v>0.72972972972972938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0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 s="3" t="str">
        <f>+IF(AVANCE[[#This Row],[% AVANCE]]=100%,"MODULO TERMINADO",IF(AVANCE[[#This Row],[FECHA INICIO REAL]]="","MODULO NO INICIADO","PENDIENTE"))</f>
        <v>PENDIENTE</v>
      </c>
      <c r="BF69" s="3">
        <f>+IF(AVANCE[[#This Row],[VENTANAS]]=8.10810810810811%,100%,AVANCE[[#This Row],[VENTANAS]])</f>
        <v>0</v>
      </c>
      <c r="BG69" s="3">
        <f>+IF(AVANCE[[#This Row],[PISO]]=N$2,100%,AVANCE[[#This Row],[PISO]])</f>
        <v>1</v>
      </c>
      <c r="BH69" s="3">
        <f>+IF(AVANCE[[#This Row],[TABIQUES]]=O$2,100%,AVANCE[[#This Row],[TABIQUES]])</f>
        <v>1</v>
      </c>
      <c r="BI69" s="3">
        <f>+IF(AVANCE[[#This Row],[MUROS]]=P$2,100%,AVANCE[[#This Row],[MUROS]])</f>
        <v>1</v>
      </c>
      <c r="BJ69" s="3">
        <f>+IF(AVANCE[[#This Row],[CIELO]]=Q$2,100%,AVANCE[[#This Row],[CIELO]])</f>
        <v>1</v>
      </c>
      <c r="BK69" s="3">
        <f>+IF(AVANCE[[#This Row],[BALCÓN]]=R$2,100%,AVANCE[[#This Row],[BALCÓN]])</f>
        <v>1</v>
      </c>
      <c r="BL69" s="3">
        <f>+IF(AVANCE[[#This Row],[RED ALCANTARILLADO]]=U$2,100%,AVANCE[[#This Row],[RED ALCANTARILLADO]])</f>
        <v>1</v>
      </c>
      <c r="BM69" s="3">
        <f>+IF(AVANCE[[#This Row],[RED DE AGUA]]=V$2,100%,AVANCE[[#This Row],[RED DE AGUA]])</f>
        <v>1</v>
      </c>
      <c r="BN69" s="3">
        <f>+IF(AVANCE[[#This Row],[VENTILACIONES]]=W$2,100%,AVANCE[[#This Row],[VENTILACIONES]])</f>
        <v>1</v>
      </c>
      <c r="BO69" s="3">
        <f>+IF(AVANCE[[#This Row],[TINA]]=X$2,100%,AVANCE[[#This Row],[TINA]])</f>
        <v>1</v>
      </c>
      <c r="BP69" s="3">
        <f>+IF(AVANCE[[#This Row],[WC]]=Y$2,100%,AVANCE[[#This Row],[WC]])</f>
        <v>1</v>
      </c>
      <c r="BQ69" s="3">
        <f>+IF(AVANCE[[#This Row],[LAVAMANOS / LAVAPLATOS / LAVADERO]]=Z$2,100%,AVANCE[[#This Row],[LAVAMANOS / LAVAPLATOS / LAVADERO]])</f>
        <v>1</v>
      </c>
      <c r="BR69" s="3">
        <f>+IF(AVANCE[[#This Row],[CANALIZACIÓN]]=AC$2,100%,AVANCE[[#This Row],[CANALIZACIÓN]])</f>
        <v>1</v>
      </c>
      <c r="BS69" s="3">
        <f>+IF(AVANCE[[#This Row],[CABLEADO]]=AD$2,100%,AVANCE[[#This Row],[CABLEADO]])</f>
        <v>0</v>
      </c>
      <c r="BT69" s="3">
        <f>+IF(AVANCE[[#This Row],[ARTEFACTOS]]=AE$2,100%,AVANCE[[#This Row],[ARTEFACTOS]])</f>
        <v>0</v>
      </c>
      <c r="BU69" s="3">
        <f>+IF(AVANCE[[#This Row],[TABLERO]]=AF$2,100%,AVANCE[[#This Row],[TABLERO]])</f>
        <v>1</v>
      </c>
      <c r="BV69" s="3">
        <f>+IF(AVANCE[[#This Row],[CAJA PAU]]=AG$2,100%,AVANCE[[#This Row],[CAJA PAU]])</f>
        <v>1</v>
      </c>
      <c r="BW69" s="3">
        <f>+IF(AVANCE[[#This Row],[INSTALACION VINILICO]]=AJ$2,100%,AVANCE[[#This Row],[INSTALACION VINILICO]])</f>
        <v>1</v>
      </c>
      <c r="BX69" s="3">
        <f>+IF(AVANCE[[#This Row],[OSB CUBIERTA]]=AK$2,100%,AVANCE[[#This Row],[OSB CUBIERTA]])</f>
        <v>1</v>
      </c>
      <c r="BY69" s="3">
        <f>+IF(AVANCE[[#This Row],[BARANDA BALCON]]=AL$2,100%,AVANCE[[#This Row],[BARANDA BALCON]])</f>
        <v>1</v>
      </c>
      <c r="BZ69" s="3">
        <f>+IF(AVANCE[[#This Row],[OSB EXTERIOR]]=AM$2,100%,AVANCE[[#This Row],[OSB EXTERIOR]])</f>
        <v>1</v>
      </c>
      <c r="CA69" s="3">
        <f>+IF(AVANCE[[#This Row],[SMART PANEL]]=AN$2,100%,AVANCE[[#This Row],[SMART PANEL]])</f>
        <v>1</v>
      </c>
      <c r="CB69" s="3">
        <f>+IF(AVANCE[[#This Row],[PINTURA EXTERIOR]]=AO$2,100%,AVANCE[[#This Row],[PINTURA EXTERIOR]])</f>
        <v>1</v>
      </c>
      <c r="CC69" s="3">
        <f>+IF(AVANCE[[#This Row],[ZOCALOS LOGIA]]=AP$2,100%,AVANCE[[#This Row],[ZOCALOS LOGIA]])</f>
        <v>1</v>
      </c>
      <c r="CD69" s="3">
        <f>+IF(AVANCE[[#This Row],[MOLDURAS]]=AQ$2,100%,AVANCE[[#This Row],[MOLDURAS]])</f>
        <v>0</v>
      </c>
      <c r="CE69" s="3">
        <f>+IF(AVANCE[[#This Row],[PILASTREO]]=AR$2,100%,AVANCE[[#This Row],[PILASTREO]])</f>
        <v>0</v>
      </c>
      <c r="CF69" s="3">
        <f>+IF(AVANCE[[#This Row],[CELOSIAS]]=AS$2,100%,AVANCE[[#This Row],[CELOSIAS]])</f>
        <v>0</v>
      </c>
      <c r="CG69" s="3">
        <f>+IF(AVANCE[[#This Row],[VENTANAS]]=AT$2,100%,AVANCE[[#This Row],[VENTANAS]])</f>
        <v>0</v>
      </c>
      <c r="CH69" s="3">
        <f>+IF(AVANCE[[#This Row],[PUERTAS ACCESO - LOGIA - BANO]]=AU$2,100%,AVANCE[[#This Row],[PUERTAS ACCESO - LOGIA - BANO]])</f>
        <v>1</v>
      </c>
      <c r="CI69" s="3">
        <f>+IF(AVANCE[[#This Row],[CERRADURAS]]=AV$2,100%,AVANCE[[#This Row],[CERRADURAS]])</f>
        <v>0</v>
      </c>
      <c r="CJ69" s="3">
        <f>+IF(AVANCE[[#This Row],[REVESTIMIENTO INTERIOR ZONA SECA]]=AW$2,100%,AVANCE[[#This Row],[REVESTIMIENTO INTERIOR ZONA SECA]])</f>
        <v>1</v>
      </c>
      <c r="CK69" s="3">
        <f>+IF(AVANCE[[#This Row],[REVESTIMIENTO INTERIOR ZONAS HUMEDAS]]=AX$2,100%,AVANCE[[#This Row],[REVESTIMIENTO INTERIOR ZONAS HUMEDAS]])</f>
        <v>1</v>
      </c>
      <c r="CL69" s="3">
        <f>+IF(AVANCE[[#This Row],[MEMBRANA CIELO]]=AY$2,100%,AVANCE[[#This Row],[MEMBRANA CIELO]])</f>
        <v>1</v>
      </c>
      <c r="CM69" s="3">
        <f>+IF(AVANCE[[#This Row],[LIMPIEZA FINAL]]=AZ$2,100%,AVANCE[[#This Row],[LIMPIEZA FINAL]])</f>
        <v>0</v>
      </c>
      <c r="CN69" s="3">
        <f>+IF(AVANCE[[#This Row],[PUERTAS DORMITORIO]]=BA$2,100%,AVANCE[[#This Row],[PUERTAS DORMITORIO]])</f>
        <v>0</v>
      </c>
      <c r="CO69" s="3">
        <f>+IF(AVANCE[[#This Row],[REVESTIMIENTO INTERIOR BANO]]=BB$2,100%,AVANCE[[#This Row],[REVESTIMIENTO INTERIOR BANO]])</f>
        <v>1</v>
      </c>
      <c r="CP69" s="3">
        <f>+IF(AVANCE[[#This Row],[MUEBLE LAVAPLATOS]]=BC$2,100%,AVANCE[[#This Row],[MUEBLE LAVAPLATOS]])</f>
        <v>1</v>
      </c>
      <c r="CQ69" s="3">
        <f>+IF(AVANCE[[#This Row],[IMPERMEABILIZACION BANO - COCINA LOGIA]]=BD$2,100%,AVANCE[[#This Row],[IMPERMEABILIZACION BANO - COCINA LOGIA]])</f>
        <v>1</v>
      </c>
      <c r="CR69" s="40">
        <f ca="1">+IF(AVANCE[[#This Row],[ESTADO MODULO]]="PENDIENTE",(TODAY()-AVANCE[[#This Row],[FECHA TERMINO  PLANIFICADO]]),0)</f>
        <v>2</v>
      </c>
      <c r="CS69" s="42" t="str" cm="1">
        <f t="array" ref="CS69">_xlfn.TEXTJOIN(" | ",TRUE,IF(SUMPRODUCT((BF69:CQ69&lt;1)*(PARTIDAS!$I$2:$AT$2="OBRA GRUESA"))&gt;0,"OBRA GRUESA: "&amp;_xlfn.TEXTJOIN(", ",TRUE,IF((BF69:CQ69&lt;1)*(PARTIDAS!$I$2:$AT$2="OBRA GRUESA"),PARTIDAS!$I$1:$AT$1,"")),""),IF(SUMPRODUCT((BF69:CQ69&lt;1)*(PARTIDAS!$I$2:$AT$2="SANITARIOS"))&gt;0,"SANITARIOS: "&amp;_xlfn.TEXTJOIN(", ",TRUE,IF((BF69:CQ69&lt;1)*(PARTIDAS!$I$2:$AT$2="SANITARIOS"),PARTIDAS!$I$1:$AT$1,"")),""),IF(SUMPRODUCT((BF69:CQ69&lt;1)*(PARTIDAS!$I$2:$AT$2="ELÉCTRICO"))&gt;0,"ELÉCTRICO: "&amp;_xlfn.TEXTJOIN(", ",TRUE,IF((BF69:CQ69&lt;1)*(PARTIDAS!$I$2:$AT$2="ELÉCTRICO"),PARTIDAS!$I$1:$AT$1,"")),""),IF(SUMPRODUCT((BF69:CQ69&lt;1)*(PARTIDAS!$I$2:$AT$2="TERMINACIONES"))&gt;0,"TERMINACIONES: "&amp;_xlfn.TEXTJOIN(", ",TRUE,IF((BF69:CQ69&lt;1)*(PARTIDAS!$I$2:$AT$2="TERMINACIONES"),PARTIDAS!$I$1:$AT$1,"")),""))</f>
        <v>ELÉCTRICO: CABLEADO, ARTEFACTOS | TERMINACIONES: VENTANAS, MOLDURAS, PILASTREO, CELOSIAS, VENTANAS (TERM), CERRADURAS, LIMPIEZA FINAL, PUERTAS DORMITORIO</v>
      </c>
      <c r="CT69" s="45" t="str" cm="1">
        <f t="array" ref="CT69">_xlfn.TEXTJOIN(", ",TRUE,IF(SUMPRODUCT((BF69:CQ69&lt;1)*(PARTIDAS!$I$2:$AT$2="OBRA GRUESA"))&gt;0,"OBRA GRUESA",""),IF(SUMPRODUCT((BF69:CQ69&lt;1)*(PARTIDAS!$I$2:$AT$2="SANITARIOS"))&gt;0,"SANITARIOS",""),IF(SUMPRODUCT((BF69:CQ69&lt;1)*(PARTIDAS!$I$2:$AT$2="ELÉCTRICO"))&gt;0,"ELÉCTRICO",""),IF(SUMPRODUCT((BF69:CQ69&lt;1)*(PARTIDAS!$I$2:$AT$2="TERMINACIONES"))&gt;0,"TERMINACIONES",""))</f>
        <v>ELÉCTRICO, TERMINACIONES</v>
      </c>
      <c r="CU69" s="46" cm="1">
        <f t="array" ref="CU69">SUMPRODUCT(--(BF69:CQ69&lt;1))</f>
        <v>10</v>
      </c>
    </row>
    <row r="70" spans="1:99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0.83499999999999985</v>
      </c>
      <c r="F70" s="1">
        <v>46154</v>
      </c>
      <c r="G70" s="1">
        <v>46156</v>
      </c>
      <c r="H70" s="1">
        <v>46176</v>
      </c>
      <c r="I70" s="1">
        <v>46180</v>
      </c>
      <c r="J70">
        <v>5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0.24499999999999988</v>
      </c>
      <c r="AI70" s="3">
        <v>0.66216216216216184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0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0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 s="3" t="str">
        <f>+IF(AVANCE[[#This Row],[% AVANCE]]=100%,"MODULO TERMINADO",IF(AVANCE[[#This Row],[FECHA INICIO REAL]]="","MODULO NO INICIADO","PENDIENTE"))</f>
        <v>PENDIENTE</v>
      </c>
      <c r="BF70" s="3">
        <f>+IF(AVANCE[[#This Row],[VENTANAS]]=8.10810810810811%,100%,AVANCE[[#This Row],[VENTANAS]])</f>
        <v>0</v>
      </c>
      <c r="BG70" s="3">
        <f>+IF(AVANCE[[#This Row],[PISO]]=N$2,100%,AVANCE[[#This Row],[PISO]])</f>
        <v>1</v>
      </c>
      <c r="BH70" s="3">
        <f>+IF(AVANCE[[#This Row],[TABIQUES]]=O$2,100%,AVANCE[[#This Row],[TABIQUES]])</f>
        <v>1</v>
      </c>
      <c r="BI70" s="3">
        <f>+IF(AVANCE[[#This Row],[MUROS]]=P$2,100%,AVANCE[[#This Row],[MUROS]])</f>
        <v>1</v>
      </c>
      <c r="BJ70" s="3">
        <f>+IF(AVANCE[[#This Row],[CIELO]]=Q$2,100%,AVANCE[[#This Row],[CIELO]])</f>
        <v>1</v>
      </c>
      <c r="BK70" s="3">
        <f>+IF(AVANCE[[#This Row],[BALCÓN]]=R$2,100%,AVANCE[[#This Row],[BALCÓN]])</f>
        <v>1</v>
      </c>
      <c r="BL70" s="3">
        <f>+IF(AVANCE[[#This Row],[RED ALCANTARILLADO]]=U$2,100%,AVANCE[[#This Row],[RED ALCANTARILLADO]])</f>
        <v>1</v>
      </c>
      <c r="BM70" s="3">
        <f>+IF(AVANCE[[#This Row],[RED DE AGUA]]=V$2,100%,AVANCE[[#This Row],[RED DE AGUA]])</f>
        <v>1</v>
      </c>
      <c r="BN70" s="3">
        <f>+IF(AVANCE[[#This Row],[VENTILACIONES]]=W$2,100%,AVANCE[[#This Row],[VENTILACIONES]])</f>
        <v>1</v>
      </c>
      <c r="BO70" s="3">
        <f>+IF(AVANCE[[#This Row],[TINA]]=X$2,100%,AVANCE[[#This Row],[TINA]])</f>
        <v>1</v>
      </c>
      <c r="BP70" s="3">
        <f>+IF(AVANCE[[#This Row],[WC]]=Y$2,100%,AVANCE[[#This Row],[WC]])</f>
        <v>1</v>
      </c>
      <c r="BQ70" s="3">
        <f>+IF(AVANCE[[#This Row],[LAVAMANOS / LAVAPLATOS / LAVADERO]]=Z$2,100%,AVANCE[[#This Row],[LAVAMANOS / LAVAPLATOS / LAVADERO]])</f>
        <v>1</v>
      </c>
      <c r="BR70" s="3">
        <f>+IF(AVANCE[[#This Row],[CANALIZACIÓN]]=AC$2,100%,AVANCE[[#This Row],[CANALIZACIÓN]])</f>
        <v>1</v>
      </c>
      <c r="BS70" s="3">
        <f>+IF(AVANCE[[#This Row],[CABLEADO]]=AD$2,100%,AVANCE[[#This Row],[CABLEADO]])</f>
        <v>0</v>
      </c>
      <c r="BT70" s="3">
        <f>+IF(AVANCE[[#This Row],[ARTEFACTOS]]=AE$2,100%,AVANCE[[#This Row],[ARTEFACTOS]])</f>
        <v>0</v>
      </c>
      <c r="BU70" s="3">
        <f>+IF(AVANCE[[#This Row],[TABLERO]]=AF$2,100%,AVANCE[[#This Row],[TABLERO]])</f>
        <v>1</v>
      </c>
      <c r="BV70" s="3">
        <f>+IF(AVANCE[[#This Row],[CAJA PAU]]=AG$2,100%,AVANCE[[#This Row],[CAJA PAU]])</f>
        <v>1</v>
      </c>
      <c r="BW70" s="3">
        <f>+IF(AVANCE[[#This Row],[INSTALACION VINILICO]]=AJ$2,100%,AVANCE[[#This Row],[INSTALACION VINILICO]])</f>
        <v>1</v>
      </c>
      <c r="BX70" s="3">
        <f>+IF(AVANCE[[#This Row],[OSB CUBIERTA]]=AK$2,100%,AVANCE[[#This Row],[OSB CUBIERTA]])</f>
        <v>1</v>
      </c>
      <c r="BY70" s="3">
        <f>+IF(AVANCE[[#This Row],[BARANDA BALCON]]=AL$2,100%,AVANCE[[#This Row],[BARANDA BALCON]])</f>
        <v>1</v>
      </c>
      <c r="BZ70" s="3">
        <f>+IF(AVANCE[[#This Row],[OSB EXTERIOR]]=AM$2,100%,AVANCE[[#This Row],[OSB EXTERIOR]])</f>
        <v>1</v>
      </c>
      <c r="CA70" s="3">
        <f>+IF(AVANCE[[#This Row],[SMART PANEL]]=AN$2,100%,AVANCE[[#This Row],[SMART PANEL]])</f>
        <v>1</v>
      </c>
      <c r="CB70" s="3">
        <f>+IF(AVANCE[[#This Row],[PINTURA EXTERIOR]]=AO$2,100%,AVANCE[[#This Row],[PINTURA EXTERIOR]])</f>
        <v>0</v>
      </c>
      <c r="CC70" s="3">
        <f>+IF(AVANCE[[#This Row],[ZOCALOS LOGIA]]=AP$2,100%,AVANCE[[#This Row],[ZOCALOS LOGIA]])</f>
        <v>1</v>
      </c>
      <c r="CD70" s="3">
        <f>+IF(AVANCE[[#This Row],[MOLDURAS]]=AQ$2,100%,AVANCE[[#This Row],[MOLDURAS]])</f>
        <v>0</v>
      </c>
      <c r="CE70" s="3">
        <f>+IF(AVANCE[[#This Row],[PILASTREO]]=AR$2,100%,AVANCE[[#This Row],[PILASTREO]])</f>
        <v>0</v>
      </c>
      <c r="CF70" s="3">
        <f>+IF(AVANCE[[#This Row],[CELOSIAS]]=AS$2,100%,AVANCE[[#This Row],[CELOSIAS]])</f>
        <v>0</v>
      </c>
      <c r="CG70" s="3">
        <f>+IF(AVANCE[[#This Row],[VENTANAS]]=AT$2,100%,AVANCE[[#This Row],[VENTANAS]])</f>
        <v>0</v>
      </c>
      <c r="CH70" s="3">
        <f>+IF(AVANCE[[#This Row],[PUERTAS ACCESO - LOGIA - BANO]]=AU$2,100%,AVANCE[[#This Row],[PUERTAS ACCESO - LOGIA - BANO]])</f>
        <v>1</v>
      </c>
      <c r="CI70" s="3">
        <f>+IF(AVANCE[[#This Row],[CERRADURAS]]=AV$2,100%,AVANCE[[#This Row],[CERRADURAS]])</f>
        <v>0</v>
      </c>
      <c r="CJ70" s="3">
        <f>+IF(AVANCE[[#This Row],[REVESTIMIENTO INTERIOR ZONA SECA]]=AW$2,100%,AVANCE[[#This Row],[REVESTIMIENTO INTERIOR ZONA SECA]])</f>
        <v>1</v>
      </c>
      <c r="CK70" s="3">
        <f>+IF(AVANCE[[#This Row],[REVESTIMIENTO INTERIOR ZONAS HUMEDAS]]=AX$2,100%,AVANCE[[#This Row],[REVESTIMIENTO INTERIOR ZONAS HUMEDAS]])</f>
        <v>1</v>
      </c>
      <c r="CL70" s="3">
        <f>+IF(AVANCE[[#This Row],[MEMBRANA CIELO]]=AY$2,100%,AVANCE[[#This Row],[MEMBRANA CIELO]])</f>
        <v>1</v>
      </c>
      <c r="CM70" s="3">
        <f>+IF(AVANCE[[#This Row],[LIMPIEZA FINAL]]=AZ$2,100%,AVANCE[[#This Row],[LIMPIEZA FINAL]])</f>
        <v>0</v>
      </c>
      <c r="CN70" s="3">
        <f>+IF(AVANCE[[#This Row],[PUERTAS DORMITORIO]]=BA$2,100%,AVANCE[[#This Row],[PUERTAS DORMITORIO]])</f>
        <v>0</v>
      </c>
      <c r="CO70" s="3">
        <f>+IF(AVANCE[[#This Row],[REVESTIMIENTO INTERIOR BANO]]=BB$2,100%,AVANCE[[#This Row],[REVESTIMIENTO INTERIOR BANO]])</f>
        <v>1</v>
      </c>
      <c r="CP70" s="3">
        <f>+IF(AVANCE[[#This Row],[MUEBLE LAVAPLATOS]]=BC$2,100%,AVANCE[[#This Row],[MUEBLE LAVAPLATOS]])</f>
        <v>1</v>
      </c>
      <c r="CQ70" s="3">
        <f>+IF(AVANCE[[#This Row],[IMPERMEABILIZACION BANO - COCINA LOGIA]]=BD$2,100%,AVANCE[[#This Row],[IMPERMEABILIZACION BANO - COCINA LOGIA]])</f>
        <v>1</v>
      </c>
      <c r="CR70" s="40">
        <f ca="1">+IF(AVANCE[[#This Row],[ESTADO MODULO]]="PENDIENTE",(TODAY()-AVANCE[[#This Row],[FECHA TERMINO  PLANIFICADO]]),0)</f>
        <v>1</v>
      </c>
      <c r="CS70" s="42" t="str" cm="1">
        <f t="array" ref="CS70">_xlfn.TEXTJOIN(" | ",TRUE,IF(SUMPRODUCT((BF70:CQ70&lt;1)*(PARTIDAS!$I$2:$AT$2="OBRA GRUESA"))&gt;0,"OBRA GRUESA: "&amp;_xlfn.TEXTJOIN(", ",TRUE,IF((BF70:CQ70&lt;1)*(PARTIDAS!$I$2:$AT$2="OBRA GRUESA"),PARTIDAS!$I$1:$AT$1,"")),""),IF(SUMPRODUCT((BF70:CQ70&lt;1)*(PARTIDAS!$I$2:$AT$2="SANITARIOS"))&gt;0,"SANITARIOS: "&amp;_xlfn.TEXTJOIN(", ",TRUE,IF((BF70:CQ70&lt;1)*(PARTIDAS!$I$2:$AT$2="SANITARIOS"),PARTIDAS!$I$1:$AT$1,"")),""),IF(SUMPRODUCT((BF70:CQ70&lt;1)*(PARTIDAS!$I$2:$AT$2="ELÉCTRICO"))&gt;0,"ELÉCTRICO: "&amp;_xlfn.TEXTJOIN(", ",TRUE,IF((BF70:CQ70&lt;1)*(PARTIDAS!$I$2:$AT$2="ELÉCTRICO"),PARTIDAS!$I$1:$AT$1,"")),""),IF(SUMPRODUCT((BF70:CQ70&lt;1)*(PARTIDAS!$I$2:$AT$2="TERMINACIONES"))&gt;0,"TERMINACIONES: "&amp;_xlfn.TEXTJOIN(", ",TRUE,IF((BF70:CQ70&lt;1)*(PARTIDAS!$I$2:$AT$2="TERMINACIONES"),PARTIDAS!$I$1:$AT$1,"")),""))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T70" s="45" t="str" cm="1">
        <f t="array" ref="CT70">_xlfn.TEXTJOIN(", ",TRUE,IF(SUMPRODUCT((BF70:CQ70&lt;1)*(PARTIDAS!$I$2:$AT$2="OBRA GRUESA"))&gt;0,"OBRA GRUESA",""),IF(SUMPRODUCT((BF70:CQ70&lt;1)*(PARTIDAS!$I$2:$AT$2="SANITARIOS"))&gt;0,"SANITARIOS",""),IF(SUMPRODUCT((BF70:CQ70&lt;1)*(PARTIDAS!$I$2:$AT$2="ELÉCTRICO"))&gt;0,"ELÉCTRICO",""),IF(SUMPRODUCT((BF70:CQ70&lt;1)*(PARTIDAS!$I$2:$AT$2="TERMINACIONES"))&gt;0,"TERMINACIONES",""))</f>
        <v>ELÉCTRICO, TERMINACIONES</v>
      </c>
      <c r="CU70" s="46" cm="1">
        <f t="array" ref="CU70">SUMPRODUCT(--(BF70:CQ70&lt;1))</f>
        <v>11</v>
      </c>
    </row>
    <row r="71" spans="1:99" x14ac:dyDescent="0.25">
      <c r="A71" t="s">
        <v>124</v>
      </c>
      <c r="B71" t="s">
        <v>130</v>
      </c>
      <c r="C71">
        <v>2302600070</v>
      </c>
      <c r="D71" t="s">
        <v>60</v>
      </c>
      <c r="E71" s="2">
        <v>0.57999999999999996</v>
      </c>
      <c r="F71" s="1">
        <v>46154</v>
      </c>
      <c r="G71" s="1">
        <v>46158</v>
      </c>
      <c r="H71" s="1">
        <v>46178</v>
      </c>
      <c r="I71" s="1">
        <v>46190</v>
      </c>
      <c r="J71">
        <v>3</v>
      </c>
      <c r="K71" s="1"/>
      <c r="L71" s="3">
        <v>0.38999999999999996</v>
      </c>
      <c r="M71" s="3">
        <v>0.90697674418604646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0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0.11999999999999997</v>
      </c>
      <c r="AI71" s="3">
        <v>0.32432432432432423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0</v>
      </c>
      <c r="BE71" s="3" t="str">
        <f>+IF(AVANCE[[#This Row],[% AVANCE]]=100%,"MODULO TERMINADO",IF(AVANCE[[#This Row],[FECHA INICIO REAL]]="","MODULO NO INICIADO","PENDIENTE"))</f>
        <v>PENDIENTE</v>
      </c>
      <c r="BF71" s="3">
        <f>+IF(AVANCE[[#This Row],[VENTANAS]]=8.10810810810811%,100%,AVANCE[[#This Row],[VENTANAS]])</f>
        <v>0</v>
      </c>
      <c r="BG71" s="3">
        <f>+IF(AVANCE[[#This Row],[PISO]]=N$2,100%,AVANCE[[#This Row],[PISO]])</f>
        <v>1</v>
      </c>
      <c r="BH71" s="3">
        <f>+IF(AVANCE[[#This Row],[TABIQUES]]=O$2,100%,AVANCE[[#This Row],[TABIQUES]])</f>
        <v>1</v>
      </c>
      <c r="BI71" s="3">
        <f>+IF(AVANCE[[#This Row],[MUROS]]=P$2,100%,AVANCE[[#This Row],[MUROS]])</f>
        <v>1</v>
      </c>
      <c r="BJ71" s="3">
        <f>+IF(AVANCE[[#This Row],[CIELO]]=Q$2,100%,AVANCE[[#This Row],[CIELO]])</f>
        <v>1</v>
      </c>
      <c r="BK71" s="3">
        <f>+IF(AVANCE[[#This Row],[BALCÓN]]=R$2,100%,AVANCE[[#This Row],[BALCÓN]])</f>
        <v>0</v>
      </c>
      <c r="BL71" s="3">
        <f>+IF(AVANCE[[#This Row],[RED ALCANTARILLADO]]=U$2,100%,AVANCE[[#This Row],[RED ALCANTARILLADO]])</f>
        <v>1</v>
      </c>
      <c r="BM71" s="3">
        <f>+IF(AVANCE[[#This Row],[RED DE AGUA]]=V$2,100%,AVANCE[[#This Row],[RED DE AGUA]])</f>
        <v>1</v>
      </c>
      <c r="BN71" s="3">
        <f>+IF(AVANCE[[#This Row],[VENTILACIONES]]=W$2,100%,AVANCE[[#This Row],[VENTILACIONES]])</f>
        <v>0</v>
      </c>
      <c r="BO71" s="3">
        <f>+IF(AVANCE[[#This Row],[TINA]]=X$2,100%,AVANCE[[#This Row],[TINA]])</f>
        <v>0</v>
      </c>
      <c r="BP71" s="3">
        <f>+IF(AVANCE[[#This Row],[WC]]=Y$2,100%,AVANCE[[#This Row],[WC]])</f>
        <v>0</v>
      </c>
      <c r="BQ71" s="3">
        <f>+IF(AVANCE[[#This Row],[LAVAMANOS / LAVAPLATOS / LAVADERO]]=Z$2,100%,AVANCE[[#This Row],[LAVAMANOS / LAVAPLATOS / LAVADERO]])</f>
        <v>0</v>
      </c>
      <c r="BR71" s="3">
        <f>+IF(AVANCE[[#This Row],[CANALIZACIÓN]]=AC$2,100%,AVANCE[[#This Row],[CANALIZACIÓN]])</f>
        <v>1</v>
      </c>
      <c r="BS71" s="3">
        <f>+IF(AVANCE[[#This Row],[CABLEADO]]=AD$2,100%,AVANCE[[#This Row],[CABLEADO]])</f>
        <v>0</v>
      </c>
      <c r="BT71" s="3">
        <f>+IF(AVANCE[[#This Row],[ARTEFACTOS]]=AE$2,100%,AVANCE[[#This Row],[ARTEFACTOS]])</f>
        <v>0</v>
      </c>
      <c r="BU71" s="3">
        <f>+IF(AVANCE[[#This Row],[TABLERO]]=AF$2,100%,AVANCE[[#This Row],[TABLERO]])</f>
        <v>0</v>
      </c>
      <c r="BV71" s="3">
        <f>+IF(AVANCE[[#This Row],[CAJA PAU]]=AG$2,100%,AVANCE[[#This Row],[CAJA PAU]])</f>
        <v>0</v>
      </c>
      <c r="BW71" s="3">
        <f>+IF(AVANCE[[#This Row],[INSTALACION VINILICO]]=AJ$2,100%,AVANCE[[#This Row],[INSTALACION VINILICO]])</f>
        <v>0</v>
      </c>
      <c r="BX71" s="3">
        <f>+IF(AVANCE[[#This Row],[OSB CUBIERTA]]=AK$2,100%,AVANCE[[#This Row],[OSB CUBIERTA]])</f>
        <v>1</v>
      </c>
      <c r="BY71" s="3">
        <f>+IF(AVANCE[[#This Row],[BARANDA BALCON]]=AL$2,100%,AVANCE[[#This Row],[BARANDA BALCON]])</f>
        <v>0</v>
      </c>
      <c r="BZ71" s="3">
        <f>+IF(AVANCE[[#This Row],[OSB EXTERIOR]]=AM$2,100%,AVANCE[[#This Row],[OSB EXTERIOR]])</f>
        <v>1</v>
      </c>
      <c r="CA71" s="3">
        <f>+IF(AVANCE[[#This Row],[SMART PANEL]]=AN$2,100%,AVANCE[[#This Row],[SMART PANEL]])</f>
        <v>0</v>
      </c>
      <c r="CB71" s="3">
        <f>+IF(AVANCE[[#This Row],[PINTURA EXTERIOR]]=AO$2,100%,AVANCE[[#This Row],[PINTURA EXTERIOR]])</f>
        <v>0</v>
      </c>
      <c r="CC71" s="3">
        <f>+IF(AVANCE[[#This Row],[ZOCALOS LOGIA]]=AP$2,100%,AVANCE[[#This Row],[ZOCALOS LOGIA]])</f>
        <v>0</v>
      </c>
      <c r="CD71" s="3">
        <f>+IF(AVANCE[[#This Row],[MOLDURAS]]=AQ$2,100%,AVANCE[[#This Row],[MOLDURAS]])</f>
        <v>0</v>
      </c>
      <c r="CE71" s="3">
        <f>+IF(AVANCE[[#This Row],[PILASTREO]]=AR$2,100%,AVANCE[[#This Row],[PILASTREO]])</f>
        <v>0</v>
      </c>
      <c r="CF71" s="3">
        <f>+IF(AVANCE[[#This Row],[CELOSIAS]]=AS$2,100%,AVANCE[[#This Row],[CELOSIAS]])</f>
        <v>0</v>
      </c>
      <c r="CG71" s="3">
        <f>+IF(AVANCE[[#This Row],[VENTANAS]]=AT$2,100%,AVANCE[[#This Row],[VENTANAS]])</f>
        <v>0</v>
      </c>
      <c r="CH71" s="3">
        <f>+IF(AVANCE[[#This Row],[PUERTAS ACCESO - LOGIA - BANO]]=AU$2,100%,AVANCE[[#This Row],[PUERTAS ACCESO - LOGIA - BANO]])</f>
        <v>0</v>
      </c>
      <c r="CI71" s="3">
        <f>+IF(AVANCE[[#This Row],[CERRADURAS]]=AV$2,100%,AVANCE[[#This Row],[CERRADURAS]])</f>
        <v>0</v>
      </c>
      <c r="CJ71" s="3">
        <f>+IF(AVANCE[[#This Row],[REVESTIMIENTO INTERIOR ZONA SECA]]=AW$2,100%,AVANCE[[#This Row],[REVESTIMIENTO INTERIOR ZONA SECA]])</f>
        <v>1</v>
      </c>
      <c r="CK71" s="3">
        <f>+IF(AVANCE[[#This Row],[REVESTIMIENTO INTERIOR ZONAS HUMEDAS]]=AX$2,100%,AVANCE[[#This Row],[REVESTIMIENTO INTERIOR ZONAS HUMEDAS]])</f>
        <v>1</v>
      </c>
      <c r="CL71" s="3">
        <f>+IF(AVANCE[[#This Row],[MEMBRANA CIELO]]=AY$2,100%,AVANCE[[#This Row],[MEMBRANA CIELO]])</f>
        <v>1</v>
      </c>
      <c r="CM71" s="3">
        <f>+IF(AVANCE[[#This Row],[LIMPIEZA FINAL]]=AZ$2,100%,AVANCE[[#This Row],[LIMPIEZA FINAL]])</f>
        <v>0</v>
      </c>
      <c r="CN71" s="3">
        <f>+IF(AVANCE[[#This Row],[PUERTAS DORMITORIO]]=BA$2,100%,AVANCE[[#This Row],[PUERTAS DORMITORIO]])</f>
        <v>1</v>
      </c>
      <c r="CO71" s="3">
        <f>+IF(AVANCE[[#This Row],[REVESTIMIENTO INTERIOR BANO]]=BB$2,100%,AVANCE[[#This Row],[REVESTIMIENTO INTERIOR BANO]])</f>
        <v>0</v>
      </c>
      <c r="CP71" s="3">
        <f>+IF(AVANCE[[#This Row],[MUEBLE LAVAPLATOS]]=BC$2,100%,AVANCE[[#This Row],[MUEBLE LAVAPLATOS]])</f>
        <v>0</v>
      </c>
      <c r="CQ71" s="3">
        <f>+IF(AVANCE[[#This Row],[IMPERMEABILIZACION BANO - COCINA LOGIA]]=BD$2,100%,AVANCE[[#This Row],[IMPERMEABILIZACION BANO - COCINA LOGIA]])</f>
        <v>0</v>
      </c>
      <c r="CR71" s="40">
        <f ca="1">+IF(AVANCE[[#This Row],[ESTADO MODULO]]="PENDIENTE",(TODAY()-AVANCE[[#This Row],[FECHA TERMINO  PLANIFICADO]]),0)</f>
        <v>-9</v>
      </c>
      <c r="CS71" s="42" t="str" cm="1">
        <f t="array" ref="CS71">_xlfn.TEXTJOIN(" | ",TRUE,IF(SUMPRODUCT((BF71:CQ71&lt;1)*(PARTIDAS!$I$2:$AT$2="OBRA GRUESA"))&gt;0,"OBRA GRUESA: "&amp;_xlfn.TEXTJOIN(", ",TRUE,IF((BF71:CQ71&lt;1)*(PARTIDAS!$I$2:$AT$2="OBRA GRUESA"),PARTIDAS!$I$1:$AT$1,"")),""),IF(SUMPRODUCT((BF71:CQ71&lt;1)*(PARTIDAS!$I$2:$AT$2="SANITARIOS"))&gt;0,"SANITARIOS: "&amp;_xlfn.TEXTJOIN(", ",TRUE,IF((BF71:CQ71&lt;1)*(PARTIDAS!$I$2:$AT$2="SANITARIOS"),PARTIDAS!$I$1:$AT$1,"")),""),IF(SUMPRODUCT((BF71:CQ71&lt;1)*(PARTIDAS!$I$2:$AT$2="ELÉCTRICO"))&gt;0,"ELÉCTRICO: "&amp;_xlfn.TEXTJOIN(", ",TRUE,IF((BF71:CQ71&lt;1)*(PARTIDAS!$I$2:$AT$2="ELÉCTRICO"),PARTIDAS!$I$1:$AT$1,"")),""),IF(SUMPRODUCT((BF71:CQ71&lt;1)*(PARTIDAS!$I$2:$AT$2="TERMINACIONES"))&gt;0,"TERMINACIONES: "&amp;_xlfn.TEXTJOIN(", ",TRUE,IF((BF71:CQ71&lt;1)*(PARTIDAS!$I$2:$AT$2="TERMINACIONES"),PARTIDAS!$I$1:$AT$1,"")),""))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T71" s="45" t="str" cm="1">
        <f t="array" ref="CT71">_xlfn.TEXTJOIN(", ",TRUE,IF(SUMPRODUCT((BF71:CQ71&lt;1)*(PARTIDAS!$I$2:$AT$2="OBRA GRUESA"))&gt;0,"OBRA GRUESA",""),IF(SUMPRODUCT((BF71:CQ71&lt;1)*(PARTIDAS!$I$2:$AT$2="SANITARIOS"))&gt;0,"SANITARIOS",""),IF(SUMPRODUCT((BF71:CQ71&lt;1)*(PARTIDAS!$I$2:$AT$2="ELÉCTRICO"))&gt;0,"ELÉCTRICO",""),IF(SUMPRODUCT((BF71:CQ71&lt;1)*(PARTIDAS!$I$2:$AT$2="TERMINACIONES"))&gt;0,"TERMINACIONES",""))</f>
        <v>OBRA GRUESA, SANITARIOS, ELÉCTRICO, TERMINACIONES</v>
      </c>
      <c r="CU71" s="46" cm="1">
        <f t="array" ref="CU71">SUMPRODUCT(--(BF71:CQ71&lt;1))</f>
        <v>25</v>
      </c>
    </row>
    <row r="72" spans="1:99" x14ac:dyDescent="0.25">
      <c r="A72" t="s">
        <v>124</v>
      </c>
      <c r="B72" t="s">
        <v>131</v>
      </c>
      <c r="C72">
        <v>2302600071</v>
      </c>
      <c r="D72" t="s">
        <v>60</v>
      </c>
      <c r="E72" s="2">
        <v>0.58999999999999986</v>
      </c>
      <c r="F72" s="1">
        <v>46155</v>
      </c>
      <c r="G72" s="1">
        <v>46156</v>
      </c>
      <c r="H72" s="1">
        <v>46174</v>
      </c>
      <c r="I72" s="1">
        <v>46191</v>
      </c>
      <c r="J72">
        <v>7</v>
      </c>
      <c r="K72" s="1"/>
      <c r="L72" s="3">
        <v>0.38999999999999996</v>
      </c>
      <c r="M72" s="3">
        <v>0.90697674418604646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0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9.9999999999999964E-2</v>
      </c>
      <c r="AI72" s="3">
        <v>0.27027027027027017</v>
      </c>
      <c r="AJ72" s="3">
        <v>0</v>
      </c>
      <c r="AK72" s="3">
        <v>5.4054054054054036E-2</v>
      </c>
      <c r="AL72" s="3">
        <v>0</v>
      </c>
      <c r="AM72" s="3">
        <v>8.1081081081081058E-2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0</v>
      </c>
      <c r="BE72" s="3" t="str">
        <f>+IF(AVANCE[[#This Row],[% AVANCE]]=100%,"MODULO TERMINADO",IF(AVANCE[[#This Row],[FECHA INICIO REAL]]="","MODULO NO INICIADO","PENDIENTE"))</f>
        <v>PENDIENTE</v>
      </c>
      <c r="BF72" s="3">
        <f>+IF(AVANCE[[#This Row],[VENTANAS]]=8.10810810810811%,100%,AVANCE[[#This Row],[VENTANAS]])</f>
        <v>0</v>
      </c>
      <c r="BG72" s="3">
        <f>+IF(AVANCE[[#This Row],[PISO]]=N$2,100%,AVANCE[[#This Row],[PISO]])</f>
        <v>1</v>
      </c>
      <c r="BH72" s="3">
        <f>+IF(AVANCE[[#This Row],[TABIQUES]]=O$2,100%,AVANCE[[#This Row],[TABIQUES]])</f>
        <v>1</v>
      </c>
      <c r="BI72" s="3">
        <f>+IF(AVANCE[[#This Row],[MUROS]]=P$2,100%,AVANCE[[#This Row],[MUROS]])</f>
        <v>1</v>
      </c>
      <c r="BJ72" s="3">
        <f>+IF(AVANCE[[#This Row],[CIELO]]=Q$2,100%,AVANCE[[#This Row],[CIELO]])</f>
        <v>1</v>
      </c>
      <c r="BK72" s="3">
        <f>+IF(AVANCE[[#This Row],[BALCÓN]]=R$2,100%,AVANCE[[#This Row],[BALCÓN]])</f>
        <v>0</v>
      </c>
      <c r="BL72" s="3">
        <f>+IF(AVANCE[[#This Row],[RED ALCANTARILLADO]]=U$2,100%,AVANCE[[#This Row],[RED ALCANTARILLADO]])</f>
        <v>1</v>
      </c>
      <c r="BM72" s="3">
        <f>+IF(AVANCE[[#This Row],[RED DE AGUA]]=V$2,100%,AVANCE[[#This Row],[RED DE AGUA]])</f>
        <v>1</v>
      </c>
      <c r="BN72" s="3">
        <f>+IF(AVANCE[[#This Row],[VENTILACIONES]]=W$2,100%,AVANCE[[#This Row],[VENTILACIONES]])</f>
        <v>0</v>
      </c>
      <c r="BO72" s="3">
        <f>+IF(AVANCE[[#This Row],[TINA]]=X$2,100%,AVANCE[[#This Row],[TINA]])</f>
        <v>0</v>
      </c>
      <c r="BP72" s="3">
        <f>+IF(AVANCE[[#This Row],[WC]]=Y$2,100%,AVANCE[[#This Row],[WC]])</f>
        <v>0</v>
      </c>
      <c r="BQ72" s="3">
        <f>+IF(AVANCE[[#This Row],[LAVAMANOS / LAVAPLATOS / LAVADERO]]=Z$2,100%,AVANCE[[#This Row],[LAVAMANOS / LAVAPLATOS / LAVADERO]])</f>
        <v>0</v>
      </c>
      <c r="BR72" s="3">
        <f>+IF(AVANCE[[#This Row],[CANALIZACIÓN]]=AC$2,100%,AVANCE[[#This Row],[CANALIZACIÓN]])</f>
        <v>1</v>
      </c>
      <c r="BS72" s="3">
        <f>+IF(AVANCE[[#This Row],[CABLEADO]]=AD$2,100%,AVANCE[[#This Row],[CABLEADO]])</f>
        <v>1</v>
      </c>
      <c r="BT72" s="3">
        <f>+IF(AVANCE[[#This Row],[ARTEFACTOS]]=AE$2,100%,AVANCE[[#This Row],[ARTEFACTOS]])</f>
        <v>0</v>
      </c>
      <c r="BU72" s="3">
        <f>+IF(AVANCE[[#This Row],[TABLERO]]=AF$2,100%,AVANCE[[#This Row],[TABLERO]])</f>
        <v>0</v>
      </c>
      <c r="BV72" s="3">
        <f>+IF(AVANCE[[#This Row],[CAJA PAU]]=AG$2,100%,AVANCE[[#This Row],[CAJA PAU]])</f>
        <v>0</v>
      </c>
      <c r="BW72" s="3">
        <f>+IF(AVANCE[[#This Row],[INSTALACION VINILICO]]=AJ$2,100%,AVANCE[[#This Row],[INSTALACION VINILICO]])</f>
        <v>0</v>
      </c>
      <c r="BX72" s="3">
        <f>+IF(AVANCE[[#This Row],[OSB CUBIERTA]]=AK$2,100%,AVANCE[[#This Row],[OSB CUBIERTA]])</f>
        <v>1</v>
      </c>
      <c r="BY72" s="3">
        <f>+IF(AVANCE[[#This Row],[BARANDA BALCON]]=AL$2,100%,AVANCE[[#This Row],[BARANDA BALCON]])</f>
        <v>0</v>
      </c>
      <c r="BZ72" s="3">
        <f>+IF(AVANCE[[#This Row],[OSB EXTERIOR]]=AM$2,100%,AVANCE[[#This Row],[OSB EXTERIOR]])</f>
        <v>1</v>
      </c>
      <c r="CA72" s="3">
        <f>+IF(AVANCE[[#This Row],[SMART PANEL]]=AN$2,100%,AVANCE[[#This Row],[SMART PANEL]])</f>
        <v>0</v>
      </c>
      <c r="CB72" s="3">
        <f>+IF(AVANCE[[#This Row],[PINTURA EXTERIOR]]=AO$2,100%,AVANCE[[#This Row],[PINTURA EXTERIOR]])</f>
        <v>0</v>
      </c>
      <c r="CC72" s="3">
        <f>+IF(AVANCE[[#This Row],[ZOCALOS LOGIA]]=AP$2,100%,AVANCE[[#This Row],[ZOCALOS LOGIA]])</f>
        <v>0</v>
      </c>
      <c r="CD72" s="3">
        <f>+IF(AVANCE[[#This Row],[MOLDURAS]]=AQ$2,100%,AVANCE[[#This Row],[MOLDURAS]])</f>
        <v>0</v>
      </c>
      <c r="CE72" s="3">
        <f>+IF(AVANCE[[#This Row],[PILASTREO]]=AR$2,100%,AVANCE[[#This Row],[PILASTREO]])</f>
        <v>0</v>
      </c>
      <c r="CF72" s="3">
        <f>+IF(AVANCE[[#This Row],[CELOSIAS]]=AS$2,100%,AVANCE[[#This Row],[CELOSIAS]])</f>
        <v>0</v>
      </c>
      <c r="CG72" s="3">
        <f>+IF(AVANCE[[#This Row],[VENTANAS]]=AT$2,100%,AVANCE[[#This Row],[VENTANAS]])</f>
        <v>0</v>
      </c>
      <c r="CH72" s="3">
        <f>+IF(AVANCE[[#This Row],[PUERTAS ACCESO - LOGIA - BANO]]=AU$2,100%,AVANCE[[#This Row],[PUERTAS ACCESO - LOGIA - BANO]])</f>
        <v>0</v>
      </c>
      <c r="CI72" s="3">
        <f>+IF(AVANCE[[#This Row],[CERRADURAS]]=AV$2,100%,AVANCE[[#This Row],[CERRADURAS]])</f>
        <v>0</v>
      </c>
      <c r="CJ72" s="3">
        <f>+IF(AVANCE[[#This Row],[REVESTIMIENTO INTERIOR ZONA SECA]]=AW$2,100%,AVANCE[[#This Row],[REVESTIMIENTO INTERIOR ZONA SECA]])</f>
        <v>1</v>
      </c>
      <c r="CK72" s="3">
        <f>+IF(AVANCE[[#This Row],[REVESTIMIENTO INTERIOR ZONAS HUMEDAS]]=AX$2,100%,AVANCE[[#This Row],[REVESTIMIENTO INTERIOR ZONAS HUMEDAS]])</f>
        <v>0</v>
      </c>
      <c r="CL72" s="3">
        <f>+IF(AVANCE[[#This Row],[MEMBRANA CIELO]]=AY$2,100%,AVANCE[[#This Row],[MEMBRANA CIELO]])</f>
        <v>1</v>
      </c>
      <c r="CM72" s="3">
        <f>+IF(AVANCE[[#This Row],[LIMPIEZA FINAL]]=AZ$2,100%,AVANCE[[#This Row],[LIMPIEZA FINAL]])</f>
        <v>0</v>
      </c>
      <c r="CN72" s="3">
        <f>+IF(AVANCE[[#This Row],[PUERTAS DORMITORIO]]=BA$2,100%,AVANCE[[#This Row],[PUERTAS DORMITORIO]])</f>
        <v>1</v>
      </c>
      <c r="CO72" s="3">
        <f>+IF(AVANCE[[#This Row],[REVESTIMIENTO INTERIOR BANO]]=BB$2,100%,AVANCE[[#This Row],[REVESTIMIENTO INTERIOR BANO]])</f>
        <v>0</v>
      </c>
      <c r="CP72" s="3">
        <f>+IF(AVANCE[[#This Row],[MUEBLE LAVAPLATOS]]=BC$2,100%,AVANCE[[#This Row],[MUEBLE LAVAPLATOS]])</f>
        <v>0</v>
      </c>
      <c r="CQ72" s="3">
        <f>+IF(AVANCE[[#This Row],[IMPERMEABILIZACION BANO - COCINA LOGIA]]=BD$2,100%,AVANCE[[#This Row],[IMPERMEABILIZACION BANO - COCINA LOGIA]])</f>
        <v>0</v>
      </c>
      <c r="CR72" s="40">
        <f ca="1">+IF(AVANCE[[#This Row],[ESTADO MODULO]]="PENDIENTE",(TODAY()-AVANCE[[#This Row],[FECHA TERMINO  PLANIFICADO]]),0)</f>
        <v>-10</v>
      </c>
      <c r="CS72" s="42" t="str" cm="1">
        <f t="array" ref="CS72">_xlfn.TEXTJOIN(" | ",TRUE,IF(SUMPRODUCT((BF72:CQ72&lt;1)*(PARTIDAS!$I$2:$AT$2="OBRA GRUESA"))&gt;0,"OBRA GRUESA: "&amp;_xlfn.TEXTJOIN(", ",TRUE,IF((BF72:CQ72&lt;1)*(PARTIDAS!$I$2:$AT$2="OBRA GRUESA"),PARTIDAS!$I$1:$AT$1,"")),""),IF(SUMPRODUCT((BF72:CQ72&lt;1)*(PARTIDAS!$I$2:$AT$2="SANITARIOS"))&gt;0,"SANITARIOS: "&amp;_xlfn.TEXTJOIN(", ",TRUE,IF((BF72:CQ72&lt;1)*(PARTIDAS!$I$2:$AT$2="SANITARIOS"),PARTIDAS!$I$1:$AT$1,"")),""),IF(SUMPRODUCT((BF72:CQ72&lt;1)*(PARTIDAS!$I$2:$AT$2="ELÉCTRICO"))&gt;0,"ELÉCTRICO: "&amp;_xlfn.TEXTJOIN(", ",TRUE,IF((BF72:CQ72&lt;1)*(PARTIDAS!$I$2:$AT$2="ELÉCTRICO"),PARTIDAS!$I$1:$AT$1,"")),""),IF(SUMPRODUCT((BF72:CQ72&lt;1)*(PARTIDAS!$I$2:$AT$2="TERMINACIONES"))&gt;0,"TERMINACIONES: "&amp;_xlfn.TEXTJOIN(", ",TRUE,IF((BF72:CQ72&lt;1)*(PARTIDAS!$I$2:$AT$2="TERMINACIONES"),PARTIDAS!$I$1:$AT$1,"")),""))</f>
        <v>OBRA GRUESA: BALCÓN | 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REVESTIMIENTO INTERIOR BANO, MUEBLE LAVAPLATOS, IMPERMEABILIZACION BANO - COCINA LOGIA</v>
      </c>
      <c r="CT72" s="45" t="str" cm="1">
        <f t="array" ref="CT72">_xlfn.TEXTJOIN(", ",TRUE,IF(SUMPRODUCT((BF72:CQ72&lt;1)*(PARTIDAS!$I$2:$AT$2="OBRA GRUESA"))&gt;0,"OBRA GRUESA",""),IF(SUMPRODUCT((BF72:CQ72&lt;1)*(PARTIDAS!$I$2:$AT$2="SANITARIOS"))&gt;0,"SANITARIOS",""),IF(SUMPRODUCT((BF72:CQ72&lt;1)*(PARTIDAS!$I$2:$AT$2="ELÉCTRICO"))&gt;0,"ELÉCTRICO",""),IF(SUMPRODUCT((BF72:CQ72&lt;1)*(PARTIDAS!$I$2:$AT$2="TERMINACIONES"))&gt;0,"TERMINACIONES",""))</f>
        <v>OBRA GRUESA, SANITARIOS, ELÉCTRICO, TERMINACIONES</v>
      </c>
      <c r="CU72" s="46" cm="1">
        <f t="array" ref="CU72">SUMPRODUCT(--(BF72:CQ72&lt;1))</f>
        <v>25</v>
      </c>
    </row>
    <row r="73" spans="1:99" x14ac:dyDescent="0.25">
      <c r="A73" t="s">
        <v>124</v>
      </c>
      <c r="B73" t="s">
        <v>132</v>
      </c>
      <c r="C73">
        <v>2282600072</v>
      </c>
      <c r="D73" t="s">
        <v>58</v>
      </c>
      <c r="E73" s="2">
        <v>0.8949999999999998</v>
      </c>
      <c r="F73" s="1">
        <v>46155</v>
      </c>
      <c r="G73" s="1">
        <v>46154</v>
      </c>
      <c r="H73" s="1">
        <v>46178</v>
      </c>
      <c r="I73" s="1">
        <v>46181</v>
      </c>
      <c r="J73">
        <v>3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0.30499999999999988</v>
      </c>
      <c r="AI73" s="3">
        <v>0.82432432432432401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0</v>
      </c>
      <c r="BB73" s="3">
        <v>8.1081081081081058E-2</v>
      </c>
      <c r="BC73" s="3">
        <v>1.3513513513513509E-2</v>
      </c>
      <c r="BD73" s="3">
        <v>2.7027027027027018E-2</v>
      </c>
      <c r="BE73" s="3" t="str">
        <f>+IF(AVANCE[[#This Row],[% AVANCE]]=100%,"MODULO TERMINADO",IF(AVANCE[[#This Row],[FECHA INICIO REAL]]="","MODULO NO INICIADO","PENDIENTE"))</f>
        <v>PENDIENTE</v>
      </c>
      <c r="BF73" s="3">
        <f>+IF(AVANCE[[#This Row],[VENTANAS]]=8.10810810810811%,100%,AVANCE[[#This Row],[VENTANAS]])</f>
        <v>1</v>
      </c>
      <c r="BG73" s="3">
        <f>+IF(AVANCE[[#This Row],[PISO]]=N$2,100%,AVANCE[[#This Row],[PISO]])</f>
        <v>1</v>
      </c>
      <c r="BH73" s="3">
        <f>+IF(AVANCE[[#This Row],[TABIQUES]]=O$2,100%,AVANCE[[#This Row],[TABIQUES]])</f>
        <v>1</v>
      </c>
      <c r="BI73" s="3">
        <f>+IF(AVANCE[[#This Row],[MUROS]]=P$2,100%,AVANCE[[#This Row],[MUROS]])</f>
        <v>1</v>
      </c>
      <c r="BJ73" s="3">
        <f>+IF(AVANCE[[#This Row],[CIELO]]=Q$2,100%,AVANCE[[#This Row],[CIELO]])</f>
        <v>1</v>
      </c>
      <c r="BK73" s="3">
        <f>+IF(AVANCE[[#This Row],[BALCÓN]]=R$2,100%,AVANCE[[#This Row],[BALCÓN]])</f>
        <v>1</v>
      </c>
      <c r="BL73" s="3">
        <f>+IF(AVANCE[[#This Row],[RED ALCANTARILLADO]]=U$2,100%,AVANCE[[#This Row],[RED ALCANTARILLADO]])</f>
        <v>1</v>
      </c>
      <c r="BM73" s="3">
        <f>+IF(AVANCE[[#This Row],[RED DE AGUA]]=V$2,100%,AVANCE[[#This Row],[RED DE AGUA]])</f>
        <v>1</v>
      </c>
      <c r="BN73" s="3">
        <f>+IF(AVANCE[[#This Row],[VENTILACIONES]]=W$2,100%,AVANCE[[#This Row],[VENTILACIONES]])</f>
        <v>1</v>
      </c>
      <c r="BO73" s="3">
        <f>+IF(AVANCE[[#This Row],[TINA]]=X$2,100%,AVANCE[[#This Row],[TINA]])</f>
        <v>1</v>
      </c>
      <c r="BP73" s="3">
        <f>+IF(AVANCE[[#This Row],[WC]]=Y$2,100%,AVANCE[[#This Row],[WC]])</f>
        <v>1</v>
      </c>
      <c r="BQ73" s="3">
        <f>+IF(AVANCE[[#This Row],[LAVAMANOS / LAVAPLATOS / LAVADERO]]=Z$2,100%,AVANCE[[#This Row],[LAVAMANOS / LAVAPLATOS / LAVADERO]])</f>
        <v>1</v>
      </c>
      <c r="BR73" s="3">
        <f>+IF(AVANCE[[#This Row],[CANALIZACIÓN]]=AC$2,100%,AVANCE[[#This Row],[CANALIZACIÓN]])</f>
        <v>1</v>
      </c>
      <c r="BS73" s="3">
        <f>+IF(AVANCE[[#This Row],[CABLEADO]]=AD$2,100%,AVANCE[[#This Row],[CABLEADO]])</f>
        <v>0</v>
      </c>
      <c r="BT73" s="3">
        <f>+IF(AVANCE[[#This Row],[ARTEFACTOS]]=AE$2,100%,AVANCE[[#This Row],[ARTEFACTOS]])</f>
        <v>0</v>
      </c>
      <c r="BU73" s="3">
        <f>+IF(AVANCE[[#This Row],[TABLERO]]=AF$2,100%,AVANCE[[#This Row],[TABLERO]])</f>
        <v>1</v>
      </c>
      <c r="BV73" s="3">
        <f>+IF(AVANCE[[#This Row],[CAJA PAU]]=AG$2,100%,AVANCE[[#This Row],[CAJA PAU]])</f>
        <v>1</v>
      </c>
      <c r="BW73" s="3">
        <f>+IF(AVANCE[[#This Row],[INSTALACION VINILICO]]=AJ$2,100%,AVANCE[[#This Row],[INSTALACION VINILICO]])</f>
        <v>1</v>
      </c>
      <c r="BX73" s="3">
        <f>+IF(AVANCE[[#This Row],[OSB CUBIERTA]]=AK$2,100%,AVANCE[[#This Row],[OSB CUBIERTA]])</f>
        <v>1</v>
      </c>
      <c r="BY73" s="3">
        <f>+IF(AVANCE[[#This Row],[BARANDA BALCON]]=AL$2,100%,AVANCE[[#This Row],[BARANDA BALCON]])</f>
        <v>1</v>
      </c>
      <c r="BZ73" s="3">
        <f>+IF(AVANCE[[#This Row],[OSB EXTERIOR]]=AM$2,100%,AVANCE[[#This Row],[OSB EXTERIOR]])</f>
        <v>1</v>
      </c>
      <c r="CA73" s="3">
        <f>+IF(AVANCE[[#This Row],[SMART PANEL]]=AN$2,100%,AVANCE[[#This Row],[SMART PANEL]])</f>
        <v>1</v>
      </c>
      <c r="CB73" s="3">
        <f>+IF(AVANCE[[#This Row],[PINTURA EXTERIOR]]=AO$2,100%,AVANCE[[#This Row],[PINTURA EXTERIOR]])</f>
        <v>1</v>
      </c>
      <c r="CC73" s="3">
        <f>+IF(AVANCE[[#This Row],[ZOCALOS LOGIA]]=AP$2,100%,AVANCE[[#This Row],[ZOCALOS LOGIA]])</f>
        <v>1</v>
      </c>
      <c r="CD73" s="3">
        <f>+IF(AVANCE[[#This Row],[MOLDURAS]]=AQ$2,100%,AVANCE[[#This Row],[MOLDURAS]])</f>
        <v>0</v>
      </c>
      <c r="CE73" s="3">
        <f>+IF(AVANCE[[#This Row],[PILASTREO]]=AR$2,100%,AVANCE[[#This Row],[PILASTREO]])</f>
        <v>0</v>
      </c>
      <c r="CF73" s="3">
        <f>+IF(AVANCE[[#This Row],[CELOSIAS]]=AS$2,100%,AVANCE[[#This Row],[CELOSIAS]])</f>
        <v>1</v>
      </c>
      <c r="CG73" s="3">
        <f>+IF(AVANCE[[#This Row],[VENTANAS]]=AT$2,100%,AVANCE[[#This Row],[VENTANAS]])</f>
        <v>1</v>
      </c>
      <c r="CH73" s="3">
        <f>+IF(AVANCE[[#This Row],[PUERTAS ACCESO - LOGIA - BANO]]=AU$2,100%,AVANCE[[#This Row],[PUERTAS ACCESO - LOGIA - BANO]])</f>
        <v>1</v>
      </c>
      <c r="CI73" s="3">
        <f>+IF(AVANCE[[#This Row],[CERRADURAS]]=AV$2,100%,AVANCE[[#This Row],[CERRADURAS]])</f>
        <v>0</v>
      </c>
      <c r="CJ73" s="3">
        <f>+IF(AVANCE[[#This Row],[REVESTIMIENTO INTERIOR ZONA SECA]]=AW$2,100%,AVANCE[[#This Row],[REVESTIMIENTO INTERIOR ZONA SECA]])</f>
        <v>1</v>
      </c>
      <c r="CK73" s="3">
        <f>+IF(AVANCE[[#This Row],[REVESTIMIENTO INTERIOR ZONAS HUMEDAS]]=AX$2,100%,AVANCE[[#This Row],[REVESTIMIENTO INTERIOR ZONAS HUMEDAS]])</f>
        <v>1</v>
      </c>
      <c r="CL73" s="3">
        <f>+IF(AVANCE[[#This Row],[MEMBRANA CIELO]]=AY$2,100%,AVANCE[[#This Row],[MEMBRANA CIELO]])</f>
        <v>1</v>
      </c>
      <c r="CM73" s="3">
        <f>+IF(AVANCE[[#This Row],[LIMPIEZA FINAL]]=AZ$2,100%,AVANCE[[#This Row],[LIMPIEZA FINAL]])</f>
        <v>0</v>
      </c>
      <c r="CN73" s="3">
        <f>+IF(AVANCE[[#This Row],[PUERTAS DORMITORIO]]=BA$2,100%,AVANCE[[#This Row],[PUERTAS DORMITORIO]])</f>
        <v>0</v>
      </c>
      <c r="CO73" s="3">
        <f>+IF(AVANCE[[#This Row],[REVESTIMIENTO INTERIOR BANO]]=BB$2,100%,AVANCE[[#This Row],[REVESTIMIENTO INTERIOR BANO]])</f>
        <v>1</v>
      </c>
      <c r="CP73" s="3">
        <f>+IF(AVANCE[[#This Row],[MUEBLE LAVAPLATOS]]=BC$2,100%,AVANCE[[#This Row],[MUEBLE LAVAPLATOS]])</f>
        <v>1</v>
      </c>
      <c r="CQ73" s="3">
        <f>+IF(AVANCE[[#This Row],[IMPERMEABILIZACION BANO - COCINA LOGIA]]=BD$2,100%,AVANCE[[#This Row],[IMPERMEABILIZACION BANO - COCINA LOGIA]])</f>
        <v>1</v>
      </c>
      <c r="CR73" s="40">
        <f ca="1">+IF(AVANCE[[#This Row],[ESTADO MODULO]]="PENDIENTE",(TODAY()-AVANCE[[#This Row],[FECHA TERMINO  PLANIFICADO]]),0)</f>
        <v>0</v>
      </c>
      <c r="CS73" s="42" t="str" cm="1">
        <f t="array" ref="CS73">_xlfn.TEXTJOIN(" | ",TRUE,IF(SUMPRODUCT((BF73:CQ73&lt;1)*(PARTIDAS!$I$2:$AT$2="OBRA GRUESA"))&gt;0,"OBRA GRUESA: "&amp;_xlfn.TEXTJOIN(", ",TRUE,IF((BF73:CQ73&lt;1)*(PARTIDAS!$I$2:$AT$2="OBRA GRUESA"),PARTIDAS!$I$1:$AT$1,"")),""),IF(SUMPRODUCT((BF73:CQ73&lt;1)*(PARTIDAS!$I$2:$AT$2="SANITARIOS"))&gt;0,"SANITARIOS: "&amp;_xlfn.TEXTJOIN(", ",TRUE,IF((BF73:CQ73&lt;1)*(PARTIDAS!$I$2:$AT$2="SANITARIOS"),PARTIDAS!$I$1:$AT$1,"")),""),IF(SUMPRODUCT((BF73:CQ73&lt;1)*(PARTIDAS!$I$2:$AT$2="ELÉCTRICO"))&gt;0,"ELÉCTRICO: "&amp;_xlfn.TEXTJOIN(", ",TRUE,IF((BF73:CQ73&lt;1)*(PARTIDAS!$I$2:$AT$2="ELÉCTRICO"),PARTIDAS!$I$1:$AT$1,"")),""),IF(SUMPRODUCT((BF73:CQ73&lt;1)*(PARTIDAS!$I$2:$AT$2="TERMINACIONES"))&gt;0,"TERMINACIONES: "&amp;_xlfn.TEXTJOIN(", ",TRUE,IF((BF73:CQ73&lt;1)*(PARTIDAS!$I$2:$AT$2="TERMINACIONES"),PARTIDAS!$I$1:$AT$1,"")),""))</f>
        <v>ELÉCTRICO: CABLEADO, ARTEFACTOS | TERMINACIONES: MOLDURAS, PILASTREO, CERRADURAS, LIMPIEZA FINAL, PUERTAS DORMITORIO</v>
      </c>
      <c r="CT73" s="45" t="str" cm="1">
        <f t="array" ref="CT73">_xlfn.TEXTJOIN(", ",TRUE,IF(SUMPRODUCT((BF73:CQ73&lt;1)*(PARTIDAS!$I$2:$AT$2="OBRA GRUESA"))&gt;0,"OBRA GRUESA",""),IF(SUMPRODUCT((BF73:CQ73&lt;1)*(PARTIDAS!$I$2:$AT$2="SANITARIOS"))&gt;0,"SANITARIOS",""),IF(SUMPRODUCT((BF73:CQ73&lt;1)*(PARTIDAS!$I$2:$AT$2="ELÉCTRICO"))&gt;0,"ELÉCTRICO",""),IF(SUMPRODUCT((BF73:CQ73&lt;1)*(PARTIDAS!$I$2:$AT$2="TERMINACIONES"))&gt;0,"TERMINACIONES",""))</f>
        <v>ELÉCTRICO, TERMINACIONES</v>
      </c>
      <c r="CU73" s="46" cm="1">
        <f t="array" ref="CU73">SUMPRODUCT(--(BF73:CQ73&lt;1))</f>
        <v>7</v>
      </c>
    </row>
    <row r="74" spans="1:99" x14ac:dyDescent="0.25">
      <c r="A74" t="s">
        <v>124</v>
      </c>
      <c r="B74" t="s">
        <v>133</v>
      </c>
      <c r="C74">
        <v>2282600073</v>
      </c>
      <c r="D74" t="s">
        <v>58</v>
      </c>
      <c r="E74" s="2">
        <v>0.76999999999999991</v>
      </c>
      <c r="F74" s="1">
        <v>46156</v>
      </c>
      <c r="G74" s="1">
        <v>46167</v>
      </c>
      <c r="H74" s="1">
        <v>46178</v>
      </c>
      <c r="I74" s="1">
        <v>46182</v>
      </c>
      <c r="J74">
        <v>3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0.17999999999999994</v>
      </c>
      <c r="AI74" s="3">
        <v>0.48648648648648635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0</v>
      </c>
      <c r="AZ74" s="3">
        <v>0</v>
      </c>
      <c r="BA74" s="3">
        <v>0</v>
      </c>
      <c r="BB74" s="3">
        <v>8.1081081081081058E-2</v>
      </c>
      <c r="BC74" s="3">
        <v>0</v>
      </c>
      <c r="BD74" s="3">
        <v>2.7027027027027018E-2</v>
      </c>
      <c r="BE74" s="3" t="str">
        <f>+IF(AVANCE[[#This Row],[% AVANCE]]=100%,"MODULO TERMINADO",IF(AVANCE[[#This Row],[FECHA INICIO REAL]]="","MODULO NO INICIADO","PENDIENTE"))</f>
        <v>PENDIENTE</v>
      </c>
      <c r="BF74" s="3">
        <f>+IF(AVANCE[[#This Row],[VENTANAS]]=8.10810810810811%,100%,AVANCE[[#This Row],[VENTANAS]])</f>
        <v>0</v>
      </c>
      <c r="BG74" s="3">
        <f>+IF(AVANCE[[#This Row],[PISO]]=N$2,100%,AVANCE[[#This Row],[PISO]])</f>
        <v>1</v>
      </c>
      <c r="BH74" s="3">
        <f>+IF(AVANCE[[#This Row],[TABIQUES]]=O$2,100%,AVANCE[[#This Row],[TABIQUES]])</f>
        <v>1</v>
      </c>
      <c r="BI74" s="3">
        <f>+IF(AVANCE[[#This Row],[MUROS]]=P$2,100%,AVANCE[[#This Row],[MUROS]])</f>
        <v>1</v>
      </c>
      <c r="BJ74" s="3">
        <f>+IF(AVANCE[[#This Row],[CIELO]]=Q$2,100%,AVANCE[[#This Row],[CIELO]])</f>
        <v>1</v>
      </c>
      <c r="BK74" s="3">
        <f>+IF(AVANCE[[#This Row],[BALCÓN]]=R$2,100%,AVANCE[[#This Row],[BALCÓN]])</f>
        <v>1</v>
      </c>
      <c r="BL74" s="3">
        <f>+IF(AVANCE[[#This Row],[RED ALCANTARILLADO]]=U$2,100%,AVANCE[[#This Row],[RED ALCANTARILLADO]])</f>
        <v>1</v>
      </c>
      <c r="BM74" s="3">
        <f>+IF(AVANCE[[#This Row],[RED DE AGUA]]=V$2,100%,AVANCE[[#This Row],[RED DE AGUA]])</f>
        <v>1</v>
      </c>
      <c r="BN74" s="3">
        <f>+IF(AVANCE[[#This Row],[VENTILACIONES]]=W$2,100%,AVANCE[[#This Row],[VENTILACIONES]])</f>
        <v>1</v>
      </c>
      <c r="BO74" s="3">
        <f>+IF(AVANCE[[#This Row],[TINA]]=X$2,100%,AVANCE[[#This Row],[TINA]])</f>
        <v>1</v>
      </c>
      <c r="BP74" s="3">
        <f>+IF(AVANCE[[#This Row],[WC]]=Y$2,100%,AVANCE[[#This Row],[WC]])</f>
        <v>1</v>
      </c>
      <c r="BQ74" s="3">
        <f>+IF(AVANCE[[#This Row],[LAVAMANOS / LAVAPLATOS / LAVADERO]]=Z$2,100%,AVANCE[[#This Row],[LAVAMANOS / LAVAPLATOS / LAVADERO]])</f>
        <v>1</v>
      </c>
      <c r="BR74" s="3">
        <f>+IF(AVANCE[[#This Row],[CANALIZACIÓN]]=AC$2,100%,AVANCE[[#This Row],[CANALIZACIÓN]])</f>
        <v>1</v>
      </c>
      <c r="BS74" s="3">
        <f>+IF(AVANCE[[#This Row],[CABLEADO]]=AD$2,100%,AVANCE[[#This Row],[CABLEADO]])</f>
        <v>0</v>
      </c>
      <c r="BT74" s="3">
        <f>+IF(AVANCE[[#This Row],[ARTEFACTOS]]=AE$2,100%,AVANCE[[#This Row],[ARTEFACTOS]])</f>
        <v>0</v>
      </c>
      <c r="BU74" s="3">
        <f>+IF(AVANCE[[#This Row],[TABLERO]]=AF$2,100%,AVANCE[[#This Row],[TABLERO]])</f>
        <v>1</v>
      </c>
      <c r="BV74" s="3">
        <f>+IF(AVANCE[[#This Row],[CAJA PAU]]=AG$2,100%,AVANCE[[#This Row],[CAJA PAU]])</f>
        <v>1</v>
      </c>
      <c r="BW74" s="3">
        <f>+IF(AVANCE[[#This Row],[INSTALACION VINILICO]]=AJ$2,100%,AVANCE[[#This Row],[INSTALACION VINILICO]])</f>
        <v>1</v>
      </c>
      <c r="BX74" s="3">
        <f>+IF(AVANCE[[#This Row],[OSB CUBIERTA]]=AK$2,100%,AVANCE[[#This Row],[OSB CUBIERTA]])</f>
        <v>1</v>
      </c>
      <c r="BY74" s="3">
        <f>+IF(AVANCE[[#This Row],[BARANDA BALCON]]=AL$2,100%,AVANCE[[#This Row],[BARANDA BALCON]])</f>
        <v>1</v>
      </c>
      <c r="BZ74" s="3">
        <f>+IF(AVANCE[[#This Row],[OSB EXTERIOR]]=AM$2,100%,AVANCE[[#This Row],[OSB EXTERIOR]])</f>
        <v>1</v>
      </c>
      <c r="CA74" s="3">
        <f>+IF(AVANCE[[#This Row],[SMART PANEL]]=AN$2,100%,AVANCE[[#This Row],[SMART PANEL]])</f>
        <v>0</v>
      </c>
      <c r="CB74" s="3">
        <f>+IF(AVANCE[[#This Row],[PINTURA EXTERIOR]]=AO$2,100%,AVANCE[[#This Row],[PINTURA EXTERIOR]])</f>
        <v>0</v>
      </c>
      <c r="CC74" s="3">
        <f>+IF(AVANCE[[#This Row],[ZOCALOS LOGIA]]=AP$2,100%,AVANCE[[#This Row],[ZOCALOS LOGIA]])</f>
        <v>0</v>
      </c>
      <c r="CD74" s="3">
        <f>+IF(AVANCE[[#This Row],[MOLDURAS]]=AQ$2,100%,AVANCE[[#This Row],[MOLDURAS]])</f>
        <v>0</v>
      </c>
      <c r="CE74" s="3">
        <f>+IF(AVANCE[[#This Row],[PILASTREO]]=AR$2,100%,AVANCE[[#This Row],[PILASTREO]])</f>
        <v>0</v>
      </c>
      <c r="CF74" s="3">
        <f>+IF(AVANCE[[#This Row],[CELOSIAS]]=AS$2,100%,AVANCE[[#This Row],[CELOSIAS]])</f>
        <v>0</v>
      </c>
      <c r="CG74" s="3">
        <f>+IF(AVANCE[[#This Row],[VENTANAS]]=AT$2,100%,AVANCE[[#This Row],[VENTANAS]])</f>
        <v>0</v>
      </c>
      <c r="CH74" s="3">
        <f>+IF(AVANCE[[#This Row],[PUERTAS ACCESO - LOGIA - BANO]]=AU$2,100%,AVANCE[[#This Row],[PUERTAS ACCESO - LOGIA - BANO]])</f>
        <v>1</v>
      </c>
      <c r="CI74" s="3">
        <f>+IF(AVANCE[[#This Row],[CERRADURAS]]=AV$2,100%,AVANCE[[#This Row],[CERRADURAS]])</f>
        <v>0</v>
      </c>
      <c r="CJ74" s="3">
        <f>+IF(AVANCE[[#This Row],[REVESTIMIENTO INTERIOR ZONA SECA]]=AW$2,100%,AVANCE[[#This Row],[REVESTIMIENTO INTERIOR ZONA SECA]])</f>
        <v>1</v>
      </c>
      <c r="CK74" s="3">
        <f>+IF(AVANCE[[#This Row],[REVESTIMIENTO INTERIOR ZONAS HUMEDAS]]=AX$2,100%,AVANCE[[#This Row],[REVESTIMIENTO INTERIOR ZONAS HUMEDAS]])</f>
        <v>1</v>
      </c>
      <c r="CL74" s="3">
        <f>+IF(AVANCE[[#This Row],[MEMBRANA CIELO]]=AY$2,100%,AVANCE[[#This Row],[MEMBRANA CIELO]])</f>
        <v>0</v>
      </c>
      <c r="CM74" s="3">
        <f>+IF(AVANCE[[#This Row],[LIMPIEZA FINAL]]=AZ$2,100%,AVANCE[[#This Row],[LIMPIEZA FINAL]])</f>
        <v>0</v>
      </c>
      <c r="CN74" s="3">
        <f>+IF(AVANCE[[#This Row],[PUERTAS DORMITORIO]]=BA$2,100%,AVANCE[[#This Row],[PUERTAS DORMITORIO]])</f>
        <v>0</v>
      </c>
      <c r="CO74" s="3">
        <f>+IF(AVANCE[[#This Row],[REVESTIMIENTO INTERIOR BANO]]=BB$2,100%,AVANCE[[#This Row],[REVESTIMIENTO INTERIOR BANO]])</f>
        <v>1</v>
      </c>
      <c r="CP74" s="3">
        <f>+IF(AVANCE[[#This Row],[MUEBLE LAVAPLATOS]]=BC$2,100%,AVANCE[[#This Row],[MUEBLE LAVAPLATOS]])</f>
        <v>0</v>
      </c>
      <c r="CQ74" s="3">
        <f>+IF(AVANCE[[#This Row],[IMPERMEABILIZACION BANO - COCINA LOGIA]]=BD$2,100%,AVANCE[[#This Row],[IMPERMEABILIZACION BANO - COCINA LOGIA]])</f>
        <v>1</v>
      </c>
      <c r="CR74" s="40">
        <f ca="1">+IF(AVANCE[[#This Row],[ESTADO MODULO]]="PENDIENTE",(TODAY()-AVANCE[[#This Row],[FECHA TERMINO  PLANIFICADO]]),0)</f>
        <v>-1</v>
      </c>
      <c r="CS74" s="42" t="str" cm="1">
        <f t="array" ref="CS74">_xlfn.TEXTJOIN(" | ",TRUE,IF(SUMPRODUCT((BF74:CQ74&lt;1)*(PARTIDAS!$I$2:$AT$2="OBRA GRUESA"))&gt;0,"OBRA GRUESA: "&amp;_xlfn.TEXTJOIN(", ",TRUE,IF((BF74:CQ74&lt;1)*(PARTIDAS!$I$2:$AT$2="OBRA GRUESA"),PARTIDAS!$I$1:$AT$1,"")),""),IF(SUMPRODUCT((BF74:CQ74&lt;1)*(PARTIDAS!$I$2:$AT$2="SANITARIOS"))&gt;0,"SANITARIOS: "&amp;_xlfn.TEXTJOIN(", ",TRUE,IF((BF74:CQ74&lt;1)*(PARTIDAS!$I$2:$AT$2="SANITARIOS"),PARTIDAS!$I$1:$AT$1,"")),""),IF(SUMPRODUCT((BF74:CQ74&lt;1)*(PARTIDAS!$I$2:$AT$2="ELÉCTRICO"))&gt;0,"ELÉCTRICO: "&amp;_xlfn.TEXTJOIN(", ",TRUE,IF((BF74:CQ74&lt;1)*(PARTIDAS!$I$2:$AT$2="ELÉCTRICO"),PARTIDAS!$I$1:$AT$1,"")),""),IF(SUMPRODUCT((BF74:CQ74&lt;1)*(PARTIDAS!$I$2:$AT$2="TERMINACIONES"))&gt;0,"TERMINACIONES: "&amp;_xlfn.TEXTJOIN(", ",TRUE,IF((BF74:CQ74&lt;1)*(PARTIDAS!$I$2:$AT$2="TERMINACIONES"),PARTIDAS!$I$1:$AT$1,"")),""))</f>
        <v>ELÉCTRICO: CABLEADO, ARTEFACTOS | TERMINACIONES: VENTANAS, SMART PANEL, PINTURA EXTERIOR, ZOCALOS LOGIA, MOLDURAS, PILASTREO, CELOSIAS, VENTANAS (TERM), CERRADURAS, MEMBRANA CIELO, LIMPIEZA FINAL, PUERTAS DORMITORIO, MUEBLE LAVAPLATOS</v>
      </c>
      <c r="CT74" s="45" t="str" cm="1">
        <f t="array" ref="CT74">_xlfn.TEXTJOIN(", ",TRUE,IF(SUMPRODUCT((BF74:CQ74&lt;1)*(PARTIDAS!$I$2:$AT$2="OBRA GRUESA"))&gt;0,"OBRA GRUESA",""),IF(SUMPRODUCT((BF74:CQ74&lt;1)*(PARTIDAS!$I$2:$AT$2="SANITARIOS"))&gt;0,"SANITARIOS",""),IF(SUMPRODUCT((BF74:CQ74&lt;1)*(PARTIDAS!$I$2:$AT$2="ELÉCTRICO"))&gt;0,"ELÉCTRICO",""),IF(SUMPRODUCT((BF74:CQ74&lt;1)*(PARTIDAS!$I$2:$AT$2="TERMINACIONES"))&gt;0,"TERMINACIONES",""))</f>
        <v>ELÉCTRICO, TERMINACIONES</v>
      </c>
      <c r="CU74" s="46" cm="1">
        <f t="array" ref="CU74">SUMPRODUCT(--(BF74:CQ74&lt;1))</f>
        <v>15</v>
      </c>
    </row>
    <row r="75" spans="1:99" x14ac:dyDescent="0.25">
      <c r="A75" t="s">
        <v>124</v>
      </c>
      <c r="B75" t="s">
        <v>134</v>
      </c>
      <c r="C75">
        <v>2302600074</v>
      </c>
      <c r="D75" t="s">
        <v>60</v>
      </c>
      <c r="E75" s="2">
        <v>0.57999999999999996</v>
      </c>
      <c r="F75" s="1">
        <v>46156</v>
      </c>
      <c r="G75" s="1">
        <v>46161</v>
      </c>
      <c r="H75" s="1">
        <v>46177</v>
      </c>
      <c r="I75" s="1">
        <v>46192</v>
      </c>
      <c r="J75">
        <v>4</v>
      </c>
      <c r="K75" s="1"/>
      <c r="L75" s="3">
        <v>0.38999999999999996</v>
      </c>
      <c r="M75" s="3">
        <v>0.90697674418604646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0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0.11999999999999997</v>
      </c>
      <c r="AI75" s="3">
        <v>0.32432432432432423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0</v>
      </c>
      <c r="BE75" s="3" t="str">
        <f>+IF(AVANCE[[#This Row],[% AVANCE]]=100%,"MODULO TERMINADO",IF(AVANCE[[#This Row],[FECHA INICIO REAL]]="","MODULO NO INICIADO","PENDIENTE"))</f>
        <v>PENDIENTE</v>
      </c>
      <c r="BF75" s="3">
        <f>+IF(AVANCE[[#This Row],[VENTANAS]]=8.10810810810811%,100%,AVANCE[[#This Row],[VENTANAS]])</f>
        <v>0</v>
      </c>
      <c r="BG75" s="3">
        <f>+IF(AVANCE[[#This Row],[PISO]]=N$2,100%,AVANCE[[#This Row],[PISO]])</f>
        <v>1</v>
      </c>
      <c r="BH75" s="3">
        <f>+IF(AVANCE[[#This Row],[TABIQUES]]=O$2,100%,AVANCE[[#This Row],[TABIQUES]])</f>
        <v>1</v>
      </c>
      <c r="BI75" s="3">
        <f>+IF(AVANCE[[#This Row],[MUROS]]=P$2,100%,AVANCE[[#This Row],[MUROS]])</f>
        <v>1</v>
      </c>
      <c r="BJ75" s="3">
        <f>+IF(AVANCE[[#This Row],[CIELO]]=Q$2,100%,AVANCE[[#This Row],[CIELO]])</f>
        <v>1</v>
      </c>
      <c r="BK75" s="3">
        <f>+IF(AVANCE[[#This Row],[BALCÓN]]=R$2,100%,AVANCE[[#This Row],[BALCÓN]])</f>
        <v>0</v>
      </c>
      <c r="BL75" s="3">
        <f>+IF(AVANCE[[#This Row],[RED ALCANTARILLADO]]=U$2,100%,AVANCE[[#This Row],[RED ALCANTARILLADO]])</f>
        <v>1</v>
      </c>
      <c r="BM75" s="3">
        <f>+IF(AVANCE[[#This Row],[RED DE AGUA]]=V$2,100%,AVANCE[[#This Row],[RED DE AGUA]])</f>
        <v>1</v>
      </c>
      <c r="BN75" s="3">
        <f>+IF(AVANCE[[#This Row],[VENTILACIONES]]=W$2,100%,AVANCE[[#This Row],[VENTILACIONES]])</f>
        <v>0</v>
      </c>
      <c r="BO75" s="3">
        <f>+IF(AVANCE[[#This Row],[TINA]]=X$2,100%,AVANCE[[#This Row],[TINA]])</f>
        <v>0</v>
      </c>
      <c r="BP75" s="3">
        <f>+IF(AVANCE[[#This Row],[WC]]=Y$2,100%,AVANCE[[#This Row],[WC]])</f>
        <v>0</v>
      </c>
      <c r="BQ75" s="3">
        <f>+IF(AVANCE[[#This Row],[LAVAMANOS / LAVAPLATOS / LAVADERO]]=Z$2,100%,AVANCE[[#This Row],[LAVAMANOS / LAVAPLATOS / LAVADERO]])</f>
        <v>0</v>
      </c>
      <c r="BR75" s="3">
        <f>+IF(AVANCE[[#This Row],[CANALIZACIÓN]]=AC$2,100%,AVANCE[[#This Row],[CANALIZACIÓN]])</f>
        <v>1</v>
      </c>
      <c r="BS75" s="3">
        <f>+IF(AVANCE[[#This Row],[CABLEADO]]=AD$2,100%,AVANCE[[#This Row],[CABLEADO]])</f>
        <v>0</v>
      </c>
      <c r="BT75" s="3">
        <f>+IF(AVANCE[[#This Row],[ARTEFACTOS]]=AE$2,100%,AVANCE[[#This Row],[ARTEFACTOS]])</f>
        <v>0</v>
      </c>
      <c r="BU75" s="3">
        <f>+IF(AVANCE[[#This Row],[TABLERO]]=AF$2,100%,AVANCE[[#This Row],[TABLERO]])</f>
        <v>0</v>
      </c>
      <c r="BV75" s="3">
        <f>+IF(AVANCE[[#This Row],[CAJA PAU]]=AG$2,100%,AVANCE[[#This Row],[CAJA PAU]])</f>
        <v>0</v>
      </c>
      <c r="BW75" s="3">
        <f>+IF(AVANCE[[#This Row],[INSTALACION VINILICO]]=AJ$2,100%,AVANCE[[#This Row],[INSTALACION VINILICO]])</f>
        <v>0</v>
      </c>
      <c r="BX75" s="3">
        <f>+IF(AVANCE[[#This Row],[OSB CUBIERTA]]=AK$2,100%,AVANCE[[#This Row],[OSB CUBIERTA]])</f>
        <v>1</v>
      </c>
      <c r="BY75" s="3">
        <f>+IF(AVANCE[[#This Row],[BARANDA BALCON]]=AL$2,100%,AVANCE[[#This Row],[BARANDA BALCON]])</f>
        <v>0</v>
      </c>
      <c r="BZ75" s="3">
        <f>+IF(AVANCE[[#This Row],[OSB EXTERIOR]]=AM$2,100%,AVANCE[[#This Row],[OSB EXTERIOR]])</f>
        <v>1</v>
      </c>
      <c r="CA75" s="3">
        <f>+IF(AVANCE[[#This Row],[SMART PANEL]]=AN$2,100%,AVANCE[[#This Row],[SMART PANEL]])</f>
        <v>0</v>
      </c>
      <c r="CB75" s="3">
        <f>+IF(AVANCE[[#This Row],[PINTURA EXTERIOR]]=AO$2,100%,AVANCE[[#This Row],[PINTURA EXTERIOR]])</f>
        <v>0</v>
      </c>
      <c r="CC75" s="3">
        <f>+IF(AVANCE[[#This Row],[ZOCALOS LOGIA]]=AP$2,100%,AVANCE[[#This Row],[ZOCALOS LOGIA]])</f>
        <v>0</v>
      </c>
      <c r="CD75" s="3">
        <f>+IF(AVANCE[[#This Row],[MOLDURAS]]=AQ$2,100%,AVANCE[[#This Row],[MOLDURAS]])</f>
        <v>0</v>
      </c>
      <c r="CE75" s="3">
        <f>+IF(AVANCE[[#This Row],[PILASTREO]]=AR$2,100%,AVANCE[[#This Row],[PILASTREO]])</f>
        <v>0</v>
      </c>
      <c r="CF75" s="3">
        <f>+IF(AVANCE[[#This Row],[CELOSIAS]]=AS$2,100%,AVANCE[[#This Row],[CELOSIAS]])</f>
        <v>0</v>
      </c>
      <c r="CG75" s="3">
        <f>+IF(AVANCE[[#This Row],[VENTANAS]]=AT$2,100%,AVANCE[[#This Row],[VENTANAS]])</f>
        <v>0</v>
      </c>
      <c r="CH75" s="3">
        <f>+IF(AVANCE[[#This Row],[PUERTAS ACCESO - LOGIA - BANO]]=AU$2,100%,AVANCE[[#This Row],[PUERTAS ACCESO - LOGIA - BANO]])</f>
        <v>0</v>
      </c>
      <c r="CI75" s="3">
        <f>+IF(AVANCE[[#This Row],[CERRADURAS]]=AV$2,100%,AVANCE[[#This Row],[CERRADURAS]])</f>
        <v>0</v>
      </c>
      <c r="CJ75" s="3">
        <f>+IF(AVANCE[[#This Row],[REVESTIMIENTO INTERIOR ZONA SECA]]=AW$2,100%,AVANCE[[#This Row],[REVESTIMIENTO INTERIOR ZONA SECA]])</f>
        <v>1</v>
      </c>
      <c r="CK75" s="3">
        <f>+IF(AVANCE[[#This Row],[REVESTIMIENTO INTERIOR ZONAS HUMEDAS]]=AX$2,100%,AVANCE[[#This Row],[REVESTIMIENTO INTERIOR ZONAS HUMEDAS]])</f>
        <v>1</v>
      </c>
      <c r="CL75" s="3">
        <f>+IF(AVANCE[[#This Row],[MEMBRANA CIELO]]=AY$2,100%,AVANCE[[#This Row],[MEMBRANA CIELO]])</f>
        <v>1</v>
      </c>
      <c r="CM75" s="3">
        <f>+IF(AVANCE[[#This Row],[LIMPIEZA FINAL]]=AZ$2,100%,AVANCE[[#This Row],[LIMPIEZA FINAL]])</f>
        <v>0</v>
      </c>
      <c r="CN75" s="3">
        <f>+IF(AVANCE[[#This Row],[PUERTAS DORMITORIO]]=BA$2,100%,AVANCE[[#This Row],[PUERTAS DORMITORIO]])</f>
        <v>1</v>
      </c>
      <c r="CO75" s="3">
        <f>+IF(AVANCE[[#This Row],[REVESTIMIENTO INTERIOR BANO]]=BB$2,100%,AVANCE[[#This Row],[REVESTIMIENTO INTERIOR BANO]])</f>
        <v>0</v>
      </c>
      <c r="CP75" s="3">
        <f>+IF(AVANCE[[#This Row],[MUEBLE LAVAPLATOS]]=BC$2,100%,AVANCE[[#This Row],[MUEBLE LAVAPLATOS]])</f>
        <v>0</v>
      </c>
      <c r="CQ75" s="3">
        <f>+IF(AVANCE[[#This Row],[IMPERMEABILIZACION BANO - COCINA LOGIA]]=BD$2,100%,AVANCE[[#This Row],[IMPERMEABILIZACION BANO - COCINA LOGIA]])</f>
        <v>0</v>
      </c>
      <c r="CR75" s="40">
        <f ca="1">+IF(AVANCE[[#This Row],[ESTADO MODULO]]="PENDIENTE",(TODAY()-AVANCE[[#This Row],[FECHA TERMINO  PLANIFICADO]]),0)</f>
        <v>-11</v>
      </c>
      <c r="CS75" s="42" t="str" cm="1">
        <f t="array" ref="CS75">_xlfn.TEXTJOIN(" | ",TRUE,IF(SUMPRODUCT((BF75:CQ75&lt;1)*(PARTIDAS!$I$2:$AT$2="OBRA GRUESA"))&gt;0,"OBRA GRUESA: "&amp;_xlfn.TEXTJOIN(", ",TRUE,IF((BF75:CQ75&lt;1)*(PARTIDAS!$I$2:$AT$2="OBRA GRUESA"),PARTIDAS!$I$1:$AT$1,"")),""),IF(SUMPRODUCT((BF75:CQ75&lt;1)*(PARTIDAS!$I$2:$AT$2="SANITARIOS"))&gt;0,"SANITARIOS: "&amp;_xlfn.TEXTJOIN(", ",TRUE,IF((BF75:CQ75&lt;1)*(PARTIDAS!$I$2:$AT$2="SANITARIOS"),PARTIDAS!$I$1:$AT$1,"")),""),IF(SUMPRODUCT((BF75:CQ75&lt;1)*(PARTIDAS!$I$2:$AT$2="ELÉCTRICO"))&gt;0,"ELÉCTRICO: "&amp;_xlfn.TEXTJOIN(", ",TRUE,IF((BF75:CQ75&lt;1)*(PARTIDAS!$I$2:$AT$2="ELÉCTRICO"),PARTIDAS!$I$1:$AT$1,"")),""),IF(SUMPRODUCT((BF75:CQ75&lt;1)*(PARTIDAS!$I$2:$AT$2="TERMINACIONES"))&gt;0,"TERMINACIONES: "&amp;_xlfn.TEXTJOIN(", ",TRUE,IF((BF75:CQ75&lt;1)*(PARTIDAS!$I$2:$AT$2="TERMINACIONES"),PARTIDAS!$I$1:$AT$1,"")),""))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T75" s="45" t="str" cm="1">
        <f t="array" ref="CT75">_xlfn.TEXTJOIN(", ",TRUE,IF(SUMPRODUCT((BF75:CQ75&lt;1)*(PARTIDAS!$I$2:$AT$2="OBRA GRUESA"))&gt;0,"OBRA GRUESA",""),IF(SUMPRODUCT((BF75:CQ75&lt;1)*(PARTIDAS!$I$2:$AT$2="SANITARIOS"))&gt;0,"SANITARIOS",""),IF(SUMPRODUCT((BF75:CQ75&lt;1)*(PARTIDAS!$I$2:$AT$2="ELÉCTRICO"))&gt;0,"ELÉCTRICO",""),IF(SUMPRODUCT((BF75:CQ75&lt;1)*(PARTIDAS!$I$2:$AT$2="TERMINACIONES"))&gt;0,"TERMINACIONES",""))</f>
        <v>OBRA GRUESA, SANITARIOS, ELÉCTRICO, TERMINACIONES</v>
      </c>
      <c r="CU75" s="46" cm="1">
        <f t="array" ref="CU75">SUMPRODUCT(--(BF75:CQ75&lt;1))</f>
        <v>25</v>
      </c>
    </row>
    <row r="76" spans="1:99" x14ac:dyDescent="0.25">
      <c r="A76" t="s">
        <v>124</v>
      </c>
      <c r="B76" t="s">
        <v>135</v>
      </c>
      <c r="C76">
        <v>2302600075</v>
      </c>
      <c r="D76" t="s">
        <v>60</v>
      </c>
      <c r="E76" s="2">
        <v>0.57999999999999996</v>
      </c>
      <c r="F76" s="1">
        <v>46157</v>
      </c>
      <c r="G76" s="1">
        <v>46160</v>
      </c>
      <c r="H76" s="1">
        <v>46177</v>
      </c>
      <c r="I76" s="1">
        <v>46193</v>
      </c>
      <c r="J76">
        <v>4</v>
      </c>
      <c r="K76" s="1"/>
      <c r="L76" s="3">
        <v>0.38999999999999996</v>
      </c>
      <c r="M76" s="3">
        <v>0.90697674418604646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0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 s="3" t="str">
        <f>+IF(AVANCE[[#This Row],[% AVANCE]]=100%,"MODULO TERMINADO",IF(AVANCE[[#This Row],[FECHA INICIO REAL]]="","MODULO NO INICIADO","PENDIENTE"))</f>
        <v>PENDIENTE</v>
      </c>
      <c r="BF76" s="3">
        <f>+IF(AVANCE[[#This Row],[VENTANAS]]=8.10810810810811%,100%,AVANCE[[#This Row],[VENTANAS]])</f>
        <v>0</v>
      </c>
      <c r="BG76" s="3">
        <f>+IF(AVANCE[[#This Row],[PISO]]=N$2,100%,AVANCE[[#This Row],[PISO]])</f>
        <v>1</v>
      </c>
      <c r="BH76" s="3">
        <f>+IF(AVANCE[[#This Row],[TABIQUES]]=O$2,100%,AVANCE[[#This Row],[TABIQUES]])</f>
        <v>1</v>
      </c>
      <c r="BI76" s="3">
        <f>+IF(AVANCE[[#This Row],[MUROS]]=P$2,100%,AVANCE[[#This Row],[MUROS]])</f>
        <v>1</v>
      </c>
      <c r="BJ76" s="3">
        <f>+IF(AVANCE[[#This Row],[CIELO]]=Q$2,100%,AVANCE[[#This Row],[CIELO]])</f>
        <v>1</v>
      </c>
      <c r="BK76" s="3">
        <f>+IF(AVANCE[[#This Row],[BALCÓN]]=R$2,100%,AVANCE[[#This Row],[BALCÓN]])</f>
        <v>0</v>
      </c>
      <c r="BL76" s="3">
        <f>+IF(AVANCE[[#This Row],[RED ALCANTARILLADO]]=U$2,100%,AVANCE[[#This Row],[RED ALCANTARILLADO]])</f>
        <v>1</v>
      </c>
      <c r="BM76" s="3">
        <f>+IF(AVANCE[[#This Row],[RED DE AGUA]]=V$2,100%,AVANCE[[#This Row],[RED DE AGUA]])</f>
        <v>1</v>
      </c>
      <c r="BN76" s="3">
        <f>+IF(AVANCE[[#This Row],[VENTILACIONES]]=W$2,100%,AVANCE[[#This Row],[VENTILACIONES]])</f>
        <v>0</v>
      </c>
      <c r="BO76" s="3">
        <f>+IF(AVANCE[[#This Row],[TINA]]=X$2,100%,AVANCE[[#This Row],[TINA]])</f>
        <v>0</v>
      </c>
      <c r="BP76" s="3">
        <f>+IF(AVANCE[[#This Row],[WC]]=Y$2,100%,AVANCE[[#This Row],[WC]])</f>
        <v>0</v>
      </c>
      <c r="BQ76" s="3">
        <f>+IF(AVANCE[[#This Row],[LAVAMANOS / LAVAPLATOS / LAVADERO]]=Z$2,100%,AVANCE[[#This Row],[LAVAMANOS / LAVAPLATOS / LAVADERO]])</f>
        <v>0</v>
      </c>
      <c r="BR76" s="3">
        <f>+IF(AVANCE[[#This Row],[CANALIZACIÓN]]=AC$2,100%,AVANCE[[#This Row],[CANALIZACIÓN]])</f>
        <v>1</v>
      </c>
      <c r="BS76" s="3">
        <f>+IF(AVANCE[[#This Row],[CABLEADO]]=AD$2,100%,AVANCE[[#This Row],[CABLEADO]])</f>
        <v>0</v>
      </c>
      <c r="BT76" s="3">
        <f>+IF(AVANCE[[#This Row],[ARTEFACTOS]]=AE$2,100%,AVANCE[[#This Row],[ARTEFACTOS]])</f>
        <v>0</v>
      </c>
      <c r="BU76" s="3">
        <f>+IF(AVANCE[[#This Row],[TABLERO]]=AF$2,100%,AVANCE[[#This Row],[TABLERO]])</f>
        <v>0</v>
      </c>
      <c r="BV76" s="3">
        <f>+IF(AVANCE[[#This Row],[CAJA PAU]]=AG$2,100%,AVANCE[[#This Row],[CAJA PAU]])</f>
        <v>0</v>
      </c>
      <c r="BW76" s="3">
        <f>+IF(AVANCE[[#This Row],[INSTALACION VINILICO]]=AJ$2,100%,AVANCE[[#This Row],[INSTALACION VINILICO]])</f>
        <v>0</v>
      </c>
      <c r="BX76" s="3">
        <f>+IF(AVANCE[[#This Row],[OSB CUBIERTA]]=AK$2,100%,AVANCE[[#This Row],[OSB CUBIERTA]])</f>
        <v>1</v>
      </c>
      <c r="BY76" s="3">
        <f>+IF(AVANCE[[#This Row],[BARANDA BALCON]]=AL$2,100%,AVANCE[[#This Row],[BARANDA BALCON]])</f>
        <v>0</v>
      </c>
      <c r="BZ76" s="3">
        <f>+IF(AVANCE[[#This Row],[OSB EXTERIOR]]=AM$2,100%,AVANCE[[#This Row],[OSB EXTERIOR]])</f>
        <v>1</v>
      </c>
      <c r="CA76" s="3">
        <f>+IF(AVANCE[[#This Row],[SMART PANEL]]=AN$2,100%,AVANCE[[#This Row],[SMART PANEL]])</f>
        <v>0</v>
      </c>
      <c r="CB76" s="3">
        <f>+IF(AVANCE[[#This Row],[PINTURA EXTERIOR]]=AO$2,100%,AVANCE[[#This Row],[PINTURA EXTERIOR]])</f>
        <v>0</v>
      </c>
      <c r="CC76" s="3">
        <f>+IF(AVANCE[[#This Row],[ZOCALOS LOGIA]]=AP$2,100%,AVANCE[[#This Row],[ZOCALOS LOGIA]])</f>
        <v>0</v>
      </c>
      <c r="CD76" s="3">
        <f>+IF(AVANCE[[#This Row],[MOLDURAS]]=AQ$2,100%,AVANCE[[#This Row],[MOLDURAS]])</f>
        <v>0</v>
      </c>
      <c r="CE76" s="3">
        <f>+IF(AVANCE[[#This Row],[PILASTREO]]=AR$2,100%,AVANCE[[#This Row],[PILASTREO]])</f>
        <v>0</v>
      </c>
      <c r="CF76" s="3">
        <f>+IF(AVANCE[[#This Row],[CELOSIAS]]=AS$2,100%,AVANCE[[#This Row],[CELOSIAS]])</f>
        <v>0</v>
      </c>
      <c r="CG76" s="3">
        <f>+IF(AVANCE[[#This Row],[VENTANAS]]=AT$2,100%,AVANCE[[#This Row],[VENTANAS]])</f>
        <v>0</v>
      </c>
      <c r="CH76" s="3">
        <f>+IF(AVANCE[[#This Row],[PUERTAS ACCESO - LOGIA - BANO]]=AU$2,100%,AVANCE[[#This Row],[PUERTAS ACCESO - LOGIA - BANO]])</f>
        <v>0</v>
      </c>
      <c r="CI76" s="3">
        <f>+IF(AVANCE[[#This Row],[CERRADURAS]]=AV$2,100%,AVANCE[[#This Row],[CERRADURAS]])</f>
        <v>0</v>
      </c>
      <c r="CJ76" s="3">
        <f>+IF(AVANCE[[#This Row],[REVESTIMIENTO INTERIOR ZONA SECA]]=AW$2,100%,AVANCE[[#This Row],[REVESTIMIENTO INTERIOR ZONA SECA]])</f>
        <v>1</v>
      </c>
      <c r="CK76" s="3">
        <f>+IF(AVANCE[[#This Row],[REVESTIMIENTO INTERIOR ZONAS HUMEDAS]]=AX$2,100%,AVANCE[[#This Row],[REVESTIMIENTO INTERIOR ZONAS HUMEDAS]])</f>
        <v>1</v>
      </c>
      <c r="CL76" s="3">
        <f>+IF(AVANCE[[#This Row],[MEMBRANA CIELO]]=AY$2,100%,AVANCE[[#This Row],[MEMBRANA CIELO]])</f>
        <v>1</v>
      </c>
      <c r="CM76" s="3">
        <f>+IF(AVANCE[[#This Row],[LIMPIEZA FINAL]]=AZ$2,100%,AVANCE[[#This Row],[LIMPIEZA FINAL]])</f>
        <v>0</v>
      </c>
      <c r="CN76" s="3">
        <f>+IF(AVANCE[[#This Row],[PUERTAS DORMITORIO]]=BA$2,100%,AVANCE[[#This Row],[PUERTAS DORMITORIO]])</f>
        <v>1</v>
      </c>
      <c r="CO76" s="3">
        <f>+IF(AVANCE[[#This Row],[REVESTIMIENTO INTERIOR BANO]]=BB$2,100%,AVANCE[[#This Row],[REVESTIMIENTO INTERIOR BANO]])</f>
        <v>0</v>
      </c>
      <c r="CP76" s="3">
        <f>+IF(AVANCE[[#This Row],[MUEBLE LAVAPLATOS]]=BC$2,100%,AVANCE[[#This Row],[MUEBLE LAVAPLATOS]])</f>
        <v>0</v>
      </c>
      <c r="CQ76" s="3">
        <f>+IF(AVANCE[[#This Row],[IMPERMEABILIZACION BANO - COCINA LOGIA]]=BD$2,100%,AVANCE[[#This Row],[IMPERMEABILIZACION BANO - COCINA LOGIA]])</f>
        <v>0</v>
      </c>
      <c r="CR76" s="40">
        <f ca="1">+IF(AVANCE[[#This Row],[ESTADO MODULO]]="PENDIENTE",(TODAY()-AVANCE[[#This Row],[FECHA TERMINO  PLANIFICADO]]),0)</f>
        <v>-12</v>
      </c>
      <c r="CS76" s="42" t="str" cm="1">
        <f t="array" ref="CS76">_xlfn.TEXTJOIN(" | ",TRUE,IF(SUMPRODUCT((BF76:CQ76&lt;1)*(PARTIDAS!$I$2:$AT$2="OBRA GRUESA"))&gt;0,"OBRA GRUESA: "&amp;_xlfn.TEXTJOIN(", ",TRUE,IF((BF76:CQ76&lt;1)*(PARTIDAS!$I$2:$AT$2="OBRA GRUESA"),PARTIDAS!$I$1:$AT$1,"")),""),IF(SUMPRODUCT((BF76:CQ76&lt;1)*(PARTIDAS!$I$2:$AT$2="SANITARIOS"))&gt;0,"SANITARIOS: "&amp;_xlfn.TEXTJOIN(", ",TRUE,IF((BF76:CQ76&lt;1)*(PARTIDAS!$I$2:$AT$2="SANITARIOS"),PARTIDAS!$I$1:$AT$1,"")),""),IF(SUMPRODUCT((BF76:CQ76&lt;1)*(PARTIDAS!$I$2:$AT$2="ELÉCTRICO"))&gt;0,"ELÉCTRICO: "&amp;_xlfn.TEXTJOIN(", ",TRUE,IF((BF76:CQ76&lt;1)*(PARTIDAS!$I$2:$AT$2="ELÉCTRICO"),PARTIDAS!$I$1:$AT$1,"")),""),IF(SUMPRODUCT((BF76:CQ76&lt;1)*(PARTIDAS!$I$2:$AT$2="TERMINACIONES"))&gt;0,"TERMINACIONES: "&amp;_xlfn.TEXTJOIN(", ",TRUE,IF((BF76:CQ76&lt;1)*(PARTIDAS!$I$2:$AT$2="TERMINACIONES"),PARTIDAS!$I$1:$AT$1,"")),""))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T76" s="45" t="str" cm="1">
        <f t="array" ref="CT76">_xlfn.TEXTJOIN(", ",TRUE,IF(SUMPRODUCT((BF76:CQ76&lt;1)*(PARTIDAS!$I$2:$AT$2="OBRA GRUESA"))&gt;0,"OBRA GRUESA",""),IF(SUMPRODUCT((BF76:CQ76&lt;1)*(PARTIDAS!$I$2:$AT$2="SANITARIOS"))&gt;0,"SANITARIOS",""),IF(SUMPRODUCT((BF76:CQ76&lt;1)*(PARTIDAS!$I$2:$AT$2="ELÉCTRICO"))&gt;0,"ELÉCTRICO",""),IF(SUMPRODUCT((BF76:CQ76&lt;1)*(PARTIDAS!$I$2:$AT$2="TERMINACIONES"))&gt;0,"TERMINACIONES",""))</f>
        <v>OBRA GRUESA, SANITARIOS, ELÉCTRICO, TERMINACIONES</v>
      </c>
      <c r="CU76" s="46" cm="1">
        <f t="array" ref="CU76">SUMPRODUCT(--(BF76:CQ76&lt;1))</f>
        <v>25</v>
      </c>
    </row>
    <row r="77" spans="1:99" x14ac:dyDescent="0.25">
      <c r="A77" t="s">
        <v>124</v>
      </c>
      <c r="B77" t="s">
        <v>136</v>
      </c>
      <c r="C77">
        <v>2282600076</v>
      </c>
      <c r="D77" t="s">
        <v>58</v>
      </c>
      <c r="E77" s="2">
        <v>0.38999999999999996</v>
      </c>
      <c r="F77" s="1">
        <v>46157</v>
      </c>
      <c r="G77" s="1">
        <v>46169</v>
      </c>
      <c r="H77" s="1">
        <v>46171</v>
      </c>
      <c r="I77" s="1">
        <v>46183</v>
      </c>
      <c r="J77">
        <v>10</v>
      </c>
      <c r="K77" s="1"/>
      <c r="L77" s="3">
        <v>0.38999999999999996</v>
      </c>
      <c r="M77" s="3">
        <v>0.90697674418604646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3">
        <v>0</v>
      </c>
      <c r="AD77" s="3">
        <v>0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 t="str">
        <f>+IF(AVANCE[[#This Row],[% AVANCE]]=100%,"MODULO TERMINADO",IF(AVANCE[[#This Row],[FECHA INICIO REAL]]="","MODULO NO INICIADO","PENDIENTE"))</f>
        <v>PENDIENTE</v>
      </c>
      <c r="BF77" s="3">
        <f>+IF(AVANCE[[#This Row],[VENTANAS]]=8.10810810810811%,100%,AVANCE[[#This Row],[VENTANAS]])</f>
        <v>0</v>
      </c>
      <c r="BG77" s="3">
        <f>+IF(AVANCE[[#This Row],[PISO]]=N$2,100%,AVANCE[[#This Row],[PISO]])</f>
        <v>1</v>
      </c>
      <c r="BH77" s="3">
        <f>+IF(AVANCE[[#This Row],[TABIQUES]]=O$2,100%,AVANCE[[#This Row],[TABIQUES]])</f>
        <v>1</v>
      </c>
      <c r="BI77" s="3">
        <f>+IF(AVANCE[[#This Row],[MUROS]]=P$2,100%,AVANCE[[#This Row],[MUROS]])</f>
        <v>1</v>
      </c>
      <c r="BJ77" s="3">
        <f>+IF(AVANCE[[#This Row],[CIELO]]=Q$2,100%,AVANCE[[#This Row],[CIELO]])</f>
        <v>1</v>
      </c>
      <c r="BK77" s="3">
        <f>+IF(AVANCE[[#This Row],[BALCÓN]]=R$2,100%,AVANCE[[#This Row],[BALCÓN]])</f>
        <v>0</v>
      </c>
      <c r="BL77" s="3">
        <f>+IF(AVANCE[[#This Row],[RED ALCANTARILLADO]]=U$2,100%,AVANCE[[#This Row],[RED ALCANTARILLADO]])</f>
        <v>0</v>
      </c>
      <c r="BM77" s="3">
        <f>+IF(AVANCE[[#This Row],[RED DE AGUA]]=V$2,100%,AVANCE[[#This Row],[RED DE AGUA]])</f>
        <v>0</v>
      </c>
      <c r="BN77" s="3">
        <f>+IF(AVANCE[[#This Row],[VENTILACIONES]]=W$2,100%,AVANCE[[#This Row],[VENTILACIONES]])</f>
        <v>0</v>
      </c>
      <c r="BO77" s="3">
        <f>+IF(AVANCE[[#This Row],[TINA]]=X$2,100%,AVANCE[[#This Row],[TINA]])</f>
        <v>0</v>
      </c>
      <c r="BP77" s="3">
        <f>+IF(AVANCE[[#This Row],[WC]]=Y$2,100%,AVANCE[[#This Row],[WC]])</f>
        <v>0</v>
      </c>
      <c r="BQ77" s="3">
        <f>+IF(AVANCE[[#This Row],[LAVAMANOS / LAVAPLATOS / LAVADERO]]=Z$2,100%,AVANCE[[#This Row],[LAVAMANOS / LAVAPLATOS / LAVADERO]])</f>
        <v>0</v>
      </c>
      <c r="BR77" s="3">
        <f>+IF(AVANCE[[#This Row],[CANALIZACIÓN]]=AC$2,100%,AVANCE[[#This Row],[CANALIZACIÓN]])</f>
        <v>0</v>
      </c>
      <c r="BS77" s="3">
        <f>+IF(AVANCE[[#This Row],[CABLEADO]]=AD$2,100%,AVANCE[[#This Row],[CABLEADO]])</f>
        <v>0</v>
      </c>
      <c r="BT77" s="3">
        <f>+IF(AVANCE[[#This Row],[ARTEFACTOS]]=AE$2,100%,AVANCE[[#This Row],[ARTEFACTOS]])</f>
        <v>0</v>
      </c>
      <c r="BU77" s="3">
        <f>+IF(AVANCE[[#This Row],[TABLERO]]=AF$2,100%,AVANCE[[#This Row],[TABLERO]])</f>
        <v>0</v>
      </c>
      <c r="BV77" s="3">
        <f>+IF(AVANCE[[#This Row],[CAJA PAU]]=AG$2,100%,AVANCE[[#This Row],[CAJA PAU]])</f>
        <v>0</v>
      </c>
      <c r="BW77" s="3">
        <f>+IF(AVANCE[[#This Row],[INSTALACION VINILICO]]=AJ$2,100%,AVANCE[[#This Row],[INSTALACION VINILICO]])</f>
        <v>0</v>
      </c>
      <c r="BX77" s="3">
        <f>+IF(AVANCE[[#This Row],[OSB CUBIERTA]]=AK$2,100%,AVANCE[[#This Row],[OSB CUBIERTA]])</f>
        <v>0</v>
      </c>
      <c r="BY77" s="3">
        <f>+IF(AVANCE[[#This Row],[BARANDA BALCON]]=AL$2,100%,AVANCE[[#This Row],[BARANDA BALCON]])</f>
        <v>0</v>
      </c>
      <c r="BZ77" s="3">
        <f>+IF(AVANCE[[#This Row],[OSB EXTERIOR]]=AM$2,100%,AVANCE[[#This Row],[OSB EXTERIOR]])</f>
        <v>0</v>
      </c>
      <c r="CA77" s="3">
        <f>+IF(AVANCE[[#This Row],[SMART PANEL]]=AN$2,100%,AVANCE[[#This Row],[SMART PANEL]])</f>
        <v>0</v>
      </c>
      <c r="CB77" s="3">
        <f>+IF(AVANCE[[#This Row],[PINTURA EXTERIOR]]=AO$2,100%,AVANCE[[#This Row],[PINTURA EXTERIOR]])</f>
        <v>0</v>
      </c>
      <c r="CC77" s="3">
        <f>+IF(AVANCE[[#This Row],[ZOCALOS LOGIA]]=AP$2,100%,AVANCE[[#This Row],[ZOCALOS LOGIA]])</f>
        <v>0</v>
      </c>
      <c r="CD77" s="3">
        <f>+IF(AVANCE[[#This Row],[MOLDURAS]]=AQ$2,100%,AVANCE[[#This Row],[MOLDURAS]])</f>
        <v>0</v>
      </c>
      <c r="CE77" s="3">
        <f>+IF(AVANCE[[#This Row],[PILASTREO]]=AR$2,100%,AVANCE[[#This Row],[PILASTREO]])</f>
        <v>0</v>
      </c>
      <c r="CF77" s="3">
        <f>+IF(AVANCE[[#This Row],[CELOSIAS]]=AS$2,100%,AVANCE[[#This Row],[CELOSIAS]])</f>
        <v>0</v>
      </c>
      <c r="CG77" s="3">
        <f>+IF(AVANCE[[#This Row],[VENTANAS]]=AT$2,100%,AVANCE[[#This Row],[VENTANAS]])</f>
        <v>0</v>
      </c>
      <c r="CH77" s="3">
        <f>+IF(AVANCE[[#This Row],[PUERTAS ACCESO - LOGIA - BANO]]=AU$2,100%,AVANCE[[#This Row],[PUERTAS ACCESO - LOGIA - BANO]])</f>
        <v>0</v>
      </c>
      <c r="CI77" s="3">
        <f>+IF(AVANCE[[#This Row],[CERRADURAS]]=AV$2,100%,AVANCE[[#This Row],[CERRADURAS]])</f>
        <v>0</v>
      </c>
      <c r="CJ77" s="3">
        <f>+IF(AVANCE[[#This Row],[REVESTIMIENTO INTERIOR ZONA SECA]]=AW$2,100%,AVANCE[[#This Row],[REVESTIMIENTO INTERIOR ZONA SECA]])</f>
        <v>0</v>
      </c>
      <c r="CK77" s="3">
        <f>+IF(AVANCE[[#This Row],[REVESTIMIENTO INTERIOR ZONAS HUMEDAS]]=AX$2,100%,AVANCE[[#This Row],[REVESTIMIENTO INTERIOR ZONAS HUMEDAS]])</f>
        <v>0</v>
      </c>
      <c r="CL77" s="3">
        <f>+IF(AVANCE[[#This Row],[MEMBRANA CIELO]]=AY$2,100%,AVANCE[[#This Row],[MEMBRANA CIELO]])</f>
        <v>0</v>
      </c>
      <c r="CM77" s="3">
        <f>+IF(AVANCE[[#This Row],[LIMPIEZA FINAL]]=AZ$2,100%,AVANCE[[#This Row],[LIMPIEZA FINAL]])</f>
        <v>0</v>
      </c>
      <c r="CN77" s="3">
        <f>+IF(AVANCE[[#This Row],[PUERTAS DORMITORIO]]=BA$2,100%,AVANCE[[#This Row],[PUERTAS DORMITORIO]])</f>
        <v>0</v>
      </c>
      <c r="CO77" s="3">
        <f>+IF(AVANCE[[#This Row],[REVESTIMIENTO INTERIOR BANO]]=BB$2,100%,AVANCE[[#This Row],[REVESTIMIENTO INTERIOR BANO]])</f>
        <v>0</v>
      </c>
      <c r="CP77" s="3">
        <f>+IF(AVANCE[[#This Row],[MUEBLE LAVAPLATOS]]=BC$2,100%,AVANCE[[#This Row],[MUEBLE LAVAPLATOS]])</f>
        <v>0</v>
      </c>
      <c r="CQ77" s="3">
        <f>+IF(AVANCE[[#This Row],[IMPERMEABILIZACION BANO - COCINA LOGIA]]=BD$2,100%,AVANCE[[#This Row],[IMPERMEABILIZACION BANO - COCINA LOGIA]])</f>
        <v>0</v>
      </c>
      <c r="CR77" s="40">
        <f ca="1">+IF(AVANCE[[#This Row],[ESTADO MODULO]]="PENDIENTE",(TODAY()-AVANCE[[#This Row],[FECHA TERMINO  PLANIFICADO]]),0)</f>
        <v>-2</v>
      </c>
      <c r="CS77" s="42" t="str" cm="1">
        <f t="array" ref="CS77">_xlfn.TEXTJOIN(" | ",TRUE,IF(SUMPRODUCT((BF77:CQ77&lt;1)*(PARTIDAS!$I$2:$AT$2="OBRA GRUESA"))&gt;0,"OBRA GRUESA: "&amp;_xlfn.TEXTJOIN(", ",TRUE,IF((BF77:CQ77&lt;1)*(PARTIDAS!$I$2:$AT$2="OBRA GRUESA"),PARTIDAS!$I$1:$AT$1,"")),""),IF(SUMPRODUCT((BF77:CQ77&lt;1)*(PARTIDAS!$I$2:$AT$2="SANITARIOS"))&gt;0,"SANITARIOS: "&amp;_xlfn.TEXTJOIN(", ",TRUE,IF((BF77:CQ77&lt;1)*(PARTIDAS!$I$2:$AT$2="SANITARIOS"),PARTIDAS!$I$1:$AT$1,"")),""),IF(SUMPRODUCT((BF77:CQ77&lt;1)*(PARTIDAS!$I$2:$AT$2="ELÉCTRICO"))&gt;0,"ELÉCTRICO: "&amp;_xlfn.TEXTJOIN(", ",TRUE,IF((BF77:CQ77&lt;1)*(PARTIDAS!$I$2:$AT$2="ELÉCTRICO"),PARTIDAS!$I$1:$AT$1,"")),""),IF(SUMPRODUCT((BF77:CQ77&lt;1)*(PARTIDAS!$I$2:$AT$2="TERMINACIONES"))&gt;0,"TERMINACIONES: "&amp;_xlfn.TEXTJOIN(", ",TRUE,IF((BF77:CQ77&lt;1)*(PARTIDAS!$I$2:$AT$2="TERMINACIONES"),PARTIDAS!$I$1:$AT$1,"")),""))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77" s="45" t="str" cm="1">
        <f t="array" ref="CT77">_xlfn.TEXTJOIN(", ",TRUE,IF(SUMPRODUCT((BF77:CQ77&lt;1)*(PARTIDAS!$I$2:$AT$2="OBRA GRUESA"))&gt;0,"OBRA GRUESA",""),IF(SUMPRODUCT((BF77:CQ77&lt;1)*(PARTIDAS!$I$2:$AT$2="SANITARIOS"))&gt;0,"SANITARIOS",""),IF(SUMPRODUCT((BF77:CQ77&lt;1)*(PARTIDAS!$I$2:$AT$2="ELÉCTRICO"))&gt;0,"ELÉCTRICO",""),IF(SUMPRODUCT((BF77:CQ77&lt;1)*(PARTIDAS!$I$2:$AT$2="TERMINACIONES"))&gt;0,"TERMINACIONES",""))</f>
        <v>OBRA GRUESA, SANITARIOS, ELÉCTRICO, TERMINACIONES</v>
      </c>
      <c r="CU77" s="46" cm="1">
        <f t="array" ref="CU77">SUMPRODUCT(--(BF77:CQ77&lt;1))</f>
        <v>34</v>
      </c>
    </row>
    <row r="78" spans="1:99" x14ac:dyDescent="0.25">
      <c r="A78" t="s">
        <v>124</v>
      </c>
      <c r="B78" t="s">
        <v>137</v>
      </c>
      <c r="C78">
        <v>2282600077</v>
      </c>
      <c r="D78" t="s">
        <v>58</v>
      </c>
      <c r="E78" s="2">
        <v>0.38999999999999996</v>
      </c>
      <c r="F78" s="1">
        <v>46160</v>
      </c>
      <c r="G78" s="1">
        <v>46168</v>
      </c>
      <c r="H78" s="1">
        <v>46171</v>
      </c>
      <c r="I78" s="1">
        <v>46186</v>
      </c>
      <c r="J78">
        <v>10</v>
      </c>
      <c r="K78" s="1"/>
      <c r="L78" s="3">
        <v>0.38999999999999996</v>
      </c>
      <c r="M78" s="3">
        <v>0.90697674418604646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 t="str">
        <f>+IF(AVANCE[[#This Row],[% AVANCE]]=100%,"MODULO TERMINADO",IF(AVANCE[[#This Row],[FECHA INICIO REAL]]="","MODULO NO INICIADO","PENDIENTE"))</f>
        <v>PENDIENTE</v>
      </c>
      <c r="BF78" s="3">
        <f>+IF(AVANCE[[#This Row],[VENTANAS]]=8.10810810810811%,100%,AVANCE[[#This Row],[VENTANAS]])</f>
        <v>0</v>
      </c>
      <c r="BG78" s="3">
        <f>+IF(AVANCE[[#This Row],[PISO]]=N$2,100%,AVANCE[[#This Row],[PISO]])</f>
        <v>1</v>
      </c>
      <c r="BH78" s="3">
        <f>+IF(AVANCE[[#This Row],[TABIQUES]]=O$2,100%,AVANCE[[#This Row],[TABIQUES]])</f>
        <v>1</v>
      </c>
      <c r="BI78" s="3">
        <f>+IF(AVANCE[[#This Row],[MUROS]]=P$2,100%,AVANCE[[#This Row],[MUROS]])</f>
        <v>1</v>
      </c>
      <c r="BJ78" s="3">
        <f>+IF(AVANCE[[#This Row],[CIELO]]=Q$2,100%,AVANCE[[#This Row],[CIELO]])</f>
        <v>1</v>
      </c>
      <c r="BK78" s="3">
        <f>+IF(AVANCE[[#This Row],[BALCÓN]]=R$2,100%,AVANCE[[#This Row],[BALCÓN]])</f>
        <v>0</v>
      </c>
      <c r="BL78" s="3">
        <f>+IF(AVANCE[[#This Row],[RED ALCANTARILLADO]]=U$2,100%,AVANCE[[#This Row],[RED ALCANTARILLADO]])</f>
        <v>0</v>
      </c>
      <c r="BM78" s="3">
        <f>+IF(AVANCE[[#This Row],[RED DE AGUA]]=V$2,100%,AVANCE[[#This Row],[RED DE AGUA]])</f>
        <v>0</v>
      </c>
      <c r="BN78" s="3">
        <f>+IF(AVANCE[[#This Row],[VENTILACIONES]]=W$2,100%,AVANCE[[#This Row],[VENTILACIONES]])</f>
        <v>0</v>
      </c>
      <c r="BO78" s="3">
        <f>+IF(AVANCE[[#This Row],[TINA]]=X$2,100%,AVANCE[[#This Row],[TINA]])</f>
        <v>0</v>
      </c>
      <c r="BP78" s="3">
        <f>+IF(AVANCE[[#This Row],[WC]]=Y$2,100%,AVANCE[[#This Row],[WC]])</f>
        <v>0</v>
      </c>
      <c r="BQ78" s="3">
        <f>+IF(AVANCE[[#This Row],[LAVAMANOS / LAVAPLATOS / LAVADERO]]=Z$2,100%,AVANCE[[#This Row],[LAVAMANOS / LAVAPLATOS / LAVADERO]])</f>
        <v>0</v>
      </c>
      <c r="BR78" s="3">
        <f>+IF(AVANCE[[#This Row],[CANALIZACIÓN]]=AC$2,100%,AVANCE[[#This Row],[CANALIZACIÓN]])</f>
        <v>0</v>
      </c>
      <c r="BS78" s="3">
        <f>+IF(AVANCE[[#This Row],[CABLEADO]]=AD$2,100%,AVANCE[[#This Row],[CABLEADO]])</f>
        <v>0</v>
      </c>
      <c r="BT78" s="3">
        <f>+IF(AVANCE[[#This Row],[ARTEFACTOS]]=AE$2,100%,AVANCE[[#This Row],[ARTEFACTOS]])</f>
        <v>0</v>
      </c>
      <c r="BU78" s="3">
        <f>+IF(AVANCE[[#This Row],[TABLERO]]=AF$2,100%,AVANCE[[#This Row],[TABLERO]])</f>
        <v>0</v>
      </c>
      <c r="BV78" s="3">
        <f>+IF(AVANCE[[#This Row],[CAJA PAU]]=AG$2,100%,AVANCE[[#This Row],[CAJA PAU]])</f>
        <v>0</v>
      </c>
      <c r="BW78" s="3">
        <f>+IF(AVANCE[[#This Row],[INSTALACION VINILICO]]=AJ$2,100%,AVANCE[[#This Row],[INSTALACION VINILICO]])</f>
        <v>0</v>
      </c>
      <c r="BX78" s="3">
        <f>+IF(AVANCE[[#This Row],[OSB CUBIERTA]]=AK$2,100%,AVANCE[[#This Row],[OSB CUBIERTA]])</f>
        <v>0</v>
      </c>
      <c r="BY78" s="3">
        <f>+IF(AVANCE[[#This Row],[BARANDA BALCON]]=AL$2,100%,AVANCE[[#This Row],[BARANDA BALCON]])</f>
        <v>0</v>
      </c>
      <c r="BZ78" s="3">
        <f>+IF(AVANCE[[#This Row],[OSB EXTERIOR]]=AM$2,100%,AVANCE[[#This Row],[OSB EXTERIOR]])</f>
        <v>0</v>
      </c>
      <c r="CA78" s="3">
        <f>+IF(AVANCE[[#This Row],[SMART PANEL]]=AN$2,100%,AVANCE[[#This Row],[SMART PANEL]])</f>
        <v>0</v>
      </c>
      <c r="CB78" s="3">
        <f>+IF(AVANCE[[#This Row],[PINTURA EXTERIOR]]=AO$2,100%,AVANCE[[#This Row],[PINTURA EXTERIOR]])</f>
        <v>0</v>
      </c>
      <c r="CC78" s="3">
        <f>+IF(AVANCE[[#This Row],[ZOCALOS LOGIA]]=AP$2,100%,AVANCE[[#This Row],[ZOCALOS LOGIA]])</f>
        <v>0</v>
      </c>
      <c r="CD78" s="3">
        <f>+IF(AVANCE[[#This Row],[MOLDURAS]]=AQ$2,100%,AVANCE[[#This Row],[MOLDURAS]])</f>
        <v>0</v>
      </c>
      <c r="CE78" s="3">
        <f>+IF(AVANCE[[#This Row],[PILASTREO]]=AR$2,100%,AVANCE[[#This Row],[PILASTREO]])</f>
        <v>0</v>
      </c>
      <c r="CF78" s="3">
        <f>+IF(AVANCE[[#This Row],[CELOSIAS]]=AS$2,100%,AVANCE[[#This Row],[CELOSIAS]])</f>
        <v>0</v>
      </c>
      <c r="CG78" s="3">
        <f>+IF(AVANCE[[#This Row],[VENTANAS]]=AT$2,100%,AVANCE[[#This Row],[VENTANAS]])</f>
        <v>0</v>
      </c>
      <c r="CH78" s="3">
        <f>+IF(AVANCE[[#This Row],[PUERTAS ACCESO - LOGIA - BANO]]=AU$2,100%,AVANCE[[#This Row],[PUERTAS ACCESO - LOGIA - BANO]])</f>
        <v>0</v>
      </c>
      <c r="CI78" s="3">
        <f>+IF(AVANCE[[#This Row],[CERRADURAS]]=AV$2,100%,AVANCE[[#This Row],[CERRADURAS]])</f>
        <v>0</v>
      </c>
      <c r="CJ78" s="3">
        <f>+IF(AVANCE[[#This Row],[REVESTIMIENTO INTERIOR ZONA SECA]]=AW$2,100%,AVANCE[[#This Row],[REVESTIMIENTO INTERIOR ZONA SECA]])</f>
        <v>0</v>
      </c>
      <c r="CK78" s="3">
        <f>+IF(AVANCE[[#This Row],[REVESTIMIENTO INTERIOR ZONAS HUMEDAS]]=AX$2,100%,AVANCE[[#This Row],[REVESTIMIENTO INTERIOR ZONAS HUMEDAS]])</f>
        <v>0</v>
      </c>
      <c r="CL78" s="3">
        <f>+IF(AVANCE[[#This Row],[MEMBRANA CIELO]]=AY$2,100%,AVANCE[[#This Row],[MEMBRANA CIELO]])</f>
        <v>0</v>
      </c>
      <c r="CM78" s="3">
        <f>+IF(AVANCE[[#This Row],[LIMPIEZA FINAL]]=AZ$2,100%,AVANCE[[#This Row],[LIMPIEZA FINAL]])</f>
        <v>0</v>
      </c>
      <c r="CN78" s="3">
        <f>+IF(AVANCE[[#This Row],[PUERTAS DORMITORIO]]=BA$2,100%,AVANCE[[#This Row],[PUERTAS DORMITORIO]])</f>
        <v>0</v>
      </c>
      <c r="CO78" s="3">
        <f>+IF(AVANCE[[#This Row],[REVESTIMIENTO INTERIOR BANO]]=BB$2,100%,AVANCE[[#This Row],[REVESTIMIENTO INTERIOR BANO]])</f>
        <v>0</v>
      </c>
      <c r="CP78" s="3">
        <f>+IF(AVANCE[[#This Row],[MUEBLE LAVAPLATOS]]=BC$2,100%,AVANCE[[#This Row],[MUEBLE LAVAPLATOS]])</f>
        <v>0</v>
      </c>
      <c r="CQ78" s="3">
        <f>+IF(AVANCE[[#This Row],[IMPERMEABILIZACION BANO - COCINA LOGIA]]=BD$2,100%,AVANCE[[#This Row],[IMPERMEABILIZACION BANO - COCINA LOGIA]])</f>
        <v>0</v>
      </c>
      <c r="CR78" s="40">
        <f ca="1">+IF(AVANCE[[#This Row],[ESTADO MODULO]]="PENDIENTE",(TODAY()-AVANCE[[#This Row],[FECHA TERMINO  PLANIFICADO]]),0)</f>
        <v>-5</v>
      </c>
      <c r="CS78" s="42" t="str" cm="1">
        <f t="array" ref="CS78">_xlfn.TEXTJOIN(" | ",TRUE,IF(SUMPRODUCT((BF78:CQ78&lt;1)*(PARTIDAS!$I$2:$AT$2="OBRA GRUESA"))&gt;0,"OBRA GRUESA: "&amp;_xlfn.TEXTJOIN(", ",TRUE,IF((BF78:CQ78&lt;1)*(PARTIDAS!$I$2:$AT$2="OBRA GRUESA"),PARTIDAS!$I$1:$AT$1,"")),""),IF(SUMPRODUCT((BF78:CQ78&lt;1)*(PARTIDAS!$I$2:$AT$2="SANITARIOS"))&gt;0,"SANITARIOS: "&amp;_xlfn.TEXTJOIN(", ",TRUE,IF((BF78:CQ78&lt;1)*(PARTIDAS!$I$2:$AT$2="SANITARIOS"),PARTIDAS!$I$1:$AT$1,"")),""),IF(SUMPRODUCT((BF78:CQ78&lt;1)*(PARTIDAS!$I$2:$AT$2="ELÉCTRICO"))&gt;0,"ELÉCTRICO: "&amp;_xlfn.TEXTJOIN(", ",TRUE,IF((BF78:CQ78&lt;1)*(PARTIDAS!$I$2:$AT$2="ELÉCTRICO"),PARTIDAS!$I$1:$AT$1,"")),""),IF(SUMPRODUCT((BF78:CQ78&lt;1)*(PARTIDAS!$I$2:$AT$2="TERMINACIONES"))&gt;0,"TERMINACIONES: "&amp;_xlfn.TEXTJOIN(", ",TRUE,IF((BF78:CQ78&lt;1)*(PARTIDAS!$I$2:$AT$2="TERMINACIONES"),PARTIDAS!$I$1:$AT$1,"")),""))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78" s="45" t="str" cm="1">
        <f t="array" ref="CT78">_xlfn.TEXTJOIN(", ",TRUE,IF(SUMPRODUCT((BF78:CQ78&lt;1)*(PARTIDAS!$I$2:$AT$2="OBRA GRUESA"))&gt;0,"OBRA GRUESA",""),IF(SUMPRODUCT((BF78:CQ78&lt;1)*(PARTIDAS!$I$2:$AT$2="SANITARIOS"))&gt;0,"SANITARIOS",""),IF(SUMPRODUCT((BF78:CQ78&lt;1)*(PARTIDAS!$I$2:$AT$2="ELÉCTRICO"))&gt;0,"ELÉCTRICO",""),IF(SUMPRODUCT((BF78:CQ78&lt;1)*(PARTIDAS!$I$2:$AT$2="TERMINACIONES"))&gt;0,"TERMINACIONES",""))</f>
        <v>OBRA GRUESA, SANITARIOS, ELÉCTRICO, TERMINACIONES</v>
      </c>
      <c r="CU78" s="46" cm="1">
        <f t="array" ref="CU78">SUMPRODUCT(--(BF78:CQ78&lt;1))</f>
        <v>34</v>
      </c>
    </row>
    <row r="79" spans="1:99" x14ac:dyDescent="0.25">
      <c r="A79" t="s">
        <v>124</v>
      </c>
      <c r="B79" t="s">
        <v>138</v>
      </c>
      <c r="C79">
        <v>2302600078</v>
      </c>
      <c r="D79" t="s">
        <v>60</v>
      </c>
      <c r="E79" s="2">
        <v>0.56999999999999995</v>
      </c>
      <c r="F79" s="1">
        <v>46160</v>
      </c>
      <c r="G79" s="1">
        <v>46158</v>
      </c>
      <c r="H79" s="1">
        <v>46176</v>
      </c>
      <c r="I79" s="1">
        <v>46196</v>
      </c>
      <c r="J79">
        <v>5</v>
      </c>
      <c r="K79" s="1"/>
      <c r="L79" s="3">
        <v>0.38999999999999996</v>
      </c>
      <c r="M79" s="3">
        <v>0.90697674418604646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0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 s="3" t="str">
        <f>+IF(AVANCE[[#This Row],[% AVANCE]]=100%,"MODULO TERMINADO",IF(AVANCE[[#This Row],[FECHA INICIO REAL]]="","MODULO NO INICIADO","PENDIENTE"))</f>
        <v>PENDIENTE</v>
      </c>
      <c r="BF79" s="3">
        <f>+IF(AVANCE[[#This Row],[VENTANAS]]=8.10810810810811%,100%,AVANCE[[#This Row],[VENTANAS]])</f>
        <v>0</v>
      </c>
      <c r="BG79" s="3">
        <f>+IF(AVANCE[[#This Row],[PISO]]=N$2,100%,AVANCE[[#This Row],[PISO]])</f>
        <v>1</v>
      </c>
      <c r="BH79" s="3">
        <f>+IF(AVANCE[[#This Row],[TABIQUES]]=O$2,100%,AVANCE[[#This Row],[TABIQUES]])</f>
        <v>1</v>
      </c>
      <c r="BI79" s="3">
        <f>+IF(AVANCE[[#This Row],[MUROS]]=P$2,100%,AVANCE[[#This Row],[MUROS]])</f>
        <v>1</v>
      </c>
      <c r="BJ79" s="3">
        <f>+IF(AVANCE[[#This Row],[CIELO]]=Q$2,100%,AVANCE[[#This Row],[CIELO]])</f>
        <v>1</v>
      </c>
      <c r="BK79" s="3">
        <f>+IF(AVANCE[[#This Row],[BALCÓN]]=R$2,100%,AVANCE[[#This Row],[BALCÓN]])</f>
        <v>0</v>
      </c>
      <c r="BL79" s="3">
        <f>+IF(AVANCE[[#This Row],[RED ALCANTARILLADO]]=U$2,100%,AVANCE[[#This Row],[RED ALCANTARILLADO]])</f>
        <v>1</v>
      </c>
      <c r="BM79" s="3">
        <f>+IF(AVANCE[[#This Row],[RED DE AGUA]]=V$2,100%,AVANCE[[#This Row],[RED DE AGUA]])</f>
        <v>1</v>
      </c>
      <c r="BN79" s="3">
        <f>+IF(AVANCE[[#This Row],[VENTILACIONES]]=W$2,100%,AVANCE[[#This Row],[VENTILACIONES]])</f>
        <v>0</v>
      </c>
      <c r="BO79" s="3">
        <f>+IF(AVANCE[[#This Row],[TINA]]=X$2,100%,AVANCE[[#This Row],[TINA]])</f>
        <v>0</v>
      </c>
      <c r="BP79" s="3">
        <f>+IF(AVANCE[[#This Row],[WC]]=Y$2,100%,AVANCE[[#This Row],[WC]])</f>
        <v>0</v>
      </c>
      <c r="BQ79" s="3">
        <f>+IF(AVANCE[[#This Row],[LAVAMANOS / LAVAPLATOS / LAVADERO]]=Z$2,100%,AVANCE[[#This Row],[LAVAMANOS / LAVAPLATOS / LAVADERO]])</f>
        <v>0</v>
      </c>
      <c r="BR79" s="3">
        <f>+IF(AVANCE[[#This Row],[CANALIZACIÓN]]=AC$2,100%,AVANCE[[#This Row],[CANALIZACIÓN]])</f>
        <v>1</v>
      </c>
      <c r="BS79" s="3">
        <f>+IF(AVANCE[[#This Row],[CABLEADO]]=AD$2,100%,AVANCE[[#This Row],[CABLEADO]])</f>
        <v>0</v>
      </c>
      <c r="BT79" s="3">
        <f>+IF(AVANCE[[#This Row],[ARTEFACTOS]]=AE$2,100%,AVANCE[[#This Row],[ARTEFACTOS]])</f>
        <v>0</v>
      </c>
      <c r="BU79" s="3">
        <f>+IF(AVANCE[[#This Row],[TABLERO]]=AF$2,100%,AVANCE[[#This Row],[TABLERO]])</f>
        <v>0</v>
      </c>
      <c r="BV79" s="3">
        <f>+IF(AVANCE[[#This Row],[CAJA PAU]]=AG$2,100%,AVANCE[[#This Row],[CAJA PAU]])</f>
        <v>0</v>
      </c>
      <c r="BW79" s="3">
        <f>+IF(AVANCE[[#This Row],[INSTALACION VINILICO]]=AJ$2,100%,AVANCE[[#This Row],[INSTALACION VINILICO]])</f>
        <v>0</v>
      </c>
      <c r="BX79" s="3">
        <f>+IF(AVANCE[[#This Row],[OSB CUBIERTA]]=AK$2,100%,AVANCE[[#This Row],[OSB CUBIERTA]])</f>
        <v>1</v>
      </c>
      <c r="BY79" s="3">
        <f>+IF(AVANCE[[#This Row],[BARANDA BALCON]]=AL$2,100%,AVANCE[[#This Row],[BARANDA BALCON]])</f>
        <v>0</v>
      </c>
      <c r="BZ79" s="3">
        <f>+IF(AVANCE[[#This Row],[OSB EXTERIOR]]=AM$2,100%,AVANCE[[#This Row],[OSB EXTERIOR]])</f>
        <v>1</v>
      </c>
      <c r="CA79" s="3">
        <f>+IF(AVANCE[[#This Row],[SMART PANEL]]=AN$2,100%,AVANCE[[#This Row],[SMART PANEL]])</f>
        <v>0</v>
      </c>
      <c r="CB79" s="3">
        <f>+IF(AVANCE[[#This Row],[PINTURA EXTERIOR]]=AO$2,100%,AVANCE[[#This Row],[PINTURA EXTERIOR]])</f>
        <v>0</v>
      </c>
      <c r="CC79" s="3">
        <f>+IF(AVANCE[[#This Row],[ZOCALOS LOGIA]]=AP$2,100%,AVANCE[[#This Row],[ZOCALOS LOGIA]])</f>
        <v>0</v>
      </c>
      <c r="CD79" s="3">
        <f>+IF(AVANCE[[#This Row],[MOLDURAS]]=AQ$2,100%,AVANCE[[#This Row],[MOLDURAS]])</f>
        <v>0</v>
      </c>
      <c r="CE79" s="3">
        <f>+IF(AVANCE[[#This Row],[PILASTREO]]=AR$2,100%,AVANCE[[#This Row],[PILASTREO]])</f>
        <v>0</v>
      </c>
      <c r="CF79" s="3">
        <f>+IF(AVANCE[[#This Row],[CELOSIAS]]=AS$2,100%,AVANCE[[#This Row],[CELOSIAS]])</f>
        <v>0</v>
      </c>
      <c r="CG79" s="3">
        <f>+IF(AVANCE[[#This Row],[VENTANAS]]=AT$2,100%,AVANCE[[#This Row],[VENTANAS]])</f>
        <v>0</v>
      </c>
      <c r="CH79" s="3">
        <f>+IF(AVANCE[[#This Row],[PUERTAS ACCESO - LOGIA - BANO]]=AU$2,100%,AVANCE[[#This Row],[PUERTAS ACCESO - LOGIA - BANO]])</f>
        <v>0</v>
      </c>
      <c r="CI79" s="3">
        <f>+IF(AVANCE[[#This Row],[CERRADURAS]]=AV$2,100%,AVANCE[[#This Row],[CERRADURAS]])</f>
        <v>0</v>
      </c>
      <c r="CJ79" s="3">
        <f>+IF(AVANCE[[#This Row],[REVESTIMIENTO INTERIOR ZONA SECA]]=AW$2,100%,AVANCE[[#This Row],[REVESTIMIENTO INTERIOR ZONA SECA]])</f>
        <v>1</v>
      </c>
      <c r="CK79" s="3">
        <f>+IF(AVANCE[[#This Row],[REVESTIMIENTO INTERIOR ZONAS HUMEDAS]]=AX$2,100%,AVANCE[[#This Row],[REVESTIMIENTO INTERIOR ZONAS HUMEDAS]])</f>
        <v>1</v>
      </c>
      <c r="CL79" s="3">
        <f>+IF(AVANCE[[#This Row],[MEMBRANA CIELO]]=AY$2,100%,AVANCE[[#This Row],[MEMBRANA CIELO]])</f>
        <v>1</v>
      </c>
      <c r="CM79" s="3">
        <f>+IF(AVANCE[[#This Row],[LIMPIEZA FINAL]]=AZ$2,100%,AVANCE[[#This Row],[LIMPIEZA FINAL]])</f>
        <v>0</v>
      </c>
      <c r="CN79" s="3">
        <f>+IF(AVANCE[[#This Row],[PUERTAS DORMITORIO]]=BA$2,100%,AVANCE[[#This Row],[PUERTAS DORMITORIO]])</f>
        <v>0</v>
      </c>
      <c r="CO79" s="3">
        <f>+IF(AVANCE[[#This Row],[REVESTIMIENTO INTERIOR BANO]]=BB$2,100%,AVANCE[[#This Row],[REVESTIMIENTO INTERIOR BANO]])</f>
        <v>0</v>
      </c>
      <c r="CP79" s="3">
        <f>+IF(AVANCE[[#This Row],[MUEBLE LAVAPLATOS]]=BC$2,100%,AVANCE[[#This Row],[MUEBLE LAVAPLATOS]])</f>
        <v>0</v>
      </c>
      <c r="CQ79" s="3">
        <f>+IF(AVANCE[[#This Row],[IMPERMEABILIZACION BANO - COCINA LOGIA]]=BD$2,100%,AVANCE[[#This Row],[IMPERMEABILIZACION BANO - COCINA LOGIA]])</f>
        <v>1</v>
      </c>
      <c r="CR79" s="40">
        <f ca="1">+IF(AVANCE[[#This Row],[ESTADO MODULO]]="PENDIENTE",(TODAY()-AVANCE[[#This Row],[FECHA TERMINO  PLANIFICADO]]),0)</f>
        <v>-15</v>
      </c>
      <c r="CS79" s="42" t="str" cm="1">
        <f t="array" ref="CS79">_xlfn.TEXTJOIN(" | ",TRUE,IF(SUMPRODUCT((BF79:CQ79&lt;1)*(PARTIDAS!$I$2:$AT$2="OBRA GRUESA"))&gt;0,"OBRA GRUESA: "&amp;_xlfn.TEXTJOIN(", ",TRUE,IF((BF79:CQ79&lt;1)*(PARTIDAS!$I$2:$AT$2="OBRA GRUESA"),PARTIDAS!$I$1:$AT$1,"")),""),IF(SUMPRODUCT((BF79:CQ79&lt;1)*(PARTIDAS!$I$2:$AT$2="SANITARIOS"))&gt;0,"SANITARIOS: "&amp;_xlfn.TEXTJOIN(", ",TRUE,IF((BF79:CQ79&lt;1)*(PARTIDAS!$I$2:$AT$2="SANITARIOS"),PARTIDAS!$I$1:$AT$1,"")),""),IF(SUMPRODUCT((BF79:CQ79&lt;1)*(PARTIDAS!$I$2:$AT$2="ELÉCTRICO"))&gt;0,"ELÉCTRICO: "&amp;_xlfn.TEXTJOIN(", ",TRUE,IF((BF79:CQ79&lt;1)*(PARTIDAS!$I$2:$AT$2="ELÉCTRICO"),PARTIDAS!$I$1:$AT$1,"")),""),IF(SUMPRODUCT((BF79:CQ79&lt;1)*(PARTIDAS!$I$2:$AT$2="TERMINACIONES"))&gt;0,"TERMINACIONES: "&amp;_xlfn.TEXTJOIN(", ",TRUE,IF((BF79:CQ79&lt;1)*(PARTIDAS!$I$2:$AT$2="TERMINACIONES"),PARTIDAS!$I$1:$AT$1,"")),""))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T79" s="45" t="str" cm="1">
        <f t="array" ref="CT79">_xlfn.TEXTJOIN(", ",TRUE,IF(SUMPRODUCT((BF79:CQ79&lt;1)*(PARTIDAS!$I$2:$AT$2="OBRA GRUESA"))&gt;0,"OBRA GRUESA",""),IF(SUMPRODUCT((BF79:CQ79&lt;1)*(PARTIDAS!$I$2:$AT$2="SANITARIOS"))&gt;0,"SANITARIOS",""),IF(SUMPRODUCT((BF79:CQ79&lt;1)*(PARTIDAS!$I$2:$AT$2="ELÉCTRICO"))&gt;0,"ELÉCTRICO",""),IF(SUMPRODUCT((BF79:CQ79&lt;1)*(PARTIDAS!$I$2:$AT$2="TERMINACIONES"))&gt;0,"TERMINACIONES",""))</f>
        <v>OBRA GRUESA, SANITARIOS, ELÉCTRICO, TERMINACIONES</v>
      </c>
      <c r="CU79" s="46" cm="1">
        <f t="array" ref="CU79">SUMPRODUCT(--(BF79:CQ79&lt;1))</f>
        <v>25</v>
      </c>
    </row>
    <row r="80" spans="1:99" x14ac:dyDescent="0.25">
      <c r="A80" t="s">
        <v>124</v>
      </c>
      <c r="B80" t="s">
        <v>139</v>
      </c>
      <c r="C80">
        <v>2302600079</v>
      </c>
      <c r="D80" t="s">
        <v>60</v>
      </c>
      <c r="E80" s="2">
        <v>0.49999999999999994</v>
      </c>
      <c r="F80" s="1">
        <v>46161</v>
      </c>
      <c r="G80" s="1">
        <v>46162</v>
      </c>
      <c r="H80" s="1">
        <v>46176</v>
      </c>
      <c r="I80" s="1">
        <v>46197</v>
      </c>
      <c r="J80">
        <v>5</v>
      </c>
      <c r="K80" s="1"/>
      <c r="L80" s="3">
        <v>0.38999999999999996</v>
      </c>
      <c r="M80" s="3">
        <v>0.90697674418604646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0</v>
      </c>
      <c r="S80" s="3">
        <v>1.9999999999999997E-2</v>
      </c>
      <c r="T80" s="3">
        <v>0.22222222222222221</v>
      </c>
      <c r="U80" s="3">
        <v>0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5.9999999999999984E-2</v>
      </c>
      <c r="AI80" s="3">
        <v>0.16216216216216212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2.7027027027027018E-2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 t="str">
        <f>+IF(AVANCE[[#This Row],[% AVANCE]]=100%,"MODULO TERMINADO",IF(AVANCE[[#This Row],[FECHA INICIO REAL]]="","MODULO NO INICIADO","PENDIENTE"))</f>
        <v>PENDIENTE</v>
      </c>
      <c r="BF80" s="3">
        <f>+IF(AVANCE[[#This Row],[VENTANAS]]=8.10810810810811%,100%,AVANCE[[#This Row],[VENTANAS]])</f>
        <v>0</v>
      </c>
      <c r="BG80" s="3">
        <f>+IF(AVANCE[[#This Row],[PISO]]=N$2,100%,AVANCE[[#This Row],[PISO]])</f>
        <v>1</v>
      </c>
      <c r="BH80" s="3">
        <f>+IF(AVANCE[[#This Row],[TABIQUES]]=O$2,100%,AVANCE[[#This Row],[TABIQUES]])</f>
        <v>1</v>
      </c>
      <c r="BI80" s="3">
        <f>+IF(AVANCE[[#This Row],[MUROS]]=P$2,100%,AVANCE[[#This Row],[MUROS]])</f>
        <v>1</v>
      </c>
      <c r="BJ80" s="3">
        <f>+IF(AVANCE[[#This Row],[CIELO]]=Q$2,100%,AVANCE[[#This Row],[CIELO]])</f>
        <v>1</v>
      </c>
      <c r="BK80" s="3">
        <f>+IF(AVANCE[[#This Row],[BALCÓN]]=R$2,100%,AVANCE[[#This Row],[BALCÓN]])</f>
        <v>0</v>
      </c>
      <c r="BL80" s="3">
        <f>+IF(AVANCE[[#This Row],[RED ALCANTARILLADO]]=U$2,100%,AVANCE[[#This Row],[RED ALCANTARILLADO]])</f>
        <v>0</v>
      </c>
      <c r="BM80" s="3">
        <f>+IF(AVANCE[[#This Row],[RED DE AGUA]]=V$2,100%,AVANCE[[#This Row],[RED DE AGUA]])</f>
        <v>1</v>
      </c>
      <c r="BN80" s="3">
        <f>+IF(AVANCE[[#This Row],[VENTILACIONES]]=W$2,100%,AVANCE[[#This Row],[VENTILACIONES]])</f>
        <v>0</v>
      </c>
      <c r="BO80" s="3">
        <f>+IF(AVANCE[[#This Row],[TINA]]=X$2,100%,AVANCE[[#This Row],[TINA]])</f>
        <v>0</v>
      </c>
      <c r="BP80" s="3">
        <f>+IF(AVANCE[[#This Row],[WC]]=Y$2,100%,AVANCE[[#This Row],[WC]])</f>
        <v>0</v>
      </c>
      <c r="BQ80" s="3">
        <f>+IF(AVANCE[[#This Row],[LAVAMANOS / LAVAPLATOS / LAVADERO]]=Z$2,100%,AVANCE[[#This Row],[LAVAMANOS / LAVAPLATOS / LAVADERO]])</f>
        <v>0</v>
      </c>
      <c r="BR80" s="3">
        <f>+IF(AVANCE[[#This Row],[CANALIZACIÓN]]=AC$2,100%,AVANCE[[#This Row],[CANALIZACIÓN]])</f>
        <v>1</v>
      </c>
      <c r="BS80" s="3">
        <f>+IF(AVANCE[[#This Row],[CABLEADO]]=AD$2,100%,AVANCE[[#This Row],[CABLEADO]])</f>
        <v>0</v>
      </c>
      <c r="BT80" s="3">
        <f>+IF(AVANCE[[#This Row],[ARTEFACTOS]]=AE$2,100%,AVANCE[[#This Row],[ARTEFACTOS]])</f>
        <v>0</v>
      </c>
      <c r="BU80" s="3">
        <f>+IF(AVANCE[[#This Row],[TABLERO]]=AF$2,100%,AVANCE[[#This Row],[TABLERO]])</f>
        <v>0</v>
      </c>
      <c r="BV80" s="3">
        <f>+IF(AVANCE[[#This Row],[CAJA PAU]]=AG$2,100%,AVANCE[[#This Row],[CAJA PAU]])</f>
        <v>0</v>
      </c>
      <c r="BW80" s="3">
        <f>+IF(AVANCE[[#This Row],[INSTALACION VINILICO]]=AJ$2,100%,AVANCE[[#This Row],[INSTALACION VINILICO]])</f>
        <v>0</v>
      </c>
      <c r="BX80" s="3">
        <f>+IF(AVANCE[[#This Row],[OSB CUBIERTA]]=AK$2,100%,AVANCE[[#This Row],[OSB CUBIERTA]])</f>
        <v>1</v>
      </c>
      <c r="BY80" s="3">
        <f>+IF(AVANCE[[#This Row],[BARANDA BALCON]]=AL$2,100%,AVANCE[[#This Row],[BARANDA BALCON]])</f>
        <v>0</v>
      </c>
      <c r="BZ80" s="3">
        <f>+IF(AVANCE[[#This Row],[OSB EXTERIOR]]=AM$2,100%,AVANCE[[#This Row],[OSB EXTERIOR]])</f>
        <v>1</v>
      </c>
      <c r="CA80" s="3">
        <f>+IF(AVANCE[[#This Row],[SMART PANEL]]=AN$2,100%,AVANCE[[#This Row],[SMART PANEL]])</f>
        <v>0</v>
      </c>
      <c r="CB80" s="3">
        <f>+IF(AVANCE[[#This Row],[PINTURA EXTERIOR]]=AO$2,100%,AVANCE[[#This Row],[PINTURA EXTERIOR]])</f>
        <v>0</v>
      </c>
      <c r="CC80" s="3">
        <f>+IF(AVANCE[[#This Row],[ZOCALOS LOGIA]]=AP$2,100%,AVANCE[[#This Row],[ZOCALOS LOGIA]])</f>
        <v>0</v>
      </c>
      <c r="CD80" s="3">
        <f>+IF(AVANCE[[#This Row],[MOLDURAS]]=AQ$2,100%,AVANCE[[#This Row],[MOLDURAS]])</f>
        <v>0</v>
      </c>
      <c r="CE80" s="3">
        <f>+IF(AVANCE[[#This Row],[PILASTREO]]=AR$2,100%,AVANCE[[#This Row],[PILASTREO]])</f>
        <v>0</v>
      </c>
      <c r="CF80" s="3">
        <f>+IF(AVANCE[[#This Row],[CELOSIAS]]=AS$2,100%,AVANCE[[#This Row],[CELOSIAS]])</f>
        <v>0</v>
      </c>
      <c r="CG80" s="3">
        <f>+IF(AVANCE[[#This Row],[VENTANAS]]=AT$2,100%,AVANCE[[#This Row],[VENTANAS]])</f>
        <v>0</v>
      </c>
      <c r="CH80" s="3">
        <f>+IF(AVANCE[[#This Row],[PUERTAS ACCESO - LOGIA - BANO]]=AU$2,100%,AVANCE[[#This Row],[PUERTAS ACCESO - LOGIA - BANO]])</f>
        <v>0</v>
      </c>
      <c r="CI80" s="3">
        <f>+IF(AVANCE[[#This Row],[CERRADURAS]]=AV$2,100%,AVANCE[[#This Row],[CERRADURAS]])</f>
        <v>0</v>
      </c>
      <c r="CJ80" s="3">
        <f>+IF(AVANCE[[#This Row],[REVESTIMIENTO INTERIOR ZONA SECA]]=AW$2,100%,AVANCE[[#This Row],[REVESTIMIENTO INTERIOR ZONA SECA]])</f>
        <v>0</v>
      </c>
      <c r="CK80" s="3">
        <f>+IF(AVANCE[[#This Row],[REVESTIMIENTO INTERIOR ZONAS HUMEDAS]]=AX$2,100%,AVANCE[[#This Row],[REVESTIMIENTO INTERIOR ZONAS HUMEDAS]])</f>
        <v>0</v>
      </c>
      <c r="CL80" s="3">
        <f>+IF(AVANCE[[#This Row],[MEMBRANA CIELO]]=AY$2,100%,AVANCE[[#This Row],[MEMBRANA CIELO]])</f>
        <v>1</v>
      </c>
      <c r="CM80" s="3">
        <f>+IF(AVANCE[[#This Row],[LIMPIEZA FINAL]]=AZ$2,100%,AVANCE[[#This Row],[LIMPIEZA FINAL]])</f>
        <v>0</v>
      </c>
      <c r="CN80" s="3">
        <f>+IF(AVANCE[[#This Row],[PUERTAS DORMITORIO]]=BA$2,100%,AVANCE[[#This Row],[PUERTAS DORMITORIO]])</f>
        <v>0</v>
      </c>
      <c r="CO80" s="3">
        <f>+IF(AVANCE[[#This Row],[REVESTIMIENTO INTERIOR BANO]]=BB$2,100%,AVANCE[[#This Row],[REVESTIMIENTO INTERIOR BANO]])</f>
        <v>0</v>
      </c>
      <c r="CP80" s="3">
        <f>+IF(AVANCE[[#This Row],[MUEBLE LAVAPLATOS]]=BC$2,100%,AVANCE[[#This Row],[MUEBLE LAVAPLATOS]])</f>
        <v>0</v>
      </c>
      <c r="CQ80" s="3">
        <f>+IF(AVANCE[[#This Row],[IMPERMEABILIZACION BANO - COCINA LOGIA]]=BD$2,100%,AVANCE[[#This Row],[IMPERMEABILIZACION BANO - COCINA LOGIA]])</f>
        <v>0</v>
      </c>
      <c r="CR80" s="40">
        <f ca="1">+IF(AVANCE[[#This Row],[ESTADO MODULO]]="PENDIENTE",(TODAY()-AVANCE[[#This Row],[FECHA TERMINO  PLANIFICADO]]),0)</f>
        <v>-16</v>
      </c>
      <c r="CS80" s="42" t="str" cm="1">
        <f t="array" ref="CS80">_xlfn.TEXTJOIN(" | ",TRUE,IF(SUMPRODUCT((BF80:CQ80&lt;1)*(PARTIDAS!$I$2:$AT$2="OBRA GRUESA"))&gt;0,"OBRA GRUESA: "&amp;_xlfn.TEXTJOIN(", ",TRUE,IF((BF80:CQ80&lt;1)*(PARTIDAS!$I$2:$AT$2="OBRA GRUESA"),PARTIDAS!$I$1:$AT$1,"")),""),IF(SUMPRODUCT((BF80:CQ80&lt;1)*(PARTIDAS!$I$2:$AT$2="SANITARIOS"))&gt;0,"SANITARIOS: "&amp;_xlfn.TEXTJOIN(", ",TRUE,IF((BF80:CQ80&lt;1)*(PARTIDAS!$I$2:$AT$2="SANITARIOS"),PARTIDAS!$I$1:$AT$1,"")),""),IF(SUMPRODUCT((BF80:CQ80&lt;1)*(PARTIDAS!$I$2:$AT$2="ELÉCTRICO"))&gt;0,"ELÉCTRICO: "&amp;_xlfn.TEXTJOIN(", ",TRUE,IF((BF80:CQ80&lt;1)*(PARTIDAS!$I$2:$AT$2="ELÉCTRICO"),PARTIDAS!$I$1:$AT$1,"")),""),IF(SUMPRODUCT((BF80:CQ80&lt;1)*(PARTIDAS!$I$2:$AT$2="TERMINACIONES"))&gt;0,"TERMINACIONES: "&amp;_xlfn.TEXTJOIN(", ",TRUE,IF((BF80:CQ80&lt;1)*(PARTIDAS!$I$2:$AT$2="TERMINACIONES"),PARTIDAS!$I$1:$AT$1,"")),""))</f>
        <v>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T80" s="45" t="str" cm="1">
        <f t="array" ref="CT80">_xlfn.TEXTJOIN(", ",TRUE,IF(SUMPRODUCT((BF80:CQ80&lt;1)*(PARTIDAS!$I$2:$AT$2="OBRA GRUESA"))&gt;0,"OBRA GRUESA",""),IF(SUMPRODUCT((BF80:CQ80&lt;1)*(PARTIDAS!$I$2:$AT$2="SANITARIOS"))&gt;0,"SANITARIOS",""),IF(SUMPRODUCT((BF80:CQ80&lt;1)*(PARTIDAS!$I$2:$AT$2="ELÉCTRICO"))&gt;0,"ELÉCTRICO",""),IF(SUMPRODUCT((BF80:CQ80&lt;1)*(PARTIDAS!$I$2:$AT$2="TERMINACIONES"))&gt;0,"TERMINACIONES",""))</f>
        <v>OBRA GRUESA, SANITARIOS, ELÉCTRICO, TERMINACIONES</v>
      </c>
      <c r="CU80" s="46" cm="1">
        <f t="array" ref="CU80">SUMPRODUCT(--(BF80:CQ80&lt;1))</f>
        <v>29</v>
      </c>
    </row>
    <row r="81" spans="1:99" x14ac:dyDescent="0.25">
      <c r="A81" t="s">
        <v>124</v>
      </c>
      <c r="B81" t="s">
        <v>140</v>
      </c>
      <c r="C81">
        <v>2282600080</v>
      </c>
      <c r="D81" t="s">
        <v>58</v>
      </c>
      <c r="E81" s="2">
        <v>0.7649999999999999</v>
      </c>
      <c r="F81" s="1">
        <v>46161</v>
      </c>
      <c r="G81" s="1">
        <v>46168</v>
      </c>
      <c r="H81" s="1">
        <v>46178</v>
      </c>
      <c r="I81" s="1">
        <v>46187</v>
      </c>
      <c r="J81">
        <v>3</v>
      </c>
      <c r="K81" s="1"/>
      <c r="L81" s="3">
        <v>0.38999999999999996</v>
      </c>
      <c r="M81" s="3">
        <v>0.90697674418604646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0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 s="3" t="str">
        <f>+IF(AVANCE[[#This Row],[% AVANCE]]=100%,"MODULO TERMINADO",IF(AVANCE[[#This Row],[FECHA INICIO REAL]]="","MODULO NO INICIADO","PENDIENTE"))</f>
        <v>PENDIENTE</v>
      </c>
      <c r="BF81" s="3">
        <f>+IF(AVANCE[[#This Row],[VENTANAS]]=8.10810810810811%,100%,AVANCE[[#This Row],[VENTANAS]])</f>
        <v>0</v>
      </c>
      <c r="BG81" s="3">
        <f>+IF(AVANCE[[#This Row],[PISO]]=N$2,100%,AVANCE[[#This Row],[PISO]])</f>
        <v>1</v>
      </c>
      <c r="BH81" s="3">
        <f>+IF(AVANCE[[#This Row],[TABIQUES]]=O$2,100%,AVANCE[[#This Row],[TABIQUES]])</f>
        <v>1</v>
      </c>
      <c r="BI81" s="3">
        <f>+IF(AVANCE[[#This Row],[MUROS]]=P$2,100%,AVANCE[[#This Row],[MUROS]])</f>
        <v>1</v>
      </c>
      <c r="BJ81" s="3">
        <f>+IF(AVANCE[[#This Row],[CIELO]]=Q$2,100%,AVANCE[[#This Row],[CIELO]])</f>
        <v>1</v>
      </c>
      <c r="BK81" s="3">
        <f>+IF(AVANCE[[#This Row],[BALCÓN]]=R$2,100%,AVANCE[[#This Row],[BALCÓN]])</f>
        <v>0</v>
      </c>
      <c r="BL81" s="3">
        <f>+IF(AVANCE[[#This Row],[RED ALCANTARILLADO]]=U$2,100%,AVANCE[[#This Row],[RED ALCANTARILLADO]])</f>
        <v>1</v>
      </c>
      <c r="BM81" s="3">
        <f>+IF(AVANCE[[#This Row],[RED DE AGUA]]=V$2,100%,AVANCE[[#This Row],[RED DE AGUA]])</f>
        <v>1</v>
      </c>
      <c r="BN81" s="3">
        <f>+IF(AVANCE[[#This Row],[VENTILACIONES]]=W$2,100%,AVANCE[[#This Row],[VENTILACIONES]])</f>
        <v>1</v>
      </c>
      <c r="BO81" s="3">
        <f>+IF(AVANCE[[#This Row],[TINA]]=X$2,100%,AVANCE[[#This Row],[TINA]])</f>
        <v>1</v>
      </c>
      <c r="BP81" s="3">
        <f>+IF(AVANCE[[#This Row],[WC]]=Y$2,100%,AVANCE[[#This Row],[WC]])</f>
        <v>1</v>
      </c>
      <c r="BQ81" s="3">
        <f>+IF(AVANCE[[#This Row],[LAVAMANOS / LAVAPLATOS / LAVADERO]]=Z$2,100%,AVANCE[[#This Row],[LAVAMANOS / LAVAPLATOS / LAVADERO]])</f>
        <v>1</v>
      </c>
      <c r="BR81" s="3">
        <f>+IF(AVANCE[[#This Row],[CANALIZACIÓN]]=AC$2,100%,AVANCE[[#This Row],[CANALIZACIÓN]])</f>
        <v>1</v>
      </c>
      <c r="BS81" s="3">
        <f>+IF(AVANCE[[#This Row],[CABLEADO]]=AD$2,100%,AVANCE[[#This Row],[CABLEADO]])</f>
        <v>0</v>
      </c>
      <c r="BT81" s="3">
        <f>+IF(AVANCE[[#This Row],[ARTEFACTOS]]=AE$2,100%,AVANCE[[#This Row],[ARTEFACTOS]])</f>
        <v>0</v>
      </c>
      <c r="BU81" s="3">
        <f>+IF(AVANCE[[#This Row],[TABLERO]]=AF$2,100%,AVANCE[[#This Row],[TABLERO]])</f>
        <v>1</v>
      </c>
      <c r="BV81" s="3">
        <f>+IF(AVANCE[[#This Row],[CAJA PAU]]=AG$2,100%,AVANCE[[#This Row],[CAJA PAU]])</f>
        <v>1</v>
      </c>
      <c r="BW81" s="3">
        <f>+IF(AVANCE[[#This Row],[INSTALACION VINILICO]]=AJ$2,100%,AVANCE[[#This Row],[INSTALACION VINILICO]])</f>
        <v>1</v>
      </c>
      <c r="BX81" s="3">
        <f>+IF(AVANCE[[#This Row],[OSB CUBIERTA]]=AK$2,100%,AVANCE[[#This Row],[OSB CUBIERTA]])</f>
        <v>1</v>
      </c>
      <c r="BY81" s="3">
        <f>+IF(AVANCE[[#This Row],[BARANDA BALCON]]=AL$2,100%,AVANCE[[#This Row],[BARANDA BALCON]])</f>
        <v>1</v>
      </c>
      <c r="BZ81" s="3">
        <f>+IF(AVANCE[[#This Row],[OSB EXTERIOR]]=AM$2,100%,AVANCE[[#This Row],[OSB EXTERIOR]])</f>
        <v>1</v>
      </c>
      <c r="CA81" s="3">
        <f>+IF(AVANCE[[#This Row],[SMART PANEL]]=AN$2,100%,AVANCE[[#This Row],[SMART PANEL]])</f>
        <v>0</v>
      </c>
      <c r="CB81" s="3">
        <f>+IF(AVANCE[[#This Row],[PINTURA EXTERIOR]]=AO$2,100%,AVANCE[[#This Row],[PINTURA EXTERIOR]])</f>
        <v>0</v>
      </c>
      <c r="CC81" s="3">
        <f>+IF(AVANCE[[#This Row],[ZOCALOS LOGIA]]=AP$2,100%,AVANCE[[#This Row],[ZOCALOS LOGIA]])</f>
        <v>1</v>
      </c>
      <c r="CD81" s="3">
        <f>+IF(AVANCE[[#This Row],[MOLDURAS]]=AQ$2,100%,AVANCE[[#This Row],[MOLDURAS]])</f>
        <v>0</v>
      </c>
      <c r="CE81" s="3">
        <f>+IF(AVANCE[[#This Row],[PILASTREO]]=AR$2,100%,AVANCE[[#This Row],[PILASTREO]])</f>
        <v>0</v>
      </c>
      <c r="CF81" s="3">
        <f>+IF(AVANCE[[#This Row],[CELOSIAS]]=AS$2,100%,AVANCE[[#This Row],[CELOSIAS]])</f>
        <v>0</v>
      </c>
      <c r="CG81" s="3">
        <f>+IF(AVANCE[[#This Row],[VENTANAS]]=AT$2,100%,AVANCE[[#This Row],[VENTANAS]])</f>
        <v>0</v>
      </c>
      <c r="CH81" s="3">
        <f>+IF(AVANCE[[#This Row],[PUERTAS ACCESO - LOGIA - BANO]]=AU$2,100%,AVANCE[[#This Row],[PUERTAS ACCESO - LOGIA - BANO]])</f>
        <v>1</v>
      </c>
      <c r="CI81" s="3">
        <f>+IF(AVANCE[[#This Row],[CERRADURAS]]=AV$2,100%,AVANCE[[#This Row],[CERRADURAS]])</f>
        <v>0</v>
      </c>
      <c r="CJ81" s="3">
        <f>+IF(AVANCE[[#This Row],[REVESTIMIENTO INTERIOR ZONA SECA]]=AW$2,100%,AVANCE[[#This Row],[REVESTIMIENTO INTERIOR ZONA SECA]])</f>
        <v>1</v>
      </c>
      <c r="CK81" s="3">
        <f>+IF(AVANCE[[#This Row],[REVESTIMIENTO INTERIOR ZONAS HUMEDAS]]=AX$2,100%,AVANCE[[#This Row],[REVESTIMIENTO INTERIOR ZONAS HUMEDAS]])</f>
        <v>1</v>
      </c>
      <c r="CL81" s="3">
        <f>+IF(AVANCE[[#This Row],[MEMBRANA CIELO]]=AY$2,100%,AVANCE[[#This Row],[MEMBRANA CIELO]])</f>
        <v>1</v>
      </c>
      <c r="CM81" s="3">
        <f>+IF(AVANCE[[#This Row],[LIMPIEZA FINAL]]=AZ$2,100%,AVANCE[[#This Row],[LIMPIEZA FINAL]])</f>
        <v>0</v>
      </c>
      <c r="CN81" s="3">
        <f>+IF(AVANCE[[#This Row],[PUERTAS DORMITORIO]]=BA$2,100%,AVANCE[[#This Row],[PUERTAS DORMITORIO]])</f>
        <v>0</v>
      </c>
      <c r="CO81" s="3">
        <f>+IF(AVANCE[[#This Row],[REVESTIMIENTO INTERIOR BANO]]=BB$2,100%,AVANCE[[#This Row],[REVESTIMIENTO INTERIOR BANO]])</f>
        <v>1</v>
      </c>
      <c r="CP81" s="3">
        <f>+IF(AVANCE[[#This Row],[MUEBLE LAVAPLATOS]]=BC$2,100%,AVANCE[[#This Row],[MUEBLE LAVAPLATOS]])</f>
        <v>1</v>
      </c>
      <c r="CQ81" s="3">
        <f>+IF(AVANCE[[#This Row],[IMPERMEABILIZACION BANO - COCINA LOGIA]]=BD$2,100%,AVANCE[[#This Row],[IMPERMEABILIZACION BANO - COCINA LOGIA]])</f>
        <v>1</v>
      </c>
      <c r="CR81" s="40">
        <f ca="1">+IF(AVANCE[[#This Row],[ESTADO MODULO]]="PENDIENTE",(TODAY()-AVANCE[[#This Row],[FECHA TERMINO  PLANIFICADO]]),0)</f>
        <v>-6</v>
      </c>
      <c r="CS81" s="42" t="str" cm="1">
        <f t="array" ref="CS81">_xlfn.TEXTJOIN(" | ",TRUE,IF(SUMPRODUCT((BF81:CQ81&lt;1)*(PARTIDAS!$I$2:$AT$2="OBRA GRUESA"))&gt;0,"OBRA GRUESA: "&amp;_xlfn.TEXTJOIN(", ",TRUE,IF((BF81:CQ81&lt;1)*(PARTIDAS!$I$2:$AT$2="OBRA GRUESA"),PARTIDAS!$I$1:$AT$1,"")),""),IF(SUMPRODUCT((BF81:CQ81&lt;1)*(PARTIDAS!$I$2:$AT$2="SANITARIOS"))&gt;0,"SANITARIOS: "&amp;_xlfn.TEXTJOIN(", ",TRUE,IF((BF81:CQ81&lt;1)*(PARTIDAS!$I$2:$AT$2="SANITARIOS"),PARTIDAS!$I$1:$AT$1,"")),""),IF(SUMPRODUCT((BF81:CQ81&lt;1)*(PARTIDAS!$I$2:$AT$2="ELÉCTRICO"))&gt;0,"ELÉCTRICO: "&amp;_xlfn.TEXTJOIN(", ",TRUE,IF((BF81:CQ81&lt;1)*(PARTIDAS!$I$2:$AT$2="ELÉCTRICO"),PARTIDAS!$I$1:$AT$1,"")),""),IF(SUMPRODUCT((BF81:CQ81&lt;1)*(PARTIDAS!$I$2:$AT$2="TERMINACIONES"))&gt;0,"TERMINACIONES: "&amp;_xlfn.TEXTJOIN(", ",TRUE,IF((BF81:CQ81&lt;1)*(PARTIDAS!$I$2:$AT$2="TERMINACIONES"),PARTIDAS!$I$1:$AT$1,"")),""))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T81" s="45" t="str" cm="1">
        <f t="array" ref="CT81">_xlfn.TEXTJOIN(", ",TRUE,IF(SUMPRODUCT((BF81:CQ81&lt;1)*(PARTIDAS!$I$2:$AT$2="OBRA GRUESA"))&gt;0,"OBRA GRUESA",""),IF(SUMPRODUCT((BF81:CQ81&lt;1)*(PARTIDAS!$I$2:$AT$2="SANITARIOS"))&gt;0,"SANITARIOS",""),IF(SUMPRODUCT((BF81:CQ81&lt;1)*(PARTIDAS!$I$2:$AT$2="ELÉCTRICO"))&gt;0,"ELÉCTRICO",""),IF(SUMPRODUCT((BF81:CQ81&lt;1)*(PARTIDAS!$I$2:$AT$2="TERMINACIONES"))&gt;0,"TERMINACIONES",""))</f>
        <v>OBRA GRUESA, ELÉCTRICO, TERMINACIONES</v>
      </c>
      <c r="CU81" s="46" cm="1">
        <f t="array" ref="CU81">SUMPRODUCT(--(BF81:CQ81&lt;1))</f>
        <v>13</v>
      </c>
    </row>
    <row r="82" spans="1:99" x14ac:dyDescent="0.25">
      <c r="A82" t="s">
        <v>124</v>
      </c>
      <c r="B82" t="s">
        <v>141</v>
      </c>
      <c r="C82">
        <v>2282600081</v>
      </c>
      <c r="D82" t="s">
        <v>58</v>
      </c>
      <c r="E82" s="2">
        <v>0.38999999999999996</v>
      </c>
      <c r="F82" s="1">
        <v>46162</v>
      </c>
      <c r="G82" s="1">
        <v>46171</v>
      </c>
      <c r="H82" s="1">
        <v>46171</v>
      </c>
      <c r="I82" s="1">
        <v>46188</v>
      </c>
      <c r="J82">
        <v>10</v>
      </c>
      <c r="K82" s="1"/>
      <c r="L82" s="3">
        <v>0.38999999999999996</v>
      </c>
      <c r="M82" s="3">
        <v>0.90697674418604646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 t="str">
        <f>+IF(AVANCE[[#This Row],[% AVANCE]]=100%,"MODULO TERMINADO",IF(AVANCE[[#This Row],[FECHA INICIO REAL]]="","MODULO NO INICIADO","PENDIENTE"))</f>
        <v>PENDIENTE</v>
      </c>
      <c r="BF82" s="3">
        <f>+IF(AVANCE[[#This Row],[VENTANAS]]=8.10810810810811%,100%,AVANCE[[#This Row],[VENTANAS]])</f>
        <v>0</v>
      </c>
      <c r="BG82" s="3">
        <f>+IF(AVANCE[[#This Row],[PISO]]=N$2,100%,AVANCE[[#This Row],[PISO]])</f>
        <v>1</v>
      </c>
      <c r="BH82" s="3">
        <f>+IF(AVANCE[[#This Row],[TABIQUES]]=O$2,100%,AVANCE[[#This Row],[TABIQUES]])</f>
        <v>1</v>
      </c>
      <c r="BI82" s="3">
        <f>+IF(AVANCE[[#This Row],[MUROS]]=P$2,100%,AVANCE[[#This Row],[MUROS]])</f>
        <v>1</v>
      </c>
      <c r="BJ82" s="3">
        <f>+IF(AVANCE[[#This Row],[CIELO]]=Q$2,100%,AVANCE[[#This Row],[CIELO]])</f>
        <v>1</v>
      </c>
      <c r="BK82" s="3">
        <f>+IF(AVANCE[[#This Row],[BALCÓN]]=R$2,100%,AVANCE[[#This Row],[BALCÓN]])</f>
        <v>0</v>
      </c>
      <c r="BL82" s="3">
        <f>+IF(AVANCE[[#This Row],[RED ALCANTARILLADO]]=U$2,100%,AVANCE[[#This Row],[RED ALCANTARILLADO]])</f>
        <v>0</v>
      </c>
      <c r="BM82" s="3">
        <f>+IF(AVANCE[[#This Row],[RED DE AGUA]]=V$2,100%,AVANCE[[#This Row],[RED DE AGUA]])</f>
        <v>0</v>
      </c>
      <c r="BN82" s="3">
        <f>+IF(AVANCE[[#This Row],[VENTILACIONES]]=W$2,100%,AVANCE[[#This Row],[VENTILACIONES]])</f>
        <v>0</v>
      </c>
      <c r="BO82" s="3">
        <f>+IF(AVANCE[[#This Row],[TINA]]=X$2,100%,AVANCE[[#This Row],[TINA]])</f>
        <v>0</v>
      </c>
      <c r="BP82" s="3">
        <f>+IF(AVANCE[[#This Row],[WC]]=Y$2,100%,AVANCE[[#This Row],[WC]])</f>
        <v>0</v>
      </c>
      <c r="BQ82" s="3">
        <f>+IF(AVANCE[[#This Row],[LAVAMANOS / LAVAPLATOS / LAVADERO]]=Z$2,100%,AVANCE[[#This Row],[LAVAMANOS / LAVAPLATOS / LAVADERO]])</f>
        <v>0</v>
      </c>
      <c r="BR82" s="3">
        <f>+IF(AVANCE[[#This Row],[CANALIZACIÓN]]=AC$2,100%,AVANCE[[#This Row],[CANALIZACIÓN]])</f>
        <v>0</v>
      </c>
      <c r="BS82" s="3">
        <f>+IF(AVANCE[[#This Row],[CABLEADO]]=AD$2,100%,AVANCE[[#This Row],[CABLEADO]])</f>
        <v>0</v>
      </c>
      <c r="BT82" s="3">
        <f>+IF(AVANCE[[#This Row],[ARTEFACTOS]]=AE$2,100%,AVANCE[[#This Row],[ARTEFACTOS]])</f>
        <v>0</v>
      </c>
      <c r="BU82" s="3">
        <f>+IF(AVANCE[[#This Row],[TABLERO]]=AF$2,100%,AVANCE[[#This Row],[TABLERO]])</f>
        <v>0</v>
      </c>
      <c r="BV82" s="3">
        <f>+IF(AVANCE[[#This Row],[CAJA PAU]]=AG$2,100%,AVANCE[[#This Row],[CAJA PAU]])</f>
        <v>0</v>
      </c>
      <c r="BW82" s="3">
        <f>+IF(AVANCE[[#This Row],[INSTALACION VINILICO]]=AJ$2,100%,AVANCE[[#This Row],[INSTALACION VINILICO]])</f>
        <v>0</v>
      </c>
      <c r="BX82" s="3">
        <f>+IF(AVANCE[[#This Row],[OSB CUBIERTA]]=AK$2,100%,AVANCE[[#This Row],[OSB CUBIERTA]])</f>
        <v>0</v>
      </c>
      <c r="BY82" s="3">
        <f>+IF(AVANCE[[#This Row],[BARANDA BALCON]]=AL$2,100%,AVANCE[[#This Row],[BARANDA BALCON]])</f>
        <v>0</v>
      </c>
      <c r="BZ82" s="3">
        <f>+IF(AVANCE[[#This Row],[OSB EXTERIOR]]=AM$2,100%,AVANCE[[#This Row],[OSB EXTERIOR]])</f>
        <v>0</v>
      </c>
      <c r="CA82" s="3">
        <f>+IF(AVANCE[[#This Row],[SMART PANEL]]=AN$2,100%,AVANCE[[#This Row],[SMART PANEL]])</f>
        <v>0</v>
      </c>
      <c r="CB82" s="3">
        <f>+IF(AVANCE[[#This Row],[PINTURA EXTERIOR]]=AO$2,100%,AVANCE[[#This Row],[PINTURA EXTERIOR]])</f>
        <v>0</v>
      </c>
      <c r="CC82" s="3">
        <f>+IF(AVANCE[[#This Row],[ZOCALOS LOGIA]]=AP$2,100%,AVANCE[[#This Row],[ZOCALOS LOGIA]])</f>
        <v>0</v>
      </c>
      <c r="CD82" s="3">
        <f>+IF(AVANCE[[#This Row],[MOLDURAS]]=AQ$2,100%,AVANCE[[#This Row],[MOLDURAS]])</f>
        <v>0</v>
      </c>
      <c r="CE82" s="3">
        <f>+IF(AVANCE[[#This Row],[PILASTREO]]=AR$2,100%,AVANCE[[#This Row],[PILASTREO]])</f>
        <v>0</v>
      </c>
      <c r="CF82" s="3">
        <f>+IF(AVANCE[[#This Row],[CELOSIAS]]=AS$2,100%,AVANCE[[#This Row],[CELOSIAS]])</f>
        <v>0</v>
      </c>
      <c r="CG82" s="3">
        <f>+IF(AVANCE[[#This Row],[VENTANAS]]=AT$2,100%,AVANCE[[#This Row],[VENTANAS]])</f>
        <v>0</v>
      </c>
      <c r="CH82" s="3">
        <f>+IF(AVANCE[[#This Row],[PUERTAS ACCESO - LOGIA - BANO]]=AU$2,100%,AVANCE[[#This Row],[PUERTAS ACCESO - LOGIA - BANO]])</f>
        <v>0</v>
      </c>
      <c r="CI82" s="3">
        <f>+IF(AVANCE[[#This Row],[CERRADURAS]]=AV$2,100%,AVANCE[[#This Row],[CERRADURAS]])</f>
        <v>0</v>
      </c>
      <c r="CJ82" s="3">
        <f>+IF(AVANCE[[#This Row],[REVESTIMIENTO INTERIOR ZONA SECA]]=AW$2,100%,AVANCE[[#This Row],[REVESTIMIENTO INTERIOR ZONA SECA]])</f>
        <v>0</v>
      </c>
      <c r="CK82" s="3">
        <f>+IF(AVANCE[[#This Row],[REVESTIMIENTO INTERIOR ZONAS HUMEDAS]]=AX$2,100%,AVANCE[[#This Row],[REVESTIMIENTO INTERIOR ZONAS HUMEDAS]])</f>
        <v>0</v>
      </c>
      <c r="CL82" s="3">
        <f>+IF(AVANCE[[#This Row],[MEMBRANA CIELO]]=AY$2,100%,AVANCE[[#This Row],[MEMBRANA CIELO]])</f>
        <v>0</v>
      </c>
      <c r="CM82" s="3">
        <f>+IF(AVANCE[[#This Row],[LIMPIEZA FINAL]]=AZ$2,100%,AVANCE[[#This Row],[LIMPIEZA FINAL]])</f>
        <v>0</v>
      </c>
      <c r="CN82" s="3">
        <f>+IF(AVANCE[[#This Row],[PUERTAS DORMITORIO]]=BA$2,100%,AVANCE[[#This Row],[PUERTAS DORMITORIO]])</f>
        <v>0</v>
      </c>
      <c r="CO82" s="3">
        <f>+IF(AVANCE[[#This Row],[REVESTIMIENTO INTERIOR BANO]]=BB$2,100%,AVANCE[[#This Row],[REVESTIMIENTO INTERIOR BANO]])</f>
        <v>0</v>
      </c>
      <c r="CP82" s="3">
        <f>+IF(AVANCE[[#This Row],[MUEBLE LAVAPLATOS]]=BC$2,100%,AVANCE[[#This Row],[MUEBLE LAVAPLATOS]])</f>
        <v>0</v>
      </c>
      <c r="CQ82" s="3">
        <f>+IF(AVANCE[[#This Row],[IMPERMEABILIZACION BANO - COCINA LOGIA]]=BD$2,100%,AVANCE[[#This Row],[IMPERMEABILIZACION BANO - COCINA LOGIA]])</f>
        <v>0</v>
      </c>
      <c r="CR82" s="40">
        <f ca="1">+IF(AVANCE[[#This Row],[ESTADO MODULO]]="PENDIENTE",(TODAY()-AVANCE[[#This Row],[FECHA TERMINO  PLANIFICADO]]),0)</f>
        <v>-7</v>
      </c>
      <c r="CS82" s="42" t="str" cm="1">
        <f t="array" ref="CS82">_xlfn.TEXTJOIN(" | ",TRUE,IF(SUMPRODUCT((BF82:CQ82&lt;1)*(PARTIDAS!$I$2:$AT$2="OBRA GRUESA"))&gt;0,"OBRA GRUESA: "&amp;_xlfn.TEXTJOIN(", ",TRUE,IF((BF82:CQ82&lt;1)*(PARTIDAS!$I$2:$AT$2="OBRA GRUESA"),PARTIDAS!$I$1:$AT$1,"")),""),IF(SUMPRODUCT((BF82:CQ82&lt;1)*(PARTIDAS!$I$2:$AT$2="SANITARIOS"))&gt;0,"SANITARIOS: "&amp;_xlfn.TEXTJOIN(", ",TRUE,IF((BF82:CQ82&lt;1)*(PARTIDAS!$I$2:$AT$2="SANITARIOS"),PARTIDAS!$I$1:$AT$1,"")),""),IF(SUMPRODUCT((BF82:CQ82&lt;1)*(PARTIDAS!$I$2:$AT$2="ELÉCTRICO"))&gt;0,"ELÉCTRICO: "&amp;_xlfn.TEXTJOIN(", ",TRUE,IF((BF82:CQ82&lt;1)*(PARTIDAS!$I$2:$AT$2="ELÉCTRICO"),PARTIDAS!$I$1:$AT$1,"")),""),IF(SUMPRODUCT((BF82:CQ82&lt;1)*(PARTIDAS!$I$2:$AT$2="TERMINACIONES"))&gt;0,"TERMINACIONES: "&amp;_xlfn.TEXTJOIN(", ",TRUE,IF((BF82:CQ82&lt;1)*(PARTIDAS!$I$2:$AT$2="TERMINACIONES"),PARTIDAS!$I$1:$AT$1,"")),""))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82" s="45" t="str" cm="1">
        <f t="array" ref="CT82">_xlfn.TEXTJOIN(", ",TRUE,IF(SUMPRODUCT((BF82:CQ82&lt;1)*(PARTIDAS!$I$2:$AT$2="OBRA GRUESA"))&gt;0,"OBRA GRUESA",""),IF(SUMPRODUCT((BF82:CQ82&lt;1)*(PARTIDAS!$I$2:$AT$2="SANITARIOS"))&gt;0,"SANITARIOS",""),IF(SUMPRODUCT((BF82:CQ82&lt;1)*(PARTIDAS!$I$2:$AT$2="ELÉCTRICO"))&gt;0,"ELÉCTRICO",""),IF(SUMPRODUCT((BF82:CQ82&lt;1)*(PARTIDAS!$I$2:$AT$2="TERMINACIONES"))&gt;0,"TERMINACIONES",""))</f>
        <v>OBRA GRUESA, SANITARIOS, ELÉCTRICO, TERMINACIONES</v>
      </c>
      <c r="CU82" s="46" cm="1">
        <f t="array" ref="CU82">SUMPRODUCT(--(BF82:CQ82&lt;1))</f>
        <v>34</v>
      </c>
    </row>
    <row r="83" spans="1:99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0.41</v>
      </c>
      <c r="F83" s="1">
        <v>46162</v>
      </c>
      <c r="G83" s="1">
        <v>46171</v>
      </c>
      <c r="H83" s="1">
        <v>46178</v>
      </c>
      <c r="I83" s="1">
        <v>46198</v>
      </c>
      <c r="J83">
        <v>3</v>
      </c>
      <c r="K83" s="1"/>
      <c r="L83" s="3">
        <v>0.38999999999999996</v>
      </c>
      <c r="M83" s="3">
        <v>0.90697674418604646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0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 t="str">
        <f>+IF(AVANCE[[#This Row],[% AVANCE]]=100%,"MODULO TERMINADO",IF(AVANCE[[#This Row],[FECHA INICIO REAL]]="","MODULO NO INICIADO","PENDIENTE"))</f>
        <v>PENDIENTE</v>
      </c>
      <c r="BF83" s="3">
        <f>+IF(AVANCE[[#This Row],[VENTANAS]]=8.10810810810811%,100%,AVANCE[[#This Row],[VENTANAS]])</f>
        <v>0</v>
      </c>
      <c r="BG83" s="3">
        <f>+IF(AVANCE[[#This Row],[PISO]]=N$2,100%,AVANCE[[#This Row],[PISO]])</f>
        <v>1</v>
      </c>
      <c r="BH83" s="3">
        <f>+IF(AVANCE[[#This Row],[TABIQUES]]=O$2,100%,AVANCE[[#This Row],[TABIQUES]])</f>
        <v>1</v>
      </c>
      <c r="BI83" s="3">
        <f>+IF(AVANCE[[#This Row],[MUROS]]=P$2,100%,AVANCE[[#This Row],[MUROS]])</f>
        <v>1</v>
      </c>
      <c r="BJ83" s="3">
        <f>+IF(AVANCE[[#This Row],[CIELO]]=Q$2,100%,AVANCE[[#This Row],[CIELO]])</f>
        <v>1</v>
      </c>
      <c r="BK83" s="3">
        <f>+IF(AVANCE[[#This Row],[BALCÓN]]=R$2,100%,AVANCE[[#This Row],[BALCÓN]])</f>
        <v>0</v>
      </c>
      <c r="BL83" s="3">
        <f>+IF(AVANCE[[#This Row],[RED ALCANTARILLADO]]=U$2,100%,AVANCE[[#This Row],[RED ALCANTARILLADO]])</f>
        <v>0</v>
      </c>
      <c r="BM83" s="3">
        <f>+IF(AVANCE[[#This Row],[RED DE AGUA]]=V$2,100%,AVANCE[[#This Row],[RED DE AGUA]])</f>
        <v>1</v>
      </c>
      <c r="BN83" s="3">
        <f>+IF(AVANCE[[#This Row],[VENTILACIONES]]=W$2,100%,AVANCE[[#This Row],[VENTILACIONES]])</f>
        <v>0</v>
      </c>
      <c r="BO83" s="3">
        <f>+IF(AVANCE[[#This Row],[TINA]]=X$2,100%,AVANCE[[#This Row],[TINA]])</f>
        <v>0</v>
      </c>
      <c r="BP83" s="3">
        <f>+IF(AVANCE[[#This Row],[WC]]=Y$2,100%,AVANCE[[#This Row],[WC]])</f>
        <v>0</v>
      </c>
      <c r="BQ83" s="3">
        <f>+IF(AVANCE[[#This Row],[LAVAMANOS / LAVAPLATOS / LAVADERO]]=Z$2,100%,AVANCE[[#This Row],[LAVAMANOS / LAVAPLATOS / LAVADERO]])</f>
        <v>0</v>
      </c>
      <c r="BR83" s="3">
        <f>+IF(AVANCE[[#This Row],[CANALIZACIÓN]]=AC$2,100%,AVANCE[[#This Row],[CANALIZACIÓN]])</f>
        <v>0</v>
      </c>
      <c r="BS83" s="3">
        <f>+IF(AVANCE[[#This Row],[CABLEADO]]=AD$2,100%,AVANCE[[#This Row],[CABLEADO]])</f>
        <v>0</v>
      </c>
      <c r="BT83" s="3">
        <f>+IF(AVANCE[[#This Row],[ARTEFACTOS]]=AE$2,100%,AVANCE[[#This Row],[ARTEFACTOS]])</f>
        <v>0</v>
      </c>
      <c r="BU83" s="3">
        <f>+IF(AVANCE[[#This Row],[TABLERO]]=AF$2,100%,AVANCE[[#This Row],[TABLERO]])</f>
        <v>0</v>
      </c>
      <c r="BV83" s="3">
        <f>+IF(AVANCE[[#This Row],[CAJA PAU]]=AG$2,100%,AVANCE[[#This Row],[CAJA PAU]])</f>
        <v>0</v>
      </c>
      <c r="BW83" s="3">
        <f>+IF(AVANCE[[#This Row],[INSTALACION VINILICO]]=AJ$2,100%,AVANCE[[#This Row],[INSTALACION VINILICO]])</f>
        <v>0</v>
      </c>
      <c r="BX83" s="3">
        <f>+IF(AVANCE[[#This Row],[OSB CUBIERTA]]=AK$2,100%,AVANCE[[#This Row],[OSB CUBIERTA]])</f>
        <v>0</v>
      </c>
      <c r="BY83" s="3">
        <f>+IF(AVANCE[[#This Row],[BARANDA BALCON]]=AL$2,100%,AVANCE[[#This Row],[BARANDA BALCON]])</f>
        <v>0</v>
      </c>
      <c r="BZ83" s="3">
        <f>+IF(AVANCE[[#This Row],[OSB EXTERIOR]]=AM$2,100%,AVANCE[[#This Row],[OSB EXTERIOR]])</f>
        <v>0</v>
      </c>
      <c r="CA83" s="3">
        <f>+IF(AVANCE[[#This Row],[SMART PANEL]]=AN$2,100%,AVANCE[[#This Row],[SMART PANEL]])</f>
        <v>0</v>
      </c>
      <c r="CB83" s="3">
        <f>+IF(AVANCE[[#This Row],[PINTURA EXTERIOR]]=AO$2,100%,AVANCE[[#This Row],[PINTURA EXTERIOR]])</f>
        <v>0</v>
      </c>
      <c r="CC83" s="3">
        <f>+IF(AVANCE[[#This Row],[ZOCALOS LOGIA]]=AP$2,100%,AVANCE[[#This Row],[ZOCALOS LOGIA]])</f>
        <v>0</v>
      </c>
      <c r="CD83" s="3">
        <f>+IF(AVANCE[[#This Row],[MOLDURAS]]=AQ$2,100%,AVANCE[[#This Row],[MOLDURAS]])</f>
        <v>0</v>
      </c>
      <c r="CE83" s="3">
        <f>+IF(AVANCE[[#This Row],[PILASTREO]]=AR$2,100%,AVANCE[[#This Row],[PILASTREO]])</f>
        <v>0</v>
      </c>
      <c r="CF83" s="3">
        <f>+IF(AVANCE[[#This Row],[CELOSIAS]]=AS$2,100%,AVANCE[[#This Row],[CELOSIAS]])</f>
        <v>0</v>
      </c>
      <c r="CG83" s="3">
        <f>+IF(AVANCE[[#This Row],[VENTANAS]]=AT$2,100%,AVANCE[[#This Row],[VENTANAS]])</f>
        <v>0</v>
      </c>
      <c r="CH83" s="3">
        <f>+IF(AVANCE[[#This Row],[PUERTAS ACCESO - LOGIA - BANO]]=AU$2,100%,AVANCE[[#This Row],[PUERTAS ACCESO - LOGIA - BANO]])</f>
        <v>0</v>
      </c>
      <c r="CI83" s="3">
        <f>+IF(AVANCE[[#This Row],[CERRADURAS]]=AV$2,100%,AVANCE[[#This Row],[CERRADURAS]])</f>
        <v>0</v>
      </c>
      <c r="CJ83" s="3">
        <f>+IF(AVANCE[[#This Row],[REVESTIMIENTO INTERIOR ZONA SECA]]=AW$2,100%,AVANCE[[#This Row],[REVESTIMIENTO INTERIOR ZONA SECA]])</f>
        <v>0</v>
      </c>
      <c r="CK83" s="3">
        <f>+IF(AVANCE[[#This Row],[REVESTIMIENTO INTERIOR ZONAS HUMEDAS]]=AX$2,100%,AVANCE[[#This Row],[REVESTIMIENTO INTERIOR ZONAS HUMEDAS]])</f>
        <v>0</v>
      </c>
      <c r="CL83" s="3">
        <f>+IF(AVANCE[[#This Row],[MEMBRANA CIELO]]=AY$2,100%,AVANCE[[#This Row],[MEMBRANA CIELO]])</f>
        <v>0</v>
      </c>
      <c r="CM83" s="3">
        <f>+IF(AVANCE[[#This Row],[LIMPIEZA FINAL]]=AZ$2,100%,AVANCE[[#This Row],[LIMPIEZA FINAL]])</f>
        <v>0</v>
      </c>
      <c r="CN83" s="3">
        <f>+IF(AVANCE[[#This Row],[PUERTAS DORMITORIO]]=BA$2,100%,AVANCE[[#This Row],[PUERTAS DORMITORIO]])</f>
        <v>0</v>
      </c>
      <c r="CO83" s="3">
        <f>+IF(AVANCE[[#This Row],[REVESTIMIENTO INTERIOR BANO]]=BB$2,100%,AVANCE[[#This Row],[REVESTIMIENTO INTERIOR BANO]])</f>
        <v>0</v>
      </c>
      <c r="CP83" s="3">
        <f>+IF(AVANCE[[#This Row],[MUEBLE LAVAPLATOS]]=BC$2,100%,AVANCE[[#This Row],[MUEBLE LAVAPLATOS]])</f>
        <v>0</v>
      </c>
      <c r="CQ83" s="3">
        <f>+IF(AVANCE[[#This Row],[IMPERMEABILIZACION BANO - COCINA LOGIA]]=BD$2,100%,AVANCE[[#This Row],[IMPERMEABILIZACION BANO - COCINA LOGIA]])</f>
        <v>0</v>
      </c>
      <c r="CR83" s="40">
        <f ca="1">+IF(AVANCE[[#This Row],[ESTADO MODULO]]="PENDIENTE",(TODAY()-AVANCE[[#This Row],[FECHA TERMINO  PLANIFICADO]]),0)</f>
        <v>-17</v>
      </c>
      <c r="CS83" s="42" t="str" cm="1">
        <f t="array" ref="CS83">_xlfn.TEXTJOIN(" | ",TRUE,IF(SUMPRODUCT((BF83:CQ83&lt;1)*(PARTIDAS!$I$2:$AT$2="OBRA GRUESA"))&gt;0,"OBRA GRUESA: "&amp;_xlfn.TEXTJOIN(", ",TRUE,IF((BF83:CQ83&lt;1)*(PARTIDAS!$I$2:$AT$2="OBRA GRUESA"),PARTIDAS!$I$1:$AT$1,"")),""),IF(SUMPRODUCT((BF83:CQ83&lt;1)*(PARTIDAS!$I$2:$AT$2="SANITARIOS"))&gt;0,"SANITARIOS: "&amp;_xlfn.TEXTJOIN(", ",TRUE,IF((BF83:CQ83&lt;1)*(PARTIDAS!$I$2:$AT$2="SANITARIOS"),PARTIDAS!$I$1:$AT$1,"")),""),IF(SUMPRODUCT((BF83:CQ83&lt;1)*(PARTIDAS!$I$2:$AT$2="ELÉCTRICO"))&gt;0,"ELÉCTRICO: "&amp;_xlfn.TEXTJOIN(", ",TRUE,IF((BF83:CQ83&lt;1)*(PARTIDAS!$I$2:$AT$2="ELÉCTRICO"),PARTIDAS!$I$1:$AT$1,"")),""),IF(SUMPRODUCT((BF83:CQ83&lt;1)*(PARTIDAS!$I$2:$AT$2="TERMINACIONES"))&gt;0,"TERMINACIONES: "&amp;_xlfn.TEXTJOIN(", ",TRUE,IF((BF83:CQ83&lt;1)*(PARTIDAS!$I$2:$AT$2="TERMINACIONES"),PARTIDAS!$I$1:$AT$1,"")),""))</f>
        <v>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83" s="45" t="str" cm="1">
        <f t="array" ref="CT83">_xlfn.TEXTJOIN(", ",TRUE,IF(SUMPRODUCT((BF83:CQ83&lt;1)*(PARTIDAS!$I$2:$AT$2="OBRA GRUESA"))&gt;0,"OBRA GRUESA",""),IF(SUMPRODUCT((BF83:CQ83&lt;1)*(PARTIDAS!$I$2:$AT$2="SANITARIOS"))&gt;0,"SANITARIOS",""),IF(SUMPRODUCT((BF83:CQ83&lt;1)*(PARTIDAS!$I$2:$AT$2="ELÉCTRICO"))&gt;0,"ELÉCTRICO",""),IF(SUMPRODUCT((BF83:CQ83&lt;1)*(PARTIDAS!$I$2:$AT$2="TERMINACIONES"))&gt;0,"TERMINACIONES",""))</f>
        <v>OBRA GRUESA, SANITARIOS, ELÉCTRICO, TERMINACIONES</v>
      </c>
      <c r="CU83" s="46" cm="1">
        <f t="array" ref="CU83">SUMPRODUCT(--(BF83:CQ83&lt;1))</f>
        <v>33</v>
      </c>
    </row>
    <row r="84" spans="1:99" x14ac:dyDescent="0.25">
      <c r="A84" t="s">
        <v>124</v>
      </c>
      <c r="B84" t="s">
        <v>143</v>
      </c>
      <c r="C84">
        <v>2302600083</v>
      </c>
      <c r="D84" t="s">
        <v>60</v>
      </c>
      <c r="E84" s="2">
        <v>0.38999999999999996</v>
      </c>
      <c r="F84" s="1">
        <v>46164</v>
      </c>
      <c r="G84" s="1">
        <v>46174</v>
      </c>
      <c r="H84" s="1">
        <v>46177</v>
      </c>
      <c r="I84" s="1">
        <v>46200</v>
      </c>
      <c r="J84">
        <v>4</v>
      </c>
      <c r="K84" s="1"/>
      <c r="L84" s="3">
        <v>0.38999999999999996</v>
      </c>
      <c r="M84" s="3">
        <v>0.90697674418604646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 t="str">
        <f>+IF(AVANCE[[#This Row],[% AVANCE]]=100%,"MODULO TERMINADO",IF(AVANCE[[#This Row],[FECHA INICIO REAL]]="","MODULO NO INICIADO","PENDIENTE"))</f>
        <v>PENDIENTE</v>
      </c>
      <c r="BF84" s="3">
        <f>+IF(AVANCE[[#This Row],[VENTANAS]]=8.10810810810811%,100%,AVANCE[[#This Row],[VENTANAS]])</f>
        <v>0</v>
      </c>
      <c r="BG84" s="3">
        <f>+IF(AVANCE[[#This Row],[PISO]]=N$2,100%,AVANCE[[#This Row],[PISO]])</f>
        <v>1</v>
      </c>
      <c r="BH84" s="3">
        <f>+IF(AVANCE[[#This Row],[TABIQUES]]=O$2,100%,AVANCE[[#This Row],[TABIQUES]])</f>
        <v>1</v>
      </c>
      <c r="BI84" s="3">
        <f>+IF(AVANCE[[#This Row],[MUROS]]=P$2,100%,AVANCE[[#This Row],[MUROS]])</f>
        <v>1</v>
      </c>
      <c r="BJ84" s="3">
        <f>+IF(AVANCE[[#This Row],[CIELO]]=Q$2,100%,AVANCE[[#This Row],[CIELO]])</f>
        <v>1</v>
      </c>
      <c r="BK84" s="3">
        <f>+IF(AVANCE[[#This Row],[BALCÓN]]=R$2,100%,AVANCE[[#This Row],[BALCÓN]])</f>
        <v>0</v>
      </c>
      <c r="BL84" s="3">
        <f>+IF(AVANCE[[#This Row],[RED ALCANTARILLADO]]=U$2,100%,AVANCE[[#This Row],[RED ALCANTARILLADO]])</f>
        <v>0</v>
      </c>
      <c r="BM84" s="3">
        <f>+IF(AVANCE[[#This Row],[RED DE AGUA]]=V$2,100%,AVANCE[[#This Row],[RED DE AGUA]])</f>
        <v>0</v>
      </c>
      <c r="BN84" s="3">
        <f>+IF(AVANCE[[#This Row],[VENTILACIONES]]=W$2,100%,AVANCE[[#This Row],[VENTILACIONES]])</f>
        <v>0</v>
      </c>
      <c r="BO84" s="3">
        <f>+IF(AVANCE[[#This Row],[TINA]]=X$2,100%,AVANCE[[#This Row],[TINA]])</f>
        <v>0</v>
      </c>
      <c r="BP84" s="3">
        <f>+IF(AVANCE[[#This Row],[WC]]=Y$2,100%,AVANCE[[#This Row],[WC]])</f>
        <v>0</v>
      </c>
      <c r="BQ84" s="3">
        <f>+IF(AVANCE[[#This Row],[LAVAMANOS / LAVAPLATOS / LAVADERO]]=Z$2,100%,AVANCE[[#This Row],[LAVAMANOS / LAVAPLATOS / LAVADERO]])</f>
        <v>0</v>
      </c>
      <c r="BR84" s="3">
        <f>+IF(AVANCE[[#This Row],[CANALIZACIÓN]]=AC$2,100%,AVANCE[[#This Row],[CANALIZACIÓN]])</f>
        <v>0</v>
      </c>
      <c r="BS84" s="3">
        <f>+IF(AVANCE[[#This Row],[CABLEADO]]=AD$2,100%,AVANCE[[#This Row],[CABLEADO]])</f>
        <v>0</v>
      </c>
      <c r="BT84" s="3">
        <f>+IF(AVANCE[[#This Row],[ARTEFACTOS]]=AE$2,100%,AVANCE[[#This Row],[ARTEFACTOS]])</f>
        <v>0</v>
      </c>
      <c r="BU84" s="3">
        <f>+IF(AVANCE[[#This Row],[TABLERO]]=AF$2,100%,AVANCE[[#This Row],[TABLERO]])</f>
        <v>0</v>
      </c>
      <c r="BV84" s="3">
        <f>+IF(AVANCE[[#This Row],[CAJA PAU]]=AG$2,100%,AVANCE[[#This Row],[CAJA PAU]])</f>
        <v>0</v>
      </c>
      <c r="BW84" s="3">
        <f>+IF(AVANCE[[#This Row],[INSTALACION VINILICO]]=AJ$2,100%,AVANCE[[#This Row],[INSTALACION VINILICO]])</f>
        <v>0</v>
      </c>
      <c r="BX84" s="3">
        <f>+IF(AVANCE[[#This Row],[OSB CUBIERTA]]=AK$2,100%,AVANCE[[#This Row],[OSB CUBIERTA]])</f>
        <v>0</v>
      </c>
      <c r="BY84" s="3">
        <f>+IF(AVANCE[[#This Row],[BARANDA BALCON]]=AL$2,100%,AVANCE[[#This Row],[BARANDA BALCON]])</f>
        <v>0</v>
      </c>
      <c r="BZ84" s="3">
        <f>+IF(AVANCE[[#This Row],[OSB EXTERIOR]]=AM$2,100%,AVANCE[[#This Row],[OSB EXTERIOR]])</f>
        <v>0</v>
      </c>
      <c r="CA84" s="3">
        <f>+IF(AVANCE[[#This Row],[SMART PANEL]]=AN$2,100%,AVANCE[[#This Row],[SMART PANEL]])</f>
        <v>0</v>
      </c>
      <c r="CB84" s="3">
        <f>+IF(AVANCE[[#This Row],[PINTURA EXTERIOR]]=AO$2,100%,AVANCE[[#This Row],[PINTURA EXTERIOR]])</f>
        <v>0</v>
      </c>
      <c r="CC84" s="3">
        <f>+IF(AVANCE[[#This Row],[ZOCALOS LOGIA]]=AP$2,100%,AVANCE[[#This Row],[ZOCALOS LOGIA]])</f>
        <v>0</v>
      </c>
      <c r="CD84" s="3">
        <f>+IF(AVANCE[[#This Row],[MOLDURAS]]=AQ$2,100%,AVANCE[[#This Row],[MOLDURAS]])</f>
        <v>0</v>
      </c>
      <c r="CE84" s="3">
        <f>+IF(AVANCE[[#This Row],[PILASTREO]]=AR$2,100%,AVANCE[[#This Row],[PILASTREO]])</f>
        <v>0</v>
      </c>
      <c r="CF84" s="3">
        <f>+IF(AVANCE[[#This Row],[CELOSIAS]]=AS$2,100%,AVANCE[[#This Row],[CELOSIAS]])</f>
        <v>0</v>
      </c>
      <c r="CG84" s="3">
        <f>+IF(AVANCE[[#This Row],[VENTANAS]]=AT$2,100%,AVANCE[[#This Row],[VENTANAS]])</f>
        <v>0</v>
      </c>
      <c r="CH84" s="3">
        <f>+IF(AVANCE[[#This Row],[PUERTAS ACCESO - LOGIA - BANO]]=AU$2,100%,AVANCE[[#This Row],[PUERTAS ACCESO - LOGIA - BANO]])</f>
        <v>0</v>
      </c>
      <c r="CI84" s="3">
        <f>+IF(AVANCE[[#This Row],[CERRADURAS]]=AV$2,100%,AVANCE[[#This Row],[CERRADURAS]])</f>
        <v>0</v>
      </c>
      <c r="CJ84" s="3">
        <f>+IF(AVANCE[[#This Row],[REVESTIMIENTO INTERIOR ZONA SECA]]=AW$2,100%,AVANCE[[#This Row],[REVESTIMIENTO INTERIOR ZONA SECA]])</f>
        <v>0</v>
      </c>
      <c r="CK84" s="3">
        <f>+IF(AVANCE[[#This Row],[REVESTIMIENTO INTERIOR ZONAS HUMEDAS]]=AX$2,100%,AVANCE[[#This Row],[REVESTIMIENTO INTERIOR ZONAS HUMEDAS]])</f>
        <v>0</v>
      </c>
      <c r="CL84" s="3">
        <f>+IF(AVANCE[[#This Row],[MEMBRANA CIELO]]=AY$2,100%,AVANCE[[#This Row],[MEMBRANA CIELO]])</f>
        <v>0</v>
      </c>
      <c r="CM84" s="3">
        <f>+IF(AVANCE[[#This Row],[LIMPIEZA FINAL]]=AZ$2,100%,AVANCE[[#This Row],[LIMPIEZA FINAL]])</f>
        <v>0</v>
      </c>
      <c r="CN84" s="3">
        <f>+IF(AVANCE[[#This Row],[PUERTAS DORMITORIO]]=BA$2,100%,AVANCE[[#This Row],[PUERTAS DORMITORIO]])</f>
        <v>0</v>
      </c>
      <c r="CO84" s="3">
        <f>+IF(AVANCE[[#This Row],[REVESTIMIENTO INTERIOR BANO]]=BB$2,100%,AVANCE[[#This Row],[REVESTIMIENTO INTERIOR BANO]])</f>
        <v>0</v>
      </c>
      <c r="CP84" s="3">
        <f>+IF(AVANCE[[#This Row],[MUEBLE LAVAPLATOS]]=BC$2,100%,AVANCE[[#This Row],[MUEBLE LAVAPLATOS]])</f>
        <v>0</v>
      </c>
      <c r="CQ84" s="3">
        <f>+IF(AVANCE[[#This Row],[IMPERMEABILIZACION BANO - COCINA LOGIA]]=BD$2,100%,AVANCE[[#This Row],[IMPERMEABILIZACION BANO - COCINA LOGIA]])</f>
        <v>0</v>
      </c>
      <c r="CR84" s="40">
        <f ca="1">+IF(AVANCE[[#This Row],[ESTADO MODULO]]="PENDIENTE",(TODAY()-AVANCE[[#This Row],[FECHA TERMINO  PLANIFICADO]]),0)</f>
        <v>-19</v>
      </c>
      <c r="CS84" s="42" t="str" cm="1">
        <f t="array" ref="CS84">_xlfn.TEXTJOIN(" | ",TRUE,IF(SUMPRODUCT((BF84:CQ84&lt;1)*(PARTIDAS!$I$2:$AT$2="OBRA GRUESA"))&gt;0,"OBRA GRUESA: "&amp;_xlfn.TEXTJOIN(", ",TRUE,IF((BF84:CQ84&lt;1)*(PARTIDAS!$I$2:$AT$2="OBRA GRUESA"),PARTIDAS!$I$1:$AT$1,"")),""),IF(SUMPRODUCT((BF84:CQ84&lt;1)*(PARTIDAS!$I$2:$AT$2="SANITARIOS"))&gt;0,"SANITARIOS: "&amp;_xlfn.TEXTJOIN(", ",TRUE,IF((BF84:CQ84&lt;1)*(PARTIDAS!$I$2:$AT$2="SANITARIOS"),PARTIDAS!$I$1:$AT$1,"")),""),IF(SUMPRODUCT((BF84:CQ84&lt;1)*(PARTIDAS!$I$2:$AT$2="ELÉCTRICO"))&gt;0,"ELÉCTRICO: "&amp;_xlfn.TEXTJOIN(", ",TRUE,IF((BF84:CQ84&lt;1)*(PARTIDAS!$I$2:$AT$2="ELÉCTRICO"),PARTIDAS!$I$1:$AT$1,"")),""),IF(SUMPRODUCT((BF84:CQ84&lt;1)*(PARTIDAS!$I$2:$AT$2="TERMINACIONES"))&gt;0,"TERMINACIONES: "&amp;_xlfn.TEXTJOIN(", ",TRUE,IF((BF84:CQ84&lt;1)*(PARTIDAS!$I$2:$AT$2="TERMINACIONES"),PARTIDAS!$I$1:$AT$1,"")),""))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84" s="45" t="str" cm="1">
        <f t="array" ref="CT84">_xlfn.TEXTJOIN(", ",TRUE,IF(SUMPRODUCT((BF84:CQ84&lt;1)*(PARTIDAS!$I$2:$AT$2="OBRA GRUESA"))&gt;0,"OBRA GRUESA",""),IF(SUMPRODUCT((BF84:CQ84&lt;1)*(PARTIDAS!$I$2:$AT$2="SANITARIOS"))&gt;0,"SANITARIOS",""),IF(SUMPRODUCT((BF84:CQ84&lt;1)*(PARTIDAS!$I$2:$AT$2="ELÉCTRICO"))&gt;0,"ELÉCTRICO",""),IF(SUMPRODUCT((BF84:CQ84&lt;1)*(PARTIDAS!$I$2:$AT$2="TERMINACIONES"))&gt;0,"TERMINACIONES",""))</f>
        <v>OBRA GRUESA, SANITARIOS, ELÉCTRICO, TERMINACIONES</v>
      </c>
      <c r="CU84" s="46" cm="1">
        <f t="array" ref="CU84">SUMPRODUCT(--(BF84:CQ84&lt;1))</f>
        <v>34</v>
      </c>
    </row>
    <row r="85" spans="1:99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5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 t="str">
        <f>+IF(AVANCE[[#This Row],[% AVANCE]]=100%,"MODULO TERMINADO",IF(AVANCE[[#This Row],[FECHA INICIO REAL]]="","MODULO NO INICIADO","PENDIENTE"))</f>
        <v>PENDIENTE</v>
      </c>
      <c r="BF85" s="3">
        <f>+IF(AVANCE[[#This Row],[VENTANAS]]=8.10810810810811%,100%,AVANCE[[#This Row],[VENTANAS]])</f>
        <v>0</v>
      </c>
      <c r="BG85" s="3">
        <f>+IF(AVANCE[[#This Row],[PISO]]=N$2,100%,AVANCE[[#This Row],[PISO]])</f>
        <v>1</v>
      </c>
      <c r="BH85" s="3">
        <f>+IF(AVANCE[[#This Row],[TABIQUES]]=O$2,100%,AVANCE[[#This Row],[TABIQUES]])</f>
        <v>1</v>
      </c>
      <c r="BI85" s="3">
        <f>+IF(AVANCE[[#This Row],[MUROS]]=P$2,100%,AVANCE[[#This Row],[MUROS]])</f>
        <v>1</v>
      </c>
      <c r="BJ85" s="3">
        <f>+IF(AVANCE[[#This Row],[CIELO]]=Q$2,100%,AVANCE[[#This Row],[CIELO]])</f>
        <v>1</v>
      </c>
      <c r="BK85" s="3">
        <f>+IF(AVANCE[[#This Row],[BALCÓN]]=R$2,100%,AVANCE[[#This Row],[BALCÓN]])</f>
        <v>0</v>
      </c>
      <c r="BL85" s="3">
        <f>+IF(AVANCE[[#This Row],[RED ALCANTARILLADO]]=U$2,100%,AVANCE[[#This Row],[RED ALCANTARILLADO]])</f>
        <v>0</v>
      </c>
      <c r="BM85" s="3">
        <f>+IF(AVANCE[[#This Row],[RED DE AGUA]]=V$2,100%,AVANCE[[#This Row],[RED DE AGUA]])</f>
        <v>0</v>
      </c>
      <c r="BN85" s="3">
        <f>+IF(AVANCE[[#This Row],[VENTILACIONES]]=W$2,100%,AVANCE[[#This Row],[VENTILACIONES]])</f>
        <v>0</v>
      </c>
      <c r="BO85" s="3">
        <f>+IF(AVANCE[[#This Row],[TINA]]=X$2,100%,AVANCE[[#This Row],[TINA]])</f>
        <v>0</v>
      </c>
      <c r="BP85" s="3">
        <f>+IF(AVANCE[[#This Row],[WC]]=Y$2,100%,AVANCE[[#This Row],[WC]])</f>
        <v>0</v>
      </c>
      <c r="BQ85" s="3">
        <f>+IF(AVANCE[[#This Row],[LAVAMANOS / LAVAPLATOS / LAVADERO]]=Z$2,100%,AVANCE[[#This Row],[LAVAMANOS / LAVAPLATOS / LAVADERO]])</f>
        <v>0</v>
      </c>
      <c r="BR85" s="3">
        <f>+IF(AVANCE[[#This Row],[CANALIZACIÓN]]=AC$2,100%,AVANCE[[#This Row],[CANALIZACIÓN]])</f>
        <v>0</v>
      </c>
      <c r="BS85" s="3">
        <f>+IF(AVANCE[[#This Row],[CABLEADO]]=AD$2,100%,AVANCE[[#This Row],[CABLEADO]])</f>
        <v>0</v>
      </c>
      <c r="BT85" s="3">
        <f>+IF(AVANCE[[#This Row],[ARTEFACTOS]]=AE$2,100%,AVANCE[[#This Row],[ARTEFACTOS]])</f>
        <v>0</v>
      </c>
      <c r="BU85" s="3">
        <f>+IF(AVANCE[[#This Row],[TABLERO]]=AF$2,100%,AVANCE[[#This Row],[TABLERO]])</f>
        <v>0</v>
      </c>
      <c r="BV85" s="3">
        <f>+IF(AVANCE[[#This Row],[CAJA PAU]]=AG$2,100%,AVANCE[[#This Row],[CAJA PAU]])</f>
        <v>0</v>
      </c>
      <c r="BW85" s="3">
        <f>+IF(AVANCE[[#This Row],[INSTALACION VINILICO]]=AJ$2,100%,AVANCE[[#This Row],[INSTALACION VINILICO]])</f>
        <v>0</v>
      </c>
      <c r="BX85" s="3">
        <f>+IF(AVANCE[[#This Row],[OSB CUBIERTA]]=AK$2,100%,AVANCE[[#This Row],[OSB CUBIERTA]])</f>
        <v>0</v>
      </c>
      <c r="BY85" s="3">
        <f>+IF(AVANCE[[#This Row],[BARANDA BALCON]]=AL$2,100%,AVANCE[[#This Row],[BARANDA BALCON]])</f>
        <v>0</v>
      </c>
      <c r="BZ85" s="3">
        <f>+IF(AVANCE[[#This Row],[OSB EXTERIOR]]=AM$2,100%,AVANCE[[#This Row],[OSB EXTERIOR]])</f>
        <v>0</v>
      </c>
      <c r="CA85" s="3">
        <f>+IF(AVANCE[[#This Row],[SMART PANEL]]=AN$2,100%,AVANCE[[#This Row],[SMART PANEL]])</f>
        <v>0</v>
      </c>
      <c r="CB85" s="3">
        <f>+IF(AVANCE[[#This Row],[PINTURA EXTERIOR]]=AO$2,100%,AVANCE[[#This Row],[PINTURA EXTERIOR]])</f>
        <v>0</v>
      </c>
      <c r="CC85" s="3">
        <f>+IF(AVANCE[[#This Row],[ZOCALOS LOGIA]]=AP$2,100%,AVANCE[[#This Row],[ZOCALOS LOGIA]])</f>
        <v>0</v>
      </c>
      <c r="CD85" s="3">
        <f>+IF(AVANCE[[#This Row],[MOLDURAS]]=AQ$2,100%,AVANCE[[#This Row],[MOLDURAS]])</f>
        <v>0</v>
      </c>
      <c r="CE85" s="3">
        <f>+IF(AVANCE[[#This Row],[PILASTREO]]=AR$2,100%,AVANCE[[#This Row],[PILASTREO]])</f>
        <v>0</v>
      </c>
      <c r="CF85" s="3">
        <f>+IF(AVANCE[[#This Row],[CELOSIAS]]=AS$2,100%,AVANCE[[#This Row],[CELOSIAS]])</f>
        <v>0</v>
      </c>
      <c r="CG85" s="3">
        <f>+IF(AVANCE[[#This Row],[VENTANAS]]=AT$2,100%,AVANCE[[#This Row],[VENTANAS]])</f>
        <v>0</v>
      </c>
      <c r="CH85" s="3">
        <f>+IF(AVANCE[[#This Row],[PUERTAS ACCESO - LOGIA - BANO]]=AU$2,100%,AVANCE[[#This Row],[PUERTAS ACCESO - LOGIA - BANO]])</f>
        <v>0</v>
      </c>
      <c r="CI85" s="3">
        <f>+IF(AVANCE[[#This Row],[CERRADURAS]]=AV$2,100%,AVANCE[[#This Row],[CERRADURAS]])</f>
        <v>0</v>
      </c>
      <c r="CJ85" s="3">
        <f>+IF(AVANCE[[#This Row],[REVESTIMIENTO INTERIOR ZONA SECA]]=AW$2,100%,AVANCE[[#This Row],[REVESTIMIENTO INTERIOR ZONA SECA]])</f>
        <v>0</v>
      </c>
      <c r="CK85" s="3">
        <f>+IF(AVANCE[[#This Row],[REVESTIMIENTO INTERIOR ZONAS HUMEDAS]]=AX$2,100%,AVANCE[[#This Row],[REVESTIMIENTO INTERIOR ZONAS HUMEDAS]])</f>
        <v>0</v>
      </c>
      <c r="CL85" s="3">
        <f>+IF(AVANCE[[#This Row],[MEMBRANA CIELO]]=AY$2,100%,AVANCE[[#This Row],[MEMBRANA CIELO]])</f>
        <v>0</v>
      </c>
      <c r="CM85" s="3">
        <f>+IF(AVANCE[[#This Row],[LIMPIEZA FINAL]]=AZ$2,100%,AVANCE[[#This Row],[LIMPIEZA FINAL]])</f>
        <v>0</v>
      </c>
      <c r="CN85" s="3">
        <f>+IF(AVANCE[[#This Row],[PUERTAS DORMITORIO]]=BA$2,100%,AVANCE[[#This Row],[PUERTAS DORMITORIO]])</f>
        <v>0</v>
      </c>
      <c r="CO85" s="3">
        <f>+IF(AVANCE[[#This Row],[REVESTIMIENTO INTERIOR BANO]]=BB$2,100%,AVANCE[[#This Row],[REVESTIMIENTO INTERIOR BANO]])</f>
        <v>0</v>
      </c>
      <c r="CP85" s="3">
        <f>+IF(AVANCE[[#This Row],[MUEBLE LAVAPLATOS]]=BC$2,100%,AVANCE[[#This Row],[MUEBLE LAVAPLATOS]])</f>
        <v>0</v>
      </c>
      <c r="CQ85" s="3">
        <f>+IF(AVANCE[[#This Row],[IMPERMEABILIZACION BANO - COCINA LOGIA]]=BD$2,100%,AVANCE[[#This Row],[IMPERMEABILIZACION BANO - COCINA LOGIA]])</f>
        <v>0</v>
      </c>
      <c r="CR85" s="40">
        <f ca="1">+IF(AVANCE[[#This Row],[ESTADO MODULO]]="PENDIENTE",(TODAY()-AVANCE[[#This Row],[FECHA TERMINO  PLANIFICADO]]),0)</f>
        <v>-9</v>
      </c>
      <c r="CS85" s="42" t="str" cm="1">
        <f t="array" ref="CS85">_xlfn.TEXTJOIN(" | ",TRUE,IF(SUMPRODUCT((BF85:CQ85&lt;1)*(PARTIDAS!$I$2:$AT$2="OBRA GRUESA"))&gt;0,"OBRA GRUESA: "&amp;_xlfn.TEXTJOIN(", ",TRUE,IF((BF85:CQ85&lt;1)*(PARTIDAS!$I$2:$AT$2="OBRA GRUESA"),PARTIDAS!$I$1:$AT$1,"")),""),IF(SUMPRODUCT((BF85:CQ85&lt;1)*(PARTIDAS!$I$2:$AT$2="SANITARIOS"))&gt;0,"SANITARIOS: "&amp;_xlfn.TEXTJOIN(", ",TRUE,IF((BF85:CQ85&lt;1)*(PARTIDAS!$I$2:$AT$2="SANITARIOS"),PARTIDAS!$I$1:$AT$1,"")),""),IF(SUMPRODUCT((BF85:CQ85&lt;1)*(PARTIDAS!$I$2:$AT$2="ELÉCTRICO"))&gt;0,"ELÉCTRICO: "&amp;_xlfn.TEXTJOIN(", ",TRUE,IF((BF85:CQ85&lt;1)*(PARTIDAS!$I$2:$AT$2="ELÉCTRICO"),PARTIDAS!$I$1:$AT$1,"")),""),IF(SUMPRODUCT((BF85:CQ85&lt;1)*(PARTIDAS!$I$2:$AT$2="TERMINACIONES"))&gt;0,"TERMINACIONES: "&amp;_xlfn.TEXTJOIN(", ",TRUE,IF((BF85:CQ85&lt;1)*(PARTIDAS!$I$2:$AT$2="TERMINACIONES"),PARTIDAS!$I$1:$AT$1,"")),""))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85" s="45" t="str" cm="1">
        <f t="array" ref="CT85">_xlfn.TEXTJOIN(", ",TRUE,IF(SUMPRODUCT((BF85:CQ85&lt;1)*(PARTIDAS!$I$2:$AT$2="OBRA GRUESA"))&gt;0,"OBRA GRUESA",""),IF(SUMPRODUCT((BF85:CQ85&lt;1)*(PARTIDAS!$I$2:$AT$2="SANITARIOS"))&gt;0,"SANITARIOS",""),IF(SUMPRODUCT((BF85:CQ85&lt;1)*(PARTIDAS!$I$2:$AT$2="ELÉCTRICO"))&gt;0,"ELÉCTRICO",""),IF(SUMPRODUCT((BF85:CQ85&lt;1)*(PARTIDAS!$I$2:$AT$2="TERMINACIONES"))&gt;0,"TERMINACIONES",""))</f>
        <v>OBRA GRUESA, SANITARIOS, ELÉCTRICO, TERMINACIONES</v>
      </c>
      <c r="CU85" s="46" cm="1">
        <f t="array" ref="CU85">SUMPRODUCT(--(BF85:CQ85&lt;1))</f>
        <v>34</v>
      </c>
    </row>
    <row r="86" spans="1:99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5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 t="str">
        <f>+IF(AVANCE[[#This Row],[% AVANCE]]=100%,"MODULO TERMINADO",IF(AVANCE[[#This Row],[FECHA INICIO REAL]]="","MODULO NO INICIADO","PENDIENTE"))</f>
        <v>PENDIENTE</v>
      </c>
      <c r="BF86" s="3">
        <f>+IF(AVANCE[[#This Row],[VENTANAS]]=8.10810810810811%,100%,AVANCE[[#This Row],[VENTANAS]])</f>
        <v>0</v>
      </c>
      <c r="BG86" s="3">
        <f>+IF(AVANCE[[#This Row],[PISO]]=N$2,100%,AVANCE[[#This Row],[PISO]])</f>
        <v>1</v>
      </c>
      <c r="BH86" s="3">
        <f>+IF(AVANCE[[#This Row],[TABIQUES]]=O$2,100%,AVANCE[[#This Row],[TABIQUES]])</f>
        <v>1</v>
      </c>
      <c r="BI86" s="3">
        <f>+IF(AVANCE[[#This Row],[MUROS]]=P$2,100%,AVANCE[[#This Row],[MUROS]])</f>
        <v>1</v>
      </c>
      <c r="BJ86" s="3">
        <f>+IF(AVANCE[[#This Row],[CIELO]]=Q$2,100%,AVANCE[[#This Row],[CIELO]])</f>
        <v>1</v>
      </c>
      <c r="BK86" s="3">
        <f>+IF(AVANCE[[#This Row],[BALCÓN]]=R$2,100%,AVANCE[[#This Row],[BALCÓN]])</f>
        <v>0</v>
      </c>
      <c r="BL86" s="3">
        <f>+IF(AVANCE[[#This Row],[RED ALCANTARILLADO]]=U$2,100%,AVANCE[[#This Row],[RED ALCANTARILLADO]])</f>
        <v>0</v>
      </c>
      <c r="BM86" s="3">
        <f>+IF(AVANCE[[#This Row],[RED DE AGUA]]=V$2,100%,AVANCE[[#This Row],[RED DE AGUA]])</f>
        <v>0</v>
      </c>
      <c r="BN86" s="3">
        <f>+IF(AVANCE[[#This Row],[VENTILACIONES]]=W$2,100%,AVANCE[[#This Row],[VENTILACIONES]])</f>
        <v>0</v>
      </c>
      <c r="BO86" s="3">
        <f>+IF(AVANCE[[#This Row],[TINA]]=X$2,100%,AVANCE[[#This Row],[TINA]])</f>
        <v>0</v>
      </c>
      <c r="BP86" s="3">
        <f>+IF(AVANCE[[#This Row],[WC]]=Y$2,100%,AVANCE[[#This Row],[WC]])</f>
        <v>0</v>
      </c>
      <c r="BQ86" s="3">
        <f>+IF(AVANCE[[#This Row],[LAVAMANOS / LAVAPLATOS / LAVADERO]]=Z$2,100%,AVANCE[[#This Row],[LAVAMANOS / LAVAPLATOS / LAVADERO]])</f>
        <v>0</v>
      </c>
      <c r="BR86" s="3">
        <f>+IF(AVANCE[[#This Row],[CANALIZACIÓN]]=AC$2,100%,AVANCE[[#This Row],[CANALIZACIÓN]])</f>
        <v>0</v>
      </c>
      <c r="BS86" s="3">
        <f>+IF(AVANCE[[#This Row],[CABLEADO]]=AD$2,100%,AVANCE[[#This Row],[CABLEADO]])</f>
        <v>0</v>
      </c>
      <c r="BT86" s="3">
        <f>+IF(AVANCE[[#This Row],[ARTEFACTOS]]=AE$2,100%,AVANCE[[#This Row],[ARTEFACTOS]])</f>
        <v>0</v>
      </c>
      <c r="BU86" s="3">
        <f>+IF(AVANCE[[#This Row],[TABLERO]]=AF$2,100%,AVANCE[[#This Row],[TABLERO]])</f>
        <v>0</v>
      </c>
      <c r="BV86" s="3">
        <f>+IF(AVANCE[[#This Row],[CAJA PAU]]=AG$2,100%,AVANCE[[#This Row],[CAJA PAU]])</f>
        <v>0</v>
      </c>
      <c r="BW86" s="3">
        <f>+IF(AVANCE[[#This Row],[INSTALACION VINILICO]]=AJ$2,100%,AVANCE[[#This Row],[INSTALACION VINILICO]])</f>
        <v>0</v>
      </c>
      <c r="BX86" s="3">
        <f>+IF(AVANCE[[#This Row],[OSB CUBIERTA]]=AK$2,100%,AVANCE[[#This Row],[OSB CUBIERTA]])</f>
        <v>0</v>
      </c>
      <c r="BY86" s="3">
        <f>+IF(AVANCE[[#This Row],[BARANDA BALCON]]=AL$2,100%,AVANCE[[#This Row],[BARANDA BALCON]])</f>
        <v>0</v>
      </c>
      <c r="BZ86" s="3">
        <f>+IF(AVANCE[[#This Row],[OSB EXTERIOR]]=AM$2,100%,AVANCE[[#This Row],[OSB EXTERIOR]])</f>
        <v>0</v>
      </c>
      <c r="CA86" s="3">
        <f>+IF(AVANCE[[#This Row],[SMART PANEL]]=AN$2,100%,AVANCE[[#This Row],[SMART PANEL]])</f>
        <v>0</v>
      </c>
      <c r="CB86" s="3">
        <f>+IF(AVANCE[[#This Row],[PINTURA EXTERIOR]]=AO$2,100%,AVANCE[[#This Row],[PINTURA EXTERIOR]])</f>
        <v>0</v>
      </c>
      <c r="CC86" s="3">
        <f>+IF(AVANCE[[#This Row],[ZOCALOS LOGIA]]=AP$2,100%,AVANCE[[#This Row],[ZOCALOS LOGIA]])</f>
        <v>0</v>
      </c>
      <c r="CD86" s="3">
        <f>+IF(AVANCE[[#This Row],[MOLDURAS]]=AQ$2,100%,AVANCE[[#This Row],[MOLDURAS]])</f>
        <v>0</v>
      </c>
      <c r="CE86" s="3">
        <f>+IF(AVANCE[[#This Row],[PILASTREO]]=AR$2,100%,AVANCE[[#This Row],[PILASTREO]])</f>
        <v>0</v>
      </c>
      <c r="CF86" s="3">
        <f>+IF(AVANCE[[#This Row],[CELOSIAS]]=AS$2,100%,AVANCE[[#This Row],[CELOSIAS]])</f>
        <v>0</v>
      </c>
      <c r="CG86" s="3">
        <f>+IF(AVANCE[[#This Row],[VENTANAS]]=AT$2,100%,AVANCE[[#This Row],[VENTANAS]])</f>
        <v>0</v>
      </c>
      <c r="CH86" s="3">
        <f>+IF(AVANCE[[#This Row],[PUERTAS ACCESO - LOGIA - BANO]]=AU$2,100%,AVANCE[[#This Row],[PUERTAS ACCESO - LOGIA - BANO]])</f>
        <v>0</v>
      </c>
      <c r="CI86" s="3">
        <f>+IF(AVANCE[[#This Row],[CERRADURAS]]=AV$2,100%,AVANCE[[#This Row],[CERRADURAS]])</f>
        <v>0</v>
      </c>
      <c r="CJ86" s="3">
        <f>+IF(AVANCE[[#This Row],[REVESTIMIENTO INTERIOR ZONA SECA]]=AW$2,100%,AVANCE[[#This Row],[REVESTIMIENTO INTERIOR ZONA SECA]])</f>
        <v>0</v>
      </c>
      <c r="CK86" s="3">
        <f>+IF(AVANCE[[#This Row],[REVESTIMIENTO INTERIOR ZONAS HUMEDAS]]=AX$2,100%,AVANCE[[#This Row],[REVESTIMIENTO INTERIOR ZONAS HUMEDAS]])</f>
        <v>0</v>
      </c>
      <c r="CL86" s="3">
        <f>+IF(AVANCE[[#This Row],[MEMBRANA CIELO]]=AY$2,100%,AVANCE[[#This Row],[MEMBRANA CIELO]])</f>
        <v>0</v>
      </c>
      <c r="CM86" s="3">
        <f>+IF(AVANCE[[#This Row],[LIMPIEZA FINAL]]=AZ$2,100%,AVANCE[[#This Row],[LIMPIEZA FINAL]])</f>
        <v>0</v>
      </c>
      <c r="CN86" s="3">
        <f>+IF(AVANCE[[#This Row],[PUERTAS DORMITORIO]]=BA$2,100%,AVANCE[[#This Row],[PUERTAS DORMITORIO]])</f>
        <v>0</v>
      </c>
      <c r="CO86" s="3">
        <f>+IF(AVANCE[[#This Row],[REVESTIMIENTO INTERIOR BANO]]=BB$2,100%,AVANCE[[#This Row],[REVESTIMIENTO INTERIOR BANO]])</f>
        <v>0</v>
      </c>
      <c r="CP86" s="3">
        <f>+IF(AVANCE[[#This Row],[MUEBLE LAVAPLATOS]]=BC$2,100%,AVANCE[[#This Row],[MUEBLE LAVAPLATOS]])</f>
        <v>0</v>
      </c>
      <c r="CQ86" s="3">
        <f>+IF(AVANCE[[#This Row],[IMPERMEABILIZACION BANO - COCINA LOGIA]]=BD$2,100%,AVANCE[[#This Row],[IMPERMEABILIZACION BANO - COCINA LOGIA]])</f>
        <v>0</v>
      </c>
      <c r="CR86" s="40">
        <f ca="1">+IF(AVANCE[[#This Row],[ESTADO MODULO]]="PENDIENTE",(TODAY()-AVANCE[[#This Row],[FECHA TERMINO  PLANIFICADO]]),0)</f>
        <v>-12</v>
      </c>
      <c r="CS86" s="42" t="str" cm="1">
        <f t="array" ref="CS86">_xlfn.TEXTJOIN(" | ",TRUE,IF(SUMPRODUCT((BF86:CQ86&lt;1)*(PARTIDAS!$I$2:$AT$2="OBRA GRUESA"))&gt;0,"OBRA GRUESA: "&amp;_xlfn.TEXTJOIN(", ",TRUE,IF((BF86:CQ86&lt;1)*(PARTIDAS!$I$2:$AT$2="OBRA GRUESA"),PARTIDAS!$I$1:$AT$1,"")),""),IF(SUMPRODUCT((BF86:CQ86&lt;1)*(PARTIDAS!$I$2:$AT$2="SANITARIOS"))&gt;0,"SANITARIOS: "&amp;_xlfn.TEXTJOIN(", ",TRUE,IF((BF86:CQ86&lt;1)*(PARTIDAS!$I$2:$AT$2="SANITARIOS"),PARTIDAS!$I$1:$AT$1,"")),""),IF(SUMPRODUCT((BF86:CQ86&lt;1)*(PARTIDAS!$I$2:$AT$2="ELÉCTRICO"))&gt;0,"ELÉCTRICO: "&amp;_xlfn.TEXTJOIN(", ",TRUE,IF((BF86:CQ86&lt;1)*(PARTIDAS!$I$2:$AT$2="ELÉCTRICO"),PARTIDAS!$I$1:$AT$1,"")),""),IF(SUMPRODUCT((BF86:CQ86&lt;1)*(PARTIDAS!$I$2:$AT$2="TERMINACIONES"))&gt;0,"TERMINACIONES: "&amp;_xlfn.TEXTJOIN(", ",TRUE,IF((BF86:CQ86&lt;1)*(PARTIDAS!$I$2:$AT$2="TERMINACIONES"),PARTIDAS!$I$1:$AT$1,"")),""))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86" s="45" t="str" cm="1">
        <f t="array" ref="CT86">_xlfn.TEXTJOIN(", ",TRUE,IF(SUMPRODUCT((BF86:CQ86&lt;1)*(PARTIDAS!$I$2:$AT$2="OBRA GRUESA"))&gt;0,"OBRA GRUESA",""),IF(SUMPRODUCT((BF86:CQ86&lt;1)*(PARTIDAS!$I$2:$AT$2="SANITARIOS"))&gt;0,"SANITARIOS",""),IF(SUMPRODUCT((BF86:CQ86&lt;1)*(PARTIDAS!$I$2:$AT$2="ELÉCTRICO"))&gt;0,"ELÉCTRICO",""),IF(SUMPRODUCT((BF86:CQ86&lt;1)*(PARTIDAS!$I$2:$AT$2="TERMINACIONES"))&gt;0,"TERMINACIONES",""))</f>
        <v>OBRA GRUESA, SANITARIOS, ELÉCTRICO, TERMINACIONES</v>
      </c>
      <c r="CU86" s="46" cm="1">
        <f t="array" ref="CU86">SUMPRODUCT(--(BF86:CQ86&lt;1))</f>
        <v>34</v>
      </c>
    </row>
    <row r="87" spans="1:99" x14ac:dyDescent="0.25">
      <c r="A87" t="s">
        <v>124</v>
      </c>
      <c r="B87" t="s">
        <v>146</v>
      </c>
      <c r="C87">
        <v>2302600086</v>
      </c>
      <c r="D87" t="s">
        <v>60</v>
      </c>
      <c r="E87" s="2">
        <v>0.38999999999999996</v>
      </c>
      <c r="F87" s="1">
        <v>46167</v>
      </c>
      <c r="G87" s="1">
        <v>46176</v>
      </c>
      <c r="H87" s="1">
        <v>46177</v>
      </c>
      <c r="I87" s="1">
        <v>46203</v>
      </c>
      <c r="J87">
        <v>4</v>
      </c>
      <c r="K87" s="1"/>
      <c r="L87" s="3">
        <v>0.38999999999999996</v>
      </c>
      <c r="M87" s="3">
        <v>0.90697674418604646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 t="str">
        <f>+IF(AVANCE[[#This Row],[% AVANCE]]=100%,"MODULO TERMINADO",IF(AVANCE[[#This Row],[FECHA INICIO REAL]]="","MODULO NO INICIADO","PENDIENTE"))</f>
        <v>PENDIENTE</v>
      </c>
      <c r="BF87" s="3">
        <f>+IF(AVANCE[[#This Row],[VENTANAS]]=8.10810810810811%,100%,AVANCE[[#This Row],[VENTANAS]])</f>
        <v>0</v>
      </c>
      <c r="BG87" s="3">
        <f>+IF(AVANCE[[#This Row],[PISO]]=N$2,100%,AVANCE[[#This Row],[PISO]])</f>
        <v>1</v>
      </c>
      <c r="BH87" s="3">
        <f>+IF(AVANCE[[#This Row],[TABIQUES]]=O$2,100%,AVANCE[[#This Row],[TABIQUES]])</f>
        <v>1</v>
      </c>
      <c r="BI87" s="3">
        <f>+IF(AVANCE[[#This Row],[MUROS]]=P$2,100%,AVANCE[[#This Row],[MUROS]])</f>
        <v>1</v>
      </c>
      <c r="BJ87" s="3">
        <f>+IF(AVANCE[[#This Row],[CIELO]]=Q$2,100%,AVANCE[[#This Row],[CIELO]])</f>
        <v>1</v>
      </c>
      <c r="BK87" s="3">
        <f>+IF(AVANCE[[#This Row],[BALCÓN]]=R$2,100%,AVANCE[[#This Row],[BALCÓN]])</f>
        <v>0</v>
      </c>
      <c r="BL87" s="3">
        <f>+IF(AVANCE[[#This Row],[RED ALCANTARILLADO]]=U$2,100%,AVANCE[[#This Row],[RED ALCANTARILLADO]])</f>
        <v>0</v>
      </c>
      <c r="BM87" s="3">
        <f>+IF(AVANCE[[#This Row],[RED DE AGUA]]=V$2,100%,AVANCE[[#This Row],[RED DE AGUA]])</f>
        <v>0</v>
      </c>
      <c r="BN87" s="3">
        <f>+IF(AVANCE[[#This Row],[VENTILACIONES]]=W$2,100%,AVANCE[[#This Row],[VENTILACIONES]])</f>
        <v>0</v>
      </c>
      <c r="BO87" s="3">
        <f>+IF(AVANCE[[#This Row],[TINA]]=X$2,100%,AVANCE[[#This Row],[TINA]])</f>
        <v>0</v>
      </c>
      <c r="BP87" s="3">
        <f>+IF(AVANCE[[#This Row],[WC]]=Y$2,100%,AVANCE[[#This Row],[WC]])</f>
        <v>0</v>
      </c>
      <c r="BQ87" s="3">
        <f>+IF(AVANCE[[#This Row],[LAVAMANOS / LAVAPLATOS / LAVADERO]]=Z$2,100%,AVANCE[[#This Row],[LAVAMANOS / LAVAPLATOS / LAVADERO]])</f>
        <v>0</v>
      </c>
      <c r="BR87" s="3">
        <f>+IF(AVANCE[[#This Row],[CANALIZACIÓN]]=AC$2,100%,AVANCE[[#This Row],[CANALIZACIÓN]])</f>
        <v>0</v>
      </c>
      <c r="BS87" s="3">
        <f>+IF(AVANCE[[#This Row],[CABLEADO]]=AD$2,100%,AVANCE[[#This Row],[CABLEADO]])</f>
        <v>0</v>
      </c>
      <c r="BT87" s="3">
        <f>+IF(AVANCE[[#This Row],[ARTEFACTOS]]=AE$2,100%,AVANCE[[#This Row],[ARTEFACTOS]])</f>
        <v>0</v>
      </c>
      <c r="BU87" s="3">
        <f>+IF(AVANCE[[#This Row],[TABLERO]]=AF$2,100%,AVANCE[[#This Row],[TABLERO]])</f>
        <v>0</v>
      </c>
      <c r="BV87" s="3">
        <f>+IF(AVANCE[[#This Row],[CAJA PAU]]=AG$2,100%,AVANCE[[#This Row],[CAJA PAU]])</f>
        <v>0</v>
      </c>
      <c r="BW87" s="3">
        <f>+IF(AVANCE[[#This Row],[INSTALACION VINILICO]]=AJ$2,100%,AVANCE[[#This Row],[INSTALACION VINILICO]])</f>
        <v>0</v>
      </c>
      <c r="BX87" s="3">
        <f>+IF(AVANCE[[#This Row],[OSB CUBIERTA]]=AK$2,100%,AVANCE[[#This Row],[OSB CUBIERTA]])</f>
        <v>0</v>
      </c>
      <c r="BY87" s="3">
        <f>+IF(AVANCE[[#This Row],[BARANDA BALCON]]=AL$2,100%,AVANCE[[#This Row],[BARANDA BALCON]])</f>
        <v>0</v>
      </c>
      <c r="BZ87" s="3">
        <f>+IF(AVANCE[[#This Row],[OSB EXTERIOR]]=AM$2,100%,AVANCE[[#This Row],[OSB EXTERIOR]])</f>
        <v>0</v>
      </c>
      <c r="CA87" s="3">
        <f>+IF(AVANCE[[#This Row],[SMART PANEL]]=AN$2,100%,AVANCE[[#This Row],[SMART PANEL]])</f>
        <v>0</v>
      </c>
      <c r="CB87" s="3">
        <f>+IF(AVANCE[[#This Row],[PINTURA EXTERIOR]]=AO$2,100%,AVANCE[[#This Row],[PINTURA EXTERIOR]])</f>
        <v>0</v>
      </c>
      <c r="CC87" s="3">
        <f>+IF(AVANCE[[#This Row],[ZOCALOS LOGIA]]=AP$2,100%,AVANCE[[#This Row],[ZOCALOS LOGIA]])</f>
        <v>0</v>
      </c>
      <c r="CD87" s="3">
        <f>+IF(AVANCE[[#This Row],[MOLDURAS]]=AQ$2,100%,AVANCE[[#This Row],[MOLDURAS]])</f>
        <v>0</v>
      </c>
      <c r="CE87" s="3">
        <f>+IF(AVANCE[[#This Row],[PILASTREO]]=AR$2,100%,AVANCE[[#This Row],[PILASTREO]])</f>
        <v>0</v>
      </c>
      <c r="CF87" s="3">
        <f>+IF(AVANCE[[#This Row],[CELOSIAS]]=AS$2,100%,AVANCE[[#This Row],[CELOSIAS]])</f>
        <v>0</v>
      </c>
      <c r="CG87" s="3">
        <f>+IF(AVANCE[[#This Row],[VENTANAS]]=AT$2,100%,AVANCE[[#This Row],[VENTANAS]])</f>
        <v>0</v>
      </c>
      <c r="CH87" s="3">
        <f>+IF(AVANCE[[#This Row],[PUERTAS ACCESO - LOGIA - BANO]]=AU$2,100%,AVANCE[[#This Row],[PUERTAS ACCESO - LOGIA - BANO]])</f>
        <v>0</v>
      </c>
      <c r="CI87" s="3">
        <f>+IF(AVANCE[[#This Row],[CERRADURAS]]=AV$2,100%,AVANCE[[#This Row],[CERRADURAS]])</f>
        <v>0</v>
      </c>
      <c r="CJ87" s="3">
        <f>+IF(AVANCE[[#This Row],[REVESTIMIENTO INTERIOR ZONA SECA]]=AW$2,100%,AVANCE[[#This Row],[REVESTIMIENTO INTERIOR ZONA SECA]])</f>
        <v>0</v>
      </c>
      <c r="CK87" s="3">
        <f>+IF(AVANCE[[#This Row],[REVESTIMIENTO INTERIOR ZONAS HUMEDAS]]=AX$2,100%,AVANCE[[#This Row],[REVESTIMIENTO INTERIOR ZONAS HUMEDAS]])</f>
        <v>0</v>
      </c>
      <c r="CL87" s="3">
        <f>+IF(AVANCE[[#This Row],[MEMBRANA CIELO]]=AY$2,100%,AVANCE[[#This Row],[MEMBRANA CIELO]])</f>
        <v>0</v>
      </c>
      <c r="CM87" s="3">
        <f>+IF(AVANCE[[#This Row],[LIMPIEZA FINAL]]=AZ$2,100%,AVANCE[[#This Row],[LIMPIEZA FINAL]])</f>
        <v>0</v>
      </c>
      <c r="CN87" s="3">
        <f>+IF(AVANCE[[#This Row],[PUERTAS DORMITORIO]]=BA$2,100%,AVANCE[[#This Row],[PUERTAS DORMITORIO]])</f>
        <v>0</v>
      </c>
      <c r="CO87" s="3">
        <f>+IF(AVANCE[[#This Row],[REVESTIMIENTO INTERIOR BANO]]=BB$2,100%,AVANCE[[#This Row],[REVESTIMIENTO INTERIOR BANO]])</f>
        <v>0</v>
      </c>
      <c r="CP87" s="3">
        <f>+IF(AVANCE[[#This Row],[MUEBLE LAVAPLATOS]]=BC$2,100%,AVANCE[[#This Row],[MUEBLE LAVAPLATOS]])</f>
        <v>0</v>
      </c>
      <c r="CQ87" s="3">
        <f>+IF(AVANCE[[#This Row],[IMPERMEABILIZACION BANO - COCINA LOGIA]]=BD$2,100%,AVANCE[[#This Row],[IMPERMEABILIZACION BANO - COCINA LOGIA]])</f>
        <v>0</v>
      </c>
      <c r="CR87" s="40">
        <f ca="1">+IF(AVANCE[[#This Row],[ESTADO MODULO]]="PENDIENTE",(TODAY()-AVANCE[[#This Row],[FECHA TERMINO  PLANIFICADO]]),0)</f>
        <v>-22</v>
      </c>
      <c r="CS87" s="42" t="str" cm="1">
        <f t="array" ref="CS87">_xlfn.TEXTJOIN(" | ",TRUE,IF(SUMPRODUCT((BF87:CQ87&lt;1)*(PARTIDAS!$I$2:$AT$2="OBRA GRUESA"))&gt;0,"OBRA GRUESA: "&amp;_xlfn.TEXTJOIN(", ",TRUE,IF((BF87:CQ87&lt;1)*(PARTIDAS!$I$2:$AT$2="OBRA GRUESA"),PARTIDAS!$I$1:$AT$1,"")),""),IF(SUMPRODUCT((BF87:CQ87&lt;1)*(PARTIDAS!$I$2:$AT$2="SANITARIOS"))&gt;0,"SANITARIOS: "&amp;_xlfn.TEXTJOIN(", ",TRUE,IF((BF87:CQ87&lt;1)*(PARTIDAS!$I$2:$AT$2="SANITARIOS"),PARTIDAS!$I$1:$AT$1,"")),""),IF(SUMPRODUCT((BF87:CQ87&lt;1)*(PARTIDAS!$I$2:$AT$2="ELÉCTRICO"))&gt;0,"ELÉCTRICO: "&amp;_xlfn.TEXTJOIN(", ",TRUE,IF((BF87:CQ87&lt;1)*(PARTIDAS!$I$2:$AT$2="ELÉCTRICO"),PARTIDAS!$I$1:$AT$1,"")),""),IF(SUMPRODUCT((BF87:CQ87&lt;1)*(PARTIDAS!$I$2:$AT$2="TERMINACIONES"))&gt;0,"TERMINACIONES: "&amp;_xlfn.TEXTJOIN(", ",TRUE,IF((BF87:CQ87&lt;1)*(PARTIDAS!$I$2:$AT$2="TERMINACIONES"),PARTIDAS!$I$1:$AT$1,"")),""))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87" s="45" t="str" cm="1">
        <f t="array" ref="CT87">_xlfn.TEXTJOIN(", ",TRUE,IF(SUMPRODUCT((BF87:CQ87&lt;1)*(PARTIDAS!$I$2:$AT$2="OBRA GRUESA"))&gt;0,"OBRA GRUESA",""),IF(SUMPRODUCT((BF87:CQ87&lt;1)*(PARTIDAS!$I$2:$AT$2="SANITARIOS"))&gt;0,"SANITARIOS",""),IF(SUMPRODUCT((BF87:CQ87&lt;1)*(PARTIDAS!$I$2:$AT$2="ELÉCTRICO"))&gt;0,"ELÉCTRICO",""),IF(SUMPRODUCT((BF87:CQ87&lt;1)*(PARTIDAS!$I$2:$AT$2="TERMINACIONES"))&gt;0,"TERMINACIONES",""))</f>
        <v>OBRA GRUESA, SANITARIOS, ELÉCTRICO, TERMINACIONES</v>
      </c>
      <c r="CU87" s="46" cm="1">
        <f t="array" ref="CU87">SUMPRODUCT(--(BF87:CQ87&lt;1))</f>
        <v>34</v>
      </c>
    </row>
    <row r="88" spans="1:99" x14ac:dyDescent="0.25">
      <c r="A88" t="s">
        <v>124</v>
      </c>
      <c r="B88" t="s">
        <v>147</v>
      </c>
      <c r="C88">
        <v>2302600087</v>
      </c>
      <c r="D88" t="s">
        <v>60</v>
      </c>
      <c r="E88" s="2">
        <v>0.42999999999999994</v>
      </c>
      <c r="F88" s="1">
        <v>46168</v>
      </c>
      <c r="G88" s="1">
        <v>46171</v>
      </c>
      <c r="H88" s="1">
        <v>46177</v>
      </c>
      <c r="I88" s="1">
        <v>46204</v>
      </c>
      <c r="J88">
        <v>4</v>
      </c>
      <c r="K88" s="1"/>
      <c r="L88" s="3">
        <v>0.38999999999999996</v>
      </c>
      <c r="M88" s="3">
        <v>0.90697674418604646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0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 t="str">
        <f>+IF(AVANCE[[#This Row],[% AVANCE]]=100%,"MODULO TERMINADO",IF(AVANCE[[#This Row],[FECHA INICIO REAL]]="","MODULO NO INICIADO","PENDIENTE"))</f>
        <v>PENDIENTE</v>
      </c>
      <c r="BF88" s="3">
        <f>+IF(AVANCE[[#This Row],[VENTANAS]]=8.10810810810811%,100%,AVANCE[[#This Row],[VENTANAS]])</f>
        <v>0</v>
      </c>
      <c r="BG88" s="3">
        <f>+IF(AVANCE[[#This Row],[PISO]]=N$2,100%,AVANCE[[#This Row],[PISO]])</f>
        <v>1</v>
      </c>
      <c r="BH88" s="3">
        <f>+IF(AVANCE[[#This Row],[TABIQUES]]=O$2,100%,AVANCE[[#This Row],[TABIQUES]])</f>
        <v>1</v>
      </c>
      <c r="BI88" s="3">
        <f>+IF(AVANCE[[#This Row],[MUROS]]=P$2,100%,AVANCE[[#This Row],[MUROS]])</f>
        <v>1</v>
      </c>
      <c r="BJ88" s="3">
        <f>+IF(AVANCE[[#This Row],[CIELO]]=Q$2,100%,AVANCE[[#This Row],[CIELO]])</f>
        <v>1</v>
      </c>
      <c r="BK88" s="3">
        <f>+IF(AVANCE[[#This Row],[BALCÓN]]=R$2,100%,AVANCE[[#This Row],[BALCÓN]])</f>
        <v>0</v>
      </c>
      <c r="BL88" s="3">
        <f>+IF(AVANCE[[#This Row],[RED ALCANTARILLADO]]=U$2,100%,AVANCE[[#This Row],[RED ALCANTARILLADO]])</f>
        <v>1</v>
      </c>
      <c r="BM88" s="3">
        <f>+IF(AVANCE[[#This Row],[RED DE AGUA]]=V$2,100%,AVANCE[[#This Row],[RED DE AGUA]])</f>
        <v>1</v>
      </c>
      <c r="BN88" s="3">
        <f>+IF(AVANCE[[#This Row],[VENTILACIONES]]=W$2,100%,AVANCE[[#This Row],[VENTILACIONES]])</f>
        <v>0</v>
      </c>
      <c r="BO88" s="3">
        <f>+IF(AVANCE[[#This Row],[TINA]]=X$2,100%,AVANCE[[#This Row],[TINA]])</f>
        <v>0</v>
      </c>
      <c r="BP88" s="3">
        <f>+IF(AVANCE[[#This Row],[WC]]=Y$2,100%,AVANCE[[#This Row],[WC]])</f>
        <v>0</v>
      </c>
      <c r="BQ88" s="3">
        <f>+IF(AVANCE[[#This Row],[LAVAMANOS / LAVAPLATOS / LAVADERO]]=Z$2,100%,AVANCE[[#This Row],[LAVAMANOS / LAVAPLATOS / LAVADERO]])</f>
        <v>0</v>
      </c>
      <c r="BR88" s="3">
        <f>+IF(AVANCE[[#This Row],[CANALIZACIÓN]]=AC$2,100%,AVANCE[[#This Row],[CANALIZACIÓN]])</f>
        <v>0</v>
      </c>
      <c r="BS88" s="3">
        <f>+IF(AVANCE[[#This Row],[CABLEADO]]=AD$2,100%,AVANCE[[#This Row],[CABLEADO]])</f>
        <v>0</v>
      </c>
      <c r="BT88" s="3">
        <f>+IF(AVANCE[[#This Row],[ARTEFACTOS]]=AE$2,100%,AVANCE[[#This Row],[ARTEFACTOS]])</f>
        <v>0</v>
      </c>
      <c r="BU88" s="3">
        <f>+IF(AVANCE[[#This Row],[TABLERO]]=AF$2,100%,AVANCE[[#This Row],[TABLERO]])</f>
        <v>0</v>
      </c>
      <c r="BV88" s="3">
        <f>+IF(AVANCE[[#This Row],[CAJA PAU]]=AG$2,100%,AVANCE[[#This Row],[CAJA PAU]])</f>
        <v>0</v>
      </c>
      <c r="BW88" s="3">
        <f>+IF(AVANCE[[#This Row],[INSTALACION VINILICO]]=AJ$2,100%,AVANCE[[#This Row],[INSTALACION VINILICO]])</f>
        <v>0</v>
      </c>
      <c r="BX88" s="3">
        <f>+IF(AVANCE[[#This Row],[OSB CUBIERTA]]=AK$2,100%,AVANCE[[#This Row],[OSB CUBIERTA]])</f>
        <v>0</v>
      </c>
      <c r="BY88" s="3">
        <f>+IF(AVANCE[[#This Row],[BARANDA BALCON]]=AL$2,100%,AVANCE[[#This Row],[BARANDA BALCON]])</f>
        <v>0</v>
      </c>
      <c r="BZ88" s="3">
        <f>+IF(AVANCE[[#This Row],[OSB EXTERIOR]]=AM$2,100%,AVANCE[[#This Row],[OSB EXTERIOR]])</f>
        <v>0</v>
      </c>
      <c r="CA88" s="3">
        <f>+IF(AVANCE[[#This Row],[SMART PANEL]]=AN$2,100%,AVANCE[[#This Row],[SMART PANEL]])</f>
        <v>0</v>
      </c>
      <c r="CB88" s="3">
        <f>+IF(AVANCE[[#This Row],[PINTURA EXTERIOR]]=AO$2,100%,AVANCE[[#This Row],[PINTURA EXTERIOR]])</f>
        <v>0</v>
      </c>
      <c r="CC88" s="3">
        <f>+IF(AVANCE[[#This Row],[ZOCALOS LOGIA]]=AP$2,100%,AVANCE[[#This Row],[ZOCALOS LOGIA]])</f>
        <v>0</v>
      </c>
      <c r="CD88" s="3">
        <f>+IF(AVANCE[[#This Row],[MOLDURAS]]=AQ$2,100%,AVANCE[[#This Row],[MOLDURAS]])</f>
        <v>0</v>
      </c>
      <c r="CE88" s="3">
        <f>+IF(AVANCE[[#This Row],[PILASTREO]]=AR$2,100%,AVANCE[[#This Row],[PILASTREO]])</f>
        <v>0</v>
      </c>
      <c r="CF88" s="3">
        <f>+IF(AVANCE[[#This Row],[CELOSIAS]]=AS$2,100%,AVANCE[[#This Row],[CELOSIAS]])</f>
        <v>0</v>
      </c>
      <c r="CG88" s="3">
        <f>+IF(AVANCE[[#This Row],[VENTANAS]]=AT$2,100%,AVANCE[[#This Row],[VENTANAS]])</f>
        <v>0</v>
      </c>
      <c r="CH88" s="3">
        <f>+IF(AVANCE[[#This Row],[PUERTAS ACCESO - LOGIA - BANO]]=AU$2,100%,AVANCE[[#This Row],[PUERTAS ACCESO - LOGIA - BANO]])</f>
        <v>0</v>
      </c>
      <c r="CI88" s="3">
        <f>+IF(AVANCE[[#This Row],[CERRADURAS]]=AV$2,100%,AVANCE[[#This Row],[CERRADURAS]])</f>
        <v>0</v>
      </c>
      <c r="CJ88" s="3">
        <f>+IF(AVANCE[[#This Row],[REVESTIMIENTO INTERIOR ZONA SECA]]=AW$2,100%,AVANCE[[#This Row],[REVESTIMIENTO INTERIOR ZONA SECA]])</f>
        <v>0</v>
      </c>
      <c r="CK88" s="3">
        <f>+IF(AVANCE[[#This Row],[REVESTIMIENTO INTERIOR ZONAS HUMEDAS]]=AX$2,100%,AVANCE[[#This Row],[REVESTIMIENTO INTERIOR ZONAS HUMEDAS]])</f>
        <v>0</v>
      </c>
      <c r="CL88" s="3">
        <f>+IF(AVANCE[[#This Row],[MEMBRANA CIELO]]=AY$2,100%,AVANCE[[#This Row],[MEMBRANA CIELO]])</f>
        <v>0</v>
      </c>
      <c r="CM88" s="3">
        <f>+IF(AVANCE[[#This Row],[LIMPIEZA FINAL]]=AZ$2,100%,AVANCE[[#This Row],[LIMPIEZA FINAL]])</f>
        <v>0</v>
      </c>
      <c r="CN88" s="3">
        <f>+IF(AVANCE[[#This Row],[PUERTAS DORMITORIO]]=BA$2,100%,AVANCE[[#This Row],[PUERTAS DORMITORIO]])</f>
        <v>0</v>
      </c>
      <c r="CO88" s="3">
        <f>+IF(AVANCE[[#This Row],[REVESTIMIENTO INTERIOR BANO]]=BB$2,100%,AVANCE[[#This Row],[REVESTIMIENTO INTERIOR BANO]])</f>
        <v>0</v>
      </c>
      <c r="CP88" s="3">
        <f>+IF(AVANCE[[#This Row],[MUEBLE LAVAPLATOS]]=BC$2,100%,AVANCE[[#This Row],[MUEBLE LAVAPLATOS]])</f>
        <v>0</v>
      </c>
      <c r="CQ88" s="3">
        <f>+IF(AVANCE[[#This Row],[IMPERMEABILIZACION BANO - COCINA LOGIA]]=BD$2,100%,AVANCE[[#This Row],[IMPERMEABILIZACION BANO - COCINA LOGIA]])</f>
        <v>0</v>
      </c>
      <c r="CR88" s="40">
        <f ca="1">+IF(AVANCE[[#This Row],[ESTADO MODULO]]="PENDIENTE",(TODAY()-AVANCE[[#This Row],[FECHA TERMINO  PLANIFICADO]]),0)</f>
        <v>-23</v>
      </c>
      <c r="CS88" s="42" t="str" cm="1">
        <f t="array" ref="CS88">_xlfn.TEXTJOIN(" | ",TRUE,IF(SUMPRODUCT((BF88:CQ88&lt;1)*(PARTIDAS!$I$2:$AT$2="OBRA GRUESA"))&gt;0,"OBRA GRUESA: "&amp;_xlfn.TEXTJOIN(", ",TRUE,IF((BF88:CQ88&lt;1)*(PARTIDAS!$I$2:$AT$2="OBRA GRUESA"),PARTIDAS!$I$1:$AT$1,"")),""),IF(SUMPRODUCT((BF88:CQ88&lt;1)*(PARTIDAS!$I$2:$AT$2="SANITARIOS"))&gt;0,"SANITARIOS: "&amp;_xlfn.TEXTJOIN(", ",TRUE,IF((BF88:CQ88&lt;1)*(PARTIDAS!$I$2:$AT$2="SANITARIOS"),PARTIDAS!$I$1:$AT$1,"")),""),IF(SUMPRODUCT((BF88:CQ88&lt;1)*(PARTIDAS!$I$2:$AT$2="ELÉCTRICO"))&gt;0,"ELÉCTRICO: "&amp;_xlfn.TEXTJOIN(", ",TRUE,IF((BF88:CQ88&lt;1)*(PARTIDAS!$I$2:$AT$2="ELÉCTRICO"),PARTIDAS!$I$1:$AT$1,"")),""),IF(SUMPRODUCT((BF88:CQ88&lt;1)*(PARTIDAS!$I$2:$AT$2="TERMINACIONES"))&gt;0,"TERMINACIONES: "&amp;_xlfn.TEXTJOIN(", ",TRUE,IF((BF88:CQ88&lt;1)*(PARTIDAS!$I$2:$AT$2="TERMINACIONES"),PARTIDAS!$I$1:$AT$1,"")),""))</f>
        <v>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88" s="45" t="str" cm="1">
        <f t="array" ref="CT88">_xlfn.TEXTJOIN(", ",TRUE,IF(SUMPRODUCT((BF88:CQ88&lt;1)*(PARTIDAS!$I$2:$AT$2="OBRA GRUESA"))&gt;0,"OBRA GRUESA",""),IF(SUMPRODUCT((BF88:CQ88&lt;1)*(PARTIDAS!$I$2:$AT$2="SANITARIOS"))&gt;0,"SANITARIOS",""),IF(SUMPRODUCT((BF88:CQ88&lt;1)*(PARTIDAS!$I$2:$AT$2="ELÉCTRICO"))&gt;0,"ELÉCTRICO",""),IF(SUMPRODUCT((BF88:CQ88&lt;1)*(PARTIDAS!$I$2:$AT$2="TERMINACIONES"))&gt;0,"TERMINACIONES",""))</f>
        <v>OBRA GRUESA, SANITARIOS, ELÉCTRICO, TERMINACIONES</v>
      </c>
      <c r="CU88" s="46" cm="1">
        <f t="array" ref="CU88">SUMPRODUCT(--(BF88:CQ88&lt;1))</f>
        <v>32</v>
      </c>
    </row>
    <row r="89" spans="1:99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0.80499999999999994</v>
      </c>
      <c r="F89" s="1">
        <v>46168</v>
      </c>
      <c r="G89" s="1">
        <v>46171</v>
      </c>
      <c r="H89" s="1">
        <v>46178</v>
      </c>
      <c r="I89" s="1">
        <v>46194</v>
      </c>
      <c r="J89">
        <v>3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0.21499999999999994</v>
      </c>
      <c r="AI89" s="3">
        <v>0.58108108108108092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0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0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 s="3" t="str">
        <f>+IF(AVANCE[[#This Row],[% AVANCE]]=100%,"MODULO TERMINADO",IF(AVANCE[[#This Row],[FECHA INICIO REAL]]="","MODULO NO INICIADO","PENDIENTE"))</f>
        <v>PENDIENTE</v>
      </c>
      <c r="BF89" s="3">
        <f>+IF(AVANCE[[#This Row],[VENTANAS]]=8.10810810810811%,100%,AVANCE[[#This Row],[VENTANAS]])</f>
        <v>0</v>
      </c>
      <c r="BG89" s="3">
        <f>+IF(AVANCE[[#This Row],[PISO]]=N$2,100%,AVANCE[[#This Row],[PISO]])</f>
        <v>1</v>
      </c>
      <c r="BH89" s="3">
        <f>+IF(AVANCE[[#This Row],[TABIQUES]]=O$2,100%,AVANCE[[#This Row],[TABIQUES]])</f>
        <v>1</v>
      </c>
      <c r="BI89" s="3">
        <f>+IF(AVANCE[[#This Row],[MUROS]]=P$2,100%,AVANCE[[#This Row],[MUROS]])</f>
        <v>1</v>
      </c>
      <c r="BJ89" s="3">
        <f>+IF(AVANCE[[#This Row],[CIELO]]=Q$2,100%,AVANCE[[#This Row],[CIELO]])</f>
        <v>1</v>
      </c>
      <c r="BK89" s="3">
        <f>+IF(AVANCE[[#This Row],[BALCÓN]]=R$2,100%,AVANCE[[#This Row],[BALCÓN]])</f>
        <v>1</v>
      </c>
      <c r="BL89" s="3">
        <f>+IF(AVANCE[[#This Row],[RED ALCANTARILLADO]]=U$2,100%,AVANCE[[#This Row],[RED ALCANTARILLADO]])</f>
        <v>1</v>
      </c>
      <c r="BM89" s="3">
        <f>+IF(AVANCE[[#This Row],[RED DE AGUA]]=V$2,100%,AVANCE[[#This Row],[RED DE AGUA]])</f>
        <v>1</v>
      </c>
      <c r="BN89" s="3">
        <f>+IF(AVANCE[[#This Row],[VENTILACIONES]]=W$2,100%,AVANCE[[#This Row],[VENTILACIONES]])</f>
        <v>1</v>
      </c>
      <c r="BO89" s="3">
        <f>+IF(AVANCE[[#This Row],[TINA]]=X$2,100%,AVANCE[[#This Row],[TINA]])</f>
        <v>1</v>
      </c>
      <c r="BP89" s="3">
        <f>+IF(AVANCE[[#This Row],[WC]]=Y$2,100%,AVANCE[[#This Row],[WC]])</f>
        <v>1</v>
      </c>
      <c r="BQ89" s="3">
        <f>+IF(AVANCE[[#This Row],[LAVAMANOS / LAVAPLATOS / LAVADERO]]=Z$2,100%,AVANCE[[#This Row],[LAVAMANOS / LAVAPLATOS / LAVADERO]])</f>
        <v>1</v>
      </c>
      <c r="BR89" s="3">
        <f>+IF(AVANCE[[#This Row],[CANALIZACIÓN]]=AC$2,100%,AVANCE[[#This Row],[CANALIZACIÓN]])</f>
        <v>1</v>
      </c>
      <c r="BS89" s="3">
        <f>+IF(AVANCE[[#This Row],[CABLEADO]]=AD$2,100%,AVANCE[[#This Row],[CABLEADO]])</f>
        <v>0</v>
      </c>
      <c r="BT89" s="3">
        <f>+IF(AVANCE[[#This Row],[ARTEFACTOS]]=AE$2,100%,AVANCE[[#This Row],[ARTEFACTOS]])</f>
        <v>0</v>
      </c>
      <c r="BU89" s="3">
        <f>+IF(AVANCE[[#This Row],[TABLERO]]=AF$2,100%,AVANCE[[#This Row],[TABLERO]])</f>
        <v>1</v>
      </c>
      <c r="BV89" s="3">
        <f>+IF(AVANCE[[#This Row],[CAJA PAU]]=AG$2,100%,AVANCE[[#This Row],[CAJA PAU]])</f>
        <v>1</v>
      </c>
      <c r="BW89" s="3">
        <f>+IF(AVANCE[[#This Row],[INSTALACION VINILICO]]=AJ$2,100%,AVANCE[[#This Row],[INSTALACION VINILICO]])</f>
        <v>1</v>
      </c>
      <c r="BX89" s="3">
        <f>+IF(AVANCE[[#This Row],[OSB CUBIERTA]]=AK$2,100%,AVANCE[[#This Row],[OSB CUBIERTA]])</f>
        <v>1</v>
      </c>
      <c r="BY89" s="3">
        <f>+IF(AVANCE[[#This Row],[BARANDA BALCON]]=AL$2,100%,AVANCE[[#This Row],[BARANDA BALCON]])</f>
        <v>1</v>
      </c>
      <c r="BZ89" s="3">
        <f>+IF(AVANCE[[#This Row],[OSB EXTERIOR]]=AM$2,100%,AVANCE[[#This Row],[OSB EXTERIOR]])</f>
        <v>1</v>
      </c>
      <c r="CA89" s="3">
        <f>+IF(AVANCE[[#This Row],[SMART PANEL]]=AN$2,100%,AVANCE[[#This Row],[SMART PANEL]])</f>
        <v>0</v>
      </c>
      <c r="CB89" s="3">
        <f>+IF(AVANCE[[#This Row],[PINTURA EXTERIOR]]=AO$2,100%,AVANCE[[#This Row],[PINTURA EXTERIOR]])</f>
        <v>0</v>
      </c>
      <c r="CC89" s="3">
        <f>+IF(AVANCE[[#This Row],[ZOCALOS LOGIA]]=AP$2,100%,AVANCE[[#This Row],[ZOCALOS LOGIA]])</f>
        <v>1</v>
      </c>
      <c r="CD89" s="3">
        <f>+IF(AVANCE[[#This Row],[MOLDURAS]]=AQ$2,100%,AVANCE[[#This Row],[MOLDURAS]])</f>
        <v>0</v>
      </c>
      <c r="CE89" s="3">
        <f>+IF(AVANCE[[#This Row],[PILASTREO]]=AR$2,100%,AVANCE[[#This Row],[PILASTREO]])</f>
        <v>0</v>
      </c>
      <c r="CF89" s="3">
        <f>+IF(AVANCE[[#This Row],[CELOSIAS]]=AS$2,100%,AVANCE[[#This Row],[CELOSIAS]])</f>
        <v>0</v>
      </c>
      <c r="CG89" s="3">
        <f>+IF(AVANCE[[#This Row],[VENTANAS]]=AT$2,100%,AVANCE[[#This Row],[VENTANAS]])</f>
        <v>0</v>
      </c>
      <c r="CH89" s="3">
        <f>+IF(AVANCE[[#This Row],[PUERTAS ACCESO - LOGIA - BANO]]=AU$2,100%,AVANCE[[#This Row],[PUERTAS ACCESO - LOGIA - BANO]])</f>
        <v>1</v>
      </c>
      <c r="CI89" s="3">
        <f>+IF(AVANCE[[#This Row],[CERRADURAS]]=AV$2,100%,AVANCE[[#This Row],[CERRADURAS]])</f>
        <v>0</v>
      </c>
      <c r="CJ89" s="3">
        <f>+IF(AVANCE[[#This Row],[REVESTIMIENTO INTERIOR ZONA SECA]]=AW$2,100%,AVANCE[[#This Row],[REVESTIMIENTO INTERIOR ZONA SECA]])</f>
        <v>1</v>
      </c>
      <c r="CK89" s="3">
        <f>+IF(AVANCE[[#This Row],[REVESTIMIENTO INTERIOR ZONAS HUMEDAS]]=AX$2,100%,AVANCE[[#This Row],[REVESTIMIENTO INTERIOR ZONAS HUMEDAS]])</f>
        <v>1</v>
      </c>
      <c r="CL89" s="3">
        <f>+IF(AVANCE[[#This Row],[MEMBRANA CIELO]]=AY$2,100%,AVANCE[[#This Row],[MEMBRANA CIELO]])</f>
        <v>1</v>
      </c>
      <c r="CM89" s="3">
        <f>+IF(AVANCE[[#This Row],[LIMPIEZA FINAL]]=AZ$2,100%,AVANCE[[#This Row],[LIMPIEZA FINAL]])</f>
        <v>0</v>
      </c>
      <c r="CN89" s="3">
        <f>+IF(AVANCE[[#This Row],[PUERTAS DORMITORIO]]=BA$2,100%,AVANCE[[#This Row],[PUERTAS DORMITORIO]])</f>
        <v>0</v>
      </c>
      <c r="CO89" s="3">
        <f>+IF(AVANCE[[#This Row],[REVESTIMIENTO INTERIOR BANO]]=BB$2,100%,AVANCE[[#This Row],[REVESTIMIENTO INTERIOR BANO]])</f>
        <v>1</v>
      </c>
      <c r="CP89" s="3">
        <f>+IF(AVANCE[[#This Row],[MUEBLE LAVAPLATOS]]=BC$2,100%,AVANCE[[#This Row],[MUEBLE LAVAPLATOS]])</f>
        <v>1</v>
      </c>
      <c r="CQ89" s="3">
        <f>+IF(AVANCE[[#This Row],[IMPERMEABILIZACION BANO - COCINA LOGIA]]=BD$2,100%,AVANCE[[#This Row],[IMPERMEABILIZACION BANO - COCINA LOGIA]])</f>
        <v>1</v>
      </c>
      <c r="CR89" s="40">
        <f ca="1">+IF(AVANCE[[#This Row],[ESTADO MODULO]]="PENDIENTE",(TODAY()-AVANCE[[#This Row],[FECHA TERMINO  PLANIFICADO]]),0)</f>
        <v>-13</v>
      </c>
      <c r="CS89" s="42" t="str" cm="1">
        <f t="array" ref="CS89">_xlfn.TEXTJOIN(" | ",TRUE,IF(SUMPRODUCT((BF89:CQ89&lt;1)*(PARTIDAS!$I$2:$AT$2="OBRA GRUESA"))&gt;0,"OBRA GRUESA: "&amp;_xlfn.TEXTJOIN(", ",TRUE,IF((BF89:CQ89&lt;1)*(PARTIDAS!$I$2:$AT$2="OBRA GRUESA"),PARTIDAS!$I$1:$AT$1,"")),""),IF(SUMPRODUCT((BF89:CQ89&lt;1)*(PARTIDAS!$I$2:$AT$2="SANITARIOS"))&gt;0,"SANITARIOS: "&amp;_xlfn.TEXTJOIN(", ",TRUE,IF((BF89:CQ89&lt;1)*(PARTIDAS!$I$2:$AT$2="SANITARIOS"),PARTIDAS!$I$1:$AT$1,"")),""),IF(SUMPRODUCT((BF89:CQ89&lt;1)*(PARTIDAS!$I$2:$AT$2="ELÉCTRICO"))&gt;0,"ELÉCTRICO: "&amp;_xlfn.TEXTJOIN(", ",TRUE,IF((BF89:CQ89&lt;1)*(PARTIDAS!$I$2:$AT$2="ELÉCTRICO"),PARTIDAS!$I$1:$AT$1,"")),""),IF(SUMPRODUCT((BF89:CQ89&lt;1)*(PARTIDAS!$I$2:$AT$2="TERMINACIONES"))&gt;0,"TERMINACIONES: "&amp;_xlfn.TEXTJOIN(", ",TRUE,IF((BF89:CQ89&lt;1)*(PARTIDAS!$I$2:$AT$2="TERMINACIONES"),PARTIDAS!$I$1:$AT$1,"")),""))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T89" s="45" t="str" cm="1">
        <f t="array" ref="CT89">_xlfn.TEXTJOIN(", ",TRUE,IF(SUMPRODUCT((BF89:CQ89&lt;1)*(PARTIDAS!$I$2:$AT$2="OBRA GRUESA"))&gt;0,"OBRA GRUESA",""),IF(SUMPRODUCT((BF89:CQ89&lt;1)*(PARTIDAS!$I$2:$AT$2="SANITARIOS"))&gt;0,"SANITARIOS",""),IF(SUMPRODUCT((BF89:CQ89&lt;1)*(PARTIDAS!$I$2:$AT$2="ELÉCTRICO"))&gt;0,"ELÉCTRICO",""),IF(SUMPRODUCT((BF89:CQ89&lt;1)*(PARTIDAS!$I$2:$AT$2="TERMINACIONES"))&gt;0,"TERMINACIONES",""))</f>
        <v>ELÉCTRICO, TERMINACIONES</v>
      </c>
      <c r="CU89" s="46" cm="1">
        <f t="array" ref="CU89">SUMPRODUCT(--(BF89:CQ89&lt;1))</f>
        <v>12</v>
      </c>
    </row>
    <row r="90" spans="1:99" x14ac:dyDescent="0.25">
      <c r="A90" t="s">
        <v>124</v>
      </c>
      <c r="B90" t="s">
        <v>149</v>
      </c>
      <c r="C90">
        <v>2282600089</v>
      </c>
      <c r="D90" t="s">
        <v>58</v>
      </c>
      <c r="E90" s="2">
        <v>0.12</v>
      </c>
      <c r="F90" s="1">
        <v>46169</v>
      </c>
      <c r="G90" s="1">
        <v>46178</v>
      </c>
      <c r="H90" s="1">
        <v>46178</v>
      </c>
      <c r="I90" s="1">
        <v>46195</v>
      </c>
      <c r="J90">
        <v>3</v>
      </c>
      <c r="K90" s="1"/>
      <c r="L90" s="3">
        <v>0.12</v>
      </c>
      <c r="M90" s="3">
        <v>0.27906976744186046</v>
      </c>
      <c r="N90" s="3">
        <v>0.27906976744186046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 t="str">
        <f>+IF(AVANCE[[#This Row],[% AVANCE]]=100%,"MODULO TERMINADO",IF(AVANCE[[#This Row],[FECHA INICIO REAL]]="","MODULO NO INICIADO","PENDIENTE"))</f>
        <v>PENDIENTE</v>
      </c>
      <c r="BF90" s="3">
        <f>+IF(AVANCE[[#This Row],[VENTANAS]]=8.10810810810811%,100%,AVANCE[[#This Row],[VENTANAS]])</f>
        <v>0</v>
      </c>
      <c r="BG90" s="3">
        <f>+IF(AVANCE[[#This Row],[PISO]]=N$2,100%,AVANCE[[#This Row],[PISO]])</f>
        <v>1</v>
      </c>
      <c r="BH90" s="3">
        <f>+IF(AVANCE[[#This Row],[TABIQUES]]=O$2,100%,AVANCE[[#This Row],[TABIQUES]])</f>
        <v>0</v>
      </c>
      <c r="BI90" s="3">
        <f>+IF(AVANCE[[#This Row],[MUROS]]=P$2,100%,AVANCE[[#This Row],[MUROS]])</f>
        <v>0</v>
      </c>
      <c r="BJ90" s="3">
        <f>+IF(AVANCE[[#This Row],[CIELO]]=Q$2,100%,AVANCE[[#This Row],[CIELO]])</f>
        <v>0</v>
      </c>
      <c r="BK90" s="3">
        <f>+IF(AVANCE[[#This Row],[BALCÓN]]=R$2,100%,AVANCE[[#This Row],[BALCÓN]])</f>
        <v>0</v>
      </c>
      <c r="BL90" s="3">
        <f>+IF(AVANCE[[#This Row],[RED ALCANTARILLADO]]=U$2,100%,AVANCE[[#This Row],[RED ALCANTARILLADO]])</f>
        <v>0</v>
      </c>
      <c r="BM90" s="3">
        <f>+IF(AVANCE[[#This Row],[RED DE AGUA]]=V$2,100%,AVANCE[[#This Row],[RED DE AGUA]])</f>
        <v>0</v>
      </c>
      <c r="BN90" s="3">
        <f>+IF(AVANCE[[#This Row],[VENTILACIONES]]=W$2,100%,AVANCE[[#This Row],[VENTILACIONES]])</f>
        <v>0</v>
      </c>
      <c r="BO90" s="3">
        <f>+IF(AVANCE[[#This Row],[TINA]]=X$2,100%,AVANCE[[#This Row],[TINA]])</f>
        <v>0</v>
      </c>
      <c r="BP90" s="3">
        <f>+IF(AVANCE[[#This Row],[WC]]=Y$2,100%,AVANCE[[#This Row],[WC]])</f>
        <v>0</v>
      </c>
      <c r="BQ90" s="3">
        <f>+IF(AVANCE[[#This Row],[LAVAMANOS / LAVAPLATOS / LAVADERO]]=Z$2,100%,AVANCE[[#This Row],[LAVAMANOS / LAVAPLATOS / LAVADERO]])</f>
        <v>0</v>
      </c>
      <c r="BR90" s="3">
        <f>+IF(AVANCE[[#This Row],[CANALIZACIÓN]]=AC$2,100%,AVANCE[[#This Row],[CANALIZACIÓN]])</f>
        <v>0</v>
      </c>
      <c r="BS90" s="3">
        <f>+IF(AVANCE[[#This Row],[CABLEADO]]=AD$2,100%,AVANCE[[#This Row],[CABLEADO]])</f>
        <v>0</v>
      </c>
      <c r="BT90" s="3">
        <f>+IF(AVANCE[[#This Row],[ARTEFACTOS]]=AE$2,100%,AVANCE[[#This Row],[ARTEFACTOS]])</f>
        <v>0</v>
      </c>
      <c r="BU90" s="3">
        <f>+IF(AVANCE[[#This Row],[TABLERO]]=AF$2,100%,AVANCE[[#This Row],[TABLERO]])</f>
        <v>0</v>
      </c>
      <c r="BV90" s="3">
        <f>+IF(AVANCE[[#This Row],[CAJA PAU]]=AG$2,100%,AVANCE[[#This Row],[CAJA PAU]])</f>
        <v>0</v>
      </c>
      <c r="BW90" s="3">
        <f>+IF(AVANCE[[#This Row],[INSTALACION VINILICO]]=AJ$2,100%,AVANCE[[#This Row],[INSTALACION VINILICO]])</f>
        <v>0</v>
      </c>
      <c r="BX90" s="3">
        <f>+IF(AVANCE[[#This Row],[OSB CUBIERTA]]=AK$2,100%,AVANCE[[#This Row],[OSB CUBIERTA]])</f>
        <v>0</v>
      </c>
      <c r="BY90" s="3">
        <f>+IF(AVANCE[[#This Row],[BARANDA BALCON]]=AL$2,100%,AVANCE[[#This Row],[BARANDA BALCON]])</f>
        <v>0</v>
      </c>
      <c r="BZ90" s="3">
        <f>+IF(AVANCE[[#This Row],[OSB EXTERIOR]]=AM$2,100%,AVANCE[[#This Row],[OSB EXTERIOR]])</f>
        <v>0</v>
      </c>
      <c r="CA90" s="3">
        <f>+IF(AVANCE[[#This Row],[SMART PANEL]]=AN$2,100%,AVANCE[[#This Row],[SMART PANEL]])</f>
        <v>0</v>
      </c>
      <c r="CB90" s="3">
        <f>+IF(AVANCE[[#This Row],[PINTURA EXTERIOR]]=AO$2,100%,AVANCE[[#This Row],[PINTURA EXTERIOR]])</f>
        <v>0</v>
      </c>
      <c r="CC90" s="3">
        <f>+IF(AVANCE[[#This Row],[ZOCALOS LOGIA]]=AP$2,100%,AVANCE[[#This Row],[ZOCALOS LOGIA]])</f>
        <v>0</v>
      </c>
      <c r="CD90" s="3">
        <f>+IF(AVANCE[[#This Row],[MOLDURAS]]=AQ$2,100%,AVANCE[[#This Row],[MOLDURAS]])</f>
        <v>0</v>
      </c>
      <c r="CE90" s="3">
        <f>+IF(AVANCE[[#This Row],[PILASTREO]]=AR$2,100%,AVANCE[[#This Row],[PILASTREO]])</f>
        <v>0</v>
      </c>
      <c r="CF90" s="3">
        <f>+IF(AVANCE[[#This Row],[CELOSIAS]]=AS$2,100%,AVANCE[[#This Row],[CELOSIAS]])</f>
        <v>0</v>
      </c>
      <c r="CG90" s="3">
        <f>+IF(AVANCE[[#This Row],[VENTANAS]]=AT$2,100%,AVANCE[[#This Row],[VENTANAS]])</f>
        <v>0</v>
      </c>
      <c r="CH90" s="3">
        <f>+IF(AVANCE[[#This Row],[PUERTAS ACCESO - LOGIA - BANO]]=AU$2,100%,AVANCE[[#This Row],[PUERTAS ACCESO - LOGIA - BANO]])</f>
        <v>0</v>
      </c>
      <c r="CI90" s="3">
        <f>+IF(AVANCE[[#This Row],[CERRADURAS]]=AV$2,100%,AVANCE[[#This Row],[CERRADURAS]])</f>
        <v>0</v>
      </c>
      <c r="CJ90" s="3">
        <f>+IF(AVANCE[[#This Row],[REVESTIMIENTO INTERIOR ZONA SECA]]=AW$2,100%,AVANCE[[#This Row],[REVESTIMIENTO INTERIOR ZONA SECA]])</f>
        <v>0</v>
      </c>
      <c r="CK90" s="3">
        <f>+IF(AVANCE[[#This Row],[REVESTIMIENTO INTERIOR ZONAS HUMEDAS]]=AX$2,100%,AVANCE[[#This Row],[REVESTIMIENTO INTERIOR ZONAS HUMEDAS]])</f>
        <v>0</v>
      </c>
      <c r="CL90" s="3">
        <f>+IF(AVANCE[[#This Row],[MEMBRANA CIELO]]=AY$2,100%,AVANCE[[#This Row],[MEMBRANA CIELO]])</f>
        <v>0</v>
      </c>
      <c r="CM90" s="3">
        <f>+IF(AVANCE[[#This Row],[LIMPIEZA FINAL]]=AZ$2,100%,AVANCE[[#This Row],[LIMPIEZA FINAL]])</f>
        <v>0</v>
      </c>
      <c r="CN90" s="3">
        <f>+IF(AVANCE[[#This Row],[PUERTAS DORMITORIO]]=BA$2,100%,AVANCE[[#This Row],[PUERTAS DORMITORIO]])</f>
        <v>0</v>
      </c>
      <c r="CO90" s="3">
        <f>+IF(AVANCE[[#This Row],[REVESTIMIENTO INTERIOR BANO]]=BB$2,100%,AVANCE[[#This Row],[REVESTIMIENTO INTERIOR BANO]])</f>
        <v>0</v>
      </c>
      <c r="CP90" s="3">
        <f>+IF(AVANCE[[#This Row],[MUEBLE LAVAPLATOS]]=BC$2,100%,AVANCE[[#This Row],[MUEBLE LAVAPLATOS]])</f>
        <v>0</v>
      </c>
      <c r="CQ90" s="3">
        <f>+IF(AVANCE[[#This Row],[IMPERMEABILIZACION BANO - COCINA LOGIA]]=BD$2,100%,AVANCE[[#This Row],[IMPERMEABILIZACION BANO - COCINA LOGIA]])</f>
        <v>0</v>
      </c>
      <c r="CR90" s="40">
        <f ca="1">+IF(AVANCE[[#This Row],[ESTADO MODULO]]="PENDIENTE",(TODAY()-AVANCE[[#This Row],[FECHA TERMINO  PLANIFICADO]]),0)</f>
        <v>-14</v>
      </c>
      <c r="CS90" s="42" t="str" cm="1">
        <f t="array" ref="CS90">_xlfn.TEXTJOIN(" | ",TRUE,IF(SUMPRODUCT((BF90:CQ90&lt;1)*(PARTIDAS!$I$2:$AT$2="OBRA GRUESA"))&gt;0,"OBRA GRUESA: "&amp;_xlfn.TEXTJOIN(", ",TRUE,IF((BF90:CQ90&lt;1)*(PARTIDAS!$I$2:$AT$2="OBRA GRUESA"),PARTIDAS!$I$1:$AT$1,"")),""),IF(SUMPRODUCT((BF90:CQ90&lt;1)*(PARTIDAS!$I$2:$AT$2="SANITARIOS"))&gt;0,"SANITARIOS: "&amp;_xlfn.TEXTJOIN(", ",TRUE,IF((BF90:CQ90&lt;1)*(PARTIDAS!$I$2:$AT$2="SANITARIOS"),PARTIDAS!$I$1:$AT$1,"")),""),IF(SUMPRODUCT((BF90:CQ90&lt;1)*(PARTIDAS!$I$2:$AT$2="ELÉCTRICO"))&gt;0,"ELÉCTRICO: "&amp;_xlfn.TEXTJOIN(", ",TRUE,IF((BF90:CQ90&lt;1)*(PARTIDAS!$I$2:$AT$2="ELÉCTRICO"),PARTIDAS!$I$1:$AT$1,"")),""),IF(SUMPRODUCT((BF90:CQ90&lt;1)*(PARTIDAS!$I$2:$AT$2="TERMINACIONES"))&gt;0,"TERMINACIONES: "&amp;_xlfn.TEXTJOIN(", ",TRUE,IF((BF90:CQ90&lt;1)*(PARTIDAS!$I$2:$AT$2="TERMINACIONES"),PARTIDAS!$I$1:$AT$1,"")),""))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0" s="45" t="str" cm="1">
        <f t="array" ref="CT90">_xlfn.TEXTJOIN(", ",TRUE,IF(SUMPRODUCT((BF90:CQ90&lt;1)*(PARTIDAS!$I$2:$AT$2="OBRA GRUESA"))&gt;0,"OBRA GRUESA",""),IF(SUMPRODUCT((BF90:CQ90&lt;1)*(PARTIDAS!$I$2:$AT$2="SANITARIOS"))&gt;0,"SANITARIOS",""),IF(SUMPRODUCT((BF90:CQ90&lt;1)*(PARTIDAS!$I$2:$AT$2="ELÉCTRICO"))&gt;0,"ELÉCTRICO",""),IF(SUMPRODUCT((BF90:CQ90&lt;1)*(PARTIDAS!$I$2:$AT$2="TERMINACIONES"))&gt;0,"TERMINACIONES",""))</f>
        <v>OBRA GRUESA, SANITARIOS, ELÉCTRICO, TERMINACIONES</v>
      </c>
      <c r="CU90" s="46" cm="1">
        <f t="array" ref="CU90">SUMPRODUCT(--(BF90:CQ90&lt;1))</f>
        <v>37</v>
      </c>
    </row>
    <row r="91" spans="1:99" x14ac:dyDescent="0.25">
      <c r="A91" t="s">
        <v>124</v>
      </c>
      <c r="B91" t="s">
        <v>150</v>
      </c>
      <c r="C91">
        <v>2302600090</v>
      </c>
      <c r="D91" t="s">
        <v>60</v>
      </c>
      <c r="E91" s="2">
        <v>0.12</v>
      </c>
      <c r="F91" s="1">
        <v>46169</v>
      </c>
      <c r="G91" s="1">
        <v>46176</v>
      </c>
      <c r="H91" s="1">
        <v>46176</v>
      </c>
      <c r="I91" s="1">
        <v>46205</v>
      </c>
      <c r="J91">
        <v>5</v>
      </c>
      <c r="K91" s="1"/>
      <c r="L91" s="3">
        <v>0.12</v>
      </c>
      <c r="M91" s="3">
        <v>0.27906976744186046</v>
      </c>
      <c r="N91" s="3">
        <v>0.27906976744186046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 t="str">
        <f>+IF(AVANCE[[#This Row],[% AVANCE]]=100%,"MODULO TERMINADO",IF(AVANCE[[#This Row],[FECHA INICIO REAL]]="","MODULO NO INICIADO","PENDIENTE"))</f>
        <v>PENDIENTE</v>
      </c>
      <c r="BF91" s="3">
        <f>+IF(AVANCE[[#This Row],[VENTANAS]]=8.10810810810811%,100%,AVANCE[[#This Row],[VENTANAS]])</f>
        <v>0</v>
      </c>
      <c r="BG91" s="3">
        <f>+IF(AVANCE[[#This Row],[PISO]]=N$2,100%,AVANCE[[#This Row],[PISO]])</f>
        <v>1</v>
      </c>
      <c r="BH91" s="3">
        <f>+IF(AVANCE[[#This Row],[TABIQUES]]=O$2,100%,AVANCE[[#This Row],[TABIQUES]])</f>
        <v>0</v>
      </c>
      <c r="BI91" s="3">
        <f>+IF(AVANCE[[#This Row],[MUROS]]=P$2,100%,AVANCE[[#This Row],[MUROS]])</f>
        <v>0</v>
      </c>
      <c r="BJ91" s="3">
        <f>+IF(AVANCE[[#This Row],[CIELO]]=Q$2,100%,AVANCE[[#This Row],[CIELO]])</f>
        <v>0</v>
      </c>
      <c r="BK91" s="3">
        <f>+IF(AVANCE[[#This Row],[BALCÓN]]=R$2,100%,AVANCE[[#This Row],[BALCÓN]])</f>
        <v>0</v>
      </c>
      <c r="BL91" s="3">
        <f>+IF(AVANCE[[#This Row],[RED ALCANTARILLADO]]=U$2,100%,AVANCE[[#This Row],[RED ALCANTARILLADO]])</f>
        <v>0</v>
      </c>
      <c r="BM91" s="3">
        <f>+IF(AVANCE[[#This Row],[RED DE AGUA]]=V$2,100%,AVANCE[[#This Row],[RED DE AGUA]])</f>
        <v>0</v>
      </c>
      <c r="BN91" s="3">
        <f>+IF(AVANCE[[#This Row],[VENTILACIONES]]=W$2,100%,AVANCE[[#This Row],[VENTILACIONES]])</f>
        <v>0</v>
      </c>
      <c r="BO91" s="3">
        <f>+IF(AVANCE[[#This Row],[TINA]]=X$2,100%,AVANCE[[#This Row],[TINA]])</f>
        <v>0</v>
      </c>
      <c r="BP91" s="3">
        <f>+IF(AVANCE[[#This Row],[WC]]=Y$2,100%,AVANCE[[#This Row],[WC]])</f>
        <v>0</v>
      </c>
      <c r="BQ91" s="3">
        <f>+IF(AVANCE[[#This Row],[LAVAMANOS / LAVAPLATOS / LAVADERO]]=Z$2,100%,AVANCE[[#This Row],[LAVAMANOS / LAVAPLATOS / LAVADERO]])</f>
        <v>0</v>
      </c>
      <c r="BR91" s="3">
        <f>+IF(AVANCE[[#This Row],[CANALIZACIÓN]]=AC$2,100%,AVANCE[[#This Row],[CANALIZACIÓN]])</f>
        <v>0</v>
      </c>
      <c r="BS91" s="3">
        <f>+IF(AVANCE[[#This Row],[CABLEADO]]=AD$2,100%,AVANCE[[#This Row],[CABLEADO]])</f>
        <v>0</v>
      </c>
      <c r="BT91" s="3">
        <f>+IF(AVANCE[[#This Row],[ARTEFACTOS]]=AE$2,100%,AVANCE[[#This Row],[ARTEFACTOS]])</f>
        <v>0</v>
      </c>
      <c r="BU91" s="3">
        <f>+IF(AVANCE[[#This Row],[TABLERO]]=AF$2,100%,AVANCE[[#This Row],[TABLERO]])</f>
        <v>0</v>
      </c>
      <c r="BV91" s="3">
        <f>+IF(AVANCE[[#This Row],[CAJA PAU]]=AG$2,100%,AVANCE[[#This Row],[CAJA PAU]])</f>
        <v>0</v>
      </c>
      <c r="BW91" s="3">
        <f>+IF(AVANCE[[#This Row],[INSTALACION VINILICO]]=AJ$2,100%,AVANCE[[#This Row],[INSTALACION VINILICO]])</f>
        <v>0</v>
      </c>
      <c r="BX91" s="3">
        <f>+IF(AVANCE[[#This Row],[OSB CUBIERTA]]=AK$2,100%,AVANCE[[#This Row],[OSB CUBIERTA]])</f>
        <v>0</v>
      </c>
      <c r="BY91" s="3">
        <f>+IF(AVANCE[[#This Row],[BARANDA BALCON]]=AL$2,100%,AVANCE[[#This Row],[BARANDA BALCON]])</f>
        <v>0</v>
      </c>
      <c r="BZ91" s="3">
        <f>+IF(AVANCE[[#This Row],[OSB EXTERIOR]]=AM$2,100%,AVANCE[[#This Row],[OSB EXTERIOR]])</f>
        <v>0</v>
      </c>
      <c r="CA91" s="3">
        <f>+IF(AVANCE[[#This Row],[SMART PANEL]]=AN$2,100%,AVANCE[[#This Row],[SMART PANEL]])</f>
        <v>0</v>
      </c>
      <c r="CB91" s="3">
        <f>+IF(AVANCE[[#This Row],[PINTURA EXTERIOR]]=AO$2,100%,AVANCE[[#This Row],[PINTURA EXTERIOR]])</f>
        <v>0</v>
      </c>
      <c r="CC91" s="3">
        <f>+IF(AVANCE[[#This Row],[ZOCALOS LOGIA]]=AP$2,100%,AVANCE[[#This Row],[ZOCALOS LOGIA]])</f>
        <v>0</v>
      </c>
      <c r="CD91" s="3">
        <f>+IF(AVANCE[[#This Row],[MOLDURAS]]=AQ$2,100%,AVANCE[[#This Row],[MOLDURAS]])</f>
        <v>0</v>
      </c>
      <c r="CE91" s="3">
        <f>+IF(AVANCE[[#This Row],[PILASTREO]]=AR$2,100%,AVANCE[[#This Row],[PILASTREO]])</f>
        <v>0</v>
      </c>
      <c r="CF91" s="3">
        <f>+IF(AVANCE[[#This Row],[CELOSIAS]]=AS$2,100%,AVANCE[[#This Row],[CELOSIAS]])</f>
        <v>0</v>
      </c>
      <c r="CG91" s="3">
        <f>+IF(AVANCE[[#This Row],[VENTANAS]]=AT$2,100%,AVANCE[[#This Row],[VENTANAS]])</f>
        <v>0</v>
      </c>
      <c r="CH91" s="3">
        <f>+IF(AVANCE[[#This Row],[PUERTAS ACCESO - LOGIA - BANO]]=AU$2,100%,AVANCE[[#This Row],[PUERTAS ACCESO - LOGIA - BANO]])</f>
        <v>0</v>
      </c>
      <c r="CI91" s="3">
        <f>+IF(AVANCE[[#This Row],[CERRADURAS]]=AV$2,100%,AVANCE[[#This Row],[CERRADURAS]])</f>
        <v>0</v>
      </c>
      <c r="CJ91" s="3">
        <f>+IF(AVANCE[[#This Row],[REVESTIMIENTO INTERIOR ZONA SECA]]=AW$2,100%,AVANCE[[#This Row],[REVESTIMIENTO INTERIOR ZONA SECA]])</f>
        <v>0</v>
      </c>
      <c r="CK91" s="3">
        <f>+IF(AVANCE[[#This Row],[REVESTIMIENTO INTERIOR ZONAS HUMEDAS]]=AX$2,100%,AVANCE[[#This Row],[REVESTIMIENTO INTERIOR ZONAS HUMEDAS]])</f>
        <v>0</v>
      </c>
      <c r="CL91" s="3">
        <f>+IF(AVANCE[[#This Row],[MEMBRANA CIELO]]=AY$2,100%,AVANCE[[#This Row],[MEMBRANA CIELO]])</f>
        <v>0</v>
      </c>
      <c r="CM91" s="3">
        <f>+IF(AVANCE[[#This Row],[LIMPIEZA FINAL]]=AZ$2,100%,AVANCE[[#This Row],[LIMPIEZA FINAL]])</f>
        <v>0</v>
      </c>
      <c r="CN91" s="3">
        <f>+IF(AVANCE[[#This Row],[PUERTAS DORMITORIO]]=BA$2,100%,AVANCE[[#This Row],[PUERTAS DORMITORIO]])</f>
        <v>0</v>
      </c>
      <c r="CO91" s="3">
        <f>+IF(AVANCE[[#This Row],[REVESTIMIENTO INTERIOR BANO]]=BB$2,100%,AVANCE[[#This Row],[REVESTIMIENTO INTERIOR BANO]])</f>
        <v>0</v>
      </c>
      <c r="CP91" s="3">
        <f>+IF(AVANCE[[#This Row],[MUEBLE LAVAPLATOS]]=BC$2,100%,AVANCE[[#This Row],[MUEBLE LAVAPLATOS]])</f>
        <v>0</v>
      </c>
      <c r="CQ91" s="3">
        <f>+IF(AVANCE[[#This Row],[IMPERMEABILIZACION BANO - COCINA LOGIA]]=BD$2,100%,AVANCE[[#This Row],[IMPERMEABILIZACION BANO - COCINA LOGIA]])</f>
        <v>0</v>
      </c>
      <c r="CR91" s="40">
        <f ca="1">+IF(AVANCE[[#This Row],[ESTADO MODULO]]="PENDIENTE",(TODAY()-AVANCE[[#This Row],[FECHA TERMINO  PLANIFICADO]]),0)</f>
        <v>-24</v>
      </c>
      <c r="CS91" s="42" t="str" cm="1">
        <f t="array" ref="CS91">_xlfn.TEXTJOIN(" | ",TRUE,IF(SUMPRODUCT((BF91:CQ91&lt;1)*(PARTIDAS!$I$2:$AT$2="OBRA GRUESA"))&gt;0,"OBRA GRUESA: "&amp;_xlfn.TEXTJOIN(", ",TRUE,IF((BF91:CQ91&lt;1)*(PARTIDAS!$I$2:$AT$2="OBRA GRUESA"),PARTIDAS!$I$1:$AT$1,"")),""),IF(SUMPRODUCT((BF91:CQ91&lt;1)*(PARTIDAS!$I$2:$AT$2="SANITARIOS"))&gt;0,"SANITARIOS: "&amp;_xlfn.TEXTJOIN(", ",TRUE,IF((BF91:CQ91&lt;1)*(PARTIDAS!$I$2:$AT$2="SANITARIOS"),PARTIDAS!$I$1:$AT$1,"")),""),IF(SUMPRODUCT((BF91:CQ91&lt;1)*(PARTIDAS!$I$2:$AT$2="ELÉCTRICO"))&gt;0,"ELÉCTRICO: "&amp;_xlfn.TEXTJOIN(", ",TRUE,IF((BF91:CQ91&lt;1)*(PARTIDAS!$I$2:$AT$2="ELÉCTRICO"),PARTIDAS!$I$1:$AT$1,"")),""),IF(SUMPRODUCT((BF91:CQ91&lt;1)*(PARTIDAS!$I$2:$AT$2="TERMINACIONES"))&gt;0,"TERMINACIONES: "&amp;_xlfn.TEXTJOIN(", ",TRUE,IF((BF91:CQ91&lt;1)*(PARTIDAS!$I$2:$AT$2="TERMINACIONES"),PARTIDAS!$I$1:$AT$1,"")),""))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1" s="45" t="str" cm="1">
        <f t="array" ref="CT91">_xlfn.TEXTJOIN(", ",TRUE,IF(SUMPRODUCT((BF91:CQ91&lt;1)*(PARTIDAS!$I$2:$AT$2="OBRA GRUESA"))&gt;0,"OBRA GRUESA",""),IF(SUMPRODUCT((BF91:CQ91&lt;1)*(PARTIDAS!$I$2:$AT$2="SANITARIOS"))&gt;0,"SANITARIOS",""),IF(SUMPRODUCT((BF91:CQ91&lt;1)*(PARTIDAS!$I$2:$AT$2="ELÉCTRICO"))&gt;0,"ELÉCTRICO",""),IF(SUMPRODUCT((BF91:CQ91&lt;1)*(PARTIDAS!$I$2:$AT$2="TERMINACIONES"))&gt;0,"TERMINACIONES",""))</f>
        <v>OBRA GRUESA, SANITARIOS, ELÉCTRICO, TERMINACIONES</v>
      </c>
      <c r="CU91" s="46" cm="1">
        <f t="array" ref="CU91">SUMPRODUCT(--(BF91:CQ91&lt;1))</f>
        <v>37</v>
      </c>
    </row>
    <row r="92" spans="1:99" x14ac:dyDescent="0.25">
      <c r="A92" t="s">
        <v>124</v>
      </c>
      <c r="B92" t="s">
        <v>151</v>
      </c>
      <c r="C92">
        <v>2302600091</v>
      </c>
      <c r="D92" t="s">
        <v>60</v>
      </c>
      <c r="E92" s="2">
        <v>0</v>
      </c>
      <c r="F92" s="1">
        <v>46170</v>
      </c>
      <c r="G92" s="1"/>
      <c r="H92" s="1">
        <v>0</v>
      </c>
      <c r="I92" s="1">
        <v>46206</v>
      </c>
      <c r="J92">
        <v>46181</v>
      </c>
      <c r="K92" s="1"/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 t="str">
        <f>+IF(AVANCE[[#This Row],[% AVANCE]]=100%,"MODULO TERMINADO",IF(AVANCE[[#This Row],[FECHA INICIO REAL]]="","MODULO NO INICIADO","PENDIENTE"))</f>
        <v>MODULO NO INICIADO</v>
      </c>
      <c r="BF92" s="3">
        <f>+IF(AVANCE[[#This Row],[VENTANAS]]=8.10810810810811%,100%,AVANCE[[#This Row],[VENTANAS]])</f>
        <v>0</v>
      </c>
      <c r="BG92" s="3">
        <f>+IF(AVANCE[[#This Row],[PISO]]=N$2,100%,AVANCE[[#This Row],[PISO]])</f>
        <v>0</v>
      </c>
      <c r="BH92" s="3">
        <f>+IF(AVANCE[[#This Row],[TABIQUES]]=O$2,100%,AVANCE[[#This Row],[TABIQUES]])</f>
        <v>0</v>
      </c>
      <c r="BI92" s="3">
        <f>+IF(AVANCE[[#This Row],[MUROS]]=P$2,100%,AVANCE[[#This Row],[MUROS]])</f>
        <v>0</v>
      </c>
      <c r="BJ92" s="3">
        <f>+IF(AVANCE[[#This Row],[CIELO]]=Q$2,100%,AVANCE[[#This Row],[CIELO]])</f>
        <v>0</v>
      </c>
      <c r="BK92" s="3">
        <f>+IF(AVANCE[[#This Row],[BALCÓN]]=R$2,100%,AVANCE[[#This Row],[BALCÓN]])</f>
        <v>0</v>
      </c>
      <c r="BL92" s="3">
        <f>+IF(AVANCE[[#This Row],[RED ALCANTARILLADO]]=U$2,100%,AVANCE[[#This Row],[RED ALCANTARILLADO]])</f>
        <v>0</v>
      </c>
      <c r="BM92" s="3">
        <f>+IF(AVANCE[[#This Row],[RED DE AGUA]]=V$2,100%,AVANCE[[#This Row],[RED DE AGUA]])</f>
        <v>0</v>
      </c>
      <c r="BN92" s="3">
        <f>+IF(AVANCE[[#This Row],[VENTILACIONES]]=W$2,100%,AVANCE[[#This Row],[VENTILACIONES]])</f>
        <v>0</v>
      </c>
      <c r="BO92" s="3">
        <f>+IF(AVANCE[[#This Row],[TINA]]=X$2,100%,AVANCE[[#This Row],[TINA]])</f>
        <v>0</v>
      </c>
      <c r="BP92" s="3">
        <f>+IF(AVANCE[[#This Row],[WC]]=Y$2,100%,AVANCE[[#This Row],[WC]])</f>
        <v>0</v>
      </c>
      <c r="BQ92" s="3">
        <f>+IF(AVANCE[[#This Row],[LAVAMANOS / LAVAPLATOS / LAVADERO]]=Z$2,100%,AVANCE[[#This Row],[LAVAMANOS / LAVAPLATOS / LAVADERO]])</f>
        <v>0</v>
      </c>
      <c r="BR92" s="3">
        <f>+IF(AVANCE[[#This Row],[CANALIZACIÓN]]=AC$2,100%,AVANCE[[#This Row],[CANALIZACIÓN]])</f>
        <v>0</v>
      </c>
      <c r="BS92" s="3">
        <f>+IF(AVANCE[[#This Row],[CABLEADO]]=AD$2,100%,AVANCE[[#This Row],[CABLEADO]])</f>
        <v>0</v>
      </c>
      <c r="BT92" s="3">
        <f>+IF(AVANCE[[#This Row],[ARTEFACTOS]]=AE$2,100%,AVANCE[[#This Row],[ARTEFACTOS]])</f>
        <v>0</v>
      </c>
      <c r="BU92" s="3">
        <f>+IF(AVANCE[[#This Row],[TABLERO]]=AF$2,100%,AVANCE[[#This Row],[TABLERO]])</f>
        <v>0</v>
      </c>
      <c r="BV92" s="3">
        <f>+IF(AVANCE[[#This Row],[CAJA PAU]]=AG$2,100%,AVANCE[[#This Row],[CAJA PAU]])</f>
        <v>0</v>
      </c>
      <c r="BW92" s="3">
        <f>+IF(AVANCE[[#This Row],[INSTALACION VINILICO]]=AJ$2,100%,AVANCE[[#This Row],[INSTALACION VINILICO]])</f>
        <v>0</v>
      </c>
      <c r="BX92" s="3">
        <f>+IF(AVANCE[[#This Row],[OSB CUBIERTA]]=AK$2,100%,AVANCE[[#This Row],[OSB CUBIERTA]])</f>
        <v>0</v>
      </c>
      <c r="BY92" s="3">
        <f>+IF(AVANCE[[#This Row],[BARANDA BALCON]]=AL$2,100%,AVANCE[[#This Row],[BARANDA BALCON]])</f>
        <v>0</v>
      </c>
      <c r="BZ92" s="3">
        <f>+IF(AVANCE[[#This Row],[OSB EXTERIOR]]=AM$2,100%,AVANCE[[#This Row],[OSB EXTERIOR]])</f>
        <v>0</v>
      </c>
      <c r="CA92" s="3">
        <f>+IF(AVANCE[[#This Row],[SMART PANEL]]=AN$2,100%,AVANCE[[#This Row],[SMART PANEL]])</f>
        <v>0</v>
      </c>
      <c r="CB92" s="3">
        <f>+IF(AVANCE[[#This Row],[PINTURA EXTERIOR]]=AO$2,100%,AVANCE[[#This Row],[PINTURA EXTERIOR]])</f>
        <v>0</v>
      </c>
      <c r="CC92" s="3">
        <f>+IF(AVANCE[[#This Row],[ZOCALOS LOGIA]]=AP$2,100%,AVANCE[[#This Row],[ZOCALOS LOGIA]])</f>
        <v>0</v>
      </c>
      <c r="CD92" s="3">
        <f>+IF(AVANCE[[#This Row],[MOLDURAS]]=AQ$2,100%,AVANCE[[#This Row],[MOLDURAS]])</f>
        <v>0</v>
      </c>
      <c r="CE92" s="3">
        <f>+IF(AVANCE[[#This Row],[PILASTREO]]=AR$2,100%,AVANCE[[#This Row],[PILASTREO]])</f>
        <v>0</v>
      </c>
      <c r="CF92" s="3">
        <f>+IF(AVANCE[[#This Row],[CELOSIAS]]=AS$2,100%,AVANCE[[#This Row],[CELOSIAS]])</f>
        <v>0</v>
      </c>
      <c r="CG92" s="3">
        <f>+IF(AVANCE[[#This Row],[VENTANAS]]=AT$2,100%,AVANCE[[#This Row],[VENTANAS]])</f>
        <v>0</v>
      </c>
      <c r="CH92" s="3">
        <f>+IF(AVANCE[[#This Row],[PUERTAS ACCESO - LOGIA - BANO]]=AU$2,100%,AVANCE[[#This Row],[PUERTAS ACCESO - LOGIA - BANO]])</f>
        <v>0</v>
      </c>
      <c r="CI92" s="3">
        <f>+IF(AVANCE[[#This Row],[CERRADURAS]]=AV$2,100%,AVANCE[[#This Row],[CERRADURAS]])</f>
        <v>0</v>
      </c>
      <c r="CJ92" s="3">
        <f>+IF(AVANCE[[#This Row],[REVESTIMIENTO INTERIOR ZONA SECA]]=AW$2,100%,AVANCE[[#This Row],[REVESTIMIENTO INTERIOR ZONA SECA]])</f>
        <v>0</v>
      </c>
      <c r="CK92" s="3">
        <f>+IF(AVANCE[[#This Row],[REVESTIMIENTO INTERIOR ZONAS HUMEDAS]]=AX$2,100%,AVANCE[[#This Row],[REVESTIMIENTO INTERIOR ZONAS HUMEDAS]])</f>
        <v>0</v>
      </c>
      <c r="CL92" s="3">
        <f>+IF(AVANCE[[#This Row],[MEMBRANA CIELO]]=AY$2,100%,AVANCE[[#This Row],[MEMBRANA CIELO]])</f>
        <v>0</v>
      </c>
      <c r="CM92" s="3">
        <f>+IF(AVANCE[[#This Row],[LIMPIEZA FINAL]]=AZ$2,100%,AVANCE[[#This Row],[LIMPIEZA FINAL]])</f>
        <v>0</v>
      </c>
      <c r="CN92" s="3">
        <f>+IF(AVANCE[[#This Row],[PUERTAS DORMITORIO]]=BA$2,100%,AVANCE[[#This Row],[PUERTAS DORMITORIO]])</f>
        <v>0</v>
      </c>
      <c r="CO92" s="3">
        <f>+IF(AVANCE[[#This Row],[REVESTIMIENTO INTERIOR BANO]]=BB$2,100%,AVANCE[[#This Row],[REVESTIMIENTO INTERIOR BANO]])</f>
        <v>0</v>
      </c>
      <c r="CP92" s="3">
        <f>+IF(AVANCE[[#This Row],[MUEBLE LAVAPLATOS]]=BC$2,100%,AVANCE[[#This Row],[MUEBLE LAVAPLATOS]])</f>
        <v>0</v>
      </c>
      <c r="CQ92" s="3">
        <f>+IF(AVANCE[[#This Row],[IMPERMEABILIZACION BANO - COCINA LOGIA]]=BD$2,100%,AVANCE[[#This Row],[IMPERMEABILIZACION BANO - COCINA LOGIA]])</f>
        <v>0</v>
      </c>
      <c r="CR92" s="40">
        <f ca="1">+IF(AVANCE[[#This Row],[ESTADO MODULO]]="PENDIENTE",(TODAY()-AVANCE[[#This Row],[FECHA TERMINO  PLANIFICADO]]),0)</f>
        <v>0</v>
      </c>
      <c r="CS92" s="42" t="str" cm="1">
        <f t="array" ref="CS92">_xlfn.TEXTJOIN(" | ",TRUE,IF(SUMPRODUCT((BF92:CQ92&lt;1)*(PARTIDAS!$I$2:$AT$2="OBRA GRUESA"))&gt;0,"OBRA GRUESA: "&amp;_xlfn.TEXTJOIN(", ",TRUE,IF((BF92:CQ92&lt;1)*(PARTIDAS!$I$2:$AT$2="OBRA GRUESA"),PARTIDAS!$I$1:$AT$1,"")),""),IF(SUMPRODUCT((BF92:CQ92&lt;1)*(PARTIDAS!$I$2:$AT$2="SANITARIOS"))&gt;0,"SANITARIOS: "&amp;_xlfn.TEXTJOIN(", ",TRUE,IF((BF92:CQ92&lt;1)*(PARTIDAS!$I$2:$AT$2="SANITARIOS"),PARTIDAS!$I$1:$AT$1,"")),""),IF(SUMPRODUCT((BF92:CQ92&lt;1)*(PARTIDAS!$I$2:$AT$2="ELÉCTRICO"))&gt;0,"ELÉCTRICO: "&amp;_xlfn.TEXTJOIN(", ",TRUE,IF((BF92:CQ92&lt;1)*(PARTIDAS!$I$2:$AT$2="ELÉCTRICO"),PARTIDAS!$I$1:$AT$1,"")),""),IF(SUMPRODUCT((BF92:CQ92&lt;1)*(PARTIDAS!$I$2:$AT$2="TERMINACIONES"))&gt;0,"TERMINACIONES: "&amp;_xlfn.TEXTJOIN(", ",TRUE,IF((BF92:CQ92&lt;1)*(PARTIDAS!$I$2:$AT$2="TERMINACIONES"),PARTIDAS!$I$1:$AT$1,"")),""))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2" s="45" t="str" cm="1">
        <f t="array" ref="CT92">_xlfn.TEXTJOIN(", ",TRUE,IF(SUMPRODUCT((BF92:CQ92&lt;1)*(PARTIDAS!$I$2:$AT$2="OBRA GRUESA"))&gt;0,"OBRA GRUESA",""),IF(SUMPRODUCT((BF92:CQ92&lt;1)*(PARTIDAS!$I$2:$AT$2="SANITARIOS"))&gt;0,"SANITARIOS",""),IF(SUMPRODUCT((BF92:CQ92&lt;1)*(PARTIDAS!$I$2:$AT$2="ELÉCTRICO"))&gt;0,"ELÉCTRICO",""),IF(SUMPRODUCT((BF92:CQ92&lt;1)*(PARTIDAS!$I$2:$AT$2="TERMINACIONES"))&gt;0,"TERMINACIONES",""))</f>
        <v>OBRA GRUESA, SANITARIOS, ELÉCTRICO, TERMINACIONES</v>
      </c>
      <c r="CU92" s="46" cm="1">
        <f t="array" ref="CU92">SUMPRODUCT(--(BF92:CQ92&lt;1))</f>
        <v>38</v>
      </c>
    </row>
    <row r="93" spans="1:99" x14ac:dyDescent="0.25">
      <c r="A93" t="s">
        <v>124</v>
      </c>
      <c r="B93" t="s">
        <v>152</v>
      </c>
      <c r="C93">
        <v>2282600092</v>
      </c>
      <c r="D93" t="s">
        <v>58</v>
      </c>
      <c r="E93" s="2">
        <v>0</v>
      </c>
      <c r="F93" s="1">
        <v>46170</v>
      </c>
      <c r="G93" s="1"/>
      <c r="H93" s="1">
        <v>0</v>
      </c>
      <c r="I93" s="1">
        <v>46196</v>
      </c>
      <c r="J93">
        <v>46181</v>
      </c>
      <c r="K93" s="1"/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 t="str">
        <f>+IF(AVANCE[[#This Row],[% AVANCE]]=100%,"MODULO TERMINADO",IF(AVANCE[[#This Row],[FECHA INICIO REAL]]="","MODULO NO INICIADO","PENDIENTE"))</f>
        <v>MODULO NO INICIADO</v>
      </c>
      <c r="BF93" s="3">
        <f>+IF(AVANCE[[#This Row],[VENTANAS]]=8.10810810810811%,100%,AVANCE[[#This Row],[VENTANAS]])</f>
        <v>0</v>
      </c>
      <c r="BG93" s="3">
        <f>+IF(AVANCE[[#This Row],[PISO]]=N$2,100%,AVANCE[[#This Row],[PISO]])</f>
        <v>0</v>
      </c>
      <c r="BH93" s="3">
        <f>+IF(AVANCE[[#This Row],[TABIQUES]]=O$2,100%,AVANCE[[#This Row],[TABIQUES]])</f>
        <v>0</v>
      </c>
      <c r="BI93" s="3">
        <f>+IF(AVANCE[[#This Row],[MUROS]]=P$2,100%,AVANCE[[#This Row],[MUROS]])</f>
        <v>0</v>
      </c>
      <c r="BJ93" s="3">
        <f>+IF(AVANCE[[#This Row],[CIELO]]=Q$2,100%,AVANCE[[#This Row],[CIELO]])</f>
        <v>0</v>
      </c>
      <c r="BK93" s="3">
        <f>+IF(AVANCE[[#This Row],[BALCÓN]]=R$2,100%,AVANCE[[#This Row],[BALCÓN]])</f>
        <v>0</v>
      </c>
      <c r="BL93" s="3">
        <f>+IF(AVANCE[[#This Row],[RED ALCANTARILLADO]]=U$2,100%,AVANCE[[#This Row],[RED ALCANTARILLADO]])</f>
        <v>0</v>
      </c>
      <c r="BM93" s="3">
        <f>+IF(AVANCE[[#This Row],[RED DE AGUA]]=V$2,100%,AVANCE[[#This Row],[RED DE AGUA]])</f>
        <v>0</v>
      </c>
      <c r="BN93" s="3">
        <f>+IF(AVANCE[[#This Row],[VENTILACIONES]]=W$2,100%,AVANCE[[#This Row],[VENTILACIONES]])</f>
        <v>0</v>
      </c>
      <c r="BO93" s="3">
        <f>+IF(AVANCE[[#This Row],[TINA]]=X$2,100%,AVANCE[[#This Row],[TINA]])</f>
        <v>0</v>
      </c>
      <c r="BP93" s="3">
        <f>+IF(AVANCE[[#This Row],[WC]]=Y$2,100%,AVANCE[[#This Row],[WC]])</f>
        <v>0</v>
      </c>
      <c r="BQ93" s="3">
        <f>+IF(AVANCE[[#This Row],[LAVAMANOS / LAVAPLATOS / LAVADERO]]=Z$2,100%,AVANCE[[#This Row],[LAVAMANOS / LAVAPLATOS / LAVADERO]])</f>
        <v>0</v>
      </c>
      <c r="BR93" s="3">
        <f>+IF(AVANCE[[#This Row],[CANALIZACIÓN]]=AC$2,100%,AVANCE[[#This Row],[CANALIZACIÓN]])</f>
        <v>0</v>
      </c>
      <c r="BS93" s="3">
        <f>+IF(AVANCE[[#This Row],[CABLEADO]]=AD$2,100%,AVANCE[[#This Row],[CABLEADO]])</f>
        <v>0</v>
      </c>
      <c r="BT93" s="3">
        <f>+IF(AVANCE[[#This Row],[ARTEFACTOS]]=AE$2,100%,AVANCE[[#This Row],[ARTEFACTOS]])</f>
        <v>0</v>
      </c>
      <c r="BU93" s="3">
        <f>+IF(AVANCE[[#This Row],[TABLERO]]=AF$2,100%,AVANCE[[#This Row],[TABLERO]])</f>
        <v>0</v>
      </c>
      <c r="BV93" s="3">
        <f>+IF(AVANCE[[#This Row],[CAJA PAU]]=AG$2,100%,AVANCE[[#This Row],[CAJA PAU]])</f>
        <v>0</v>
      </c>
      <c r="BW93" s="3">
        <f>+IF(AVANCE[[#This Row],[INSTALACION VINILICO]]=AJ$2,100%,AVANCE[[#This Row],[INSTALACION VINILICO]])</f>
        <v>0</v>
      </c>
      <c r="BX93" s="3">
        <f>+IF(AVANCE[[#This Row],[OSB CUBIERTA]]=AK$2,100%,AVANCE[[#This Row],[OSB CUBIERTA]])</f>
        <v>0</v>
      </c>
      <c r="BY93" s="3">
        <f>+IF(AVANCE[[#This Row],[BARANDA BALCON]]=AL$2,100%,AVANCE[[#This Row],[BARANDA BALCON]])</f>
        <v>0</v>
      </c>
      <c r="BZ93" s="3">
        <f>+IF(AVANCE[[#This Row],[OSB EXTERIOR]]=AM$2,100%,AVANCE[[#This Row],[OSB EXTERIOR]])</f>
        <v>0</v>
      </c>
      <c r="CA93" s="3">
        <f>+IF(AVANCE[[#This Row],[SMART PANEL]]=AN$2,100%,AVANCE[[#This Row],[SMART PANEL]])</f>
        <v>0</v>
      </c>
      <c r="CB93" s="3">
        <f>+IF(AVANCE[[#This Row],[PINTURA EXTERIOR]]=AO$2,100%,AVANCE[[#This Row],[PINTURA EXTERIOR]])</f>
        <v>0</v>
      </c>
      <c r="CC93" s="3">
        <f>+IF(AVANCE[[#This Row],[ZOCALOS LOGIA]]=AP$2,100%,AVANCE[[#This Row],[ZOCALOS LOGIA]])</f>
        <v>0</v>
      </c>
      <c r="CD93" s="3">
        <f>+IF(AVANCE[[#This Row],[MOLDURAS]]=AQ$2,100%,AVANCE[[#This Row],[MOLDURAS]])</f>
        <v>0</v>
      </c>
      <c r="CE93" s="3">
        <f>+IF(AVANCE[[#This Row],[PILASTREO]]=AR$2,100%,AVANCE[[#This Row],[PILASTREO]])</f>
        <v>0</v>
      </c>
      <c r="CF93" s="3">
        <f>+IF(AVANCE[[#This Row],[CELOSIAS]]=AS$2,100%,AVANCE[[#This Row],[CELOSIAS]])</f>
        <v>0</v>
      </c>
      <c r="CG93" s="3">
        <f>+IF(AVANCE[[#This Row],[VENTANAS]]=AT$2,100%,AVANCE[[#This Row],[VENTANAS]])</f>
        <v>0</v>
      </c>
      <c r="CH93" s="3">
        <f>+IF(AVANCE[[#This Row],[PUERTAS ACCESO - LOGIA - BANO]]=AU$2,100%,AVANCE[[#This Row],[PUERTAS ACCESO - LOGIA - BANO]])</f>
        <v>0</v>
      </c>
      <c r="CI93" s="3">
        <f>+IF(AVANCE[[#This Row],[CERRADURAS]]=AV$2,100%,AVANCE[[#This Row],[CERRADURAS]])</f>
        <v>0</v>
      </c>
      <c r="CJ93" s="3">
        <f>+IF(AVANCE[[#This Row],[REVESTIMIENTO INTERIOR ZONA SECA]]=AW$2,100%,AVANCE[[#This Row],[REVESTIMIENTO INTERIOR ZONA SECA]])</f>
        <v>0</v>
      </c>
      <c r="CK93" s="3">
        <f>+IF(AVANCE[[#This Row],[REVESTIMIENTO INTERIOR ZONAS HUMEDAS]]=AX$2,100%,AVANCE[[#This Row],[REVESTIMIENTO INTERIOR ZONAS HUMEDAS]])</f>
        <v>0</v>
      </c>
      <c r="CL93" s="3">
        <f>+IF(AVANCE[[#This Row],[MEMBRANA CIELO]]=AY$2,100%,AVANCE[[#This Row],[MEMBRANA CIELO]])</f>
        <v>0</v>
      </c>
      <c r="CM93" s="3">
        <f>+IF(AVANCE[[#This Row],[LIMPIEZA FINAL]]=AZ$2,100%,AVANCE[[#This Row],[LIMPIEZA FINAL]])</f>
        <v>0</v>
      </c>
      <c r="CN93" s="3">
        <f>+IF(AVANCE[[#This Row],[PUERTAS DORMITORIO]]=BA$2,100%,AVANCE[[#This Row],[PUERTAS DORMITORIO]])</f>
        <v>0</v>
      </c>
      <c r="CO93" s="3">
        <f>+IF(AVANCE[[#This Row],[REVESTIMIENTO INTERIOR BANO]]=BB$2,100%,AVANCE[[#This Row],[REVESTIMIENTO INTERIOR BANO]])</f>
        <v>0</v>
      </c>
      <c r="CP93" s="3">
        <f>+IF(AVANCE[[#This Row],[MUEBLE LAVAPLATOS]]=BC$2,100%,AVANCE[[#This Row],[MUEBLE LAVAPLATOS]])</f>
        <v>0</v>
      </c>
      <c r="CQ93" s="3">
        <f>+IF(AVANCE[[#This Row],[IMPERMEABILIZACION BANO - COCINA LOGIA]]=BD$2,100%,AVANCE[[#This Row],[IMPERMEABILIZACION BANO - COCINA LOGIA]])</f>
        <v>0</v>
      </c>
      <c r="CR93" s="40">
        <f ca="1">+IF(AVANCE[[#This Row],[ESTADO MODULO]]="PENDIENTE",(TODAY()-AVANCE[[#This Row],[FECHA TERMINO  PLANIFICADO]]),0)</f>
        <v>0</v>
      </c>
      <c r="CS93" s="42" t="str" cm="1">
        <f t="array" ref="CS93">_xlfn.TEXTJOIN(" | ",TRUE,IF(SUMPRODUCT((BF93:CQ93&lt;1)*(PARTIDAS!$I$2:$AT$2="OBRA GRUESA"))&gt;0,"OBRA GRUESA: "&amp;_xlfn.TEXTJOIN(", ",TRUE,IF((BF93:CQ93&lt;1)*(PARTIDAS!$I$2:$AT$2="OBRA GRUESA"),PARTIDAS!$I$1:$AT$1,"")),""),IF(SUMPRODUCT((BF93:CQ93&lt;1)*(PARTIDAS!$I$2:$AT$2="SANITARIOS"))&gt;0,"SANITARIOS: "&amp;_xlfn.TEXTJOIN(", ",TRUE,IF((BF93:CQ93&lt;1)*(PARTIDAS!$I$2:$AT$2="SANITARIOS"),PARTIDAS!$I$1:$AT$1,"")),""),IF(SUMPRODUCT((BF93:CQ93&lt;1)*(PARTIDAS!$I$2:$AT$2="ELÉCTRICO"))&gt;0,"ELÉCTRICO: "&amp;_xlfn.TEXTJOIN(", ",TRUE,IF((BF93:CQ93&lt;1)*(PARTIDAS!$I$2:$AT$2="ELÉCTRICO"),PARTIDAS!$I$1:$AT$1,"")),""),IF(SUMPRODUCT((BF93:CQ93&lt;1)*(PARTIDAS!$I$2:$AT$2="TERMINACIONES"))&gt;0,"TERMINACIONES: "&amp;_xlfn.TEXTJOIN(", ",TRUE,IF((BF93:CQ93&lt;1)*(PARTIDAS!$I$2:$AT$2="TERMINACIONES"),PARTIDAS!$I$1:$AT$1,"")),""))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3" s="45" t="str" cm="1">
        <f t="array" ref="CT93">_xlfn.TEXTJOIN(", ",TRUE,IF(SUMPRODUCT((BF93:CQ93&lt;1)*(PARTIDAS!$I$2:$AT$2="OBRA GRUESA"))&gt;0,"OBRA GRUESA",""),IF(SUMPRODUCT((BF93:CQ93&lt;1)*(PARTIDAS!$I$2:$AT$2="SANITARIOS"))&gt;0,"SANITARIOS",""),IF(SUMPRODUCT((BF93:CQ93&lt;1)*(PARTIDAS!$I$2:$AT$2="ELÉCTRICO"))&gt;0,"ELÉCTRICO",""),IF(SUMPRODUCT((BF93:CQ93&lt;1)*(PARTIDAS!$I$2:$AT$2="TERMINACIONES"))&gt;0,"TERMINACIONES",""))</f>
        <v>OBRA GRUESA, SANITARIOS, ELÉCTRICO, TERMINACIONES</v>
      </c>
      <c r="CU93" s="46" cm="1">
        <f t="array" ref="CU93">SUMPRODUCT(--(BF93:CQ93&lt;1))</f>
        <v>38</v>
      </c>
    </row>
    <row r="94" spans="1:99" x14ac:dyDescent="0.25">
      <c r="A94" t="s">
        <v>124</v>
      </c>
      <c r="B94" t="s">
        <v>153</v>
      </c>
      <c r="C94">
        <v>2282600093</v>
      </c>
      <c r="D94" t="s">
        <v>58</v>
      </c>
      <c r="E94" s="2">
        <v>0</v>
      </c>
      <c r="F94" s="1">
        <v>46171</v>
      </c>
      <c r="G94" s="1"/>
      <c r="H94" s="1">
        <v>0</v>
      </c>
      <c r="I94" s="1">
        <v>46197</v>
      </c>
      <c r="J94">
        <v>46181</v>
      </c>
      <c r="K94" s="1"/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 t="str">
        <f>+IF(AVANCE[[#This Row],[% AVANCE]]=100%,"MODULO TERMINADO",IF(AVANCE[[#This Row],[FECHA INICIO REAL]]="","MODULO NO INICIADO","PENDIENTE"))</f>
        <v>MODULO NO INICIADO</v>
      </c>
      <c r="BF94" s="3">
        <f>+IF(AVANCE[[#This Row],[VENTANAS]]=8.10810810810811%,100%,AVANCE[[#This Row],[VENTANAS]])</f>
        <v>0</v>
      </c>
      <c r="BG94" s="3">
        <f>+IF(AVANCE[[#This Row],[PISO]]=N$2,100%,AVANCE[[#This Row],[PISO]])</f>
        <v>0</v>
      </c>
      <c r="BH94" s="3">
        <f>+IF(AVANCE[[#This Row],[TABIQUES]]=O$2,100%,AVANCE[[#This Row],[TABIQUES]])</f>
        <v>0</v>
      </c>
      <c r="BI94" s="3">
        <f>+IF(AVANCE[[#This Row],[MUROS]]=P$2,100%,AVANCE[[#This Row],[MUROS]])</f>
        <v>0</v>
      </c>
      <c r="BJ94" s="3">
        <f>+IF(AVANCE[[#This Row],[CIELO]]=Q$2,100%,AVANCE[[#This Row],[CIELO]])</f>
        <v>0</v>
      </c>
      <c r="BK94" s="3">
        <f>+IF(AVANCE[[#This Row],[BALCÓN]]=R$2,100%,AVANCE[[#This Row],[BALCÓN]])</f>
        <v>0</v>
      </c>
      <c r="BL94" s="3">
        <f>+IF(AVANCE[[#This Row],[RED ALCANTARILLADO]]=U$2,100%,AVANCE[[#This Row],[RED ALCANTARILLADO]])</f>
        <v>0</v>
      </c>
      <c r="BM94" s="3">
        <f>+IF(AVANCE[[#This Row],[RED DE AGUA]]=V$2,100%,AVANCE[[#This Row],[RED DE AGUA]])</f>
        <v>0</v>
      </c>
      <c r="BN94" s="3">
        <f>+IF(AVANCE[[#This Row],[VENTILACIONES]]=W$2,100%,AVANCE[[#This Row],[VENTILACIONES]])</f>
        <v>0</v>
      </c>
      <c r="BO94" s="3">
        <f>+IF(AVANCE[[#This Row],[TINA]]=X$2,100%,AVANCE[[#This Row],[TINA]])</f>
        <v>0</v>
      </c>
      <c r="BP94" s="3">
        <f>+IF(AVANCE[[#This Row],[WC]]=Y$2,100%,AVANCE[[#This Row],[WC]])</f>
        <v>0</v>
      </c>
      <c r="BQ94" s="3">
        <f>+IF(AVANCE[[#This Row],[LAVAMANOS / LAVAPLATOS / LAVADERO]]=Z$2,100%,AVANCE[[#This Row],[LAVAMANOS / LAVAPLATOS / LAVADERO]])</f>
        <v>0</v>
      </c>
      <c r="BR94" s="3">
        <f>+IF(AVANCE[[#This Row],[CANALIZACIÓN]]=AC$2,100%,AVANCE[[#This Row],[CANALIZACIÓN]])</f>
        <v>0</v>
      </c>
      <c r="BS94" s="3">
        <f>+IF(AVANCE[[#This Row],[CABLEADO]]=AD$2,100%,AVANCE[[#This Row],[CABLEADO]])</f>
        <v>0</v>
      </c>
      <c r="BT94" s="3">
        <f>+IF(AVANCE[[#This Row],[ARTEFACTOS]]=AE$2,100%,AVANCE[[#This Row],[ARTEFACTOS]])</f>
        <v>0</v>
      </c>
      <c r="BU94" s="3">
        <f>+IF(AVANCE[[#This Row],[TABLERO]]=AF$2,100%,AVANCE[[#This Row],[TABLERO]])</f>
        <v>0</v>
      </c>
      <c r="BV94" s="3">
        <f>+IF(AVANCE[[#This Row],[CAJA PAU]]=AG$2,100%,AVANCE[[#This Row],[CAJA PAU]])</f>
        <v>0</v>
      </c>
      <c r="BW94" s="3">
        <f>+IF(AVANCE[[#This Row],[INSTALACION VINILICO]]=AJ$2,100%,AVANCE[[#This Row],[INSTALACION VINILICO]])</f>
        <v>0</v>
      </c>
      <c r="BX94" s="3">
        <f>+IF(AVANCE[[#This Row],[OSB CUBIERTA]]=AK$2,100%,AVANCE[[#This Row],[OSB CUBIERTA]])</f>
        <v>0</v>
      </c>
      <c r="BY94" s="3">
        <f>+IF(AVANCE[[#This Row],[BARANDA BALCON]]=AL$2,100%,AVANCE[[#This Row],[BARANDA BALCON]])</f>
        <v>0</v>
      </c>
      <c r="BZ94" s="3">
        <f>+IF(AVANCE[[#This Row],[OSB EXTERIOR]]=AM$2,100%,AVANCE[[#This Row],[OSB EXTERIOR]])</f>
        <v>0</v>
      </c>
      <c r="CA94" s="3">
        <f>+IF(AVANCE[[#This Row],[SMART PANEL]]=AN$2,100%,AVANCE[[#This Row],[SMART PANEL]])</f>
        <v>0</v>
      </c>
      <c r="CB94" s="3">
        <f>+IF(AVANCE[[#This Row],[PINTURA EXTERIOR]]=AO$2,100%,AVANCE[[#This Row],[PINTURA EXTERIOR]])</f>
        <v>0</v>
      </c>
      <c r="CC94" s="3">
        <f>+IF(AVANCE[[#This Row],[ZOCALOS LOGIA]]=AP$2,100%,AVANCE[[#This Row],[ZOCALOS LOGIA]])</f>
        <v>0</v>
      </c>
      <c r="CD94" s="3">
        <f>+IF(AVANCE[[#This Row],[MOLDURAS]]=AQ$2,100%,AVANCE[[#This Row],[MOLDURAS]])</f>
        <v>0</v>
      </c>
      <c r="CE94" s="3">
        <f>+IF(AVANCE[[#This Row],[PILASTREO]]=AR$2,100%,AVANCE[[#This Row],[PILASTREO]])</f>
        <v>0</v>
      </c>
      <c r="CF94" s="3">
        <f>+IF(AVANCE[[#This Row],[CELOSIAS]]=AS$2,100%,AVANCE[[#This Row],[CELOSIAS]])</f>
        <v>0</v>
      </c>
      <c r="CG94" s="3">
        <f>+IF(AVANCE[[#This Row],[VENTANAS]]=AT$2,100%,AVANCE[[#This Row],[VENTANAS]])</f>
        <v>0</v>
      </c>
      <c r="CH94" s="3">
        <f>+IF(AVANCE[[#This Row],[PUERTAS ACCESO - LOGIA - BANO]]=AU$2,100%,AVANCE[[#This Row],[PUERTAS ACCESO - LOGIA - BANO]])</f>
        <v>0</v>
      </c>
      <c r="CI94" s="3">
        <f>+IF(AVANCE[[#This Row],[CERRADURAS]]=AV$2,100%,AVANCE[[#This Row],[CERRADURAS]])</f>
        <v>0</v>
      </c>
      <c r="CJ94" s="3">
        <f>+IF(AVANCE[[#This Row],[REVESTIMIENTO INTERIOR ZONA SECA]]=AW$2,100%,AVANCE[[#This Row],[REVESTIMIENTO INTERIOR ZONA SECA]])</f>
        <v>0</v>
      </c>
      <c r="CK94" s="3">
        <f>+IF(AVANCE[[#This Row],[REVESTIMIENTO INTERIOR ZONAS HUMEDAS]]=AX$2,100%,AVANCE[[#This Row],[REVESTIMIENTO INTERIOR ZONAS HUMEDAS]])</f>
        <v>0</v>
      </c>
      <c r="CL94" s="3">
        <f>+IF(AVANCE[[#This Row],[MEMBRANA CIELO]]=AY$2,100%,AVANCE[[#This Row],[MEMBRANA CIELO]])</f>
        <v>0</v>
      </c>
      <c r="CM94" s="3">
        <f>+IF(AVANCE[[#This Row],[LIMPIEZA FINAL]]=AZ$2,100%,AVANCE[[#This Row],[LIMPIEZA FINAL]])</f>
        <v>0</v>
      </c>
      <c r="CN94" s="3">
        <f>+IF(AVANCE[[#This Row],[PUERTAS DORMITORIO]]=BA$2,100%,AVANCE[[#This Row],[PUERTAS DORMITORIO]])</f>
        <v>0</v>
      </c>
      <c r="CO94" s="3">
        <f>+IF(AVANCE[[#This Row],[REVESTIMIENTO INTERIOR BANO]]=BB$2,100%,AVANCE[[#This Row],[REVESTIMIENTO INTERIOR BANO]])</f>
        <v>0</v>
      </c>
      <c r="CP94" s="3">
        <f>+IF(AVANCE[[#This Row],[MUEBLE LAVAPLATOS]]=BC$2,100%,AVANCE[[#This Row],[MUEBLE LAVAPLATOS]])</f>
        <v>0</v>
      </c>
      <c r="CQ94" s="3">
        <f>+IF(AVANCE[[#This Row],[IMPERMEABILIZACION BANO - COCINA LOGIA]]=BD$2,100%,AVANCE[[#This Row],[IMPERMEABILIZACION BANO - COCINA LOGIA]])</f>
        <v>0</v>
      </c>
      <c r="CR94" s="40">
        <f ca="1">+IF(AVANCE[[#This Row],[ESTADO MODULO]]="PENDIENTE",(TODAY()-AVANCE[[#This Row],[FECHA TERMINO  PLANIFICADO]]),0)</f>
        <v>0</v>
      </c>
      <c r="CS94" s="42" t="str" cm="1">
        <f t="array" ref="CS94">_xlfn.TEXTJOIN(" | ",TRUE,IF(SUMPRODUCT((BF94:CQ94&lt;1)*(PARTIDAS!$I$2:$AT$2="OBRA GRUESA"))&gt;0,"OBRA GRUESA: "&amp;_xlfn.TEXTJOIN(", ",TRUE,IF((BF94:CQ94&lt;1)*(PARTIDAS!$I$2:$AT$2="OBRA GRUESA"),PARTIDAS!$I$1:$AT$1,"")),""),IF(SUMPRODUCT((BF94:CQ94&lt;1)*(PARTIDAS!$I$2:$AT$2="SANITARIOS"))&gt;0,"SANITARIOS: "&amp;_xlfn.TEXTJOIN(", ",TRUE,IF((BF94:CQ94&lt;1)*(PARTIDAS!$I$2:$AT$2="SANITARIOS"),PARTIDAS!$I$1:$AT$1,"")),""),IF(SUMPRODUCT((BF94:CQ94&lt;1)*(PARTIDAS!$I$2:$AT$2="ELÉCTRICO"))&gt;0,"ELÉCTRICO: "&amp;_xlfn.TEXTJOIN(", ",TRUE,IF((BF94:CQ94&lt;1)*(PARTIDAS!$I$2:$AT$2="ELÉCTRICO"),PARTIDAS!$I$1:$AT$1,"")),""),IF(SUMPRODUCT((BF94:CQ94&lt;1)*(PARTIDAS!$I$2:$AT$2="TERMINACIONES"))&gt;0,"TERMINACIONES: "&amp;_xlfn.TEXTJOIN(", ",TRUE,IF((BF94:CQ94&lt;1)*(PARTIDAS!$I$2:$AT$2="TERMINACIONES"),PARTIDAS!$I$1:$AT$1,"")),""))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4" s="45" t="str" cm="1">
        <f t="array" ref="CT94">_xlfn.TEXTJOIN(", ",TRUE,IF(SUMPRODUCT((BF94:CQ94&lt;1)*(PARTIDAS!$I$2:$AT$2="OBRA GRUESA"))&gt;0,"OBRA GRUESA",""),IF(SUMPRODUCT((BF94:CQ94&lt;1)*(PARTIDAS!$I$2:$AT$2="SANITARIOS"))&gt;0,"SANITARIOS",""),IF(SUMPRODUCT((BF94:CQ94&lt;1)*(PARTIDAS!$I$2:$AT$2="ELÉCTRICO"))&gt;0,"ELÉCTRICO",""),IF(SUMPRODUCT((BF94:CQ94&lt;1)*(PARTIDAS!$I$2:$AT$2="TERMINACIONES"))&gt;0,"TERMINACIONES",""))</f>
        <v>OBRA GRUESA, SANITARIOS, ELÉCTRICO, TERMINACIONES</v>
      </c>
      <c r="CU94" s="46" cm="1">
        <f t="array" ref="CU94">SUMPRODUCT(--(BF94:CQ94&lt;1))</f>
        <v>38</v>
      </c>
    </row>
    <row r="95" spans="1:99" x14ac:dyDescent="0.25">
      <c r="A95" t="s">
        <v>124</v>
      </c>
      <c r="B95" t="s">
        <v>154</v>
      </c>
      <c r="C95">
        <v>2302600094</v>
      </c>
      <c r="D95" t="s">
        <v>60</v>
      </c>
      <c r="E95" s="2">
        <v>0</v>
      </c>
      <c r="F95" s="1">
        <v>46171</v>
      </c>
      <c r="G95" s="1"/>
      <c r="H95" s="1">
        <v>0</v>
      </c>
      <c r="I95" s="1">
        <v>46207</v>
      </c>
      <c r="J95">
        <v>46181</v>
      </c>
      <c r="K95" s="1"/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 t="str">
        <f>+IF(AVANCE[[#This Row],[% AVANCE]]=100%,"MODULO TERMINADO",IF(AVANCE[[#This Row],[FECHA INICIO REAL]]="","MODULO NO INICIADO","PENDIENTE"))</f>
        <v>MODULO NO INICIADO</v>
      </c>
      <c r="BF95" s="3">
        <f>+IF(AVANCE[[#This Row],[VENTANAS]]=8.10810810810811%,100%,AVANCE[[#This Row],[VENTANAS]])</f>
        <v>0</v>
      </c>
      <c r="BG95" s="3">
        <f>+IF(AVANCE[[#This Row],[PISO]]=N$2,100%,AVANCE[[#This Row],[PISO]])</f>
        <v>0</v>
      </c>
      <c r="BH95" s="3">
        <f>+IF(AVANCE[[#This Row],[TABIQUES]]=O$2,100%,AVANCE[[#This Row],[TABIQUES]])</f>
        <v>0</v>
      </c>
      <c r="BI95" s="3">
        <f>+IF(AVANCE[[#This Row],[MUROS]]=P$2,100%,AVANCE[[#This Row],[MUROS]])</f>
        <v>0</v>
      </c>
      <c r="BJ95" s="3">
        <f>+IF(AVANCE[[#This Row],[CIELO]]=Q$2,100%,AVANCE[[#This Row],[CIELO]])</f>
        <v>0</v>
      </c>
      <c r="BK95" s="3">
        <f>+IF(AVANCE[[#This Row],[BALCÓN]]=R$2,100%,AVANCE[[#This Row],[BALCÓN]])</f>
        <v>0</v>
      </c>
      <c r="BL95" s="3">
        <f>+IF(AVANCE[[#This Row],[RED ALCANTARILLADO]]=U$2,100%,AVANCE[[#This Row],[RED ALCANTARILLADO]])</f>
        <v>0</v>
      </c>
      <c r="BM95" s="3">
        <f>+IF(AVANCE[[#This Row],[RED DE AGUA]]=V$2,100%,AVANCE[[#This Row],[RED DE AGUA]])</f>
        <v>0</v>
      </c>
      <c r="BN95" s="3">
        <f>+IF(AVANCE[[#This Row],[VENTILACIONES]]=W$2,100%,AVANCE[[#This Row],[VENTILACIONES]])</f>
        <v>0</v>
      </c>
      <c r="BO95" s="3">
        <f>+IF(AVANCE[[#This Row],[TINA]]=X$2,100%,AVANCE[[#This Row],[TINA]])</f>
        <v>0</v>
      </c>
      <c r="BP95" s="3">
        <f>+IF(AVANCE[[#This Row],[WC]]=Y$2,100%,AVANCE[[#This Row],[WC]])</f>
        <v>0</v>
      </c>
      <c r="BQ95" s="3">
        <f>+IF(AVANCE[[#This Row],[LAVAMANOS / LAVAPLATOS / LAVADERO]]=Z$2,100%,AVANCE[[#This Row],[LAVAMANOS / LAVAPLATOS / LAVADERO]])</f>
        <v>0</v>
      </c>
      <c r="BR95" s="3">
        <f>+IF(AVANCE[[#This Row],[CANALIZACIÓN]]=AC$2,100%,AVANCE[[#This Row],[CANALIZACIÓN]])</f>
        <v>0</v>
      </c>
      <c r="BS95" s="3">
        <f>+IF(AVANCE[[#This Row],[CABLEADO]]=AD$2,100%,AVANCE[[#This Row],[CABLEADO]])</f>
        <v>0</v>
      </c>
      <c r="BT95" s="3">
        <f>+IF(AVANCE[[#This Row],[ARTEFACTOS]]=AE$2,100%,AVANCE[[#This Row],[ARTEFACTOS]])</f>
        <v>0</v>
      </c>
      <c r="BU95" s="3">
        <f>+IF(AVANCE[[#This Row],[TABLERO]]=AF$2,100%,AVANCE[[#This Row],[TABLERO]])</f>
        <v>0</v>
      </c>
      <c r="BV95" s="3">
        <f>+IF(AVANCE[[#This Row],[CAJA PAU]]=AG$2,100%,AVANCE[[#This Row],[CAJA PAU]])</f>
        <v>0</v>
      </c>
      <c r="BW95" s="3">
        <f>+IF(AVANCE[[#This Row],[INSTALACION VINILICO]]=AJ$2,100%,AVANCE[[#This Row],[INSTALACION VINILICO]])</f>
        <v>0</v>
      </c>
      <c r="BX95" s="3">
        <f>+IF(AVANCE[[#This Row],[OSB CUBIERTA]]=AK$2,100%,AVANCE[[#This Row],[OSB CUBIERTA]])</f>
        <v>0</v>
      </c>
      <c r="BY95" s="3">
        <f>+IF(AVANCE[[#This Row],[BARANDA BALCON]]=AL$2,100%,AVANCE[[#This Row],[BARANDA BALCON]])</f>
        <v>0</v>
      </c>
      <c r="BZ95" s="3">
        <f>+IF(AVANCE[[#This Row],[OSB EXTERIOR]]=AM$2,100%,AVANCE[[#This Row],[OSB EXTERIOR]])</f>
        <v>0</v>
      </c>
      <c r="CA95" s="3">
        <f>+IF(AVANCE[[#This Row],[SMART PANEL]]=AN$2,100%,AVANCE[[#This Row],[SMART PANEL]])</f>
        <v>0</v>
      </c>
      <c r="CB95" s="3">
        <f>+IF(AVANCE[[#This Row],[PINTURA EXTERIOR]]=AO$2,100%,AVANCE[[#This Row],[PINTURA EXTERIOR]])</f>
        <v>0</v>
      </c>
      <c r="CC95" s="3">
        <f>+IF(AVANCE[[#This Row],[ZOCALOS LOGIA]]=AP$2,100%,AVANCE[[#This Row],[ZOCALOS LOGIA]])</f>
        <v>0</v>
      </c>
      <c r="CD95" s="3">
        <f>+IF(AVANCE[[#This Row],[MOLDURAS]]=AQ$2,100%,AVANCE[[#This Row],[MOLDURAS]])</f>
        <v>0</v>
      </c>
      <c r="CE95" s="3">
        <f>+IF(AVANCE[[#This Row],[PILASTREO]]=AR$2,100%,AVANCE[[#This Row],[PILASTREO]])</f>
        <v>0</v>
      </c>
      <c r="CF95" s="3">
        <f>+IF(AVANCE[[#This Row],[CELOSIAS]]=AS$2,100%,AVANCE[[#This Row],[CELOSIAS]])</f>
        <v>0</v>
      </c>
      <c r="CG95" s="3">
        <f>+IF(AVANCE[[#This Row],[VENTANAS]]=AT$2,100%,AVANCE[[#This Row],[VENTANAS]])</f>
        <v>0</v>
      </c>
      <c r="CH95" s="3">
        <f>+IF(AVANCE[[#This Row],[PUERTAS ACCESO - LOGIA - BANO]]=AU$2,100%,AVANCE[[#This Row],[PUERTAS ACCESO - LOGIA - BANO]])</f>
        <v>0</v>
      </c>
      <c r="CI95" s="3">
        <f>+IF(AVANCE[[#This Row],[CERRADURAS]]=AV$2,100%,AVANCE[[#This Row],[CERRADURAS]])</f>
        <v>0</v>
      </c>
      <c r="CJ95" s="3">
        <f>+IF(AVANCE[[#This Row],[REVESTIMIENTO INTERIOR ZONA SECA]]=AW$2,100%,AVANCE[[#This Row],[REVESTIMIENTO INTERIOR ZONA SECA]])</f>
        <v>0</v>
      </c>
      <c r="CK95" s="3">
        <f>+IF(AVANCE[[#This Row],[REVESTIMIENTO INTERIOR ZONAS HUMEDAS]]=AX$2,100%,AVANCE[[#This Row],[REVESTIMIENTO INTERIOR ZONAS HUMEDAS]])</f>
        <v>0</v>
      </c>
      <c r="CL95" s="3">
        <f>+IF(AVANCE[[#This Row],[MEMBRANA CIELO]]=AY$2,100%,AVANCE[[#This Row],[MEMBRANA CIELO]])</f>
        <v>0</v>
      </c>
      <c r="CM95" s="3">
        <f>+IF(AVANCE[[#This Row],[LIMPIEZA FINAL]]=AZ$2,100%,AVANCE[[#This Row],[LIMPIEZA FINAL]])</f>
        <v>0</v>
      </c>
      <c r="CN95" s="3">
        <f>+IF(AVANCE[[#This Row],[PUERTAS DORMITORIO]]=BA$2,100%,AVANCE[[#This Row],[PUERTAS DORMITORIO]])</f>
        <v>0</v>
      </c>
      <c r="CO95" s="3">
        <f>+IF(AVANCE[[#This Row],[REVESTIMIENTO INTERIOR BANO]]=BB$2,100%,AVANCE[[#This Row],[REVESTIMIENTO INTERIOR BANO]])</f>
        <v>0</v>
      </c>
      <c r="CP95" s="3">
        <f>+IF(AVANCE[[#This Row],[MUEBLE LAVAPLATOS]]=BC$2,100%,AVANCE[[#This Row],[MUEBLE LAVAPLATOS]])</f>
        <v>0</v>
      </c>
      <c r="CQ95" s="3">
        <f>+IF(AVANCE[[#This Row],[IMPERMEABILIZACION BANO - COCINA LOGIA]]=BD$2,100%,AVANCE[[#This Row],[IMPERMEABILIZACION BANO - COCINA LOGIA]])</f>
        <v>0</v>
      </c>
      <c r="CR95" s="40">
        <f ca="1">+IF(AVANCE[[#This Row],[ESTADO MODULO]]="PENDIENTE",(TODAY()-AVANCE[[#This Row],[FECHA TERMINO  PLANIFICADO]]),0)</f>
        <v>0</v>
      </c>
      <c r="CS95" s="42" t="str" cm="1">
        <f t="array" ref="CS95">_xlfn.TEXTJOIN(" | ",TRUE,IF(SUMPRODUCT((BF95:CQ95&lt;1)*(PARTIDAS!$I$2:$AT$2="OBRA GRUESA"))&gt;0,"OBRA GRUESA: "&amp;_xlfn.TEXTJOIN(", ",TRUE,IF((BF95:CQ95&lt;1)*(PARTIDAS!$I$2:$AT$2="OBRA GRUESA"),PARTIDAS!$I$1:$AT$1,"")),""),IF(SUMPRODUCT((BF95:CQ95&lt;1)*(PARTIDAS!$I$2:$AT$2="SANITARIOS"))&gt;0,"SANITARIOS: "&amp;_xlfn.TEXTJOIN(", ",TRUE,IF((BF95:CQ95&lt;1)*(PARTIDAS!$I$2:$AT$2="SANITARIOS"),PARTIDAS!$I$1:$AT$1,"")),""),IF(SUMPRODUCT((BF95:CQ95&lt;1)*(PARTIDAS!$I$2:$AT$2="ELÉCTRICO"))&gt;0,"ELÉCTRICO: "&amp;_xlfn.TEXTJOIN(", ",TRUE,IF((BF95:CQ95&lt;1)*(PARTIDAS!$I$2:$AT$2="ELÉCTRICO"),PARTIDAS!$I$1:$AT$1,"")),""),IF(SUMPRODUCT((BF95:CQ95&lt;1)*(PARTIDAS!$I$2:$AT$2="TERMINACIONES"))&gt;0,"TERMINACIONES: "&amp;_xlfn.TEXTJOIN(", ",TRUE,IF((BF95:CQ95&lt;1)*(PARTIDAS!$I$2:$AT$2="TERMINACIONES"),PARTIDAS!$I$1:$AT$1,"")),""))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5" s="45" t="str" cm="1">
        <f t="array" ref="CT95">_xlfn.TEXTJOIN(", ",TRUE,IF(SUMPRODUCT((BF95:CQ95&lt;1)*(PARTIDAS!$I$2:$AT$2="OBRA GRUESA"))&gt;0,"OBRA GRUESA",""),IF(SUMPRODUCT((BF95:CQ95&lt;1)*(PARTIDAS!$I$2:$AT$2="SANITARIOS"))&gt;0,"SANITARIOS",""),IF(SUMPRODUCT((BF95:CQ95&lt;1)*(PARTIDAS!$I$2:$AT$2="ELÉCTRICO"))&gt;0,"ELÉCTRICO",""),IF(SUMPRODUCT((BF95:CQ95&lt;1)*(PARTIDAS!$I$2:$AT$2="TERMINACIONES"))&gt;0,"TERMINACIONES",""))</f>
        <v>OBRA GRUESA, SANITARIOS, ELÉCTRICO, TERMINACIONES</v>
      </c>
      <c r="CU95" s="46" cm="1">
        <f t="array" ref="CU95">SUMPRODUCT(--(BF95:CQ95&lt;1))</f>
        <v>38</v>
      </c>
    </row>
    <row r="96" spans="1:99" x14ac:dyDescent="0.25">
      <c r="A96" t="s">
        <v>124</v>
      </c>
      <c r="B96" t="s">
        <v>155</v>
      </c>
      <c r="C96">
        <v>2302600095</v>
      </c>
      <c r="D96" t="s">
        <v>60</v>
      </c>
      <c r="E96" s="2">
        <v>0.38999999999999996</v>
      </c>
      <c r="F96" s="1">
        <v>46174</v>
      </c>
      <c r="G96" s="1">
        <v>46177</v>
      </c>
      <c r="H96" s="1">
        <v>46178</v>
      </c>
      <c r="I96" s="1">
        <v>46210</v>
      </c>
      <c r="J96">
        <v>3</v>
      </c>
      <c r="K96" s="1"/>
      <c r="L96" s="3">
        <v>0.38999999999999996</v>
      </c>
      <c r="M96" s="3">
        <v>0.90697674418604646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 t="str">
        <f>+IF(AVANCE[[#This Row],[% AVANCE]]=100%,"MODULO TERMINADO",IF(AVANCE[[#This Row],[FECHA INICIO REAL]]="","MODULO NO INICIADO","PENDIENTE"))</f>
        <v>PENDIENTE</v>
      </c>
      <c r="BF96" s="3">
        <f>+IF(AVANCE[[#This Row],[VENTANAS]]=8.10810810810811%,100%,AVANCE[[#This Row],[VENTANAS]])</f>
        <v>0</v>
      </c>
      <c r="BG96" s="3">
        <f>+IF(AVANCE[[#This Row],[PISO]]=N$2,100%,AVANCE[[#This Row],[PISO]])</f>
        <v>1</v>
      </c>
      <c r="BH96" s="3">
        <f>+IF(AVANCE[[#This Row],[TABIQUES]]=O$2,100%,AVANCE[[#This Row],[TABIQUES]])</f>
        <v>1</v>
      </c>
      <c r="BI96" s="3">
        <f>+IF(AVANCE[[#This Row],[MUROS]]=P$2,100%,AVANCE[[#This Row],[MUROS]])</f>
        <v>1</v>
      </c>
      <c r="BJ96" s="3">
        <f>+IF(AVANCE[[#This Row],[CIELO]]=Q$2,100%,AVANCE[[#This Row],[CIELO]])</f>
        <v>1</v>
      </c>
      <c r="BK96" s="3">
        <f>+IF(AVANCE[[#This Row],[BALCÓN]]=R$2,100%,AVANCE[[#This Row],[BALCÓN]])</f>
        <v>0</v>
      </c>
      <c r="BL96" s="3">
        <f>+IF(AVANCE[[#This Row],[RED ALCANTARILLADO]]=U$2,100%,AVANCE[[#This Row],[RED ALCANTARILLADO]])</f>
        <v>0</v>
      </c>
      <c r="BM96" s="3">
        <f>+IF(AVANCE[[#This Row],[RED DE AGUA]]=V$2,100%,AVANCE[[#This Row],[RED DE AGUA]])</f>
        <v>0</v>
      </c>
      <c r="BN96" s="3">
        <f>+IF(AVANCE[[#This Row],[VENTILACIONES]]=W$2,100%,AVANCE[[#This Row],[VENTILACIONES]])</f>
        <v>0</v>
      </c>
      <c r="BO96" s="3">
        <f>+IF(AVANCE[[#This Row],[TINA]]=X$2,100%,AVANCE[[#This Row],[TINA]])</f>
        <v>0</v>
      </c>
      <c r="BP96" s="3">
        <f>+IF(AVANCE[[#This Row],[WC]]=Y$2,100%,AVANCE[[#This Row],[WC]])</f>
        <v>0</v>
      </c>
      <c r="BQ96" s="3">
        <f>+IF(AVANCE[[#This Row],[LAVAMANOS / LAVAPLATOS / LAVADERO]]=Z$2,100%,AVANCE[[#This Row],[LAVAMANOS / LAVAPLATOS / LAVADERO]])</f>
        <v>0</v>
      </c>
      <c r="BR96" s="3">
        <f>+IF(AVANCE[[#This Row],[CANALIZACIÓN]]=AC$2,100%,AVANCE[[#This Row],[CANALIZACIÓN]])</f>
        <v>0</v>
      </c>
      <c r="BS96" s="3">
        <f>+IF(AVANCE[[#This Row],[CABLEADO]]=AD$2,100%,AVANCE[[#This Row],[CABLEADO]])</f>
        <v>0</v>
      </c>
      <c r="BT96" s="3">
        <f>+IF(AVANCE[[#This Row],[ARTEFACTOS]]=AE$2,100%,AVANCE[[#This Row],[ARTEFACTOS]])</f>
        <v>0</v>
      </c>
      <c r="BU96" s="3">
        <f>+IF(AVANCE[[#This Row],[TABLERO]]=AF$2,100%,AVANCE[[#This Row],[TABLERO]])</f>
        <v>0</v>
      </c>
      <c r="BV96" s="3">
        <f>+IF(AVANCE[[#This Row],[CAJA PAU]]=AG$2,100%,AVANCE[[#This Row],[CAJA PAU]])</f>
        <v>0</v>
      </c>
      <c r="BW96" s="3">
        <f>+IF(AVANCE[[#This Row],[INSTALACION VINILICO]]=AJ$2,100%,AVANCE[[#This Row],[INSTALACION VINILICO]])</f>
        <v>0</v>
      </c>
      <c r="BX96" s="3">
        <f>+IF(AVANCE[[#This Row],[OSB CUBIERTA]]=AK$2,100%,AVANCE[[#This Row],[OSB CUBIERTA]])</f>
        <v>0</v>
      </c>
      <c r="BY96" s="3">
        <f>+IF(AVANCE[[#This Row],[BARANDA BALCON]]=AL$2,100%,AVANCE[[#This Row],[BARANDA BALCON]])</f>
        <v>0</v>
      </c>
      <c r="BZ96" s="3">
        <f>+IF(AVANCE[[#This Row],[OSB EXTERIOR]]=AM$2,100%,AVANCE[[#This Row],[OSB EXTERIOR]])</f>
        <v>0</v>
      </c>
      <c r="CA96" s="3">
        <f>+IF(AVANCE[[#This Row],[SMART PANEL]]=AN$2,100%,AVANCE[[#This Row],[SMART PANEL]])</f>
        <v>0</v>
      </c>
      <c r="CB96" s="3">
        <f>+IF(AVANCE[[#This Row],[PINTURA EXTERIOR]]=AO$2,100%,AVANCE[[#This Row],[PINTURA EXTERIOR]])</f>
        <v>0</v>
      </c>
      <c r="CC96" s="3">
        <f>+IF(AVANCE[[#This Row],[ZOCALOS LOGIA]]=AP$2,100%,AVANCE[[#This Row],[ZOCALOS LOGIA]])</f>
        <v>0</v>
      </c>
      <c r="CD96" s="3">
        <f>+IF(AVANCE[[#This Row],[MOLDURAS]]=AQ$2,100%,AVANCE[[#This Row],[MOLDURAS]])</f>
        <v>0</v>
      </c>
      <c r="CE96" s="3">
        <f>+IF(AVANCE[[#This Row],[PILASTREO]]=AR$2,100%,AVANCE[[#This Row],[PILASTREO]])</f>
        <v>0</v>
      </c>
      <c r="CF96" s="3">
        <f>+IF(AVANCE[[#This Row],[CELOSIAS]]=AS$2,100%,AVANCE[[#This Row],[CELOSIAS]])</f>
        <v>0</v>
      </c>
      <c r="CG96" s="3">
        <f>+IF(AVANCE[[#This Row],[VENTANAS]]=AT$2,100%,AVANCE[[#This Row],[VENTANAS]])</f>
        <v>0</v>
      </c>
      <c r="CH96" s="3">
        <f>+IF(AVANCE[[#This Row],[PUERTAS ACCESO - LOGIA - BANO]]=AU$2,100%,AVANCE[[#This Row],[PUERTAS ACCESO - LOGIA - BANO]])</f>
        <v>0</v>
      </c>
      <c r="CI96" s="3">
        <f>+IF(AVANCE[[#This Row],[CERRADURAS]]=AV$2,100%,AVANCE[[#This Row],[CERRADURAS]])</f>
        <v>0</v>
      </c>
      <c r="CJ96" s="3">
        <f>+IF(AVANCE[[#This Row],[REVESTIMIENTO INTERIOR ZONA SECA]]=AW$2,100%,AVANCE[[#This Row],[REVESTIMIENTO INTERIOR ZONA SECA]])</f>
        <v>0</v>
      </c>
      <c r="CK96" s="3">
        <f>+IF(AVANCE[[#This Row],[REVESTIMIENTO INTERIOR ZONAS HUMEDAS]]=AX$2,100%,AVANCE[[#This Row],[REVESTIMIENTO INTERIOR ZONAS HUMEDAS]])</f>
        <v>0</v>
      </c>
      <c r="CL96" s="3">
        <f>+IF(AVANCE[[#This Row],[MEMBRANA CIELO]]=AY$2,100%,AVANCE[[#This Row],[MEMBRANA CIELO]])</f>
        <v>0</v>
      </c>
      <c r="CM96" s="3">
        <f>+IF(AVANCE[[#This Row],[LIMPIEZA FINAL]]=AZ$2,100%,AVANCE[[#This Row],[LIMPIEZA FINAL]])</f>
        <v>0</v>
      </c>
      <c r="CN96" s="3">
        <f>+IF(AVANCE[[#This Row],[PUERTAS DORMITORIO]]=BA$2,100%,AVANCE[[#This Row],[PUERTAS DORMITORIO]])</f>
        <v>0</v>
      </c>
      <c r="CO96" s="3">
        <f>+IF(AVANCE[[#This Row],[REVESTIMIENTO INTERIOR BANO]]=BB$2,100%,AVANCE[[#This Row],[REVESTIMIENTO INTERIOR BANO]])</f>
        <v>0</v>
      </c>
      <c r="CP96" s="3">
        <f>+IF(AVANCE[[#This Row],[MUEBLE LAVAPLATOS]]=BC$2,100%,AVANCE[[#This Row],[MUEBLE LAVAPLATOS]])</f>
        <v>0</v>
      </c>
      <c r="CQ96" s="3">
        <f>+IF(AVANCE[[#This Row],[IMPERMEABILIZACION BANO - COCINA LOGIA]]=BD$2,100%,AVANCE[[#This Row],[IMPERMEABILIZACION BANO - COCINA LOGIA]])</f>
        <v>0</v>
      </c>
      <c r="CR96" s="40">
        <f ca="1">+IF(AVANCE[[#This Row],[ESTADO MODULO]]="PENDIENTE",(TODAY()-AVANCE[[#This Row],[FECHA TERMINO  PLANIFICADO]]),0)</f>
        <v>-29</v>
      </c>
      <c r="CS96" s="42" t="str" cm="1">
        <f t="array" ref="CS96">_xlfn.TEXTJOIN(" | ",TRUE,IF(SUMPRODUCT((BF96:CQ96&lt;1)*(PARTIDAS!$I$2:$AT$2="OBRA GRUESA"))&gt;0,"OBRA GRUESA: "&amp;_xlfn.TEXTJOIN(", ",TRUE,IF((BF96:CQ96&lt;1)*(PARTIDAS!$I$2:$AT$2="OBRA GRUESA"),PARTIDAS!$I$1:$AT$1,"")),""),IF(SUMPRODUCT((BF96:CQ96&lt;1)*(PARTIDAS!$I$2:$AT$2="SANITARIOS"))&gt;0,"SANITARIOS: "&amp;_xlfn.TEXTJOIN(", ",TRUE,IF((BF96:CQ96&lt;1)*(PARTIDAS!$I$2:$AT$2="SANITARIOS"),PARTIDAS!$I$1:$AT$1,"")),""),IF(SUMPRODUCT((BF96:CQ96&lt;1)*(PARTIDAS!$I$2:$AT$2="ELÉCTRICO"))&gt;0,"ELÉCTRICO: "&amp;_xlfn.TEXTJOIN(", ",TRUE,IF((BF96:CQ96&lt;1)*(PARTIDAS!$I$2:$AT$2="ELÉCTRICO"),PARTIDAS!$I$1:$AT$1,"")),""),IF(SUMPRODUCT((BF96:CQ96&lt;1)*(PARTIDAS!$I$2:$AT$2="TERMINACIONES"))&gt;0,"TERMINACIONES: "&amp;_xlfn.TEXTJOIN(", ",TRUE,IF((BF96:CQ96&lt;1)*(PARTIDAS!$I$2:$AT$2="TERMINACIONES"),PARTIDAS!$I$1:$AT$1,"")),""))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6" s="45" t="str" cm="1">
        <f t="array" ref="CT96">_xlfn.TEXTJOIN(", ",TRUE,IF(SUMPRODUCT((BF96:CQ96&lt;1)*(PARTIDAS!$I$2:$AT$2="OBRA GRUESA"))&gt;0,"OBRA GRUESA",""),IF(SUMPRODUCT((BF96:CQ96&lt;1)*(PARTIDAS!$I$2:$AT$2="SANITARIOS"))&gt;0,"SANITARIOS",""),IF(SUMPRODUCT((BF96:CQ96&lt;1)*(PARTIDAS!$I$2:$AT$2="ELÉCTRICO"))&gt;0,"ELÉCTRICO",""),IF(SUMPRODUCT((BF96:CQ96&lt;1)*(PARTIDAS!$I$2:$AT$2="TERMINACIONES"))&gt;0,"TERMINACIONES",""))</f>
        <v>OBRA GRUESA, SANITARIOS, ELÉCTRICO, TERMINACIONES</v>
      </c>
      <c r="CU96" s="46" cm="1">
        <f t="array" ref="CU96">SUMPRODUCT(--(BF96:CQ96&lt;1))</f>
        <v>34</v>
      </c>
    </row>
    <row r="97" spans="1:99" x14ac:dyDescent="0.25">
      <c r="A97" t="s">
        <v>124</v>
      </c>
      <c r="B97" t="s">
        <v>156</v>
      </c>
      <c r="C97">
        <v>2282600096</v>
      </c>
      <c r="D97" t="s">
        <v>58</v>
      </c>
      <c r="E97" s="2">
        <v>0.12</v>
      </c>
      <c r="F97" s="1">
        <v>46174</v>
      </c>
      <c r="G97" s="1">
        <v>46177</v>
      </c>
      <c r="H97" s="1">
        <v>46177</v>
      </c>
      <c r="I97" s="1">
        <v>46200</v>
      </c>
      <c r="J97">
        <v>4</v>
      </c>
      <c r="K97" s="1"/>
      <c r="L97" s="3">
        <v>0.12</v>
      </c>
      <c r="M97" s="3">
        <v>0.27906976744186046</v>
      </c>
      <c r="N97" s="3">
        <v>0.27906976744186046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 t="str">
        <f>+IF(AVANCE[[#This Row],[% AVANCE]]=100%,"MODULO TERMINADO",IF(AVANCE[[#This Row],[FECHA INICIO REAL]]="","MODULO NO INICIADO","PENDIENTE"))</f>
        <v>PENDIENTE</v>
      </c>
      <c r="BF97" s="3">
        <f>+IF(AVANCE[[#This Row],[VENTANAS]]=8.10810810810811%,100%,AVANCE[[#This Row],[VENTANAS]])</f>
        <v>0</v>
      </c>
      <c r="BG97" s="3">
        <f>+IF(AVANCE[[#This Row],[PISO]]=N$2,100%,AVANCE[[#This Row],[PISO]])</f>
        <v>1</v>
      </c>
      <c r="BH97" s="3">
        <f>+IF(AVANCE[[#This Row],[TABIQUES]]=O$2,100%,AVANCE[[#This Row],[TABIQUES]])</f>
        <v>0</v>
      </c>
      <c r="BI97" s="3">
        <f>+IF(AVANCE[[#This Row],[MUROS]]=P$2,100%,AVANCE[[#This Row],[MUROS]])</f>
        <v>0</v>
      </c>
      <c r="BJ97" s="3">
        <f>+IF(AVANCE[[#This Row],[CIELO]]=Q$2,100%,AVANCE[[#This Row],[CIELO]])</f>
        <v>0</v>
      </c>
      <c r="BK97" s="3">
        <f>+IF(AVANCE[[#This Row],[BALCÓN]]=R$2,100%,AVANCE[[#This Row],[BALCÓN]])</f>
        <v>0</v>
      </c>
      <c r="BL97" s="3">
        <f>+IF(AVANCE[[#This Row],[RED ALCANTARILLADO]]=U$2,100%,AVANCE[[#This Row],[RED ALCANTARILLADO]])</f>
        <v>0</v>
      </c>
      <c r="BM97" s="3">
        <f>+IF(AVANCE[[#This Row],[RED DE AGUA]]=V$2,100%,AVANCE[[#This Row],[RED DE AGUA]])</f>
        <v>0</v>
      </c>
      <c r="BN97" s="3">
        <f>+IF(AVANCE[[#This Row],[VENTILACIONES]]=W$2,100%,AVANCE[[#This Row],[VENTILACIONES]])</f>
        <v>0</v>
      </c>
      <c r="BO97" s="3">
        <f>+IF(AVANCE[[#This Row],[TINA]]=X$2,100%,AVANCE[[#This Row],[TINA]])</f>
        <v>0</v>
      </c>
      <c r="BP97" s="3">
        <f>+IF(AVANCE[[#This Row],[WC]]=Y$2,100%,AVANCE[[#This Row],[WC]])</f>
        <v>0</v>
      </c>
      <c r="BQ97" s="3">
        <f>+IF(AVANCE[[#This Row],[LAVAMANOS / LAVAPLATOS / LAVADERO]]=Z$2,100%,AVANCE[[#This Row],[LAVAMANOS / LAVAPLATOS / LAVADERO]])</f>
        <v>0</v>
      </c>
      <c r="BR97" s="3">
        <f>+IF(AVANCE[[#This Row],[CANALIZACIÓN]]=AC$2,100%,AVANCE[[#This Row],[CANALIZACIÓN]])</f>
        <v>0</v>
      </c>
      <c r="BS97" s="3">
        <f>+IF(AVANCE[[#This Row],[CABLEADO]]=AD$2,100%,AVANCE[[#This Row],[CABLEADO]])</f>
        <v>0</v>
      </c>
      <c r="BT97" s="3">
        <f>+IF(AVANCE[[#This Row],[ARTEFACTOS]]=AE$2,100%,AVANCE[[#This Row],[ARTEFACTOS]])</f>
        <v>0</v>
      </c>
      <c r="BU97" s="3">
        <f>+IF(AVANCE[[#This Row],[TABLERO]]=AF$2,100%,AVANCE[[#This Row],[TABLERO]])</f>
        <v>0</v>
      </c>
      <c r="BV97" s="3">
        <f>+IF(AVANCE[[#This Row],[CAJA PAU]]=AG$2,100%,AVANCE[[#This Row],[CAJA PAU]])</f>
        <v>0</v>
      </c>
      <c r="BW97" s="3">
        <f>+IF(AVANCE[[#This Row],[INSTALACION VINILICO]]=AJ$2,100%,AVANCE[[#This Row],[INSTALACION VINILICO]])</f>
        <v>0</v>
      </c>
      <c r="BX97" s="3">
        <f>+IF(AVANCE[[#This Row],[OSB CUBIERTA]]=AK$2,100%,AVANCE[[#This Row],[OSB CUBIERTA]])</f>
        <v>0</v>
      </c>
      <c r="BY97" s="3">
        <f>+IF(AVANCE[[#This Row],[BARANDA BALCON]]=AL$2,100%,AVANCE[[#This Row],[BARANDA BALCON]])</f>
        <v>0</v>
      </c>
      <c r="BZ97" s="3">
        <f>+IF(AVANCE[[#This Row],[OSB EXTERIOR]]=AM$2,100%,AVANCE[[#This Row],[OSB EXTERIOR]])</f>
        <v>0</v>
      </c>
      <c r="CA97" s="3">
        <f>+IF(AVANCE[[#This Row],[SMART PANEL]]=AN$2,100%,AVANCE[[#This Row],[SMART PANEL]])</f>
        <v>0</v>
      </c>
      <c r="CB97" s="3">
        <f>+IF(AVANCE[[#This Row],[PINTURA EXTERIOR]]=AO$2,100%,AVANCE[[#This Row],[PINTURA EXTERIOR]])</f>
        <v>0</v>
      </c>
      <c r="CC97" s="3">
        <f>+IF(AVANCE[[#This Row],[ZOCALOS LOGIA]]=AP$2,100%,AVANCE[[#This Row],[ZOCALOS LOGIA]])</f>
        <v>0</v>
      </c>
      <c r="CD97" s="3">
        <f>+IF(AVANCE[[#This Row],[MOLDURAS]]=AQ$2,100%,AVANCE[[#This Row],[MOLDURAS]])</f>
        <v>0</v>
      </c>
      <c r="CE97" s="3">
        <f>+IF(AVANCE[[#This Row],[PILASTREO]]=AR$2,100%,AVANCE[[#This Row],[PILASTREO]])</f>
        <v>0</v>
      </c>
      <c r="CF97" s="3">
        <f>+IF(AVANCE[[#This Row],[CELOSIAS]]=AS$2,100%,AVANCE[[#This Row],[CELOSIAS]])</f>
        <v>0</v>
      </c>
      <c r="CG97" s="3">
        <f>+IF(AVANCE[[#This Row],[VENTANAS]]=AT$2,100%,AVANCE[[#This Row],[VENTANAS]])</f>
        <v>0</v>
      </c>
      <c r="CH97" s="3">
        <f>+IF(AVANCE[[#This Row],[PUERTAS ACCESO - LOGIA - BANO]]=AU$2,100%,AVANCE[[#This Row],[PUERTAS ACCESO - LOGIA - BANO]])</f>
        <v>0</v>
      </c>
      <c r="CI97" s="3">
        <f>+IF(AVANCE[[#This Row],[CERRADURAS]]=AV$2,100%,AVANCE[[#This Row],[CERRADURAS]])</f>
        <v>0</v>
      </c>
      <c r="CJ97" s="3">
        <f>+IF(AVANCE[[#This Row],[REVESTIMIENTO INTERIOR ZONA SECA]]=AW$2,100%,AVANCE[[#This Row],[REVESTIMIENTO INTERIOR ZONA SECA]])</f>
        <v>0</v>
      </c>
      <c r="CK97" s="3">
        <f>+IF(AVANCE[[#This Row],[REVESTIMIENTO INTERIOR ZONAS HUMEDAS]]=AX$2,100%,AVANCE[[#This Row],[REVESTIMIENTO INTERIOR ZONAS HUMEDAS]])</f>
        <v>0</v>
      </c>
      <c r="CL97" s="3">
        <f>+IF(AVANCE[[#This Row],[MEMBRANA CIELO]]=AY$2,100%,AVANCE[[#This Row],[MEMBRANA CIELO]])</f>
        <v>0</v>
      </c>
      <c r="CM97" s="3">
        <f>+IF(AVANCE[[#This Row],[LIMPIEZA FINAL]]=AZ$2,100%,AVANCE[[#This Row],[LIMPIEZA FINAL]])</f>
        <v>0</v>
      </c>
      <c r="CN97" s="3">
        <f>+IF(AVANCE[[#This Row],[PUERTAS DORMITORIO]]=BA$2,100%,AVANCE[[#This Row],[PUERTAS DORMITORIO]])</f>
        <v>0</v>
      </c>
      <c r="CO97" s="3">
        <f>+IF(AVANCE[[#This Row],[REVESTIMIENTO INTERIOR BANO]]=BB$2,100%,AVANCE[[#This Row],[REVESTIMIENTO INTERIOR BANO]])</f>
        <v>0</v>
      </c>
      <c r="CP97" s="3">
        <f>+IF(AVANCE[[#This Row],[MUEBLE LAVAPLATOS]]=BC$2,100%,AVANCE[[#This Row],[MUEBLE LAVAPLATOS]])</f>
        <v>0</v>
      </c>
      <c r="CQ97" s="3">
        <f>+IF(AVANCE[[#This Row],[IMPERMEABILIZACION BANO - COCINA LOGIA]]=BD$2,100%,AVANCE[[#This Row],[IMPERMEABILIZACION BANO - COCINA LOGIA]])</f>
        <v>0</v>
      </c>
      <c r="CR97" s="40">
        <f ca="1">+IF(AVANCE[[#This Row],[ESTADO MODULO]]="PENDIENTE",(TODAY()-AVANCE[[#This Row],[FECHA TERMINO  PLANIFICADO]]),0)</f>
        <v>-19</v>
      </c>
      <c r="CS97" s="42" t="str" cm="1">
        <f t="array" ref="CS97">_xlfn.TEXTJOIN(" | ",TRUE,IF(SUMPRODUCT((BF97:CQ97&lt;1)*(PARTIDAS!$I$2:$AT$2="OBRA GRUESA"))&gt;0,"OBRA GRUESA: "&amp;_xlfn.TEXTJOIN(", ",TRUE,IF((BF97:CQ97&lt;1)*(PARTIDAS!$I$2:$AT$2="OBRA GRUESA"),PARTIDAS!$I$1:$AT$1,"")),""),IF(SUMPRODUCT((BF97:CQ97&lt;1)*(PARTIDAS!$I$2:$AT$2="SANITARIOS"))&gt;0,"SANITARIOS: "&amp;_xlfn.TEXTJOIN(", ",TRUE,IF((BF97:CQ97&lt;1)*(PARTIDAS!$I$2:$AT$2="SANITARIOS"),PARTIDAS!$I$1:$AT$1,"")),""),IF(SUMPRODUCT((BF97:CQ97&lt;1)*(PARTIDAS!$I$2:$AT$2="ELÉCTRICO"))&gt;0,"ELÉCTRICO: "&amp;_xlfn.TEXTJOIN(", ",TRUE,IF((BF97:CQ97&lt;1)*(PARTIDAS!$I$2:$AT$2="ELÉCTRICO"),PARTIDAS!$I$1:$AT$1,"")),""),IF(SUMPRODUCT((BF97:CQ97&lt;1)*(PARTIDAS!$I$2:$AT$2="TERMINACIONES"))&gt;0,"TERMINACIONES: "&amp;_xlfn.TEXTJOIN(", ",TRUE,IF((BF97:CQ97&lt;1)*(PARTIDAS!$I$2:$AT$2="TERMINACIONES"),PARTIDAS!$I$1:$AT$1,"")),""))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7" s="45" t="str" cm="1">
        <f t="array" ref="CT97">_xlfn.TEXTJOIN(", ",TRUE,IF(SUMPRODUCT((BF97:CQ97&lt;1)*(PARTIDAS!$I$2:$AT$2="OBRA GRUESA"))&gt;0,"OBRA GRUESA",""),IF(SUMPRODUCT((BF97:CQ97&lt;1)*(PARTIDAS!$I$2:$AT$2="SANITARIOS"))&gt;0,"SANITARIOS",""),IF(SUMPRODUCT((BF97:CQ97&lt;1)*(PARTIDAS!$I$2:$AT$2="ELÉCTRICO"))&gt;0,"ELÉCTRICO",""),IF(SUMPRODUCT((BF97:CQ97&lt;1)*(PARTIDAS!$I$2:$AT$2="TERMINACIONES"))&gt;0,"TERMINACIONES",""))</f>
        <v>OBRA GRUESA, SANITARIOS, ELÉCTRICO, TERMINACIONES</v>
      </c>
      <c r="CU97" s="46" cm="1">
        <f t="array" ref="CU97">SUMPRODUCT(--(BF97:CQ97&lt;1))</f>
        <v>37</v>
      </c>
    </row>
    <row r="98" spans="1:99" x14ac:dyDescent="0.25">
      <c r="A98" t="s">
        <v>157</v>
      </c>
      <c r="B98" t="s">
        <v>158</v>
      </c>
      <c r="C98">
        <v>2282600097</v>
      </c>
      <c r="D98" t="s">
        <v>58</v>
      </c>
      <c r="E98" s="2">
        <v>0</v>
      </c>
      <c r="F98" s="1">
        <v>46175</v>
      </c>
      <c r="G98" s="1"/>
      <c r="H98" s="1">
        <v>0</v>
      </c>
      <c r="I98" s="1">
        <v>46199</v>
      </c>
      <c r="J98">
        <v>46181</v>
      </c>
      <c r="K98" s="1"/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 t="str">
        <f>+IF(AVANCE[[#This Row],[% AVANCE]]=100%,"MODULO TERMINADO",IF(AVANCE[[#This Row],[FECHA INICIO REAL]]="","MODULO NO INICIADO","PENDIENTE"))</f>
        <v>MODULO NO INICIADO</v>
      </c>
      <c r="BF98" s="3">
        <f>+IF(AVANCE[[#This Row],[VENTANAS]]=8.10810810810811%,100%,AVANCE[[#This Row],[VENTANAS]])</f>
        <v>0</v>
      </c>
      <c r="BG98" s="3">
        <f>+IF(AVANCE[[#This Row],[PISO]]=N$2,100%,AVANCE[[#This Row],[PISO]])</f>
        <v>0</v>
      </c>
      <c r="BH98" s="3">
        <f>+IF(AVANCE[[#This Row],[TABIQUES]]=O$2,100%,AVANCE[[#This Row],[TABIQUES]])</f>
        <v>0</v>
      </c>
      <c r="BI98" s="3">
        <f>+IF(AVANCE[[#This Row],[MUROS]]=P$2,100%,AVANCE[[#This Row],[MUROS]])</f>
        <v>0</v>
      </c>
      <c r="BJ98" s="3">
        <f>+IF(AVANCE[[#This Row],[CIELO]]=Q$2,100%,AVANCE[[#This Row],[CIELO]])</f>
        <v>0</v>
      </c>
      <c r="BK98" s="3">
        <f>+IF(AVANCE[[#This Row],[BALCÓN]]=R$2,100%,AVANCE[[#This Row],[BALCÓN]])</f>
        <v>0</v>
      </c>
      <c r="BL98" s="3">
        <f>+IF(AVANCE[[#This Row],[RED ALCANTARILLADO]]=U$2,100%,AVANCE[[#This Row],[RED ALCANTARILLADO]])</f>
        <v>0</v>
      </c>
      <c r="BM98" s="3">
        <f>+IF(AVANCE[[#This Row],[RED DE AGUA]]=V$2,100%,AVANCE[[#This Row],[RED DE AGUA]])</f>
        <v>0</v>
      </c>
      <c r="BN98" s="3">
        <f>+IF(AVANCE[[#This Row],[VENTILACIONES]]=W$2,100%,AVANCE[[#This Row],[VENTILACIONES]])</f>
        <v>0</v>
      </c>
      <c r="BO98" s="3">
        <f>+IF(AVANCE[[#This Row],[TINA]]=X$2,100%,AVANCE[[#This Row],[TINA]])</f>
        <v>0</v>
      </c>
      <c r="BP98" s="3">
        <f>+IF(AVANCE[[#This Row],[WC]]=Y$2,100%,AVANCE[[#This Row],[WC]])</f>
        <v>0</v>
      </c>
      <c r="BQ98" s="3">
        <f>+IF(AVANCE[[#This Row],[LAVAMANOS / LAVAPLATOS / LAVADERO]]=Z$2,100%,AVANCE[[#This Row],[LAVAMANOS / LAVAPLATOS / LAVADERO]])</f>
        <v>0</v>
      </c>
      <c r="BR98" s="3">
        <f>+IF(AVANCE[[#This Row],[CANALIZACIÓN]]=AC$2,100%,AVANCE[[#This Row],[CANALIZACIÓN]])</f>
        <v>0</v>
      </c>
      <c r="BS98" s="3">
        <f>+IF(AVANCE[[#This Row],[CABLEADO]]=AD$2,100%,AVANCE[[#This Row],[CABLEADO]])</f>
        <v>0</v>
      </c>
      <c r="BT98" s="3">
        <f>+IF(AVANCE[[#This Row],[ARTEFACTOS]]=AE$2,100%,AVANCE[[#This Row],[ARTEFACTOS]])</f>
        <v>0</v>
      </c>
      <c r="BU98" s="3">
        <f>+IF(AVANCE[[#This Row],[TABLERO]]=AF$2,100%,AVANCE[[#This Row],[TABLERO]])</f>
        <v>0</v>
      </c>
      <c r="BV98" s="3">
        <f>+IF(AVANCE[[#This Row],[CAJA PAU]]=AG$2,100%,AVANCE[[#This Row],[CAJA PAU]])</f>
        <v>0</v>
      </c>
      <c r="BW98" s="3">
        <f>+IF(AVANCE[[#This Row],[INSTALACION VINILICO]]=AJ$2,100%,AVANCE[[#This Row],[INSTALACION VINILICO]])</f>
        <v>0</v>
      </c>
      <c r="BX98" s="3">
        <f>+IF(AVANCE[[#This Row],[OSB CUBIERTA]]=AK$2,100%,AVANCE[[#This Row],[OSB CUBIERTA]])</f>
        <v>0</v>
      </c>
      <c r="BY98" s="3">
        <f>+IF(AVANCE[[#This Row],[BARANDA BALCON]]=AL$2,100%,AVANCE[[#This Row],[BARANDA BALCON]])</f>
        <v>0</v>
      </c>
      <c r="BZ98" s="3">
        <f>+IF(AVANCE[[#This Row],[OSB EXTERIOR]]=AM$2,100%,AVANCE[[#This Row],[OSB EXTERIOR]])</f>
        <v>0</v>
      </c>
      <c r="CA98" s="3">
        <f>+IF(AVANCE[[#This Row],[SMART PANEL]]=AN$2,100%,AVANCE[[#This Row],[SMART PANEL]])</f>
        <v>0</v>
      </c>
      <c r="CB98" s="3">
        <f>+IF(AVANCE[[#This Row],[PINTURA EXTERIOR]]=AO$2,100%,AVANCE[[#This Row],[PINTURA EXTERIOR]])</f>
        <v>0</v>
      </c>
      <c r="CC98" s="3">
        <f>+IF(AVANCE[[#This Row],[ZOCALOS LOGIA]]=AP$2,100%,AVANCE[[#This Row],[ZOCALOS LOGIA]])</f>
        <v>0</v>
      </c>
      <c r="CD98" s="3">
        <f>+IF(AVANCE[[#This Row],[MOLDURAS]]=AQ$2,100%,AVANCE[[#This Row],[MOLDURAS]])</f>
        <v>0</v>
      </c>
      <c r="CE98" s="3">
        <f>+IF(AVANCE[[#This Row],[PILASTREO]]=AR$2,100%,AVANCE[[#This Row],[PILASTREO]])</f>
        <v>0</v>
      </c>
      <c r="CF98" s="3">
        <f>+IF(AVANCE[[#This Row],[CELOSIAS]]=AS$2,100%,AVANCE[[#This Row],[CELOSIAS]])</f>
        <v>0</v>
      </c>
      <c r="CG98" s="3">
        <f>+IF(AVANCE[[#This Row],[VENTANAS]]=AT$2,100%,AVANCE[[#This Row],[VENTANAS]])</f>
        <v>0</v>
      </c>
      <c r="CH98" s="3">
        <f>+IF(AVANCE[[#This Row],[PUERTAS ACCESO - LOGIA - BANO]]=AU$2,100%,AVANCE[[#This Row],[PUERTAS ACCESO - LOGIA - BANO]])</f>
        <v>0</v>
      </c>
      <c r="CI98" s="3">
        <f>+IF(AVANCE[[#This Row],[CERRADURAS]]=AV$2,100%,AVANCE[[#This Row],[CERRADURAS]])</f>
        <v>0</v>
      </c>
      <c r="CJ98" s="3">
        <f>+IF(AVANCE[[#This Row],[REVESTIMIENTO INTERIOR ZONA SECA]]=AW$2,100%,AVANCE[[#This Row],[REVESTIMIENTO INTERIOR ZONA SECA]])</f>
        <v>0</v>
      </c>
      <c r="CK98" s="3">
        <f>+IF(AVANCE[[#This Row],[REVESTIMIENTO INTERIOR ZONAS HUMEDAS]]=AX$2,100%,AVANCE[[#This Row],[REVESTIMIENTO INTERIOR ZONAS HUMEDAS]])</f>
        <v>0</v>
      </c>
      <c r="CL98" s="3">
        <f>+IF(AVANCE[[#This Row],[MEMBRANA CIELO]]=AY$2,100%,AVANCE[[#This Row],[MEMBRANA CIELO]])</f>
        <v>0</v>
      </c>
      <c r="CM98" s="3">
        <f>+IF(AVANCE[[#This Row],[LIMPIEZA FINAL]]=AZ$2,100%,AVANCE[[#This Row],[LIMPIEZA FINAL]])</f>
        <v>0</v>
      </c>
      <c r="CN98" s="3">
        <f>+IF(AVANCE[[#This Row],[PUERTAS DORMITORIO]]=BA$2,100%,AVANCE[[#This Row],[PUERTAS DORMITORIO]])</f>
        <v>0</v>
      </c>
      <c r="CO98" s="3">
        <f>+IF(AVANCE[[#This Row],[REVESTIMIENTO INTERIOR BANO]]=BB$2,100%,AVANCE[[#This Row],[REVESTIMIENTO INTERIOR BANO]])</f>
        <v>0</v>
      </c>
      <c r="CP98" s="3">
        <f>+IF(AVANCE[[#This Row],[MUEBLE LAVAPLATOS]]=BC$2,100%,AVANCE[[#This Row],[MUEBLE LAVAPLATOS]])</f>
        <v>0</v>
      </c>
      <c r="CQ98" s="3">
        <f>+IF(AVANCE[[#This Row],[IMPERMEABILIZACION BANO - COCINA LOGIA]]=BD$2,100%,AVANCE[[#This Row],[IMPERMEABILIZACION BANO - COCINA LOGIA]])</f>
        <v>0</v>
      </c>
      <c r="CR98" s="40">
        <f ca="1">+IF(AVANCE[[#This Row],[ESTADO MODULO]]="PENDIENTE",(TODAY()-AVANCE[[#This Row],[FECHA TERMINO  PLANIFICADO]]),0)</f>
        <v>0</v>
      </c>
      <c r="CS98" s="42" t="str" cm="1">
        <f t="array" ref="CS98">_xlfn.TEXTJOIN(" | ",TRUE,IF(SUMPRODUCT((BF98:CQ98&lt;1)*(PARTIDAS!$I$2:$AT$2="OBRA GRUESA"))&gt;0,"OBRA GRUESA: "&amp;_xlfn.TEXTJOIN(", ",TRUE,IF((BF98:CQ98&lt;1)*(PARTIDAS!$I$2:$AT$2="OBRA GRUESA"),PARTIDAS!$I$1:$AT$1,"")),""),IF(SUMPRODUCT((BF98:CQ98&lt;1)*(PARTIDAS!$I$2:$AT$2="SANITARIOS"))&gt;0,"SANITARIOS: "&amp;_xlfn.TEXTJOIN(", ",TRUE,IF((BF98:CQ98&lt;1)*(PARTIDAS!$I$2:$AT$2="SANITARIOS"),PARTIDAS!$I$1:$AT$1,"")),""),IF(SUMPRODUCT((BF98:CQ98&lt;1)*(PARTIDAS!$I$2:$AT$2="ELÉCTRICO"))&gt;0,"ELÉCTRICO: "&amp;_xlfn.TEXTJOIN(", ",TRUE,IF((BF98:CQ98&lt;1)*(PARTIDAS!$I$2:$AT$2="ELÉCTRICO"),PARTIDAS!$I$1:$AT$1,"")),""),IF(SUMPRODUCT((BF98:CQ98&lt;1)*(PARTIDAS!$I$2:$AT$2="TERMINACIONES"))&gt;0,"TERMINACIONES: "&amp;_xlfn.TEXTJOIN(", ",TRUE,IF((BF98:CQ98&lt;1)*(PARTIDAS!$I$2:$AT$2="TERMINACIONES"),PARTIDAS!$I$1:$AT$1,"")),""))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8" s="45" t="str" cm="1">
        <f t="array" ref="CT98">_xlfn.TEXTJOIN(", ",TRUE,IF(SUMPRODUCT((BF98:CQ98&lt;1)*(PARTIDAS!$I$2:$AT$2="OBRA GRUESA"))&gt;0,"OBRA GRUESA",""),IF(SUMPRODUCT((BF98:CQ98&lt;1)*(PARTIDAS!$I$2:$AT$2="SANITARIOS"))&gt;0,"SANITARIOS",""),IF(SUMPRODUCT((BF98:CQ98&lt;1)*(PARTIDAS!$I$2:$AT$2="ELÉCTRICO"))&gt;0,"ELÉCTRICO",""),IF(SUMPRODUCT((BF98:CQ98&lt;1)*(PARTIDAS!$I$2:$AT$2="TERMINACIONES"))&gt;0,"TERMINACIONES",""))</f>
        <v>OBRA GRUESA, SANITARIOS, ELÉCTRICO, TERMINACIONES</v>
      </c>
      <c r="CU98" s="46" cm="1">
        <f t="array" ref="CU98">SUMPRODUCT(--(BF98:CQ98&lt;1))</f>
        <v>38</v>
      </c>
    </row>
    <row r="99" spans="1:99" x14ac:dyDescent="0.25">
      <c r="A99" t="s">
        <v>157</v>
      </c>
      <c r="B99" t="s">
        <v>159</v>
      </c>
      <c r="C99">
        <v>2302600098</v>
      </c>
      <c r="D99" t="s">
        <v>60</v>
      </c>
      <c r="E99" s="2">
        <v>0</v>
      </c>
      <c r="F99" s="1">
        <v>46175</v>
      </c>
      <c r="G99" s="1"/>
      <c r="H99" s="1">
        <v>0</v>
      </c>
      <c r="I99" s="1">
        <v>46209</v>
      </c>
      <c r="J99">
        <v>46181</v>
      </c>
      <c r="K99" s="1"/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 t="str">
        <f>+IF(AVANCE[[#This Row],[% AVANCE]]=100%,"MODULO TERMINADO",IF(AVANCE[[#This Row],[FECHA INICIO REAL]]="","MODULO NO INICIADO","PENDIENTE"))</f>
        <v>MODULO NO INICIADO</v>
      </c>
      <c r="BF99" s="3">
        <f>+IF(AVANCE[[#This Row],[VENTANAS]]=8.10810810810811%,100%,AVANCE[[#This Row],[VENTANAS]])</f>
        <v>0</v>
      </c>
      <c r="BG99" s="3">
        <f>+IF(AVANCE[[#This Row],[PISO]]=N$2,100%,AVANCE[[#This Row],[PISO]])</f>
        <v>0</v>
      </c>
      <c r="BH99" s="3">
        <f>+IF(AVANCE[[#This Row],[TABIQUES]]=O$2,100%,AVANCE[[#This Row],[TABIQUES]])</f>
        <v>0</v>
      </c>
      <c r="BI99" s="3">
        <f>+IF(AVANCE[[#This Row],[MUROS]]=P$2,100%,AVANCE[[#This Row],[MUROS]])</f>
        <v>0</v>
      </c>
      <c r="BJ99" s="3">
        <f>+IF(AVANCE[[#This Row],[CIELO]]=Q$2,100%,AVANCE[[#This Row],[CIELO]])</f>
        <v>0</v>
      </c>
      <c r="BK99" s="3">
        <f>+IF(AVANCE[[#This Row],[BALCÓN]]=R$2,100%,AVANCE[[#This Row],[BALCÓN]])</f>
        <v>0</v>
      </c>
      <c r="BL99" s="3">
        <f>+IF(AVANCE[[#This Row],[RED ALCANTARILLADO]]=U$2,100%,AVANCE[[#This Row],[RED ALCANTARILLADO]])</f>
        <v>0</v>
      </c>
      <c r="BM99" s="3">
        <f>+IF(AVANCE[[#This Row],[RED DE AGUA]]=V$2,100%,AVANCE[[#This Row],[RED DE AGUA]])</f>
        <v>0</v>
      </c>
      <c r="BN99" s="3">
        <f>+IF(AVANCE[[#This Row],[VENTILACIONES]]=W$2,100%,AVANCE[[#This Row],[VENTILACIONES]])</f>
        <v>0</v>
      </c>
      <c r="BO99" s="3">
        <f>+IF(AVANCE[[#This Row],[TINA]]=X$2,100%,AVANCE[[#This Row],[TINA]])</f>
        <v>0</v>
      </c>
      <c r="BP99" s="3">
        <f>+IF(AVANCE[[#This Row],[WC]]=Y$2,100%,AVANCE[[#This Row],[WC]])</f>
        <v>0</v>
      </c>
      <c r="BQ99" s="3">
        <f>+IF(AVANCE[[#This Row],[LAVAMANOS / LAVAPLATOS / LAVADERO]]=Z$2,100%,AVANCE[[#This Row],[LAVAMANOS / LAVAPLATOS / LAVADERO]])</f>
        <v>0</v>
      </c>
      <c r="BR99" s="3">
        <f>+IF(AVANCE[[#This Row],[CANALIZACIÓN]]=AC$2,100%,AVANCE[[#This Row],[CANALIZACIÓN]])</f>
        <v>0</v>
      </c>
      <c r="BS99" s="3">
        <f>+IF(AVANCE[[#This Row],[CABLEADO]]=AD$2,100%,AVANCE[[#This Row],[CABLEADO]])</f>
        <v>0</v>
      </c>
      <c r="BT99" s="3">
        <f>+IF(AVANCE[[#This Row],[ARTEFACTOS]]=AE$2,100%,AVANCE[[#This Row],[ARTEFACTOS]])</f>
        <v>0</v>
      </c>
      <c r="BU99" s="3">
        <f>+IF(AVANCE[[#This Row],[TABLERO]]=AF$2,100%,AVANCE[[#This Row],[TABLERO]])</f>
        <v>0</v>
      </c>
      <c r="BV99" s="3">
        <f>+IF(AVANCE[[#This Row],[CAJA PAU]]=AG$2,100%,AVANCE[[#This Row],[CAJA PAU]])</f>
        <v>0</v>
      </c>
      <c r="BW99" s="3">
        <f>+IF(AVANCE[[#This Row],[INSTALACION VINILICO]]=AJ$2,100%,AVANCE[[#This Row],[INSTALACION VINILICO]])</f>
        <v>0</v>
      </c>
      <c r="BX99" s="3">
        <f>+IF(AVANCE[[#This Row],[OSB CUBIERTA]]=AK$2,100%,AVANCE[[#This Row],[OSB CUBIERTA]])</f>
        <v>0</v>
      </c>
      <c r="BY99" s="3">
        <f>+IF(AVANCE[[#This Row],[BARANDA BALCON]]=AL$2,100%,AVANCE[[#This Row],[BARANDA BALCON]])</f>
        <v>0</v>
      </c>
      <c r="BZ99" s="3">
        <f>+IF(AVANCE[[#This Row],[OSB EXTERIOR]]=AM$2,100%,AVANCE[[#This Row],[OSB EXTERIOR]])</f>
        <v>0</v>
      </c>
      <c r="CA99" s="3">
        <f>+IF(AVANCE[[#This Row],[SMART PANEL]]=AN$2,100%,AVANCE[[#This Row],[SMART PANEL]])</f>
        <v>0</v>
      </c>
      <c r="CB99" s="3">
        <f>+IF(AVANCE[[#This Row],[PINTURA EXTERIOR]]=AO$2,100%,AVANCE[[#This Row],[PINTURA EXTERIOR]])</f>
        <v>0</v>
      </c>
      <c r="CC99" s="3">
        <f>+IF(AVANCE[[#This Row],[ZOCALOS LOGIA]]=AP$2,100%,AVANCE[[#This Row],[ZOCALOS LOGIA]])</f>
        <v>0</v>
      </c>
      <c r="CD99" s="3">
        <f>+IF(AVANCE[[#This Row],[MOLDURAS]]=AQ$2,100%,AVANCE[[#This Row],[MOLDURAS]])</f>
        <v>0</v>
      </c>
      <c r="CE99" s="3">
        <f>+IF(AVANCE[[#This Row],[PILASTREO]]=AR$2,100%,AVANCE[[#This Row],[PILASTREO]])</f>
        <v>0</v>
      </c>
      <c r="CF99" s="3">
        <f>+IF(AVANCE[[#This Row],[CELOSIAS]]=AS$2,100%,AVANCE[[#This Row],[CELOSIAS]])</f>
        <v>0</v>
      </c>
      <c r="CG99" s="3">
        <f>+IF(AVANCE[[#This Row],[VENTANAS]]=AT$2,100%,AVANCE[[#This Row],[VENTANAS]])</f>
        <v>0</v>
      </c>
      <c r="CH99" s="3">
        <f>+IF(AVANCE[[#This Row],[PUERTAS ACCESO - LOGIA - BANO]]=AU$2,100%,AVANCE[[#This Row],[PUERTAS ACCESO - LOGIA - BANO]])</f>
        <v>0</v>
      </c>
      <c r="CI99" s="3">
        <f>+IF(AVANCE[[#This Row],[CERRADURAS]]=AV$2,100%,AVANCE[[#This Row],[CERRADURAS]])</f>
        <v>0</v>
      </c>
      <c r="CJ99" s="3">
        <f>+IF(AVANCE[[#This Row],[REVESTIMIENTO INTERIOR ZONA SECA]]=AW$2,100%,AVANCE[[#This Row],[REVESTIMIENTO INTERIOR ZONA SECA]])</f>
        <v>0</v>
      </c>
      <c r="CK99" s="3">
        <f>+IF(AVANCE[[#This Row],[REVESTIMIENTO INTERIOR ZONAS HUMEDAS]]=AX$2,100%,AVANCE[[#This Row],[REVESTIMIENTO INTERIOR ZONAS HUMEDAS]])</f>
        <v>0</v>
      </c>
      <c r="CL99" s="3">
        <f>+IF(AVANCE[[#This Row],[MEMBRANA CIELO]]=AY$2,100%,AVANCE[[#This Row],[MEMBRANA CIELO]])</f>
        <v>0</v>
      </c>
      <c r="CM99" s="3">
        <f>+IF(AVANCE[[#This Row],[LIMPIEZA FINAL]]=AZ$2,100%,AVANCE[[#This Row],[LIMPIEZA FINAL]])</f>
        <v>0</v>
      </c>
      <c r="CN99" s="3">
        <f>+IF(AVANCE[[#This Row],[PUERTAS DORMITORIO]]=BA$2,100%,AVANCE[[#This Row],[PUERTAS DORMITORIO]])</f>
        <v>0</v>
      </c>
      <c r="CO99" s="3">
        <f>+IF(AVANCE[[#This Row],[REVESTIMIENTO INTERIOR BANO]]=BB$2,100%,AVANCE[[#This Row],[REVESTIMIENTO INTERIOR BANO]])</f>
        <v>0</v>
      </c>
      <c r="CP99" s="3">
        <f>+IF(AVANCE[[#This Row],[MUEBLE LAVAPLATOS]]=BC$2,100%,AVANCE[[#This Row],[MUEBLE LAVAPLATOS]])</f>
        <v>0</v>
      </c>
      <c r="CQ99" s="3">
        <f>+IF(AVANCE[[#This Row],[IMPERMEABILIZACION BANO - COCINA LOGIA]]=BD$2,100%,AVANCE[[#This Row],[IMPERMEABILIZACION BANO - COCINA LOGIA]])</f>
        <v>0</v>
      </c>
      <c r="CR99" s="40">
        <f ca="1">+IF(AVANCE[[#This Row],[ESTADO MODULO]]="PENDIENTE",(TODAY()-AVANCE[[#This Row],[FECHA TERMINO  PLANIFICADO]]),0)</f>
        <v>0</v>
      </c>
      <c r="CS99" s="42" t="str" cm="1">
        <f t="array" ref="CS99">_xlfn.TEXTJOIN(" | ",TRUE,IF(SUMPRODUCT((BF99:CQ99&lt;1)*(PARTIDAS!$I$2:$AT$2="OBRA GRUESA"))&gt;0,"OBRA GRUESA: "&amp;_xlfn.TEXTJOIN(", ",TRUE,IF((BF99:CQ99&lt;1)*(PARTIDAS!$I$2:$AT$2="OBRA GRUESA"),PARTIDAS!$I$1:$AT$1,"")),""),IF(SUMPRODUCT((BF99:CQ99&lt;1)*(PARTIDAS!$I$2:$AT$2="SANITARIOS"))&gt;0,"SANITARIOS: "&amp;_xlfn.TEXTJOIN(", ",TRUE,IF((BF99:CQ99&lt;1)*(PARTIDAS!$I$2:$AT$2="SANITARIOS"),PARTIDAS!$I$1:$AT$1,"")),""),IF(SUMPRODUCT((BF99:CQ99&lt;1)*(PARTIDAS!$I$2:$AT$2="ELÉCTRICO"))&gt;0,"ELÉCTRICO: "&amp;_xlfn.TEXTJOIN(", ",TRUE,IF((BF99:CQ99&lt;1)*(PARTIDAS!$I$2:$AT$2="ELÉCTRICO"),PARTIDAS!$I$1:$AT$1,"")),""),IF(SUMPRODUCT((BF99:CQ99&lt;1)*(PARTIDAS!$I$2:$AT$2="TERMINACIONES"))&gt;0,"TERMINACIONES: "&amp;_xlfn.TEXTJOIN(", ",TRUE,IF((BF99:CQ99&lt;1)*(PARTIDAS!$I$2:$AT$2="TERMINACIONES"),PARTIDAS!$I$1:$AT$1,"")),""))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99" s="45" t="str" cm="1">
        <f t="array" ref="CT99">_xlfn.TEXTJOIN(", ",TRUE,IF(SUMPRODUCT((BF99:CQ99&lt;1)*(PARTIDAS!$I$2:$AT$2="OBRA GRUESA"))&gt;0,"OBRA GRUESA",""),IF(SUMPRODUCT((BF99:CQ99&lt;1)*(PARTIDAS!$I$2:$AT$2="SANITARIOS"))&gt;0,"SANITARIOS",""),IF(SUMPRODUCT((BF99:CQ99&lt;1)*(PARTIDAS!$I$2:$AT$2="ELÉCTRICO"))&gt;0,"ELÉCTRICO",""),IF(SUMPRODUCT((BF99:CQ99&lt;1)*(PARTIDAS!$I$2:$AT$2="TERMINACIONES"))&gt;0,"TERMINACIONES",""))</f>
        <v>OBRA GRUESA, SANITARIOS, ELÉCTRICO, TERMINACIONES</v>
      </c>
      <c r="CU99" s="46" cm="1">
        <f t="array" ref="CU99">SUMPRODUCT(--(BF99:CQ99&lt;1))</f>
        <v>38</v>
      </c>
    </row>
    <row r="100" spans="1:99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46181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 t="str">
        <f>+IF(AVANCE[[#This Row],[% AVANCE]]=100%,"MODULO TERMINADO",IF(AVANCE[[#This Row],[FECHA INICIO REAL]]="","MODULO NO INICIADO","PENDIENTE"))</f>
        <v>MODULO NO INICIADO</v>
      </c>
      <c r="BF100" s="3">
        <f>+IF(AVANCE[[#This Row],[VENTANAS]]=8.10810810810811%,100%,AVANCE[[#This Row],[VENTANAS]])</f>
        <v>0</v>
      </c>
      <c r="BG100" s="3">
        <f>+IF(AVANCE[[#This Row],[PISO]]=N$2,100%,AVANCE[[#This Row],[PISO]])</f>
        <v>0</v>
      </c>
      <c r="BH100" s="3">
        <f>+IF(AVANCE[[#This Row],[TABIQUES]]=O$2,100%,AVANCE[[#This Row],[TABIQUES]])</f>
        <v>0</v>
      </c>
      <c r="BI100" s="3">
        <f>+IF(AVANCE[[#This Row],[MUROS]]=P$2,100%,AVANCE[[#This Row],[MUROS]])</f>
        <v>0</v>
      </c>
      <c r="BJ100" s="3">
        <f>+IF(AVANCE[[#This Row],[CIELO]]=Q$2,100%,AVANCE[[#This Row],[CIELO]])</f>
        <v>0</v>
      </c>
      <c r="BK100" s="3">
        <f>+IF(AVANCE[[#This Row],[BALCÓN]]=R$2,100%,AVANCE[[#This Row],[BALCÓN]])</f>
        <v>0</v>
      </c>
      <c r="BL100" s="3">
        <f>+IF(AVANCE[[#This Row],[RED ALCANTARILLADO]]=U$2,100%,AVANCE[[#This Row],[RED ALCANTARILLADO]])</f>
        <v>0</v>
      </c>
      <c r="BM100" s="3">
        <f>+IF(AVANCE[[#This Row],[RED DE AGUA]]=V$2,100%,AVANCE[[#This Row],[RED DE AGUA]])</f>
        <v>0</v>
      </c>
      <c r="BN100" s="3">
        <f>+IF(AVANCE[[#This Row],[VENTILACIONES]]=W$2,100%,AVANCE[[#This Row],[VENTILACIONES]])</f>
        <v>0</v>
      </c>
      <c r="BO100" s="3">
        <f>+IF(AVANCE[[#This Row],[TINA]]=X$2,100%,AVANCE[[#This Row],[TINA]])</f>
        <v>0</v>
      </c>
      <c r="BP100" s="3">
        <f>+IF(AVANCE[[#This Row],[WC]]=Y$2,100%,AVANCE[[#This Row],[WC]])</f>
        <v>0</v>
      </c>
      <c r="BQ100" s="3">
        <f>+IF(AVANCE[[#This Row],[LAVAMANOS / LAVAPLATOS / LAVADERO]]=Z$2,100%,AVANCE[[#This Row],[LAVAMANOS / LAVAPLATOS / LAVADERO]])</f>
        <v>0</v>
      </c>
      <c r="BR100" s="3">
        <f>+IF(AVANCE[[#This Row],[CANALIZACIÓN]]=AC$2,100%,AVANCE[[#This Row],[CANALIZACIÓN]])</f>
        <v>0</v>
      </c>
      <c r="BS100" s="3">
        <f>+IF(AVANCE[[#This Row],[CABLEADO]]=AD$2,100%,AVANCE[[#This Row],[CABLEADO]])</f>
        <v>0</v>
      </c>
      <c r="BT100" s="3">
        <f>+IF(AVANCE[[#This Row],[ARTEFACTOS]]=AE$2,100%,AVANCE[[#This Row],[ARTEFACTOS]])</f>
        <v>0</v>
      </c>
      <c r="BU100" s="3">
        <f>+IF(AVANCE[[#This Row],[TABLERO]]=AF$2,100%,AVANCE[[#This Row],[TABLERO]])</f>
        <v>0</v>
      </c>
      <c r="BV100" s="3">
        <f>+IF(AVANCE[[#This Row],[CAJA PAU]]=AG$2,100%,AVANCE[[#This Row],[CAJA PAU]])</f>
        <v>0</v>
      </c>
      <c r="BW100" s="3">
        <f>+IF(AVANCE[[#This Row],[INSTALACION VINILICO]]=AJ$2,100%,AVANCE[[#This Row],[INSTALACION VINILICO]])</f>
        <v>0</v>
      </c>
      <c r="BX100" s="3">
        <f>+IF(AVANCE[[#This Row],[OSB CUBIERTA]]=AK$2,100%,AVANCE[[#This Row],[OSB CUBIERTA]])</f>
        <v>0</v>
      </c>
      <c r="BY100" s="3">
        <f>+IF(AVANCE[[#This Row],[BARANDA BALCON]]=AL$2,100%,AVANCE[[#This Row],[BARANDA BALCON]])</f>
        <v>0</v>
      </c>
      <c r="BZ100" s="3">
        <f>+IF(AVANCE[[#This Row],[OSB EXTERIOR]]=AM$2,100%,AVANCE[[#This Row],[OSB EXTERIOR]])</f>
        <v>0</v>
      </c>
      <c r="CA100" s="3">
        <f>+IF(AVANCE[[#This Row],[SMART PANEL]]=AN$2,100%,AVANCE[[#This Row],[SMART PANEL]])</f>
        <v>0</v>
      </c>
      <c r="CB100" s="3">
        <f>+IF(AVANCE[[#This Row],[PINTURA EXTERIOR]]=AO$2,100%,AVANCE[[#This Row],[PINTURA EXTERIOR]])</f>
        <v>0</v>
      </c>
      <c r="CC100" s="3">
        <f>+IF(AVANCE[[#This Row],[ZOCALOS LOGIA]]=AP$2,100%,AVANCE[[#This Row],[ZOCALOS LOGIA]])</f>
        <v>0</v>
      </c>
      <c r="CD100" s="3">
        <f>+IF(AVANCE[[#This Row],[MOLDURAS]]=AQ$2,100%,AVANCE[[#This Row],[MOLDURAS]])</f>
        <v>0</v>
      </c>
      <c r="CE100" s="3">
        <f>+IF(AVANCE[[#This Row],[PILASTREO]]=AR$2,100%,AVANCE[[#This Row],[PILASTREO]])</f>
        <v>0</v>
      </c>
      <c r="CF100" s="3">
        <f>+IF(AVANCE[[#This Row],[CELOSIAS]]=AS$2,100%,AVANCE[[#This Row],[CELOSIAS]])</f>
        <v>0</v>
      </c>
      <c r="CG100" s="3">
        <f>+IF(AVANCE[[#This Row],[VENTANAS]]=AT$2,100%,AVANCE[[#This Row],[VENTANAS]])</f>
        <v>0</v>
      </c>
      <c r="CH100" s="3">
        <f>+IF(AVANCE[[#This Row],[PUERTAS ACCESO - LOGIA - BANO]]=AU$2,100%,AVANCE[[#This Row],[PUERTAS ACCESO - LOGIA - BANO]])</f>
        <v>0</v>
      </c>
      <c r="CI100" s="3">
        <f>+IF(AVANCE[[#This Row],[CERRADURAS]]=AV$2,100%,AVANCE[[#This Row],[CERRADURAS]])</f>
        <v>0</v>
      </c>
      <c r="CJ100" s="3">
        <f>+IF(AVANCE[[#This Row],[REVESTIMIENTO INTERIOR ZONA SECA]]=AW$2,100%,AVANCE[[#This Row],[REVESTIMIENTO INTERIOR ZONA SECA]])</f>
        <v>0</v>
      </c>
      <c r="CK100" s="3">
        <f>+IF(AVANCE[[#This Row],[REVESTIMIENTO INTERIOR ZONAS HUMEDAS]]=AX$2,100%,AVANCE[[#This Row],[REVESTIMIENTO INTERIOR ZONAS HUMEDAS]])</f>
        <v>0</v>
      </c>
      <c r="CL100" s="3">
        <f>+IF(AVANCE[[#This Row],[MEMBRANA CIELO]]=AY$2,100%,AVANCE[[#This Row],[MEMBRANA CIELO]])</f>
        <v>0</v>
      </c>
      <c r="CM100" s="3">
        <f>+IF(AVANCE[[#This Row],[LIMPIEZA FINAL]]=AZ$2,100%,AVANCE[[#This Row],[LIMPIEZA FINAL]])</f>
        <v>0</v>
      </c>
      <c r="CN100" s="3">
        <f>+IF(AVANCE[[#This Row],[PUERTAS DORMITORIO]]=BA$2,100%,AVANCE[[#This Row],[PUERTAS DORMITORIO]])</f>
        <v>0</v>
      </c>
      <c r="CO100" s="3">
        <f>+IF(AVANCE[[#This Row],[REVESTIMIENTO INTERIOR BANO]]=BB$2,100%,AVANCE[[#This Row],[REVESTIMIENTO INTERIOR BANO]])</f>
        <v>0</v>
      </c>
      <c r="CP100" s="3">
        <f>+IF(AVANCE[[#This Row],[MUEBLE LAVAPLATOS]]=BC$2,100%,AVANCE[[#This Row],[MUEBLE LAVAPLATOS]])</f>
        <v>0</v>
      </c>
      <c r="CQ100" s="3">
        <f>+IF(AVANCE[[#This Row],[IMPERMEABILIZACION BANO - COCINA LOGIA]]=BD$2,100%,AVANCE[[#This Row],[IMPERMEABILIZACION BANO - COCINA LOGIA]])</f>
        <v>0</v>
      </c>
      <c r="CR100" s="40">
        <f ca="1">+IF(AVANCE[[#This Row],[ESTADO MODULO]]="PENDIENTE",(TODAY()-AVANCE[[#This Row],[FECHA TERMINO  PLANIFICADO]]),0)</f>
        <v>0</v>
      </c>
      <c r="CS100" s="42" t="str" cm="1">
        <f t="array" ref="CS100">_xlfn.TEXTJOIN(" | ",TRUE,IF(SUMPRODUCT((BF100:CQ100&lt;1)*(PARTIDAS!$I$2:$AT$2="OBRA GRUESA"))&gt;0,"OBRA GRUESA: "&amp;_xlfn.TEXTJOIN(", ",TRUE,IF((BF100:CQ100&lt;1)*(PARTIDAS!$I$2:$AT$2="OBRA GRUESA"),PARTIDAS!$I$1:$AT$1,"")),""),IF(SUMPRODUCT((BF100:CQ100&lt;1)*(PARTIDAS!$I$2:$AT$2="SANITARIOS"))&gt;0,"SANITARIOS: "&amp;_xlfn.TEXTJOIN(", ",TRUE,IF((BF100:CQ100&lt;1)*(PARTIDAS!$I$2:$AT$2="SANITARIOS"),PARTIDAS!$I$1:$AT$1,"")),""),IF(SUMPRODUCT((BF100:CQ100&lt;1)*(PARTIDAS!$I$2:$AT$2="ELÉCTRICO"))&gt;0,"ELÉCTRICO: "&amp;_xlfn.TEXTJOIN(", ",TRUE,IF((BF100:CQ100&lt;1)*(PARTIDAS!$I$2:$AT$2="ELÉCTRICO"),PARTIDAS!$I$1:$AT$1,"")),""),IF(SUMPRODUCT((BF100:CQ100&lt;1)*(PARTIDAS!$I$2:$AT$2="TERMINACIONES"))&gt;0,"TERMINACIONES: "&amp;_xlfn.TEXTJOIN(", ",TRUE,IF((BF100:CQ100&lt;1)*(PARTIDAS!$I$2:$AT$2="TERMINACIONES"),PARTIDAS!$I$1:$AT$1,"")),""))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0" s="45" t="str" cm="1">
        <f t="array" ref="CT100">_xlfn.TEXTJOIN(", ",TRUE,IF(SUMPRODUCT((BF100:CQ100&lt;1)*(PARTIDAS!$I$2:$AT$2="OBRA GRUESA"))&gt;0,"OBRA GRUESA",""),IF(SUMPRODUCT((BF100:CQ100&lt;1)*(PARTIDAS!$I$2:$AT$2="SANITARIOS"))&gt;0,"SANITARIOS",""),IF(SUMPRODUCT((BF100:CQ100&lt;1)*(PARTIDAS!$I$2:$AT$2="ELÉCTRICO"))&gt;0,"ELÉCTRICO",""),IF(SUMPRODUCT((BF100:CQ100&lt;1)*(PARTIDAS!$I$2:$AT$2="TERMINACIONES"))&gt;0,"TERMINACIONES",""))</f>
        <v>OBRA GRUESA, SANITARIOS, ELÉCTRICO, TERMINACIONES</v>
      </c>
      <c r="CU100" s="46" cm="1">
        <f t="array" ref="CU100">SUMPRODUCT(--(BF100:CQ100&lt;1))</f>
        <v>38</v>
      </c>
    </row>
    <row r="101" spans="1:99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46181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 t="str">
        <f>+IF(AVANCE[[#This Row],[% AVANCE]]=100%,"MODULO TERMINADO",IF(AVANCE[[#This Row],[FECHA INICIO REAL]]="","MODULO NO INICIADO","PENDIENTE"))</f>
        <v>MODULO NO INICIADO</v>
      </c>
      <c r="BF101" s="3">
        <f>+IF(AVANCE[[#This Row],[VENTANAS]]=8.10810810810811%,100%,AVANCE[[#This Row],[VENTANAS]])</f>
        <v>0</v>
      </c>
      <c r="BG101" s="3">
        <f>+IF(AVANCE[[#This Row],[PISO]]=N$2,100%,AVANCE[[#This Row],[PISO]])</f>
        <v>0</v>
      </c>
      <c r="BH101" s="3">
        <f>+IF(AVANCE[[#This Row],[TABIQUES]]=O$2,100%,AVANCE[[#This Row],[TABIQUES]])</f>
        <v>0</v>
      </c>
      <c r="BI101" s="3">
        <f>+IF(AVANCE[[#This Row],[MUROS]]=P$2,100%,AVANCE[[#This Row],[MUROS]])</f>
        <v>0</v>
      </c>
      <c r="BJ101" s="3">
        <f>+IF(AVANCE[[#This Row],[CIELO]]=Q$2,100%,AVANCE[[#This Row],[CIELO]])</f>
        <v>0</v>
      </c>
      <c r="BK101" s="3">
        <f>+IF(AVANCE[[#This Row],[BALCÓN]]=R$2,100%,AVANCE[[#This Row],[BALCÓN]])</f>
        <v>0</v>
      </c>
      <c r="BL101" s="3">
        <f>+IF(AVANCE[[#This Row],[RED ALCANTARILLADO]]=U$2,100%,AVANCE[[#This Row],[RED ALCANTARILLADO]])</f>
        <v>0</v>
      </c>
      <c r="BM101" s="3">
        <f>+IF(AVANCE[[#This Row],[RED DE AGUA]]=V$2,100%,AVANCE[[#This Row],[RED DE AGUA]])</f>
        <v>0</v>
      </c>
      <c r="BN101" s="3">
        <f>+IF(AVANCE[[#This Row],[VENTILACIONES]]=W$2,100%,AVANCE[[#This Row],[VENTILACIONES]])</f>
        <v>0</v>
      </c>
      <c r="BO101" s="3">
        <f>+IF(AVANCE[[#This Row],[TINA]]=X$2,100%,AVANCE[[#This Row],[TINA]])</f>
        <v>0</v>
      </c>
      <c r="BP101" s="3">
        <f>+IF(AVANCE[[#This Row],[WC]]=Y$2,100%,AVANCE[[#This Row],[WC]])</f>
        <v>0</v>
      </c>
      <c r="BQ101" s="3">
        <f>+IF(AVANCE[[#This Row],[LAVAMANOS / LAVAPLATOS / LAVADERO]]=Z$2,100%,AVANCE[[#This Row],[LAVAMANOS / LAVAPLATOS / LAVADERO]])</f>
        <v>0</v>
      </c>
      <c r="BR101" s="3">
        <f>+IF(AVANCE[[#This Row],[CANALIZACIÓN]]=AC$2,100%,AVANCE[[#This Row],[CANALIZACIÓN]])</f>
        <v>0</v>
      </c>
      <c r="BS101" s="3">
        <f>+IF(AVANCE[[#This Row],[CABLEADO]]=AD$2,100%,AVANCE[[#This Row],[CABLEADO]])</f>
        <v>0</v>
      </c>
      <c r="BT101" s="3">
        <f>+IF(AVANCE[[#This Row],[ARTEFACTOS]]=AE$2,100%,AVANCE[[#This Row],[ARTEFACTOS]])</f>
        <v>0</v>
      </c>
      <c r="BU101" s="3">
        <f>+IF(AVANCE[[#This Row],[TABLERO]]=AF$2,100%,AVANCE[[#This Row],[TABLERO]])</f>
        <v>0</v>
      </c>
      <c r="BV101" s="3">
        <f>+IF(AVANCE[[#This Row],[CAJA PAU]]=AG$2,100%,AVANCE[[#This Row],[CAJA PAU]])</f>
        <v>0</v>
      </c>
      <c r="BW101" s="3">
        <f>+IF(AVANCE[[#This Row],[INSTALACION VINILICO]]=AJ$2,100%,AVANCE[[#This Row],[INSTALACION VINILICO]])</f>
        <v>0</v>
      </c>
      <c r="BX101" s="3">
        <f>+IF(AVANCE[[#This Row],[OSB CUBIERTA]]=AK$2,100%,AVANCE[[#This Row],[OSB CUBIERTA]])</f>
        <v>0</v>
      </c>
      <c r="BY101" s="3">
        <f>+IF(AVANCE[[#This Row],[BARANDA BALCON]]=AL$2,100%,AVANCE[[#This Row],[BARANDA BALCON]])</f>
        <v>0</v>
      </c>
      <c r="BZ101" s="3">
        <f>+IF(AVANCE[[#This Row],[OSB EXTERIOR]]=AM$2,100%,AVANCE[[#This Row],[OSB EXTERIOR]])</f>
        <v>0</v>
      </c>
      <c r="CA101" s="3">
        <f>+IF(AVANCE[[#This Row],[SMART PANEL]]=AN$2,100%,AVANCE[[#This Row],[SMART PANEL]])</f>
        <v>0</v>
      </c>
      <c r="CB101" s="3">
        <f>+IF(AVANCE[[#This Row],[PINTURA EXTERIOR]]=AO$2,100%,AVANCE[[#This Row],[PINTURA EXTERIOR]])</f>
        <v>0</v>
      </c>
      <c r="CC101" s="3">
        <f>+IF(AVANCE[[#This Row],[ZOCALOS LOGIA]]=AP$2,100%,AVANCE[[#This Row],[ZOCALOS LOGIA]])</f>
        <v>0</v>
      </c>
      <c r="CD101" s="3">
        <f>+IF(AVANCE[[#This Row],[MOLDURAS]]=AQ$2,100%,AVANCE[[#This Row],[MOLDURAS]])</f>
        <v>0</v>
      </c>
      <c r="CE101" s="3">
        <f>+IF(AVANCE[[#This Row],[PILASTREO]]=AR$2,100%,AVANCE[[#This Row],[PILASTREO]])</f>
        <v>0</v>
      </c>
      <c r="CF101" s="3">
        <f>+IF(AVANCE[[#This Row],[CELOSIAS]]=AS$2,100%,AVANCE[[#This Row],[CELOSIAS]])</f>
        <v>0</v>
      </c>
      <c r="CG101" s="3">
        <f>+IF(AVANCE[[#This Row],[VENTANAS]]=AT$2,100%,AVANCE[[#This Row],[VENTANAS]])</f>
        <v>0</v>
      </c>
      <c r="CH101" s="3">
        <f>+IF(AVANCE[[#This Row],[PUERTAS ACCESO - LOGIA - BANO]]=AU$2,100%,AVANCE[[#This Row],[PUERTAS ACCESO - LOGIA - BANO]])</f>
        <v>0</v>
      </c>
      <c r="CI101" s="3">
        <f>+IF(AVANCE[[#This Row],[CERRADURAS]]=AV$2,100%,AVANCE[[#This Row],[CERRADURAS]])</f>
        <v>0</v>
      </c>
      <c r="CJ101" s="3">
        <f>+IF(AVANCE[[#This Row],[REVESTIMIENTO INTERIOR ZONA SECA]]=AW$2,100%,AVANCE[[#This Row],[REVESTIMIENTO INTERIOR ZONA SECA]])</f>
        <v>0</v>
      </c>
      <c r="CK101" s="3">
        <f>+IF(AVANCE[[#This Row],[REVESTIMIENTO INTERIOR ZONAS HUMEDAS]]=AX$2,100%,AVANCE[[#This Row],[REVESTIMIENTO INTERIOR ZONAS HUMEDAS]])</f>
        <v>0</v>
      </c>
      <c r="CL101" s="3">
        <f>+IF(AVANCE[[#This Row],[MEMBRANA CIELO]]=AY$2,100%,AVANCE[[#This Row],[MEMBRANA CIELO]])</f>
        <v>0</v>
      </c>
      <c r="CM101" s="3">
        <f>+IF(AVANCE[[#This Row],[LIMPIEZA FINAL]]=AZ$2,100%,AVANCE[[#This Row],[LIMPIEZA FINAL]])</f>
        <v>0</v>
      </c>
      <c r="CN101" s="3">
        <f>+IF(AVANCE[[#This Row],[PUERTAS DORMITORIO]]=BA$2,100%,AVANCE[[#This Row],[PUERTAS DORMITORIO]])</f>
        <v>0</v>
      </c>
      <c r="CO101" s="3">
        <f>+IF(AVANCE[[#This Row],[REVESTIMIENTO INTERIOR BANO]]=BB$2,100%,AVANCE[[#This Row],[REVESTIMIENTO INTERIOR BANO]])</f>
        <v>0</v>
      </c>
      <c r="CP101" s="3">
        <f>+IF(AVANCE[[#This Row],[MUEBLE LAVAPLATOS]]=BC$2,100%,AVANCE[[#This Row],[MUEBLE LAVAPLATOS]])</f>
        <v>0</v>
      </c>
      <c r="CQ101" s="3">
        <f>+IF(AVANCE[[#This Row],[IMPERMEABILIZACION BANO - COCINA LOGIA]]=BD$2,100%,AVANCE[[#This Row],[IMPERMEABILIZACION BANO - COCINA LOGIA]])</f>
        <v>0</v>
      </c>
      <c r="CR101" s="40">
        <f ca="1">+IF(AVANCE[[#This Row],[ESTADO MODULO]]="PENDIENTE",(TODAY()-AVANCE[[#This Row],[FECHA TERMINO  PLANIFICADO]]),0)</f>
        <v>0</v>
      </c>
      <c r="CS101" s="42" t="str" cm="1">
        <f t="array" ref="CS101">_xlfn.TEXTJOIN(" | ",TRUE,IF(SUMPRODUCT((BF101:CQ101&lt;1)*(PARTIDAS!$I$2:$AT$2="OBRA GRUESA"))&gt;0,"OBRA GRUESA: "&amp;_xlfn.TEXTJOIN(", ",TRUE,IF((BF101:CQ101&lt;1)*(PARTIDAS!$I$2:$AT$2="OBRA GRUESA"),PARTIDAS!$I$1:$AT$1,"")),""),IF(SUMPRODUCT((BF101:CQ101&lt;1)*(PARTIDAS!$I$2:$AT$2="SANITARIOS"))&gt;0,"SANITARIOS: "&amp;_xlfn.TEXTJOIN(", ",TRUE,IF((BF101:CQ101&lt;1)*(PARTIDAS!$I$2:$AT$2="SANITARIOS"),PARTIDAS!$I$1:$AT$1,"")),""),IF(SUMPRODUCT((BF101:CQ101&lt;1)*(PARTIDAS!$I$2:$AT$2="ELÉCTRICO"))&gt;0,"ELÉCTRICO: "&amp;_xlfn.TEXTJOIN(", ",TRUE,IF((BF101:CQ101&lt;1)*(PARTIDAS!$I$2:$AT$2="ELÉCTRICO"),PARTIDAS!$I$1:$AT$1,"")),""),IF(SUMPRODUCT((BF101:CQ101&lt;1)*(PARTIDAS!$I$2:$AT$2="TERMINACIONES"))&gt;0,"TERMINACIONES: "&amp;_xlfn.TEXTJOIN(", ",TRUE,IF((BF101:CQ101&lt;1)*(PARTIDAS!$I$2:$AT$2="TERMINACIONES"),PARTIDAS!$I$1:$AT$1,"")),""))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1" s="45" t="str" cm="1">
        <f t="array" ref="CT101">_xlfn.TEXTJOIN(", ",TRUE,IF(SUMPRODUCT((BF101:CQ101&lt;1)*(PARTIDAS!$I$2:$AT$2="OBRA GRUESA"))&gt;0,"OBRA GRUESA",""),IF(SUMPRODUCT((BF101:CQ101&lt;1)*(PARTIDAS!$I$2:$AT$2="SANITARIOS"))&gt;0,"SANITARIOS",""),IF(SUMPRODUCT((BF101:CQ101&lt;1)*(PARTIDAS!$I$2:$AT$2="ELÉCTRICO"))&gt;0,"ELÉCTRICO",""),IF(SUMPRODUCT((BF101:CQ101&lt;1)*(PARTIDAS!$I$2:$AT$2="TERMINACIONES"))&gt;0,"TERMINACIONES",""))</f>
        <v>OBRA GRUESA, SANITARIOS, ELÉCTRICO, TERMINACIONES</v>
      </c>
      <c r="CU101" s="46" cm="1">
        <f t="array" ref="CU101">SUMPRODUCT(--(BF101:CQ101&lt;1))</f>
        <v>38</v>
      </c>
    </row>
    <row r="102" spans="1:99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46181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 t="str">
        <f>+IF(AVANCE[[#This Row],[% AVANCE]]=100%,"MODULO TERMINADO",IF(AVANCE[[#This Row],[FECHA INICIO REAL]]="","MODULO NO INICIADO","PENDIENTE"))</f>
        <v>MODULO NO INICIADO</v>
      </c>
      <c r="BF102" s="3">
        <f>+IF(AVANCE[[#This Row],[VENTANAS]]=8.10810810810811%,100%,AVANCE[[#This Row],[VENTANAS]])</f>
        <v>0</v>
      </c>
      <c r="BG102" s="3">
        <f>+IF(AVANCE[[#This Row],[PISO]]=N$2,100%,AVANCE[[#This Row],[PISO]])</f>
        <v>0</v>
      </c>
      <c r="BH102" s="3">
        <f>+IF(AVANCE[[#This Row],[TABIQUES]]=O$2,100%,AVANCE[[#This Row],[TABIQUES]])</f>
        <v>0</v>
      </c>
      <c r="BI102" s="3">
        <f>+IF(AVANCE[[#This Row],[MUROS]]=P$2,100%,AVANCE[[#This Row],[MUROS]])</f>
        <v>0</v>
      </c>
      <c r="BJ102" s="3">
        <f>+IF(AVANCE[[#This Row],[CIELO]]=Q$2,100%,AVANCE[[#This Row],[CIELO]])</f>
        <v>0</v>
      </c>
      <c r="BK102" s="3">
        <f>+IF(AVANCE[[#This Row],[BALCÓN]]=R$2,100%,AVANCE[[#This Row],[BALCÓN]])</f>
        <v>0</v>
      </c>
      <c r="BL102" s="3">
        <f>+IF(AVANCE[[#This Row],[RED ALCANTARILLADO]]=U$2,100%,AVANCE[[#This Row],[RED ALCANTARILLADO]])</f>
        <v>0</v>
      </c>
      <c r="BM102" s="3">
        <f>+IF(AVANCE[[#This Row],[RED DE AGUA]]=V$2,100%,AVANCE[[#This Row],[RED DE AGUA]])</f>
        <v>0</v>
      </c>
      <c r="BN102" s="3">
        <f>+IF(AVANCE[[#This Row],[VENTILACIONES]]=W$2,100%,AVANCE[[#This Row],[VENTILACIONES]])</f>
        <v>0</v>
      </c>
      <c r="BO102" s="3">
        <f>+IF(AVANCE[[#This Row],[TINA]]=X$2,100%,AVANCE[[#This Row],[TINA]])</f>
        <v>0</v>
      </c>
      <c r="BP102" s="3">
        <f>+IF(AVANCE[[#This Row],[WC]]=Y$2,100%,AVANCE[[#This Row],[WC]])</f>
        <v>0</v>
      </c>
      <c r="BQ102" s="3">
        <f>+IF(AVANCE[[#This Row],[LAVAMANOS / LAVAPLATOS / LAVADERO]]=Z$2,100%,AVANCE[[#This Row],[LAVAMANOS / LAVAPLATOS / LAVADERO]])</f>
        <v>0</v>
      </c>
      <c r="BR102" s="3">
        <f>+IF(AVANCE[[#This Row],[CANALIZACIÓN]]=AC$2,100%,AVANCE[[#This Row],[CANALIZACIÓN]])</f>
        <v>0</v>
      </c>
      <c r="BS102" s="3">
        <f>+IF(AVANCE[[#This Row],[CABLEADO]]=AD$2,100%,AVANCE[[#This Row],[CABLEADO]])</f>
        <v>0</v>
      </c>
      <c r="BT102" s="3">
        <f>+IF(AVANCE[[#This Row],[ARTEFACTOS]]=AE$2,100%,AVANCE[[#This Row],[ARTEFACTOS]])</f>
        <v>0</v>
      </c>
      <c r="BU102" s="3">
        <f>+IF(AVANCE[[#This Row],[TABLERO]]=AF$2,100%,AVANCE[[#This Row],[TABLERO]])</f>
        <v>0</v>
      </c>
      <c r="BV102" s="3">
        <f>+IF(AVANCE[[#This Row],[CAJA PAU]]=AG$2,100%,AVANCE[[#This Row],[CAJA PAU]])</f>
        <v>0</v>
      </c>
      <c r="BW102" s="3">
        <f>+IF(AVANCE[[#This Row],[INSTALACION VINILICO]]=AJ$2,100%,AVANCE[[#This Row],[INSTALACION VINILICO]])</f>
        <v>0</v>
      </c>
      <c r="BX102" s="3">
        <f>+IF(AVANCE[[#This Row],[OSB CUBIERTA]]=AK$2,100%,AVANCE[[#This Row],[OSB CUBIERTA]])</f>
        <v>0</v>
      </c>
      <c r="BY102" s="3">
        <f>+IF(AVANCE[[#This Row],[BARANDA BALCON]]=AL$2,100%,AVANCE[[#This Row],[BARANDA BALCON]])</f>
        <v>0</v>
      </c>
      <c r="BZ102" s="3">
        <f>+IF(AVANCE[[#This Row],[OSB EXTERIOR]]=AM$2,100%,AVANCE[[#This Row],[OSB EXTERIOR]])</f>
        <v>0</v>
      </c>
      <c r="CA102" s="3">
        <f>+IF(AVANCE[[#This Row],[SMART PANEL]]=AN$2,100%,AVANCE[[#This Row],[SMART PANEL]])</f>
        <v>0</v>
      </c>
      <c r="CB102" s="3">
        <f>+IF(AVANCE[[#This Row],[PINTURA EXTERIOR]]=AO$2,100%,AVANCE[[#This Row],[PINTURA EXTERIOR]])</f>
        <v>0</v>
      </c>
      <c r="CC102" s="3">
        <f>+IF(AVANCE[[#This Row],[ZOCALOS LOGIA]]=AP$2,100%,AVANCE[[#This Row],[ZOCALOS LOGIA]])</f>
        <v>0</v>
      </c>
      <c r="CD102" s="3">
        <f>+IF(AVANCE[[#This Row],[MOLDURAS]]=AQ$2,100%,AVANCE[[#This Row],[MOLDURAS]])</f>
        <v>0</v>
      </c>
      <c r="CE102" s="3">
        <f>+IF(AVANCE[[#This Row],[PILASTREO]]=AR$2,100%,AVANCE[[#This Row],[PILASTREO]])</f>
        <v>0</v>
      </c>
      <c r="CF102" s="3">
        <f>+IF(AVANCE[[#This Row],[CELOSIAS]]=AS$2,100%,AVANCE[[#This Row],[CELOSIAS]])</f>
        <v>0</v>
      </c>
      <c r="CG102" s="3">
        <f>+IF(AVANCE[[#This Row],[VENTANAS]]=AT$2,100%,AVANCE[[#This Row],[VENTANAS]])</f>
        <v>0</v>
      </c>
      <c r="CH102" s="3">
        <f>+IF(AVANCE[[#This Row],[PUERTAS ACCESO - LOGIA - BANO]]=AU$2,100%,AVANCE[[#This Row],[PUERTAS ACCESO - LOGIA - BANO]])</f>
        <v>0</v>
      </c>
      <c r="CI102" s="3">
        <f>+IF(AVANCE[[#This Row],[CERRADURAS]]=AV$2,100%,AVANCE[[#This Row],[CERRADURAS]])</f>
        <v>0</v>
      </c>
      <c r="CJ102" s="3">
        <f>+IF(AVANCE[[#This Row],[REVESTIMIENTO INTERIOR ZONA SECA]]=AW$2,100%,AVANCE[[#This Row],[REVESTIMIENTO INTERIOR ZONA SECA]])</f>
        <v>0</v>
      </c>
      <c r="CK102" s="3">
        <f>+IF(AVANCE[[#This Row],[REVESTIMIENTO INTERIOR ZONAS HUMEDAS]]=AX$2,100%,AVANCE[[#This Row],[REVESTIMIENTO INTERIOR ZONAS HUMEDAS]])</f>
        <v>0</v>
      </c>
      <c r="CL102" s="3">
        <f>+IF(AVANCE[[#This Row],[MEMBRANA CIELO]]=AY$2,100%,AVANCE[[#This Row],[MEMBRANA CIELO]])</f>
        <v>0</v>
      </c>
      <c r="CM102" s="3">
        <f>+IF(AVANCE[[#This Row],[LIMPIEZA FINAL]]=AZ$2,100%,AVANCE[[#This Row],[LIMPIEZA FINAL]])</f>
        <v>0</v>
      </c>
      <c r="CN102" s="3">
        <f>+IF(AVANCE[[#This Row],[PUERTAS DORMITORIO]]=BA$2,100%,AVANCE[[#This Row],[PUERTAS DORMITORIO]])</f>
        <v>0</v>
      </c>
      <c r="CO102" s="3">
        <f>+IF(AVANCE[[#This Row],[REVESTIMIENTO INTERIOR BANO]]=BB$2,100%,AVANCE[[#This Row],[REVESTIMIENTO INTERIOR BANO]])</f>
        <v>0</v>
      </c>
      <c r="CP102" s="3">
        <f>+IF(AVANCE[[#This Row],[MUEBLE LAVAPLATOS]]=BC$2,100%,AVANCE[[#This Row],[MUEBLE LAVAPLATOS]])</f>
        <v>0</v>
      </c>
      <c r="CQ102" s="3">
        <f>+IF(AVANCE[[#This Row],[IMPERMEABILIZACION BANO - COCINA LOGIA]]=BD$2,100%,AVANCE[[#This Row],[IMPERMEABILIZACION BANO - COCINA LOGIA]])</f>
        <v>0</v>
      </c>
      <c r="CR102" s="40">
        <f ca="1">+IF(AVANCE[[#This Row],[ESTADO MODULO]]="PENDIENTE",(TODAY()-AVANCE[[#This Row],[FECHA TERMINO  PLANIFICADO]]),0)</f>
        <v>0</v>
      </c>
      <c r="CS102" s="42" t="str" cm="1">
        <f t="array" ref="CS102">_xlfn.TEXTJOIN(" | ",TRUE,IF(SUMPRODUCT((BF102:CQ102&lt;1)*(PARTIDAS!$I$2:$AT$2="OBRA GRUESA"))&gt;0,"OBRA GRUESA: "&amp;_xlfn.TEXTJOIN(", ",TRUE,IF((BF102:CQ102&lt;1)*(PARTIDAS!$I$2:$AT$2="OBRA GRUESA"),PARTIDAS!$I$1:$AT$1,"")),""),IF(SUMPRODUCT((BF102:CQ102&lt;1)*(PARTIDAS!$I$2:$AT$2="SANITARIOS"))&gt;0,"SANITARIOS: "&amp;_xlfn.TEXTJOIN(", ",TRUE,IF((BF102:CQ102&lt;1)*(PARTIDAS!$I$2:$AT$2="SANITARIOS"),PARTIDAS!$I$1:$AT$1,"")),""),IF(SUMPRODUCT((BF102:CQ102&lt;1)*(PARTIDAS!$I$2:$AT$2="ELÉCTRICO"))&gt;0,"ELÉCTRICO: "&amp;_xlfn.TEXTJOIN(", ",TRUE,IF((BF102:CQ102&lt;1)*(PARTIDAS!$I$2:$AT$2="ELÉCTRICO"),PARTIDAS!$I$1:$AT$1,"")),""),IF(SUMPRODUCT((BF102:CQ102&lt;1)*(PARTIDAS!$I$2:$AT$2="TERMINACIONES"))&gt;0,"TERMINACIONES: "&amp;_xlfn.TEXTJOIN(", ",TRUE,IF((BF102:CQ102&lt;1)*(PARTIDAS!$I$2:$AT$2="TERMINACIONES"),PARTIDAS!$I$1:$AT$1,"")),""))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2" s="45" t="str" cm="1">
        <f t="array" ref="CT102">_xlfn.TEXTJOIN(", ",TRUE,IF(SUMPRODUCT((BF102:CQ102&lt;1)*(PARTIDAS!$I$2:$AT$2="OBRA GRUESA"))&gt;0,"OBRA GRUESA",""),IF(SUMPRODUCT((BF102:CQ102&lt;1)*(PARTIDAS!$I$2:$AT$2="SANITARIOS"))&gt;0,"SANITARIOS",""),IF(SUMPRODUCT((BF102:CQ102&lt;1)*(PARTIDAS!$I$2:$AT$2="ELÉCTRICO"))&gt;0,"ELÉCTRICO",""),IF(SUMPRODUCT((BF102:CQ102&lt;1)*(PARTIDAS!$I$2:$AT$2="TERMINACIONES"))&gt;0,"TERMINACIONES",""))</f>
        <v>OBRA GRUESA, SANITARIOS, ELÉCTRICO, TERMINACIONES</v>
      </c>
      <c r="CU102" s="46" cm="1">
        <f t="array" ref="CU102">SUMPRODUCT(--(BF102:CQ102&lt;1))</f>
        <v>38</v>
      </c>
    </row>
    <row r="103" spans="1:99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46181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 t="str">
        <f>+IF(AVANCE[[#This Row],[% AVANCE]]=100%,"MODULO TERMINADO",IF(AVANCE[[#This Row],[FECHA INICIO REAL]]="","MODULO NO INICIADO","PENDIENTE"))</f>
        <v>MODULO NO INICIADO</v>
      </c>
      <c r="BF103" s="3">
        <f>+IF(AVANCE[[#This Row],[VENTANAS]]=8.10810810810811%,100%,AVANCE[[#This Row],[VENTANAS]])</f>
        <v>0</v>
      </c>
      <c r="BG103" s="3">
        <f>+IF(AVANCE[[#This Row],[PISO]]=N$2,100%,AVANCE[[#This Row],[PISO]])</f>
        <v>0</v>
      </c>
      <c r="BH103" s="3">
        <f>+IF(AVANCE[[#This Row],[TABIQUES]]=O$2,100%,AVANCE[[#This Row],[TABIQUES]])</f>
        <v>0</v>
      </c>
      <c r="BI103" s="3">
        <f>+IF(AVANCE[[#This Row],[MUROS]]=P$2,100%,AVANCE[[#This Row],[MUROS]])</f>
        <v>0</v>
      </c>
      <c r="BJ103" s="3">
        <f>+IF(AVANCE[[#This Row],[CIELO]]=Q$2,100%,AVANCE[[#This Row],[CIELO]])</f>
        <v>0</v>
      </c>
      <c r="BK103" s="3">
        <f>+IF(AVANCE[[#This Row],[BALCÓN]]=R$2,100%,AVANCE[[#This Row],[BALCÓN]])</f>
        <v>0</v>
      </c>
      <c r="BL103" s="3">
        <f>+IF(AVANCE[[#This Row],[RED ALCANTARILLADO]]=U$2,100%,AVANCE[[#This Row],[RED ALCANTARILLADO]])</f>
        <v>0</v>
      </c>
      <c r="BM103" s="3">
        <f>+IF(AVANCE[[#This Row],[RED DE AGUA]]=V$2,100%,AVANCE[[#This Row],[RED DE AGUA]])</f>
        <v>0</v>
      </c>
      <c r="BN103" s="3">
        <f>+IF(AVANCE[[#This Row],[VENTILACIONES]]=W$2,100%,AVANCE[[#This Row],[VENTILACIONES]])</f>
        <v>0</v>
      </c>
      <c r="BO103" s="3">
        <f>+IF(AVANCE[[#This Row],[TINA]]=X$2,100%,AVANCE[[#This Row],[TINA]])</f>
        <v>0</v>
      </c>
      <c r="BP103" s="3">
        <f>+IF(AVANCE[[#This Row],[WC]]=Y$2,100%,AVANCE[[#This Row],[WC]])</f>
        <v>0</v>
      </c>
      <c r="BQ103" s="3">
        <f>+IF(AVANCE[[#This Row],[LAVAMANOS / LAVAPLATOS / LAVADERO]]=Z$2,100%,AVANCE[[#This Row],[LAVAMANOS / LAVAPLATOS / LAVADERO]])</f>
        <v>0</v>
      </c>
      <c r="BR103" s="3">
        <f>+IF(AVANCE[[#This Row],[CANALIZACIÓN]]=AC$2,100%,AVANCE[[#This Row],[CANALIZACIÓN]])</f>
        <v>0</v>
      </c>
      <c r="BS103" s="3">
        <f>+IF(AVANCE[[#This Row],[CABLEADO]]=AD$2,100%,AVANCE[[#This Row],[CABLEADO]])</f>
        <v>0</v>
      </c>
      <c r="BT103" s="3">
        <f>+IF(AVANCE[[#This Row],[ARTEFACTOS]]=AE$2,100%,AVANCE[[#This Row],[ARTEFACTOS]])</f>
        <v>0</v>
      </c>
      <c r="BU103" s="3">
        <f>+IF(AVANCE[[#This Row],[TABLERO]]=AF$2,100%,AVANCE[[#This Row],[TABLERO]])</f>
        <v>0</v>
      </c>
      <c r="BV103" s="3">
        <f>+IF(AVANCE[[#This Row],[CAJA PAU]]=AG$2,100%,AVANCE[[#This Row],[CAJA PAU]])</f>
        <v>0</v>
      </c>
      <c r="BW103" s="3">
        <f>+IF(AVANCE[[#This Row],[INSTALACION VINILICO]]=AJ$2,100%,AVANCE[[#This Row],[INSTALACION VINILICO]])</f>
        <v>0</v>
      </c>
      <c r="BX103" s="3">
        <f>+IF(AVANCE[[#This Row],[OSB CUBIERTA]]=AK$2,100%,AVANCE[[#This Row],[OSB CUBIERTA]])</f>
        <v>0</v>
      </c>
      <c r="BY103" s="3">
        <f>+IF(AVANCE[[#This Row],[BARANDA BALCON]]=AL$2,100%,AVANCE[[#This Row],[BARANDA BALCON]])</f>
        <v>0</v>
      </c>
      <c r="BZ103" s="3">
        <f>+IF(AVANCE[[#This Row],[OSB EXTERIOR]]=AM$2,100%,AVANCE[[#This Row],[OSB EXTERIOR]])</f>
        <v>0</v>
      </c>
      <c r="CA103" s="3">
        <f>+IF(AVANCE[[#This Row],[SMART PANEL]]=AN$2,100%,AVANCE[[#This Row],[SMART PANEL]])</f>
        <v>0</v>
      </c>
      <c r="CB103" s="3">
        <f>+IF(AVANCE[[#This Row],[PINTURA EXTERIOR]]=AO$2,100%,AVANCE[[#This Row],[PINTURA EXTERIOR]])</f>
        <v>0</v>
      </c>
      <c r="CC103" s="3">
        <f>+IF(AVANCE[[#This Row],[ZOCALOS LOGIA]]=AP$2,100%,AVANCE[[#This Row],[ZOCALOS LOGIA]])</f>
        <v>0</v>
      </c>
      <c r="CD103" s="3">
        <f>+IF(AVANCE[[#This Row],[MOLDURAS]]=AQ$2,100%,AVANCE[[#This Row],[MOLDURAS]])</f>
        <v>0</v>
      </c>
      <c r="CE103" s="3">
        <f>+IF(AVANCE[[#This Row],[PILASTREO]]=AR$2,100%,AVANCE[[#This Row],[PILASTREO]])</f>
        <v>0</v>
      </c>
      <c r="CF103" s="3">
        <f>+IF(AVANCE[[#This Row],[CELOSIAS]]=AS$2,100%,AVANCE[[#This Row],[CELOSIAS]])</f>
        <v>0</v>
      </c>
      <c r="CG103" s="3">
        <f>+IF(AVANCE[[#This Row],[VENTANAS]]=AT$2,100%,AVANCE[[#This Row],[VENTANAS]])</f>
        <v>0</v>
      </c>
      <c r="CH103" s="3">
        <f>+IF(AVANCE[[#This Row],[PUERTAS ACCESO - LOGIA - BANO]]=AU$2,100%,AVANCE[[#This Row],[PUERTAS ACCESO - LOGIA - BANO]])</f>
        <v>0</v>
      </c>
      <c r="CI103" s="3">
        <f>+IF(AVANCE[[#This Row],[CERRADURAS]]=AV$2,100%,AVANCE[[#This Row],[CERRADURAS]])</f>
        <v>0</v>
      </c>
      <c r="CJ103" s="3">
        <f>+IF(AVANCE[[#This Row],[REVESTIMIENTO INTERIOR ZONA SECA]]=AW$2,100%,AVANCE[[#This Row],[REVESTIMIENTO INTERIOR ZONA SECA]])</f>
        <v>0</v>
      </c>
      <c r="CK103" s="3">
        <f>+IF(AVANCE[[#This Row],[REVESTIMIENTO INTERIOR ZONAS HUMEDAS]]=AX$2,100%,AVANCE[[#This Row],[REVESTIMIENTO INTERIOR ZONAS HUMEDAS]])</f>
        <v>0</v>
      </c>
      <c r="CL103" s="3">
        <f>+IF(AVANCE[[#This Row],[MEMBRANA CIELO]]=AY$2,100%,AVANCE[[#This Row],[MEMBRANA CIELO]])</f>
        <v>0</v>
      </c>
      <c r="CM103" s="3">
        <f>+IF(AVANCE[[#This Row],[LIMPIEZA FINAL]]=AZ$2,100%,AVANCE[[#This Row],[LIMPIEZA FINAL]])</f>
        <v>0</v>
      </c>
      <c r="CN103" s="3">
        <f>+IF(AVANCE[[#This Row],[PUERTAS DORMITORIO]]=BA$2,100%,AVANCE[[#This Row],[PUERTAS DORMITORIO]])</f>
        <v>0</v>
      </c>
      <c r="CO103" s="3">
        <f>+IF(AVANCE[[#This Row],[REVESTIMIENTO INTERIOR BANO]]=BB$2,100%,AVANCE[[#This Row],[REVESTIMIENTO INTERIOR BANO]])</f>
        <v>0</v>
      </c>
      <c r="CP103" s="3">
        <f>+IF(AVANCE[[#This Row],[MUEBLE LAVAPLATOS]]=BC$2,100%,AVANCE[[#This Row],[MUEBLE LAVAPLATOS]])</f>
        <v>0</v>
      </c>
      <c r="CQ103" s="3">
        <f>+IF(AVANCE[[#This Row],[IMPERMEABILIZACION BANO - COCINA LOGIA]]=BD$2,100%,AVANCE[[#This Row],[IMPERMEABILIZACION BANO - COCINA LOGIA]])</f>
        <v>0</v>
      </c>
      <c r="CR103" s="40">
        <f ca="1">+IF(AVANCE[[#This Row],[ESTADO MODULO]]="PENDIENTE",(TODAY()-AVANCE[[#This Row],[FECHA TERMINO  PLANIFICADO]]),0)</f>
        <v>0</v>
      </c>
      <c r="CS103" s="42" t="str" cm="1">
        <f t="array" ref="CS103">_xlfn.TEXTJOIN(" | ",TRUE,IF(SUMPRODUCT((BF103:CQ103&lt;1)*(PARTIDAS!$I$2:$AT$2="OBRA GRUESA"))&gt;0,"OBRA GRUESA: "&amp;_xlfn.TEXTJOIN(", ",TRUE,IF((BF103:CQ103&lt;1)*(PARTIDAS!$I$2:$AT$2="OBRA GRUESA"),PARTIDAS!$I$1:$AT$1,"")),""),IF(SUMPRODUCT((BF103:CQ103&lt;1)*(PARTIDAS!$I$2:$AT$2="SANITARIOS"))&gt;0,"SANITARIOS: "&amp;_xlfn.TEXTJOIN(", ",TRUE,IF((BF103:CQ103&lt;1)*(PARTIDAS!$I$2:$AT$2="SANITARIOS"),PARTIDAS!$I$1:$AT$1,"")),""),IF(SUMPRODUCT((BF103:CQ103&lt;1)*(PARTIDAS!$I$2:$AT$2="ELÉCTRICO"))&gt;0,"ELÉCTRICO: "&amp;_xlfn.TEXTJOIN(", ",TRUE,IF((BF103:CQ103&lt;1)*(PARTIDAS!$I$2:$AT$2="ELÉCTRICO"),PARTIDAS!$I$1:$AT$1,"")),""),IF(SUMPRODUCT((BF103:CQ103&lt;1)*(PARTIDAS!$I$2:$AT$2="TERMINACIONES"))&gt;0,"TERMINACIONES: "&amp;_xlfn.TEXTJOIN(", ",TRUE,IF((BF103:CQ103&lt;1)*(PARTIDAS!$I$2:$AT$2="TERMINACIONES"),PARTIDAS!$I$1:$AT$1,"")),""))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3" s="45" t="str" cm="1">
        <f t="array" ref="CT103">_xlfn.TEXTJOIN(", ",TRUE,IF(SUMPRODUCT((BF103:CQ103&lt;1)*(PARTIDAS!$I$2:$AT$2="OBRA GRUESA"))&gt;0,"OBRA GRUESA",""),IF(SUMPRODUCT((BF103:CQ103&lt;1)*(PARTIDAS!$I$2:$AT$2="SANITARIOS"))&gt;0,"SANITARIOS",""),IF(SUMPRODUCT((BF103:CQ103&lt;1)*(PARTIDAS!$I$2:$AT$2="ELÉCTRICO"))&gt;0,"ELÉCTRICO",""),IF(SUMPRODUCT((BF103:CQ103&lt;1)*(PARTIDAS!$I$2:$AT$2="TERMINACIONES"))&gt;0,"TERMINACIONES",""))</f>
        <v>OBRA GRUESA, SANITARIOS, ELÉCTRICO, TERMINACIONES</v>
      </c>
      <c r="CU103" s="46" cm="1">
        <f t="array" ref="CU103">SUMPRODUCT(--(BF103:CQ103&lt;1))</f>
        <v>38</v>
      </c>
    </row>
    <row r="104" spans="1:99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</v>
      </c>
      <c r="F104" s="1">
        <v>46178</v>
      </c>
      <c r="G104" s="1"/>
      <c r="H104" s="1">
        <v>0</v>
      </c>
      <c r="I104" s="1">
        <v>46212</v>
      </c>
      <c r="J104">
        <v>46181</v>
      </c>
      <c r="K104" s="1"/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 t="str">
        <f>+IF(AVANCE[[#This Row],[% AVANCE]]=100%,"MODULO TERMINADO",IF(AVANCE[[#This Row],[FECHA INICIO REAL]]="","MODULO NO INICIADO","PENDIENTE"))</f>
        <v>MODULO NO INICIADO</v>
      </c>
      <c r="BF104" s="3">
        <f>+IF(AVANCE[[#This Row],[VENTANAS]]=8.10810810810811%,100%,AVANCE[[#This Row],[VENTANAS]])</f>
        <v>0</v>
      </c>
      <c r="BG104" s="3">
        <f>+IF(AVANCE[[#This Row],[PISO]]=N$2,100%,AVANCE[[#This Row],[PISO]])</f>
        <v>0</v>
      </c>
      <c r="BH104" s="3">
        <f>+IF(AVANCE[[#This Row],[TABIQUES]]=O$2,100%,AVANCE[[#This Row],[TABIQUES]])</f>
        <v>0</v>
      </c>
      <c r="BI104" s="3">
        <f>+IF(AVANCE[[#This Row],[MUROS]]=P$2,100%,AVANCE[[#This Row],[MUROS]])</f>
        <v>0</v>
      </c>
      <c r="BJ104" s="3">
        <f>+IF(AVANCE[[#This Row],[CIELO]]=Q$2,100%,AVANCE[[#This Row],[CIELO]])</f>
        <v>0</v>
      </c>
      <c r="BK104" s="3">
        <f>+IF(AVANCE[[#This Row],[BALCÓN]]=R$2,100%,AVANCE[[#This Row],[BALCÓN]])</f>
        <v>0</v>
      </c>
      <c r="BL104" s="3">
        <f>+IF(AVANCE[[#This Row],[RED ALCANTARILLADO]]=U$2,100%,AVANCE[[#This Row],[RED ALCANTARILLADO]])</f>
        <v>0</v>
      </c>
      <c r="BM104" s="3">
        <f>+IF(AVANCE[[#This Row],[RED DE AGUA]]=V$2,100%,AVANCE[[#This Row],[RED DE AGUA]])</f>
        <v>0</v>
      </c>
      <c r="BN104" s="3">
        <f>+IF(AVANCE[[#This Row],[VENTILACIONES]]=W$2,100%,AVANCE[[#This Row],[VENTILACIONES]])</f>
        <v>0</v>
      </c>
      <c r="BO104" s="3">
        <f>+IF(AVANCE[[#This Row],[TINA]]=X$2,100%,AVANCE[[#This Row],[TINA]])</f>
        <v>0</v>
      </c>
      <c r="BP104" s="3">
        <f>+IF(AVANCE[[#This Row],[WC]]=Y$2,100%,AVANCE[[#This Row],[WC]])</f>
        <v>0</v>
      </c>
      <c r="BQ104" s="3">
        <f>+IF(AVANCE[[#This Row],[LAVAMANOS / LAVAPLATOS / LAVADERO]]=Z$2,100%,AVANCE[[#This Row],[LAVAMANOS / LAVAPLATOS / LAVADERO]])</f>
        <v>0</v>
      </c>
      <c r="BR104" s="3">
        <f>+IF(AVANCE[[#This Row],[CANALIZACIÓN]]=AC$2,100%,AVANCE[[#This Row],[CANALIZACIÓN]])</f>
        <v>0</v>
      </c>
      <c r="BS104" s="3">
        <f>+IF(AVANCE[[#This Row],[CABLEADO]]=AD$2,100%,AVANCE[[#This Row],[CABLEADO]])</f>
        <v>0</v>
      </c>
      <c r="BT104" s="3">
        <f>+IF(AVANCE[[#This Row],[ARTEFACTOS]]=AE$2,100%,AVANCE[[#This Row],[ARTEFACTOS]])</f>
        <v>0</v>
      </c>
      <c r="BU104" s="3">
        <f>+IF(AVANCE[[#This Row],[TABLERO]]=AF$2,100%,AVANCE[[#This Row],[TABLERO]])</f>
        <v>0</v>
      </c>
      <c r="BV104" s="3">
        <f>+IF(AVANCE[[#This Row],[CAJA PAU]]=AG$2,100%,AVANCE[[#This Row],[CAJA PAU]])</f>
        <v>0</v>
      </c>
      <c r="BW104" s="3">
        <f>+IF(AVANCE[[#This Row],[INSTALACION VINILICO]]=AJ$2,100%,AVANCE[[#This Row],[INSTALACION VINILICO]])</f>
        <v>0</v>
      </c>
      <c r="BX104" s="3">
        <f>+IF(AVANCE[[#This Row],[OSB CUBIERTA]]=AK$2,100%,AVANCE[[#This Row],[OSB CUBIERTA]])</f>
        <v>0</v>
      </c>
      <c r="BY104" s="3">
        <f>+IF(AVANCE[[#This Row],[BARANDA BALCON]]=AL$2,100%,AVANCE[[#This Row],[BARANDA BALCON]])</f>
        <v>0</v>
      </c>
      <c r="BZ104" s="3">
        <f>+IF(AVANCE[[#This Row],[OSB EXTERIOR]]=AM$2,100%,AVANCE[[#This Row],[OSB EXTERIOR]])</f>
        <v>0</v>
      </c>
      <c r="CA104" s="3">
        <f>+IF(AVANCE[[#This Row],[SMART PANEL]]=AN$2,100%,AVANCE[[#This Row],[SMART PANEL]])</f>
        <v>0</v>
      </c>
      <c r="CB104" s="3">
        <f>+IF(AVANCE[[#This Row],[PINTURA EXTERIOR]]=AO$2,100%,AVANCE[[#This Row],[PINTURA EXTERIOR]])</f>
        <v>0</v>
      </c>
      <c r="CC104" s="3">
        <f>+IF(AVANCE[[#This Row],[ZOCALOS LOGIA]]=AP$2,100%,AVANCE[[#This Row],[ZOCALOS LOGIA]])</f>
        <v>0</v>
      </c>
      <c r="CD104" s="3">
        <f>+IF(AVANCE[[#This Row],[MOLDURAS]]=AQ$2,100%,AVANCE[[#This Row],[MOLDURAS]])</f>
        <v>0</v>
      </c>
      <c r="CE104" s="3">
        <f>+IF(AVANCE[[#This Row],[PILASTREO]]=AR$2,100%,AVANCE[[#This Row],[PILASTREO]])</f>
        <v>0</v>
      </c>
      <c r="CF104" s="3">
        <f>+IF(AVANCE[[#This Row],[CELOSIAS]]=AS$2,100%,AVANCE[[#This Row],[CELOSIAS]])</f>
        <v>0</v>
      </c>
      <c r="CG104" s="3">
        <f>+IF(AVANCE[[#This Row],[VENTANAS]]=AT$2,100%,AVANCE[[#This Row],[VENTANAS]])</f>
        <v>0</v>
      </c>
      <c r="CH104" s="3">
        <f>+IF(AVANCE[[#This Row],[PUERTAS ACCESO - LOGIA - BANO]]=AU$2,100%,AVANCE[[#This Row],[PUERTAS ACCESO - LOGIA - BANO]])</f>
        <v>0</v>
      </c>
      <c r="CI104" s="3">
        <f>+IF(AVANCE[[#This Row],[CERRADURAS]]=AV$2,100%,AVANCE[[#This Row],[CERRADURAS]])</f>
        <v>0</v>
      </c>
      <c r="CJ104" s="3">
        <f>+IF(AVANCE[[#This Row],[REVESTIMIENTO INTERIOR ZONA SECA]]=AW$2,100%,AVANCE[[#This Row],[REVESTIMIENTO INTERIOR ZONA SECA]])</f>
        <v>0</v>
      </c>
      <c r="CK104" s="3">
        <f>+IF(AVANCE[[#This Row],[REVESTIMIENTO INTERIOR ZONAS HUMEDAS]]=AX$2,100%,AVANCE[[#This Row],[REVESTIMIENTO INTERIOR ZONAS HUMEDAS]])</f>
        <v>0</v>
      </c>
      <c r="CL104" s="3">
        <f>+IF(AVANCE[[#This Row],[MEMBRANA CIELO]]=AY$2,100%,AVANCE[[#This Row],[MEMBRANA CIELO]])</f>
        <v>0</v>
      </c>
      <c r="CM104" s="3">
        <f>+IF(AVANCE[[#This Row],[LIMPIEZA FINAL]]=AZ$2,100%,AVANCE[[#This Row],[LIMPIEZA FINAL]])</f>
        <v>0</v>
      </c>
      <c r="CN104" s="3">
        <f>+IF(AVANCE[[#This Row],[PUERTAS DORMITORIO]]=BA$2,100%,AVANCE[[#This Row],[PUERTAS DORMITORIO]])</f>
        <v>0</v>
      </c>
      <c r="CO104" s="3">
        <f>+IF(AVANCE[[#This Row],[REVESTIMIENTO INTERIOR BANO]]=BB$2,100%,AVANCE[[#This Row],[REVESTIMIENTO INTERIOR BANO]])</f>
        <v>0</v>
      </c>
      <c r="CP104" s="3">
        <f>+IF(AVANCE[[#This Row],[MUEBLE LAVAPLATOS]]=BC$2,100%,AVANCE[[#This Row],[MUEBLE LAVAPLATOS]])</f>
        <v>0</v>
      </c>
      <c r="CQ104" s="3">
        <f>+IF(AVANCE[[#This Row],[IMPERMEABILIZACION BANO - COCINA LOGIA]]=BD$2,100%,AVANCE[[#This Row],[IMPERMEABILIZACION BANO - COCINA LOGIA]])</f>
        <v>0</v>
      </c>
      <c r="CR104" s="40">
        <f ca="1">+IF(AVANCE[[#This Row],[ESTADO MODULO]]="PENDIENTE",(TODAY()-AVANCE[[#This Row],[FECHA TERMINO  PLANIFICADO]]),0)</f>
        <v>0</v>
      </c>
      <c r="CS104" s="42" t="str" cm="1">
        <f t="array" ref="CS104">_xlfn.TEXTJOIN(" | ",TRUE,IF(SUMPRODUCT((BF104:CQ104&lt;1)*(PARTIDAS!$I$2:$AT$2="OBRA GRUESA"))&gt;0,"OBRA GRUESA: "&amp;_xlfn.TEXTJOIN(", ",TRUE,IF((BF104:CQ104&lt;1)*(PARTIDAS!$I$2:$AT$2="OBRA GRUESA"),PARTIDAS!$I$1:$AT$1,"")),""),IF(SUMPRODUCT((BF104:CQ104&lt;1)*(PARTIDAS!$I$2:$AT$2="SANITARIOS"))&gt;0,"SANITARIOS: "&amp;_xlfn.TEXTJOIN(", ",TRUE,IF((BF104:CQ104&lt;1)*(PARTIDAS!$I$2:$AT$2="SANITARIOS"),PARTIDAS!$I$1:$AT$1,"")),""),IF(SUMPRODUCT((BF104:CQ104&lt;1)*(PARTIDAS!$I$2:$AT$2="ELÉCTRICO"))&gt;0,"ELÉCTRICO: "&amp;_xlfn.TEXTJOIN(", ",TRUE,IF((BF104:CQ104&lt;1)*(PARTIDAS!$I$2:$AT$2="ELÉCTRICO"),PARTIDAS!$I$1:$AT$1,"")),""),IF(SUMPRODUCT((BF104:CQ104&lt;1)*(PARTIDAS!$I$2:$AT$2="TERMINACIONES"))&gt;0,"TERMINACIONES: "&amp;_xlfn.TEXTJOIN(", ",TRUE,IF((BF104:CQ104&lt;1)*(PARTIDAS!$I$2:$AT$2="TERMINACIONES"),PARTIDAS!$I$1:$AT$1,"")),""))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4" s="45" t="str" cm="1">
        <f t="array" ref="CT104">_xlfn.TEXTJOIN(", ",TRUE,IF(SUMPRODUCT((BF104:CQ104&lt;1)*(PARTIDAS!$I$2:$AT$2="OBRA GRUESA"))&gt;0,"OBRA GRUESA",""),IF(SUMPRODUCT((BF104:CQ104&lt;1)*(PARTIDAS!$I$2:$AT$2="SANITARIOS"))&gt;0,"SANITARIOS",""),IF(SUMPRODUCT((BF104:CQ104&lt;1)*(PARTIDAS!$I$2:$AT$2="ELÉCTRICO"))&gt;0,"ELÉCTRICO",""),IF(SUMPRODUCT((BF104:CQ104&lt;1)*(PARTIDAS!$I$2:$AT$2="TERMINACIONES"))&gt;0,"TERMINACIONES",""))</f>
        <v>OBRA GRUESA, SANITARIOS, ELÉCTRICO, TERMINACIONES</v>
      </c>
      <c r="CU104" s="46" cm="1">
        <f t="array" ref="CU104">SUMPRODUCT(--(BF104:CQ104&lt;1))</f>
        <v>38</v>
      </c>
    </row>
    <row r="105" spans="1:99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</v>
      </c>
      <c r="F105" s="1">
        <v>46178</v>
      </c>
      <c r="G105" s="1"/>
      <c r="H105" s="1">
        <v>0</v>
      </c>
      <c r="I105" s="1">
        <v>46202</v>
      </c>
      <c r="J105">
        <v>46181</v>
      </c>
      <c r="K105" s="1"/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 t="str">
        <f>+IF(AVANCE[[#This Row],[% AVANCE]]=100%,"MODULO TERMINADO",IF(AVANCE[[#This Row],[FECHA INICIO REAL]]="","MODULO NO INICIADO","PENDIENTE"))</f>
        <v>MODULO NO INICIADO</v>
      </c>
      <c r="BF105" s="3">
        <f>+IF(AVANCE[[#This Row],[VENTANAS]]=8.10810810810811%,100%,AVANCE[[#This Row],[VENTANAS]])</f>
        <v>0</v>
      </c>
      <c r="BG105" s="3">
        <f>+IF(AVANCE[[#This Row],[PISO]]=N$2,100%,AVANCE[[#This Row],[PISO]])</f>
        <v>0</v>
      </c>
      <c r="BH105" s="3">
        <f>+IF(AVANCE[[#This Row],[TABIQUES]]=O$2,100%,AVANCE[[#This Row],[TABIQUES]])</f>
        <v>0</v>
      </c>
      <c r="BI105" s="3">
        <f>+IF(AVANCE[[#This Row],[MUROS]]=P$2,100%,AVANCE[[#This Row],[MUROS]])</f>
        <v>0</v>
      </c>
      <c r="BJ105" s="3">
        <f>+IF(AVANCE[[#This Row],[CIELO]]=Q$2,100%,AVANCE[[#This Row],[CIELO]])</f>
        <v>0</v>
      </c>
      <c r="BK105" s="3">
        <f>+IF(AVANCE[[#This Row],[BALCÓN]]=R$2,100%,AVANCE[[#This Row],[BALCÓN]])</f>
        <v>0</v>
      </c>
      <c r="BL105" s="3">
        <f>+IF(AVANCE[[#This Row],[RED ALCANTARILLADO]]=U$2,100%,AVANCE[[#This Row],[RED ALCANTARILLADO]])</f>
        <v>0</v>
      </c>
      <c r="BM105" s="3">
        <f>+IF(AVANCE[[#This Row],[RED DE AGUA]]=V$2,100%,AVANCE[[#This Row],[RED DE AGUA]])</f>
        <v>0</v>
      </c>
      <c r="BN105" s="3">
        <f>+IF(AVANCE[[#This Row],[VENTILACIONES]]=W$2,100%,AVANCE[[#This Row],[VENTILACIONES]])</f>
        <v>0</v>
      </c>
      <c r="BO105" s="3">
        <f>+IF(AVANCE[[#This Row],[TINA]]=X$2,100%,AVANCE[[#This Row],[TINA]])</f>
        <v>0</v>
      </c>
      <c r="BP105" s="3">
        <f>+IF(AVANCE[[#This Row],[WC]]=Y$2,100%,AVANCE[[#This Row],[WC]])</f>
        <v>0</v>
      </c>
      <c r="BQ105" s="3">
        <f>+IF(AVANCE[[#This Row],[LAVAMANOS / LAVAPLATOS / LAVADERO]]=Z$2,100%,AVANCE[[#This Row],[LAVAMANOS / LAVAPLATOS / LAVADERO]])</f>
        <v>0</v>
      </c>
      <c r="BR105" s="3">
        <f>+IF(AVANCE[[#This Row],[CANALIZACIÓN]]=AC$2,100%,AVANCE[[#This Row],[CANALIZACIÓN]])</f>
        <v>0</v>
      </c>
      <c r="BS105" s="3">
        <f>+IF(AVANCE[[#This Row],[CABLEADO]]=AD$2,100%,AVANCE[[#This Row],[CABLEADO]])</f>
        <v>0</v>
      </c>
      <c r="BT105" s="3">
        <f>+IF(AVANCE[[#This Row],[ARTEFACTOS]]=AE$2,100%,AVANCE[[#This Row],[ARTEFACTOS]])</f>
        <v>0</v>
      </c>
      <c r="BU105" s="3">
        <f>+IF(AVANCE[[#This Row],[TABLERO]]=AF$2,100%,AVANCE[[#This Row],[TABLERO]])</f>
        <v>0</v>
      </c>
      <c r="BV105" s="3">
        <f>+IF(AVANCE[[#This Row],[CAJA PAU]]=AG$2,100%,AVANCE[[#This Row],[CAJA PAU]])</f>
        <v>0</v>
      </c>
      <c r="BW105" s="3">
        <f>+IF(AVANCE[[#This Row],[INSTALACION VINILICO]]=AJ$2,100%,AVANCE[[#This Row],[INSTALACION VINILICO]])</f>
        <v>0</v>
      </c>
      <c r="BX105" s="3">
        <f>+IF(AVANCE[[#This Row],[OSB CUBIERTA]]=AK$2,100%,AVANCE[[#This Row],[OSB CUBIERTA]])</f>
        <v>0</v>
      </c>
      <c r="BY105" s="3">
        <f>+IF(AVANCE[[#This Row],[BARANDA BALCON]]=AL$2,100%,AVANCE[[#This Row],[BARANDA BALCON]])</f>
        <v>0</v>
      </c>
      <c r="BZ105" s="3">
        <f>+IF(AVANCE[[#This Row],[OSB EXTERIOR]]=AM$2,100%,AVANCE[[#This Row],[OSB EXTERIOR]])</f>
        <v>0</v>
      </c>
      <c r="CA105" s="3">
        <f>+IF(AVANCE[[#This Row],[SMART PANEL]]=AN$2,100%,AVANCE[[#This Row],[SMART PANEL]])</f>
        <v>0</v>
      </c>
      <c r="CB105" s="3">
        <f>+IF(AVANCE[[#This Row],[PINTURA EXTERIOR]]=AO$2,100%,AVANCE[[#This Row],[PINTURA EXTERIOR]])</f>
        <v>0</v>
      </c>
      <c r="CC105" s="3">
        <f>+IF(AVANCE[[#This Row],[ZOCALOS LOGIA]]=AP$2,100%,AVANCE[[#This Row],[ZOCALOS LOGIA]])</f>
        <v>0</v>
      </c>
      <c r="CD105" s="3">
        <f>+IF(AVANCE[[#This Row],[MOLDURAS]]=AQ$2,100%,AVANCE[[#This Row],[MOLDURAS]])</f>
        <v>0</v>
      </c>
      <c r="CE105" s="3">
        <f>+IF(AVANCE[[#This Row],[PILASTREO]]=AR$2,100%,AVANCE[[#This Row],[PILASTREO]])</f>
        <v>0</v>
      </c>
      <c r="CF105" s="3">
        <f>+IF(AVANCE[[#This Row],[CELOSIAS]]=AS$2,100%,AVANCE[[#This Row],[CELOSIAS]])</f>
        <v>0</v>
      </c>
      <c r="CG105" s="3">
        <f>+IF(AVANCE[[#This Row],[VENTANAS]]=AT$2,100%,AVANCE[[#This Row],[VENTANAS]])</f>
        <v>0</v>
      </c>
      <c r="CH105" s="3">
        <f>+IF(AVANCE[[#This Row],[PUERTAS ACCESO - LOGIA - BANO]]=AU$2,100%,AVANCE[[#This Row],[PUERTAS ACCESO - LOGIA - BANO]])</f>
        <v>0</v>
      </c>
      <c r="CI105" s="3">
        <f>+IF(AVANCE[[#This Row],[CERRADURAS]]=AV$2,100%,AVANCE[[#This Row],[CERRADURAS]])</f>
        <v>0</v>
      </c>
      <c r="CJ105" s="3">
        <f>+IF(AVANCE[[#This Row],[REVESTIMIENTO INTERIOR ZONA SECA]]=AW$2,100%,AVANCE[[#This Row],[REVESTIMIENTO INTERIOR ZONA SECA]])</f>
        <v>0</v>
      </c>
      <c r="CK105" s="3">
        <f>+IF(AVANCE[[#This Row],[REVESTIMIENTO INTERIOR ZONAS HUMEDAS]]=AX$2,100%,AVANCE[[#This Row],[REVESTIMIENTO INTERIOR ZONAS HUMEDAS]])</f>
        <v>0</v>
      </c>
      <c r="CL105" s="3">
        <f>+IF(AVANCE[[#This Row],[MEMBRANA CIELO]]=AY$2,100%,AVANCE[[#This Row],[MEMBRANA CIELO]])</f>
        <v>0</v>
      </c>
      <c r="CM105" s="3">
        <f>+IF(AVANCE[[#This Row],[LIMPIEZA FINAL]]=AZ$2,100%,AVANCE[[#This Row],[LIMPIEZA FINAL]])</f>
        <v>0</v>
      </c>
      <c r="CN105" s="3">
        <f>+IF(AVANCE[[#This Row],[PUERTAS DORMITORIO]]=BA$2,100%,AVANCE[[#This Row],[PUERTAS DORMITORIO]])</f>
        <v>0</v>
      </c>
      <c r="CO105" s="3">
        <f>+IF(AVANCE[[#This Row],[REVESTIMIENTO INTERIOR BANO]]=BB$2,100%,AVANCE[[#This Row],[REVESTIMIENTO INTERIOR BANO]])</f>
        <v>0</v>
      </c>
      <c r="CP105" s="3">
        <f>+IF(AVANCE[[#This Row],[MUEBLE LAVAPLATOS]]=BC$2,100%,AVANCE[[#This Row],[MUEBLE LAVAPLATOS]])</f>
        <v>0</v>
      </c>
      <c r="CQ105" s="3">
        <f>+IF(AVANCE[[#This Row],[IMPERMEABILIZACION BANO - COCINA LOGIA]]=BD$2,100%,AVANCE[[#This Row],[IMPERMEABILIZACION BANO - COCINA LOGIA]])</f>
        <v>0</v>
      </c>
      <c r="CR105" s="40">
        <f ca="1">+IF(AVANCE[[#This Row],[ESTADO MODULO]]="PENDIENTE",(TODAY()-AVANCE[[#This Row],[FECHA TERMINO  PLANIFICADO]]),0)</f>
        <v>0</v>
      </c>
      <c r="CS105" s="42" t="str" cm="1">
        <f t="array" ref="CS105">_xlfn.TEXTJOIN(" | ",TRUE,IF(SUMPRODUCT((BF105:CQ105&lt;1)*(PARTIDAS!$I$2:$AT$2="OBRA GRUESA"))&gt;0,"OBRA GRUESA: "&amp;_xlfn.TEXTJOIN(", ",TRUE,IF((BF105:CQ105&lt;1)*(PARTIDAS!$I$2:$AT$2="OBRA GRUESA"),PARTIDAS!$I$1:$AT$1,"")),""),IF(SUMPRODUCT((BF105:CQ105&lt;1)*(PARTIDAS!$I$2:$AT$2="SANITARIOS"))&gt;0,"SANITARIOS: "&amp;_xlfn.TEXTJOIN(", ",TRUE,IF((BF105:CQ105&lt;1)*(PARTIDAS!$I$2:$AT$2="SANITARIOS"),PARTIDAS!$I$1:$AT$1,"")),""),IF(SUMPRODUCT((BF105:CQ105&lt;1)*(PARTIDAS!$I$2:$AT$2="ELÉCTRICO"))&gt;0,"ELÉCTRICO: "&amp;_xlfn.TEXTJOIN(", ",TRUE,IF((BF105:CQ105&lt;1)*(PARTIDAS!$I$2:$AT$2="ELÉCTRICO"),PARTIDAS!$I$1:$AT$1,"")),""),IF(SUMPRODUCT((BF105:CQ105&lt;1)*(PARTIDAS!$I$2:$AT$2="TERMINACIONES"))&gt;0,"TERMINACIONES: "&amp;_xlfn.TEXTJOIN(", ",TRUE,IF((BF105:CQ105&lt;1)*(PARTIDAS!$I$2:$AT$2="TERMINACIONES"),PARTIDAS!$I$1:$AT$1,"")),""))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5" s="45" t="str" cm="1">
        <f t="array" ref="CT105">_xlfn.TEXTJOIN(", ",TRUE,IF(SUMPRODUCT((BF105:CQ105&lt;1)*(PARTIDAS!$I$2:$AT$2="OBRA GRUESA"))&gt;0,"OBRA GRUESA",""),IF(SUMPRODUCT((BF105:CQ105&lt;1)*(PARTIDAS!$I$2:$AT$2="SANITARIOS"))&gt;0,"SANITARIOS",""),IF(SUMPRODUCT((BF105:CQ105&lt;1)*(PARTIDAS!$I$2:$AT$2="ELÉCTRICO"))&gt;0,"ELÉCTRICO",""),IF(SUMPRODUCT((BF105:CQ105&lt;1)*(PARTIDAS!$I$2:$AT$2="TERMINACIONES"))&gt;0,"TERMINACIONES",""))</f>
        <v>OBRA GRUESA, SANITARIOS, ELÉCTRICO, TERMINACIONES</v>
      </c>
      <c r="CU105" s="46" cm="1">
        <f t="array" ref="CU105">SUMPRODUCT(--(BF105:CQ105&lt;1))</f>
        <v>38</v>
      </c>
    </row>
    <row r="106" spans="1:99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46181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 t="str">
        <f>+IF(AVANCE[[#This Row],[% AVANCE]]=100%,"MODULO TERMINADO",IF(AVANCE[[#This Row],[FECHA INICIO REAL]]="","MODULO NO INICIADO","PENDIENTE"))</f>
        <v>MODULO NO INICIADO</v>
      </c>
      <c r="BF106" s="3">
        <f>+IF(AVANCE[[#This Row],[VENTANAS]]=8.10810810810811%,100%,AVANCE[[#This Row],[VENTANAS]])</f>
        <v>0</v>
      </c>
      <c r="BG106" s="3">
        <f>+IF(AVANCE[[#This Row],[PISO]]=N$2,100%,AVANCE[[#This Row],[PISO]])</f>
        <v>0</v>
      </c>
      <c r="BH106" s="3">
        <f>+IF(AVANCE[[#This Row],[TABIQUES]]=O$2,100%,AVANCE[[#This Row],[TABIQUES]])</f>
        <v>0</v>
      </c>
      <c r="BI106" s="3">
        <f>+IF(AVANCE[[#This Row],[MUROS]]=P$2,100%,AVANCE[[#This Row],[MUROS]])</f>
        <v>0</v>
      </c>
      <c r="BJ106" s="3">
        <f>+IF(AVANCE[[#This Row],[CIELO]]=Q$2,100%,AVANCE[[#This Row],[CIELO]])</f>
        <v>0</v>
      </c>
      <c r="BK106" s="3">
        <f>+IF(AVANCE[[#This Row],[BALCÓN]]=R$2,100%,AVANCE[[#This Row],[BALCÓN]])</f>
        <v>0</v>
      </c>
      <c r="BL106" s="3">
        <f>+IF(AVANCE[[#This Row],[RED ALCANTARILLADO]]=U$2,100%,AVANCE[[#This Row],[RED ALCANTARILLADO]])</f>
        <v>0</v>
      </c>
      <c r="BM106" s="3">
        <f>+IF(AVANCE[[#This Row],[RED DE AGUA]]=V$2,100%,AVANCE[[#This Row],[RED DE AGUA]])</f>
        <v>0</v>
      </c>
      <c r="BN106" s="3">
        <f>+IF(AVANCE[[#This Row],[VENTILACIONES]]=W$2,100%,AVANCE[[#This Row],[VENTILACIONES]])</f>
        <v>0</v>
      </c>
      <c r="BO106" s="3">
        <f>+IF(AVANCE[[#This Row],[TINA]]=X$2,100%,AVANCE[[#This Row],[TINA]])</f>
        <v>0</v>
      </c>
      <c r="BP106" s="3">
        <f>+IF(AVANCE[[#This Row],[WC]]=Y$2,100%,AVANCE[[#This Row],[WC]])</f>
        <v>0</v>
      </c>
      <c r="BQ106" s="3">
        <f>+IF(AVANCE[[#This Row],[LAVAMANOS / LAVAPLATOS / LAVADERO]]=Z$2,100%,AVANCE[[#This Row],[LAVAMANOS / LAVAPLATOS / LAVADERO]])</f>
        <v>0</v>
      </c>
      <c r="BR106" s="3">
        <f>+IF(AVANCE[[#This Row],[CANALIZACIÓN]]=AC$2,100%,AVANCE[[#This Row],[CANALIZACIÓN]])</f>
        <v>0</v>
      </c>
      <c r="BS106" s="3">
        <f>+IF(AVANCE[[#This Row],[CABLEADO]]=AD$2,100%,AVANCE[[#This Row],[CABLEADO]])</f>
        <v>0</v>
      </c>
      <c r="BT106" s="3">
        <f>+IF(AVANCE[[#This Row],[ARTEFACTOS]]=AE$2,100%,AVANCE[[#This Row],[ARTEFACTOS]])</f>
        <v>0</v>
      </c>
      <c r="BU106" s="3">
        <f>+IF(AVANCE[[#This Row],[TABLERO]]=AF$2,100%,AVANCE[[#This Row],[TABLERO]])</f>
        <v>0</v>
      </c>
      <c r="BV106" s="3">
        <f>+IF(AVANCE[[#This Row],[CAJA PAU]]=AG$2,100%,AVANCE[[#This Row],[CAJA PAU]])</f>
        <v>0</v>
      </c>
      <c r="BW106" s="3">
        <f>+IF(AVANCE[[#This Row],[INSTALACION VINILICO]]=AJ$2,100%,AVANCE[[#This Row],[INSTALACION VINILICO]])</f>
        <v>0</v>
      </c>
      <c r="BX106" s="3">
        <f>+IF(AVANCE[[#This Row],[OSB CUBIERTA]]=AK$2,100%,AVANCE[[#This Row],[OSB CUBIERTA]])</f>
        <v>0</v>
      </c>
      <c r="BY106" s="3">
        <f>+IF(AVANCE[[#This Row],[BARANDA BALCON]]=AL$2,100%,AVANCE[[#This Row],[BARANDA BALCON]])</f>
        <v>0</v>
      </c>
      <c r="BZ106" s="3">
        <f>+IF(AVANCE[[#This Row],[OSB EXTERIOR]]=AM$2,100%,AVANCE[[#This Row],[OSB EXTERIOR]])</f>
        <v>0</v>
      </c>
      <c r="CA106" s="3">
        <f>+IF(AVANCE[[#This Row],[SMART PANEL]]=AN$2,100%,AVANCE[[#This Row],[SMART PANEL]])</f>
        <v>0</v>
      </c>
      <c r="CB106" s="3">
        <f>+IF(AVANCE[[#This Row],[PINTURA EXTERIOR]]=AO$2,100%,AVANCE[[#This Row],[PINTURA EXTERIOR]])</f>
        <v>0</v>
      </c>
      <c r="CC106" s="3">
        <f>+IF(AVANCE[[#This Row],[ZOCALOS LOGIA]]=AP$2,100%,AVANCE[[#This Row],[ZOCALOS LOGIA]])</f>
        <v>0</v>
      </c>
      <c r="CD106" s="3">
        <f>+IF(AVANCE[[#This Row],[MOLDURAS]]=AQ$2,100%,AVANCE[[#This Row],[MOLDURAS]])</f>
        <v>0</v>
      </c>
      <c r="CE106" s="3">
        <f>+IF(AVANCE[[#This Row],[PILASTREO]]=AR$2,100%,AVANCE[[#This Row],[PILASTREO]])</f>
        <v>0</v>
      </c>
      <c r="CF106" s="3">
        <f>+IF(AVANCE[[#This Row],[CELOSIAS]]=AS$2,100%,AVANCE[[#This Row],[CELOSIAS]])</f>
        <v>0</v>
      </c>
      <c r="CG106" s="3">
        <f>+IF(AVANCE[[#This Row],[VENTANAS]]=AT$2,100%,AVANCE[[#This Row],[VENTANAS]])</f>
        <v>0</v>
      </c>
      <c r="CH106" s="3">
        <f>+IF(AVANCE[[#This Row],[PUERTAS ACCESO - LOGIA - BANO]]=AU$2,100%,AVANCE[[#This Row],[PUERTAS ACCESO - LOGIA - BANO]])</f>
        <v>0</v>
      </c>
      <c r="CI106" s="3">
        <f>+IF(AVANCE[[#This Row],[CERRADURAS]]=AV$2,100%,AVANCE[[#This Row],[CERRADURAS]])</f>
        <v>0</v>
      </c>
      <c r="CJ106" s="3">
        <f>+IF(AVANCE[[#This Row],[REVESTIMIENTO INTERIOR ZONA SECA]]=AW$2,100%,AVANCE[[#This Row],[REVESTIMIENTO INTERIOR ZONA SECA]])</f>
        <v>0</v>
      </c>
      <c r="CK106" s="3">
        <f>+IF(AVANCE[[#This Row],[REVESTIMIENTO INTERIOR ZONAS HUMEDAS]]=AX$2,100%,AVANCE[[#This Row],[REVESTIMIENTO INTERIOR ZONAS HUMEDAS]])</f>
        <v>0</v>
      </c>
      <c r="CL106" s="3">
        <f>+IF(AVANCE[[#This Row],[MEMBRANA CIELO]]=AY$2,100%,AVANCE[[#This Row],[MEMBRANA CIELO]])</f>
        <v>0</v>
      </c>
      <c r="CM106" s="3">
        <f>+IF(AVANCE[[#This Row],[LIMPIEZA FINAL]]=AZ$2,100%,AVANCE[[#This Row],[LIMPIEZA FINAL]])</f>
        <v>0</v>
      </c>
      <c r="CN106" s="3">
        <f>+IF(AVANCE[[#This Row],[PUERTAS DORMITORIO]]=BA$2,100%,AVANCE[[#This Row],[PUERTAS DORMITORIO]])</f>
        <v>0</v>
      </c>
      <c r="CO106" s="3">
        <f>+IF(AVANCE[[#This Row],[REVESTIMIENTO INTERIOR BANO]]=BB$2,100%,AVANCE[[#This Row],[REVESTIMIENTO INTERIOR BANO]])</f>
        <v>0</v>
      </c>
      <c r="CP106" s="3">
        <f>+IF(AVANCE[[#This Row],[MUEBLE LAVAPLATOS]]=BC$2,100%,AVANCE[[#This Row],[MUEBLE LAVAPLATOS]])</f>
        <v>0</v>
      </c>
      <c r="CQ106" s="3">
        <f>+IF(AVANCE[[#This Row],[IMPERMEABILIZACION BANO - COCINA LOGIA]]=BD$2,100%,AVANCE[[#This Row],[IMPERMEABILIZACION BANO - COCINA LOGIA]])</f>
        <v>0</v>
      </c>
      <c r="CR106" s="40">
        <f ca="1">+IF(AVANCE[[#This Row],[ESTADO MODULO]]="PENDIENTE",(TODAY()-AVANCE[[#This Row],[FECHA TERMINO  PLANIFICADO]]),0)</f>
        <v>0</v>
      </c>
      <c r="CS106" s="42" t="str" cm="1">
        <f t="array" ref="CS106">_xlfn.TEXTJOIN(" | ",TRUE,IF(SUMPRODUCT((BF106:CQ106&lt;1)*(PARTIDAS!$I$2:$AT$2="OBRA GRUESA"))&gt;0,"OBRA GRUESA: "&amp;_xlfn.TEXTJOIN(", ",TRUE,IF((BF106:CQ106&lt;1)*(PARTIDAS!$I$2:$AT$2="OBRA GRUESA"),PARTIDAS!$I$1:$AT$1,"")),""),IF(SUMPRODUCT((BF106:CQ106&lt;1)*(PARTIDAS!$I$2:$AT$2="SANITARIOS"))&gt;0,"SANITARIOS: "&amp;_xlfn.TEXTJOIN(", ",TRUE,IF((BF106:CQ106&lt;1)*(PARTIDAS!$I$2:$AT$2="SANITARIOS"),PARTIDAS!$I$1:$AT$1,"")),""),IF(SUMPRODUCT((BF106:CQ106&lt;1)*(PARTIDAS!$I$2:$AT$2="ELÉCTRICO"))&gt;0,"ELÉCTRICO: "&amp;_xlfn.TEXTJOIN(", ",TRUE,IF((BF106:CQ106&lt;1)*(PARTIDAS!$I$2:$AT$2="ELÉCTRICO"),PARTIDAS!$I$1:$AT$1,"")),""),IF(SUMPRODUCT((BF106:CQ106&lt;1)*(PARTIDAS!$I$2:$AT$2="TERMINACIONES"))&gt;0,"TERMINACIONES: "&amp;_xlfn.TEXTJOIN(", ",TRUE,IF((BF106:CQ106&lt;1)*(PARTIDAS!$I$2:$AT$2="TERMINACIONES"),PARTIDAS!$I$1:$AT$1,"")),""))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6" s="45" t="str" cm="1">
        <f t="array" ref="CT106">_xlfn.TEXTJOIN(", ",TRUE,IF(SUMPRODUCT((BF106:CQ106&lt;1)*(PARTIDAS!$I$2:$AT$2="OBRA GRUESA"))&gt;0,"OBRA GRUESA",""),IF(SUMPRODUCT((BF106:CQ106&lt;1)*(PARTIDAS!$I$2:$AT$2="SANITARIOS"))&gt;0,"SANITARIOS",""),IF(SUMPRODUCT((BF106:CQ106&lt;1)*(PARTIDAS!$I$2:$AT$2="ELÉCTRICO"))&gt;0,"ELÉCTRICO",""),IF(SUMPRODUCT((BF106:CQ106&lt;1)*(PARTIDAS!$I$2:$AT$2="TERMINACIONES"))&gt;0,"TERMINACIONES",""))</f>
        <v>OBRA GRUESA, SANITARIOS, ELÉCTRICO, TERMINACIONES</v>
      </c>
      <c r="CU106" s="46" cm="1">
        <f t="array" ref="CU106">SUMPRODUCT(--(BF106:CQ106&lt;1))</f>
        <v>38</v>
      </c>
    </row>
    <row r="107" spans="1:99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46181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 t="str">
        <f>+IF(AVANCE[[#This Row],[% AVANCE]]=100%,"MODULO TERMINADO",IF(AVANCE[[#This Row],[FECHA INICIO REAL]]="","MODULO NO INICIADO","PENDIENTE"))</f>
        <v>MODULO NO INICIADO</v>
      </c>
      <c r="BF107" s="3">
        <f>+IF(AVANCE[[#This Row],[VENTANAS]]=8.10810810810811%,100%,AVANCE[[#This Row],[VENTANAS]])</f>
        <v>0</v>
      </c>
      <c r="BG107" s="3">
        <f>+IF(AVANCE[[#This Row],[PISO]]=N$2,100%,AVANCE[[#This Row],[PISO]])</f>
        <v>0</v>
      </c>
      <c r="BH107" s="3">
        <f>+IF(AVANCE[[#This Row],[TABIQUES]]=O$2,100%,AVANCE[[#This Row],[TABIQUES]])</f>
        <v>0</v>
      </c>
      <c r="BI107" s="3">
        <f>+IF(AVANCE[[#This Row],[MUROS]]=P$2,100%,AVANCE[[#This Row],[MUROS]])</f>
        <v>0</v>
      </c>
      <c r="BJ107" s="3">
        <f>+IF(AVANCE[[#This Row],[CIELO]]=Q$2,100%,AVANCE[[#This Row],[CIELO]])</f>
        <v>0</v>
      </c>
      <c r="BK107" s="3">
        <f>+IF(AVANCE[[#This Row],[BALCÓN]]=R$2,100%,AVANCE[[#This Row],[BALCÓN]])</f>
        <v>0</v>
      </c>
      <c r="BL107" s="3">
        <f>+IF(AVANCE[[#This Row],[RED ALCANTARILLADO]]=U$2,100%,AVANCE[[#This Row],[RED ALCANTARILLADO]])</f>
        <v>0</v>
      </c>
      <c r="BM107" s="3">
        <f>+IF(AVANCE[[#This Row],[RED DE AGUA]]=V$2,100%,AVANCE[[#This Row],[RED DE AGUA]])</f>
        <v>0</v>
      </c>
      <c r="BN107" s="3">
        <f>+IF(AVANCE[[#This Row],[VENTILACIONES]]=W$2,100%,AVANCE[[#This Row],[VENTILACIONES]])</f>
        <v>0</v>
      </c>
      <c r="BO107" s="3">
        <f>+IF(AVANCE[[#This Row],[TINA]]=X$2,100%,AVANCE[[#This Row],[TINA]])</f>
        <v>0</v>
      </c>
      <c r="BP107" s="3">
        <f>+IF(AVANCE[[#This Row],[WC]]=Y$2,100%,AVANCE[[#This Row],[WC]])</f>
        <v>0</v>
      </c>
      <c r="BQ107" s="3">
        <f>+IF(AVANCE[[#This Row],[LAVAMANOS / LAVAPLATOS / LAVADERO]]=Z$2,100%,AVANCE[[#This Row],[LAVAMANOS / LAVAPLATOS / LAVADERO]])</f>
        <v>0</v>
      </c>
      <c r="BR107" s="3">
        <f>+IF(AVANCE[[#This Row],[CANALIZACIÓN]]=AC$2,100%,AVANCE[[#This Row],[CANALIZACIÓN]])</f>
        <v>0</v>
      </c>
      <c r="BS107" s="3">
        <f>+IF(AVANCE[[#This Row],[CABLEADO]]=AD$2,100%,AVANCE[[#This Row],[CABLEADO]])</f>
        <v>0</v>
      </c>
      <c r="BT107" s="3">
        <f>+IF(AVANCE[[#This Row],[ARTEFACTOS]]=AE$2,100%,AVANCE[[#This Row],[ARTEFACTOS]])</f>
        <v>0</v>
      </c>
      <c r="BU107" s="3">
        <f>+IF(AVANCE[[#This Row],[TABLERO]]=AF$2,100%,AVANCE[[#This Row],[TABLERO]])</f>
        <v>0</v>
      </c>
      <c r="BV107" s="3">
        <f>+IF(AVANCE[[#This Row],[CAJA PAU]]=AG$2,100%,AVANCE[[#This Row],[CAJA PAU]])</f>
        <v>0</v>
      </c>
      <c r="BW107" s="3">
        <f>+IF(AVANCE[[#This Row],[INSTALACION VINILICO]]=AJ$2,100%,AVANCE[[#This Row],[INSTALACION VINILICO]])</f>
        <v>0</v>
      </c>
      <c r="BX107" s="3">
        <f>+IF(AVANCE[[#This Row],[OSB CUBIERTA]]=AK$2,100%,AVANCE[[#This Row],[OSB CUBIERTA]])</f>
        <v>0</v>
      </c>
      <c r="BY107" s="3">
        <f>+IF(AVANCE[[#This Row],[BARANDA BALCON]]=AL$2,100%,AVANCE[[#This Row],[BARANDA BALCON]])</f>
        <v>0</v>
      </c>
      <c r="BZ107" s="3">
        <f>+IF(AVANCE[[#This Row],[OSB EXTERIOR]]=AM$2,100%,AVANCE[[#This Row],[OSB EXTERIOR]])</f>
        <v>0</v>
      </c>
      <c r="CA107" s="3">
        <f>+IF(AVANCE[[#This Row],[SMART PANEL]]=AN$2,100%,AVANCE[[#This Row],[SMART PANEL]])</f>
        <v>0</v>
      </c>
      <c r="CB107" s="3">
        <f>+IF(AVANCE[[#This Row],[PINTURA EXTERIOR]]=AO$2,100%,AVANCE[[#This Row],[PINTURA EXTERIOR]])</f>
        <v>0</v>
      </c>
      <c r="CC107" s="3">
        <f>+IF(AVANCE[[#This Row],[ZOCALOS LOGIA]]=AP$2,100%,AVANCE[[#This Row],[ZOCALOS LOGIA]])</f>
        <v>0</v>
      </c>
      <c r="CD107" s="3">
        <f>+IF(AVANCE[[#This Row],[MOLDURAS]]=AQ$2,100%,AVANCE[[#This Row],[MOLDURAS]])</f>
        <v>0</v>
      </c>
      <c r="CE107" s="3">
        <f>+IF(AVANCE[[#This Row],[PILASTREO]]=AR$2,100%,AVANCE[[#This Row],[PILASTREO]])</f>
        <v>0</v>
      </c>
      <c r="CF107" s="3">
        <f>+IF(AVANCE[[#This Row],[CELOSIAS]]=AS$2,100%,AVANCE[[#This Row],[CELOSIAS]])</f>
        <v>0</v>
      </c>
      <c r="CG107" s="3">
        <f>+IF(AVANCE[[#This Row],[VENTANAS]]=AT$2,100%,AVANCE[[#This Row],[VENTANAS]])</f>
        <v>0</v>
      </c>
      <c r="CH107" s="3">
        <f>+IF(AVANCE[[#This Row],[PUERTAS ACCESO - LOGIA - BANO]]=AU$2,100%,AVANCE[[#This Row],[PUERTAS ACCESO - LOGIA - BANO]])</f>
        <v>0</v>
      </c>
      <c r="CI107" s="3">
        <f>+IF(AVANCE[[#This Row],[CERRADURAS]]=AV$2,100%,AVANCE[[#This Row],[CERRADURAS]])</f>
        <v>0</v>
      </c>
      <c r="CJ107" s="3">
        <f>+IF(AVANCE[[#This Row],[REVESTIMIENTO INTERIOR ZONA SECA]]=AW$2,100%,AVANCE[[#This Row],[REVESTIMIENTO INTERIOR ZONA SECA]])</f>
        <v>0</v>
      </c>
      <c r="CK107" s="3">
        <f>+IF(AVANCE[[#This Row],[REVESTIMIENTO INTERIOR ZONAS HUMEDAS]]=AX$2,100%,AVANCE[[#This Row],[REVESTIMIENTO INTERIOR ZONAS HUMEDAS]])</f>
        <v>0</v>
      </c>
      <c r="CL107" s="3">
        <f>+IF(AVANCE[[#This Row],[MEMBRANA CIELO]]=AY$2,100%,AVANCE[[#This Row],[MEMBRANA CIELO]])</f>
        <v>0</v>
      </c>
      <c r="CM107" s="3">
        <f>+IF(AVANCE[[#This Row],[LIMPIEZA FINAL]]=AZ$2,100%,AVANCE[[#This Row],[LIMPIEZA FINAL]])</f>
        <v>0</v>
      </c>
      <c r="CN107" s="3">
        <f>+IF(AVANCE[[#This Row],[PUERTAS DORMITORIO]]=BA$2,100%,AVANCE[[#This Row],[PUERTAS DORMITORIO]])</f>
        <v>0</v>
      </c>
      <c r="CO107" s="3">
        <f>+IF(AVANCE[[#This Row],[REVESTIMIENTO INTERIOR BANO]]=BB$2,100%,AVANCE[[#This Row],[REVESTIMIENTO INTERIOR BANO]])</f>
        <v>0</v>
      </c>
      <c r="CP107" s="3">
        <f>+IF(AVANCE[[#This Row],[MUEBLE LAVAPLATOS]]=BC$2,100%,AVANCE[[#This Row],[MUEBLE LAVAPLATOS]])</f>
        <v>0</v>
      </c>
      <c r="CQ107" s="3">
        <f>+IF(AVANCE[[#This Row],[IMPERMEABILIZACION BANO - COCINA LOGIA]]=BD$2,100%,AVANCE[[#This Row],[IMPERMEABILIZACION BANO - COCINA LOGIA]])</f>
        <v>0</v>
      </c>
      <c r="CR107" s="40">
        <f ca="1">+IF(AVANCE[[#This Row],[ESTADO MODULO]]="PENDIENTE",(TODAY()-AVANCE[[#This Row],[FECHA TERMINO  PLANIFICADO]]),0)</f>
        <v>0</v>
      </c>
      <c r="CS107" s="42" t="str" cm="1">
        <f t="array" ref="CS107">_xlfn.TEXTJOIN(" | ",TRUE,IF(SUMPRODUCT((BF107:CQ107&lt;1)*(PARTIDAS!$I$2:$AT$2="OBRA GRUESA"))&gt;0,"OBRA GRUESA: "&amp;_xlfn.TEXTJOIN(", ",TRUE,IF((BF107:CQ107&lt;1)*(PARTIDAS!$I$2:$AT$2="OBRA GRUESA"),PARTIDAS!$I$1:$AT$1,"")),""),IF(SUMPRODUCT((BF107:CQ107&lt;1)*(PARTIDAS!$I$2:$AT$2="SANITARIOS"))&gt;0,"SANITARIOS: "&amp;_xlfn.TEXTJOIN(", ",TRUE,IF((BF107:CQ107&lt;1)*(PARTIDAS!$I$2:$AT$2="SANITARIOS"),PARTIDAS!$I$1:$AT$1,"")),""),IF(SUMPRODUCT((BF107:CQ107&lt;1)*(PARTIDAS!$I$2:$AT$2="ELÉCTRICO"))&gt;0,"ELÉCTRICO: "&amp;_xlfn.TEXTJOIN(", ",TRUE,IF((BF107:CQ107&lt;1)*(PARTIDAS!$I$2:$AT$2="ELÉCTRICO"),PARTIDAS!$I$1:$AT$1,"")),""),IF(SUMPRODUCT((BF107:CQ107&lt;1)*(PARTIDAS!$I$2:$AT$2="TERMINACIONES"))&gt;0,"TERMINACIONES: "&amp;_xlfn.TEXTJOIN(", ",TRUE,IF((BF107:CQ107&lt;1)*(PARTIDAS!$I$2:$AT$2="TERMINACIONES"),PARTIDAS!$I$1:$AT$1,"")),""))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7" s="45" t="str" cm="1">
        <f t="array" ref="CT107">_xlfn.TEXTJOIN(", ",TRUE,IF(SUMPRODUCT((BF107:CQ107&lt;1)*(PARTIDAS!$I$2:$AT$2="OBRA GRUESA"))&gt;0,"OBRA GRUESA",""),IF(SUMPRODUCT((BF107:CQ107&lt;1)*(PARTIDAS!$I$2:$AT$2="SANITARIOS"))&gt;0,"SANITARIOS",""),IF(SUMPRODUCT((BF107:CQ107&lt;1)*(PARTIDAS!$I$2:$AT$2="ELÉCTRICO"))&gt;0,"ELÉCTRICO",""),IF(SUMPRODUCT((BF107:CQ107&lt;1)*(PARTIDAS!$I$2:$AT$2="TERMINACIONES"))&gt;0,"TERMINACIONES",""))</f>
        <v>OBRA GRUESA, SANITARIOS, ELÉCTRICO, TERMINACIONES</v>
      </c>
      <c r="CU107" s="46" cm="1">
        <f t="array" ref="CU107">SUMPRODUCT(--(BF107:CQ107&lt;1))</f>
        <v>38</v>
      </c>
    </row>
    <row r="108" spans="1:99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46181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 t="str">
        <f>+IF(AVANCE[[#This Row],[% AVANCE]]=100%,"MODULO TERMINADO",IF(AVANCE[[#This Row],[FECHA INICIO REAL]]="","MODULO NO INICIADO","PENDIENTE"))</f>
        <v>MODULO NO INICIADO</v>
      </c>
      <c r="BF108" s="3">
        <f>+IF(AVANCE[[#This Row],[VENTANAS]]=8.10810810810811%,100%,AVANCE[[#This Row],[VENTANAS]])</f>
        <v>0</v>
      </c>
      <c r="BG108" s="3">
        <f>+IF(AVANCE[[#This Row],[PISO]]=N$2,100%,AVANCE[[#This Row],[PISO]])</f>
        <v>0</v>
      </c>
      <c r="BH108" s="3">
        <f>+IF(AVANCE[[#This Row],[TABIQUES]]=O$2,100%,AVANCE[[#This Row],[TABIQUES]])</f>
        <v>0</v>
      </c>
      <c r="BI108" s="3">
        <f>+IF(AVANCE[[#This Row],[MUROS]]=P$2,100%,AVANCE[[#This Row],[MUROS]])</f>
        <v>0</v>
      </c>
      <c r="BJ108" s="3">
        <f>+IF(AVANCE[[#This Row],[CIELO]]=Q$2,100%,AVANCE[[#This Row],[CIELO]])</f>
        <v>0</v>
      </c>
      <c r="BK108" s="3">
        <f>+IF(AVANCE[[#This Row],[BALCÓN]]=R$2,100%,AVANCE[[#This Row],[BALCÓN]])</f>
        <v>0</v>
      </c>
      <c r="BL108" s="3">
        <f>+IF(AVANCE[[#This Row],[RED ALCANTARILLADO]]=U$2,100%,AVANCE[[#This Row],[RED ALCANTARILLADO]])</f>
        <v>0</v>
      </c>
      <c r="BM108" s="3">
        <f>+IF(AVANCE[[#This Row],[RED DE AGUA]]=V$2,100%,AVANCE[[#This Row],[RED DE AGUA]])</f>
        <v>0</v>
      </c>
      <c r="BN108" s="3">
        <f>+IF(AVANCE[[#This Row],[VENTILACIONES]]=W$2,100%,AVANCE[[#This Row],[VENTILACIONES]])</f>
        <v>0</v>
      </c>
      <c r="BO108" s="3">
        <f>+IF(AVANCE[[#This Row],[TINA]]=X$2,100%,AVANCE[[#This Row],[TINA]])</f>
        <v>0</v>
      </c>
      <c r="BP108" s="3">
        <f>+IF(AVANCE[[#This Row],[WC]]=Y$2,100%,AVANCE[[#This Row],[WC]])</f>
        <v>0</v>
      </c>
      <c r="BQ108" s="3">
        <f>+IF(AVANCE[[#This Row],[LAVAMANOS / LAVAPLATOS / LAVADERO]]=Z$2,100%,AVANCE[[#This Row],[LAVAMANOS / LAVAPLATOS / LAVADERO]])</f>
        <v>0</v>
      </c>
      <c r="BR108" s="3">
        <f>+IF(AVANCE[[#This Row],[CANALIZACIÓN]]=AC$2,100%,AVANCE[[#This Row],[CANALIZACIÓN]])</f>
        <v>0</v>
      </c>
      <c r="BS108" s="3">
        <f>+IF(AVANCE[[#This Row],[CABLEADO]]=AD$2,100%,AVANCE[[#This Row],[CABLEADO]])</f>
        <v>0</v>
      </c>
      <c r="BT108" s="3">
        <f>+IF(AVANCE[[#This Row],[ARTEFACTOS]]=AE$2,100%,AVANCE[[#This Row],[ARTEFACTOS]])</f>
        <v>0</v>
      </c>
      <c r="BU108" s="3">
        <f>+IF(AVANCE[[#This Row],[TABLERO]]=AF$2,100%,AVANCE[[#This Row],[TABLERO]])</f>
        <v>0</v>
      </c>
      <c r="BV108" s="3">
        <f>+IF(AVANCE[[#This Row],[CAJA PAU]]=AG$2,100%,AVANCE[[#This Row],[CAJA PAU]])</f>
        <v>0</v>
      </c>
      <c r="BW108" s="3">
        <f>+IF(AVANCE[[#This Row],[INSTALACION VINILICO]]=AJ$2,100%,AVANCE[[#This Row],[INSTALACION VINILICO]])</f>
        <v>0</v>
      </c>
      <c r="BX108" s="3">
        <f>+IF(AVANCE[[#This Row],[OSB CUBIERTA]]=AK$2,100%,AVANCE[[#This Row],[OSB CUBIERTA]])</f>
        <v>0</v>
      </c>
      <c r="BY108" s="3">
        <f>+IF(AVANCE[[#This Row],[BARANDA BALCON]]=AL$2,100%,AVANCE[[#This Row],[BARANDA BALCON]])</f>
        <v>0</v>
      </c>
      <c r="BZ108" s="3">
        <f>+IF(AVANCE[[#This Row],[OSB EXTERIOR]]=AM$2,100%,AVANCE[[#This Row],[OSB EXTERIOR]])</f>
        <v>0</v>
      </c>
      <c r="CA108" s="3">
        <f>+IF(AVANCE[[#This Row],[SMART PANEL]]=AN$2,100%,AVANCE[[#This Row],[SMART PANEL]])</f>
        <v>0</v>
      </c>
      <c r="CB108" s="3">
        <f>+IF(AVANCE[[#This Row],[PINTURA EXTERIOR]]=AO$2,100%,AVANCE[[#This Row],[PINTURA EXTERIOR]])</f>
        <v>0</v>
      </c>
      <c r="CC108" s="3">
        <f>+IF(AVANCE[[#This Row],[ZOCALOS LOGIA]]=AP$2,100%,AVANCE[[#This Row],[ZOCALOS LOGIA]])</f>
        <v>0</v>
      </c>
      <c r="CD108" s="3">
        <f>+IF(AVANCE[[#This Row],[MOLDURAS]]=AQ$2,100%,AVANCE[[#This Row],[MOLDURAS]])</f>
        <v>0</v>
      </c>
      <c r="CE108" s="3">
        <f>+IF(AVANCE[[#This Row],[PILASTREO]]=AR$2,100%,AVANCE[[#This Row],[PILASTREO]])</f>
        <v>0</v>
      </c>
      <c r="CF108" s="3">
        <f>+IF(AVANCE[[#This Row],[CELOSIAS]]=AS$2,100%,AVANCE[[#This Row],[CELOSIAS]])</f>
        <v>0</v>
      </c>
      <c r="CG108" s="3">
        <f>+IF(AVANCE[[#This Row],[VENTANAS]]=AT$2,100%,AVANCE[[#This Row],[VENTANAS]])</f>
        <v>0</v>
      </c>
      <c r="CH108" s="3">
        <f>+IF(AVANCE[[#This Row],[PUERTAS ACCESO - LOGIA - BANO]]=AU$2,100%,AVANCE[[#This Row],[PUERTAS ACCESO - LOGIA - BANO]])</f>
        <v>0</v>
      </c>
      <c r="CI108" s="3">
        <f>+IF(AVANCE[[#This Row],[CERRADURAS]]=AV$2,100%,AVANCE[[#This Row],[CERRADURAS]])</f>
        <v>0</v>
      </c>
      <c r="CJ108" s="3">
        <f>+IF(AVANCE[[#This Row],[REVESTIMIENTO INTERIOR ZONA SECA]]=AW$2,100%,AVANCE[[#This Row],[REVESTIMIENTO INTERIOR ZONA SECA]])</f>
        <v>0</v>
      </c>
      <c r="CK108" s="3">
        <f>+IF(AVANCE[[#This Row],[REVESTIMIENTO INTERIOR ZONAS HUMEDAS]]=AX$2,100%,AVANCE[[#This Row],[REVESTIMIENTO INTERIOR ZONAS HUMEDAS]])</f>
        <v>0</v>
      </c>
      <c r="CL108" s="3">
        <f>+IF(AVANCE[[#This Row],[MEMBRANA CIELO]]=AY$2,100%,AVANCE[[#This Row],[MEMBRANA CIELO]])</f>
        <v>0</v>
      </c>
      <c r="CM108" s="3">
        <f>+IF(AVANCE[[#This Row],[LIMPIEZA FINAL]]=AZ$2,100%,AVANCE[[#This Row],[LIMPIEZA FINAL]])</f>
        <v>0</v>
      </c>
      <c r="CN108" s="3">
        <f>+IF(AVANCE[[#This Row],[PUERTAS DORMITORIO]]=BA$2,100%,AVANCE[[#This Row],[PUERTAS DORMITORIO]])</f>
        <v>0</v>
      </c>
      <c r="CO108" s="3">
        <f>+IF(AVANCE[[#This Row],[REVESTIMIENTO INTERIOR BANO]]=BB$2,100%,AVANCE[[#This Row],[REVESTIMIENTO INTERIOR BANO]])</f>
        <v>0</v>
      </c>
      <c r="CP108" s="3">
        <f>+IF(AVANCE[[#This Row],[MUEBLE LAVAPLATOS]]=BC$2,100%,AVANCE[[#This Row],[MUEBLE LAVAPLATOS]])</f>
        <v>0</v>
      </c>
      <c r="CQ108" s="3">
        <f>+IF(AVANCE[[#This Row],[IMPERMEABILIZACION BANO - COCINA LOGIA]]=BD$2,100%,AVANCE[[#This Row],[IMPERMEABILIZACION BANO - COCINA LOGIA]])</f>
        <v>0</v>
      </c>
      <c r="CR108" s="40">
        <f ca="1">+IF(AVANCE[[#This Row],[ESTADO MODULO]]="PENDIENTE",(TODAY()-AVANCE[[#This Row],[FECHA TERMINO  PLANIFICADO]]),0)</f>
        <v>0</v>
      </c>
      <c r="CS108" s="42" t="str" cm="1">
        <f t="array" ref="CS108">_xlfn.TEXTJOIN(" | ",TRUE,IF(SUMPRODUCT((BF108:CQ108&lt;1)*(PARTIDAS!$I$2:$AT$2="OBRA GRUESA"))&gt;0,"OBRA GRUESA: "&amp;_xlfn.TEXTJOIN(", ",TRUE,IF((BF108:CQ108&lt;1)*(PARTIDAS!$I$2:$AT$2="OBRA GRUESA"),PARTIDAS!$I$1:$AT$1,"")),""),IF(SUMPRODUCT((BF108:CQ108&lt;1)*(PARTIDAS!$I$2:$AT$2="SANITARIOS"))&gt;0,"SANITARIOS: "&amp;_xlfn.TEXTJOIN(", ",TRUE,IF((BF108:CQ108&lt;1)*(PARTIDAS!$I$2:$AT$2="SANITARIOS"),PARTIDAS!$I$1:$AT$1,"")),""),IF(SUMPRODUCT((BF108:CQ108&lt;1)*(PARTIDAS!$I$2:$AT$2="ELÉCTRICO"))&gt;0,"ELÉCTRICO: "&amp;_xlfn.TEXTJOIN(", ",TRUE,IF((BF108:CQ108&lt;1)*(PARTIDAS!$I$2:$AT$2="ELÉCTRICO"),PARTIDAS!$I$1:$AT$1,"")),""),IF(SUMPRODUCT((BF108:CQ108&lt;1)*(PARTIDAS!$I$2:$AT$2="TERMINACIONES"))&gt;0,"TERMINACIONES: "&amp;_xlfn.TEXTJOIN(", ",TRUE,IF((BF108:CQ108&lt;1)*(PARTIDAS!$I$2:$AT$2="TERMINACIONES"),PARTIDAS!$I$1:$AT$1,"")),""))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8" s="45" t="str" cm="1">
        <f t="array" ref="CT108">_xlfn.TEXTJOIN(", ",TRUE,IF(SUMPRODUCT((BF108:CQ108&lt;1)*(PARTIDAS!$I$2:$AT$2="OBRA GRUESA"))&gt;0,"OBRA GRUESA",""),IF(SUMPRODUCT((BF108:CQ108&lt;1)*(PARTIDAS!$I$2:$AT$2="SANITARIOS"))&gt;0,"SANITARIOS",""),IF(SUMPRODUCT((BF108:CQ108&lt;1)*(PARTIDAS!$I$2:$AT$2="ELÉCTRICO"))&gt;0,"ELÉCTRICO",""),IF(SUMPRODUCT((BF108:CQ108&lt;1)*(PARTIDAS!$I$2:$AT$2="TERMINACIONES"))&gt;0,"TERMINACIONES",""))</f>
        <v>OBRA GRUESA, SANITARIOS, ELÉCTRICO, TERMINACIONES</v>
      </c>
      <c r="CU108" s="46" cm="1">
        <f t="array" ref="CU108">SUMPRODUCT(--(BF108:CQ108&lt;1))</f>
        <v>38</v>
      </c>
    </row>
    <row r="109" spans="1:99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46181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 t="str">
        <f>+IF(AVANCE[[#This Row],[% AVANCE]]=100%,"MODULO TERMINADO",IF(AVANCE[[#This Row],[FECHA INICIO REAL]]="","MODULO NO INICIADO","PENDIENTE"))</f>
        <v>MODULO NO INICIADO</v>
      </c>
      <c r="BF109" s="3">
        <f>+IF(AVANCE[[#This Row],[VENTANAS]]=8.10810810810811%,100%,AVANCE[[#This Row],[VENTANAS]])</f>
        <v>0</v>
      </c>
      <c r="BG109" s="3">
        <f>+IF(AVANCE[[#This Row],[PISO]]=N$2,100%,AVANCE[[#This Row],[PISO]])</f>
        <v>0</v>
      </c>
      <c r="BH109" s="3">
        <f>+IF(AVANCE[[#This Row],[TABIQUES]]=O$2,100%,AVANCE[[#This Row],[TABIQUES]])</f>
        <v>0</v>
      </c>
      <c r="BI109" s="3">
        <f>+IF(AVANCE[[#This Row],[MUROS]]=P$2,100%,AVANCE[[#This Row],[MUROS]])</f>
        <v>0</v>
      </c>
      <c r="BJ109" s="3">
        <f>+IF(AVANCE[[#This Row],[CIELO]]=Q$2,100%,AVANCE[[#This Row],[CIELO]])</f>
        <v>0</v>
      </c>
      <c r="BK109" s="3">
        <f>+IF(AVANCE[[#This Row],[BALCÓN]]=R$2,100%,AVANCE[[#This Row],[BALCÓN]])</f>
        <v>0</v>
      </c>
      <c r="BL109" s="3">
        <f>+IF(AVANCE[[#This Row],[RED ALCANTARILLADO]]=U$2,100%,AVANCE[[#This Row],[RED ALCANTARILLADO]])</f>
        <v>0</v>
      </c>
      <c r="BM109" s="3">
        <f>+IF(AVANCE[[#This Row],[RED DE AGUA]]=V$2,100%,AVANCE[[#This Row],[RED DE AGUA]])</f>
        <v>0</v>
      </c>
      <c r="BN109" s="3">
        <f>+IF(AVANCE[[#This Row],[VENTILACIONES]]=W$2,100%,AVANCE[[#This Row],[VENTILACIONES]])</f>
        <v>0</v>
      </c>
      <c r="BO109" s="3">
        <f>+IF(AVANCE[[#This Row],[TINA]]=X$2,100%,AVANCE[[#This Row],[TINA]])</f>
        <v>0</v>
      </c>
      <c r="BP109" s="3">
        <f>+IF(AVANCE[[#This Row],[WC]]=Y$2,100%,AVANCE[[#This Row],[WC]])</f>
        <v>0</v>
      </c>
      <c r="BQ109" s="3">
        <f>+IF(AVANCE[[#This Row],[LAVAMANOS / LAVAPLATOS / LAVADERO]]=Z$2,100%,AVANCE[[#This Row],[LAVAMANOS / LAVAPLATOS / LAVADERO]])</f>
        <v>0</v>
      </c>
      <c r="BR109" s="3">
        <f>+IF(AVANCE[[#This Row],[CANALIZACIÓN]]=AC$2,100%,AVANCE[[#This Row],[CANALIZACIÓN]])</f>
        <v>0</v>
      </c>
      <c r="BS109" s="3">
        <f>+IF(AVANCE[[#This Row],[CABLEADO]]=AD$2,100%,AVANCE[[#This Row],[CABLEADO]])</f>
        <v>0</v>
      </c>
      <c r="BT109" s="3">
        <f>+IF(AVANCE[[#This Row],[ARTEFACTOS]]=AE$2,100%,AVANCE[[#This Row],[ARTEFACTOS]])</f>
        <v>0</v>
      </c>
      <c r="BU109" s="3">
        <f>+IF(AVANCE[[#This Row],[TABLERO]]=AF$2,100%,AVANCE[[#This Row],[TABLERO]])</f>
        <v>0</v>
      </c>
      <c r="BV109" s="3">
        <f>+IF(AVANCE[[#This Row],[CAJA PAU]]=AG$2,100%,AVANCE[[#This Row],[CAJA PAU]])</f>
        <v>0</v>
      </c>
      <c r="BW109" s="3">
        <f>+IF(AVANCE[[#This Row],[INSTALACION VINILICO]]=AJ$2,100%,AVANCE[[#This Row],[INSTALACION VINILICO]])</f>
        <v>0</v>
      </c>
      <c r="BX109" s="3">
        <f>+IF(AVANCE[[#This Row],[OSB CUBIERTA]]=AK$2,100%,AVANCE[[#This Row],[OSB CUBIERTA]])</f>
        <v>0</v>
      </c>
      <c r="BY109" s="3">
        <f>+IF(AVANCE[[#This Row],[BARANDA BALCON]]=AL$2,100%,AVANCE[[#This Row],[BARANDA BALCON]])</f>
        <v>0</v>
      </c>
      <c r="BZ109" s="3">
        <f>+IF(AVANCE[[#This Row],[OSB EXTERIOR]]=AM$2,100%,AVANCE[[#This Row],[OSB EXTERIOR]])</f>
        <v>0</v>
      </c>
      <c r="CA109" s="3">
        <f>+IF(AVANCE[[#This Row],[SMART PANEL]]=AN$2,100%,AVANCE[[#This Row],[SMART PANEL]])</f>
        <v>0</v>
      </c>
      <c r="CB109" s="3">
        <f>+IF(AVANCE[[#This Row],[PINTURA EXTERIOR]]=AO$2,100%,AVANCE[[#This Row],[PINTURA EXTERIOR]])</f>
        <v>0</v>
      </c>
      <c r="CC109" s="3">
        <f>+IF(AVANCE[[#This Row],[ZOCALOS LOGIA]]=AP$2,100%,AVANCE[[#This Row],[ZOCALOS LOGIA]])</f>
        <v>0</v>
      </c>
      <c r="CD109" s="3">
        <f>+IF(AVANCE[[#This Row],[MOLDURAS]]=AQ$2,100%,AVANCE[[#This Row],[MOLDURAS]])</f>
        <v>0</v>
      </c>
      <c r="CE109" s="3">
        <f>+IF(AVANCE[[#This Row],[PILASTREO]]=AR$2,100%,AVANCE[[#This Row],[PILASTREO]])</f>
        <v>0</v>
      </c>
      <c r="CF109" s="3">
        <f>+IF(AVANCE[[#This Row],[CELOSIAS]]=AS$2,100%,AVANCE[[#This Row],[CELOSIAS]])</f>
        <v>0</v>
      </c>
      <c r="CG109" s="3">
        <f>+IF(AVANCE[[#This Row],[VENTANAS]]=AT$2,100%,AVANCE[[#This Row],[VENTANAS]])</f>
        <v>0</v>
      </c>
      <c r="CH109" s="3">
        <f>+IF(AVANCE[[#This Row],[PUERTAS ACCESO - LOGIA - BANO]]=AU$2,100%,AVANCE[[#This Row],[PUERTAS ACCESO - LOGIA - BANO]])</f>
        <v>0</v>
      </c>
      <c r="CI109" s="3">
        <f>+IF(AVANCE[[#This Row],[CERRADURAS]]=AV$2,100%,AVANCE[[#This Row],[CERRADURAS]])</f>
        <v>0</v>
      </c>
      <c r="CJ109" s="3">
        <f>+IF(AVANCE[[#This Row],[REVESTIMIENTO INTERIOR ZONA SECA]]=AW$2,100%,AVANCE[[#This Row],[REVESTIMIENTO INTERIOR ZONA SECA]])</f>
        <v>0</v>
      </c>
      <c r="CK109" s="3">
        <f>+IF(AVANCE[[#This Row],[REVESTIMIENTO INTERIOR ZONAS HUMEDAS]]=AX$2,100%,AVANCE[[#This Row],[REVESTIMIENTO INTERIOR ZONAS HUMEDAS]])</f>
        <v>0</v>
      </c>
      <c r="CL109" s="3">
        <f>+IF(AVANCE[[#This Row],[MEMBRANA CIELO]]=AY$2,100%,AVANCE[[#This Row],[MEMBRANA CIELO]])</f>
        <v>0</v>
      </c>
      <c r="CM109" s="3">
        <f>+IF(AVANCE[[#This Row],[LIMPIEZA FINAL]]=AZ$2,100%,AVANCE[[#This Row],[LIMPIEZA FINAL]])</f>
        <v>0</v>
      </c>
      <c r="CN109" s="3">
        <f>+IF(AVANCE[[#This Row],[PUERTAS DORMITORIO]]=BA$2,100%,AVANCE[[#This Row],[PUERTAS DORMITORIO]])</f>
        <v>0</v>
      </c>
      <c r="CO109" s="3">
        <f>+IF(AVANCE[[#This Row],[REVESTIMIENTO INTERIOR BANO]]=BB$2,100%,AVANCE[[#This Row],[REVESTIMIENTO INTERIOR BANO]])</f>
        <v>0</v>
      </c>
      <c r="CP109" s="3">
        <f>+IF(AVANCE[[#This Row],[MUEBLE LAVAPLATOS]]=BC$2,100%,AVANCE[[#This Row],[MUEBLE LAVAPLATOS]])</f>
        <v>0</v>
      </c>
      <c r="CQ109" s="3">
        <f>+IF(AVANCE[[#This Row],[IMPERMEABILIZACION BANO - COCINA LOGIA]]=BD$2,100%,AVANCE[[#This Row],[IMPERMEABILIZACION BANO - COCINA LOGIA]])</f>
        <v>0</v>
      </c>
      <c r="CR109" s="40">
        <f ca="1">+IF(AVANCE[[#This Row],[ESTADO MODULO]]="PENDIENTE",(TODAY()-AVANCE[[#This Row],[FECHA TERMINO  PLANIFICADO]]),0)</f>
        <v>0</v>
      </c>
      <c r="CS109" s="42" t="str" cm="1">
        <f t="array" ref="CS109">_xlfn.TEXTJOIN(" | ",TRUE,IF(SUMPRODUCT((BF109:CQ109&lt;1)*(PARTIDAS!$I$2:$AT$2="OBRA GRUESA"))&gt;0,"OBRA GRUESA: "&amp;_xlfn.TEXTJOIN(", ",TRUE,IF((BF109:CQ109&lt;1)*(PARTIDAS!$I$2:$AT$2="OBRA GRUESA"),PARTIDAS!$I$1:$AT$1,"")),""),IF(SUMPRODUCT((BF109:CQ109&lt;1)*(PARTIDAS!$I$2:$AT$2="SANITARIOS"))&gt;0,"SANITARIOS: "&amp;_xlfn.TEXTJOIN(", ",TRUE,IF((BF109:CQ109&lt;1)*(PARTIDAS!$I$2:$AT$2="SANITARIOS"),PARTIDAS!$I$1:$AT$1,"")),""),IF(SUMPRODUCT((BF109:CQ109&lt;1)*(PARTIDAS!$I$2:$AT$2="ELÉCTRICO"))&gt;0,"ELÉCTRICO: "&amp;_xlfn.TEXTJOIN(", ",TRUE,IF((BF109:CQ109&lt;1)*(PARTIDAS!$I$2:$AT$2="ELÉCTRICO"),PARTIDAS!$I$1:$AT$1,"")),""),IF(SUMPRODUCT((BF109:CQ109&lt;1)*(PARTIDAS!$I$2:$AT$2="TERMINACIONES"))&gt;0,"TERMINACIONES: "&amp;_xlfn.TEXTJOIN(", ",TRUE,IF((BF109:CQ109&lt;1)*(PARTIDAS!$I$2:$AT$2="TERMINACIONES"),PARTIDAS!$I$1:$AT$1,"")),""))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09" s="45" t="str" cm="1">
        <f t="array" ref="CT109">_xlfn.TEXTJOIN(", ",TRUE,IF(SUMPRODUCT((BF109:CQ109&lt;1)*(PARTIDAS!$I$2:$AT$2="OBRA GRUESA"))&gt;0,"OBRA GRUESA",""),IF(SUMPRODUCT((BF109:CQ109&lt;1)*(PARTIDAS!$I$2:$AT$2="SANITARIOS"))&gt;0,"SANITARIOS",""),IF(SUMPRODUCT((BF109:CQ109&lt;1)*(PARTIDAS!$I$2:$AT$2="ELÉCTRICO"))&gt;0,"ELÉCTRICO",""),IF(SUMPRODUCT((BF109:CQ109&lt;1)*(PARTIDAS!$I$2:$AT$2="TERMINACIONES"))&gt;0,"TERMINACIONES",""))</f>
        <v>OBRA GRUESA, SANITARIOS, ELÉCTRICO, TERMINACIONES</v>
      </c>
      <c r="CU109" s="46" cm="1">
        <f t="array" ref="CU109">SUMPRODUCT(--(BF109:CQ109&lt;1))</f>
        <v>38</v>
      </c>
    </row>
    <row r="110" spans="1:99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46181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 t="str">
        <f>+IF(AVANCE[[#This Row],[% AVANCE]]=100%,"MODULO TERMINADO",IF(AVANCE[[#This Row],[FECHA INICIO REAL]]="","MODULO NO INICIADO","PENDIENTE"))</f>
        <v>MODULO NO INICIADO</v>
      </c>
      <c r="BF110" s="3">
        <f>+IF(AVANCE[[#This Row],[VENTANAS]]=8.10810810810811%,100%,AVANCE[[#This Row],[VENTANAS]])</f>
        <v>0</v>
      </c>
      <c r="BG110" s="3">
        <f>+IF(AVANCE[[#This Row],[PISO]]=N$2,100%,AVANCE[[#This Row],[PISO]])</f>
        <v>0</v>
      </c>
      <c r="BH110" s="3">
        <f>+IF(AVANCE[[#This Row],[TABIQUES]]=O$2,100%,AVANCE[[#This Row],[TABIQUES]])</f>
        <v>0</v>
      </c>
      <c r="BI110" s="3">
        <f>+IF(AVANCE[[#This Row],[MUROS]]=P$2,100%,AVANCE[[#This Row],[MUROS]])</f>
        <v>0</v>
      </c>
      <c r="BJ110" s="3">
        <f>+IF(AVANCE[[#This Row],[CIELO]]=Q$2,100%,AVANCE[[#This Row],[CIELO]])</f>
        <v>0</v>
      </c>
      <c r="BK110" s="3">
        <f>+IF(AVANCE[[#This Row],[BALCÓN]]=R$2,100%,AVANCE[[#This Row],[BALCÓN]])</f>
        <v>0</v>
      </c>
      <c r="BL110" s="3">
        <f>+IF(AVANCE[[#This Row],[RED ALCANTARILLADO]]=U$2,100%,AVANCE[[#This Row],[RED ALCANTARILLADO]])</f>
        <v>0</v>
      </c>
      <c r="BM110" s="3">
        <f>+IF(AVANCE[[#This Row],[RED DE AGUA]]=V$2,100%,AVANCE[[#This Row],[RED DE AGUA]])</f>
        <v>0</v>
      </c>
      <c r="BN110" s="3">
        <f>+IF(AVANCE[[#This Row],[VENTILACIONES]]=W$2,100%,AVANCE[[#This Row],[VENTILACIONES]])</f>
        <v>0</v>
      </c>
      <c r="BO110" s="3">
        <f>+IF(AVANCE[[#This Row],[TINA]]=X$2,100%,AVANCE[[#This Row],[TINA]])</f>
        <v>0</v>
      </c>
      <c r="BP110" s="3">
        <f>+IF(AVANCE[[#This Row],[WC]]=Y$2,100%,AVANCE[[#This Row],[WC]])</f>
        <v>0</v>
      </c>
      <c r="BQ110" s="3">
        <f>+IF(AVANCE[[#This Row],[LAVAMANOS / LAVAPLATOS / LAVADERO]]=Z$2,100%,AVANCE[[#This Row],[LAVAMANOS / LAVAPLATOS / LAVADERO]])</f>
        <v>0</v>
      </c>
      <c r="BR110" s="3">
        <f>+IF(AVANCE[[#This Row],[CANALIZACIÓN]]=AC$2,100%,AVANCE[[#This Row],[CANALIZACIÓN]])</f>
        <v>0</v>
      </c>
      <c r="BS110" s="3">
        <f>+IF(AVANCE[[#This Row],[CABLEADO]]=AD$2,100%,AVANCE[[#This Row],[CABLEADO]])</f>
        <v>0</v>
      </c>
      <c r="BT110" s="3">
        <f>+IF(AVANCE[[#This Row],[ARTEFACTOS]]=AE$2,100%,AVANCE[[#This Row],[ARTEFACTOS]])</f>
        <v>0</v>
      </c>
      <c r="BU110" s="3">
        <f>+IF(AVANCE[[#This Row],[TABLERO]]=AF$2,100%,AVANCE[[#This Row],[TABLERO]])</f>
        <v>0</v>
      </c>
      <c r="BV110" s="3">
        <f>+IF(AVANCE[[#This Row],[CAJA PAU]]=AG$2,100%,AVANCE[[#This Row],[CAJA PAU]])</f>
        <v>0</v>
      </c>
      <c r="BW110" s="3">
        <f>+IF(AVANCE[[#This Row],[INSTALACION VINILICO]]=AJ$2,100%,AVANCE[[#This Row],[INSTALACION VINILICO]])</f>
        <v>0</v>
      </c>
      <c r="BX110" s="3">
        <f>+IF(AVANCE[[#This Row],[OSB CUBIERTA]]=AK$2,100%,AVANCE[[#This Row],[OSB CUBIERTA]])</f>
        <v>0</v>
      </c>
      <c r="BY110" s="3">
        <f>+IF(AVANCE[[#This Row],[BARANDA BALCON]]=AL$2,100%,AVANCE[[#This Row],[BARANDA BALCON]])</f>
        <v>0</v>
      </c>
      <c r="BZ110" s="3">
        <f>+IF(AVANCE[[#This Row],[OSB EXTERIOR]]=AM$2,100%,AVANCE[[#This Row],[OSB EXTERIOR]])</f>
        <v>0</v>
      </c>
      <c r="CA110" s="3">
        <f>+IF(AVANCE[[#This Row],[SMART PANEL]]=AN$2,100%,AVANCE[[#This Row],[SMART PANEL]])</f>
        <v>0</v>
      </c>
      <c r="CB110" s="3">
        <f>+IF(AVANCE[[#This Row],[PINTURA EXTERIOR]]=AO$2,100%,AVANCE[[#This Row],[PINTURA EXTERIOR]])</f>
        <v>0</v>
      </c>
      <c r="CC110" s="3">
        <f>+IF(AVANCE[[#This Row],[ZOCALOS LOGIA]]=AP$2,100%,AVANCE[[#This Row],[ZOCALOS LOGIA]])</f>
        <v>0</v>
      </c>
      <c r="CD110" s="3">
        <f>+IF(AVANCE[[#This Row],[MOLDURAS]]=AQ$2,100%,AVANCE[[#This Row],[MOLDURAS]])</f>
        <v>0</v>
      </c>
      <c r="CE110" s="3">
        <f>+IF(AVANCE[[#This Row],[PILASTREO]]=AR$2,100%,AVANCE[[#This Row],[PILASTREO]])</f>
        <v>0</v>
      </c>
      <c r="CF110" s="3">
        <f>+IF(AVANCE[[#This Row],[CELOSIAS]]=AS$2,100%,AVANCE[[#This Row],[CELOSIAS]])</f>
        <v>0</v>
      </c>
      <c r="CG110" s="3">
        <f>+IF(AVANCE[[#This Row],[VENTANAS]]=AT$2,100%,AVANCE[[#This Row],[VENTANAS]])</f>
        <v>0</v>
      </c>
      <c r="CH110" s="3">
        <f>+IF(AVANCE[[#This Row],[PUERTAS ACCESO - LOGIA - BANO]]=AU$2,100%,AVANCE[[#This Row],[PUERTAS ACCESO - LOGIA - BANO]])</f>
        <v>0</v>
      </c>
      <c r="CI110" s="3">
        <f>+IF(AVANCE[[#This Row],[CERRADURAS]]=AV$2,100%,AVANCE[[#This Row],[CERRADURAS]])</f>
        <v>0</v>
      </c>
      <c r="CJ110" s="3">
        <f>+IF(AVANCE[[#This Row],[REVESTIMIENTO INTERIOR ZONA SECA]]=AW$2,100%,AVANCE[[#This Row],[REVESTIMIENTO INTERIOR ZONA SECA]])</f>
        <v>0</v>
      </c>
      <c r="CK110" s="3">
        <f>+IF(AVANCE[[#This Row],[REVESTIMIENTO INTERIOR ZONAS HUMEDAS]]=AX$2,100%,AVANCE[[#This Row],[REVESTIMIENTO INTERIOR ZONAS HUMEDAS]])</f>
        <v>0</v>
      </c>
      <c r="CL110" s="3">
        <f>+IF(AVANCE[[#This Row],[MEMBRANA CIELO]]=AY$2,100%,AVANCE[[#This Row],[MEMBRANA CIELO]])</f>
        <v>0</v>
      </c>
      <c r="CM110" s="3">
        <f>+IF(AVANCE[[#This Row],[LIMPIEZA FINAL]]=AZ$2,100%,AVANCE[[#This Row],[LIMPIEZA FINAL]])</f>
        <v>0</v>
      </c>
      <c r="CN110" s="3">
        <f>+IF(AVANCE[[#This Row],[PUERTAS DORMITORIO]]=BA$2,100%,AVANCE[[#This Row],[PUERTAS DORMITORIO]])</f>
        <v>0</v>
      </c>
      <c r="CO110" s="3">
        <f>+IF(AVANCE[[#This Row],[REVESTIMIENTO INTERIOR BANO]]=BB$2,100%,AVANCE[[#This Row],[REVESTIMIENTO INTERIOR BANO]])</f>
        <v>0</v>
      </c>
      <c r="CP110" s="3">
        <f>+IF(AVANCE[[#This Row],[MUEBLE LAVAPLATOS]]=BC$2,100%,AVANCE[[#This Row],[MUEBLE LAVAPLATOS]])</f>
        <v>0</v>
      </c>
      <c r="CQ110" s="3">
        <f>+IF(AVANCE[[#This Row],[IMPERMEABILIZACION BANO - COCINA LOGIA]]=BD$2,100%,AVANCE[[#This Row],[IMPERMEABILIZACION BANO - COCINA LOGIA]])</f>
        <v>0</v>
      </c>
      <c r="CR110" s="40">
        <f ca="1">+IF(AVANCE[[#This Row],[ESTADO MODULO]]="PENDIENTE",(TODAY()-AVANCE[[#This Row],[FECHA TERMINO  PLANIFICADO]]),0)</f>
        <v>0</v>
      </c>
      <c r="CS110" s="42" t="str" cm="1">
        <f t="array" ref="CS110">_xlfn.TEXTJOIN(" | ",TRUE,IF(SUMPRODUCT((BF110:CQ110&lt;1)*(PARTIDAS!$I$2:$AT$2="OBRA GRUESA"))&gt;0,"OBRA GRUESA: "&amp;_xlfn.TEXTJOIN(", ",TRUE,IF((BF110:CQ110&lt;1)*(PARTIDAS!$I$2:$AT$2="OBRA GRUESA"),PARTIDAS!$I$1:$AT$1,"")),""),IF(SUMPRODUCT((BF110:CQ110&lt;1)*(PARTIDAS!$I$2:$AT$2="SANITARIOS"))&gt;0,"SANITARIOS: "&amp;_xlfn.TEXTJOIN(", ",TRUE,IF((BF110:CQ110&lt;1)*(PARTIDAS!$I$2:$AT$2="SANITARIOS"),PARTIDAS!$I$1:$AT$1,"")),""),IF(SUMPRODUCT((BF110:CQ110&lt;1)*(PARTIDAS!$I$2:$AT$2="ELÉCTRICO"))&gt;0,"ELÉCTRICO: "&amp;_xlfn.TEXTJOIN(", ",TRUE,IF((BF110:CQ110&lt;1)*(PARTIDAS!$I$2:$AT$2="ELÉCTRICO"),PARTIDAS!$I$1:$AT$1,"")),""),IF(SUMPRODUCT((BF110:CQ110&lt;1)*(PARTIDAS!$I$2:$AT$2="TERMINACIONES"))&gt;0,"TERMINACIONES: "&amp;_xlfn.TEXTJOIN(", ",TRUE,IF((BF110:CQ110&lt;1)*(PARTIDAS!$I$2:$AT$2="TERMINACIONES"),PARTIDAS!$I$1:$AT$1,"")),""))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0" s="45" t="str" cm="1">
        <f t="array" ref="CT110">_xlfn.TEXTJOIN(", ",TRUE,IF(SUMPRODUCT((BF110:CQ110&lt;1)*(PARTIDAS!$I$2:$AT$2="OBRA GRUESA"))&gt;0,"OBRA GRUESA",""),IF(SUMPRODUCT((BF110:CQ110&lt;1)*(PARTIDAS!$I$2:$AT$2="SANITARIOS"))&gt;0,"SANITARIOS",""),IF(SUMPRODUCT((BF110:CQ110&lt;1)*(PARTIDAS!$I$2:$AT$2="ELÉCTRICO"))&gt;0,"ELÉCTRICO",""),IF(SUMPRODUCT((BF110:CQ110&lt;1)*(PARTIDAS!$I$2:$AT$2="TERMINACIONES"))&gt;0,"TERMINACIONES",""))</f>
        <v>OBRA GRUESA, SANITARIOS, ELÉCTRICO, TERMINACIONES</v>
      </c>
      <c r="CU110" s="46" cm="1">
        <f t="array" ref="CU110">SUMPRODUCT(--(BF110:CQ110&lt;1))</f>
        <v>38</v>
      </c>
    </row>
    <row r="111" spans="1:99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46181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 t="str">
        <f>+IF(AVANCE[[#This Row],[% AVANCE]]=100%,"MODULO TERMINADO",IF(AVANCE[[#This Row],[FECHA INICIO REAL]]="","MODULO NO INICIADO","PENDIENTE"))</f>
        <v>MODULO NO INICIADO</v>
      </c>
      <c r="BF111" s="3">
        <f>+IF(AVANCE[[#This Row],[VENTANAS]]=8.10810810810811%,100%,AVANCE[[#This Row],[VENTANAS]])</f>
        <v>0</v>
      </c>
      <c r="BG111" s="3">
        <f>+IF(AVANCE[[#This Row],[PISO]]=N$2,100%,AVANCE[[#This Row],[PISO]])</f>
        <v>0</v>
      </c>
      <c r="BH111" s="3">
        <f>+IF(AVANCE[[#This Row],[TABIQUES]]=O$2,100%,AVANCE[[#This Row],[TABIQUES]])</f>
        <v>0</v>
      </c>
      <c r="BI111" s="3">
        <f>+IF(AVANCE[[#This Row],[MUROS]]=P$2,100%,AVANCE[[#This Row],[MUROS]])</f>
        <v>0</v>
      </c>
      <c r="BJ111" s="3">
        <f>+IF(AVANCE[[#This Row],[CIELO]]=Q$2,100%,AVANCE[[#This Row],[CIELO]])</f>
        <v>0</v>
      </c>
      <c r="BK111" s="3">
        <f>+IF(AVANCE[[#This Row],[BALCÓN]]=R$2,100%,AVANCE[[#This Row],[BALCÓN]])</f>
        <v>0</v>
      </c>
      <c r="BL111" s="3">
        <f>+IF(AVANCE[[#This Row],[RED ALCANTARILLADO]]=U$2,100%,AVANCE[[#This Row],[RED ALCANTARILLADO]])</f>
        <v>0</v>
      </c>
      <c r="BM111" s="3">
        <f>+IF(AVANCE[[#This Row],[RED DE AGUA]]=V$2,100%,AVANCE[[#This Row],[RED DE AGUA]])</f>
        <v>0</v>
      </c>
      <c r="BN111" s="3">
        <f>+IF(AVANCE[[#This Row],[VENTILACIONES]]=W$2,100%,AVANCE[[#This Row],[VENTILACIONES]])</f>
        <v>0</v>
      </c>
      <c r="BO111" s="3">
        <f>+IF(AVANCE[[#This Row],[TINA]]=X$2,100%,AVANCE[[#This Row],[TINA]])</f>
        <v>0</v>
      </c>
      <c r="BP111" s="3">
        <f>+IF(AVANCE[[#This Row],[WC]]=Y$2,100%,AVANCE[[#This Row],[WC]])</f>
        <v>0</v>
      </c>
      <c r="BQ111" s="3">
        <f>+IF(AVANCE[[#This Row],[LAVAMANOS / LAVAPLATOS / LAVADERO]]=Z$2,100%,AVANCE[[#This Row],[LAVAMANOS / LAVAPLATOS / LAVADERO]])</f>
        <v>0</v>
      </c>
      <c r="BR111" s="3">
        <f>+IF(AVANCE[[#This Row],[CANALIZACIÓN]]=AC$2,100%,AVANCE[[#This Row],[CANALIZACIÓN]])</f>
        <v>0</v>
      </c>
      <c r="BS111" s="3">
        <f>+IF(AVANCE[[#This Row],[CABLEADO]]=AD$2,100%,AVANCE[[#This Row],[CABLEADO]])</f>
        <v>0</v>
      </c>
      <c r="BT111" s="3">
        <f>+IF(AVANCE[[#This Row],[ARTEFACTOS]]=AE$2,100%,AVANCE[[#This Row],[ARTEFACTOS]])</f>
        <v>0</v>
      </c>
      <c r="BU111" s="3">
        <f>+IF(AVANCE[[#This Row],[TABLERO]]=AF$2,100%,AVANCE[[#This Row],[TABLERO]])</f>
        <v>0</v>
      </c>
      <c r="BV111" s="3">
        <f>+IF(AVANCE[[#This Row],[CAJA PAU]]=AG$2,100%,AVANCE[[#This Row],[CAJA PAU]])</f>
        <v>0</v>
      </c>
      <c r="BW111" s="3">
        <f>+IF(AVANCE[[#This Row],[INSTALACION VINILICO]]=AJ$2,100%,AVANCE[[#This Row],[INSTALACION VINILICO]])</f>
        <v>0</v>
      </c>
      <c r="BX111" s="3">
        <f>+IF(AVANCE[[#This Row],[OSB CUBIERTA]]=AK$2,100%,AVANCE[[#This Row],[OSB CUBIERTA]])</f>
        <v>0</v>
      </c>
      <c r="BY111" s="3">
        <f>+IF(AVANCE[[#This Row],[BARANDA BALCON]]=AL$2,100%,AVANCE[[#This Row],[BARANDA BALCON]])</f>
        <v>0</v>
      </c>
      <c r="BZ111" s="3">
        <f>+IF(AVANCE[[#This Row],[OSB EXTERIOR]]=AM$2,100%,AVANCE[[#This Row],[OSB EXTERIOR]])</f>
        <v>0</v>
      </c>
      <c r="CA111" s="3">
        <f>+IF(AVANCE[[#This Row],[SMART PANEL]]=AN$2,100%,AVANCE[[#This Row],[SMART PANEL]])</f>
        <v>0</v>
      </c>
      <c r="CB111" s="3">
        <f>+IF(AVANCE[[#This Row],[PINTURA EXTERIOR]]=AO$2,100%,AVANCE[[#This Row],[PINTURA EXTERIOR]])</f>
        <v>0</v>
      </c>
      <c r="CC111" s="3">
        <f>+IF(AVANCE[[#This Row],[ZOCALOS LOGIA]]=AP$2,100%,AVANCE[[#This Row],[ZOCALOS LOGIA]])</f>
        <v>0</v>
      </c>
      <c r="CD111" s="3">
        <f>+IF(AVANCE[[#This Row],[MOLDURAS]]=AQ$2,100%,AVANCE[[#This Row],[MOLDURAS]])</f>
        <v>0</v>
      </c>
      <c r="CE111" s="3">
        <f>+IF(AVANCE[[#This Row],[PILASTREO]]=AR$2,100%,AVANCE[[#This Row],[PILASTREO]])</f>
        <v>0</v>
      </c>
      <c r="CF111" s="3">
        <f>+IF(AVANCE[[#This Row],[CELOSIAS]]=AS$2,100%,AVANCE[[#This Row],[CELOSIAS]])</f>
        <v>0</v>
      </c>
      <c r="CG111" s="3">
        <f>+IF(AVANCE[[#This Row],[VENTANAS]]=AT$2,100%,AVANCE[[#This Row],[VENTANAS]])</f>
        <v>0</v>
      </c>
      <c r="CH111" s="3">
        <f>+IF(AVANCE[[#This Row],[PUERTAS ACCESO - LOGIA - BANO]]=AU$2,100%,AVANCE[[#This Row],[PUERTAS ACCESO - LOGIA - BANO]])</f>
        <v>0</v>
      </c>
      <c r="CI111" s="3">
        <f>+IF(AVANCE[[#This Row],[CERRADURAS]]=AV$2,100%,AVANCE[[#This Row],[CERRADURAS]])</f>
        <v>0</v>
      </c>
      <c r="CJ111" s="3">
        <f>+IF(AVANCE[[#This Row],[REVESTIMIENTO INTERIOR ZONA SECA]]=AW$2,100%,AVANCE[[#This Row],[REVESTIMIENTO INTERIOR ZONA SECA]])</f>
        <v>0</v>
      </c>
      <c r="CK111" s="3">
        <f>+IF(AVANCE[[#This Row],[REVESTIMIENTO INTERIOR ZONAS HUMEDAS]]=AX$2,100%,AVANCE[[#This Row],[REVESTIMIENTO INTERIOR ZONAS HUMEDAS]])</f>
        <v>0</v>
      </c>
      <c r="CL111" s="3">
        <f>+IF(AVANCE[[#This Row],[MEMBRANA CIELO]]=AY$2,100%,AVANCE[[#This Row],[MEMBRANA CIELO]])</f>
        <v>0</v>
      </c>
      <c r="CM111" s="3">
        <f>+IF(AVANCE[[#This Row],[LIMPIEZA FINAL]]=AZ$2,100%,AVANCE[[#This Row],[LIMPIEZA FINAL]])</f>
        <v>0</v>
      </c>
      <c r="CN111" s="3">
        <f>+IF(AVANCE[[#This Row],[PUERTAS DORMITORIO]]=BA$2,100%,AVANCE[[#This Row],[PUERTAS DORMITORIO]])</f>
        <v>0</v>
      </c>
      <c r="CO111" s="3">
        <f>+IF(AVANCE[[#This Row],[REVESTIMIENTO INTERIOR BANO]]=BB$2,100%,AVANCE[[#This Row],[REVESTIMIENTO INTERIOR BANO]])</f>
        <v>0</v>
      </c>
      <c r="CP111" s="3">
        <f>+IF(AVANCE[[#This Row],[MUEBLE LAVAPLATOS]]=BC$2,100%,AVANCE[[#This Row],[MUEBLE LAVAPLATOS]])</f>
        <v>0</v>
      </c>
      <c r="CQ111" s="3">
        <f>+IF(AVANCE[[#This Row],[IMPERMEABILIZACION BANO - COCINA LOGIA]]=BD$2,100%,AVANCE[[#This Row],[IMPERMEABILIZACION BANO - COCINA LOGIA]])</f>
        <v>0</v>
      </c>
      <c r="CR111" s="40">
        <f ca="1">+IF(AVANCE[[#This Row],[ESTADO MODULO]]="PENDIENTE",(TODAY()-AVANCE[[#This Row],[FECHA TERMINO  PLANIFICADO]]),0)</f>
        <v>0</v>
      </c>
      <c r="CS111" s="42" t="str" cm="1">
        <f t="array" ref="CS111">_xlfn.TEXTJOIN(" | ",TRUE,IF(SUMPRODUCT((BF111:CQ111&lt;1)*(PARTIDAS!$I$2:$AT$2="OBRA GRUESA"))&gt;0,"OBRA GRUESA: "&amp;_xlfn.TEXTJOIN(", ",TRUE,IF((BF111:CQ111&lt;1)*(PARTIDAS!$I$2:$AT$2="OBRA GRUESA"),PARTIDAS!$I$1:$AT$1,"")),""),IF(SUMPRODUCT((BF111:CQ111&lt;1)*(PARTIDAS!$I$2:$AT$2="SANITARIOS"))&gt;0,"SANITARIOS: "&amp;_xlfn.TEXTJOIN(", ",TRUE,IF((BF111:CQ111&lt;1)*(PARTIDAS!$I$2:$AT$2="SANITARIOS"),PARTIDAS!$I$1:$AT$1,"")),""),IF(SUMPRODUCT((BF111:CQ111&lt;1)*(PARTIDAS!$I$2:$AT$2="ELÉCTRICO"))&gt;0,"ELÉCTRICO: "&amp;_xlfn.TEXTJOIN(", ",TRUE,IF((BF111:CQ111&lt;1)*(PARTIDAS!$I$2:$AT$2="ELÉCTRICO"),PARTIDAS!$I$1:$AT$1,"")),""),IF(SUMPRODUCT((BF111:CQ111&lt;1)*(PARTIDAS!$I$2:$AT$2="TERMINACIONES"))&gt;0,"TERMINACIONES: "&amp;_xlfn.TEXTJOIN(", ",TRUE,IF((BF111:CQ111&lt;1)*(PARTIDAS!$I$2:$AT$2="TERMINACIONES"),PARTIDAS!$I$1:$AT$1,"")),""))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1" s="45" t="str" cm="1">
        <f t="array" ref="CT111">_xlfn.TEXTJOIN(", ",TRUE,IF(SUMPRODUCT((BF111:CQ111&lt;1)*(PARTIDAS!$I$2:$AT$2="OBRA GRUESA"))&gt;0,"OBRA GRUESA",""),IF(SUMPRODUCT((BF111:CQ111&lt;1)*(PARTIDAS!$I$2:$AT$2="SANITARIOS"))&gt;0,"SANITARIOS",""),IF(SUMPRODUCT((BF111:CQ111&lt;1)*(PARTIDAS!$I$2:$AT$2="ELÉCTRICO"))&gt;0,"ELÉCTRICO",""),IF(SUMPRODUCT((BF111:CQ111&lt;1)*(PARTIDAS!$I$2:$AT$2="TERMINACIONES"))&gt;0,"TERMINACIONES",""))</f>
        <v>OBRA GRUESA, SANITARIOS, ELÉCTRICO, TERMINACIONES</v>
      </c>
      <c r="CU111" s="46" cm="1">
        <f t="array" ref="CU111">SUMPRODUCT(--(BF111:CQ111&lt;1))</f>
        <v>38</v>
      </c>
    </row>
    <row r="112" spans="1:99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46181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 t="str">
        <f>+IF(AVANCE[[#This Row],[% AVANCE]]=100%,"MODULO TERMINADO",IF(AVANCE[[#This Row],[FECHA INICIO REAL]]="","MODULO NO INICIADO","PENDIENTE"))</f>
        <v>MODULO NO INICIADO</v>
      </c>
      <c r="BF112" s="3">
        <f>+IF(AVANCE[[#This Row],[VENTANAS]]=8.10810810810811%,100%,AVANCE[[#This Row],[VENTANAS]])</f>
        <v>0</v>
      </c>
      <c r="BG112" s="3">
        <f>+IF(AVANCE[[#This Row],[PISO]]=N$2,100%,AVANCE[[#This Row],[PISO]])</f>
        <v>0</v>
      </c>
      <c r="BH112" s="3">
        <f>+IF(AVANCE[[#This Row],[TABIQUES]]=O$2,100%,AVANCE[[#This Row],[TABIQUES]])</f>
        <v>0</v>
      </c>
      <c r="BI112" s="3">
        <f>+IF(AVANCE[[#This Row],[MUROS]]=P$2,100%,AVANCE[[#This Row],[MUROS]])</f>
        <v>0</v>
      </c>
      <c r="BJ112" s="3">
        <f>+IF(AVANCE[[#This Row],[CIELO]]=Q$2,100%,AVANCE[[#This Row],[CIELO]])</f>
        <v>0</v>
      </c>
      <c r="BK112" s="3">
        <f>+IF(AVANCE[[#This Row],[BALCÓN]]=R$2,100%,AVANCE[[#This Row],[BALCÓN]])</f>
        <v>0</v>
      </c>
      <c r="BL112" s="3">
        <f>+IF(AVANCE[[#This Row],[RED ALCANTARILLADO]]=U$2,100%,AVANCE[[#This Row],[RED ALCANTARILLADO]])</f>
        <v>0</v>
      </c>
      <c r="BM112" s="3">
        <f>+IF(AVANCE[[#This Row],[RED DE AGUA]]=V$2,100%,AVANCE[[#This Row],[RED DE AGUA]])</f>
        <v>0</v>
      </c>
      <c r="BN112" s="3">
        <f>+IF(AVANCE[[#This Row],[VENTILACIONES]]=W$2,100%,AVANCE[[#This Row],[VENTILACIONES]])</f>
        <v>0</v>
      </c>
      <c r="BO112" s="3">
        <f>+IF(AVANCE[[#This Row],[TINA]]=X$2,100%,AVANCE[[#This Row],[TINA]])</f>
        <v>0</v>
      </c>
      <c r="BP112" s="3">
        <f>+IF(AVANCE[[#This Row],[WC]]=Y$2,100%,AVANCE[[#This Row],[WC]])</f>
        <v>0</v>
      </c>
      <c r="BQ112" s="3">
        <f>+IF(AVANCE[[#This Row],[LAVAMANOS / LAVAPLATOS / LAVADERO]]=Z$2,100%,AVANCE[[#This Row],[LAVAMANOS / LAVAPLATOS / LAVADERO]])</f>
        <v>0</v>
      </c>
      <c r="BR112" s="3">
        <f>+IF(AVANCE[[#This Row],[CANALIZACIÓN]]=AC$2,100%,AVANCE[[#This Row],[CANALIZACIÓN]])</f>
        <v>0</v>
      </c>
      <c r="BS112" s="3">
        <f>+IF(AVANCE[[#This Row],[CABLEADO]]=AD$2,100%,AVANCE[[#This Row],[CABLEADO]])</f>
        <v>0</v>
      </c>
      <c r="BT112" s="3">
        <f>+IF(AVANCE[[#This Row],[ARTEFACTOS]]=AE$2,100%,AVANCE[[#This Row],[ARTEFACTOS]])</f>
        <v>0</v>
      </c>
      <c r="BU112" s="3">
        <f>+IF(AVANCE[[#This Row],[TABLERO]]=AF$2,100%,AVANCE[[#This Row],[TABLERO]])</f>
        <v>0</v>
      </c>
      <c r="BV112" s="3">
        <f>+IF(AVANCE[[#This Row],[CAJA PAU]]=AG$2,100%,AVANCE[[#This Row],[CAJA PAU]])</f>
        <v>0</v>
      </c>
      <c r="BW112" s="3">
        <f>+IF(AVANCE[[#This Row],[INSTALACION VINILICO]]=AJ$2,100%,AVANCE[[#This Row],[INSTALACION VINILICO]])</f>
        <v>0</v>
      </c>
      <c r="BX112" s="3">
        <f>+IF(AVANCE[[#This Row],[OSB CUBIERTA]]=AK$2,100%,AVANCE[[#This Row],[OSB CUBIERTA]])</f>
        <v>0</v>
      </c>
      <c r="BY112" s="3">
        <f>+IF(AVANCE[[#This Row],[BARANDA BALCON]]=AL$2,100%,AVANCE[[#This Row],[BARANDA BALCON]])</f>
        <v>0</v>
      </c>
      <c r="BZ112" s="3">
        <f>+IF(AVANCE[[#This Row],[OSB EXTERIOR]]=AM$2,100%,AVANCE[[#This Row],[OSB EXTERIOR]])</f>
        <v>0</v>
      </c>
      <c r="CA112" s="3">
        <f>+IF(AVANCE[[#This Row],[SMART PANEL]]=AN$2,100%,AVANCE[[#This Row],[SMART PANEL]])</f>
        <v>0</v>
      </c>
      <c r="CB112" s="3">
        <f>+IF(AVANCE[[#This Row],[PINTURA EXTERIOR]]=AO$2,100%,AVANCE[[#This Row],[PINTURA EXTERIOR]])</f>
        <v>0</v>
      </c>
      <c r="CC112" s="3">
        <f>+IF(AVANCE[[#This Row],[ZOCALOS LOGIA]]=AP$2,100%,AVANCE[[#This Row],[ZOCALOS LOGIA]])</f>
        <v>0</v>
      </c>
      <c r="CD112" s="3">
        <f>+IF(AVANCE[[#This Row],[MOLDURAS]]=AQ$2,100%,AVANCE[[#This Row],[MOLDURAS]])</f>
        <v>0</v>
      </c>
      <c r="CE112" s="3">
        <f>+IF(AVANCE[[#This Row],[PILASTREO]]=AR$2,100%,AVANCE[[#This Row],[PILASTREO]])</f>
        <v>0</v>
      </c>
      <c r="CF112" s="3">
        <f>+IF(AVANCE[[#This Row],[CELOSIAS]]=AS$2,100%,AVANCE[[#This Row],[CELOSIAS]])</f>
        <v>0</v>
      </c>
      <c r="CG112" s="3">
        <f>+IF(AVANCE[[#This Row],[VENTANAS]]=AT$2,100%,AVANCE[[#This Row],[VENTANAS]])</f>
        <v>0</v>
      </c>
      <c r="CH112" s="3">
        <f>+IF(AVANCE[[#This Row],[PUERTAS ACCESO - LOGIA - BANO]]=AU$2,100%,AVANCE[[#This Row],[PUERTAS ACCESO - LOGIA - BANO]])</f>
        <v>0</v>
      </c>
      <c r="CI112" s="3">
        <f>+IF(AVANCE[[#This Row],[CERRADURAS]]=AV$2,100%,AVANCE[[#This Row],[CERRADURAS]])</f>
        <v>0</v>
      </c>
      <c r="CJ112" s="3">
        <f>+IF(AVANCE[[#This Row],[REVESTIMIENTO INTERIOR ZONA SECA]]=AW$2,100%,AVANCE[[#This Row],[REVESTIMIENTO INTERIOR ZONA SECA]])</f>
        <v>0</v>
      </c>
      <c r="CK112" s="3">
        <f>+IF(AVANCE[[#This Row],[REVESTIMIENTO INTERIOR ZONAS HUMEDAS]]=AX$2,100%,AVANCE[[#This Row],[REVESTIMIENTO INTERIOR ZONAS HUMEDAS]])</f>
        <v>0</v>
      </c>
      <c r="CL112" s="3">
        <f>+IF(AVANCE[[#This Row],[MEMBRANA CIELO]]=AY$2,100%,AVANCE[[#This Row],[MEMBRANA CIELO]])</f>
        <v>0</v>
      </c>
      <c r="CM112" s="3">
        <f>+IF(AVANCE[[#This Row],[LIMPIEZA FINAL]]=AZ$2,100%,AVANCE[[#This Row],[LIMPIEZA FINAL]])</f>
        <v>0</v>
      </c>
      <c r="CN112" s="3">
        <f>+IF(AVANCE[[#This Row],[PUERTAS DORMITORIO]]=BA$2,100%,AVANCE[[#This Row],[PUERTAS DORMITORIO]])</f>
        <v>0</v>
      </c>
      <c r="CO112" s="3">
        <f>+IF(AVANCE[[#This Row],[REVESTIMIENTO INTERIOR BANO]]=BB$2,100%,AVANCE[[#This Row],[REVESTIMIENTO INTERIOR BANO]])</f>
        <v>0</v>
      </c>
      <c r="CP112" s="3">
        <f>+IF(AVANCE[[#This Row],[MUEBLE LAVAPLATOS]]=BC$2,100%,AVANCE[[#This Row],[MUEBLE LAVAPLATOS]])</f>
        <v>0</v>
      </c>
      <c r="CQ112" s="3">
        <f>+IF(AVANCE[[#This Row],[IMPERMEABILIZACION BANO - COCINA LOGIA]]=BD$2,100%,AVANCE[[#This Row],[IMPERMEABILIZACION BANO - COCINA LOGIA]])</f>
        <v>0</v>
      </c>
      <c r="CR112" s="40">
        <f ca="1">+IF(AVANCE[[#This Row],[ESTADO MODULO]]="PENDIENTE",(TODAY()-AVANCE[[#This Row],[FECHA TERMINO  PLANIFICADO]]),0)</f>
        <v>0</v>
      </c>
      <c r="CS112" s="42" t="str" cm="1">
        <f t="array" ref="CS112">_xlfn.TEXTJOIN(" | ",TRUE,IF(SUMPRODUCT((BF112:CQ112&lt;1)*(PARTIDAS!$I$2:$AT$2="OBRA GRUESA"))&gt;0,"OBRA GRUESA: "&amp;_xlfn.TEXTJOIN(", ",TRUE,IF((BF112:CQ112&lt;1)*(PARTIDAS!$I$2:$AT$2="OBRA GRUESA"),PARTIDAS!$I$1:$AT$1,"")),""),IF(SUMPRODUCT((BF112:CQ112&lt;1)*(PARTIDAS!$I$2:$AT$2="SANITARIOS"))&gt;0,"SANITARIOS: "&amp;_xlfn.TEXTJOIN(", ",TRUE,IF((BF112:CQ112&lt;1)*(PARTIDAS!$I$2:$AT$2="SANITARIOS"),PARTIDAS!$I$1:$AT$1,"")),""),IF(SUMPRODUCT((BF112:CQ112&lt;1)*(PARTIDAS!$I$2:$AT$2="ELÉCTRICO"))&gt;0,"ELÉCTRICO: "&amp;_xlfn.TEXTJOIN(", ",TRUE,IF((BF112:CQ112&lt;1)*(PARTIDAS!$I$2:$AT$2="ELÉCTRICO"),PARTIDAS!$I$1:$AT$1,"")),""),IF(SUMPRODUCT((BF112:CQ112&lt;1)*(PARTIDAS!$I$2:$AT$2="TERMINACIONES"))&gt;0,"TERMINACIONES: "&amp;_xlfn.TEXTJOIN(", ",TRUE,IF((BF112:CQ112&lt;1)*(PARTIDAS!$I$2:$AT$2="TERMINACIONES"),PARTIDAS!$I$1:$AT$1,"")),""))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2" s="45" t="str" cm="1">
        <f t="array" ref="CT112">_xlfn.TEXTJOIN(", ",TRUE,IF(SUMPRODUCT((BF112:CQ112&lt;1)*(PARTIDAS!$I$2:$AT$2="OBRA GRUESA"))&gt;0,"OBRA GRUESA",""),IF(SUMPRODUCT((BF112:CQ112&lt;1)*(PARTIDAS!$I$2:$AT$2="SANITARIOS"))&gt;0,"SANITARIOS",""),IF(SUMPRODUCT((BF112:CQ112&lt;1)*(PARTIDAS!$I$2:$AT$2="ELÉCTRICO"))&gt;0,"ELÉCTRICO",""),IF(SUMPRODUCT((BF112:CQ112&lt;1)*(PARTIDAS!$I$2:$AT$2="TERMINACIONES"))&gt;0,"TERMINACIONES",""))</f>
        <v>OBRA GRUESA, SANITARIOS, ELÉCTRICO, TERMINACIONES</v>
      </c>
      <c r="CU112" s="46" cm="1">
        <f t="array" ref="CU112">SUMPRODUCT(--(BF112:CQ112&lt;1))</f>
        <v>38</v>
      </c>
    </row>
    <row r="113" spans="1:99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46181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 t="str">
        <f>+IF(AVANCE[[#This Row],[% AVANCE]]=100%,"MODULO TERMINADO",IF(AVANCE[[#This Row],[FECHA INICIO REAL]]="","MODULO NO INICIADO","PENDIENTE"))</f>
        <v>MODULO NO INICIADO</v>
      </c>
      <c r="BF113" s="3">
        <f>+IF(AVANCE[[#This Row],[VENTANAS]]=8.10810810810811%,100%,AVANCE[[#This Row],[VENTANAS]])</f>
        <v>0</v>
      </c>
      <c r="BG113" s="3">
        <f>+IF(AVANCE[[#This Row],[PISO]]=N$2,100%,AVANCE[[#This Row],[PISO]])</f>
        <v>0</v>
      </c>
      <c r="BH113" s="3">
        <f>+IF(AVANCE[[#This Row],[TABIQUES]]=O$2,100%,AVANCE[[#This Row],[TABIQUES]])</f>
        <v>0</v>
      </c>
      <c r="BI113" s="3">
        <f>+IF(AVANCE[[#This Row],[MUROS]]=P$2,100%,AVANCE[[#This Row],[MUROS]])</f>
        <v>0</v>
      </c>
      <c r="BJ113" s="3">
        <f>+IF(AVANCE[[#This Row],[CIELO]]=Q$2,100%,AVANCE[[#This Row],[CIELO]])</f>
        <v>0</v>
      </c>
      <c r="BK113" s="3">
        <f>+IF(AVANCE[[#This Row],[BALCÓN]]=R$2,100%,AVANCE[[#This Row],[BALCÓN]])</f>
        <v>0</v>
      </c>
      <c r="BL113" s="3">
        <f>+IF(AVANCE[[#This Row],[RED ALCANTARILLADO]]=U$2,100%,AVANCE[[#This Row],[RED ALCANTARILLADO]])</f>
        <v>0</v>
      </c>
      <c r="BM113" s="3">
        <f>+IF(AVANCE[[#This Row],[RED DE AGUA]]=V$2,100%,AVANCE[[#This Row],[RED DE AGUA]])</f>
        <v>0</v>
      </c>
      <c r="BN113" s="3">
        <f>+IF(AVANCE[[#This Row],[VENTILACIONES]]=W$2,100%,AVANCE[[#This Row],[VENTILACIONES]])</f>
        <v>0</v>
      </c>
      <c r="BO113" s="3">
        <f>+IF(AVANCE[[#This Row],[TINA]]=X$2,100%,AVANCE[[#This Row],[TINA]])</f>
        <v>0</v>
      </c>
      <c r="BP113" s="3">
        <f>+IF(AVANCE[[#This Row],[WC]]=Y$2,100%,AVANCE[[#This Row],[WC]])</f>
        <v>0</v>
      </c>
      <c r="BQ113" s="3">
        <f>+IF(AVANCE[[#This Row],[LAVAMANOS / LAVAPLATOS / LAVADERO]]=Z$2,100%,AVANCE[[#This Row],[LAVAMANOS / LAVAPLATOS / LAVADERO]])</f>
        <v>0</v>
      </c>
      <c r="BR113" s="3">
        <f>+IF(AVANCE[[#This Row],[CANALIZACIÓN]]=AC$2,100%,AVANCE[[#This Row],[CANALIZACIÓN]])</f>
        <v>0</v>
      </c>
      <c r="BS113" s="3">
        <f>+IF(AVANCE[[#This Row],[CABLEADO]]=AD$2,100%,AVANCE[[#This Row],[CABLEADO]])</f>
        <v>0</v>
      </c>
      <c r="BT113" s="3">
        <f>+IF(AVANCE[[#This Row],[ARTEFACTOS]]=AE$2,100%,AVANCE[[#This Row],[ARTEFACTOS]])</f>
        <v>0</v>
      </c>
      <c r="BU113" s="3">
        <f>+IF(AVANCE[[#This Row],[TABLERO]]=AF$2,100%,AVANCE[[#This Row],[TABLERO]])</f>
        <v>0</v>
      </c>
      <c r="BV113" s="3">
        <f>+IF(AVANCE[[#This Row],[CAJA PAU]]=AG$2,100%,AVANCE[[#This Row],[CAJA PAU]])</f>
        <v>0</v>
      </c>
      <c r="BW113" s="3">
        <f>+IF(AVANCE[[#This Row],[INSTALACION VINILICO]]=AJ$2,100%,AVANCE[[#This Row],[INSTALACION VINILICO]])</f>
        <v>0</v>
      </c>
      <c r="BX113" s="3">
        <f>+IF(AVANCE[[#This Row],[OSB CUBIERTA]]=AK$2,100%,AVANCE[[#This Row],[OSB CUBIERTA]])</f>
        <v>0</v>
      </c>
      <c r="BY113" s="3">
        <f>+IF(AVANCE[[#This Row],[BARANDA BALCON]]=AL$2,100%,AVANCE[[#This Row],[BARANDA BALCON]])</f>
        <v>0</v>
      </c>
      <c r="BZ113" s="3">
        <f>+IF(AVANCE[[#This Row],[OSB EXTERIOR]]=AM$2,100%,AVANCE[[#This Row],[OSB EXTERIOR]])</f>
        <v>0</v>
      </c>
      <c r="CA113" s="3">
        <f>+IF(AVANCE[[#This Row],[SMART PANEL]]=AN$2,100%,AVANCE[[#This Row],[SMART PANEL]])</f>
        <v>0</v>
      </c>
      <c r="CB113" s="3">
        <f>+IF(AVANCE[[#This Row],[PINTURA EXTERIOR]]=AO$2,100%,AVANCE[[#This Row],[PINTURA EXTERIOR]])</f>
        <v>0</v>
      </c>
      <c r="CC113" s="3">
        <f>+IF(AVANCE[[#This Row],[ZOCALOS LOGIA]]=AP$2,100%,AVANCE[[#This Row],[ZOCALOS LOGIA]])</f>
        <v>0</v>
      </c>
      <c r="CD113" s="3">
        <f>+IF(AVANCE[[#This Row],[MOLDURAS]]=AQ$2,100%,AVANCE[[#This Row],[MOLDURAS]])</f>
        <v>0</v>
      </c>
      <c r="CE113" s="3">
        <f>+IF(AVANCE[[#This Row],[PILASTREO]]=AR$2,100%,AVANCE[[#This Row],[PILASTREO]])</f>
        <v>0</v>
      </c>
      <c r="CF113" s="3">
        <f>+IF(AVANCE[[#This Row],[CELOSIAS]]=AS$2,100%,AVANCE[[#This Row],[CELOSIAS]])</f>
        <v>0</v>
      </c>
      <c r="CG113" s="3">
        <f>+IF(AVANCE[[#This Row],[VENTANAS]]=AT$2,100%,AVANCE[[#This Row],[VENTANAS]])</f>
        <v>0</v>
      </c>
      <c r="CH113" s="3">
        <f>+IF(AVANCE[[#This Row],[PUERTAS ACCESO - LOGIA - BANO]]=AU$2,100%,AVANCE[[#This Row],[PUERTAS ACCESO - LOGIA - BANO]])</f>
        <v>0</v>
      </c>
      <c r="CI113" s="3">
        <f>+IF(AVANCE[[#This Row],[CERRADURAS]]=AV$2,100%,AVANCE[[#This Row],[CERRADURAS]])</f>
        <v>0</v>
      </c>
      <c r="CJ113" s="3">
        <f>+IF(AVANCE[[#This Row],[REVESTIMIENTO INTERIOR ZONA SECA]]=AW$2,100%,AVANCE[[#This Row],[REVESTIMIENTO INTERIOR ZONA SECA]])</f>
        <v>0</v>
      </c>
      <c r="CK113" s="3">
        <f>+IF(AVANCE[[#This Row],[REVESTIMIENTO INTERIOR ZONAS HUMEDAS]]=AX$2,100%,AVANCE[[#This Row],[REVESTIMIENTO INTERIOR ZONAS HUMEDAS]])</f>
        <v>0</v>
      </c>
      <c r="CL113" s="3">
        <f>+IF(AVANCE[[#This Row],[MEMBRANA CIELO]]=AY$2,100%,AVANCE[[#This Row],[MEMBRANA CIELO]])</f>
        <v>0</v>
      </c>
      <c r="CM113" s="3">
        <f>+IF(AVANCE[[#This Row],[LIMPIEZA FINAL]]=AZ$2,100%,AVANCE[[#This Row],[LIMPIEZA FINAL]])</f>
        <v>0</v>
      </c>
      <c r="CN113" s="3">
        <f>+IF(AVANCE[[#This Row],[PUERTAS DORMITORIO]]=BA$2,100%,AVANCE[[#This Row],[PUERTAS DORMITORIO]])</f>
        <v>0</v>
      </c>
      <c r="CO113" s="3">
        <f>+IF(AVANCE[[#This Row],[REVESTIMIENTO INTERIOR BANO]]=BB$2,100%,AVANCE[[#This Row],[REVESTIMIENTO INTERIOR BANO]])</f>
        <v>0</v>
      </c>
      <c r="CP113" s="3">
        <f>+IF(AVANCE[[#This Row],[MUEBLE LAVAPLATOS]]=BC$2,100%,AVANCE[[#This Row],[MUEBLE LAVAPLATOS]])</f>
        <v>0</v>
      </c>
      <c r="CQ113" s="3">
        <f>+IF(AVANCE[[#This Row],[IMPERMEABILIZACION BANO - COCINA LOGIA]]=BD$2,100%,AVANCE[[#This Row],[IMPERMEABILIZACION BANO - COCINA LOGIA]])</f>
        <v>0</v>
      </c>
      <c r="CR113" s="40">
        <f ca="1">+IF(AVANCE[[#This Row],[ESTADO MODULO]]="PENDIENTE",(TODAY()-AVANCE[[#This Row],[FECHA TERMINO  PLANIFICADO]]),0)</f>
        <v>0</v>
      </c>
      <c r="CS113" s="42" t="str" cm="1">
        <f t="array" ref="CS113">_xlfn.TEXTJOIN(" | ",TRUE,IF(SUMPRODUCT((BF113:CQ113&lt;1)*(PARTIDAS!$I$2:$AT$2="OBRA GRUESA"))&gt;0,"OBRA GRUESA: "&amp;_xlfn.TEXTJOIN(", ",TRUE,IF((BF113:CQ113&lt;1)*(PARTIDAS!$I$2:$AT$2="OBRA GRUESA"),PARTIDAS!$I$1:$AT$1,"")),""),IF(SUMPRODUCT((BF113:CQ113&lt;1)*(PARTIDAS!$I$2:$AT$2="SANITARIOS"))&gt;0,"SANITARIOS: "&amp;_xlfn.TEXTJOIN(", ",TRUE,IF((BF113:CQ113&lt;1)*(PARTIDAS!$I$2:$AT$2="SANITARIOS"),PARTIDAS!$I$1:$AT$1,"")),""),IF(SUMPRODUCT((BF113:CQ113&lt;1)*(PARTIDAS!$I$2:$AT$2="ELÉCTRICO"))&gt;0,"ELÉCTRICO: "&amp;_xlfn.TEXTJOIN(", ",TRUE,IF((BF113:CQ113&lt;1)*(PARTIDAS!$I$2:$AT$2="ELÉCTRICO"),PARTIDAS!$I$1:$AT$1,"")),""),IF(SUMPRODUCT((BF113:CQ113&lt;1)*(PARTIDAS!$I$2:$AT$2="TERMINACIONES"))&gt;0,"TERMINACIONES: "&amp;_xlfn.TEXTJOIN(", ",TRUE,IF((BF113:CQ113&lt;1)*(PARTIDAS!$I$2:$AT$2="TERMINACIONES"),PARTIDAS!$I$1:$AT$1,"")),""))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3" s="45" t="str" cm="1">
        <f t="array" ref="CT113">_xlfn.TEXTJOIN(", ",TRUE,IF(SUMPRODUCT((BF113:CQ113&lt;1)*(PARTIDAS!$I$2:$AT$2="OBRA GRUESA"))&gt;0,"OBRA GRUESA",""),IF(SUMPRODUCT((BF113:CQ113&lt;1)*(PARTIDAS!$I$2:$AT$2="SANITARIOS"))&gt;0,"SANITARIOS",""),IF(SUMPRODUCT((BF113:CQ113&lt;1)*(PARTIDAS!$I$2:$AT$2="ELÉCTRICO"))&gt;0,"ELÉCTRICO",""),IF(SUMPRODUCT((BF113:CQ113&lt;1)*(PARTIDAS!$I$2:$AT$2="TERMINACIONES"))&gt;0,"TERMINACIONES",""))</f>
        <v>OBRA GRUESA, SANITARIOS, ELÉCTRICO, TERMINACIONES</v>
      </c>
      <c r="CU113" s="46" cm="1">
        <f t="array" ref="CU113">SUMPRODUCT(--(BF113:CQ113&lt;1))</f>
        <v>38</v>
      </c>
    </row>
    <row r="114" spans="1:99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46181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 t="str">
        <f>+IF(AVANCE[[#This Row],[% AVANCE]]=100%,"MODULO TERMINADO",IF(AVANCE[[#This Row],[FECHA INICIO REAL]]="","MODULO NO INICIADO","PENDIENTE"))</f>
        <v>MODULO NO INICIADO</v>
      </c>
      <c r="BF114" s="3">
        <f>+IF(AVANCE[[#This Row],[VENTANAS]]=8.10810810810811%,100%,AVANCE[[#This Row],[VENTANAS]])</f>
        <v>0</v>
      </c>
      <c r="BG114" s="3">
        <f>+IF(AVANCE[[#This Row],[PISO]]=N$2,100%,AVANCE[[#This Row],[PISO]])</f>
        <v>0</v>
      </c>
      <c r="BH114" s="3">
        <f>+IF(AVANCE[[#This Row],[TABIQUES]]=O$2,100%,AVANCE[[#This Row],[TABIQUES]])</f>
        <v>0</v>
      </c>
      <c r="BI114" s="3">
        <f>+IF(AVANCE[[#This Row],[MUROS]]=P$2,100%,AVANCE[[#This Row],[MUROS]])</f>
        <v>0</v>
      </c>
      <c r="BJ114" s="3">
        <f>+IF(AVANCE[[#This Row],[CIELO]]=Q$2,100%,AVANCE[[#This Row],[CIELO]])</f>
        <v>0</v>
      </c>
      <c r="BK114" s="3">
        <f>+IF(AVANCE[[#This Row],[BALCÓN]]=R$2,100%,AVANCE[[#This Row],[BALCÓN]])</f>
        <v>0</v>
      </c>
      <c r="BL114" s="3">
        <f>+IF(AVANCE[[#This Row],[RED ALCANTARILLADO]]=U$2,100%,AVANCE[[#This Row],[RED ALCANTARILLADO]])</f>
        <v>0</v>
      </c>
      <c r="BM114" s="3">
        <f>+IF(AVANCE[[#This Row],[RED DE AGUA]]=V$2,100%,AVANCE[[#This Row],[RED DE AGUA]])</f>
        <v>0</v>
      </c>
      <c r="BN114" s="3">
        <f>+IF(AVANCE[[#This Row],[VENTILACIONES]]=W$2,100%,AVANCE[[#This Row],[VENTILACIONES]])</f>
        <v>0</v>
      </c>
      <c r="BO114" s="3">
        <f>+IF(AVANCE[[#This Row],[TINA]]=X$2,100%,AVANCE[[#This Row],[TINA]])</f>
        <v>0</v>
      </c>
      <c r="BP114" s="3">
        <f>+IF(AVANCE[[#This Row],[WC]]=Y$2,100%,AVANCE[[#This Row],[WC]])</f>
        <v>0</v>
      </c>
      <c r="BQ114" s="3">
        <f>+IF(AVANCE[[#This Row],[LAVAMANOS / LAVAPLATOS / LAVADERO]]=Z$2,100%,AVANCE[[#This Row],[LAVAMANOS / LAVAPLATOS / LAVADERO]])</f>
        <v>0</v>
      </c>
      <c r="BR114" s="3">
        <f>+IF(AVANCE[[#This Row],[CANALIZACIÓN]]=AC$2,100%,AVANCE[[#This Row],[CANALIZACIÓN]])</f>
        <v>0</v>
      </c>
      <c r="BS114" s="3">
        <f>+IF(AVANCE[[#This Row],[CABLEADO]]=AD$2,100%,AVANCE[[#This Row],[CABLEADO]])</f>
        <v>0</v>
      </c>
      <c r="BT114" s="3">
        <f>+IF(AVANCE[[#This Row],[ARTEFACTOS]]=AE$2,100%,AVANCE[[#This Row],[ARTEFACTOS]])</f>
        <v>0</v>
      </c>
      <c r="BU114" s="3">
        <f>+IF(AVANCE[[#This Row],[TABLERO]]=AF$2,100%,AVANCE[[#This Row],[TABLERO]])</f>
        <v>0</v>
      </c>
      <c r="BV114" s="3">
        <f>+IF(AVANCE[[#This Row],[CAJA PAU]]=AG$2,100%,AVANCE[[#This Row],[CAJA PAU]])</f>
        <v>0</v>
      </c>
      <c r="BW114" s="3">
        <f>+IF(AVANCE[[#This Row],[INSTALACION VINILICO]]=AJ$2,100%,AVANCE[[#This Row],[INSTALACION VINILICO]])</f>
        <v>0</v>
      </c>
      <c r="BX114" s="3">
        <f>+IF(AVANCE[[#This Row],[OSB CUBIERTA]]=AK$2,100%,AVANCE[[#This Row],[OSB CUBIERTA]])</f>
        <v>0</v>
      </c>
      <c r="BY114" s="3">
        <f>+IF(AVANCE[[#This Row],[BARANDA BALCON]]=AL$2,100%,AVANCE[[#This Row],[BARANDA BALCON]])</f>
        <v>0</v>
      </c>
      <c r="BZ114" s="3">
        <f>+IF(AVANCE[[#This Row],[OSB EXTERIOR]]=AM$2,100%,AVANCE[[#This Row],[OSB EXTERIOR]])</f>
        <v>0</v>
      </c>
      <c r="CA114" s="3">
        <f>+IF(AVANCE[[#This Row],[SMART PANEL]]=AN$2,100%,AVANCE[[#This Row],[SMART PANEL]])</f>
        <v>0</v>
      </c>
      <c r="CB114" s="3">
        <f>+IF(AVANCE[[#This Row],[PINTURA EXTERIOR]]=AO$2,100%,AVANCE[[#This Row],[PINTURA EXTERIOR]])</f>
        <v>0</v>
      </c>
      <c r="CC114" s="3">
        <f>+IF(AVANCE[[#This Row],[ZOCALOS LOGIA]]=AP$2,100%,AVANCE[[#This Row],[ZOCALOS LOGIA]])</f>
        <v>0</v>
      </c>
      <c r="CD114" s="3">
        <f>+IF(AVANCE[[#This Row],[MOLDURAS]]=AQ$2,100%,AVANCE[[#This Row],[MOLDURAS]])</f>
        <v>0</v>
      </c>
      <c r="CE114" s="3">
        <f>+IF(AVANCE[[#This Row],[PILASTREO]]=AR$2,100%,AVANCE[[#This Row],[PILASTREO]])</f>
        <v>0</v>
      </c>
      <c r="CF114" s="3">
        <f>+IF(AVANCE[[#This Row],[CELOSIAS]]=AS$2,100%,AVANCE[[#This Row],[CELOSIAS]])</f>
        <v>0</v>
      </c>
      <c r="CG114" s="3">
        <f>+IF(AVANCE[[#This Row],[VENTANAS]]=AT$2,100%,AVANCE[[#This Row],[VENTANAS]])</f>
        <v>0</v>
      </c>
      <c r="CH114" s="3">
        <f>+IF(AVANCE[[#This Row],[PUERTAS ACCESO - LOGIA - BANO]]=AU$2,100%,AVANCE[[#This Row],[PUERTAS ACCESO - LOGIA - BANO]])</f>
        <v>0</v>
      </c>
      <c r="CI114" s="3">
        <f>+IF(AVANCE[[#This Row],[CERRADURAS]]=AV$2,100%,AVANCE[[#This Row],[CERRADURAS]])</f>
        <v>0</v>
      </c>
      <c r="CJ114" s="3">
        <f>+IF(AVANCE[[#This Row],[REVESTIMIENTO INTERIOR ZONA SECA]]=AW$2,100%,AVANCE[[#This Row],[REVESTIMIENTO INTERIOR ZONA SECA]])</f>
        <v>0</v>
      </c>
      <c r="CK114" s="3">
        <f>+IF(AVANCE[[#This Row],[REVESTIMIENTO INTERIOR ZONAS HUMEDAS]]=AX$2,100%,AVANCE[[#This Row],[REVESTIMIENTO INTERIOR ZONAS HUMEDAS]])</f>
        <v>0</v>
      </c>
      <c r="CL114" s="3">
        <f>+IF(AVANCE[[#This Row],[MEMBRANA CIELO]]=AY$2,100%,AVANCE[[#This Row],[MEMBRANA CIELO]])</f>
        <v>0</v>
      </c>
      <c r="CM114" s="3">
        <f>+IF(AVANCE[[#This Row],[LIMPIEZA FINAL]]=AZ$2,100%,AVANCE[[#This Row],[LIMPIEZA FINAL]])</f>
        <v>0</v>
      </c>
      <c r="CN114" s="3">
        <f>+IF(AVANCE[[#This Row],[PUERTAS DORMITORIO]]=BA$2,100%,AVANCE[[#This Row],[PUERTAS DORMITORIO]])</f>
        <v>0</v>
      </c>
      <c r="CO114" s="3">
        <f>+IF(AVANCE[[#This Row],[REVESTIMIENTO INTERIOR BANO]]=BB$2,100%,AVANCE[[#This Row],[REVESTIMIENTO INTERIOR BANO]])</f>
        <v>0</v>
      </c>
      <c r="CP114" s="3">
        <f>+IF(AVANCE[[#This Row],[MUEBLE LAVAPLATOS]]=BC$2,100%,AVANCE[[#This Row],[MUEBLE LAVAPLATOS]])</f>
        <v>0</v>
      </c>
      <c r="CQ114" s="3">
        <f>+IF(AVANCE[[#This Row],[IMPERMEABILIZACION BANO - COCINA LOGIA]]=BD$2,100%,AVANCE[[#This Row],[IMPERMEABILIZACION BANO - COCINA LOGIA]])</f>
        <v>0</v>
      </c>
      <c r="CR114" s="40">
        <f ca="1">+IF(AVANCE[[#This Row],[ESTADO MODULO]]="PENDIENTE",(TODAY()-AVANCE[[#This Row],[FECHA TERMINO  PLANIFICADO]]),0)</f>
        <v>0</v>
      </c>
      <c r="CS114" s="42" t="str" cm="1">
        <f t="array" ref="CS114">_xlfn.TEXTJOIN(" | ",TRUE,IF(SUMPRODUCT((BF114:CQ114&lt;1)*(PARTIDAS!$I$2:$AT$2="OBRA GRUESA"))&gt;0,"OBRA GRUESA: "&amp;_xlfn.TEXTJOIN(", ",TRUE,IF((BF114:CQ114&lt;1)*(PARTIDAS!$I$2:$AT$2="OBRA GRUESA"),PARTIDAS!$I$1:$AT$1,"")),""),IF(SUMPRODUCT((BF114:CQ114&lt;1)*(PARTIDAS!$I$2:$AT$2="SANITARIOS"))&gt;0,"SANITARIOS: "&amp;_xlfn.TEXTJOIN(", ",TRUE,IF((BF114:CQ114&lt;1)*(PARTIDAS!$I$2:$AT$2="SANITARIOS"),PARTIDAS!$I$1:$AT$1,"")),""),IF(SUMPRODUCT((BF114:CQ114&lt;1)*(PARTIDAS!$I$2:$AT$2="ELÉCTRICO"))&gt;0,"ELÉCTRICO: "&amp;_xlfn.TEXTJOIN(", ",TRUE,IF((BF114:CQ114&lt;1)*(PARTIDAS!$I$2:$AT$2="ELÉCTRICO"),PARTIDAS!$I$1:$AT$1,"")),""),IF(SUMPRODUCT((BF114:CQ114&lt;1)*(PARTIDAS!$I$2:$AT$2="TERMINACIONES"))&gt;0,"TERMINACIONES: "&amp;_xlfn.TEXTJOIN(", ",TRUE,IF((BF114:CQ114&lt;1)*(PARTIDAS!$I$2:$AT$2="TERMINACIONES"),PARTIDAS!$I$1:$AT$1,"")),""))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4" s="45" t="str" cm="1">
        <f t="array" ref="CT114">_xlfn.TEXTJOIN(", ",TRUE,IF(SUMPRODUCT((BF114:CQ114&lt;1)*(PARTIDAS!$I$2:$AT$2="OBRA GRUESA"))&gt;0,"OBRA GRUESA",""),IF(SUMPRODUCT((BF114:CQ114&lt;1)*(PARTIDAS!$I$2:$AT$2="SANITARIOS"))&gt;0,"SANITARIOS",""),IF(SUMPRODUCT((BF114:CQ114&lt;1)*(PARTIDAS!$I$2:$AT$2="ELÉCTRICO"))&gt;0,"ELÉCTRICO",""),IF(SUMPRODUCT((BF114:CQ114&lt;1)*(PARTIDAS!$I$2:$AT$2="TERMINACIONES"))&gt;0,"TERMINACIONES",""))</f>
        <v>OBRA GRUESA, SANITARIOS, ELÉCTRICO, TERMINACIONES</v>
      </c>
      <c r="CU114" s="46" cm="1">
        <f t="array" ref="CU114">SUMPRODUCT(--(BF114:CQ114&lt;1))</f>
        <v>38</v>
      </c>
    </row>
    <row r="115" spans="1:99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46181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 t="str">
        <f>+IF(AVANCE[[#This Row],[% AVANCE]]=100%,"MODULO TERMINADO",IF(AVANCE[[#This Row],[FECHA INICIO REAL]]="","MODULO NO INICIADO","PENDIENTE"))</f>
        <v>MODULO NO INICIADO</v>
      </c>
      <c r="BF115" s="3">
        <f>+IF(AVANCE[[#This Row],[VENTANAS]]=8.10810810810811%,100%,AVANCE[[#This Row],[VENTANAS]])</f>
        <v>0</v>
      </c>
      <c r="BG115" s="3">
        <f>+IF(AVANCE[[#This Row],[PISO]]=N$2,100%,AVANCE[[#This Row],[PISO]])</f>
        <v>0</v>
      </c>
      <c r="BH115" s="3">
        <f>+IF(AVANCE[[#This Row],[TABIQUES]]=O$2,100%,AVANCE[[#This Row],[TABIQUES]])</f>
        <v>0</v>
      </c>
      <c r="BI115" s="3">
        <f>+IF(AVANCE[[#This Row],[MUROS]]=P$2,100%,AVANCE[[#This Row],[MUROS]])</f>
        <v>0</v>
      </c>
      <c r="BJ115" s="3">
        <f>+IF(AVANCE[[#This Row],[CIELO]]=Q$2,100%,AVANCE[[#This Row],[CIELO]])</f>
        <v>0</v>
      </c>
      <c r="BK115" s="3">
        <f>+IF(AVANCE[[#This Row],[BALCÓN]]=R$2,100%,AVANCE[[#This Row],[BALCÓN]])</f>
        <v>0</v>
      </c>
      <c r="BL115" s="3">
        <f>+IF(AVANCE[[#This Row],[RED ALCANTARILLADO]]=U$2,100%,AVANCE[[#This Row],[RED ALCANTARILLADO]])</f>
        <v>0</v>
      </c>
      <c r="BM115" s="3">
        <f>+IF(AVANCE[[#This Row],[RED DE AGUA]]=V$2,100%,AVANCE[[#This Row],[RED DE AGUA]])</f>
        <v>0</v>
      </c>
      <c r="BN115" s="3">
        <f>+IF(AVANCE[[#This Row],[VENTILACIONES]]=W$2,100%,AVANCE[[#This Row],[VENTILACIONES]])</f>
        <v>0</v>
      </c>
      <c r="BO115" s="3">
        <f>+IF(AVANCE[[#This Row],[TINA]]=X$2,100%,AVANCE[[#This Row],[TINA]])</f>
        <v>0</v>
      </c>
      <c r="BP115" s="3">
        <f>+IF(AVANCE[[#This Row],[WC]]=Y$2,100%,AVANCE[[#This Row],[WC]])</f>
        <v>0</v>
      </c>
      <c r="BQ115" s="3">
        <f>+IF(AVANCE[[#This Row],[LAVAMANOS / LAVAPLATOS / LAVADERO]]=Z$2,100%,AVANCE[[#This Row],[LAVAMANOS / LAVAPLATOS / LAVADERO]])</f>
        <v>0</v>
      </c>
      <c r="BR115" s="3">
        <f>+IF(AVANCE[[#This Row],[CANALIZACIÓN]]=AC$2,100%,AVANCE[[#This Row],[CANALIZACIÓN]])</f>
        <v>0</v>
      </c>
      <c r="BS115" s="3">
        <f>+IF(AVANCE[[#This Row],[CABLEADO]]=AD$2,100%,AVANCE[[#This Row],[CABLEADO]])</f>
        <v>0</v>
      </c>
      <c r="BT115" s="3">
        <f>+IF(AVANCE[[#This Row],[ARTEFACTOS]]=AE$2,100%,AVANCE[[#This Row],[ARTEFACTOS]])</f>
        <v>0</v>
      </c>
      <c r="BU115" s="3">
        <f>+IF(AVANCE[[#This Row],[TABLERO]]=AF$2,100%,AVANCE[[#This Row],[TABLERO]])</f>
        <v>0</v>
      </c>
      <c r="BV115" s="3">
        <f>+IF(AVANCE[[#This Row],[CAJA PAU]]=AG$2,100%,AVANCE[[#This Row],[CAJA PAU]])</f>
        <v>0</v>
      </c>
      <c r="BW115" s="3">
        <f>+IF(AVANCE[[#This Row],[INSTALACION VINILICO]]=AJ$2,100%,AVANCE[[#This Row],[INSTALACION VINILICO]])</f>
        <v>0</v>
      </c>
      <c r="BX115" s="3">
        <f>+IF(AVANCE[[#This Row],[OSB CUBIERTA]]=AK$2,100%,AVANCE[[#This Row],[OSB CUBIERTA]])</f>
        <v>0</v>
      </c>
      <c r="BY115" s="3">
        <f>+IF(AVANCE[[#This Row],[BARANDA BALCON]]=AL$2,100%,AVANCE[[#This Row],[BARANDA BALCON]])</f>
        <v>0</v>
      </c>
      <c r="BZ115" s="3">
        <f>+IF(AVANCE[[#This Row],[OSB EXTERIOR]]=AM$2,100%,AVANCE[[#This Row],[OSB EXTERIOR]])</f>
        <v>0</v>
      </c>
      <c r="CA115" s="3">
        <f>+IF(AVANCE[[#This Row],[SMART PANEL]]=AN$2,100%,AVANCE[[#This Row],[SMART PANEL]])</f>
        <v>0</v>
      </c>
      <c r="CB115" s="3">
        <f>+IF(AVANCE[[#This Row],[PINTURA EXTERIOR]]=AO$2,100%,AVANCE[[#This Row],[PINTURA EXTERIOR]])</f>
        <v>0</v>
      </c>
      <c r="CC115" s="3">
        <f>+IF(AVANCE[[#This Row],[ZOCALOS LOGIA]]=AP$2,100%,AVANCE[[#This Row],[ZOCALOS LOGIA]])</f>
        <v>0</v>
      </c>
      <c r="CD115" s="3">
        <f>+IF(AVANCE[[#This Row],[MOLDURAS]]=AQ$2,100%,AVANCE[[#This Row],[MOLDURAS]])</f>
        <v>0</v>
      </c>
      <c r="CE115" s="3">
        <f>+IF(AVANCE[[#This Row],[PILASTREO]]=AR$2,100%,AVANCE[[#This Row],[PILASTREO]])</f>
        <v>0</v>
      </c>
      <c r="CF115" s="3">
        <f>+IF(AVANCE[[#This Row],[CELOSIAS]]=AS$2,100%,AVANCE[[#This Row],[CELOSIAS]])</f>
        <v>0</v>
      </c>
      <c r="CG115" s="3">
        <f>+IF(AVANCE[[#This Row],[VENTANAS]]=AT$2,100%,AVANCE[[#This Row],[VENTANAS]])</f>
        <v>0</v>
      </c>
      <c r="CH115" s="3">
        <f>+IF(AVANCE[[#This Row],[PUERTAS ACCESO - LOGIA - BANO]]=AU$2,100%,AVANCE[[#This Row],[PUERTAS ACCESO - LOGIA - BANO]])</f>
        <v>0</v>
      </c>
      <c r="CI115" s="3">
        <f>+IF(AVANCE[[#This Row],[CERRADURAS]]=AV$2,100%,AVANCE[[#This Row],[CERRADURAS]])</f>
        <v>0</v>
      </c>
      <c r="CJ115" s="3">
        <f>+IF(AVANCE[[#This Row],[REVESTIMIENTO INTERIOR ZONA SECA]]=AW$2,100%,AVANCE[[#This Row],[REVESTIMIENTO INTERIOR ZONA SECA]])</f>
        <v>0</v>
      </c>
      <c r="CK115" s="3">
        <f>+IF(AVANCE[[#This Row],[REVESTIMIENTO INTERIOR ZONAS HUMEDAS]]=AX$2,100%,AVANCE[[#This Row],[REVESTIMIENTO INTERIOR ZONAS HUMEDAS]])</f>
        <v>0</v>
      </c>
      <c r="CL115" s="3">
        <f>+IF(AVANCE[[#This Row],[MEMBRANA CIELO]]=AY$2,100%,AVANCE[[#This Row],[MEMBRANA CIELO]])</f>
        <v>0</v>
      </c>
      <c r="CM115" s="3">
        <f>+IF(AVANCE[[#This Row],[LIMPIEZA FINAL]]=AZ$2,100%,AVANCE[[#This Row],[LIMPIEZA FINAL]])</f>
        <v>0</v>
      </c>
      <c r="CN115" s="3">
        <f>+IF(AVANCE[[#This Row],[PUERTAS DORMITORIO]]=BA$2,100%,AVANCE[[#This Row],[PUERTAS DORMITORIO]])</f>
        <v>0</v>
      </c>
      <c r="CO115" s="3">
        <f>+IF(AVANCE[[#This Row],[REVESTIMIENTO INTERIOR BANO]]=BB$2,100%,AVANCE[[#This Row],[REVESTIMIENTO INTERIOR BANO]])</f>
        <v>0</v>
      </c>
      <c r="CP115" s="3">
        <f>+IF(AVANCE[[#This Row],[MUEBLE LAVAPLATOS]]=BC$2,100%,AVANCE[[#This Row],[MUEBLE LAVAPLATOS]])</f>
        <v>0</v>
      </c>
      <c r="CQ115" s="3">
        <f>+IF(AVANCE[[#This Row],[IMPERMEABILIZACION BANO - COCINA LOGIA]]=BD$2,100%,AVANCE[[#This Row],[IMPERMEABILIZACION BANO - COCINA LOGIA]])</f>
        <v>0</v>
      </c>
      <c r="CR115" s="40">
        <f ca="1">+IF(AVANCE[[#This Row],[ESTADO MODULO]]="PENDIENTE",(TODAY()-AVANCE[[#This Row],[FECHA TERMINO  PLANIFICADO]]),0)</f>
        <v>0</v>
      </c>
      <c r="CS115" s="42" t="str" cm="1">
        <f t="array" ref="CS115">_xlfn.TEXTJOIN(" | ",TRUE,IF(SUMPRODUCT((BF115:CQ115&lt;1)*(PARTIDAS!$I$2:$AT$2="OBRA GRUESA"))&gt;0,"OBRA GRUESA: "&amp;_xlfn.TEXTJOIN(", ",TRUE,IF((BF115:CQ115&lt;1)*(PARTIDAS!$I$2:$AT$2="OBRA GRUESA"),PARTIDAS!$I$1:$AT$1,"")),""),IF(SUMPRODUCT((BF115:CQ115&lt;1)*(PARTIDAS!$I$2:$AT$2="SANITARIOS"))&gt;0,"SANITARIOS: "&amp;_xlfn.TEXTJOIN(", ",TRUE,IF((BF115:CQ115&lt;1)*(PARTIDAS!$I$2:$AT$2="SANITARIOS"),PARTIDAS!$I$1:$AT$1,"")),""),IF(SUMPRODUCT((BF115:CQ115&lt;1)*(PARTIDAS!$I$2:$AT$2="ELÉCTRICO"))&gt;0,"ELÉCTRICO: "&amp;_xlfn.TEXTJOIN(", ",TRUE,IF((BF115:CQ115&lt;1)*(PARTIDAS!$I$2:$AT$2="ELÉCTRICO"),PARTIDAS!$I$1:$AT$1,"")),""),IF(SUMPRODUCT((BF115:CQ115&lt;1)*(PARTIDAS!$I$2:$AT$2="TERMINACIONES"))&gt;0,"TERMINACIONES: "&amp;_xlfn.TEXTJOIN(", ",TRUE,IF((BF115:CQ115&lt;1)*(PARTIDAS!$I$2:$AT$2="TERMINACIONES"),PARTIDAS!$I$1:$AT$1,"")),""))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5" s="45" t="str" cm="1">
        <f t="array" ref="CT115">_xlfn.TEXTJOIN(", ",TRUE,IF(SUMPRODUCT((BF115:CQ115&lt;1)*(PARTIDAS!$I$2:$AT$2="OBRA GRUESA"))&gt;0,"OBRA GRUESA",""),IF(SUMPRODUCT((BF115:CQ115&lt;1)*(PARTIDAS!$I$2:$AT$2="SANITARIOS"))&gt;0,"SANITARIOS",""),IF(SUMPRODUCT((BF115:CQ115&lt;1)*(PARTIDAS!$I$2:$AT$2="ELÉCTRICO"))&gt;0,"ELÉCTRICO",""),IF(SUMPRODUCT((BF115:CQ115&lt;1)*(PARTIDAS!$I$2:$AT$2="TERMINACIONES"))&gt;0,"TERMINACIONES",""))</f>
        <v>OBRA GRUESA, SANITARIOS, ELÉCTRICO, TERMINACIONES</v>
      </c>
      <c r="CU115" s="46" cm="1">
        <f t="array" ref="CU115">SUMPRODUCT(--(BF115:CQ115&lt;1))</f>
        <v>38</v>
      </c>
    </row>
    <row r="116" spans="1:99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46181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 t="str">
        <f>+IF(AVANCE[[#This Row],[% AVANCE]]=100%,"MODULO TERMINADO",IF(AVANCE[[#This Row],[FECHA INICIO REAL]]="","MODULO NO INICIADO","PENDIENTE"))</f>
        <v>MODULO NO INICIADO</v>
      </c>
      <c r="BF116" s="3">
        <f>+IF(AVANCE[[#This Row],[VENTANAS]]=8.10810810810811%,100%,AVANCE[[#This Row],[VENTANAS]])</f>
        <v>0</v>
      </c>
      <c r="BG116" s="3">
        <f>+IF(AVANCE[[#This Row],[PISO]]=N$2,100%,AVANCE[[#This Row],[PISO]])</f>
        <v>0</v>
      </c>
      <c r="BH116" s="3">
        <f>+IF(AVANCE[[#This Row],[TABIQUES]]=O$2,100%,AVANCE[[#This Row],[TABIQUES]])</f>
        <v>0</v>
      </c>
      <c r="BI116" s="3">
        <f>+IF(AVANCE[[#This Row],[MUROS]]=P$2,100%,AVANCE[[#This Row],[MUROS]])</f>
        <v>0</v>
      </c>
      <c r="BJ116" s="3">
        <f>+IF(AVANCE[[#This Row],[CIELO]]=Q$2,100%,AVANCE[[#This Row],[CIELO]])</f>
        <v>0</v>
      </c>
      <c r="BK116" s="3">
        <f>+IF(AVANCE[[#This Row],[BALCÓN]]=R$2,100%,AVANCE[[#This Row],[BALCÓN]])</f>
        <v>0</v>
      </c>
      <c r="BL116" s="3">
        <f>+IF(AVANCE[[#This Row],[RED ALCANTARILLADO]]=U$2,100%,AVANCE[[#This Row],[RED ALCANTARILLADO]])</f>
        <v>0</v>
      </c>
      <c r="BM116" s="3">
        <f>+IF(AVANCE[[#This Row],[RED DE AGUA]]=V$2,100%,AVANCE[[#This Row],[RED DE AGUA]])</f>
        <v>0</v>
      </c>
      <c r="BN116" s="3">
        <f>+IF(AVANCE[[#This Row],[VENTILACIONES]]=W$2,100%,AVANCE[[#This Row],[VENTILACIONES]])</f>
        <v>0</v>
      </c>
      <c r="BO116" s="3">
        <f>+IF(AVANCE[[#This Row],[TINA]]=X$2,100%,AVANCE[[#This Row],[TINA]])</f>
        <v>0</v>
      </c>
      <c r="BP116" s="3">
        <f>+IF(AVANCE[[#This Row],[WC]]=Y$2,100%,AVANCE[[#This Row],[WC]])</f>
        <v>0</v>
      </c>
      <c r="BQ116" s="3">
        <f>+IF(AVANCE[[#This Row],[LAVAMANOS / LAVAPLATOS / LAVADERO]]=Z$2,100%,AVANCE[[#This Row],[LAVAMANOS / LAVAPLATOS / LAVADERO]])</f>
        <v>0</v>
      </c>
      <c r="BR116" s="3">
        <f>+IF(AVANCE[[#This Row],[CANALIZACIÓN]]=AC$2,100%,AVANCE[[#This Row],[CANALIZACIÓN]])</f>
        <v>0</v>
      </c>
      <c r="BS116" s="3">
        <f>+IF(AVANCE[[#This Row],[CABLEADO]]=AD$2,100%,AVANCE[[#This Row],[CABLEADO]])</f>
        <v>0</v>
      </c>
      <c r="BT116" s="3">
        <f>+IF(AVANCE[[#This Row],[ARTEFACTOS]]=AE$2,100%,AVANCE[[#This Row],[ARTEFACTOS]])</f>
        <v>0</v>
      </c>
      <c r="BU116" s="3">
        <f>+IF(AVANCE[[#This Row],[TABLERO]]=AF$2,100%,AVANCE[[#This Row],[TABLERO]])</f>
        <v>0</v>
      </c>
      <c r="BV116" s="3">
        <f>+IF(AVANCE[[#This Row],[CAJA PAU]]=AG$2,100%,AVANCE[[#This Row],[CAJA PAU]])</f>
        <v>0</v>
      </c>
      <c r="BW116" s="3">
        <f>+IF(AVANCE[[#This Row],[INSTALACION VINILICO]]=AJ$2,100%,AVANCE[[#This Row],[INSTALACION VINILICO]])</f>
        <v>0</v>
      </c>
      <c r="BX116" s="3">
        <f>+IF(AVANCE[[#This Row],[OSB CUBIERTA]]=AK$2,100%,AVANCE[[#This Row],[OSB CUBIERTA]])</f>
        <v>0</v>
      </c>
      <c r="BY116" s="3">
        <f>+IF(AVANCE[[#This Row],[BARANDA BALCON]]=AL$2,100%,AVANCE[[#This Row],[BARANDA BALCON]])</f>
        <v>0</v>
      </c>
      <c r="BZ116" s="3">
        <f>+IF(AVANCE[[#This Row],[OSB EXTERIOR]]=AM$2,100%,AVANCE[[#This Row],[OSB EXTERIOR]])</f>
        <v>0</v>
      </c>
      <c r="CA116" s="3">
        <f>+IF(AVANCE[[#This Row],[SMART PANEL]]=AN$2,100%,AVANCE[[#This Row],[SMART PANEL]])</f>
        <v>0</v>
      </c>
      <c r="CB116" s="3">
        <f>+IF(AVANCE[[#This Row],[PINTURA EXTERIOR]]=AO$2,100%,AVANCE[[#This Row],[PINTURA EXTERIOR]])</f>
        <v>0</v>
      </c>
      <c r="CC116" s="3">
        <f>+IF(AVANCE[[#This Row],[ZOCALOS LOGIA]]=AP$2,100%,AVANCE[[#This Row],[ZOCALOS LOGIA]])</f>
        <v>0</v>
      </c>
      <c r="CD116" s="3">
        <f>+IF(AVANCE[[#This Row],[MOLDURAS]]=AQ$2,100%,AVANCE[[#This Row],[MOLDURAS]])</f>
        <v>0</v>
      </c>
      <c r="CE116" s="3">
        <f>+IF(AVANCE[[#This Row],[PILASTREO]]=AR$2,100%,AVANCE[[#This Row],[PILASTREO]])</f>
        <v>0</v>
      </c>
      <c r="CF116" s="3">
        <f>+IF(AVANCE[[#This Row],[CELOSIAS]]=AS$2,100%,AVANCE[[#This Row],[CELOSIAS]])</f>
        <v>0</v>
      </c>
      <c r="CG116" s="3">
        <f>+IF(AVANCE[[#This Row],[VENTANAS]]=AT$2,100%,AVANCE[[#This Row],[VENTANAS]])</f>
        <v>0</v>
      </c>
      <c r="CH116" s="3">
        <f>+IF(AVANCE[[#This Row],[PUERTAS ACCESO - LOGIA - BANO]]=AU$2,100%,AVANCE[[#This Row],[PUERTAS ACCESO - LOGIA - BANO]])</f>
        <v>0</v>
      </c>
      <c r="CI116" s="3">
        <f>+IF(AVANCE[[#This Row],[CERRADURAS]]=AV$2,100%,AVANCE[[#This Row],[CERRADURAS]])</f>
        <v>0</v>
      </c>
      <c r="CJ116" s="3">
        <f>+IF(AVANCE[[#This Row],[REVESTIMIENTO INTERIOR ZONA SECA]]=AW$2,100%,AVANCE[[#This Row],[REVESTIMIENTO INTERIOR ZONA SECA]])</f>
        <v>0</v>
      </c>
      <c r="CK116" s="3">
        <f>+IF(AVANCE[[#This Row],[REVESTIMIENTO INTERIOR ZONAS HUMEDAS]]=AX$2,100%,AVANCE[[#This Row],[REVESTIMIENTO INTERIOR ZONAS HUMEDAS]])</f>
        <v>0</v>
      </c>
      <c r="CL116" s="3">
        <f>+IF(AVANCE[[#This Row],[MEMBRANA CIELO]]=AY$2,100%,AVANCE[[#This Row],[MEMBRANA CIELO]])</f>
        <v>0</v>
      </c>
      <c r="CM116" s="3">
        <f>+IF(AVANCE[[#This Row],[LIMPIEZA FINAL]]=AZ$2,100%,AVANCE[[#This Row],[LIMPIEZA FINAL]])</f>
        <v>0</v>
      </c>
      <c r="CN116" s="3">
        <f>+IF(AVANCE[[#This Row],[PUERTAS DORMITORIO]]=BA$2,100%,AVANCE[[#This Row],[PUERTAS DORMITORIO]])</f>
        <v>0</v>
      </c>
      <c r="CO116" s="3">
        <f>+IF(AVANCE[[#This Row],[REVESTIMIENTO INTERIOR BANO]]=BB$2,100%,AVANCE[[#This Row],[REVESTIMIENTO INTERIOR BANO]])</f>
        <v>0</v>
      </c>
      <c r="CP116" s="3">
        <f>+IF(AVANCE[[#This Row],[MUEBLE LAVAPLATOS]]=BC$2,100%,AVANCE[[#This Row],[MUEBLE LAVAPLATOS]])</f>
        <v>0</v>
      </c>
      <c r="CQ116" s="3">
        <f>+IF(AVANCE[[#This Row],[IMPERMEABILIZACION BANO - COCINA LOGIA]]=BD$2,100%,AVANCE[[#This Row],[IMPERMEABILIZACION BANO - COCINA LOGIA]])</f>
        <v>0</v>
      </c>
      <c r="CR116" s="40">
        <f ca="1">+IF(AVANCE[[#This Row],[ESTADO MODULO]]="PENDIENTE",(TODAY()-AVANCE[[#This Row],[FECHA TERMINO  PLANIFICADO]]),0)</f>
        <v>0</v>
      </c>
      <c r="CS116" s="42" t="str" cm="1">
        <f t="array" ref="CS116">_xlfn.TEXTJOIN(" | ",TRUE,IF(SUMPRODUCT((BF116:CQ116&lt;1)*(PARTIDAS!$I$2:$AT$2="OBRA GRUESA"))&gt;0,"OBRA GRUESA: "&amp;_xlfn.TEXTJOIN(", ",TRUE,IF((BF116:CQ116&lt;1)*(PARTIDAS!$I$2:$AT$2="OBRA GRUESA"),PARTIDAS!$I$1:$AT$1,"")),""),IF(SUMPRODUCT((BF116:CQ116&lt;1)*(PARTIDAS!$I$2:$AT$2="SANITARIOS"))&gt;0,"SANITARIOS: "&amp;_xlfn.TEXTJOIN(", ",TRUE,IF((BF116:CQ116&lt;1)*(PARTIDAS!$I$2:$AT$2="SANITARIOS"),PARTIDAS!$I$1:$AT$1,"")),""),IF(SUMPRODUCT((BF116:CQ116&lt;1)*(PARTIDAS!$I$2:$AT$2="ELÉCTRICO"))&gt;0,"ELÉCTRICO: "&amp;_xlfn.TEXTJOIN(", ",TRUE,IF((BF116:CQ116&lt;1)*(PARTIDAS!$I$2:$AT$2="ELÉCTRICO"),PARTIDAS!$I$1:$AT$1,"")),""),IF(SUMPRODUCT((BF116:CQ116&lt;1)*(PARTIDAS!$I$2:$AT$2="TERMINACIONES"))&gt;0,"TERMINACIONES: "&amp;_xlfn.TEXTJOIN(", ",TRUE,IF((BF116:CQ116&lt;1)*(PARTIDAS!$I$2:$AT$2="TERMINACIONES"),PARTIDAS!$I$1:$AT$1,"")),""))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6" s="45" t="str" cm="1">
        <f t="array" ref="CT116">_xlfn.TEXTJOIN(", ",TRUE,IF(SUMPRODUCT((BF116:CQ116&lt;1)*(PARTIDAS!$I$2:$AT$2="OBRA GRUESA"))&gt;0,"OBRA GRUESA",""),IF(SUMPRODUCT((BF116:CQ116&lt;1)*(PARTIDAS!$I$2:$AT$2="SANITARIOS"))&gt;0,"SANITARIOS",""),IF(SUMPRODUCT((BF116:CQ116&lt;1)*(PARTIDAS!$I$2:$AT$2="ELÉCTRICO"))&gt;0,"ELÉCTRICO",""),IF(SUMPRODUCT((BF116:CQ116&lt;1)*(PARTIDAS!$I$2:$AT$2="TERMINACIONES"))&gt;0,"TERMINACIONES",""))</f>
        <v>OBRA GRUESA, SANITARIOS, ELÉCTRICO, TERMINACIONES</v>
      </c>
      <c r="CU116" s="46" cm="1">
        <f t="array" ref="CU116">SUMPRODUCT(--(BF116:CQ116&lt;1))</f>
        <v>38</v>
      </c>
    </row>
    <row r="117" spans="1:99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46181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 t="str">
        <f>+IF(AVANCE[[#This Row],[% AVANCE]]=100%,"MODULO TERMINADO",IF(AVANCE[[#This Row],[FECHA INICIO REAL]]="","MODULO NO INICIADO","PENDIENTE"))</f>
        <v>MODULO NO INICIADO</v>
      </c>
      <c r="BF117" s="3">
        <f>+IF(AVANCE[[#This Row],[VENTANAS]]=8.10810810810811%,100%,AVANCE[[#This Row],[VENTANAS]])</f>
        <v>0</v>
      </c>
      <c r="BG117" s="3">
        <f>+IF(AVANCE[[#This Row],[PISO]]=N$2,100%,AVANCE[[#This Row],[PISO]])</f>
        <v>0</v>
      </c>
      <c r="BH117" s="3">
        <f>+IF(AVANCE[[#This Row],[TABIQUES]]=O$2,100%,AVANCE[[#This Row],[TABIQUES]])</f>
        <v>0</v>
      </c>
      <c r="BI117" s="3">
        <f>+IF(AVANCE[[#This Row],[MUROS]]=P$2,100%,AVANCE[[#This Row],[MUROS]])</f>
        <v>0</v>
      </c>
      <c r="BJ117" s="3">
        <f>+IF(AVANCE[[#This Row],[CIELO]]=Q$2,100%,AVANCE[[#This Row],[CIELO]])</f>
        <v>0</v>
      </c>
      <c r="BK117" s="3">
        <f>+IF(AVANCE[[#This Row],[BALCÓN]]=R$2,100%,AVANCE[[#This Row],[BALCÓN]])</f>
        <v>0</v>
      </c>
      <c r="BL117" s="3">
        <f>+IF(AVANCE[[#This Row],[RED ALCANTARILLADO]]=U$2,100%,AVANCE[[#This Row],[RED ALCANTARILLADO]])</f>
        <v>0</v>
      </c>
      <c r="BM117" s="3">
        <f>+IF(AVANCE[[#This Row],[RED DE AGUA]]=V$2,100%,AVANCE[[#This Row],[RED DE AGUA]])</f>
        <v>0</v>
      </c>
      <c r="BN117" s="3">
        <f>+IF(AVANCE[[#This Row],[VENTILACIONES]]=W$2,100%,AVANCE[[#This Row],[VENTILACIONES]])</f>
        <v>0</v>
      </c>
      <c r="BO117" s="3">
        <f>+IF(AVANCE[[#This Row],[TINA]]=X$2,100%,AVANCE[[#This Row],[TINA]])</f>
        <v>0</v>
      </c>
      <c r="BP117" s="3">
        <f>+IF(AVANCE[[#This Row],[WC]]=Y$2,100%,AVANCE[[#This Row],[WC]])</f>
        <v>0</v>
      </c>
      <c r="BQ117" s="3">
        <f>+IF(AVANCE[[#This Row],[LAVAMANOS / LAVAPLATOS / LAVADERO]]=Z$2,100%,AVANCE[[#This Row],[LAVAMANOS / LAVAPLATOS / LAVADERO]])</f>
        <v>0</v>
      </c>
      <c r="BR117" s="3">
        <f>+IF(AVANCE[[#This Row],[CANALIZACIÓN]]=AC$2,100%,AVANCE[[#This Row],[CANALIZACIÓN]])</f>
        <v>0</v>
      </c>
      <c r="BS117" s="3">
        <f>+IF(AVANCE[[#This Row],[CABLEADO]]=AD$2,100%,AVANCE[[#This Row],[CABLEADO]])</f>
        <v>0</v>
      </c>
      <c r="BT117" s="3">
        <f>+IF(AVANCE[[#This Row],[ARTEFACTOS]]=AE$2,100%,AVANCE[[#This Row],[ARTEFACTOS]])</f>
        <v>0</v>
      </c>
      <c r="BU117" s="3">
        <f>+IF(AVANCE[[#This Row],[TABLERO]]=AF$2,100%,AVANCE[[#This Row],[TABLERO]])</f>
        <v>0</v>
      </c>
      <c r="BV117" s="3">
        <f>+IF(AVANCE[[#This Row],[CAJA PAU]]=AG$2,100%,AVANCE[[#This Row],[CAJA PAU]])</f>
        <v>0</v>
      </c>
      <c r="BW117" s="3">
        <f>+IF(AVANCE[[#This Row],[INSTALACION VINILICO]]=AJ$2,100%,AVANCE[[#This Row],[INSTALACION VINILICO]])</f>
        <v>0</v>
      </c>
      <c r="BX117" s="3">
        <f>+IF(AVANCE[[#This Row],[OSB CUBIERTA]]=AK$2,100%,AVANCE[[#This Row],[OSB CUBIERTA]])</f>
        <v>0</v>
      </c>
      <c r="BY117" s="3">
        <f>+IF(AVANCE[[#This Row],[BARANDA BALCON]]=AL$2,100%,AVANCE[[#This Row],[BARANDA BALCON]])</f>
        <v>0</v>
      </c>
      <c r="BZ117" s="3">
        <f>+IF(AVANCE[[#This Row],[OSB EXTERIOR]]=AM$2,100%,AVANCE[[#This Row],[OSB EXTERIOR]])</f>
        <v>0</v>
      </c>
      <c r="CA117" s="3">
        <f>+IF(AVANCE[[#This Row],[SMART PANEL]]=AN$2,100%,AVANCE[[#This Row],[SMART PANEL]])</f>
        <v>0</v>
      </c>
      <c r="CB117" s="3">
        <f>+IF(AVANCE[[#This Row],[PINTURA EXTERIOR]]=AO$2,100%,AVANCE[[#This Row],[PINTURA EXTERIOR]])</f>
        <v>0</v>
      </c>
      <c r="CC117" s="3">
        <f>+IF(AVANCE[[#This Row],[ZOCALOS LOGIA]]=AP$2,100%,AVANCE[[#This Row],[ZOCALOS LOGIA]])</f>
        <v>0</v>
      </c>
      <c r="CD117" s="3">
        <f>+IF(AVANCE[[#This Row],[MOLDURAS]]=AQ$2,100%,AVANCE[[#This Row],[MOLDURAS]])</f>
        <v>0</v>
      </c>
      <c r="CE117" s="3">
        <f>+IF(AVANCE[[#This Row],[PILASTREO]]=AR$2,100%,AVANCE[[#This Row],[PILASTREO]])</f>
        <v>0</v>
      </c>
      <c r="CF117" s="3">
        <f>+IF(AVANCE[[#This Row],[CELOSIAS]]=AS$2,100%,AVANCE[[#This Row],[CELOSIAS]])</f>
        <v>0</v>
      </c>
      <c r="CG117" s="3">
        <f>+IF(AVANCE[[#This Row],[VENTANAS]]=AT$2,100%,AVANCE[[#This Row],[VENTANAS]])</f>
        <v>0</v>
      </c>
      <c r="CH117" s="3">
        <f>+IF(AVANCE[[#This Row],[PUERTAS ACCESO - LOGIA - BANO]]=AU$2,100%,AVANCE[[#This Row],[PUERTAS ACCESO - LOGIA - BANO]])</f>
        <v>0</v>
      </c>
      <c r="CI117" s="3">
        <f>+IF(AVANCE[[#This Row],[CERRADURAS]]=AV$2,100%,AVANCE[[#This Row],[CERRADURAS]])</f>
        <v>0</v>
      </c>
      <c r="CJ117" s="3">
        <f>+IF(AVANCE[[#This Row],[REVESTIMIENTO INTERIOR ZONA SECA]]=AW$2,100%,AVANCE[[#This Row],[REVESTIMIENTO INTERIOR ZONA SECA]])</f>
        <v>0</v>
      </c>
      <c r="CK117" s="3">
        <f>+IF(AVANCE[[#This Row],[REVESTIMIENTO INTERIOR ZONAS HUMEDAS]]=AX$2,100%,AVANCE[[#This Row],[REVESTIMIENTO INTERIOR ZONAS HUMEDAS]])</f>
        <v>0</v>
      </c>
      <c r="CL117" s="3">
        <f>+IF(AVANCE[[#This Row],[MEMBRANA CIELO]]=AY$2,100%,AVANCE[[#This Row],[MEMBRANA CIELO]])</f>
        <v>0</v>
      </c>
      <c r="CM117" s="3">
        <f>+IF(AVANCE[[#This Row],[LIMPIEZA FINAL]]=AZ$2,100%,AVANCE[[#This Row],[LIMPIEZA FINAL]])</f>
        <v>0</v>
      </c>
      <c r="CN117" s="3">
        <f>+IF(AVANCE[[#This Row],[PUERTAS DORMITORIO]]=BA$2,100%,AVANCE[[#This Row],[PUERTAS DORMITORIO]])</f>
        <v>0</v>
      </c>
      <c r="CO117" s="3">
        <f>+IF(AVANCE[[#This Row],[REVESTIMIENTO INTERIOR BANO]]=BB$2,100%,AVANCE[[#This Row],[REVESTIMIENTO INTERIOR BANO]])</f>
        <v>0</v>
      </c>
      <c r="CP117" s="3">
        <f>+IF(AVANCE[[#This Row],[MUEBLE LAVAPLATOS]]=BC$2,100%,AVANCE[[#This Row],[MUEBLE LAVAPLATOS]])</f>
        <v>0</v>
      </c>
      <c r="CQ117" s="3">
        <f>+IF(AVANCE[[#This Row],[IMPERMEABILIZACION BANO - COCINA LOGIA]]=BD$2,100%,AVANCE[[#This Row],[IMPERMEABILIZACION BANO - COCINA LOGIA]])</f>
        <v>0</v>
      </c>
      <c r="CR117" s="40">
        <f ca="1">+IF(AVANCE[[#This Row],[ESTADO MODULO]]="PENDIENTE",(TODAY()-AVANCE[[#This Row],[FECHA TERMINO  PLANIFICADO]]),0)</f>
        <v>0</v>
      </c>
      <c r="CS117" s="42" t="str" cm="1">
        <f t="array" ref="CS117">_xlfn.TEXTJOIN(" | ",TRUE,IF(SUMPRODUCT((BF117:CQ117&lt;1)*(PARTIDAS!$I$2:$AT$2="OBRA GRUESA"))&gt;0,"OBRA GRUESA: "&amp;_xlfn.TEXTJOIN(", ",TRUE,IF((BF117:CQ117&lt;1)*(PARTIDAS!$I$2:$AT$2="OBRA GRUESA"),PARTIDAS!$I$1:$AT$1,"")),""),IF(SUMPRODUCT((BF117:CQ117&lt;1)*(PARTIDAS!$I$2:$AT$2="SANITARIOS"))&gt;0,"SANITARIOS: "&amp;_xlfn.TEXTJOIN(", ",TRUE,IF((BF117:CQ117&lt;1)*(PARTIDAS!$I$2:$AT$2="SANITARIOS"),PARTIDAS!$I$1:$AT$1,"")),""),IF(SUMPRODUCT((BF117:CQ117&lt;1)*(PARTIDAS!$I$2:$AT$2="ELÉCTRICO"))&gt;0,"ELÉCTRICO: "&amp;_xlfn.TEXTJOIN(", ",TRUE,IF((BF117:CQ117&lt;1)*(PARTIDAS!$I$2:$AT$2="ELÉCTRICO"),PARTIDAS!$I$1:$AT$1,"")),""),IF(SUMPRODUCT((BF117:CQ117&lt;1)*(PARTIDAS!$I$2:$AT$2="TERMINACIONES"))&gt;0,"TERMINACIONES: "&amp;_xlfn.TEXTJOIN(", ",TRUE,IF((BF117:CQ117&lt;1)*(PARTIDAS!$I$2:$AT$2="TERMINACIONES"),PARTIDAS!$I$1:$AT$1,"")),""))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7" s="45" t="str" cm="1">
        <f t="array" ref="CT117">_xlfn.TEXTJOIN(", ",TRUE,IF(SUMPRODUCT((BF117:CQ117&lt;1)*(PARTIDAS!$I$2:$AT$2="OBRA GRUESA"))&gt;0,"OBRA GRUESA",""),IF(SUMPRODUCT((BF117:CQ117&lt;1)*(PARTIDAS!$I$2:$AT$2="SANITARIOS"))&gt;0,"SANITARIOS",""),IF(SUMPRODUCT((BF117:CQ117&lt;1)*(PARTIDAS!$I$2:$AT$2="ELÉCTRICO"))&gt;0,"ELÉCTRICO",""),IF(SUMPRODUCT((BF117:CQ117&lt;1)*(PARTIDAS!$I$2:$AT$2="TERMINACIONES"))&gt;0,"TERMINACIONES",""))</f>
        <v>OBRA GRUESA, SANITARIOS, ELÉCTRICO, TERMINACIONES</v>
      </c>
      <c r="CU117" s="46" cm="1">
        <f t="array" ref="CU117">SUMPRODUCT(--(BF117:CQ117&lt;1))</f>
        <v>38</v>
      </c>
    </row>
    <row r="118" spans="1:99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46181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 t="str">
        <f>+IF(AVANCE[[#This Row],[% AVANCE]]=100%,"MODULO TERMINADO",IF(AVANCE[[#This Row],[FECHA INICIO REAL]]="","MODULO NO INICIADO","PENDIENTE"))</f>
        <v>MODULO NO INICIADO</v>
      </c>
      <c r="BF118" s="3">
        <f>+IF(AVANCE[[#This Row],[VENTANAS]]=8.10810810810811%,100%,AVANCE[[#This Row],[VENTANAS]])</f>
        <v>0</v>
      </c>
      <c r="BG118" s="3">
        <f>+IF(AVANCE[[#This Row],[PISO]]=N$2,100%,AVANCE[[#This Row],[PISO]])</f>
        <v>0</v>
      </c>
      <c r="BH118" s="3">
        <f>+IF(AVANCE[[#This Row],[TABIQUES]]=O$2,100%,AVANCE[[#This Row],[TABIQUES]])</f>
        <v>0</v>
      </c>
      <c r="BI118" s="3">
        <f>+IF(AVANCE[[#This Row],[MUROS]]=P$2,100%,AVANCE[[#This Row],[MUROS]])</f>
        <v>0</v>
      </c>
      <c r="BJ118" s="3">
        <f>+IF(AVANCE[[#This Row],[CIELO]]=Q$2,100%,AVANCE[[#This Row],[CIELO]])</f>
        <v>0</v>
      </c>
      <c r="BK118" s="3">
        <f>+IF(AVANCE[[#This Row],[BALCÓN]]=R$2,100%,AVANCE[[#This Row],[BALCÓN]])</f>
        <v>0</v>
      </c>
      <c r="BL118" s="3">
        <f>+IF(AVANCE[[#This Row],[RED ALCANTARILLADO]]=U$2,100%,AVANCE[[#This Row],[RED ALCANTARILLADO]])</f>
        <v>0</v>
      </c>
      <c r="BM118" s="3">
        <f>+IF(AVANCE[[#This Row],[RED DE AGUA]]=V$2,100%,AVANCE[[#This Row],[RED DE AGUA]])</f>
        <v>0</v>
      </c>
      <c r="BN118" s="3">
        <f>+IF(AVANCE[[#This Row],[VENTILACIONES]]=W$2,100%,AVANCE[[#This Row],[VENTILACIONES]])</f>
        <v>0</v>
      </c>
      <c r="BO118" s="3">
        <f>+IF(AVANCE[[#This Row],[TINA]]=X$2,100%,AVANCE[[#This Row],[TINA]])</f>
        <v>0</v>
      </c>
      <c r="BP118" s="3">
        <f>+IF(AVANCE[[#This Row],[WC]]=Y$2,100%,AVANCE[[#This Row],[WC]])</f>
        <v>0</v>
      </c>
      <c r="BQ118" s="3">
        <f>+IF(AVANCE[[#This Row],[LAVAMANOS / LAVAPLATOS / LAVADERO]]=Z$2,100%,AVANCE[[#This Row],[LAVAMANOS / LAVAPLATOS / LAVADERO]])</f>
        <v>0</v>
      </c>
      <c r="BR118" s="3">
        <f>+IF(AVANCE[[#This Row],[CANALIZACIÓN]]=AC$2,100%,AVANCE[[#This Row],[CANALIZACIÓN]])</f>
        <v>0</v>
      </c>
      <c r="BS118" s="3">
        <f>+IF(AVANCE[[#This Row],[CABLEADO]]=AD$2,100%,AVANCE[[#This Row],[CABLEADO]])</f>
        <v>0</v>
      </c>
      <c r="BT118" s="3">
        <f>+IF(AVANCE[[#This Row],[ARTEFACTOS]]=AE$2,100%,AVANCE[[#This Row],[ARTEFACTOS]])</f>
        <v>0</v>
      </c>
      <c r="BU118" s="3">
        <f>+IF(AVANCE[[#This Row],[TABLERO]]=AF$2,100%,AVANCE[[#This Row],[TABLERO]])</f>
        <v>0</v>
      </c>
      <c r="BV118" s="3">
        <f>+IF(AVANCE[[#This Row],[CAJA PAU]]=AG$2,100%,AVANCE[[#This Row],[CAJA PAU]])</f>
        <v>0</v>
      </c>
      <c r="BW118" s="3">
        <f>+IF(AVANCE[[#This Row],[INSTALACION VINILICO]]=AJ$2,100%,AVANCE[[#This Row],[INSTALACION VINILICO]])</f>
        <v>0</v>
      </c>
      <c r="BX118" s="3">
        <f>+IF(AVANCE[[#This Row],[OSB CUBIERTA]]=AK$2,100%,AVANCE[[#This Row],[OSB CUBIERTA]])</f>
        <v>0</v>
      </c>
      <c r="BY118" s="3">
        <f>+IF(AVANCE[[#This Row],[BARANDA BALCON]]=AL$2,100%,AVANCE[[#This Row],[BARANDA BALCON]])</f>
        <v>0</v>
      </c>
      <c r="BZ118" s="3">
        <f>+IF(AVANCE[[#This Row],[OSB EXTERIOR]]=AM$2,100%,AVANCE[[#This Row],[OSB EXTERIOR]])</f>
        <v>0</v>
      </c>
      <c r="CA118" s="3">
        <f>+IF(AVANCE[[#This Row],[SMART PANEL]]=AN$2,100%,AVANCE[[#This Row],[SMART PANEL]])</f>
        <v>0</v>
      </c>
      <c r="CB118" s="3">
        <f>+IF(AVANCE[[#This Row],[PINTURA EXTERIOR]]=AO$2,100%,AVANCE[[#This Row],[PINTURA EXTERIOR]])</f>
        <v>0</v>
      </c>
      <c r="CC118" s="3">
        <f>+IF(AVANCE[[#This Row],[ZOCALOS LOGIA]]=AP$2,100%,AVANCE[[#This Row],[ZOCALOS LOGIA]])</f>
        <v>0</v>
      </c>
      <c r="CD118" s="3">
        <f>+IF(AVANCE[[#This Row],[MOLDURAS]]=AQ$2,100%,AVANCE[[#This Row],[MOLDURAS]])</f>
        <v>0</v>
      </c>
      <c r="CE118" s="3">
        <f>+IF(AVANCE[[#This Row],[PILASTREO]]=AR$2,100%,AVANCE[[#This Row],[PILASTREO]])</f>
        <v>0</v>
      </c>
      <c r="CF118" s="3">
        <f>+IF(AVANCE[[#This Row],[CELOSIAS]]=AS$2,100%,AVANCE[[#This Row],[CELOSIAS]])</f>
        <v>0</v>
      </c>
      <c r="CG118" s="3">
        <f>+IF(AVANCE[[#This Row],[VENTANAS]]=AT$2,100%,AVANCE[[#This Row],[VENTANAS]])</f>
        <v>0</v>
      </c>
      <c r="CH118" s="3">
        <f>+IF(AVANCE[[#This Row],[PUERTAS ACCESO - LOGIA - BANO]]=AU$2,100%,AVANCE[[#This Row],[PUERTAS ACCESO - LOGIA - BANO]])</f>
        <v>0</v>
      </c>
      <c r="CI118" s="3">
        <f>+IF(AVANCE[[#This Row],[CERRADURAS]]=AV$2,100%,AVANCE[[#This Row],[CERRADURAS]])</f>
        <v>0</v>
      </c>
      <c r="CJ118" s="3">
        <f>+IF(AVANCE[[#This Row],[REVESTIMIENTO INTERIOR ZONA SECA]]=AW$2,100%,AVANCE[[#This Row],[REVESTIMIENTO INTERIOR ZONA SECA]])</f>
        <v>0</v>
      </c>
      <c r="CK118" s="3">
        <f>+IF(AVANCE[[#This Row],[REVESTIMIENTO INTERIOR ZONAS HUMEDAS]]=AX$2,100%,AVANCE[[#This Row],[REVESTIMIENTO INTERIOR ZONAS HUMEDAS]])</f>
        <v>0</v>
      </c>
      <c r="CL118" s="3">
        <f>+IF(AVANCE[[#This Row],[MEMBRANA CIELO]]=AY$2,100%,AVANCE[[#This Row],[MEMBRANA CIELO]])</f>
        <v>0</v>
      </c>
      <c r="CM118" s="3">
        <f>+IF(AVANCE[[#This Row],[LIMPIEZA FINAL]]=AZ$2,100%,AVANCE[[#This Row],[LIMPIEZA FINAL]])</f>
        <v>0</v>
      </c>
      <c r="CN118" s="3">
        <f>+IF(AVANCE[[#This Row],[PUERTAS DORMITORIO]]=BA$2,100%,AVANCE[[#This Row],[PUERTAS DORMITORIO]])</f>
        <v>0</v>
      </c>
      <c r="CO118" s="3">
        <f>+IF(AVANCE[[#This Row],[REVESTIMIENTO INTERIOR BANO]]=BB$2,100%,AVANCE[[#This Row],[REVESTIMIENTO INTERIOR BANO]])</f>
        <v>0</v>
      </c>
      <c r="CP118" s="3">
        <f>+IF(AVANCE[[#This Row],[MUEBLE LAVAPLATOS]]=BC$2,100%,AVANCE[[#This Row],[MUEBLE LAVAPLATOS]])</f>
        <v>0</v>
      </c>
      <c r="CQ118" s="3">
        <f>+IF(AVANCE[[#This Row],[IMPERMEABILIZACION BANO - COCINA LOGIA]]=BD$2,100%,AVANCE[[#This Row],[IMPERMEABILIZACION BANO - COCINA LOGIA]])</f>
        <v>0</v>
      </c>
      <c r="CR118" s="40">
        <f ca="1">+IF(AVANCE[[#This Row],[ESTADO MODULO]]="PENDIENTE",(TODAY()-AVANCE[[#This Row],[FECHA TERMINO  PLANIFICADO]]),0)</f>
        <v>0</v>
      </c>
      <c r="CS118" s="42" t="str" cm="1">
        <f t="array" ref="CS118">_xlfn.TEXTJOIN(" | ",TRUE,IF(SUMPRODUCT((BF118:CQ118&lt;1)*(PARTIDAS!$I$2:$AT$2="OBRA GRUESA"))&gt;0,"OBRA GRUESA: "&amp;_xlfn.TEXTJOIN(", ",TRUE,IF((BF118:CQ118&lt;1)*(PARTIDAS!$I$2:$AT$2="OBRA GRUESA"),PARTIDAS!$I$1:$AT$1,"")),""),IF(SUMPRODUCT((BF118:CQ118&lt;1)*(PARTIDAS!$I$2:$AT$2="SANITARIOS"))&gt;0,"SANITARIOS: "&amp;_xlfn.TEXTJOIN(", ",TRUE,IF((BF118:CQ118&lt;1)*(PARTIDAS!$I$2:$AT$2="SANITARIOS"),PARTIDAS!$I$1:$AT$1,"")),""),IF(SUMPRODUCT((BF118:CQ118&lt;1)*(PARTIDAS!$I$2:$AT$2="ELÉCTRICO"))&gt;0,"ELÉCTRICO: "&amp;_xlfn.TEXTJOIN(", ",TRUE,IF((BF118:CQ118&lt;1)*(PARTIDAS!$I$2:$AT$2="ELÉCTRICO"),PARTIDAS!$I$1:$AT$1,"")),""),IF(SUMPRODUCT((BF118:CQ118&lt;1)*(PARTIDAS!$I$2:$AT$2="TERMINACIONES"))&gt;0,"TERMINACIONES: "&amp;_xlfn.TEXTJOIN(", ",TRUE,IF((BF118:CQ118&lt;1)*(PARTIDAS!$I$2:$AT$2="TERMINACIONES"),PARTIDAS!$I$1:$AT$1,"")),""))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8" s="45" t="str" cm="1">
        <f t="array" ref="CT118">_xlfn.TEXTJOIN(", ",TRUE,IF(SUMPRODUCT((BF118:CQ118&lt;1)*(PARTIDAS!$I$2:$AT$2="OBRA GRUESA"))&gt;0,"OBRA GRUESA",""),IF(SUMPRODUCT((BF118:CQ118&lt;1)*(PARTIDAS!$I$2:$AT$2="SANITARIOS"))&gt;0,"SANITARIOS",""),IF(SUMPRODUCT((BF118:CQ118&lt;1)*(PARTIDAS!$I$2:$AT$2="ELÉCTRICO"))&gt;0,"ELÉCTRICO",""),IF(SUMPRODUCT((BF118:CQ118&lt;1)*(PARTIDAS!$I$2:$AT$2="TERMINACIONES"))&gt;0,"TERMINACIONES",""))</f>
        <v>OBRA GRUESA, SANITARIOS, ELÉCTRICO, TERMINACIONES</v>
      </c>
      <c r="CU118" s="46" cm="1">
        <f t="array" ref="CU118">SUMPRODUCT(--(BF118:CQ118&lt;1))</f>
        <v>38</v>
      </c>
    </row>
    <row r="119" spans="1:99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46181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 t="str">
        <f>+IF(AVANCE[[#This Row],[% AVANCE]]=100%,"MODULO TERMINADO",IF(AVANCE[[#This Row],[FECHA INICIO REAL]]="","MODULO NO INICIADO","PENDIENTE"))</f>
        <v>MODULO NO INICIADO</v>
      </c>
      <c r="BF119" s="3">
        <f>+IF(AVANCE[[#This Row],[VENTANAS]]=8.10810810810811%,100%,AVANCE[[#This Row],[VENTANAS]])</f>
        <v>0</v>
      </c>
      <c r="BG119" s="3">
        <f>+IF(AVANCE[[#This Row],[PISO]]=N$2,100%,AVANCE[[#This Row],[PISO]])</f>
        <v>0</v>
      </c>
      <c r="BH119" s="3">
        <f>+IF(AVANCE[[#This Row],[TABIQUES]]=O$2,100%,AVANCE[[#This Row],[TABIQUES]])</f>
        <v>0</v>
      </c>
      <c r="BI119" s="3">
        <f>+IF(AVANCE[[#This Row],[MUROS]]=P$2,100%,AVANCE[[#This Row],[MUROS]])</f>
        <v>0</v>
      </c>
      <c r="BJ119" s="3">
        <f>+IF(AVANCE[[#This Row],[CIELO]]=Q$2,100%,AVANCE[[#This Row],[CIELO]])</f>
        <v>0</v>
      </c>
      <c r="BK119" s="3">
        <f>+IF(AVANCE[[#This Row],[BALCÓN]]=R$2,100%,AVANCE[[#This Row],[BALCÓN]])</f>
        <v>0</v>
      </c>
      <c r="BL119" s="3">
        <f>+IF(AVANCE[[#This Row],[RED ALCANTARILLADO]]=U$2,100%,AVANCE[[#This Row],[RED ALCANTARILLADO]])</f>
        <v>0</v>
      </c>
      <c r="BM119" s="3">
        <f>+IF(AVANCE[[#This Row],[RED DE AGUA]]=V$2,100%,AVANCE[[#This Row],[RED DE AGUA]])</f>
        <v>0</v>
      </c>
      <c r="BN119" s="3">
        <f>+IF(AVANCE[[#This Row],[VENTILACIONES]]=W$2,100%,AVANCE[[#This Row],[VENTILACIONES]])</f>
        <v>0</v>
      </c>
      <c r="BO119" s="3">
        <f>+IF(AVANCE[[#This Row],[TINA]]=X$2,100%,AVANCE[[#This Row],[TINA]])</f>
        <v>0</v>
      </c>
      <c r="BP119" s="3">
        <f>+IF(AVANCE[[#This Row],[WC]]=Y$2,100%,AVANCE[[#This Row],[WC]])</f>
        <v>0</v>
      </c>
      <c r="BQ119" s="3">
        <f>+IF(AVANCE[[#This Row],[LAVAMANOS / LAVAPLATOS / LAVADERO]]=Z$2,100%,AVANCE[[#This Row],[LAVAMANOS / LAVAPLATOS / LAVADERO]])</f>
        <v>0</v>
      </c>
      <c r="BR119" s="3">
        <f>+IF(AVANCE[[#This Row],[CANALIZACIÓN]]=AC$2,100%,AVANCE[[#This Row],[CANALIZACIÓN]])</f>
        <v>0</v>
      </c>
      <c r="BS119" s="3">
        <f>+IF(AVANCE[[#This Row],[CABLEADO]]=AD$2,100%,AVANCE[[#This Row],[CABLEADO]])</f>
        <v>0</v>
      </c>
      <c r="BT119" s="3">
        <f>+IF(AVANCE[[#This Row],[ARTEFACTOS]]=AE$2,100%,AVANCE[[#This Row],[ARTEFACTOS]])</f>
        <v>0</v>
      </c>
      <c r="BU119" s="3">
        <f>+IF(AVANCE[[#This Row],[TABLERO]]=AF$2,100%,AVANCE[[#This Row],[TABLERO]])</f>
        <v>0</v>
      </c>
      <c r="BV119" s="3">
        <f>+IF(AVANCE[[#This Row],[CAJA PAU]]=AG$2,100%,AVANCE[[#This Row],[CAJA PAU]])</f>
        <v>0</v>
      </c>
      <c r="BW119" s="3">
        <f>+IF(AVANCE[[#This Row],[INSTALACION VINILICO]]=AJ$2,100%,AVANCE[[#This Row],[INSTALACION VINILICO]])</f>
        <v>0</v>
      </c>
      <c r="BX119" s="3">
        <f>+IF(AVANCE[[#This Row],[OSB CUBIERTA]]=AK$2,100%,AVANCE[[#This Row],[OSB CUBIERTA]])</f>
        <v>0</v>
      </c>
      <c r="BY119" s="3">
        <f>+IF(AVANCE[[#This Row],[BARANDA BALCON]]=AL$2,100%,AVANCE[[#This Row],[BARANDA BALCON]])</f>
        <v>0</v>
      </c>
      <c r="BZ119" s="3">
        <f>+IF(AVANCE[[#This Row],[OSB EXTERIOR]]=AM$2,100%,AVANCE[[#This Row],[OSB EXTERIOR]])</f>
        <v>0</v>
      </c>
      <c r="CA119" s="3">
        <f>+IF(AVANCE[[#This Row],[SMART PANEL]]=AN$2,100%,AVANCE[[#This Row],[SMART PANEL]])</f>
        <v>0</v>
      </c>
      <c r="CB119" s="3">
        <f>+IF(AVANCE[[#This Row],[PINTURA EXTERIOR]]=AO$2,100%,AVANCE[[#This Row],[PINTURA EXTERIOR]])</f>
        <v>0</v>
      </c>
      <c r="CC119" s="3">
        <f>+IF(AVANCE[[#This Row],[ZOCALOS LOGIA]]=AP$2,100%,AVANCE[[#This Row],[ZOCALOS LOGIA]])</f>
        <v>0</v>
      </c>
      <c r="CD119" s="3">
        <f>+IF(AVANCE[[#This Row],[MOLDURAS]]=AQ$2,100%,AVANCE[[#This Row],[MOLDURAS]])</f>
        <v>0</v>
      </c>
      <c r="CE119" s="3">
        <f>+IF(AVANCE[[#This Row],[PILASTREO]]=AR$2,100%,AVANCE[[#This Row],[PILASTREO]])</f>
        <v>0</v>
      </c>
      <c r="CF119" s="3">
        <f>+IF(AVANCE[[#This Row],[CELOSIAS]]=AS$2,100%,AVANCE[[#This Row],[CELOSIAS]])</f>
        <v>0</v>
      </c>
      <c r="CG119" s="3">
        <f>+IF(AVANCE[[#This Row],[VENTANAS]]=AT$2,100%,AVANCE[[#This Row],[VENTANAS]])</f>
        <v>0</v>
      </c>
      <c r="CH119" s="3">
        <f>+IF(AVANCE[[#This Row],[PUERTAS ACCESO - LOGIA - BANO]]=AU$2,100%,AVANCE[[#This Row],[PUERTAS ACCESO - LOGIA - BANO]])</f>
        <v>0</v>
      </c>
      <c r="CI119" s="3">
        <f>+IF(AVANCE[[#This Row],[CERRADURAS]]=AV$2,100%,AVANCE[[#This Row],[CERRADURAS]])</f>
        <v>0</v>
      </c>
      <c r="CJ119" s="3">
        <f>+IF(AVANCE[[#This Row],[REVESTIMIENTO INTERIOR ZONA SECA]]=AW$2,100%,AVANCE[[#This Row],[REVESTIMIENTO INTERIOR ZONA SECA]])</f>
        <v>0</v>
      </c>
      <c r="CK119" s="3">
        <f>+IF(AVANCE[[#This Row],[REVESTIMIENTO INTERIOR ZONAS HUMEDAS]]=AX$2,100%,AVANCE[[#This Row],[REVESTIMIENTO INTERIOR ZONAS HUMEDAS]])</f>
        <v>0</v>
      </c>
      <c r="CL119" s="3">
        <f>+IF(AVANCE[[#This Row],[MEMBRANA CIELO]]=AY$2,100%,AVANCE[[#This Row],[MEMBRANA CIELO]])</f>
        <v>0</v>
      </c>
      <c r="CM119" s="3">
        <f>+IF(AVANCE[[#This Row],[LIMPIEZA FINAL]]=AZ$2,100%,AVANCE[[#This Row],[LIMPIEZA FINAL]])</f>
        <v>0</v>
      </c>
      <c r="CN119" s="3">
        <f>+IF(AVANCE[[#This Row],[PUERTAS DORMITORIO]]=BA$2,100%,AVANCE[[#This Row],[PUERTAS DORMITORIO]])</f>
        <v>0</v>
      </c>
      <c r="CO119" s="3">
        <f>+IF(AVANCE[[#This Row],[REVESTIMIENTO INTERIOR BANO]]=BB$2,100%,AVANCE[[#This Row],[REVESTIMIENTO INTERIOR BANO]])</f>
        <v>0</v>
      </c>
      <c r="CP119" s="3">
        <f>+IF(AVANCE[[#This Row],[MUEBLE LAVAPLATOS]]=BC$2,100%,AVANCE[[#This Row],[MUEBLE LAVAPLATOS]])</f>
        <v>0</v>
      </c>
      <c r="CQ119" s="3">
        <f>+IF(AVANCE[[#This Row],[IMPERMEABILIZACION BANO - COCINA LOGIA]]=BD$2,100%,AVANCE[[#This Row],[IMPERMEABILIZACION BANO - COCINA LOGIA]])</f>
        <v>0</v>
      </c>
      <c r="CR119" s="40">
        <f ca="1">+IF(AVANCE[[#This Row],[ESTADO MODULO]]="PENDIENTE",(TODAY()-AVANCE[[#This Row],[FECHA TERMINO  PLANIFICADO]]),0)</f>
        <v>0</v>
      </c>
      <c r="CS119" s="42" t="str" cm="1">
        <f t="array" ref="CS119">_xlfn.TEXTJOIN(" | ",TRUE,IF(SUMPRODUCT((BF119:CQ119&lt;1)*(PARTIDAS!$I$2:$AT$2="OBRA GRUESA"))&gt;0,"OBRA GRUESA: "&amp;_xlfn.TEXTJOIN(", ",TRUE,IF((BF119:CQ119&lt;1)*(PARTIDAS!$I$2:$AT$2="OBRA GRUESA"),PARTIDAS!$I$1:$AT$1,"")),""),IF(SUMPRODUCT((BF119:CQ119&lt;1)*(PARTIDAS!$I$2:$AT$2="SANITARIOS"))&gt;0,"SANITARIOS: "&amp;_xlfn.TEXTJOIN(", ",TRUE,IF((BF119:CQ119&lt;1)*(PARTIDAS!$I$2:$AT$2="SANITARIOS"),PARTIDAS!$I$1:$AT$1,"")),""),IF(SUMPRODUCT((BF119:CQ119&lt;1)*(PARTIDAS!$I$2:$AT$2="ELÉCTRICO"))&gt;0,"ELÉCTRICO: "&amp;_xlfn.TEXTJOIN(", ",TRUE,IF((BF119:CQ119&lt;1)*(PARTIDAS!$I$2:$AT$2="ELÉCTRICO"),PARTIDAS!$I$1:$AT$1,"")),""),IF(SUMPRODUCT((BF119:CQ119&lt;1)*(PARTIDAS!$I$2:$AT$2="TERMINACIONES"))&gt;0,"TERMINACIONES: "&amp;_xlfn.TEXTJOIN(", ",TRUE,IF((BF119:CQ119&lt;1)*(PARTIDAS!$I$2:$AT$2="TERMINACIONES"),PARTIDAS!$I$1:$AT$1,"")),""))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19" s="45" t="str" cm="1">
        <f t="array" ref="CT119">_xlfn.TEXTJOIN(", ",TRUE,IF(SUMPRODUCT((BF119:CQ119&lt;1)*(PARTIDAS!$I$2:$AT$2="OBRA GRUESA"))&gt;0,"OBRA GRUESA",""),IF(SUMPRODUCT((BF119:CQ119&lt;1)*(PARTIDAS!$I$2:$AT$2="SANITARIOS"))&gt;0,"SANITARIOS",""),IF(SUMPRODUCT((BF119:CQ119&lt;1)*(PARTIDAS!$I$2:$AT$2="ELÉCTRICO"))&gt;0,"ELÉCTRICO",""),IF(SUMPRODUCT((BF119:CQ119&lt;1)*(PARTIDAS!$I$2:$AT$2="TERMINACIONES"))&gt;0,"TERMINACIONES",""))</f>
        <v>OBRA GRUESA, SANITARIOS, ELÉCTRICO, TERMINACIONES</v>
      </c>
      <c r="CU119" s="46" cm="1">
        <f t="array" ref="CU119">SUMPRODUCT(--(BF119:CQ119&lt;1))</f>
        <v>38</v>
      </c>
    </row>
    <row r="120" spans="1:99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46181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 t="str">
        <f>+IF(AVANCE[[#This Row],[% AVANCE]]=100%,"MODULO TERMINADO",IF(AVANCE[[#This Row],[FECHA INICIO REAL]]="","MODULO NO INICIADO","PENDIENTE"))</f>
        <v>MODULO NO INICIADO</v>
      </c>
      <c r="BF120" s="3">
        <f>+IF(AVANCE[[#This Row],[VENTANAS]]=8.10810810810811%,100%,AVANCE[[#This Row],[VENTANAS]])</f>
        <v>0</v>
      </c>
      <c r="BG120" s="3">
        <f>+IF(AVANCE[[#This Row],[PISO]]=N$2,100%,AVANCE[[#This Row],[PISO]])</f>
        <v>0</v>
      </c>
      <c r="BH120" s="3">
        <f>+IF(AVANCE[[#This Row],[TABIQUES]]=O$2,100%,AVANCE[[#This Row],[TABIQUES]])</f>
        <v>0</v>
      </c>
      <c r="BI120" s="3">
        <f>+IF(AVANCE[[#This Row],[MUROS]]=P$2,100%,AVANCE[[#This Row],[MUROS]])</f>
        <v>0</v>
      </c>
      <c r="BJ120" s="3">
        <f>+IF(AVANCE[[#This Row],[CIELO]]=Q$2,100%,AVANCE[[#This Row],[CIELO]])</f>
        <v>0</v>
      </c>
      <c r="BK120" s="3">
        <f>+IF(AVANCE[[#This Row],[BALCÓN]]=R$2,100%,AVANCE[[#This Row],[BALCÓN]])</f>
        <v>0</v>
      </c>
      <c r="BL120" s="3">
        <f>+IF(AVANCE[[#This Row],[RED ALCANTARILLADO]]=U$2,100%,AVANCE[[#This Row],[RED ALCANTARILLADO]])</f>
        <v>0</v>
      </c>
      <c r="BM120" s="3">
        <f>+IF(AVANCE[[#This Row],[RED DE AGUA]]=V$2,100%,AVANCE[[#This Row],[RED DE AGUA]])</f>
        <v>0</v>
      </c>
      <c r="BN120" s="3">
        <f>+IF(AVANCE[[#This Row],[VENTILACIONES]]=W$2,100%,AVANCE[[#This Row],[VENTILACIONES]])</f>
        <v>0</v>
      </c>
      <c r="BO120" s="3">
        <f>+IF(AVANCE[[#This Row],[TINA]]=X$2,100%,AVANCE[[#This Row],[TINA]])</f>
        <v>0</v>
      </c>
      <c r="BP120" s="3">
        <f>+IF(AVANCE[[#This Row],[WC]]=Y$2,100%,AVANCE[[#This Row],[WC]])</f>
        <v>0</v>
      </c>
      <c r="BQ120" s="3">
        <f>+IF(AVANCE[[#This Row],[LAVAMANOS / LAVAPLATOS / LAVADERO]]=Z$2,100%,AVANCE[[#This Row],[LAVAMANOS / LAVAPLATOS / LAVADERO]])</f>
        <v>0</v>
      </c>
      <c r="BR120" s="3">
        <f>+IF(AVANCE[[#This Row],[CANALIZACIÓN]]=AC$2,100%,AVANCE[[#This Row],[CANALIZACIÓN]])</f>
        <v>0</v>
      </c>
      <c r="BS120" s="3">
        <f>+IF(AVANCE[[#This Row],[CABLEADO]]=AD$2,100%,AVANCE[[#This Row],[CABLEADO]])</f>
        <v>0</v>
      </c>
      <c r="BT120" s="3">
        <f>+IF(AVANCE[[#This Row],[ARTEFACTOS]]=AE$2,100%,AVANCE[[#This Row],[ARTEFACTOS]])</f>
        <v>0</v>
      </c>
      <c r="BU120" s="3">
        <f>+IF(AVANCE[[#This Row],[TABLERO]]=AF$2,100%,AVANCE[[#This Row],[TABLERO]])</f>
        <v>0</v>
      </c>
      <c r="BV120" s="3">
        <f>+IF(AVANCE[[#This Row],[CAJA PAU]]=AG$2,100%,AVANCE[[#This Row],[CAJA PAU]])</f>
        <v>0</v>
      </c>
      <c r="BW120" s="3">
        <f>+IF(AVANCE[[#This Row],[INSTALACION VINILICO]]=AJ$2,100%,AVANCE[[#This Row],[INSTALACION VINILICO]])</f>
        <v>0</v>
      </c>
      <c r="BX120" s="3">
        <f>+IF(AVANCE[[#This Row],[OSB CUBIERTA]]=AK$2,100%,AVANCE[[#This Row],[OSB CUBIERTA]])</f>
        <v>0</v>
      </c>
      <c r="BY120" s="3">
        <f>+IF(AVANCE[[#This Row],[BARANDA BALCON]]=AL$2,100%,AVANCE[[#This Row],[BARANDA BALCON]])</f>
        <v>0</v>
      </c>
      <c r="BZ120" s="3">
        <f>+IF(AVANCE[[#This Row],[OSB EXTERIOR]]=AM$2,100%,AVANCE[[#This Row],[OSB EXTERIOR]])</f>
        <v>0</v>
      </c>
      <c r="CA120" s="3">
        <f>+IF(AVANCE[[#This Row],[SMART PANEL]]=AN$2,100%,AVANCE[[#This Row],[SMART PANEL]])</f>
        <v>0</v>
      </c>
      <c r="CB120" s="3">
        <f>+IF(AVANCE[[#This Row],[PINTURA EXTERIOR]]=AO$2,100%,AVANCE[[#This Row],[PINTURA EXTERIOR]])</f>
        <v>0</v>
      </c>
      <c r="CC120" s="3">
        <f>+IF(AVANCE[[#This Row],[ZOCALOS LOGIA]]=AP$2,100%,AVANCE[[#This Row],[ZOCALOS LOGIA]])</f>
        <v>0</v>
      </c>
      <c r="CD120" s="3">
        <f>+IF(AVANCE[[#This Row],[MOLDURAS]]=AQ$2,100%,AVANCE[[#This Row],[MOLDURAS]])</f>
        <v>0</v>
      </c>
      <c r="CE120" s="3">
        <f>+IF(AVANCE[[#This Row],[PILASTREO]]=AR$2,100%,AVANCE[[#This Row],[PILASTREO]])</f>
        <v>0</v>
      </c>
      <c r="CF120" s="3">
        <f>+IF(AVANCE[[#This Row],[CELOSIAS]]=AS$2,100%,AVANCE[[#This Row],[CELOSIAS]])</f>
        <v>0</v>
      </c>
      <c r="CG120" s="3">
        <f>+IF(AVANCE[[#This Row],[VENTANAS]]=AT$2,100%,AVANCE[[#This Row],[VENTANAS]])</f>
        <v>0</v>
      </c>
      <c r="CH120" s="3">
        <f>+IF(AVANCE[[#This Row],[PUERTAS ACCESO - LOGIA - BANO]]=AU$2,100%,AVANCE[[#This Row],[PUERTAS ACCESO - LOGIA - BANO]])</f>
        <v>0</v>
      </c>
      <c r="CI120" s="3">
        <f>+IF(AVANCE[[#This Row],[CERRADURAS]]=AV$2,100%,AVANCE[[#This Row],[CERRADURAS]])</f>
        <v>0</v>
      </c>
      <c r="CJ120" s="3">
        <f>+IF(AVANCE[[#This Row],[REVESTIMIENTO INTERIOR ZONA SECA]]=AW$2,100%,AVANCE[[#This Row],[REVESTIMIENTO INTERIOR ZONA SECA]])</f>
        <v>0</v>
      </c>
      <c r="CK120" s="3">
        <f>+IF(AVANCE[[#This Row],[REVESTIMIENTO INTERIOR ZONAS HUMEDAS]]=AX$2,100%,AVANCE[[#This Row],[REVESTIMIENTO INTERIOR ZONAS HUMEDAS]])</f>
        <v>0</v>
      </c>
      <c r="CL120" s="3">
        <f>+IF(AVANCE[[#This Row],[MEMBRANA CIELO]]=AY$2,100%,AVANCE[[#This Row],[MEMBRANA CIELO]])</f>
        <v>0</v>
      </c>
      <c r="CM120" s="3">
        <f>+IF(AVANCE[[#This Row],[LIMPIEZA FINAL]]=AZ$2,100%,AVANCE[[#This Row],[LIMPIEZA FINAL]])</f>
        <v>0</v>
      </c>
      <c r="CN120" s="3">
        <f>+IF(AVANCE[[#This Row],[PUERTAS DORMITORIO]]=BA$2,100%,AVANCE[[#This Row],[PUERTAS DORMITORIO]])</f>
        <v>0</v>
      </c>
      <c r="CO120" s="3">
        <f>+IF(AVANCE[[#This Row],[REVESTIMIENTO INTERIOR BANO]]=BB$2,100%,AVANCE[[#This Row],[REVESTIMIENTO INTERIOR BANO]])</f>
        <v>0</v>
      </c>
      <c r="CP120" s="3">
        <f>+IF(AVANCE[[#This Row],[MUEBLE LAVAPLATOS]]=BC$2,100%,AVANCE[[#This Row],[MUEBLE LAVAPLATOS]])</f>
        <v>0</v>
      </c>
      <c r="CQ120" s="3">
        <f>+IF(AVANCE[[#This Row],[IMPERMEABILIZACION BANO - COCINA LOGIA]]=BD$2,100%,AVANCE[[#This Row],[IMPERMEABILIZACION BANO - COCINA LOGIA]])</f>
        <v>0</v>
      </c>
      <c r="CR120" s="40">
        <f ca="1">+IF(AVANCE[[#This Row],[ESTADO MODULO]]="PENDIENTE",(TODAY()-AVANCE[[#This Row],[FECHA TERMINO  PLANIFICADO]]),0)</f>
        <v>0</v>
      </c>
      <c r="CS120" s="42" t="str" cm="1">
        <f t="array" ref="CS120">_xlfn.TEXTJOIN(" | ",TRUE,IF(SUMPRODUCT((BF120:CQ120&lt;1)*(PARTIDAS!$I$2:$AT$2="OBRA GRUESA"))&gt;0,"OBRA GRUESA: "&amp;_xlfn.TEXTJOIN(", ",TRUE,IF((BF120:CQ120&lt;1)*(PARTIDAS!$I$2:$AT$2="OBRA GRUESA"),PARTIDAS!$I$1:$AT$1,"")),""),IF(SUMPRODUCT((BF120:CQ120&lt;1)*(PARTIDAS!$I$2:$AT$2="SANITARIOS"))&gt;0,"SANITARIOS: "&amp;_xlfn.TEXTJOIN(", ",TRUE,IF((BF120:CQ120&lt;1)*(PARTIDAS!$I$2:$AT$2="SANITARIOS"),PARTIDAS!$I$1:$AT$1,"")),""),IF(SUMPRODUCT((BF120:CQ120&lt;1)*(PARTIDAS!$I$2:$AT$2="ELÉCTRICO"))&gt;0,"ELÉCTRICO: "&amp;_xlfn.TEXTJOIN(", ",TRUE,IF((BF120:CQ120&lt;1)*(PARTIDAS!$I$2:$AT$2="ELÉCTRICO"),PARTIDAS!$I$1:$AT$1,"")),""),IF(SUMPRODUCT((BF120:CQ120&lt;1)*(PARTIDAS!$I$2:$AT$2="TERMINACIONES"))&gt;0,"TERMINACIONES: "&amp;_xlfn.TEXTJOIN(", ",TRUE,IF((BF120:CQ120&lt;1)*(PARTIDAS!$I$2:$AT$2="TERMINACIONES"),PARTIDAS!$I$1:$AT$1,"")),""))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0" s="45" t="str" cm="1">
        <f t="array" ref="CT120">_xlfn.TEXTJOIN(", ",TRUE,IF(SUMPRODUCT((BF120:CQ120&lt;1)*(PARTIDAS!$I$2:$AT$2="OBRA GRUESA"))&gt;0,"OBRA GRUESA",""),IF(SUMPRODUCT((BF120:CQ120&lt;1)*(PARTIDAS!$I$2:$AT$2="SANITARIOS"))&gt;0,"SANITARIOS",""),IF(SUMPRODUCT((BF120:CQ120&lt;1)*(PARTIDAS!$I$2:$AT$2="ELÉCTRICO"))&gt;0,"ELÉCTRICO",""),IF(SUMPRODUCT((BF120:CQ120&lt;1)*(PARTIDAS!$I$2:$AT$2="TERMINACIONES"))&gt;0,"TERMINACIONES",""))</f>
        <v>OBRA GRUESA, SANITARIOS, ELÉCTRICO, TERMINACIONES</v>
      </c>
      <c r="CU120" s="46" cm="1">
        <f t="array" ref="CU120">SUMPRODUCT(--(BF120:CQ120&lt;1))</f>
        <v>38</v>
      </c>
    </row>
    <row r="121" spans="1:99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46181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 t="str">
        <f>+IF(AVANCE[[#This Row],[% AVANCE]]=100%,"MODULO TERMINADO",IF(AVANCE[[#This Row],[FECHA INICIO REAL]]="","MODULO NO INICIADO","PENDIENTE"))</f>
        <v>MODULO NO INICIADO</v>
      </c>
      <c r="BF121" s="3">
        <f>+IF(AVANCE[[#This Row],[VENTANAS]]=8.10810810810811%,100%,AVANCE[[#This Row],[VENTANAS]])</f>
        <v>0</v>
      </c>
      <c r="BG121" s="3">
        <f>+IF(AVANCE[[#This Row],[PISO]]=N$2,100%,AVANCE[[#This Row],[PISO]])</f>
        <v>0</v>
      </c>
      <c r="BH121" s="3">
        <f>+IF(AVANCE[[#This Row],[TABIQUES]]=O$2,100%,AVANCE[[#This Row],[TABIQUES]])</f>
        <v>0</v>
      </c>
      <c r="BI121" s="3">
        <f>+IF(AVANCE[[#This Row],[MUROS]]=P$2,100%,AVANCE[[#This Row],[MUROS]])</f>
        <v>0</v>
      </c>
      <c r="BJ121" s="3">
        <f>+IF(AVANCE[[#This Row],[CIELO]]=Q$2,100%,AVANCE[[#This Row],[CIELO]])</f>
        <v>0</v>
      </c>
      <c r="BK121" s="3">
        <f>+IF(AVANCE[[#This Row],[BALCÓN]]=R$2,100%,AVANCE[[#This Row],[BALCÓN]])</f>
        <v>0</v>
      </c>
      <c r="BL121" s="3">
        <f>+IF(AVANCE[[#This Row],[RED ALCANTARILLADO]]=U$2,100%,AVANCE[[#This Row],[RED ALCANTARILLADO]])</f>
        <v>0</v>
      </c>
      <c r="BM121" s="3">
        <f>+IF(AVANCE[[#This Row],[RED DE AGUA]]=V$2,100%,AVANCE[[#This Row],[RED DE AGUA]])</f>
        <v>0</v>
      </c>
      <c r="BN121" s="3">
        <f>+IF(AVANCE[[#This Row],[VENTILACIONES]]=W$2,100%,AVANCE[[#This Row],[VENTILACIONES]])</f>
        <v>0</v>
      </c>
      <c r="BO121" s="3">
        <f>+IF(AVANCE[[#This Row],[TINA]]=X$2,100%,AVANCE[[#This Row],[TINA]])</f>
        <v>0</v>
      </c>
      <c r="BP121" s="3">
        <f>+IF(AVANCE[[#This Row],[WC]]=Y$2,100%,AVANCE[[#This Row],[WC]])</f>
        <v>0</v>
      </c>
      <c r="BQ121" s="3">
        <f>+IF(AVANCE[[#This Row],[LAVAMANOS / LAVAPLATOS / LAVADERO]]=Z$2,100%,AVANCE[[#This Row],[LAVAMANOS / LAVAPLATOS / LAVADERO]])</f>
        <v>0</v>
      </c>
      <c r="BR121" s="3">
        <f>+IF(AVANCE[[#This Row],[CANALIZACIÓN]]=AC$2,100%,AVANCE[[#This Row],[CANALIZACIÓN]])</f>
        <v>0</v>
      </c>
      <c r="BS121" s="3">
        <f>+IF(AVANCE[[#This Row],[CABLEADO]]=AD$2,100%,AVANCE[[#This Row],[CABLEADO]])</f>
        <v>0</v>
      </c>
      <c r="BT121" s="3">
        <f>+IF(AVANCE[[#This Row],[ARTEFACTOS]]=AE$2,100%,AVANCE[[#This Row],[ARTEFACTOS]])</f>
        <v>0</v>
      </c>
      <c r="BU121" s="3">
        <f>+IF(AVANCE[[#This Row],[TABLERO]]=AF$2,100%,AVANCE[[#This Row],[TABLERO]])</f>
        <v>0</v>
      </c>
      <c r="BV121" s="3">
        <f>+IF(AVANCE[[#This Row],[CAJA PAU]]=AG$2,100%,AVANCE[[#This Row],[CAJA PAU]])</f>
        <v>0</v>
      </c>
      <c r="BW121" s="3">
        <f>+IF(AVANCE[[#This Row],[INSTALACION VINILICO]]=AJ$2,100%,AVANCE[[#This Row],[INSTALACION VINILICO]])</f>
        <v>0</v>
      </c>
      <c r="BX121" s="3">
        <f>+IF(AVANCE[[#This Row],[OSB CUBIERTA]]=AK$2,100%,AVANCE[[#This Row],[OSB CUBIERTA]])</f>
        <v>0</v>
      </c>
      <c r="BY121" s="3">
        <f>+IF(AVANCE[[#This Row],[BARANDA BALCON]]=AL$2,100%,AVANCE[[#This Row],[BARANDA BALCON]])</f>
        <v>0</v>
      </c>
      <c r="BZ121" s="3">
        <f>+IF(AVANCE[[#This Row],[OSB EXTERIOR]]=AM$2,100%,AVANCE[[#This Row],[OSB EXTERIOR]])</f>
        <v>0</v>
      </c>
      <c r="CA121" s="3">
        <f>+IF(AVANCE[[#This Row],[SMART PANEL]]=AN$2,100%,AVANCE[[#This Row],[SMART PANEL]])</f>
        <v>0</v>
      </c>
      <c r="CB121" s="3">
        <f>+IF(AVANCE[[#This Row],[PINTURA EXTERIOR]]=AO$2,100%,AVANCE[[#This Row],[PINTURA EXTERIOR]])</f>
        <v>0</v>
      </c>
      <c r="CC121" s="3">
        <f>+IF(AVANCE[[#This Row],[ZOCALOS LOGIA]]=AP$2,100%,AVANCE[[#This Row],[ZOCALOS LOGIA]])</f>
        <v>0</v>
      </c>
      <c r="CD121" s="3">
        <f>+IF(AVANCE[[#This Row],[MOLDURAS]]=AQ$2,100%,AVANCE[[#This Row],[MOLDURAS]])</f>
        <v>0</v>
      </c>
      <c r="CE121" s="3">
        <f>+IF(AVANCE[[#This Row],[PILASTREO]]=AR$2,100%,AVANCE[[#This Row],[PILASTREO]])</f>
        <v>0</v>
      </c>
      <c r="CF121" s="3">
        <f>+IF(AVANCE[[#This Row],[CELOSIAS]]=AS$2,100%,AVANCE[[#This Row],[CELOSIAS]])</f>
        <v>0</v>
      </c>
      <c r="CG121" s="3">
        <f>+IF(AVANCE[[#This Row],[VENTANAS]]=AT$2,100%,AVANCE[[#This Row],[VENTANAS]])</f>
        <v>0</v>
      </c>
      <c r="CH121" s="3">
        <f>+IF(AVANCE[[#This Row],[PUERTAS ACCESO - LOGIA - BANO]]=AU$2,100%,AVANCE[[#This Row],[PUERTAS ACCESO - LOGIA - BANO]])</f>
        <v>0</v>
      </c>
      <c r="CI121" s="3">
        <f>+IF(AVANCE[[#This Row],[CERRADURAS]]=AV$2,100%,AVANCE[[#This Row],[CERRADURAS]])</f>
        <v>0</v>
      </c>
      <c r="CJ121" s="3">
        <f>+IF(AVANCE[[#This Row],[REVESTIMIENTO INTERIOR ZONA SECA]]=AW$2,100%,AVANCE[[#This Row],[REVESTIMIENTO INTERIOR ZONA SECA]])</f>
        <v>0</v>
      </c>
      <c r="CK121" s="3">
        <f>+IF(AVANCE[[#This Row],[REVESTIMIENTO INTERIOR ZONAS HUMEDAS]]=AX$2,100%,AVANCE[[#This Row],[REVESTIMIENTO INTERIOR ZONAS HUMEDAS]])</f>
        <v>0</v>
      </c>
      <c r="CL121" s="3">
        <f>+IF(AVANCE[[#This Row],[MEMBRANA CIELO]]=AY$2,100%,AVANCE[[#This Row],[MEMBRANA CIELO]])</f>
        <v>0</v>
      </c>
      <c r="CM121" s="3">
        <f>+IF(AVANCE[[#This Row],[LIMPIEZA FINAL]]=AZ$2,100%,AVANCE[[#This Row],[LIMPIEZA FINAL]])</f>
        <v>0</v>
      </c>
      <c r="CN121" s="3">
        <f>+IF(AVANCE[[#This Row],[PUERTAS DORMITORIO]]=BA$2,100%,AVANCE[[#This Row],[PUERTAS DORMITORIO]])</f>
        <v>0</v>
      </c>
      <c r="CO121" s="3">
        <f>+IF(AVANCE[[#This Row],[REVESTIMIENTO INTERIOR BANO]]=BB$2,100%,AVANCE[[#This Row],[REVESTIMIENTO INTERIOR BANO]])</f>
        <v>0</v>
      </c>
      <c r="CP121" s="3">
        <f>+IF(AVANCE[[#This Row],[MUEBLE LAVAPLATOS]]=BC$2,100%,AVANCE[[#This Row],[MUEBLE LAVAPLATOS]])</f>
        <v>0</v>
      </c>
      <c r="CQ121" s="3">
        <f>+IF(AVANCE[[#This Row],[IMPERMEABILIZACION BANO - COCINA LOGIA]]=BD$2,100%,AVANCE[[#This Row],[IMPERMEABILIZACION BANO - COCINA LOGIA]])</f>
        <v>0</v>
      </c>
      <c r="CR121" s="40">
        <f ca="1">+IF(AVANCE[[#This Row],[ESTADO MODULO]]="PENDIENTE",(TODAY()-AVANCE[[#This Row],[FECHA TERMINO  PLANIFICADO]]),0)</f>
        <v>0</v>
      </c>
      <c r="CS121" s="42" t="str" cm="1">
        <f t="array" ref="CS121">_xlfn.TEXTJOIN(" | ",TRUE,IF(SUMPRODUCT((BF121:CQ121&lt;1)*(PARTIDAS!$I$2:$AT$2="OBRA GRUESA"))&gt;0,"OBRA GRUESA: "&amp;_xlfn.TEXTJOIN(", ",TRUE,IF((BF121:CQ121&lt;1)*(PARTIDAS!$I$2:$AT$2="OBRA GRUESA"),PARTIDAS!$I$1:$AT$1,"")),""),IF(SUMPRODUCT((BF121:CQ121&lt;1)*(PARTIDAS!$I$2:$AT$2="SANITARIOS"))&gt;0,"SANITARIOS: "&amp;_xlfn.TEXTJOIN(", ",TRUE,IF((BF121:CQ121&lt;1)*(PARTIDAS!$I$2:$AT$2="SANITARIOS"),PARTIDAS!$I$1:$AT$1,"")),""),IF(SUMPRODUCT((BF121:CQ121&lt;1)*(PARTIDAS!$I$2:$AT$2="ELÉCTRICO"))&gt;0,"ELÉCTRICO: "&amp;_xlfn.TEXTJOIN(", ",TRUE,IF((BF121:CQ121&lt;1)*(PARTIDAS!$I$2:$AT$2="ELÉCTRICO"),PARTIDAS!$I$1:$AT$1,"")),""),IF(SUMPRODUCT((BF121:CQ121&lt;1)*(PARTIDAS!$I$2:$AT$2="TERMINACIONES"))&gt;0,"TERMINACIONES: "&amp;_xlfn.TEXTJOIN(", ",TRUE,IF((BF121:CQ121&lt;1)*(PARTIDAS!$I$2:$AT$2="TERMINACIONES"),PARTIDAS!$I$1:$AT$1,"")),""))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1" s="45" t="str" cm="1">
        <f t="array" ref="CT121">_xlfn.TEXTJOIN(", ",TRUE,IF(SUMPRODUCT((BF121:CQ121&lt;1)*(PARTIDAS!$I$2:$AT$2="OBRA GRUESA"))&gt;0,"OBRA GRUESA",""),IF(SUMPRODUCT((BF121:CQ121&lt;1)*(PARTIDAS!$I$2:$AT$2="SANITARIOS"))&gt;0,"SANITARIOS",""),IF(SUMPRODUCT((BF121:CQ121&lt;1)*(PARTIDAS!$I$2:$AT$2="ELÉCTRICO"))&gt;0,"ELÉCTRICO",""),IF(SUMPRODUCT((BF121:CQ121&lt;1)*(PARTIDAS!$I$2:$AT$2="TERMINACIONES"))&gt;0,"TERMINACIONES",""))</f>
        <v>OBRA GRUESA, SANITARIOS, ELÉCTRICO, TERMINACIONES</v>
      </c>
      <c r="CU121" s="46" cm="1">
        <f t="array" ref="CU121">SUMPRODUCT(--(BF121:CQ121&lt;1))</f>
        <v>38</v>
      </c>
    </row>
    <row r="122" spans="1:99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46181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 t="str">
        <f>+IF(AVANCE[[#This Row],[% AVANCE]]=100%,"MODULO TERMINADO",IF(AVANCE[[#This Row],[FECHA INICIO REAL]]="","MODULO NO INICIADO","PENDIENTE"))</f>
        <v>MODULO NO INICIADO</v>
      </c>
      <c r="BF122" s="3">
        <f>+IF(AVANCE[[#This Row],[VENTANAS]]=8.10810810810811%,100%,AVANCE[[#This Row],[VENTANAS]])</f>
        <v>0</v>
      </c>
      <c r="BG122" s="3">
        <f>+IF(AVANCE[[#This Row],[PISO]]=N$2,100%,AVANCE[[#This Row],[PISO]])</f>
        <v>0</v>
      </c>
      <c r="BH122" s="3">
        <f>+IF(AVANCE[[#This Row],[TABIQUES]]=O$2,100%,AVANCE[[#This Row],[TABIQUES]])</f>
        <v>0</v>
      </c>
      <c r="BI122" s="3">
        <f>+IF(AVANCE[[#This Row],[MUROS]]=P$2,100%,AVANCE[[#This Row],[MUROS]])</f>
        <v>0</v>
      </c>
      <c r="BJ122" s="3">
        <f>+IF(AVANCE[[#This Row],[CIELO]]=Q$2,100%,AVANCE[[#This Row],[CIELO]])</f>
        <v>0</v>
      </c>
      <c r="BK122" s="3">
        <f>+IF(AVANCE[[#This Row],[BALCÓN]]=R$2,100%,AVANCE[[#This Row],[BALCÓN]])</f>
        <v>0</v>
      </c>
      <c r="BL122" s="3">
        <f>+IF(AVANCE[[#This Row],[RED ALCANTARILLADO]]=U$2,100%,AVANCE[[#This Row],[RED ALCANTARILLADO]])</f>
        <v>0</v>
      </c>
      <c r="BM122" s="3">
        <f>+IF(AVANCE[[#This Row],[RED DE AGUA]]=V$2,100%,AVANCE[[#This Row],[RED DE AGUA]])</f>
        <v>0</v>
      </c>
      <c r="BN122" s="3">
        <f>+IF(AVANCE[[#This Row],[VENTILACIONES]]=W$2,100%,AVANCE[[#This Row],[VENTILACIONES]])</f>
        <v>0</v>
      </c>
      <c r="BO122" s="3">
        <f>+IF(AVANCE[[#This Row],[TINA]]=X$2,100%,AVANCE[[#This Row],[TINA]])</f>
        <v>0</v>
      </c>
      <c r="BP122" s="3">
        <f>+IF(AVANCE[[#This Row],[WC]]=Y$2,100%,AVANCE[[#This Row],[WC]])</f>
        <v>0</v>
      </c>
      <c r="BQ122" s="3">
        <f>+IF(AVANCE[[#This Row],[LAVAMANOS / LAVAPLATOS / LAVADERO]]=Z$2,100%,AVANCE[[#This Row],[LAVAMANOS / LAVAPLATOS / LAVADERO]])</f>
        <v>0</v>
      </c>
      <c r="BR122" s="3">
        <f>+IF(AVANCE[[#This Row],[CANALIZACIÓN]]=AC$2,100%,AVANCE[[#This Row],[CANALIZACIÓN]])</f>
        <v>0</v>
      </c>
      <c r="BS122" s="3">
        <f>+IF(AVANCE[[#This Row],[CABLEADO]]=AD$2,100%,AVANCE[[#This Row],[CABLEADO]])</f>
        <v>0</v>
      </c>
      <c r="BT122" s="3">
        <f>+IF(AVANCE[[#This Row],[ARTEFACTOS]]=AE$2,100%,AVANCE[[#This Row],[ARTEFACTOS]])</f>
        <v>0</v>
      </c>
      <c r="BU122" s="3">
        <f>+IF(AVANCE[[#This Row],[TABLERO]]=AF$2,100%,AVANCE[[#This Row],[TABLERO]])</f>
        <v>0</v>
      </c>
      <c r="BV122" s="3">
        <f>+IF(AVANCE[[#This Row],[CAJA PAU]]=AG$2,100%,AVANCE[[#This Row],[CAJA PAU]])</f>
        <v>0</v>
      </c>
      <c r="BW122" s="3">
        <f>+IF(AVANCE[[#This Row],[INSTALACION VINILICO]]=AJ$2,100%,AVANCE[[#This Row],[INSTALACION VINILICO]])</f>
        <v>0</v>
      </c>
      <c r="BX122" s="3">
        <f>+IF(AVANCE[[#This Row],[OSB CUBIERTA]]=AK$2,100%,AVANCE[[#This Row],[OSB CUBIERTA]])</f>
        <v>0</v>
      </c>
      <c r="BY122" s="3">
        <f>+IF(AVANCE[[#This Row],[BARANDA BALCON]]=AL$2,100%,AVANCE[[#This Row],[BARANDA BALCON]])</f>
        <v>0</v>
      </c>
      <c r="BZ122" s="3">
        <f>+IF(AVANCE[[#This Row],[OSB EXTERIOR]]=AM$2,100%,AVANCE[[#This Row],[OSB EXTERIOR]])</f>
        <v>0</v>
      </c>
      <c r="CA122" s="3">
        <f>+IF(AVANCE[[#This Row],[SMART PANEL]]=AN$2,100%,AVANCE[[#This Row],[SMART PANEL]])</f>
        <v>0</v>
      </c>
      <c r="CB122" s="3">
        <f>+IF(AVANCE[[#This Row],[PINTURA EXTERIOR]]=AO$2,100%,AVANCE[[#This Row],[PINTURA EXTERIOR]])</f>
        <v>0</v>
      </c>
      <c r="CC122" s="3">
        <f>+IF(AVANCE[[#This Row],[ZOCALOS LOGIA]]=AP$2,100%,AVANCE[[#This Row],[ZOCALOS LOGIA]])</f>
        <v>0</v>
      </c>
      <c r="CD122" s="3">
        <f>+IF(AVANCE[[#This Row],[MOLDURAS]]=AQ$2,100%,AVANCE[[#This Row],[MOLDURAS]])</f>
        <v>0</v>
      </c>
      <c r="CE122" s="3">
        <f>+IF(AVANCE[[#This Row],[PILASTREO]]=AR$2,100%,AVANCE[[#This Row],[PILASTREO]])</f>
        <v>0</v>
      </c>
      <c r="CF122" s="3">
        <f>+IF(AVANCE[[#This Row],[CELOSIAS]]=AS$2,100%,AVANCE[[#This Row],[CELOSIAS]])</f>
        <v>0</v>
      </c>
      <c r="CG122" s="3">
        <f>+IF(AVANCE[[#This Row],[VENTANAS]]=AT$2,100%,AVANCE[[#This Row],[VENTANAS]])</f>
        <v>0</v>
      </c>
      <c r="CH122" s="3">
        <f>+IF(AVANCE[[#This Row],[PUERTAS ACCESO - LOGIA - BANO]]=AU$2,100%,AVANCE[[#This Row],[PUERTAS ACCESO - LOGIA - BANO]])</f>
        <v>0</v>
      </c>
      <c r="CI122" s="3">
        <f>+IF(AVANCE[[#This Row],[CERRADURAS]]=AV$2,100%,AVANCE[[#This Row],[CERRADURAS]])</f>
        <v>0</v>
      </c>
      <c r="CJ122" s="3">
        <f>+IF(AVANCE[[#This Row],[REVESTIMIENTO INTERIOR ZONA SECA]]=AW$2,100%,AVANCE[[#This Row],[REVESTIMIENTO INTERIOR ZONA SECA]])</f>
        <v>0</v>
      </c>
      <c r="CK122" s="3">
        <f>+IF(AVANCE[[#This Row],[REVESTIMIENTO INTERIOR ZONAS HUMEDAS]]=AX$2,100%,AVANCE[[#This Row],[REVESTIMIENTO INTERIOR ZONAS HUMEDAS]])</f>
        <v>0</v>
      </c>
      <c r="CL122" s="3">
        <f>+IF(AVANCE[[#This Row],[MEMBRANA CIELO]]=AY$2,100%,AVANCE[[#This Row],[MEMBRANA CIELO]])</f>
        <v>0</v>
      </c>
      <c r="CM122" s="3">
        <f>+IF(AVANCE[[#This Row],[LIMPIEZA FINAL]]=AZ$2,100%,AVANCE[[#This Row],[LIMPIEZA FINAL]])</f>
        <v>0</v>
      </c>
      <c r="CN122" s="3">
        <f>+IF(AVANCE[[#This Row],[PUERTAS DORMITORIO]]=BA$2,100%,AVANCE[[#This Row],[PUERTAS DORMITORIO]])</f>
        <v>0</v>
      </c>
      <c r="CO122" s="3">
        <f>+IF(AVANCE[[#This Row],[REVESTIMIENTO INTERIOR BANO]]=BB$2,100%,AVANCE[[#This Row],[REVESTIMIENTO INTERIOR BANO]])</f>
        <v>0</v>
      </c>
      <c r="CP122" s="3">
        <f>+IF(AVANCE[[#This Row],[MUEBLE LAVAPLATOS]]=BC$2,100%,AVANCE[[#This Row],[MUEBLE LAVAPLATOS]])</f>
        <v>0</v>
      </c>
      <c r="CQ122" s="3">
        <f>+IF(AVANCE[[#This Row],[IMPERMEABILIZACION BANO - COCINA LOGIA]]=BD$2,100%,AVANCE[[#This Row],[IMPERMEABILIZACION BANO - COCINA LOGIA]])</f>
        <v>0</v>
      </c>
      <c r="CR122" s="40">
        <f ca="1">+IF(AVANCE[[#This Row],[ESTADO MODULO]]="PENDIENTE",(TODAY()-AVANCE[[#This Row],[FECHA TERMINO  PLANIFICADO]]),0)</f>
        <v>0</v>
      </c>
      <c r="CS122" s="42" t="str" cm="1">
        <f t="array" ref="CS122">_xlfn.TEXTJOIN(" | ",TRUE,IF(SUMPRODUCT((BF122:CQ122&lt;1)*(PARTIDAS!$I$2:$AT$2="OBRA GRUESA"))&gt;0,"OBRA GRUESA: "&amp;_xlfn.TEXTJOIN(", ",TRUE,IF((BF122:CQ122&lt;1)*(PARTIDAS!$I$2:$AT$2="OBRA GRUESA"),PARTIDAS!$I$1:$AT$1,"")),""),IF(SUMPRODUCT((BF122:CQ122&lt;1)*(PARTIDAS!$I$2:$AT$2="SANITARIOS"))&gt;0,"SANITARIOS: "&amp;_xlfn.TEXTJOIN(", ",TRUE,IF((BF122:CQ122&lt;1)*(PARTIDAS!$I$2:$AT$2="SANITARIOS"),PARTIDAS!$I$1:$AT$1,"")),""),IF(SUMPRODUCT((BF122:CQ122&lt;1)*(PARTIDAS!$I$2:$AT$2="ELÉCTRICO"))&gt;0,"ELÉCTRICO: "&amp;_xlfn.TEXTJOIN(", ",TRUE,IF((BF122:CQ122&lt;1)*(PARTIDAS!$I$2:$AT$2="ELÉCTRICO"),PARTIDAS!$I$1:$AT$1,"")),""),IF(SUMPRODUCT((BF122:CQ122&lt;1)*(PARTIDAS!$I$2:$AT$2="TERMINACIONES"))&gt;0,"TERMINACIONES: "&amp;_xlfn.TEXTJOIN(", ",TRUE,IF((BF122:CQ122&lt;1)*(PARTIDAS!$I$2:$AT$2="TERMINACIONES"),PARTIDAS!$I$1:$AT$1,"")),""))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2" s="45" t="str" cm="1">
        <f t="array" ref="CT122">_xlfn.TEXTJOIN(", ",TRUE,IF(SUMPRODUCT((BF122:CQ122&lt;1)*(PARTIDAS!$I$2:$AT$2="OBRA GRUESA"))&gt;0,"OBRA GRUESA",""),IF(SUMPRODUCT((BF122:CQ122&lt;1)*(PARTIDAS!$I$2:$AT$2="SANITARIOS"))&gt;0,"SANITARIOS",""),IF(SUMPRODUCT((BF122:CQ122&lt;1)*(PARTIDAS!$I$2:$AT$2="ELÉCTRICO"))&gt;0,"ELÉCTRICO",""),IF(SUMPRODUCT((BF122:CQ122&lt;1)*(PARTIDAS!$I$2:$AT$2="TERMINACIONES"))&gt;0,"TERMINACIONES",""))</f>
        <v>OBRA GRUESA, SANITARIOS, ELÉCTRICO, TERMINACIONES</v>
      </c>
      <c r="CU122" s="46" cm="1">
        <f t="array" ref="CU122">SUMPRODUCT(--(BF122:CQ122&lt;1))</f>
        <v>38</v>
      </c>
    </row>
    <row r="123" spans="1:99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46181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 t="str">
        <f>+IF(AVANCE[[#This Row],[% AVANCE]]=100%,"MODULO TERMINADO",IF(AVANCE[[#This Row],[FECHA INICIO REAL]]="","MODULO NO INICIADO","PENDIENTE"))</f>
        <v>MODULO NO INICIADO</v>
      </c>
      <c r="BF123" s="3">
        <f>+IF(AVANCE[[#This Row],[VENTANAS]]=8.10810810810811%,100%,AVANCE[[#This Row],[VENTANAS]])</f>
        <v>0</v>
      </c>
      <c r="BG123" s="3">
        <f>+IF(AVANCE[[#This Row],[PISO]]=N$2,100%,AVANCE[[#This Row],[PISO]])</f>
        <v>0</v>
      </c>
      <c r="BH123" s="3">
        <f>+IF(AVANCE[[#This Row],[TABIQUES]]=O$2,100%,AVANCE[[#This Row],[TABIQUES]])</f>
        <v>0</v>
      </c>
      <c r="BI123" s="3">
        <f>+IF(AVANCE[[#This Row],[MUROS]]=P$2,100%,AVANCE[[#This Row],[MUROS]])</f>
        <v>0</v>
      </c>
      <c r="BJ123" s="3">
        <f>+IF(AVANCE[[#This Row],[CIELO]]=Q$2,100%,AVANCE[[#This Row],[CIELO]])</f>
        <v>0</v>
      </c>
      <c r="BK123" s="3">
        <f>+IF(AVANCE[[#This Row],[BALCÓN]]=R$2,100%,AVANCE[[#This Row],[BALCÓN]])</f>
        <v>0</v>
      </c>
      <c r="BL123" s="3">
        <f>+IF(AVANCE[[#This Row],[RED ALCANTARILLADO]]=U$2,100%,AVANCE[[#This Row],[RED ALCANTARILLADO]])</f>
        <v>0</v>
      </c>
      <c r="BM123" s="3">
        <f>+IF(AVANCE[[#This Row],[RED DE AGUA]]=V$2,100%,AVANCE[[#This Row],[RED DE AGUA]])</f>
        <v>0</v>
      </c>
      <c r="BN123" s="3">
        <f>+IF(AVANCE[[#This Row],[VENTILACIONES]]=W$2,100%,AVANCE[[#This Row],[VENTILACIONES]])</f>
        <v>0</v>
      </c>
      <c r="BO123" s="3">
        <f>+IF(AVANCE[[#This Row],[TINA]]=X$2,100%,AVANCE[[#This Row],[TINA]])</f>
        <v>0</v>
      </c>
      <c r="BP123" s="3">
        <f>+IF(AVANCE[[#This Row],[WC]]=Y$2,100%,AVANCE[[#This Row],[WC]])</f>
        <v>0</v>
      </c>
      <c r="BQ123" s="3">
        <f>+IF(AVANCE[[#This Row],[LAVAMANOS / LAVAPLATOS / LAVADERO]]=Z$2,100%,AVANCE[[#This Row],[LAVAMANOS / LAVAPLATOS / LAVADERO]])</f>
        <v>0</v>
      </c>
      <c r="BR123" s="3">
        <f>+IF(AVANCE[[#This Row],[CANALIZACIÓN]]=AC$2,100%,AVANCE[[#This Row],[CANALIZACIÓN]])</f>
        <v>0</v>
      </c>
      <c r="BS123" s="3">
        <f>+IF(AVANCE[[#This Row],[CABLEADO]]=AD$2,100%,AVANCE[[#This Row],[CABLEADO]])</f>
        <v>0</v>
      </c>
      <c r="BT123" s="3">
        <f>+IF(AVANCE[[#This Row],[ARTEFACTOS]]=AE$2,100%,AVANCE[[#This Row],[ARTEFACTOS]])</f>
        <v>0</v>
      </c>
      <c r="BU123" s="3">
        <f>+IF(AVANCE[[#This Row],[TABLERO]]=AF$2,100%,AVANCE[[#This Row],[TABLERO]])</f>
        <v>0</v>
      </c>
      <c r="BV123" s="3">
        <f>+IF(AVANCE[[#This Row],[CAJA PAU]]=AG$2,100%,AVANCE[[#This Row],[CAJA PAU]])</f>
        <v>0</v>
      </c>
      <c r="BW123" s="3">
        <f>+IF(AVANCE[[#This Row],[INSTALACION VINILICO]]=AJ$2,100%,AVANCE[[#This Row],[INSTALACION VINILICO]])</f>
        <v>0</v>
      </c>
      <c r="BX123" s="3">
        <f>+IF(AVANCE[[#This Row],[OSB CUBIERTA]]=AK$2,100%,AVANCE[[#This Row],[OSB CUBIERTA]])</f>
        <v>0</v>
      </c>
      <c r="BY123" s="3">
        <f>+IF(AVANCE[[#This Row],[BARANDA BALCON]]=AL$2,100%,AVANCE[[#This Row],[BARANDA BALCON]])</f>
        <v>0</v>
      </c>
      <c r="BZ123" s="3">
        <f>+IF(AVANCE[[#This Row],[OSB EXTERIOR]]=AM$2,100%,AVANCE[[#This Row],[OSB EXTERIOR]])</f>
        <v>0</v>
      </c>
      <c r="CA123" s="3">
        <f>+IF(AVANCE[[#This Row],[SMART PANEL]]=AN$2,100%,AVANCE[[#This Row],[SMART PANEL]])</f>
        <v>0</v>
      </c>
      <c r="CB123" s="3">
        <f>+IF(AVANCE[[#This Row],[PINTURA EXTERIOR]]=AO$2,100%,AVANCE[[#This Row],[PINTURA EXTERIOR]])</f>
        <v>0</v>
      </c>
      <c r="CC123" s="3">
        <f>+IF(AVANCE[[#This Row],[ZOCALOS LOGIA]]=AP$2,100%,AVANCE[[#This Row],[ZOCALOS LOGIA]])</f>
        <v>0</v>
      </c>
      <c r="CD123" s="3">
        <f>+IF(AVANCE[[#This Row],[MOLDURAS]]=AQ$2,100%,AVANCE[[#This Row],[MOLDURAS]])</f>
        <v>0</v>
      </c>
      <c r="CE123" s="3">
        <f>+IF(AVANCE[[#This Row],[PILASTREO]]=AR$2,100%,AVANCE[[#This Row],[PILASTREO]])</f>
        <v>0</v>
      </c>
      <c r="CF123" s="3">
        <f>+IF(AVANCE[[#This Row],[CELOSIAS]]=AS$2,100%,AVANCE[[#This Row],[CELOSIAS]])</f>
        <v>0</v>
      </c>
      <c r="CG123" s="3">
        <f>+IF(AVANCE[[#This Row],[VENTANAS]]=AT$2,100%,AVANCE[[#This Row],[VENTANAS]])</f>
        <v>0</v>
      </c>
      <c r="CH123" s="3">
        <f>+IF(AVANCE[[#This Row],[PUERTAS ACCESO - LOGIA - BANO]]=AU$2,100%,AVANCE[[#This Row],[PUERTAS ACCESO - LOGIA - BANO]])</f>
        <v>0</v>
      </c>
      <c r="CI123" s="3">
        <f>+IF(AVANCE[[#This Row],[CERRADURAS]]=AV$2,100%,AVANCE[[#This Row],[CERRADURAS]])</f>
        <v>0</v>
      </c>
      <c r="CJ123" s="3">
        <f>+IF(AVANCE[[#This Row],[REVESTIMIENTO INTERIOR ZONA SECA]]=AW$2,100%,AVANCE[[#This Row],[REVESTIMIENTO INTERIOR ZONA SECA]])</f>
        <v>0</v>
      </c>
      <c r="CK123" s="3">
        <f>+IF(AVANCE[[#This Row],[REVESTIMIENTO INTERIOR ZONAS HUMEDAS]]=AX$2,100%,AVANCE[[#This Row],[REVESTIMIENTO INTERIOR ZONAS HUMEDAS]])</f>
        <v>0</v>
      </c>
      <c r="CL123" s="3">
        <f>+IF(AVANCE[[#This Row],[MEMBRANA CIELO]]=AY$2,100%,AVANCE[[#This Row],[MEMBRANA CIELO]])</f>
        <v>0</v>
      </c>
      <c r="CM123" s="3">
        <f>+IF(AVANCE[[#This Row],[LIMPIEZA FINAL]]=AZ$2,100%,AVANCE[[#This Row],[LIMPIEZA FINAL]])</f>
        <v>0</v>
      </c>
      <c r="CN123" s="3">
        <f>+IF(AVANCE[[#This Row],[PUERTAS DORMITORIO]]=BA$2,100%,AVANCE[[#This Row],[PUERTAS DORMITORIO]])</f>
        <v>0</v>
      </c>
      <c r="CO123" s="3">
        <f>+IF(AVANCE[[#This Row],[REVESTIMIENTO INTERIOR BANO]]=BB$2,100%,AVANCE[[#This Row],[REVESTIMIENTO INTERIOR BANO]])</f>
        <v>0</v>
      </c>
      <c r="CP123" s="3">
        <f>+IF(AVANCE[[#This Row],[MUEBLE LAVAPLATOS]]=BC$2,100%,AVANCE[[#This Row],[MUEBLE LAVAPLATOS]])</f>
        <v>0</v>
      </c>
      <c r="CQ123" s="3">
        <f>+IF(AVANCE[[#This Row],[IMPERMEABILIZACION BANO - COCINA LOGIA]]=BD$2,100%,AVANCE[[#This Row],[IMPERMEABILIZACION BANO - COCINA LOGIA]])</f>
        <v>0</v>
      </c>
      <c r="CR123" s="40">
        <f ca="1">+IF(AVANCE[[#This Row],[ESTADO MODULO]]="PENDIENTE",(TODAY()-AVANCE[[#This Row],[FECHA TERMINO  PLANIFICADO]]),0)</f>
        <v>0</v>
      </c>
      <c r="CS123" s="42" t="str" cm="1">
        <f t="array" ref="CS123">_xlfn.TEXTJOIN(" | ",TRUE,IF(SUMPRODUCT((BF123:CQ123&lt;1)*(PARTIDAS!$I$2:$AT$2="OBRA GRUESA"))&gt;0,"OBRA GRUESA: "&amp;_xlfn.TEXTJOIN(", ",TRUE,IF((BF123:CQ123&lt;1)*(PARTIDAS!$I$2:$AT$2="OBRA GRUESA"),PARTIDAS!$I$1:$AT$1,"")),""),IF(SUMPRODUCT((BF123:CQ123&lt;1)*(PARTIDAS!$I$2:$AT$2="SANITARIOS"))&gt;0,"SANITARIOS: "&amp;_xlfn.TEXTJOIN(", ",TRUE,IF((BF123:CQ123&lt;1)*(PARTIDAS!$I$2:$AT$2="SANITARIOS"),PARTIDAS!$I$1:$AT$1,"")),""),IF(SUMPRODUCT((BF123:CQ123&lt;1)*(PARTIDAS!$I$2:$AT$2="ELÉCTRICO"))&gt;0,"ELÉCTRICO: "&amp;_xlfn.TEXTJOIN(", ",TRUE,IF((BF123:CQ123&lt;1)*(PARTIDAS!$I$2:$AT$2="ELÉCTRICO"),PARTIDAS!$I$1:$AT$1,"")),""),IF(SUMPRODUCT((BF123:CQ123&lt;1)*(PARTIDAS!$I$2:$AT$2="TERMINACIONES"))&gt;0,"TERMINACIONES: "&amp;_xlfn.TEXTJOIN(", ",TRUE,IF((BF123:CQ123&lt;1)*(PARTIDAS!$I$2:$AT$2="TERMINACIONES"),PARTIDAS!$I$1:$AT$1,"")),""))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3" s="45" t="str" cm="1">
        <f t="array" ref="CT123">_xlfn.TEXTJOIN(", ",TRUE,IF(SUMPRODUCT((BF123:CQ123&lt;1)*(PARTIDAS!$I$2:$AT$2="OBRA GRUESA"))&gt;0,"OBRA GRUESA",""),IF(SUMPRODUCT((BF123:CQ123&lt;1)*(PARTIDAS!$I$2:$AT$2="SANITARIOS"))&gt;0,"SANITARIOS",""),IF(SUMPRODUCT((BF123:CQ123&lt;1)*(PARTIDAS!$I$2:$AT$2="ELÉCTRICO"))&gt;0,"ELÉCTRICO",""),IF(SUMPRODUCT((BF123:CQ123&lt;1)*(PARTIDAS!$I$2:$AT$2="TERMINACIONES"))&gt;0,"TERMINACIONES",""))</f>
        <v>OBRA GRUESA, SANITARIOS, ELÉCTRICO, TERMINACIONES</v>
      </c>
      <c r="CU123" s="46" cm="1">
        <f t="array" ref="CU123">SUMPRODUCT(--(BF123:CQ123&lt;1))</f>
        <v>38</v>
      </c>
    </row>
    <row r="124" spans="1:99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46181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 t="str">
        <f>+IF(AVANCE[[#This Row],[% AVANCE]]=100%,"MODULO TERMINADO",IF(AVANCE[[#This Row],[FECHA INICIO REAL]]="","MODULO NO INICIADO","PENDIENTE"))</f>
        <v>MODULO NO INICIADO</v>
      </c>
      <c r="BF124" s="3">
        <f>+IF(AVANCE[[#This Row],[VENTANAS]]=8.10810810810811%,100%,AVANCE[[#This Row],[VENTANAS]])</f>
        <v>0</v>
      </c>
      <c r="BG124" s="3">
        <f>+IF(AVANCE[[#This Row],[PISO]]=N$2,100%,AVANCE[[#This Row],[PISO]])</f>
        <v>0</v>
      </c>
      <c r="BH124" s="3">
        <f>+IF(AVANCE[[#This Row],[TABIQUES]]=O$2,100%,AVANCE[[#This Row],[TABIQUES]])</f>
        <v>0</v>
      </c>
      <c r="BI124" s="3">
        <f>+IF(AVANCE[[#This Row],[MUROS]]=P$2,100%,AVANCE[[#This Row],[MUROS]])</f>
        <v>0</v>
      </c>
      <c r="BJ124" s="3">
        <f>+IF(AVANCE[[#This Row],[CIELO]]=Q$2,100%,AVANCE[[#This Row],[CIELO]])</f>
        <v>0</v>
      </c>
      <c r="BK124" s="3">
        <f>+IF(AVANCE[[#This Row],[BALCÓN]]=R$2,100%,AVANCE[[#This Row],[BALCÓN]])</f>
        <v>0</v>
      </c>
      <c r="BL124" s="3">
        <f>+IF(AVANCE[[#This Row],[RED ALCANTARILLADO]]=U$2,100%,AVANCE[[#This Row],[RED ALCANTARILLADO]])</f>
        <v>0</v>
      </c>
      <c r="BM124" s="3">
        <f>+IF(AVANCE[[#This Row],[RED DE AGUA]]=V$2,100%,AVANCE[[#This Row],[RED DE AGUA]])</f>
        <v>0</v>
      </c>
      <c r="BN124" s="3">
        <f>+IF(AVANCE[[#This Row],[VENTILACIONES]]=W$2,100%,AVANCE[[#This Row],[VENTILACIONES]])</f>
        <v>0</v>
      </c>
      <c r="BO124" s="3">
        <f>+IF(AVANCE[[#This Row],[TINA]]=X$2,100%,AVANCE[[#This Row],[TINA]])</f>
        <v>0</v>
      </c>
      <c r="BP124" s="3">
        <f>+IF(AVANCE[[#This Row],[WC]]=Y$2,100%,AVANCE[[#This Row],[WC]])</f>
        <v>0</v>
      </c>
      <c r="BQ124" s="3">
        <f>+IF(AVANCE[[#This Row],[LAVAMANOS / LAVAPLATOS / LAVADERO]]=Z$2,100%,AVANCE[[#This Row],[LAVAMANOS / LAVAPLATOS / LAVADERO]])</f>
        <v>0</v>
      </c>
      <c r="BR124" s="3">
        <f>+IF(AVANCE[[#This Row],[CANALIZACIÓN]]=AC$2,100%,AVANCE[[#This Row],[CANALIZACIÓN]])</f>
        <v>0</v>
      </c>
      <c r="BS124" s="3">
        <f>+IF(AVANCE[[#This Row],[CABLEADO]]=AD$2,100%,AVANCE[[#This Row],[CABLEADO]])</f>
        <v>0</v>
      </c>
      <c r="BT124" s="3">
        <f>+IF(AVANCE[[#This Row],[ARTEFACTOS]]=AE$2,100%,AVANCE[[#This Row],[ARTEFACTOS]])</f>
        <v>0</v>
      </c>
      <c r="BU124" s="3">
        <f>+IF(AVANCE[[#This Row],[TABLERO]]=AF$2,100%,AVANCE[[#This Row],[TABLERO]])</f>
        <v>0</v>
      </c>
      <c r="BV124" s="3">
        <f>+IF(AVANCE[[#This Row],[CAJA PAU]]=AG$2,100%,AVANCE[[#This Row],[CAJA PAU]])</f>
        <v>0</v>
      </c>
      <c r="BW124" s="3">
        <f>+IF(AVANCE[[#This Row],[INSTALACION VINILICO]]=AJ$2,100%,AVANCE[[#This Row],[INSTALACION VINILICO]])</f>
        <v>0</v>
      </c>
      <c r="BX124" s="3">
        <f>+IF(AVANCE[[#This Row],[OSB CUBIERTA]]=AK$2,100%,AVANCE[[#This Row],[OSB CUBIERTA]])</f>
        <v>0</v>
      </c>
      <c r="BY124" s="3">
        <f>+IF(AVANCE[[#This Row],[BARANDA BALCON]]=AL$2,100%,AVANCE[[#This Row],[BARANDA BALCON]])</f>
        <v>0</v>
      </c>
      <c r="BZ124" s="3">
        <f>+IF(AVANCE[[#This Row],[OSB EXTERIOR]]=AM$2,100%,AVANCE[[#This Row],[OSB EXTERIOR]])</f>
        <v>0</v>
      </c>
      <c r="CA124" s="3">
        <f>+IF(AVANCE[[#This Row],[SMART PANEL]]=AN$2,100%,AVANCE[[#This Row],[SMART PANEL]])</f>
        <v>0</v>
      </c>
      <c r="CB124" s="3">
        <f>+IF(AVANCE[[#This Row],[PINTURA EXTERIOR]]=AO$2,100%,AVANCE[[#This Row],[PINTURA EXTERIOR]])</f>
        <v>0</v>
      </c>
      <c r="CC124" s="3">
        <f>+IF(AVANCE[[#This Row],[ZOCALOS LOGIA]]=AP$2,100%,AVANCE[[#This Row],[ZOCALOS LOGIA]])</f>
        <v>0</v>
      </c>
      <c r="CD124" s="3">
        <f>+IF(AVANCE[[#This Row],[MOLDURAS]]=AQ$2,100%,AVANCE[[#This Row],[MOLDURAS]])</f>
        <v>0</v>
      </c>
      <c r="CE124" s="3">
        <f>+IF(AVANCE[[#This Row],[PILASTREO]]=AR$2,100%,AVANCE[[#This Row],[PILASTREO]])</f>
        <v>0</v>
      </c>
      <c r="CF124" s="3">
        <f>+IF(AVANCE[[#This Row],[CELOSIAS]]=AS$2,100%,AVANCE[[#This Row],[CELOSIAS]])</f>
        <v>0</v>
      </c>
      <c r="CG124" s="3">
        <f>+IF(AVANCE[[#This Row],[VENTANAS]]=AT$2,100%,AVANCE[[#This Row],[VENTANAS]])</f>
        <v>0</v>
      </c>
      <c r="CH124" s="3">
        <f>+IF(AVANCE[[#This Row],[PUERTAS ACCESO - LOGIA - BANO]]=AU$2,100%,AVANCE[[#This Row],[PUERTAS ACCESO - LOGIA - BANO]])</f>
        <v>0</v>
      </c>
      <c r="CI124" s="3">
        <f>+IF(AVANCE[[#This Row],[CERRADURAS]]=AV$2,100%,AVANCE[[#This Row],[CERRADURAS]])</f>
        <v>0</v>
      </c>
      <c r="CJ124" s="3">
        <f>+IF(AVANCE[[#This Row],[REVESTIMIENTO INTERIOR ZONA SECA]]=AW$2,100%,AVANCE[[#This Row],[REVESTIMIENTO INTERIOR ZONA SECA]])</f>
        <v>0</v>
      </c>
      <c r="CK124" s="3">
        <f>+IF(AVANCE[[#This Row],[REVESTIMIENTO INTERIOR ZONAS HUMEDAS]]=AX$2,100%,AVANCE[[#This Row],[REVESTIMIENTO INTERIOR ZONAS HUMEDAS]])</f>
        <v>0</v>
      </c>
      <c r="CL124" s="3">
        <f>+IF(AVANCE[[#This Row],[MEMBRANA CIELO]]=AY$2,100%,AVANCE[[#This Row],[MEMBRANA CIELO]])</f>
        <v>0</v>
      </c>
      <c r="CM124" s="3">
        <f>+IF(AVANCE[[#This Row],[LIMPIEZA FINAL]]=AZ$2,100%,AVANCE[[#This Row],[LIMPIEZA FINAL]])</f>
        <v>0</v>
      </c>
      <c r="CN124" s="3">
        <f>+IF(AVANCE[[#This Row],[PUERTAS DORMITORIO]]=BA$2,100%,AVANCE[[#This Row],[PUERTAS DORMITORIO]])</f>
        <v>0</v>
      </c>
      <c r="CO124" s="3">
        <f>+IF(AVANCE[[#This Row],[REVESTIMIENTO INTERIOR BANO]]=BB$2,100%,AVANCE[[#This Row],[REVESTIMIENTO INTERIOR BANO]])</f>
        <v>0</v>
      </c>
      <c r="CP124" s="3">
        <f>+IF(AVANCE[[#This Row],[MUEBLE LAVAPLATOS]]=BC$2,100%,AVANCE[[#This Row],[MUEBLE LAVAPLATOS]])</f>
        <v>0</v>
      </c>
      <c r="CQ124" s="3">
        <f>+IF(AVANCE[[#This Row],[IMPERMEABILIZACION BANO - COCINA LOGIA]]=BD$2,100%,AVANCE[[#This Row],[IMPERMEABILIZACION BANO - COCINA LOGIA]])</f>
        <v>0</v>
      </c>
      <c r="CR124" s="40">
        <f ca="1">+IF(AVANCE[[#This Row],[ESTADO MODULO]]="PENDIENTE",(TODAY()-AVANCE[[#This Row],[FECHA TERMINO  PLANIFICADO]]),0)</f>
        <v>0</v>
      </c>
      <c r="CS124" s="42" t="str" cm="1">
        <f t="array" ref="CS124">_xlfn.TEXTJOIN(" | ",TRUE,IF(SUMPRODUCT((BF124:CQ124&lt;1)*(PARTIDAS!$I$2:$AT$2="OBRA GRUESA"))&gt;0,"OBRA GRUESA: "&amp;_xlfn.TEXTJOIN(", ",TRUE,IF((BF124:CQ124&lt;1)*(PARTIDAS!$I$2:$AT$2="OBRA GRUESA"),PARTIDAS!$I$1:$AT$1,"")),""),IF(SUMPRODUCT((BF124:CQ124&lt;1)*(PARTIDAS!$I$2:$AT$2="SANITARIOS"))&gt;0,"SANITARIOS: "&amp;_xlfn.TEXTJOIN(", ",TRUE,IF((BF124:CQ124&lt;1)*(PARTIDAS!$I$2:$AT$2="SANITARIOS"),PARTIDAS!$I$1:$AT$1,"")),""),IF(SUMPRODUCT((BF124:CQ124&lt;1)*(PARTIDAS!$I$2:$AT$2="ELÉCTRICO"))&gt;0,"ELÉCTRICO: "&amp;_xlfn.TEXTJOIN(", ",TRUE,IF((BF124:CQ124&lt;1)*(PARTIDAS!$I$2:$AT$2="ELÉCTRICO"),PARTIDAS!$I$1:$AT$1,"")),""),IF(SUMPRODUCT((BF124:CQ124&lt;1)*(PARTIDAS!$I$2:$AT$2="TERMINACIONES"))&gt;0,"TERMINACIONES: "&amp;_xlfn.TEXTJOIN(", ",TRUE,IF((BF124:CQ124&lt;1)*(PARTIDAS!$I$2:$AT$2="TERMINACIONES"),PARTIDAS!$I$1:$AT$1,"")),""))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4" s="45" t="str" cm="1">
        <f t="array" ref="CT124">_xlfn.TEXTJOIN(", ",TRUE,IF(SUMPRODUCT((BF124:CQ124&lt;1)*(PARTIDAS!$I$2:$AT$2="OBRA GRUESA"))&gt;0,"OBRA GRUESA",""),IF(SUMPRODUCT((BF124:CQ124&lt;1)*(PARTIDAS!$I$2:$AT$2="SANITARIOS"))&gt;0,"SANITARIOS",""),IF(SUMPRODUCT((BF124:CQ124&lt;1)*(PARTIDAS!$I$2:$AT$2="ELÉCTRICO"))&gt;0,"ELÉCTRICO",""),IF(SUMPRODUCT((BF124:CQ124&lt;1)*(PARTIDAS!$I$2:$AT$2="TERMINACIONES"))&gt;0,"TERMINACIONES",""))</f>
        <v>OBRA GRUESA, SANITARIOS, ELÉCTRICO, TERMINACIONES</v>
      </c>
      <c r="CU124" s="46" cm="1">
        <f t="array" ref="CU124">SUMPRODUCT(--(BF124:CQ124&lt;1))</f>
        <v>38</v>
      </c>
    </row>
    <row r="125" spans="1:99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46181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 t="str">
        <f>+IF(AVANCE[[#This Row],[% AVANCE]]=100%,"MODULO TERMINADO",IF(AVANCE[[#This Row],[FECHA INICIO REAL]]="","MODULO NO INICIADO","PENDIENTE"))</f>
        <v>MODULO NO INICIADO</v>
      </c>
      <c r="BF125" s="3">
        <f>+IF(AVANCE[[#This Row],[VENTANAS]]=8.10810810810811%,100%,AVANCE[[#This Row],[VENTANAS]])</f>
        <v>0</v>
      </c>
      <c r="BG125" s="3">
        <f>+IF(AVANCE[[#This Row],[PISO]]=N$2,100%,AVANCE[[#This Row],[PISO]])</f>
        <v>0</v>
      </c>
      <c r="BH125" s="3">
        <f>+IF(AVANCE[[#This Row],[TABIQUES]]=O$2,100%,AVANCE[[#This Row],[TABIQUES]])</f>
        <v>0</v>
      </c>
      <c r="BI125" s="3">
        <f>+IF(AVANCE[[#This Row],[MUROS]]=P$2,100%,AVANCE[[#This Row],[MUROS]])</f>
        <v>0</v>
      </c>
      <c r="BJ125" s="3">
        <f>+IF(AVANCE[[#This Row],[CIELO]]=Q$2,100%,AVANCE[[#This Row],[CIELO]])</f>
        <v>0</v>
      </c>
      <c r="BK125" s="3">
        <f>+IF(AVANCE[[#This Row],[BALCÓN]]=R$2,100%,AVANCE[[#This Row],[BALCÓN]])</f>
        <v>0</v>
      </c>
      <c r="BL125" s="3">
        <f>+IF(AVANCE[[#This Row],[RED ALCANTARILLADO]]=U$2,100%,AVANCE[[#This Row],[RED ALCANTARILLADO]])</f>
        <v>0</v>
      </c>
      <c r="BM125" s="3">
        <f>+IF(AVANCE[[#This Row],[RED DE AGUA]]=V$2,100%,AVANCE[[#This Row],[RED DE AGUA]])</f>
        <v>0</v>
      </c>
      <c r="BN125" s="3">
        <f>+IF(AVANCE[[#This Row],[VENTILACIONES]]=W$2,100%,AVANCE[[#This Row],[VENTILACIONES]])</f>
        <v>0</v>
      </c>
      <c r="BO125" s="3">
        <f>+IF(AVANCE[[#This Row],[TINA]]=X$2,100%,AVANCE[[#This Row],[TINA]])</f>
        <v>0</v>
      </c>
      <c r="BP125" s="3">
        <f>+IF(AVANCE[[#This Row],[WC]]=Y$2,100%,AVANCE[[#This Row],[WC]])</f>
        <v>0</v>
      </c>
      <c r="BQ125" s="3">
        <f>+IF(AVANCE[[#This Row],[LAVAMANOS / LAVAPLATOS / LAVADERO]]=Z$2,100%,AVANCE[[#This Row],[LAVAMANOS / LAVAPLATOS / LAVADERO]])</f>
        <v>0</v>
      </c>
      <c r="BR125" s="3">
        <f>+IF(AVANCE[[#This Row],[CANALIZACIÓN]]=AC$2,100%,AVANCE[[#This Row],[CANALIZACIÓN]])</f>
        <v>0</v>
      </c>
      <c r="BS125" s="3">
        <f>+IF(AVANCE[[#This Row],[CABLEADO]]=AD$2,100%,AVANCE[[#This Row],[CABLEADO]])</f>
        <v>0</v>
      </c>
      <c r="BT125" s="3">
        <f>+IF(AVANCE[[#This Row],[ARTEFACTOS]]=AE$2,100%,AVANCE[[#This Row],[ARTEFACTOS]])</f>
        <v>0</v>
      </c>
      <c r="BU125" s="3">
        <f>+IF(AVANCE[[#This Row],[TABLERO]]=AF$2,100%,AVANCE[[#This Row],[TABLERO]])</f>
        <v>0</v>
      </c>
      <c r="BV125" s="3">
        <f>+IF(AVANCE[[#This Row],[CAJA PAU]]=AG$2,100%,AVANCE[[#This Row],[CAJA PAU]])</f>
        <v>0</v>
      </c>
      <c r="BW125" s="3">
        <f>+IF(AVANCE[[#This Row],[INSTALACION VINILICO]]=AJ$2,100%,AVANCE[[#This Row],[INSTALACION VINILICO]])</f>
        <v>0</v>
      </c>
      <c r="BX125" s="3">
        <f>+IF(AVANCE[[#This Row],[OSB CUBIERTA]]=AK$2,100%,AVANCE[[#This Row],[OSB CUBIERTA]])</f>
        <v>0</v>
      </c>
      <c r="BY125" s="3">
        <f>+IF(AVANCE[[#This Row],[BARANDA BALCON]]=AL$2,100%,AVANCE[[#This Row],[BARANDA BALCON]])</f>
        <v>0</v>
      </c>
      <c r="BZ125" s="3">
        <f>+IF(AVANCE[[#This Row],[OSB EXTERIOR]]=AM$2,100%,AVANCE[[#This Row],[OSB EXTERIOR]])</f>
        <v>0</v>
      </c>
      <c r="CA125" s="3">
        <f>+IF(AVANCE[[#This Row],[SMART PANEL]]=AN$2,100%,AVANCE[[#This Row],[SMART PANEL]])</f>
        <v>0</v>
      </c>
      <c r="CB125" s="3">
        <f>+IF(AVANCE[[#This Row],[PINTURA EXTERIOR]]=AO$2,100%,AVANCE[[#This Row],[PINTURA EXTERIOR]])</f>
        <v>0</v>
      </c>
      <c r="CC125" s="3">
        <f>+IF(AVANCE[[#This Row],[ZOCALOS LOGIA]]=AP$2,100%,AVANCE[[#This Row],[ZOCALOS LOGIA]])</f>
        <v>0</v>
      </c>
      <c r="CD125" s="3">
        <f>+IF(AVANCE[[#This Row],[MOLDURAS]]=AQ$2,100%,AVANCE[[#This Row],[MOLDURAS]])</f>
        <v>0</v>
      </c>
      <c r="CE125" s="3">
        <f>+IF(AVANCE[[#This Row],[PILASTREO]]=AR$2,100%,AVANCE[[#This Row],[PILASTREO]])</f>
        <v>0</v>
      </c>
      <c r="CF125" s="3">
        <f>+IF(AVANCE[[#This Row],[CELOSIAS]]=AS$2,100%,AVANCE[[#This Row],[CELOSIAS]])</f>
        <v>0</v>
      </c>
      <c r="CG125" s="3">
        <f>+IF(AVANCE[[#This Row],[VENTANAS]]=AT$2,100%,AVANCE[[#This Row],[VENTANAS]])</f>
        <v>0</v>
      </c>
      <c r="CH125" s="3">
        <f>+IF(AVANCE[[#This Row],[PUERTAS ACCESO - LOGIA - BANO]]=AU$2,100%,AVANCE[[#This Row],[PUERTAS ACCESO - LOGIA - BANO]])</f>
        <v>0</v>
      </c>
      <c r="CI125" s="3">
        <f>+IF(AVANCE[[#This Row],[CERRADURAS]]=AV$2,100%,AVANCE[[#This Row],[CERRADURAS]])</f>
        <v>0</v>
      </c>
      <c r="CJ125" s="3">
        <f>+IF(AVANCE[[#This Row],[REVESTIMIENTO INTERIOR ZONA SECA]]=AW$2,100%,AVANCE[[#This Row],[REVESTIMIENTO INTERIOR ZONA SECA]])</f>
        <v>0</v>
      </c>
      <c r="CK125" s="3">
        <f>+IF(AVANCE[[#This Row],[REVESTIMIENTO INTERIOR ZONAS HUMEDAS]]=AX$2,100%,AVANCE[[#This Row],[REVESTIMIENTO INTERIOR ZONAS HUMEDAS]])</f>
        <v>0</v>
      </c>
      <c r="CL125" s="3">
        <f>+IF(AVANCE[[#This Row],[MEMBRANA CIELO]]=AY$2,100%,AVANCE[[#This Row],[MEMBRANA CIELO]])</f>
        <v>0</v>
      </c>
      <c r="CM125" s="3">
        <f>+IF(AVANCE[[#This Row],[LIMPIEZA FINAL]]=AZ$2,100%,AVANCE[[#This Row],[LIMPIEZA FINAL]])</f>
        <v>0</v>
      </c>
      <c r="CN125" s="3">
        <f>+IF(AVANCE[[#This Row],[PUERTAS DORMITORIO]]=BA$2,100%,AVANCE[[#This Row],[PUERTAS DORMITORIO]])</f>
        <v>0</v>
      </c>
      <c r="CO125" s="3">
        <f>+IF(AVANCE[[#This Row],[REVESTIMIENTO INTERIOR BANO]]=BB$2,100%,AVANCE[[#This Row],[REVESTIMIENTO INTERIOR BANO]])</f>
        <v>0</v>
      </c>
      <c r="CP125" s="3">
        <f>+IF(AVANCE[[#This Row],[MUEBLE LAVAPLATOS]]=BC$2,100%,AVANCE[[#This Row],[MUEBLE LAVAPLATOS]])</f>
        <v>0</v>
      </c>
      <c r="CQ125" s="3">
        <f>+IF(AVANCE[[#This Row],[IMPERMEABILIZACION BANO - COCINA LOGIA]]=BD$2,100%,AVANCE[[#This Row],[IMPERMEABILIZACION BANO - COCINA LOGIA]])</f>
        <v>0</v>
      </c>
      <c r="CR125" s="40">
        <f ca="1">+IF(AVANCE[[#This Row],[ESTADO MODULO]]="PENDIENTE",(TODAY()-AVANCE[[#This Row],[FECHA TERMINO  PLANIFICADO]]),0)</f>
        <v>0</v>
      </c>
      <c r="CS125" s="42" t="str" cm="1">
        <f t="array" ref="CS125">_xlfn.TEXTJOIN(" | ",TRUE,IF(SUMPRODUCT((BF125:CQ125&lt;1)*(PARTIDAS!$I$2:$AT$2="OBRA GRUESA"))&gt;0,"OBRA GRUESA: "&amp;_xlfn.TEXTJOIN(", ",TRUE,IF((BF125:CQ125&lt;1)*(PARTIDAS!$I$2:$AT$2="OBRA GRUESA"),PARTIDAS!$I$1:$AT$1,"")),""),IF(SUMPRODUCT((BF125:CQ125&lt;1)*(PARTIDAS!$I$2:$AT$2="SANITARIOS"))&gt;0,"SANITARIOS: "&amp;_xlfn.TEXTJOIN(", ",TRUE,IF((BF125:CQ125&lt;1)*(PARTIDAS!$I$2:$AT$2="SANITARIOS"),PARTIDAS!$I$1:$AT$1,"")),""),IF(SUMPRODUCT((BF125:CQ125&lt;1)*(PARTIDAS!$I$2:$AT$2="ELÉCTRICO"))&gt;0,"ELÉCTRICO: "&amp;_xlfn.TEXTJOIN(", ",TRUE,IF((BF125:CQ125&lt;1)*(PARTIDAS!$I$2:$AT$2="ELÉCTRICO"),PARTIDAS!$I$1:$AT$1,"")),""),IF(SUMPRODUCT((BF125:CQ125&lt;1)*(PARTIDAS!$I$2:$AT$2="TERMINACIONES"))&gt;0,"TERMINACIONES: "&amp;_xlfn.TEXTJOIN(", ",TRUE,IF((BF125:CQ125&lt;1)*(PARTIDAS!$I$2:$AT$2="TERMINACIONES"),PARTIDAS!$I$1:$AT$1,"")),""))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5" s="45" t="str" cm="1">
        <f t="array" ref="CT125">_xlfn.TEXTJOIN(", ",TRUE,IF(SUMPRODUCT((BF125:CQ125&lt;1)*(PARTIDAS!$I$2:$AT$2="OBRA GRUESA"))&gt;0,"OBRA GRUESA",""),IF(SUMPRODUCT((BF125:CQ125&lt;1)*(PARTIDAS!$I$2:$AT$2="SANITARIOS"))&gt;0,"SANITARIOS",""),IF(SUMPRODUCT((BF125:CQ125&lt;1)*(PARTIDAS!$I$2:$AT$2="ELÉCTRICO"))&gt;0,"ELÉCTRICO",""),IF(SUMPRODUCT((BF125:CQ125&lt;1)*(PARTIDAS!$I$2:$AT$2="TERMINACIONES"))&gt;0,"TERMINACIONES",""))</f>
        <v>OBRA GRUESA, SANITARIOS, ELÉCTRICO, TERMINACIONES</v>
      </c>
      <c r="CU125" s="46" cm="1">
        <f t="array" ref="CU125">SUMPRODUCT(--(BF125:CQ125&lt;1))</f>
        <v>38</v>
      </c>
    </row>
    <row r="126" spans="1:99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46181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 t="str">
        <f>+IF(AVANCE[[#This Row],[% AVANCE]]=100%,"MODULO TERMINADO",IF(AVANCE[[#This Row],[FECHA INICIO REAL]]="","MODULO NO INICIADO","PENDIENTE"))</f>
        <v>MODULO NO INICIADO</v>
      </c>
      <c r="BF126" s="3">
        <f>+IF(AVANCE[[#This Row],[VENTANAS]]=8.10810810810811%,100%,AVANCE[[#This Row],[VENTANAS]])</f>
        <v>0</v>
      </c>
      <c r="BG126" s="3">
        <f>+IF(AVANCE[[#This Row],[PISO]]=N$2,100%,AVANCE[[#This Row],[PISO]])</f>
        <v>0</v>
      </c>
      <c r="BH126" s="3">
        <f>+IF(AVANCE[[#This Row],[TABIQUES]]=O$2,100%,AVANCE[[#This Row],[TABIQUES]])</f>
        <v>0</v>
      </c>
      <c r="BI126" s="3">
        <f>+IF(AVANCE[[#This Row],[MUROS]]=P$2,100%,AVANCE[[#This Row],[MUROS]])</f>
        <v>0</v>
      </c>
      <c r="BJ126" s="3">
        <f>+IF(AVANCE[[#This Row],[CIELO]]=Q$2,100%,AVANCE[[#This Row],[CIELO]])</f>
        <v>0</v>
      </c>
      <c r="BK126" s="3">
        <f>+IF(AVANCE[[#This Row],[BALCÓN]]=R$2,100%,AVANCE[[#This Row],[BALCÓN]])</f>
        <v>0</v>
      </c>
      <c r="BL126" s="3">
        <f>+IF(AVANCE[[#This Row],[RED ALCANTARILLADO]]=U$2,100%,AVANCE[[#This Row],[RED ALCANTARILLADO]])</f>
        <v>0</v>
      </c>
      <c r="BM126" s="3">
        <f>+IF(AVANCE[[#This Row],[RED DE AGUA]]=V$2,100%,AVANCE[[#This Row],[RED DE AGUA]])</f>
        <v>0</v>
      </c>
      <c r="BN126" s="3">
        <f>+IF(AVANCE[[#This Row],[VENTILACIONES]]=W$2,100%,AVANCE[[#This Row],[VENTILACIONES]])</f>
        <v>0</v>
      </c>
      <c r="BO126" s="3">
        <f>+IF(AVANCE[[#This Row],[TINA]]=X$2,100%,AVANCE[[#This Row],[TINA]])</f>
        <v>0</v>
      </c>
      <c r="BP126" s="3">
        <f>+IF(AVANCE[[#This Row],[WC]]=Y$2,100%,AVANCE[[#This Row],[WC]])</f>
        <v>0</v>
      </c>
      <c r="BQ126" s="3">
        <f>+IF(AVANCE[[#This Row],[LAVAMANOS / LAVAPLATOS / LAVADERO]]=Z$2,100%,AVANCE[[#This Row],[LAVAMANOS / LAVAPLATOS / LAVADERO]])</f>
        <v>0</v>
      </c>
      <c r="BR126" s="3">
        <f>+IF(AVANCE[[#This Row],[CANALIZACIÓN]]=AC$2,100%,AVANCE[[#This Row],[CANALIZACIÓN]])</f>
        <v>0</v>
      </c>
      <c r="BS126" s="3">
        <f>+IF(AVANCE[[#This Row],[CABLEADO]]=AD$2,100%,AVANCE[[#This Row],[CABLEADO]])</f>
        <v>0</v>
      </c>
      <c r="BT126" s="3">
        <f>+IF(AVANCE[[#This Row],[ARTEFACTOS]]=AE$2,100%,AVANCE[[#This Row],[ARTEFACTOS]])</f>
        <v>0</v>
      </c>
      <c r="BU126" s="3">
        <f>+IF(AVANCE[[#This Row],[TABLERO]]=AF$2,100%,AVANCE[[#This Row],[TABLERO]])</f>
        <v>0</v>
      </c>
      <c r="BV126" s="3">
        <f>+IF(AVANCE[[#This Row],[CAJA PAU]]=AG$2,100%,AVANCE[[#This Row],[CAJA PAU]])</f>
        <v>0</v>
      </c>
      <c r="BW126" s="3">
        <f>+IF(AVANCE[[#This Row],[INSTALACION VINILICO]]=AJ$2,100%,AVANCE[[#This Row],[INSTALACION VINILICO]])</f>
        <v>0</v>
      </c>
      <c r="BX126" s="3">
        <f>+IF(AVANCE[[#This Row],[OSB CUBIERTA]]=AK$2,100%,AVANCE[[#This Row],[OSB CUBIERTA]])</f>
        <v>0</v>
      </c>
      <c r="BY126" s="3">
        <f>+IF(AVANCE[[#This Row],[BARANDA BALCON]]=AL$2,100%,AVANCE[[#This Row],[BARANDA BALCON]])</f>
        <v>0</v>
      </c>
      <c r="BZ126" s="3">
        <f>+IF(AVANCE[[#This Row],[OSB EXTERIOR]]=AM$2,100%,AVANCE[[#This Row],[OSB EXTERIOR]])</f>
        <v>0</v>
      </c>
      <c r="CA126" s="3">
        <f>+IF(AVANCE[[#This Row],[SMART PANEL]]=AN$2,100%,AVANCE[[#This Row],[SMART PANEL]])</f>
        <v>0</v>
      </c>
      <c r="CB126" s="3">
        <f>+IF(AVANCE[[#This Row],[PINTURA EXTERIOR]]=AO$2,100%,AVANCE[[#This Row],[PINTURA EXTERIOR]])</f>
        <v>0</v>
      </c>
      <c r="CC126" s="3">
        <f>+IF(AVANCE[[#This Row],[ZOCALOS LOGIA]]=AP$2,100%,AVANCE[[#This Row],[ZOCALOS LOGIA]])</f>
        <v>0</v>
      </c>
      <c r="CD126" s="3">
        <f>+IF(AVANCE[[#This Row],[MOLDURAS]]=AQ$2,100%,AVANCE[[#This Row],[MOLDURAS]])</f>
        <v>0</v>
      </c>
      <c r="CE126" s="3">
        <f>+IF(AVANCE[[#This Row],[PILASTREO]]=AR$2,100%,AVANCE[[#This Row],[PILASTREO]])</f>
        <v>0</v>
      </c>
      <c r="CF126" s="3">
        <f>+IF(AVANCE[[#This Row],[CELOSIAS]]=AS$2,100%,AVANCE[[#This Row],[CELOSIAS]])</f>
        <v>0</v>
      </c>
      <c r="CG126" s="3">
        <f>+IF(AVANCE[[#This Row],[VENTANAS]]=AT$2,100%,AVANCE[[#This Row],[VENTANAS]])</f>
        <v>0</v>
      </c>
      <c r="CH126" s="3">
        <f>+IF(AVANCE[[#This Row],[PUERTAS ACCESO - LOGIA - BANO]]=AU$2,100%,AVANCE[[#This Row],[PUERTAS ACCESO - LOGIA - BANO]])</f>
        <v>0</v>
      </c>
      <c r="CI126" s="3">
        <f>+IF(AVANCE[[#This Row],[CERRADURAS]]=AV$2,100%,AVANCE[[#This Row],[CERRADURAS]])</f>
        <v>0</v>
      </c>
      <c r="CJ126" s="3">
        <f>+IF(AVANCE[[#This Row],[REVESTIMIENTO INTERIOR ZONA SECA]]=AW$2,100%,AVANCE[[#This Row],[REVESTIMIENTO INTERIOR ZONA SECA]])</f>
        <v>0</v>
      </c>
      <c r="CK126" s="3">
        <f>+IF(AVANCE[[#This Row],[REVESTIMIENTO INTERIOR ZONAS HUMEDAS]]=AX$2,100%,AVANCE[[#This Row],[REVESTIMIENTO INTERIOR ZONAS HUMEDAS]])</f>
        <v>0</v>
      </c>
      <c r="CL126" s="3">
        <f>+IF(AVANCE[[#This Row],[MEMBRANA CIELO]]=AY$2,100%,AVANCE[[#This Row],[MEMBRANA CIELO]])</f>
        <v>0</v>
      </c>
      <c r="CM126" s="3">
        <f>+IF(AVANCE[[#This Row],[LIMPIEZA FINAL]]=AZ$2,100%,AVANCE[[#This Row],[LIMPIEZA FINAL]])</f>
        <v>0</v>
      </c>
      <c r="CN126" s="3">
        <f>+IF(AVANCE[[#This Row],[PUERTAS DORMITORIO]]=BA$2,100%,AVANCE[[#This Row],[PUERTAS DORMITORIO]])</f>
        <v>0</v>
      </c>
      <c r="CO126" s="3">
        <f>+IF(AVANCE[[#This Row],[REVESTIMIENTO INTERIOR BANO]]=BB$2,100%,AVANCE[[#This Row],[REVESTIMIENTO INTERIOR BANO]])</f>
        <v>0</v>
      </c>
      <c r="CP126" s="3">
        <f>+IF(AVANCE[[#This Row],[MUEBLE LAVAPLATOS]]=BC$2,100%,AVANCE[[#This Row],[MUEBLE LAVAPLATOS]])</f>
        <v>0</v>
      </c>
      <c r="CQ126" s="3">
        <f>+IF(AVANCE[[#This Row],[IMPERMEABILIZACION BANO - COCINA LOGIA]]=BD$2,100%,AVANCE[[#This Row],[IMPERMEABILIZACION BANO - COCINA LOGIA]])</f>
        <v>0</v>
      </c>
      <c r="CR126" s="40">
        <f ca="1">+IF(AVANCE[[#This Row],[ESTADO MODULO]]="PENDIENTE",(TODAY()-AVANCE[[#This Row],[FECHA TERMINO  PLANIFICADO]]),0)</f>
        <v>0</v>
      </c>
      <c r="CS126" s="42" t="str" cm="1">
        <f t="array" ref="CS126">_xlfn.TEXTJOIN(" | ",TRUE,IF(SUMPRODUCT((BF126:CQ126&lt;1)*(PARTIDAS!$I$2:$AT$2="OBRA GRUESA"))&gt;0,"OBRA GRUESA: "&amp;_xlfn.TEXTJOIN(", ",TRUE,IF((BF126:CQ126&lt;1)*(PARTIDAS!$I$2:$AT$2="OBRA GRUESA"),PARTIDAS!$I$1:$AT$1,"")),""),IF(SUMPRODUCT((BF126:CQ126&lt;1)*(PARTIDAS!$I$2:$AT$2="SANITARIOS"))&gt;0,"SANITARIOS: "&amp;_xlfn.TEXTJOIN(", ",TRUE,IF((BF126:CQ126&lt;1)*(PARTIDAS!$I$2:$AT$2="SANITARIOS"),PARTIDAS!$I$1:$AT$1,"")),""),IF(SUMPRODUCT((BF126:CQ126&lt;1)*(PARTIDAS!$I$2:$AT$2="ELÉCTRICO"))&gt;0,"ELÉCTRICO: "&amp;_xlfn.TEXTJOIN(", ",TRUE,IF((BF126:CQ126&lt;1)*(PARTIDAS!$I$2:$AT$2="ELÉCTRICO"),PARTIDAS!$I$1:$AT$1,"")),""),IF(SUMPRODUCT((BF126:CQ126&lt;1)*(PARTIDAS!$I$2:$AT$2="TERMINACIONES"))&gt;0,"TERMINACIONES: "&amp;_xlfn.TEXTJOIN(", ",TRUE,IF((BF126:CQ126&lt;1)*(PARTIDAS!$I$2:$AT$2="TERMINACIONES"),PARTIDAS!$I$1:$AT$1,"")),""))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6" s="45" t="str" cm="1">
        <f t="array" ref="CT126">_xlfn.TEXTJOIN(", ",TRUE,IF(SUMPRODUCT((BF126:CQ126&lt;1)*(PARTIDAS!$I$2:$AT$2="OBRA GRUESA"))&gt;0,"OBRA GRUESA",""),IF(SUMPRODUCT((BF126:CQ126&lt;1)*(PARTIDAS!$I$2:$AT$2="SANITARIOS"))&gt;0,"SANITARIOS",""),IF(SUMPRODUCT((BF126:CQ126&lt;1)*(PARTIDAS!$I$2:$AT$2="ELÉCTRICO"))&gt;0,"ELÉCTRICO",""),IF(SUMPRODUCT((BF126:CQ126&lt;1)*(PARTIDAS!$I$2:$AT$2="TERMINACIONES"))&gt;0,"TERMINACIONES",""))</f>
        <v>OBRA GRUESA, SANITARIOS, ELÉCTRICO, TERMINACIONES</v>
      </c>
      <c r="CU126" s="46" cm="1">
        <f t="array" ref="CU126">SUMPRODUCT(--(BF126:CQ126&lt;1))</f>
        <v>38</v>
      </c>
    </row>
    <row r="127" spans="1:99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46181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 t="str">
        <f>+IF(AVANCE[[#This Row],[% AVANCE]]=100%,"MODULO TERMINADO",IF(AVANCE[[#This Row],[FECHA INICIO REAL]]="","MODULO NO INICIADO","PENDIENTE"))</f>
        <v>MODULO NO INICIADO</v>
      </c>
      <c r="BF127" s="3">
        <f>+IF(AVANCE[[#This Row],[VENTANAS]]=8.10810810810811%,100%,AVANCE[[#This Row],[VENTANAS]])</f>
        <v>0</v>
      </c>
      <c r="BG127" s="3">
        <f>+IF(AVANCE[[#This Row],[PISO]]=N$2,100%,AVANCE[[#This Row],[PISO]])</f>
        <v>0</v>
      </c>
      <c r="BH127" s="3">
        <f>+IF(AVANCE[[#This Row],[TABIQUES]]=O$2,100%,AVANCE[[#This Row],[TABIQUES]])</f>
        <v>0</v>
      </c>
      <c r="BI127" s="3">
        <f>+IF(AVANCE[[#This Row],[MUROS]]=P$2,100%,AVANCE[[#This Row],[MUROS]])</f>
        <v>0</v>
      </c>
      <c r="BJ127" s="3">
        <f>+IF(AVANCE[[#This Row],[CIELO]]=Q$2,100%,AVANCE[[#This Row],[CIELO]])</f>
        <v>0</v>
      </c>
      <c r="BK127" s="3">
        <f>+IF(AVANCE[[#This Row],[BALCÓN]]=R$2,100%,AVANCE[[#This Row],[BALCÓN]])</f>
        <v>0</v>
      </c>
      <c r="BL127" s="3">
        <f>+IF(AVANCE[[#This Row],[RED ALCANTARILLADO]]=U$2,100%,AVANCE[[#This Row],[RED ALCANTARILLADO]])</f>
        <v>0</v>
      </c>
      <c r="BM127" s="3">
        <f>+IF(AVANCE[[#This Row],[RED DE AGUA]]=V$2,100%,AVANCE[[#This Row],[RED DE AGUA]])</f>
        <v>0</v>
      </c>
      <c r="BN127" s="3">
        <f>+IF(AVANCE[[#This Row],[VENTILACIONES]]=W$2,100%,AVANCE[[#This Row],[VENTILACIONES]])</f>
        <v>0</v>
      </c>
      <c r="BO127" s="3">
        <f>+IF(AVANCE[[#This Row],[TINA]]=X$2,100%,AVANCE[[#This Row],[TINA]])</f>
        <v>0</v>
      </c>
      <c r="BP127" s="3">
        <f>+IF(AVANCE[[#This Row],[WC]]=Y$2,100%,AVANCE[[#This Row],[WC]])</f>
        <v>0</v>
      </c>
      <c r="BQ127" s="3">
        <f>+IF(AVANCE[[#This Row],[LAVAMANOS / LAVAPLATOS / LAVADERO]]=Z$2,100%,AVANCE[[#This Row],[LAVAMANOS / LAVAPLATOS / LAVADERO]])</f>
        <v>0</v>
      </c>
      <c r="BR127" s="3">
        <f>+IF(AVANCE[[#This Row],[CANALIZACIÓN]]=AC$2,100%,AVANCE[[#This Row],[CANALIZACIÓN]])</f>
        <v>0</v>
      </c>
      <c r="BS127" s="3">
        <f>+IF(AVANCE[[#This Row],[CABLEADO]]=AD$2,100%,AVANCE[[#This Row],[CABLEADO]])</f>
        <v>0</v>
      </c>
      <c r="BT127" s="3">
        <f>+IF(AVANCE[[#This Row],[ARTEFACTOS]]=AE$2,100%,AVANCE[[#This Row],[ARTEFACTOS]])</f>
        <v>0</v>
      </c>
      <c r="BU127" s="3">
        <f>+IF(AVANCE[[#This Row],[TABLERO]]=AF$2,100%,AVANCE[[#This Row],[TABLERO]])</f>
        <v>0</v>
      </c>
      <c r="BV127" s="3">
        <f>+IF(AVANCE[[#This Row],[CAJA PAU]]=AG$2,100%,AVANCE[[#This Row],[CAJA PAU]])</f>
        <v>0</v>
      </c>
      <c r="BW127" s="3">
        <f>+IF(AVANCE[[#This Row],[INSTALACION VINILICO]]=AJ$2,100%,AVANCE[[#This Row],[INSTALACION VINILICO]])</f>
        <v>0</v>
      </c>
      <c r="BX127" s="3">
        <f>+IF(AVANCE[[#This Row],[OSB CUBIERTA]]=AK$2,100%,AVANCE[[#This Row],[OSB CUBIERTA]])</f>
        <v>0</v>
      </c>
      <c r="BY127" s="3">
        <f>+IF(AVANCE[[#This Row],[BARANDA BALCON]]=AL$2,100%,AVANCE[[#This Row],[BARANDA BALCON]])</f>
        <v>0</v>
      </c>
      <c r="BZ127" s="3">
        <f>+IF(AVANCE[[#This Row],[OSB EXTERIOR]]=AM$2,100%,AVANCE[[#This Row],[OSB EXTERIOR]])</f>
        <v>0</v>
      </c>
      <c r="CA127" s="3">
        <f>+IF(AVANCE[[#This Row],[SMART PANEL]]=AN$2,100%,AVANCE[[#This Row],[SMART PANEL]])</f>
        <v>0</v>
      </c>
      <c r="CB127" s="3">
        <f>+IF(AVANCE[[#This Row],[PINTURA EXTERIOR]]=AO$2,100%,AVANCE[[#This Row],[PINTURA EXTERIOR]])</f>
        <v>0</v>
      </c>
      <c r="CC127" s="3">
        <f>+IF(AVANCE[[#This Row],[ZOCALOS LOGIA]]=AP$2,100%,AVANCE[[#This Row],[ZOCALOS LOGIA]])</f>
        <v>0</v>
      </c>
      <c r="CD127" s="3">
        <f>+IF(AVANCE[[#This Row],[MOLDURAS]]=AQ$2,100%,AVANCE[[#This Row],[MOLDURAS]])</f>
        <v>0</v>
      </c>
      <c r="CE127" s="3">
        <f>+IF(AVANCE[[#This Row],[PILASTREO]]=AR$2,100%,AVANCE[[#This Row],[PILASTREO]])</f>
        <v>0</v>
      </c>
      <c r="CF127" s="3">
        <f>+IF(AVANCE[[#This Row],[CELOSIAS]]=AS$2,100%,AVANCE[[#This Row],[CELOSIAS]])</f>
        <v>0</v>
      </c>
      <c r="CG127" s="3">
        <f>+IF(AVANCE[[#This Row],[VENTANAS]]=AT$2,100%,AVANCE[[#This Row],[VENTANAS]])</f>
        <v>0</v>
      </c>
      <c r="CH127" s="3">
        <f>+IF(AVANCE[[#This Row],[PUERTAS ACCESO - LOGIA - BANO]]=AU$2,100%,AVANCE[[#This Row],[PUERTAS ACCESO - LOGIA - BANO]])</f>
        <v>0</v>
      </c>
      <c r="CI127" s="3">
        <f>+IF(AVANCE[[#This Row],[CERRADURAS]]=AV$2,100%,AVANCE[[#This Row],[CERRADURAS]])</f>
        <v>0</v>
      </c>
      <c r="CJ127" s="3">
        <f>+IF(AVANCE[[#This Row],[REVESTIMIENTO INTERIOR ZONA SECA]]=AW$2,100%,AVANCE[[#This Row],[REVESTIMIENTO INTERIOR ZONA SECA]])</f>
        <v>0</v>
      </c>
      <c r="CK127" s="3">
        <f>+IF(AVANCE[[#This Row],[REVESTIMIENTO INTERIOR ZONAS HUMEDAS]]=AX$2,100%,AVANCE[[#This Row],[REVESTIMIENTO INTERIOR ZONAS HUMEDAS]])</f>
        <v>0</v>
      </c>
      <c r="CL127" s="3">
        <f>+IF(AVANCE[[#This Row],[MEMBRANA CIELO]]=AY$2,100%,AVANCE[[#This Row],[MEMBRANA CIELO]])</f>
        <v>0</v>
      </c>
      <c r="CM127" s="3">
        <f>+IF(AVANCE[[#This Row],[LIMPIEZA FINAL]]=AZ$2,100%,AVANCE[[#This Row],[LIMPIEZA FINAL]])</f>
        <v>0</v>
      </c>
      <c r="CN127" s="3">
        <f>+IF(AVANCE[[#This Row],[PUERTAS DORMITORIO]]=BA$2,100%,AVANCE[[#This Row],[PUERTAS DORMITORIO]])</f>
        <v>0</v>
      </c>
      <c r="CO127" s="3">
        <f>+IF(AVANCE[[#This Row],[REVESTIMIENTO INTERIOR BANO]]=BB$2,100%,AVANCE[[#This Row],[REVESTIMIENTO INTERIOR BANO]])</f>
        <v>0</v>
      </c>
      <c r="CP127" s="3">
        <f>+IF(AVANCE[[#This Row],[MUEBLE LAVAPLATOS]]=BC$2,100%,AVANCE[[#This Row],[MUEBLE LAVAPLATOS]])</f>
        <v>0</v>
      </c>
      <c r="CQ127" s="3">
        <f>+IF(AVANCE[[#This Row],[IMPERMEABILIZACION BANO - COCINA LOGIA]]=BD$2,100%,AVANCE[[#This Row],[IMPERMEABILIZACION BANO - COCINA LOGIA]])</f>
        <v>0</v>
      </c>
      <c r="CR127" s="40">
        <f ca="1">+IF(AVANCE[[#This Row],[ESTADO MODULO]]="PENDIENTE",(TODAY()-AVANCE[[#This Row],[FECHA TERMINO  PLANIFICADO]]),0)</f>
        <v>0</v>
      </c>
      <c r="CS127" s="42" t="str" cm="1">
        <f t="array" ref="CS127">_xlfn.TEXTJOIN(" | ",TRUE,IF(SUMPRODUCT((BF127:CQ127&lt;1)*(PARTIDAS!$I$2:$AT$2="OBRA GRUESA"))&gt;0,"OBRA GRUESA: "&amp;_xlfn.TEXTJOIN(", ",TRUE,IF((BF127:CQ127&lt;1)*(PARTIDAS!$I$2:$AT$2="OBRA GRUESA"),PARTIDAS!$I$1:$AT$1,"")),""),IF(SUMPRODUCT((BF127:CQ127&lt;1)*(PARTIDAS!$I$2:$AT$2="SANITARIOS"))&gt;0,"SANITARIOS: "&amp;_xlfn.TEXTJOIN(", ",TRUE,IF((BF127:CQ127&lt;1)*(PARTIDAS!$I$2:$AT$2="SANITARIOS"),PARTIDAS!$I$1:$AT$1,"")),""),IF(SUMPRODUCT((BF127:CQ127&lt;1)*(PARTIDAS!$I$2:$AT$2="ELÉCTRICO"))&gt;0,"ELÉCTRICO: "&amp;_xlfn.TEXTJOIN(", ",TRUE,IF((BF127:CQ127&lt;1)*(PARTIDAS!$I$2:$AT$2="ELÉCTRICO"),PARTIDAS!$I$1:$AT$1,"")),""),IF(SUMPRODUCT((BF127:CQ127&lt;1)*(PARTIDAS!$I$2:$AT$2="TERMINACIONES"))&gt;0,"TERMINACIONES: "&amp;_xlfn.TEXTJOIN(", ",TRUE,IF((BF127:CQ127&lt;1)*(PARTIDAS!$I$2:$AT$2="TERMINACIONES"),PARTIDAS!$I$1:$AT$1,"")),""))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7" s="45" t="str" cm="1">
        <f t="array" ref="CT127">_xlfn.TEXTJOIN(", ",TRUE,IF(SUMPRODUCT((BF127:CQ127&lt;1)*(PARTIDAS!$I$2:$AT$2="OBRA GRUESA"))&gt;0,"OBRA GRUESA",""),IF(SUMPRODUCT((BF127:CQ127&lt;1)*(PARTIDAS!$I$2:$AT$2="SANITARIOS"))&gt;0,"SANITARIOS",""),IF(SUMPRODUCT((BF127:CQ127&lt;1)*(PARTIDAS!$I$2:$AT$2="ELÉCTRICO"))&gt;0,"ELÉCTRICO",""),IF(SUMPRODUCT((BF127:CQ127&lt;1)*(PARTIDAS!$I$2:$AT$2="TERMINACIONES"))&gt;0,"TERMINACIONES",""))</f>
        <v>OBRA GRUESA, SANITARIOS, ELÉCTRICO, TERMINACIONES</v>
      </c>
      <c r="CU127" s="46" cm="1">
        <f t="array" ref="CU127">SUMPRODUCT(--(BF127:CQ127&lt;1))</f>
        <v>38</v>
      </c>
    </row>
    <row r="128" spans="1:99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46181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 t="str">
        <f>+IF(AVANCE[[#This Row],[% AVANCE]]=100%,"MODULO TERMINADO",IF(AVANCE[[#This Row],[FECHA INICIO REAL]]="","MODULO NO INICIADO","PENDIENTE"))</f>
        <v>MODULO NO INICIADO</v>
      </c>
      <c r="BF128" s="3">
        <f>+IF(AVANCE[[#This Row],[VENTANAS]]=8.10810810810811%,100%,AVANCE[[#This Row],[VENTANAS]])</f>
        <v>0</v>
      </c>
      <c r="BG128" s="3">
        <f>+IF(AVANCE[[#This Row],[PISO]]=N$2,100%,AVANCE[[#This Row],[PISO]])</f>
        <v>0</v>
      </c>
      <c r="BH128" s="3">
        <f>+IF(AVANCE[[#This Row],[TABIQUES]]=O$2,100%,AVANCE[[#This Row],[TABIQUES]])</f>
        <v>0</v>
      </c>
      <c r="BI128" s="3">
        <f>+IF(AVANCE[[#This Row],[MUROS]]=P$2,100%,AVANCE[[#This Row],[MUROS]])</f>
        <v>0</v>
      </c>
      <c r="BJ128" s="3">
        <f>+IF(AVANCE[[#This Row],[CIELO]]=Q$2,100%,AVANCE[[#This Row],[CIELO]])</f>
        <v>0</v>
      </c>
      <c r="BK128" s="3">
        <f>+IF(AVANCE[[#This Row],[BALCÓN]]=R$2,100%,AVANCE[[#This Row],[BALCÓN]])</f>
        <v>0</v>
      </c>
      <c r="BL128" s="3">
        <f>+IF(AVANCE[[#This Row],[RED ALCANTARILLADO]]=U$2,100%,AVANCE[[#This Row],[RED ALCANTARILLADO]])</f>
        <v>0</v>
      </c>
      <c r="BM128" s="3">
        <f>+IF(AVANCE[[#This Row],[RED DE AGUA]]=V$2,100%,AVANCE[[#This Row],[RED DE AGUA]])</f>
        <v>0</v>
      </c>
      <c r="BN128" s="3">
        <f>+IF(AVANCE[[#This Row],[VENTILACIONES]]=W$2,100%,AVANCE[[#This Row],[VENTILACIONES]])</f>
        <v>0</v>
      </c>
      <c r="BO128" s="3">
        <f>+IF(AVANCE[[#This Row],[TINA]]=X$2,100%,AVANCE[[#This Row],[TINA]])</f>
        <v>0</v>
      </c>
      <c r="BP128" s="3">
        <f>+IF(AVANCE[[#This Row],[WC]]=Y$2,100%,AVANCE[[#This Row],[WC]])</f>
        <v>0</v>
      </c>
      <c r="BQ128" s="3">
        <f>+IF(AVANCE[[#This Row],[LAVAMANOS / LAVAPLATOS / LAVADERO]]=Z$2,100%,AVANCE[[#This Row],[LAVAMANOS / LAVAPLATOS / LAVADERO]])</f>
        <v>0</v>
      </c>
      <c r="BR128" s="3">
        <f>+IF(AVANCE[[#This Row],[CANALIZACIÓN]]=AC$2,100%,AVANCE[[#This Row],[CANALIZACIÓN]])</f>
        <v>0</v>
      </c>
      <c r="BS128" s="3">
        <f>+IF(AVANCE[[#This Row],[CABLEADO]]=AD$2,100%,AVANCE[[#This Row],[CABLEADO]])</f>
        <v>0</v>
      </c>
      <c r="BT128" s="3">
        <f>+IF(AVANCE[[#This Row],[ARTEFACTOS]]=AE$2,100%,AVANCE[[#This Row],[ARTEFACTOS]])</f>
        <v>0</v>
      </c>
      <c r="BU128" s="3">
        <f>+IF(AVANCE[[#This Row],[TABLERO]]=AF$2,100%,AVANCE[[#This Row],[TABLERO]])</f>
        <v>0</v>
      </c>
      <c r="BV128" s="3">
        <f>+IF(AVANCE[[#This Row],[CAJA PAU]]=AG$2,100%,AVANCE[[#This Row],[CAJA PAU]])</f>
        <v>0</v>
      </c>
      <c r="BW128" s="3">
        <f>+IF(AVANCE[[#This Row],[INSTALACION VINILICO]]=AJ$2,100%,AVANCE[[#This Row],[INSTALACION VINILICO]])</f>
        <v>0</v>
      </c>
      <c r="BX128" s="3">
        <f>+IF(AVANCE[[#This Row],[OSB CUBIERTA]]=AK$2,100%,AVANCE[[#This Row],[OSB CUBIERTA]])</f>
        <v>0</v>
      </c>
      <c r="BY128" s="3">
        <f>+IF(AVANCE[[#This Row],[BARANDA BALCON]]=AL$2,100%,AVANCE[[#This Row],[BARANDA BALCON]])</f>
        <v>0</v>
      </c>
      <c r="BZ128" s="3">
        <f>+IF(AVANCE[[#This Row],[OSB EXTERIOR]]=AM$2,100%,AVANCE[[#This Row],[OSB EXTERIOR]])</f>
        <v>0</v>
      </c>
      <c r="CA128" s="3">
        <f>+IF(AVANCE[[#This Row],[SMART PANEL]]=AN$2,100%,AVANCE[[#This Row],[SMART PANEL]])</f>
        <v>0</v>
      </c>
      <c r="CB128" s="3">
        <f>+IF(AVANCE[[#This Row],[PINTURA EXTERIOR]]=AO$2,100%,AVANCE[[#This Row],[PINTURA EXTERIOR]])</f>
        <v>0</v>
      </c>
      <c r="CC128" s="3">
        <f>+IF(AVANCE[[#This Row],[ZOCALOS LOGIA]]=AP$2,100%,AVANCE[[#This Row],[ZOCALOS LOGIA]])</f>
        <v>0</v>
      </c>
      <c r="CD128" s="3">
        <f>+IF(AVANCE[[#This Row],[MOLDURAS]]=AQ$2,100%,AVANCE[[#This Row],[MOLDURAS]])</f>
        <v>0</v>
      </c>
      <c r="CE128" s="3">
        <f>+IF(AVANCE[[#This Row],[PILASTREO]]=AR$2,100%,AVANCE[[#This Row],[PILASTREO]])</f>
        <v>0</v>
      </c>
      <c r="CF128" s="3">
        <f>+IF(AVANCE[[#This Row],[CELOSIAS]]=AS$2,100%,AVANCE[[#This Row],[CELOSIAS]])</f>
        <v>0</v>
      </c>
      <c r="CG128" s="3">
        <f>+IF(AVANCE[[#This Row],[VENTANAS]]=AT$2,100%,AVANCE[[#This Row],[VENTANAS]])</f>
        <v>0</v>
      </c>
      <c r="CH128" s="3">
        <f>+IF(AVANCE[[#This Row],[PUERTAS ACCESO - LOGIA - BANO]]=AU$2,100%,AVANCE[[#This Row],[PUERTAS ACCESO - LOGIA - BANO]])</f>
        <v>0</v>
      </c>
      <c r="CI128" s="3">
        <f>+IF(AVANCE[[#This Row],[CERRADURAS]]=AV$2,100%,AVANCE[[#This Row],[CERRADURAS]])</f>
        <v>0</v>
      </c>
      <c r="CJ128" s="3">
        <f>+IF(AVANCE[[#This Row],[REVESTIMIENTO INTERIOR ZONA SECA]]=AW$2,100%,AVANCE[[#This Row],[REVESTIMIENTO INTERIOR ZONA SECA]])</f>
        <v>0</v>
      </c>
      <c r="CK128" s="3">
        <f>+IF(AVANCE[[#This Row],[REVESTIMIENTO INTERIOR ZONAS HUMEDAS]]=AX$2,100%,AVANCE[[#This Row],[REVESTIMIENTO INTERIOR ZONAS HUMEDAS]])</f>
        <v>0</v>
      </c>
      <c r="CL128" s="3">
        <f>+IF(AVANCE[[#This Row],[MEMBRANA CIELO]]=AY$2,100%,AVANCE[[#This Row],[MEMBRANA CIELO]])</f>
        <v>0</v>
      </c>
      <c r="CM128" s="3">
        <f>+IF(AVANCE[[#This Row],[LIMPIEZA FINAL]]=AZ$2,100%,AVANCE[[#This Row],[LIMPIEZA FINAL]])</f>
        <v>0</v>
      </c>
      <c r="CN128" s="3">
        <f>+IF(AVANCE[[#This Row],[PUERTAS DORMITORIO]]=BA$2,100%,AVANCE[[#This Row],[PUERTAS DORMITORIO]])</f>
        <v>0</v>
      </c>
      <c r="CO128" s="3">
        <f>+IF(AVANCE[[#This Row],[REVESTIMIENTO INTERIOR BANO]]=BB$2,100%,AVANCE[[#This Row],[REVESTIMIENTO INTERIOR BANO]])</f>
        <v>0</v>
      </c>
      <c r="CP128" s="3">
        <f>+IF(AVANCE[[#This Row],[MUEBLE LAVAPLATOS]]=BC$2,100%,AVANCE[[#This Row],[MUEBLE LAVAPLATOS]])</f>
        <v>0</v>
      </c>
      <c r="CQ128" s="3">
        <f>+IF(AVANCE[[#This Row],[IMPERMEABILIZACION BANO - COCINA LOGIA]]=BD$2,100%,AVANCE[[#This Row],[IMPERMEABILIZACION BANO - COCINA LOGIA]])</f>
        <v>0</v>
      </c>
      <c r="CR128" s="40">
        <f ca="1">+IF(AVANCE[[#This Row],[ESTADO MODULO]]="PENDIENTE",(TODAY()-AVANCE[[#This Row],[FECHA TERMINO  PLANIFICADO]]),0)</f>
        <v>0</v>
      </c>
      <c r="CS128" s="42" t="str" cm="1">
        <f t="array" ref="CS128">_xlfn.TEXTJOIN(" | ",TRUE,IF(SUMPRODUCT((BF128:CQ128&lt;1)*(PARTIDAS!$I$2:$AT$2="OBRA GRUESA"))&gt;0,"OBRA GRUESA: "&amp;_xlfn.TEXTJOIN(", ",TRUE,IF((BF128:CQ128&lt;1)*(PARTIDAS!$I$2:$AT$2="OBRA GRUESA"),PARTIDAS!$I$1:$AT$1,"")),""),IF(SUMPRODUCT((BF128:CQ128&lt;1)*(PARTIDAS!$I$2:$AT$2="SANITARIOS"))&gt;0,"SANITARIOS: "&amp;_xlfn.TEXTJOIN(", ",TRUE,IF((BF128:CQ128&lt;1)*(PARTIDAS!$I$2:$AT$2="SANITARIOS"),PARTIDAS!$I$1:$AT$1,"")),""),IF(SUMPRODUCT((BF128:CQ128&lt;1)*(PARTIDAS!$I$2:$AT$2="ELÉCTRICO"))&gt;0,"ELÉCTRICO: "&amp;_xlfn.TEXTJOIN(", ",TRUE,IF((BF128:CQ128&lt;1)*(PARTIDAS!$I$2:$AT$2="ELÉCTRICO"),PARTIDAS!$I$1:$AT$1,"")),""),IF(SUMPRODUCT((BF128:CQ128&lt;1)*(PARTIDAS!$I$2:$AT$2="TERMINACIONES"))&gt;0,"TERMINACIONES: "&amp;_xlfn.TEXTJOIN(", ",TRUE,IF((BF128:CQ128&lt;1)*(PARTIDAS!$I$2:$AT$2="TERMINACIONES"),PARTIDAS!$I$1:$AT$1,"")),""))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8" s="45" t="str" cm="1">
        <f t="array" ref="CT128">_xlfn.TEXTJOIN(", ",TRUE,IF(SUMPRODUCT((BF128:CQ128&lt;1)*(PARTIDAS!$I$2:$AT$2="OBRA GRUESA"))&gt;0,"OBRA GRUESA",""),IF(SUMPRODUCT((BF128:CQ128&lt;1)*(PARTIDAS!$I$2:$AT$2="SANITARIOS"))&gt;0,"SANITARIOS",""),IF(SUMPRODUCT((BF128:CQ128&lt;1)*(PARTIDAS!$I$2:$AT$2="ELÉCTRICO"))&gt;0,"ELÉCTRICO",""),IF(SUMPRODUCT((BF128:CQ128&lt;1)*(PARTIDAS!$I$2:$AT$2="TERMINACIONES"))&gt;0,"TERMINACIONES",""))</f>
        <v>OBRA GRUESA, SANITARIOS, ELÉCTRICO, TERMINACIONES</v>
      </c>
      <c r="CU128" s="46" cm="1">
        <f t="array" ref="CU128">SUMPRODUCT(--(BF128:CQ128&lt;1))</f>
        <v>38</v>
      </c>
    </row>
    <row r="129" spans="1:99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46181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 t="str">
        <f>+IF(AVANCE[[#This Row],[% AVANCE]]=100%,"MODULO TERMINADO",IF(AVANCE[[#This Row],[FECHA INICIO REAL]]="","MODULO NO INICIADO","PENDIENTE"))</f>
        <v>MODULO NO INICIADO</v>
      </c>
      <c r="BF129" s="3">
        <f>+IF(AVANCE[[#This Row],[VENTANAS]]=8.10810810810811%,100%,AVANCE[[#This Row],[VENTANAS]])</f>
        <v>0</v>
      </c>
      <c r="BG129" s="3">
        <f>+IF(AVANCE[[#This Row],[PISO]]=N$2,100%,AVANCE[[#This Row],[PISO]])</f>
        <v>0</v>
      </c>
      <c r="BH129" s="3">
        <f>+IF(AVANCE[[#This Row],[TABIQUES]]=O$2,100%,AVANCE[[#This Row],[TABIQUES]])</f>
        <v>0</v>
      </c>
      <c r="BI129" s="3">
        <f>+IF(AVANCE[[#This Row],[MUROS]]=P$2,100%,AVANCE[[#This Row],[MUROS]])</f>
        <v>0</v>
      </c>
      <c r="BJ129" s="3">
        <f>+IF(AVANCE[[#This Row],[CIELO]]=Q$2,100%,AVANCE[[#This Row],[CIELO]])</f>
        <v>0</v>
      </c>
      <c r="BK129" s="3">
        <f>+IF(AVANCE[[#This Row],[BALCÓN]]=R$2,100%,AVANCE[[#This Row],[BALCÓN]])</f>
        <v>0</v>
      </c>
      <c r="BL129" s="3">
        <f>+IF(AVANCE[[#This Row],[RED ALCANTARILLADO]]=U$2,100%,AVANCE[[#This Row],[RED ALCANTARILLADO]])</f>
        <v>0</v>
      </c>
      <c r="BM129" s="3">
        <f>+IF(AVANCE[[#This Row],[RED DE AGUA]]=V$2,100%,AVANCE[[#This Row],[RED DE AGUA]])</f>
        <v>0</v>
      </c>
      <c r="BN129" s="3">
        <f>+IF(AVANCE[[#This Row],[VENTILACIONES]]=W$2,100%,AVANCE[[#This Row],[VENTILACIONES]])</f>
        <v>0</v>
      </c>
      <c r="BO129" s="3">
        <f>+IF(AVANCE[[#This Row],[TINA]]=X$2,100%,AVANCE[[#This Row],[TINA]])</f>
        <v>0</v>
      </c>
      <c r="BP129" s="3">
        <f>+IF(AVANCE[[#This Row],[WC]]=Y$2,100%,AVANCE[[#This Row],[WC]])</f>
        <v>0</v>
      </c>
      <c r="BQ129" s="3">
        <f>+IF(AVANCE[[#This Row],[LAVAMANOS / LAVAPLATOS / LAVADERO]]=Z$2,100%,AVANCE[[#This Row],[LAVAMANOS / LAVAPLATOS / LAVADERO]])</f>
        <v>0</v>
      </c>
      <c r="BR129" s="3">
        <f>+IF(AVANCE[[#This Row],[CANALIZACIÓN]]=AC$2,100%,AVANCE[[#This Row],[CANALIZACIÓN]])</f>
        <v>0</v>
      </c>
      <c r="BS129" s="3">
        <f>+IF(AVANCE[[#This Row],[CABLEADO]]=AD$2,100%,AVANCE[[#This Row],[CABLEADO]])</f>
        <v>0</v>
      </c>
      <c r="BT129" s="3">
        <f>+IF(AVANCE[[#This Row],[ARTEFACTOS]]=AE$2,100%,AVANCE[[#This Row],[ARTEFACTOS]])</f>
        <v>0</v>
      </c>
      <c r="BU129" s="3">
        <f>+IF(AVANCE[[#This Row],[TABLERO]]=AF$2,100%,AVANCE[[#This Row],[TABLERO]])</f>
        <v>0</v>
      </c>
      <c r="BV129" s="3">
        <f>+IF(AVANCE[[#This Row],[CAJA PAU]]=AG$2,100%,AVANCE[[#This Row],[CAJA PAU]])</f>
        <v>0</v>
      </c>
      <c r="BW129" s="3">
        <f>+IF(AVANCE[[#This Row],[INSTALACION VINILICO]]=AJ$2,100%,AVANCE[[#This Row],[INSTALACION VINILICO]])</f>
        <v>0</v>
      </c>
      <c r="BX129" s="3">
        <f>+IF(AVANCE[[#This Row],[OSB CUBIERTA]]=AK$2,100%,AVANCE[[#This Row],[OSB CUBIERTA]])</f>
        <v>0</v>
      </c>
      <c r="BY129" s="3">
        <f>+IF(AVANCE[[#This Row],[BARANDA BALCON]]=AL$2,100%,AVANCE[[#This Row],[BARANDA BALCON]])</f>
        <v>0</v>
      </c>
      <c r="BZ129" s="3">
        <f>+IF(AVANCE[[#This Row],[OSB EXTERIOR]]=AM$2,100%,AVANCE[[#This Row],[OSB EXTERIOR]])</f>
        <v>0</v>
      </c>
      <c r="CA129" s="3">
        <f>+IF(AVANCE[[#This Row],[SMART PANEL]]=AN$2,100%,AVANCE[[#This Row],[SMART PANEL]])</f>
        <v>0</v>
      </c>
      <c r="CB129" s="3">
        <f>+IF(AVANCE[[#This Row],[PINTURA EXTERIOR]]=AO$2,100%,AVANCE[[#This Row],[PINTURA EXTERIOR]])</f>
        <v>0</v>
      </c>
      <c r="CC129" s="3">
        <f>+IF(AVANCE[[#This Row],[ZOCALOS LOGIA]]=AP$2,100%,AVANCE[[#This Row],[ZOCALOS LOGIA]])</f>
        <v>0</v>
      </c>
      <c r="CD129" s="3">
        <f>+IF(AVANCE[[#This Row],[MOLDURAS]]=AQ$2,100%,AVANCE[[#This Row],[MOLDURAS]])</f>
        <v>0</v>
      </c>
      <c r="CE129" s="3">
        <f>+IF(AVANCE[[#This Row],[PILASTREO]]=AR$2,100%,AVANCE[[#This Row],[PILASTREO]])</f>
        <v>0</v>
      </c>
      <c r="CF129" s="3">
        <f>+IF(AVANCE[[#This Row],[CELOSIAS]]=AS$2,100%,AVANCE[[#This Row],[CELOSIAS]])</f>
        <v>0</v>
      </c>
      <c r="CG129" s="3">
        <f>+IF(AVANCE[[#This Row],[VENTANAS]]=AT$2,100%,AVANCE[[#This Row],[VENTANAS]])</f>
        <v>0</v>
      </c>
      <c r="CH129" s="3">
        <f>+IF(AVANCE[[#This Row],[PUERTAS ACCESO - LOGIA - BANO]]=AU$2,100%,AVANCE[[#This Row],[PUERTAS ACCESO - LOGIA - BANO]])</f>
        <v>0</v>
      </c>
      <c r="CI129" s="3">
        <f>+IF(AVANCE[[#This Row],[CERRADURAS]]=AV$2,100%,AVANCE[[#This Row],[CERRADURAS]])</f>
        <v>0</v>
      </c>
      <c r="CJ129" s="3">
        <f>+IF(AVANCE[[#This Row],[REVESTIMIENTO INTERIOR ZONA SECA]]=AW$2,100%,AVANCE[[#This Row],[REVESTIMIENTO INTERIOR ZONA SECA]])</f>
        <v>0</v>
      </c>
      <c r="CK129" s="3">
        <f>+IF(AVANCE[[#This Row],[REVESTIMIENTO INTERIOR ZONAS HUMEDAS]]=AX$2,100%,AVANCE[[#This Row],[REVESTIMIENTO INTERIOR ZONAS HUMEDAS]])</f>
        <v>0</v>
      </c>
      <c r="CL129" s="3">
        <f>+IF(AVANCE[[#This Row],[MEMBRANA CIELO]]=AY$2,100%,AVANCE[[#This Row],[MEMBRANA CIELO]])</f>
        <v>0</v>
      </c>
      <c r="CM129" s="3">
        <f>+IF(AVANCE[[#This Row],[LIMPIEZA FINAL]]=AZ$2,100%,AVANCE[[#This Row],[LIMPIEZA FINAL]])</f>
        <v>0</v>
      </c>
      <c r="CN129" s="3">
        <f>+IF(AVANCE[[#This Row],[PUERTAS DORMITORIO]]=BA$2,100%,AVANCE[[#This Row],[PUERTAS DORMITORIO]])</f>
        <v>0</v>
      </c>
      <c r="CO129" s="3">
        <f>+IF(AVANCE[[#This Row],[REVESTIMIENTO INTERIOR BANO]]=BB$2,100%,AVANCE[[#This Row],[REVESTIMIENTO INTERIOR BANO]])</f>
        <v>0</v>
      </c>
      <c r="CP129" s="3">
        <f>+IF(AVANCE[[#This Row],[MUEBLE LAVAPLATOS]]=BC$2,100%,AVANCE[[#This Row],[MUEBLE LAVAPLATOS]])</f>
        <v>0</v>
      </c>
      <c r="CQ129" s="3">
        <f>+IF(AVANCE[[#This Row],[IMPERMEABILIZACION BANO - COCINA LOGIA]]=BD$2,100%,AVANCE[[#This Row],[IMPERMEABILIZACION BANO - COCINA LOGIA]])</f>
        <v>0</v>
      </c>
      <c r="CR129" s="40">
        <f ca="1">+IF(AVANCE[[#This Row],[ESTADO MODULO]]="PENDIENTE",(TODAY()-AVANCE[[#This Row],[FECHA TERMINO  PLANIFICADO]]),0)</f>
        <v>0</v>
      </c>
      <c r="CS129" s="42" t="str" cm="1">
        <f t="array" ref="CS129">_xlfn.TEXTJOIN(" | ",TRUE,IF(SUMPRODUCT((BF129:CQ129&lt;1)*(PARTIDAS!$I$2:$AT$2="OBRA GRUESA"))&gt;0,"OBRA GRUESA: "&amp;_xlfn.TEXTJOIN(", ",TRUE,IF((BF129:CQ129&lt;1)*(PARTIDAS!$I$2:$AT$2="OBRA GRUESA"),PARTIDAS!$I$1:$AT$1,"")),""),IF(SUMPRODUCT((BF129:CQ129&lt;1)*(PARTIDAS!$I$2:$AT$2="SANITARIOS"))&gt;0,"SANITARIOS: "&amp;_xlfn.TEXTJOIN(", ",TRUE,IF((BF129:CQ129&lt;1)*(PARTIDAS!$I$2:$AT$2="SANITARIOS"),PARTIDAS!$I$1:$AT$1,"")),""),IF(SUMPRODUCT((BF129:CQ129&lt;1)*(PARTIDAS!$I$2:$AT$2="ELÉCTRICO"))&gt;0,"ELÉCTRICO: "&amp;_xlfn.TEXTJOIN(", ",TRUE,IF((BF129:CQ129&lt;1)*(PARTIDAS!$I$2:$AT$2="ELÉCTRICO"),PARTIDAS!$I$1:$AT$1,"")),""),IF(SUMPRODUCT((BF129:CQ129&lt;1)*(PARTIDAS!$I$2:$AT$2="TERMINACIONES"))&gt;0,"TERMINACIONES: "&amp;_xlfn.TEXTJOIN(", ",TRUE,IF((BF129:CQ129&lt;1)*(PARTIDAS!$I$2:$AT$2="TERMINACIONES"),PARTIDAS!$I$1:$AT$1,"")),""))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29" s="45" t="str" cm="1">
        <f t="array" ref="CT129">_xlfn.TEXTJOIN(", ",TRUE,IF(SUMPRODUCT((BF129:CQ129&lt;1)*(PARTIDAS!$I$2:$AT$2="OBRA GRUESA"))&gt;0,"OBRA GRUESA",""),IF(SUMPRODUCT((BF129:CQ129&lt;1)*(PARTIDAS!$I$2:$AT$2="SANITARIOS"))&gt;0,"SANITARIOS",""),IF(SUMPRODUCT((BF129:CQ129&lt;1)*(PARTIDAS!$I$2:$AT$2="ELÉCTRICO"))&gt;0,"ELÉCTRICO",""),IF(SUMPRODUCT((BF129:CQ129&lt;1)*(PARTIDAS!$I$2:$AT$2="TERMINACIONES"))&gt;0,"TERMINACIONES",""))</f>
        <v>OBRA GRUESA, SANITARIOS, ELÉCTRICO, TERMINACIONES</v>
      </c>
      <c r="CU129" s="46" cm="1">
        <f t="array" ref="CU129">SUMPRODUCT(--(BF129:CQ129&lt;1))</f>
        <v>38</v>
      </c>
    </row>
    <row r="130" spans="1:99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46181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 t="str">
        <f>+IF(AVANCE[[#This Row],[% AVANCE]]=100%,"MODULO TERMINADO",IF(AVANCE[[#This Row],[FECHA INICIO REAL]]="","MODULO NO INICIADO","PENDIENTE"))</f>
        <v>MODULO NO INICIADO</v>
      </c>
      <c r="BF130" s="3">
        <f>+IF(AVANCE[[#This Row],[VENTANAS]]=8.10810810810811%,100%,AVANCE[[#This Row],[VENTANAS]])</f>
        <v>0</v>
      </c>
      <c r="BG130" s="3">
        <f>+IF(AVANCE[[#This Row],[PISO]]=N$2,100%,AVANCE[[#This Row],[PISO]])</f>
        <v>0</v>
      </c>
      <c r="BH130" s="3">
        <f>+IF(AVANCE[[#This Row],[TABIQUES]]=O$2,100%,AVANCE[[#This Row],[TABIQUES]])</f>
        <v>0</v>
      </c>
      <c r="BI130" s="3">
        <f>+IF(AVANCE[[#This Row],[MUROS]]=P$2,100%,AVANCE[[#This Row],[MUROS]])</f>
        <v>0</v>
      </c>
      <c r="BJ130" s="3">
        <f>+IF(AVANCE[[#This Row],[CIELO]]=Q$2,100%,AVANCE[[#This Row],[CIELO]])</f>
        <v>0</v>
      </c>
      <c r="BK130" s="3">
        <f>+IF(AVANCE[[#This Row],[BALCÓN]]=R$2,100%,AVANCE[[#This Row],[BALCÓN]])</f>
        <v>0</v>
      </c>
      <c r="BL130" s="3">
        <f>+IF(AVANCE[[#This Row],[RED ALCANTARILLADO]]=U$2,100%,AVANCE[[#This Row],[RED ALCANTARILLADO]])</f>
        <v>0</v>
      </c>
      <c r="BM130" s="3">
        <f>+IF(AVANCE[[#This Row],[RED DE AGUA]]=V$2,100%,AVANCE[[#This Row],[RED DE AGUA]])</f>
        <v>0</v>
      </c>
      <c r="BN130" s="3">
        <f>+IF(AVANCE[[#This Row],[VENTILACIONES]]=W$2,100%,AVANCE[[#This Row],[VENTILACIONES]])</f>
        <v>0</v>
      </c>
      <c r="BO130" s="3">
        <f>+IF(AVANCE[[#This Row],[TINA]]=X$2,100%,AVANCE[[#This Row],[TINA]])</f>
        <v>0</v>
      </c>
      <c r="BP130" s="3">
        <f>+IF(AVANCE[[#This Row],[WC]]=Y$2,100%,AVANCE[[#This Row],[WC]])</f>
        <v>0</v>
      </c>
      <c r="BQ130" s="3">
        <f>+IF(AVANCE[[#This Row],[LAVAMANOS / LAVAPLATOS / LAVADERO]]=Z$2,100%,AVANCE[[#This Row],[LAVAMANOS / LAVAPLATOS / LAVADERO]])</f>
        <v>0</v>
      </c>
      <c r="BR130" s="3">
        <f>+IF(AVANCE[[#This Row],[CANALIZACIÓN]]=AC$2,100%,AVANCE[[#This Row],[CANALIZACIÓN]])</f>
        <v>0</v>
      </c>
      <c r="BS130" s="3">
        <f>+IF(AVANCE[[#This Row],[CABLEADO]]=AD$2,100%,AVANCE[[#This Row],[CABLEADO]])</f>
        <v>0</v>
      </c>
      <c r="BT130" s="3">
        <f>+IF(AVANCE[[#This Row],[ARTEFACTOS]]=AE$2,100%,AVANCE[[#This Row],[ARTEFACTOS]])</f>
        <v>0</v>
      </c>
      <c r="BU130" s="3">
        <f>+IF(AVANCE[[#This Row],[TABLERO]]=AF$2,100%,AVANCE[[#This Row],[TABLERO]])</f>
        <v>0</v>
      </c>
      <c r="BV130" s="3">
        <f>+IF(AVANCE[[#This Row],[CAJA PAU]]=AG$2,100%,AVANCE[[#This Row],[CAJA PAU]])</f>
        <v>0</v>
      </c>
      <c r="BW130" s="3">
        <f>+IF(AVANCE[[#This Row],[INSTALACION VINILICO]]=AJ$2,100%,AVANCE[[#This Row],[INSTALACION VINILICO]])</f>
        <v>0</v>
      </c>
      <c r="BX130" s="3">
        <f>+IF(AVANCE[[#This Row],[OSB CUBIERTA]]=AK$2,100%,AVANCE[[#This Row],[OSB CUBIERTA]])</f>
        <v>0</v>
      </c>
      <c r="BY130" s="3">
        <f>+IF(AVANCE[[#This Row],[BARANDA BALCON]]=AL$2,100%,AVANCE[[#This Row],[BARANDA BALCON]])</f>
        <v>0</v>
      </c>
      <c r="BZ130" s="3">
        <f>+IF(AVANCE[[#This Row],[OSB EXTERIOR]]=AM$2,100%,AVANCE[[#This Row],[OSB EXTERIOR]])</f>
        <v>0</v>
      </c>
      <c r="CA130" s="3">
        <f>+IF(AVANCE[[#This Row],[SMART PANEL]]=AN$2,100%,AVANCE[[#This Row],[SMART PANEL]])</f>
        <v>0</v>
      </c>
      <c r="CB130" s="3">
        <f>+IF(AVANCE[[#This Row],[PINTURA EXTERIOR]]=AO$2,100%,AVANCE[[#This Row],[PINTURA EXTERIOR]])</f>
        <v>0</v>
      </c>
      <c r="CC130" s="3">
        <f>+IF(AVANCE[[#This Row],[ZOCALOS LOGIA]]=AP$2,100%,AVANCE[[#This Row],[ZOCALOS LOGIA]])</f>
        <v>0</v>
      </c>
      <c r="CD130" s="3">
        <f>+IF(AVANCE[[#This Row],[MOLDURAS]]=AQ$2,100%,AVANCE[[#This Row],[MOLDURAS]])</f>
        <v>0</v>
      </c>
      <c r="CE130" s="3">
        <f>+IF(AVANCE[[#This Row],[PILASTREO]]=AR$2,100%,AVANCE[[#This Row],[PILASTREO]])</f>
        <v>0</v>
      </c>
      <c r="CF130" s="3">
        <f>+IF(AVANCE[[#This Row],[CELOSIAS]]=AS$2,100%,AVANCE[[#This Row],[CELOSIAS]])</f>
        <v>0</v>
      </c>
      <c r="CG130" s="3">
        <f>+IF(AVANCE[[#This Row],[VENTANAS]]=AT$2,100%,AVANCE[[#This Row],[VENTANAS]])</f>
        <v>0</v>
      </c>
      <c r="CH130" s="3">
        <f>+IF(AVANCE[[#This Row],[PUERTAS ACCESO - LOGIA - BANO]]=AU$2,100%,AVANCE[[#This Row],[PUERTAS ACCESO - LOGIA - BANO]])</f>
        <v>0</v>
      </c>
      <c r="CI130" s="3">
        <f>+IF(AVANCE[[#This Row],[CERRADURAS]]=AV$2,100%,AVANCE[[#This Row],[CERRADURAS]])</f>
        <v>0</v>
      </c>
      <c r="CJ130" s="3">
        <f>+IF(AVANCE[[#This Row],[REVESTIMIENTO INTERIOR ZONA SECA]]=AW$2,100%,AVANCE[[#This Row],[REVESTIMIENTO INTERIOR ZONA SECA]])</f>
        <v>0</v>
      </c>
      <c r="CK130" s="3">
        <f>+IF(AVANCE[[#This Row],[REVESTIMIENTO INTERIOR ZONAS HUMEDAS]]=AX$2,100%,AVANCE[[#This Row],[REVESTIMIENTO INTERIOR ZONAS HUMEDAS]])</f>
        <v>0</v>
      </c>
      <c r="CL130" s="3">
        <f>+IF(AVANCE[[#This Row],[MEMBRANA CIELO]]=AY$2,100%,AVANCE[[#This Row],[MEMBRANA CIELO]])</f>
        <v>0</v>
      </c>
      <c r="CM130" s="3">
        <f>+IF(AVANCE[[#This Row],[LIMPIEZA FINAL]]=AZ$2,100%,AVANCE[[#This Row],[LIMPIEZA FINAL]])</f>
        <v>0</v>
      </c>
      <c r="CN130" s="3">
        <f>+IF(AVANCE[[#This Row],[PUERTAS DORMITORIO]]=BA$2,100%,AVANCE[[#This Row],[PUERTAS DORMITORIO]])</f>
        <v>0</v>
      </c>
      <c r="CO130" s="3">
        <f>+IF(AVANCE[[#This Row],[REVESTIMIENTO INTERIOR BANO]]=BB$2,100%,AVANCE[[#This Row],[REVESTIMIENTO INTERIOR BANO]])</f>
        <v>0</v>
      </c>
      <c r="CP130" s="3">
        <f>+IF(AVANCE[[#This Row],[MUEBLE LAVAPLATOS]]=BC$2,100%,AVANCE[[#This Row],[MUEBLE LAVAPLATOS]])</f>
        <v>0</v>
      </c>
      <c r="CQ130" s="3">
        <f>+IF(AVANCE[[#This Row],[IMPERMEABILIZACION BANO - COCINA LOGIA]]=BD$2,100%,AVANCE[[#This Row],[IMPERMEABILIZACION BANO - COCINA LOGIA]])</f>
        <v>0</v>
      </c>
      <c r="CR130" s="40">
        <f ca="1">+IF(AVANCE[[#This Row],[ESTADO MODULO]]="PENDIENTE",(TODAY()-AVANCE[[#This Row],[FECHA TERMINO  PLANIFICADO]]),0)</f>
        <v>0</v>
      </c>
      <c r="CS130" s="42" t="str" cm="1">
        <f t="array" ref="CS130">_xlfn.TEXTJOIN(" | ",TRUE,IF(SUMPRODUCT((BF130:CQ130&lt;1)*(PARTIDAS!$I$2:$AT$2="OBRA GRUESA"))&gt;0,"OBRA GRUESA: "&amp;_xlfn.TEXTJOIN(", ",TRUE,IF((BF130:CQ130&lt;1)*(PARTIDAS!$I$2:$AT$2="OBRA GRUESA"),PARTIDAS!$I$1:$AT$1,"")),""),IF(SUMPRODUCT((BF130:CQ130&lt;1)*(PARTIDAS!$I$2:$AT$2="SANITARIOS"))&gt;0,"SANITARIOS: "&amp;_xlfn.TEXTJOIN(", ",TRUE,IF((BF130:CQ130&lt;1)*(PARTIDAS!$I$2:$AT$2="SANITARIOS"),PARTIDAS!$I$1:$AT$1,"")),""),IF(SUMPRODUCT((BF130:CQ130&lt;1)*(PARTIDAS!$I$2:$AT$2="ELÉCTRICO"))&gt;0,"ELÉCTRICO: "&amp;_xlfn.TEXTJOIN(", ",TRUE,IF((BF130:CQ130&lt;1)*(PARTIDAS!$I$2:$AT$2="ELÉCTRICO"),PARTIDAS!$I$1:$AT$1,"")),""),IF(SUMPRODUCT((BF130:CQ130&lt;1)*(PARTIDAS!$I$2:$AT$2="TERMINACIONES"))&gt;0,"TERMINACIONES: "&amp;_xlfn.TEXTJOIN(", ",TRUE,IF((BF130:CQ130&lt;1)*(PARTIDAS!$I$2:$AT$2="TERMINACIONES"),PARTIDAS!$I$1:$AT$1,"")),""))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0" s="45" t="str" cm="1">
        <f t="array" ref="CT130">_xlfn.TEXTJOIN(", ",TRUE,IF(SUMPRODUCT((BF130:CQ130&lt;1)*(PARTIDAS!$I$2:$AT$2="OBRA GRUESA"))&gt;0,"OBRA GRUESA",""),IF(SUMPRODUCT((BF130:CQ130&lt;1)*(PARTIDAS!$I$2:$AT$2="SANITARIOS"))&gt;0,"SANITARIOS",""),IF(SUMPRODUCT((BF130:CQ130&lt;1)*(PARTIDAS!$I$2:$AT$2="ELÉCTRICO"))&gt;0,"ELÉCTRICO",""),IF(SUMPRODUCT((BF130:CQ130&lt;1)*(PARTIDAS!$I$2:$AT$2="TERMINACIONES"))&gt;0,"TERMINACIONES",""))</f>
        <v>OBRA GRUESA, SANITARIOS, ELÉCTRICO, TERMINACIONES</v>
      </c>
      <c r="CU130" s="46" cm="1">
        <f t="array" ref="CU130">SUMPRODUCT(--(BF130:CQ130&lt;1))</f>
        <v>38</v>
      </c>
    </row>
    <row r="131" spans="1:99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46181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 t="str">
        <f>+IF(AVANCE[[#This Row],[% AVANCE]]=100%,"MODULO TERMINADO",IF(AVANCE[[#This Row],[FECHA INICIO REAL]]="","MODULO NO INICIADO","PENDIENTE"))</f>
        <v>MODULO NO INICIADO</v>
      </c>
      <c r="BF131" s="3">
        <f>+IF(AVANCE[[#This Row],[VENTANAS]]=8.10810810810811%,100%,AVANCE[[#This Row],[VENTANAS]])</f>
        <v>0</v>
      </c>
      <c r="BG131" s="3">
        <f>+IF(AVANCE[[#This Row],[PISO]]=N$2,100%,AVANCE[[#This Row],[PISO]])</f>
        <v>0</v>
      </c>
      <c r="BH131" s="3">
        <f>+IF(AVANCE[[#This Row],[TABIQUES]]=O$2,100%,AVANCE[[#This Row],[TABIQUES]])</f>
        <v>0</v>
      </c>
      <c r="BI131" s="3">
        <f>+IF(AVANCE[[#This Row],[MUROS]]=P$2,100%,AVANCE[[#This Row],[MUROS]])</f>
        <v>0</v>
      </c>
      <c r="BJ131" s="3">
        <f>+IF(AVANCE[[#This Row],[CIELO]]=Q$2,100%,AVANCE[[#This Row],[CIELO]])</f>
        <v>0</v>
      </c>
      <c r="BK131" s="3">
        <f>+IF(AVANCE[[#This Row],[BALCÓN]]=R$2,100%,AVANCE[[#This Row],[BALCÓN]])</f>
        <v>0</v>
      </c>
      <c r="BL131" s="3">
        <f>+IF(AVANCE[[#This Row],[RED ALCANTARILLADO]]=U$2,100%,AVANCE[[#This Row],[RED ALCANTARILLADO]])</f>
        <v>0</v>
      </c>
      <c r="BM131" s="3">
        <f>+IF(AVANCE[[#This Row],[RED DE AGUA]]=V$2,100%,AVANCE[[#This Row],[RED DE AGUA]])</f>
        <v>0</v>
      </c>
      <c r="BN131" s="3">
        <f>+IF(AVANCE[[#This Row],[VENTILACIONES]]=W$2,100%,AVANCE[[#This Row],[VENTILACIONES]])</f>
        <v>0</v>
      </c>
      <c r="BO131" s="3">
        <f>+IF(AVANCE[[#This Row],[TINA]]=X$2,100%,AVANCE[[#This Row],[TINA]])</f>
        <v>0</v>
      </c>
      <c r="BP131" s="3">
        <f>+IF(AVANCE[[#This Row],[WC]]=Y$2,100%,AVANCE[[#This Row],[WC]])</f>
        <v>0</v>
      </c>
      <c r="BQ131" s="3">
        <f>+IF(AVANCE[[#This Row],[LAVAMANOS / LAVAPLATOS / LAVADERO]]=Z$2,100%,AVANCE[[#This Row],[LAVAMANOS / LAVAPLATOS / LAVADERO]])</f>
        <v>0</v>
      </c>
      <c r="BR131" s="3">
        <f>+IF(AVANCE[[#This Row],[CANALIZACIÓN]]=AC$2,100%,AVANCE[[#This Row],[CANALIZACIÓN]])</f>
        <v>0</v>
      </c>
      <c r="BS131" s="3">
        <f>+IF(AVANCE[[#This Row],[CABLEADO]]=AD$2,100%,AVANCE[[#This Row],[CABLEADO]])</f>
        <v>0</v>
      </c>
      <c r="BT131" s="3">
        <f>+IF(AVANCE[[#This Row],[ARTEFACTOS]]=AE$2,100%,AVANCE[[#This Row],[ARTEFACTOS]])</f>
        <v>0</v>
      </c>
      <c r="BU131" s="3">
        <f>+IF(AVANCE[[#This Row],[TABLERO]]=AF$2,100%,AVANCE[[#This Row],[TABLERO]])</f>
        <v>0</v>
      </c>
      <c r="BV131" s="3">
        <f>+IF(AVANCE[[#This Row],[CAJA PAU]]=AG$2,100%,AVANCE[[#This Row],[CAJA PAU]])</f>
        <v>0</v>
      </c>
      <c r="BW131" s="3">
        <f>+IF(AVANCE[[#This Row],[INSTALACION VINILICO]]=AJ$2,100%,AVANCE[[#This Row],[INSTALACION VINILICO]])</f>
        <v>0</v>
      </c>
      <c r="BX131" s="3">
        <f>+IF(AVANCE[[#This Row],[OSB CUBIERTA]]=AK$2,100%,AVANCE[[#This Row],[OSB CUBIERTA]])</f>
        <v>0</v>
      </c>
      <c r="BY131" s="3">
        <f>+IF(AVANCE[[#This Row],[BARANDA BALCON]]=AL$2,100%,AVANCE[[#This Row],[BARANDA BALCON]])</f>
        <v>0</v>
      </c>
      <c r="BZ131" s="3">
        <f>+IF(AVANCE[[#This Row],[OSB EXTERIOR]]=AM$2,100%,AVANCE[[#This Row],[OSB EXTERIOR]])</f>
        <v>0</v>
      </c>
      <c r="CA131" s="3">
        <f>+IF(AVANCE[[#This Row],[SMART PANEL]]=AN$2,100%,AVANCE[[#This Row],[SMART PANEL]])</f>
        <v>0</v>
      </c>
      <c r="CB131" s="3">
        <f>+IF(AVANCE[[#This Row],[PINTURA EXTERIOR]]=AO$2,100%,AVANCE[[#This Row],[PINTURA EXTERIOR]])</f>
        <v>0</v>
      </c>
      <c r="CC131" s="3">
        <f>+IF(AVANCE[[#This Row],[ZOCALOS LOGIA]]=AP$2,100%,AVANCE[[#This Row],[ZOCALOS LOGIA]])</f>
        <v>0</v>
      </c>
      <c r="CD131" s="3">
        <f>+IF(AVANCE[[#This Row],[MOLDURAS]]=AQ$2,100%,AVANCE[[#This Row],[MOLDURAS]])</f>
        <v>0</v>
      </c>
      <c r="CE131" s="3">
        <f>+IF(AVANCE[[#This Row],[PILASTREO]]=AR$2,100%,AVANCE[[#This Row],[PILASTREO]])</f>
        <v>0</v>
      </c>
      <c r="CF131" s="3">
        <f>+IF(AVANCE[[#This Row],[CELOSIAS]]=AS$2,100%,AVANCE[[#This Row],[CELOSIAS]])</f>
        <v>0</v>
      </c>
      <c r="CG131" s="3">
        <f>+IF(AVANCE[[#This Row],[VENTANAS]]=AT$2,100%,AVANCE[[#This Row],[VENTANAS]])</f>
        <v>0</v>
      </c>
      <c r="CH131" s="3">
        <f>+IF(AVANCE[[#This Row],[PUERTAS ACCESO - LOGIA - BANO]]=AU$2,100%,AVANCE[[#This Row],[PUERTAS ACCESO - LOGIA - BANO]])</f>
        <v>0</v>
      </c>
      <c r="CI131" s="3">
        <f>+IF(AVANCE[[#This Row],[CERRADURAS]]=AV$2,100%,AVANCE[[#This Row],[CERRADURAS]])</f>
        <v>0</v>
      </c>
      <c r="CJ131" s="3">
        <f>+IF(AVANCE[[#This Row],[REVESTIMIENTO INTERIOR ZONA SECA]]=AW$2,100%,AVANCE[[#This Row],[REVESTIMIENTO INTERIOR ZONA SECA]])</f>
        <v>0</v>
      </c>
      <c r="CK131" s="3">
        <f>+IF(AVANCE[[#This Row],[REVESTIMIENTO INTERIOR ZONAS HUMEDAS]]=AX$2,100%,AVANCE[[#This Row],[REVESTIMIENTO INTERIOR ZONAS HUMEDAS]])</f>
        <v>0</v>
      </c>
      <c r="CL131" s="3">
        <f>+IF(AVANCE[[#This Row],[MEMBRANA CIELO]]=AY$2,100%,AVANCE[[#This Row],[MEMBRANA CIELO]])</f>
        <v>0</v>
      </c>
      <c r="CM131" s="3">
        <f>+IF(AVANCE[[#This Row],[LIMPIEZA FINAL]]=AZ$2,100%,AVANCE[[#This Row],[LIMPIEZA FINAL]])</f>
        <v>0</v>
      </c>
      <c r="CN131" s="3">
        <f>+IF(AVANCE[[#This Row],[PUERTAS DORMITORIO]]=BA$2,100%,AVANCE[[#This Row],[PUERTAS DORMITORIO]])</f>
        <v>0</v>
      </c>
      <c r="CO131" s="3">
        <f>+IF(AVANCE[[#This Row],[REVESTIMIENTO INTERIOR BANO]]=BB$2,100%,AVANCE[[#This Row],[REVESTIMIENTO INTERIOR BANO]])</f>
        <v>0</v>
      </c>
      <c r="CP131" s="3">
        <f>+IF(AVANCE[[#This Row],[MUEBLE LAVAPLATOS]]=BC$2,100%,AVANCE[[#This Row],[MUEBLE LAVAPLATOS]])</f>
        <v>0</v>
      </c>
      <c r="CQ131" s="3">
        <f>+IF(AVANCE[[#This Row],[IMPERMEABILIZACION BANO - COCINA LOGIA]]=BD$2,100%,AVANCE[[#This Row],[IMPERMEABILIZACION BANO - COCINA LOGIA]])</f>
        <v>0</v>
      </c>
      <c r="CR131" s="40">
        <f ca="1">+IF(AVANCE[[#This Row],[ESTADO MODULO]]="PENDIENTE",(TODAY()-AVANCE[[#This Row],[FECHA TERMINO  PLANIFICADO]]),0)</f>
        <v>0</v>
      </c>
      <c r="CS131" s="42" t="str" cm="1">
        <f t="array" ref="CS131">_xlfn.TEXTJOIN(" | ",TRUE,IF(SUMPRODUCT((BF131:CQ131&lt;1)*(PARTIDAS!$I$2:$AT$2="OBRA GRUESA"))&gt;0,"OBRA GRUESA: "&amp;_xlfn.TEXTJOIN(", ",TRUE,IF((BF131:CQ131&lt;1)*(PARTIDAS!$I$2:$AT$2="OBRA GRUESA"),PARTIDAS!$I$1:$AT$1,"")),""),IF(SUMPRODUCT((BF131:CQ131&lt;1)*(PARTIDAS!$I$2:$AT$2="SANITARIOS"))&gt;0,"SANITARIOS: "&amp;_xlfn.TEXTJOIN(", ",TRUE,IF((BF131:CQ131&lt;1)*(PARTIDAS!$I$2:$AT$2="SANITARIOS"),PARTIDAS!$I$1:$AT$1,"")),""),IF(SUMPRODUCT((BF131:CQ131&lt;1)*(PARTIDAS!$I$2:$AT$2="ELÉCTRICO"))&gt;0,"ELÉCTRICO: "&amp;_xlfn.TEXTJOIN(", ",TRUE,IF((BF131:CQ131&lt;1)*(PARTIDAS!$I$2:$AT$2="ELÉCTRICO"),PARTIDAS!$I$1:$AT$1,"")),""),IF(SUMPRODUCT((BF131:CQ131&lt;1)*(PARTIDAS!$I$2:$AT$2="TERMINACIONES"))&gt;0,"TERMINACIONES: "&amp;_xlfn.TEXTJOIN(", ",TRUE,IF((BF131:CQ131&lt;1)*(PARTIDAS!$I$2:$AT$2="TERMINACIONES"),PARTIDAS!$I$1:$AT$1,"")),""))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1" s="45" t="str" cm="1">
        <f t="array" ref="CT131">_xlfn.TEXTJOIN(", ",TRUE,IF(SUMPRODUCT((BF131:CQ131&lt;1)*(PARTIDAS!$I$2:$AT$2="OBRA GRUESA"))&gt;0,"OBRA GRUESA",""),IF(SUMPRODUCT((BF131:CQ131&lt;1)*(PARTIDAS!$I$2:$AT$2="SANITARIOS"))&gt;0,"SANITARIOS",""),IF(SUMPRODUCT((BF131:CQ131&lt;1)*(PARTIDAS!$I$2:$AT$2="ELÉCTRICO"))&gt;0,"ELÉCTRICO",""),IF(SUMPRODUCT((BF131:CQ131&lt;1)*(PARTIDAS!$I$2:$AT$2="TERMINACIONES"))&gt;0,"TERMINACIONES",""))</f>
        <v>OBRA GRUESA, SANITARIOS, ELÉCTRICO, TERMINACIONES</v>
      </c>
      <c r="CU131" s="46" cm="1">
        <f t="array" ref="CU131">SUMPRODUCT(--(BF131:CQ131&lt;1))</f>
        <v>38</v>
      </c>
    </row>
    <row r="132" spans="1:99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46181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 t="str">
        <f>+IF(AVANCE[[#This Row],[% AVANCE]]=100%,"MODULO TERMINADO",IF(AVANCE[[#This Row],[FECHA INICIO REAL]]="","MODULO NO INICIADO","PENDIENTE"))</f>
        <v>MODULO NO INICIADO</v>
      </c>
      <c r="BF132" s="3">
        <f>+IF(AVANCE[[#This Row],[VENTANAS]]=8.10810810810811%,100%,AVANCE[[#This Row],[VENTANAS]])</f>
        <v>0</v>
      </c>
      <c r="BG132" s="3">
        <f>+IF(AVANCE[[#This Row],[PISO]]=N$2,100%,AVANCE[[#This Row],[PISO]])</f>
        <v>0</v>
      </c>
      <c r="BH132" s="3">
        <f>+IF(AVANCE[[#This Row],[TABIQUES]]=O$2,100%,AVANCE[[#This Row],[TABIQUES]])</f>
        <v>0</v>
      </c>
      <c r="BI132" s="3">
        <f>+IF(AVANCE[[#This Row],[MUROS]]=P$2,100%,AVANCE[[#This Row],[MUROS]])</f>
        <v>0</v>
      </c>
      <c r="BJ132" s="3">
        <f>+IF(AVANCE[[#This Row],[CIELO]]=Q$2,100%,AVANCE[[#This Row],[CIELO]])</f>
        <v>0</v>
      </c>
      <c r="BK132" s="3">
        <f>+IF(AVANCE[[#This Row],[BALCÓN]]=R$2,100%,AVANCE[[#This Row],[BALCÓN]])</f>
        <v>0</v>
      </c>
      <c r="BL132" s="3">
        <f>+IF(AVANCE[[#This Row],[RED ALCANTARILLADO]]=U$2,100%,AVANCE[[#This Row],[RED ALCANTARILLADO]])</f>
        <v>0</v>
      </c>
      <c r="BM132" s="3">
        <f>+IF(AVANCE[[#This Row],[RED DE AGUA]]=V$2,100%,AVANCE[[#This Row],[RED DE AGUA]])</f>
        <v>0</v>
      </c>
      <c r="BN132" s="3">
        <f>+IF(AVANCE[[#This Row],[VENTILACIONES]]=W$2,100%,AVANCE[[#This Row],[VENTILACIONES]])</f>
        <v>0</v>
      </c>
      <c r="BO132" s="3">
        <f>+IF(AVANCE[[#This Row],[TINA]]=X$2,100%,AVANCE[[#This Row],[TINA]])</f>
        <v>0</v>
      </c>
      <c r="BP132" s="3">
        <f>+IF(AVANCE[[#This Row],[WC]]=Y$2,100%,AVANCE[[#This Row],[WC]])</f>
        <v>0</v>
      </c>
      <c r="BQ132" s="3">
        <f>+IF(AVANCE[[#This Row],[LAVAMANOS / LAVAPLATOS / LAVADERO]]=Z$2,100%,AVANCE[[#This Row],[LAVAMANOS / LAVAPLATOS / LAVADERO]])</f>
        <v>0</v>
      </c>
      <c r="BR132" s="3">
        <f>+IF(AVANCE[[#This Row],[CANALIZACIÓN]]=AC$2,100%,AVANCE[[#This Row],[CANALIZACIÓN]])</f>
        <v>0</v>
      </c>
      <c r="BS132" s="3">
        <f>+IF(AVANCE[[#This Row],[CABLEADO]]=AD$2,100%,AVANCE[[#This Row],[CABLEADO]])</f>
        <v>0</v>
      </c>
      <c r="BT132" s="3">
        <f>+IF(AVANCE[[#This Row],[ARTEFACTOS]]=AE$2,100%,AVANCE[[#This Row],[ARTEFACTOS]])</f>
        <v>0</v>
      </c>
      <c r="BU132" s="3">
        <f>+IF(AVANCE[[#This Row],[TABLERO]]=AF$2,100%,AVANCE[[#This Row],[TABLERO]])</f>
        <v>0</v>
      </c>
      <c r="BV132" s="3">
        <f>+IF(AVANCE[[#This Row],[CAJA PAU]]=AG$2,100%,AVANCE[[#This Row],[CAJA PAU]])</f>
        <v>0</v>
      </c>
      <c r="BW132" s="3">
        <f>+IF(AVANCE[[#This Row],[INSTALACION VINILICO]]=AJ$2,100%,AVANCE[[#This Row],[INSTALACION VINILICO]])</f>
        <v>0</v>
      </c>
      <c r="BX132" s="3">
        <f>+IF(AVANCE[[#This Row],[OSB CUBIERTA]]=AK$2,100%,AVANCE[[#This Row],[OSB CUBIERTA]])</f>
        <v>0</v>
      </c>
      <c r="BY132" s="3">
        <f>+IF(AVANCE[[#This Row],[BARANDA BALCON]]=AL$2,100%,AVANCE[[#This Row],[BARANDA BALCON]])</f>
        <v>0</v>
      </c>
      <c r="BZ132" s="3">
        <f>+IF(AVANCE[[#This Row],[OSB EXTERIOR]]=AM$2,100%,AVANCE[[#This Row],[OSB EXTERIOR]])</f>
        <v>0</v>
      </c>
      <c r="CA132" s="3">
        <f>+IF(AVANCE[[#This Row],[SMART PANEL]]=AN$2,100%,AVANCE[[#This Row],[SMART PANEL]])</f>
        <v>0</v>
      </c>
      <c r="CB132" s="3">
        <f>+IF(AVANCE[[#This Row],[PINTURA EXTERIOR]]=AO$2,100%,AVANCE[[#This Row],[PINTURA EXTERIOR]])</f>
        <v>0</v>
      </c>
      <c r="CC132" s="3">
        <f>+IF(AVANCE[[#This Row],[ZOCALOS LOGIA]]=AP$2,100%,AVANCE[[#This Row],[ZOCALOS LOGIA]])</f>
        <v>0</v>
      </c>
      <c r="CD132" s="3">
        <f>+IF(AVANCE[[#This Row],[MOLDURAS]]=AQ$2,100%,AVANCE[[#This Row],[MOLDURAS]])</f>
        <v>0</v>
      </c>
      <c r="CE132" s="3">
        <f>+IF(AVANCE[[#This Row],[PILASTREO]]=AR$2,100%,AVANCE[[#This Row],[PILASTREO]])</f>
        <v>0</v>
      </c>
      <c r="CF132" s="3">
        <f>+IF(AVANCE[[#This Row],[CELOSIAS]]=AS$2,100%,AVANCE[[#This Row],[CELOSIAS]])</f>
        <v>0</v>
      </c>
      <c r="CG132" s="3">
        <f>+IF(AVANCE[[#This Row],[VENTANAS]]=AT$2,100%,AVANCE[[#This Row],[VENTANAS]])</f>
        <v>0</v>
      </c>
      <c r="CH132" s="3">
        <f>+IF(AVANCE[[#This Row],[PUERTAS ACCESO - LOGIA - BANO]]=AU$2,100%,AVANCE[[#This Row],[PUERTAS ACCESO - LOGIA - BANO]])</f>
        <v>0</v>
      </c>
      <c r="CI132" s="3">
        <f>+IF(AVANCE[[#This Row],[CERRADURAS]]=AV$2,100%,AVANCE[[#This Row],[CERRADURAS]])</f>
        <v>0</v>
      </c>
      <c r="CJ132" s="3">
        <f>+IF(AVANCE[[#This Row],[REVESTIMIENTO INTERIOR ZONA SECA]]=AW$2,100%,AVANCE[[#This Row],[REVESTIMIENTO INTERIOR ZONA SECA]])</f>
        <v>0</v>
      </c>
      <c r="CK132" s="3">
        <f>+IF(AVANCE[[#This Row],[REVESTIMIENTO INTERIOR ZONAS HUMEDAS]]=AX$2,100%,AVANCE[[#This Row],[REVESTIMIENTO INTERIOR ZONAS HUMEDAS]])</f>
        <v>0</v>
      </c>
      <c r="CL132" s="3">
        <f>+IF(AVANCE[[#This Row],[MEMBRANA CIELO]]=AY$2,100%,AVANCE[[#This Row],[MEMBRANA CIELO]])</f>
        <v>0</v>
      </c>
      <c r="CM132" s="3">
        <f>+IF(AVANCE[[#This Row],[LIMPIEZA FINAL]]=AZ$2,100%,AVANCE[[#This Row],[LIMPIEZA FINAL]])</f>
        <v>0</v>
      </c>
      <c r="CN132" s="3">
        <f>+IF(AVANCE[[#This Row],[PUERTAS DORMITORIO]]=BA$2,100%,AVANCE[[#This Row],[PUERTAS DORMITORIO]])</f>
        <v>0</v>
      </c>
      <c r="CO132" s="3">
        <f>+IF(AVANCE[[#This Row],[REVESTIMIENTO INTERIOR BANO]]=BB$2,100%,AVANCE[[#This Row],[REVESTIMIENTO INTERIOR BANO]])</f>
        <v>0</v>
      </c>
      <c r="CP132" s="3">
        <f>+IF(AVANCE[[#This Row],[MUEBLE LAVAPLATOS]]=BC$2,100%,AVANCE[[#This Row],[MUEBLE LAVAPLATOS]])</f>
        <v>0</v>
      </c>
      <c r="CQ132" s="3">
        <f>+IF(AVANCE[[#This Row],[IMPERMEABILIZACION BANO - COCINA LOGIA]]=BD$2,100%,AVANCE[[#This Row],[IMPERMEABILIZACION BANO - COCINA LOGIA]])</f>
        <v>0</v>
      </c>
      <c r="CR132" s="40">
        <f ca="1">+IF(AVANCE[[#This Row],[ESTADO MODULO]]="PENDIENTE",(TODAY()-AVANCE[[#This Row],[FECHA TERMINO  PLANIFICADO]]),0)</f>
        <v>0</v>
      </c>
      <c r="CS132" s="42" t="str" cm="1">
        <f t="array" ref="CS132">_xlfn.TEXTJOIN(" | ",TRUE,IF(SUMPRODUCT((BF132:CQ132&lt;1)*(PARTIDAS!$I$2:$AT$2="OBRA GRUESA"))&gt;0,"OBRA GRUESA: "&amp;_xlfn.TEXTJOIN(", ",TRUE,IF((BF132:CQ132&lt;1)*(PARTIDAS!$I$2:$AT$2="OBRA GRUESA"),PARTIDAS!$I$1:$AT$1,"")),""),IF(SUMPRODUCT((BF132:CQ132&lt;1)*(PARTIDAS!$I$2:$AT$2="SANITARIOS"))&gt;0,"SANITARIOS: "&amp;_xlfn.TEXTJOIN(", ",TRUE,IF((BF132:CQ132&lt;1)*(PARTIDAS!$I$2:$AT$2="SANITARIOS"),PARTIDAS!$I$1:$AT$1,"")),""),IF(SUMPRODUCT((BF132:CQ132&lt;1)*(PARTIDAS!$I$2:$AT$2="ELÉCTRICO"))&gt;0,"ELÉCTRICO: "&amp;_xlfn.TEXTJOIN(", ",TRUE,IF((BF132:CQ132&lt;1)*(PARTIDAS!$I$2:$AT$2="ELÉCTRICO"),PARTIDAS!$I$1:$AT$1,"")),""),IF(SUMPRODUCT((BF132:CQ132&lt;1)*(PARTIDAS!$I$2:$AT$2="TERMINACIONES"))&gt;0,"TERMINACIONES: "&amp;_xlfn.TEXTJOIN(", ",TRUE,IF((BF132:CQ132&lt;1)*(PARTIDAS!$I$2:$AT$2="TERMINACIONES"),PARTIDAS!$I$1:$AT$1,"")),""))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2" s="45" t="str" cm="1">
        <f t="array" ref="CT132">_xlfn.TEXTJOIN(", ",TRUE,IF(SUMPRODUCT((BF132:CQ132&lt;1)*(PARTIDAS!$I$2:$AT$2="OBRA GRUESA"))&gt;0,"OBRA GRUESA",""),IF(SUMPRODUCT((BF132:CQ132&lt;1)*(PARTIDAS!$I$2:$AT$2="SANITARIOS"))&gt;0,"SANITARIOS",""),IF(SUMPRODUCT((BF132:CQ132&lt;1)*(PARTIDAS!$I$2:$AT$2="ELÉCTRICO"))&gt;0,"ELÉCTRICO",""),IF(SUMPRODUCT((BF132:CQ132&lt;1)*(PARTIDAS!$I$2:$AT$2="TERMINACIONES"))&gt;0,"TERMINACIONES",""))</f>
        <v>OBRA GRUESA, SANITARIOS, ELÉCTRICO, TERMINACIONES</v>
      </c>
      <c r="CU132" s="46" cm="1">
        <f t="array" ref="CU132">SUMPRODUCT(--(BF132:CQ132&lt;1))</f>
        <v>38</v>
      </c>
    </row>
    <row r="133" spans="1:99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46181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 t="str">
        <f>+IF(AVANCE[[#This Row],[% AVANCE]]=100%,"MODULO TERMINADO",IF(AVANCE[[#This Row],[FECHA INICIO REAL]]="","MODULO NO INICIADO","PENDIENTE"))</f>
        <v>MODULO NO INICIADO</v>
      </c>
      <c r="BF133" s="3">
        <f>+IF(AVANCE[[#This Row],[VENTANAS]]=8.10810810810811%,100%,AVANCE[[#This Row],[VENTANAS]])</f>
        <v>0</v>
      </c>
      <c r="BG133" s="3">
        <f>+IF(AVANCE[[#This Row],[PISO]]=N$2,100%,AVANCE[[#This Row],[PISO]])</f>
        <v>0</v>
      </c>
      <c r="BH133" s="3">
        <f>+IF(AVANCE[[#This Row],[TABIQUES]]=O$2,100%,AVANCE[[#This Row],[TABIQUES]])</f>
        <v>0</v>
      </c>
      <c r="BI133" s="3">
        <f>+IF(AVANCE[[#This Row],[MUROS]]=P$2,100%,AVANCE[[#This Row],[MUROS]])</f>
        <v>0</v>
      </c>
      <c r="BJ133" s="3">
        <f>+IF(AVANCE[[#This Row],[CIELO]]=Q$2,100%,AVANCE[[#This Row],[CIELO]])</f>
        <v>0</v>
      </c>
      <c r="BK133" s="3">
        <f>+IF(AVANCE[[#This Row],[BALCÓN]]=R$2,100%,AVANCE[[#This Row],[BALCÓN]])</f>
        <v>0</v>
      </c>
      <c r="BL133" s="3">
        <f>+IF(AVANCE[[#This Row],[RED ALCANTARILLADO]]=U$2,100%,AVANCE[[#This Row],[RED ALCANTARILLADO]])</f>
        <v>0</v>
      </c>
      <c r="BM133" s="3">
        <f>+IF(AVANCE[[#This Row],[RED DE AGUA]]=V$2,100%,AVANCE[[#This Row],[RED DE AGUA]])</f>
        <v>0</v>
      </c>
      <c r="BN133" s="3">
        <f>+IF(AVANCE[[#This Row],[VENTILACIONES]]=W$2,100%,AVANCE[[#This Row],[VENTILACIONES]])</f>
        <v>0</v>
      </c>
      <c r="BO133" s="3">
        <f>+IF(AVANCE[[#This Row],[TINA]]=X$2,100%,AVANCE[[#This Row],[TINA]])</f>
        <v>0</v>
      </c>
      <c r="BP133" s="3">
        <f>+IF(AVANCE[[#This Row],[WC]]=Y$2,100%,AVANCE[[#This Row],[WC]])</f>
        <v>0</v>
      </c>
      <c r="BQ133" s="3">
        <f>+IF(AVANCE[[#This Row],[LAVAMANOS / LAVAPLATOS / LAVADERO]]=Z$2,100%,AVANCE[[#This Row],[LAVAMANOS / LAVAPLATOS / LAVADERO]])</f>
        <v>0</v>
      </c>
      <c r="BR133" s="3">
        <f>+IF(AVANCE[[#This Row],[CANALIZACIÓN]]=AC$2,100%,AVANCE[[#This Row],[CANALIZACIÓN]])</f>
        <v>0</v>
      </c>
      <c r="BS133" s="3">
        <f>+IF(AVANCE[[#This Row],[CABLEADO]]=AD$2,100%,AVANCE[[#This Row],[CABLEADO]])</f>
        <v>0</v>
      </c>
      <c r="BT133" s="3">
        <f>+IF(AVANCE[[#This Row],[ARTEFACTOS]]=AE$2,100%,AVANCE[[#This Row],[ARTEFACTOS]])</f>
        <v>0</v>
      </c>
      <c r="BU133" s="3">
        <f>+IF(AVANCE[[#This Row],[TABLERO]]=AF$2,100%,AVANCE[[#This Row],[TABLERO]])</f>
        <v>0</v>
      </c>
      <c r="BV133" s="3">
        <f>+IF(AVANCE[[#This Row],[CAJA PAU]]=AG$2,100%,AVANCE[[#This Row],[CAJA PAU]])</f>
        <v>0</v>
      </c>
      <c r="BW133" s="3">
        <f>+IF(AVANCE[[#This Row],[INSTALACION VINILICO]]=AJ$2,100%,AVANCE[[#This Row],[INSTALACION VINILICO]])</f>
        <v>0</v>
      </c>
      <c r="BX133" s="3">
        <f>+IF(AVANCE[[#This Row],[OSB CUBIERTA]]=AK$2,100%,AVANCE[[#This Row],[OSB CUBIERTA]])</f>
        <v>0</v>
      </c>
      <c r="BY133" s="3">
        <f>+IF(AVANCE[[#This Row],[BARANDA BALCON]]=AL$2,100%,AVANCE[[#This Row],[BARANDA BALCON]])</f>
        <v>0</v>
      </c>
      <c r="BZ133" s="3">
        <f>+IF(AVANCE[[#This Row],[OSB EXTERIOR]]=AM$2,100%,AVANCE[[#This Row],[OSB EXTERIOR]])</f>
        <v>0</v>
      </c>
      <c r="CA133" s="3">
        <f>+IF(AVANCE[[#This Row],[SMART PANEL]]=AN$2,100%,AVANCE[[#This Row],[SMART PANEL]])</f>
        <v>0</v>
      </c>
      <c r="CB133" s="3">
        <f>+IF(AVANCE[[#This Row],[PINTURA EXTERIOR]]=AO$2,100%,AVANCE[[#This Row],[PINTURA EXTERIOR]])</f>
        <v>0</v>
      </c>
      <c r="CC133" s="3">
        <f>+IF(AVANCE[[#This Row],[ZOCALOS LOGIA]]=AP$2,100%,AVANCE[[#This Row],[ZOCALOS LOGIA]])</f>
        <v>0</v>
      </c>
      <c r="CD133" s="3">
        <f>+IF(AVANCE[[#This Row],[MOLDURAS]]=AQ$2,100%,AVANCE[[#This Row],[MOLDURAS]])</f>
        <v>0</v>
      </c>
      <c r="CE133" s="3">
        <f>+IF(AVANCE[[#This Row],[PILASTREO]]=AR$2,100%,AVANCE[[#This Row],[PILASTREO]])</f>
        <v>0</v>
      </c>
      <c r="CF133" s="3">
        <f>+IF(AVANCE[[#This Row],[CELOSIAS]]=AS$2,100%,AVANCE[[#This Row],[CELOSIAS]])</f>
        <v>0</v>
      </c>
      <c r="CG133" s="3">
        <f>+IF(AVANCE[[#This Row],[VENTANAS]]=AT$2,100%,AVANCE[[#This Row],[VENTANAS]])</f>
        <v>0</v>
      </c>
      <c r="CH133" s="3">
        <f>+IF(AVANCE[[#This Row],[PUERTAS ACCESO - LOGIA - BANO]]=AU$2,100%,AVANCE[[#This Row],[PUERTAS ACCESO - LOGIA - BANO]])</f>
        <v>0</v>
      </c>
      <c r="CI133" s="3">
        <f>+IF(AVANCE[[#This Row],[CERRADURAS]]=AV$2,100%,AVANCE[[#This Row],[CERRADURAS]])</f>
        <v>0</v>
      </c>
      <c r="CJ133" s="3">
        <f>+IF(AVANCE[[#This Row],[REVESTIMIENTO INTERIOR ZONA SECA]]=AW$2,100%,AVANCE[[#This Row],[REVESTIMIENTO INTERIOR ZONA SECA]])</f>
        <v>0</v>
      </c>
      <c r="CK133" s="3">
        <f>+IF(AVANCE[[#This Row],[REVESTIMIENTO INTERIOR ZONAS HUMEDAS]]=AX$2,100%,AVANCE[[#This Row],[REVESTIMIENTO INTERIOR ZONAS HUMEDAS]])</f>
        <v>0</v>
      </c>
      <c r="CL133" s="3">
        <f>+IF(AVANCE[[#This Row],[MEMBRANA CIELO]]=AY$2,100%,AVANCE[[#This Row],[MEMBRANA CIELO]])</f>
        <v>0</v>
      </c>
      <c r="CM133" s="3">
        <f>+IF(AVANCE[[#This Row],[LIMPIEZA FINAL]]=AZ$2,100%,AVANCE[[#This Row],[LIMPIEZA FINAL]])</f>
        <v>0</v>
      </c>
      <c r="CN133" s="3">
        <f>+IF(AVANCE[[#This Row],[PUERTAS DORMITORIO]]=BA$2,100%,AVANCE[[#This Row],[PUERTAS DORMITORIO]])</f>
        <v>0</v>
      </c>
      <c r="CO133" s="3">
        <f>+IF(AVANCE[[#This Row],[REVESTIMIENTO INTERIOR BANO]]=BB$2,100%,AVANCE[[#This Row],[REVESTIMIENTO INTERIOR BANO]])</f>
        <v>0</v>
      </c>
      <c r="CP133" s="3">
        <f>+IF(AVANCE[[#This Row],[MUEBLE LAVAPLATOS]]=BC$2,100%,AVANCE[[#This Row],[MUEBLE LAVAPLATOS]])</f>
        <v>0</v>
      </c>
      <c r="CQ133" s="3">
        <f>+IF(AVANCE[[#This Row],[IMPERMEABILIZACION BANO - COCINA LOGIA]]=BD$2,100%,AVANCE[[#This Row],[IMPERMEABILIZACION BANO - COCINA LOGIA]])</f>
        <v>0</v>
      </c>
      <c r="CR133" s="40">
        <f ca="1">+IF(AVANCE[[#This Row],[ESTADO MODULO]]="PENDIENTE",(TODAY()-AVANCE[[#This Row],[FECHA TERMINO  PLANIFICADO]]),0)</f>
        <v>0</v>
      </c>
      <c r="CS133" s="42" t="str" cm="1">
        <f t="array" ref="CS133">_xlfn.TEXTJOIN(" | ",TRUE,IF(SUMPRODUCT((BF133:CQ133&lt;1)*(PARTIDAS!$I$2:$AT$2="OBRA GRUESA"))&gt;0,"OBRA GRUESA: "&amp;_xlfn.TEXTJOIN(", ",TRUE,IF((BF133:CQ133&lt;1)*(PARTIDAS!$I$2:$AT$2="OBRA GRUESA"),PARTIDAS!$I$1:$AT$1,"")),""),IF(SUMPRODUCT((BF133:CQ133&lt;1)*(PARTIDAS!$I$2:$AT$2="SANITARIOS"))&gt;0,"SANITARIOS: "&amp;_xlfn.TEXTJOIN(", ",TRUE,IF((BF133:CQ133&lt;1)*(PARTIDAS!$I$2:$AT$2="SANITARIOS"),PARTIDAS!$I$1:$AT$1,"")),""),IF(SUMPRODUCT((BF133:CQ133&lt;1)*(PARTIDAS!$I$2:$AT$2="ELÉCTRICO"))&gt;0,"ELÉCTRICO: "&amp;_xlfn.TEXTJOIN(", ",TRUE,IF((BF133:CQ133&lt;1)*(PARTIDAS!$I$2:$AT$2="ELÉCTRICO"),PARTIDAS!$I$1:$AT$1,"")),""),IF(SUMPRODUCT((BF133:CQ133&lt;1)*(PARTIDAS!$I$2:$AT$2="TERMINACIONES"))&gt;0,"TERMINACIONES: "&amp;_xlfn.TEXTJOIN(", ",TRUE,IF((BF133:CQ133&lt;1)*(PARTIDAS!$I$2:$AT$2="TERMINACIONES"),PARTIDAS!$I$1:$AT$1,"")),""))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3" s="45" t="str" cm="1">
        <f t="array" ref="CT133">_xlfn.TEXTJOIN(", ",TRUE,IF(SUMPRODUCT((BF133:CQ133&lt;1)*(PARTIDAS!$I$2:$AT$2="OBRA GRUESA"))&gt;0,"OBRA GRUESA",""),IF(SUMPRODUCT((BF133:CQ133&lt;1)*(PARTIDAS!$I$2:$AT$2="SANITARIOS"))&gt;0,"SANITARIOS",""),IF(SUMPRODUCT((BF133:CQ133&lt;1)*(PARTIDAS!$I$2:$AT$2="ELÉCTRICO"))&gt;0,"ELÉCTRICO",""),IF(SUMPRODUCT((BF133:CQ133&lt;1)*(PARTIDAS!$I$2:$AT$2="TERMINACIONES"))&gt;0,"TERMINACIONES",""))</f>
        <v>OBRA GRUESA, SANITARIOS, ELÉCTRICO, TERMINACIONES</v>
      </c>
      <c r="CU133" s="46" cm="1">
        <f t="array" ref="CU133">SUMPRODUCT(--(BF133:CQ133&lt;1))</f>
        <v>38</v>
      </c>
    </row>
    <row r="134" spans="1:99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46181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 t="str">
        <f>+IF(AVANCE[[#This Row],[% AVANCE]]=100%,"MODULO TERMINADO",IF(AVANCE[[#This Row],[FECHA INICIO REAL]]="","MODULO NO INICIADO","PENDIENTE"))</f>
        <v>MODULO NO INICIADO</v>
      </c>
      <c r="BF134" s="3">
        <f>+IF(AVANCE[[#This Row],[VENTANAS]]=8.10810810810811%,100%,AVANCE[[#This Row],[VENTANAS]])</f>
        <v>0</v>
      </c>
      <c r="BG134" s="3">
        <f>+IF(AVANCE[[#This Row],[PISO]]=N$2,100%,AVANCE[[#This Row],[PISO]])</f>
        <v>0</v>
      </c>
      <c r="BH134" s="3">
        <f>+IF(AVANCE[[#This Row],[TABIQUES]]=O$2,100%,AVANCE[[#This Row],[TABIQUES]])</f>
        <v>0</v>
      </c>
      <c r="BI134" s="3">
        <f>+IF(AVANCE[[#This Row],[MUROS]]=P$2,100%,AVANCE[[#This Row],[MUROS]])</f>
        <v>0</v>
      </c>
      <c r="BJ134" s="3">
        <f>+IF(AVANCE[[#This Row],[CIELO]]=Q$2,100%,AVANCE[[#This Row],[CIELO]])</f>
        <v>0</v>
      </c>
      <c r="BK134" s="3">
        <f>+IF(AVANCE[[#This Row],[BALCÓN]]=R$2,100%,AVANCE[[#This Row],[BALCÓN]])</f>
        <v>0</v>
      </c>
      <c r="BL134" s="3">
        <f>+IF(AVANCE[[#This Row],[RED ALCANTARILLADO]]=U$2,100%,AVANCE[[#This Row],[RED ALCANTARILLADO]])</f>
        <v>0</v>
      </c>
      <c r="BM134" s="3">
        <f>+IF(AVANCE[[#This Row],[RED DE AGUA]]=V$2,100%,AVANCE[[#This Row],[RED DE AGUA]])</f>
        <v>0</v>
      </c>
      <c r="BN134" s="3">
        <f>+IF(AVANCE[[#This Row],[VENTILACIONES]]=W$2,100%,AVANCE[[#This Row],[VENTILACIONES]])</f>
        <v>0</v>
      </c>
      <c r="BO134" s="3">
        <f>+IF(AVANCE[[#This Row],[TINA]]=X$2,100%,AVANCE[[#This Row],[TINA]])</f>
        <v>0</v>
      </c>
      <c r="BP134" s="3">
        <f>+IF(AVANCE[[#This Row],[WC]]=Y$2,100%,AVANCE[[#This Row],[WC]])</f>
        <v>0</v>
      </c>
      <c r="BQ134" s="3">
        <f>+IF(AVANCE[[#This Row],[LAVAMANOS / LAVAPLATOS / LAVADERO]]=Z$2,100%,AVANCE[[#This Row],[LAVAMANOS / LAVAPLATOS / LAVADERO]])</f>
        <v>0</v>
      </c>
      <c r="BR134" s="3">
        <f>+IF(AVANCE[[#This Row],[CANALIZACIÓN]]=AC$2,100%,AVANCE[[#This Row],[CANALIZACIÓN]])</f>
        <v>0</v>
      </c>
      <c r="BS134" s="3">
        <f>+IF(AVANCE[[#This Row],[CABLEADO]]=AD$2,100%,AVANCE[[#This Row],[CABLEADO]])</f>
        <v>0</v>
      </c>
      <c r="BT134" s="3">
        <f>+IF(AVANCE[[#This Row],[ARTEFACTOS]]=AE$2,100%,AVANCE[[#This Row],[ARTEFACTOS]])</f>
        <v>0</v>
      </c>
      <c r="BU134" s="3">
        <f>+IF(AVANCE[[#This Row],[TABLERO]]=AF$2,100%,AVANCE[[#This Row],[TABLERO]])</f>
        <v>0</v>
      </c>
      <c r="BV134" s="3">
        <f>+IF(AVANCE[[#This Row],[CAJA PAU]]=AG$2,100%,AVANCE[[#This Row],[CAJA PAU]])</f>
        <v>0</v>
      </c>
      <c r="BW134" s="3">
        <f>+IF(AVANCE[[#This Row],[INSTALACION VINILICO]]=AJ$2,100%,AVANCE[[#This Row],[INSTALACION VINILICO]])</f>
        <v>0</v>
      </c>
      <c r="BX134" s="3">
        <f>+IF(AVANCE[[#This Row],[OSB CUBIERTA]]=AK$2,100%,AVANCE[[#This Row],[OSB CUBIERTA]])</f>
        <v>0</v>
      </c>
      <c r="BY134" s="3">
        <f>+IF(AVANCE[[#This Row],[BARANDA BALCON]]=AL$2,100%,AVANCE[[#This Row],[BARANDA BALCON]])</f>
        <v>0</v>
      </c>
      <c r="BZ134" s="3">
        <f>+IF(AVANCE[[#This Row],[OSB EXTERIOR]]=AM$2,100%,AVANCE[[#This Row],[OSB EXTERIOR]])</f>
        <v>0</v>
      </c>
      <c r="CA134" s="3">
        <f>+IF(AVANCE[[#This Row],[SMART PANEL]]=AN$2,100%,AVANCE[[#This Row],[SMART PANEL]])</f>
        <v>0</v>
      </c>
      <c r="CB134" s="3">
        <f>+IF(AVANCE[[#This Row],[PINTURA EXTERIOR]]=AO$2,100%,AVANCE[[#This Row],[PINTURA EXTERIOR]])</f>
        <v>0</v>
      </c>
      <c r="CC134" s="3">
        <f>+IF(AVANCE[[#This Row],[ZOCALOS LOGIA]]=AP$2,100%,AVANCE[[#This Row],[ZOCALOS LOGIA]])</f>
        <v>0</v>
      </c>
      <c r="CD134" s="3">
        <f>+IF(AVANCE[[#This Row],[MOLDURAS]]=AQ$2,100%,AVANCE[[#This Row],[MOLDURAS]])</f>
        <v>0</v>
      </c>
      <c r="CE134" s="3">
        <f>+IF(AVANCE[[#This Row],[PILASTREO]]=AR$2,100%,AVANCE[[#This Row],[PILASTREO]])</f>
        <v>0</v>
      </c>
      <c r="CF134" s="3">
        <f>+IF(AVANCE[[#This Row],[CELOSIAS]]=AS$2,100%,AVANCE[[#This Row],[CELOSIAS]])</f>
        <v>0</v>
      </c>
      <c r="CG134" s="3">
        <f>+IF(AVANCE[[#This Row],[VENTANAS]]=AT$2,100%,AVANCE[[#This Row],[VENTANAS]])</f>
        <v>0</v>
      </c>
      <c r="CH134" s="3">
        <f>+IF(AVANCE[[#This Row],[PUERTAS ACCESO - LOGIA - BANO]]=AU$2,100%,AVANCE[[#This Row],[PUERTAS ACCESO - LOGIA - BANO]])</f>
        <v>0</v>
      </c>
      <c r="CI134" s="3">
        <f>+IF(AVANCE[[#This Row],[CERRADURAS]]=AV$2,100%,AVANCE[[#This Row],[CERRADURAS]])</f>
        <v>0</v>
      </c>
      <c r="CJ134" s="3">
        <f>+IF(AVANCE[[#This Row],[REVESTIMIENTO INTERIOR ZONA SECA]]=AW$2,100%,AVANCE[[#This Row],[REVESTIMIENTO INTERIOR ZONA SECA]])</f>
        <v>0</v>
      </c>
      <c r="CK134" s="3">
        <f>+IF(AVANCE[[#This Row],[REVESTIMIENTO INTERIOR ZONAS HUMEDAS]]=AX$2,100%,AVANCE[[#This Row],[REVESTIMIENTO INTERIOR ZONAS HUMEDAS]])</f>
        <v>0</v>
      </c>
      <c r="CL134" s="3">
        <f>+IF(AVANCE[[#This Row],[MEMBRANA CIELO]]=AY$2,100%,AVANCE[[#This Row],[MEMBRANA CIELO]])</f>
        <v>0</v>
      </c>
      <c r="CM134" s="3">
        <f>+IF(AVANCE[[#This Row],[LIMPIEZA FINAL]]=AZ$2,100%,AVANCE[[#This Row],[LIMPIEZA FINAL]])</f>
        <v>0</v>
      </c>
      <c r="CN134" s="3">
        <f>+IF(AVANCE[[#This Row],[PUERTAS DORMITORIO]]=BA$2,100%,AVANCE[[#This Row],[PUERTAS DORMITORIO]])</f>
        <v>0</v>
      </c>
      <c r="CO134" s="3">
        <f>+IF(AVANCE[[#This Row],[REVESTIMIENTO INTERIOR BANO]]=BB$2,100%,AVANCE[[#This Row],[REVESTIMIENTO INTERIOR BANO]])</f>
        <v>0</v>
      </c>
      <c r="CP134" s="3">
        <f>+IF(AVANCE[[#This Row],[MUEBLE LAVAPLATOS]]=BC$2,100%,AVANCE[[#This Row],[MUEBLE LAVAPLATOS]])</f>
        <v>0</v>
      </c>
      <c r="CQ134" s="3">
        <f>+IF(AVANCE[[#This Row],[IMPERMEABILIZACION BANO - COCINA LOGIA]]=BD$2,100%,AVANCE[[#This Row],[IMPERMEABILIZACION BANO - COCINA LOGIA]])</f>
        <v>0</v>
      </c>
      <c r="CR134" s="40">
        <f ca="1">+IF(AVANCE[[#This Row],[ESTADO MODULO]]="PENDIENTE",(TODAY()-AVANCE[[#This Row],[FECHA TERMINO  PLANIFICADO]]),0)</f>
        <v>0</v>
      </c>
      <c r="CS134" s="42" t="str" cm="1">
        <f t="array" ref="CS134">_xlfn.TEXTJOIN(" | ",TRUE,IF(SUMPRODUCT((BF134:CQ134&lt;1)*(PARTIDAS!$I$2:$AT$2="OBRA GRUESA"))&gt;0,"OBRA GRUESA: "&amp;_xlfn.TEXTJOIN(", ",TRUE,IF((BF134:CQ134&lt;1)*(PARTIDAS!$I$2:$AT$2="OBRA GRUESA"),PARTIDAS!$I$1:$AT$1,"")),""),IF(SUMPRODUCT((BF134:CQ134&lt;1)*(PARTIDAS!$I$2:$AT$2="SANITARIOS"))&gt;0,"SANITARIOS: "&amp;_xlfn.TEXTJOIN(", ",TRUE,IF((BF134:CQ134&lt;1)*(PARTIDAS!$I$2:$AT$2="SANITARIOS"),PARTIDAS!$I$1:$AT$1,"")),""),IF(SUMPRODUCT((BF134:CQ134&lt;1)*(PARTIDAS!$I$2:$AT$2="ELÉCTRICO"))&gt;0,"ELÉCTRICO: "&amp;_xlfn.TEXTJOIN(", ",TRUE,IF((BF134:CQ134&lt;1)*(PARTIDAS!$I$2:$AT$2="ELÉCTRICO"),PARTIDAS!$I$1:$AT$1,"")),""),IF(SUMPRODUCT((BF134:CQ134&lt;1)*(PARTIDAS!$I$2:$AT$2="TERMINACIONES"))&gt;0,"TERMINACIONES: "&amp;_xlfn.TEXTJOIN(", ",TRUE,IF((BF134:CQ134&lt;1)*(PARTIDAS!$I$2:$AT$2="TERMINACIONES"),PARTIDAS!$I$1:$AT$1,"")),""))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4" s="45" t="str" cm="1">
        <f t="array" ref="CT134">_xlfn.TEXTJOIN(", ",TRUE,IF(SUMPRODUCT((BF134:CQ134&lt;1)*(PARTIDAS!$I$2:$AT$2="OBRA GRUESA"))&gt;0,"OBRA GRUESA",""),IF(SUMPRODUCT((BF134:CQ134&lt;1)*(PARTIDAS!$I$2:$AT$2="SANITARIOS"))&gt;0,"SANITARIOS",""),IF(SUMPRODUCT((BF134:CQ134&lt;1)*(PARTIDAS!$I$2:$AT$2="ELÉCTRICO"))&gt;0,"ELÉCTRICO",""),IF(SUMPRODUCT((BF134:CQ134&lt;1)*(PARTIDAS!$I$2:$AT$2="TERMINACIONES"))&gt;0,"TERMINACIONES",""))</f>
        <v>OBRA GRUESA, SANITARIOS, ELÉCTRICO, TERMINACIONES</v>
      </c>
      <c r="CU134" s="46" cm="1">
        <f t="array" ref="CU134">SUMPRODUCT(--(BF134:CQ134&lt;1))</f>
        <v>38</v>
      </c>
    </row>
    <row r="135" spans="1:99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46181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 t="str">
        <f>+IF(AVANCE[[#This Row],[% AVANCE]]=100%,"MODULO TERMINADO",IF(AVANCE[[#This Row],[FECHA INICIO REAL]]="","MODULO NO INICIADO","PENDIENTE"))</f>
        <v>MODULO NO INICIADO</v>
      </c>
      <c r="BF135" s="3">
        <f>+IF(AVANCE[[#This Row],[VENTANAS]]=8.10810810810811%,100%,AVANCE[[#This Row],[VENTANAS]])</f>
        <v>0</v>
      </c>
      <c r="BG135" s="3">
        <f>+IF(AVANCE[[#This Row],[PISO]]=N$2,100%,AVANCE[[#This Row],[PISO]])</f>
        <v>0</v>
      </c>
      <c r="BH135" s="3">
        <f>+IF(AVANCE[[#This Row],[TABIQUES]]=O$2,100%,AVANCE[[#This Row],[TABIQUES]])</f>
        <v>0</v>
      </c>
      <c r="BI135" s="3">
        <f>+IF(AVANCE[[#This Row],[MUROS]]=P$2,100%,AVANCE[[#This Row],[MUROS]])</f>
        <v>0</v>
      </c>
      <c r="BJ135" s="3">
        <f>+IF(AVANCE[[#This Row],[CIELO]]=Q$2,100%,AVANCE[[#This Row],[CIELO]])</f>
        <v>0</v>
      </c>
      <c r="BK135" s="3">
        <f>+IF(AVANCE[[#This Row],[BALCÓN]]=R$2,100%,AVANCE[[#This Row],[BALCÓN]])</f>
        <v>0</v>
      </c>
      <c r="BL135" s="3">
        <f>+IF(AVANCE[[#This Row],[RED ALCANTARILLADO]]=U$2,100%,AVANCE[[#This Row],[RED ALCANTARILLADO]])</f>
        <v>0</v>
      </c>
      <c r="BM135" s="3">
        <f>+IF(AVANCE[[#This Row],[RED DE AGUA]]=V$2,100%,AVANCE[[#This Row],[RED DE AGUA]])</f>
        <v>0</v>
      </c>
      <c r="BN135" s="3">
        <f>+IF(AVANCE[[#This Row],[VENTILACIONES]]=W$2,100%,AVANCE[[#This Row],[VENTILACIONES]])</f>
        <v>0</v>
      </c>
      <c r="BO135" s="3">
        <f>+IF(AVANCE[[#This Row],[TINA]]=X$2,100%,AVANCE[[#This Row],[TINA]])</f>
        <v>0</v>
      </c>
      <c r="BP135" s="3">
        <f>+IF(AVANCE[[#This Row],[WC]]=Y$2,100%,AVANCE[[#This Row],[WC]])</f>
        <v>0</v>
      </c>
      <c r="BQ135" s="3">
        <f>+IF(AVANCE[[#This Row],[LAVAMANOS / LAVAPLATOS / LAVADERO]]=Z$2,100%,AVANCE[[#This Row],[LAVAMANOS / LAVAPLATOS / LAVADERO]])</f>
        <v>0</v>
      </c>
      <c r="BR135" s="3">
        <f>+IF(AVANCE[[#This Row],[CANALIZACIÓN]]=AC$2,100%,AVANCE[[#This Row],[CANALIZACIÓN]])</f>
        <v>0</v>
      </c>
      <c r="BS135" s="3">
        <f>+IF(AVANCE[[#This Row],[CABLEADO]]=AD$2,100%,AVANCE[[#This Row],[CABLEADO]])</f>
        <v>0</v>
      </c>
      <c r="BT135" s="3">
        <f>+IF(AVANCE[[#This Row],[ARTEFACTOS]]=AE$2,100%,AVANCE[[#This Row],[ARTEFACTOS]])</f>
        <v>0</v>
      </c>
      <c r="BU135" s="3">
        <f>+IF(AVANCE[[#This Row],[TABLERO]]=AF$2,100%,AVANCE[[#This Row],[TABLERO]])</f>
        <v>0</v>
      </c>
      <c r="BV135" s="3">
        <f>+IF(AVANCE[[#This Row],[CAJA PAU]]=AG$2,100%,AVANCE[[#This Row],[CAJA PAU]])</f>
        <v>0</v>
      </c>
      <c r="BW135" s="3">
        <f>+IF(AVANCE[[#This Row],[INSTALACION VINILICO]]=AJ$2,100%,AVANCE[[#This Row],[INSTALACION VINILICO]])</f>
        <v>0</v>
      </c>
      <c r="BX135" s="3">
        <f>+IF(AVANCE[[#This Row],[OSB CUBIERTA]]=AK$2,100%,AVANCE[[#This Row],[OSB CUBIERTA]])</f>
        <v>0</v>
      </c>
      <c r="BY135" s="3">
        <f>+IF(AVANCE[[#This Row],[BARANDA BALCON]]=AL$2,100%,AVANCE[[#This Row],[BARANDA BALCON]])</f>
        <v>0</v>
      </c>
      <c r="BZ135" s="3">
        <f>+IF(AVANCE[[#This Row],[OSB EXTERIOR]]=AM$2,100%,AVANCE[[#This Row],[OSB EXTERIOR]])</f>
        <v>0</v>
      </c>
      <c r="CA135" s="3">
        <f>+IF(AVANCE[[#This Row],[SMART PANEL]]=AN$2,100%,AVANCE[[#This Row],[SMART PANEL]])</f>
        <v>0</v>
      </c>
      <c r="CB135" s="3">
        <f>+IF(AVANCE[[#This Row],[PINTURA EXTERIOR]]=AO$2,100%,AVANCE[[#This Row],[PINTURA EXTERIOR]])</f>
        <v>0</v>
      </c>
      <c r="CC135" s="3">
        <f>+IF(AVANCE[[#This Row],[ZOCALOS LOGIA]]=AP$2,100%,AVANCE[[#This Row],[ZOCALOS LOGIA]])</f>
        <v>0</v>
      </c>
      <c r="CD135" s="3">
        <f>+IF(AVANCE[[#This Row],[MOLDURAS]]=AQ$2,100%,AVANCE[[#This Row],[MOLDURAS]])</f>
        <v>0</v>
      </c>
      <c r="CE135" s="3">
        <f>+IF(AVANCE[[#This Row],[PILASTREO]]=AR$2,100%,AVANCE[[#This Row],[PILASTREO]])</f>
        <v>0</v>
      </c>
      <c r="CF135" s="3">
        <f>+IF(AVANCE[[#This Row],[CELOSIAS]]=AS$2,100%,AVANCE[[#This Row],[CELOSIAS]])</f>
        <v>0</v>
      </c>
      <c r="CG135" s="3">
        <f>+IF(AVANCE[[#This Row],[VENTANAS]]=AT$2,100%,AVANCE[[#This Row],[VENTANAS]])</f>
        <v>0</v>
      </c>
      <c r="CH135" s="3">
        <f>+IF(AVANCE[[#This Row],[PUERTAS ACCESO - LOGIA - BANO]]=AU$2,100%,AVANCE[[#This Row],[PUERTAS ACCESO - LOGIA - BANO]])</f>
        <v>0</v>
      </c>
      <c r="CI135" s="3">
        <f>+IF(AVANCE[[#This Row],[CERRADURAS]]=AV$2,100%,AVANCE[[#This Row],[CERRADURAS]])</f>
        <v>0</v>
      </c>
      <c r="CJ135" s="3">
        <f>+IF(AVANCE[[#This Row],[REVESTIMIENTO INTERIOR ZONA SECA]]=AW$2,100%,AVANCE[[#This Row],[REVESTIMIENTO INTERIOR ZONA SECA]])</f>
        <v>0</v>
      </c>
      <c r="CK135" s="3">
        <f>+IF(AVANCE[[#This Row],[REVESTIMIENTO INTERIOR ZONAS HUMEDAS]]=AX$2,100%,AVANCE[[#This Row],[REVESTIMIENTO INTERIOR ZONAS HUMEDAS]])</f>
        <v>0</v>
      </c>
      <c r="CL135" s="3">
        <f>+IF(AVANCE[[#This Row],[MEMBRANA CIELO]]=AY$2,100%,AVANCE[[#This Row],[MEMBRANA CIELO]])</f>
        <v>0</v>
      </c>
      <c r="CM135" s="3">
        <f>+IF(AVANCE[[#This Row],[LIMPIEZA FINAL]]=AZ$2,100%,AVANCE[[#This Row],[LIMPIEZA FINAL]])</f>
        <v>0</v>
      </c>
      <c r="CN135" s="3">
        <f>+IF(AVANCE[[#This Row],[PUERTAS DORMITORIO]]=BA$2,100%,AVANCE[[#This Row],[PUERTAS DORMITORIO]])</f>
        <v>0</v>
      </c>
      <c r="CO135" s="3">
        <f>+IF(AVANCE[[#This Row],[REVESTIMIENTO INTERIOR BANO]]=BB$2,100%,AVANCE[[#This Row],[REVESTIMIENTO INTERIOR BANO]])</f>
        <v>0</v>
      </c>
      <c r="CP135" s="3">
        <f>+IF(AVANCE[[#This Row],[MUEBLE LAVAPLATOS]]=BC$2,100%,AVANCE[[#This Row],[MUEBLE LAVAPLATOS]])</f>
        <v>0</v>
      </c>
      <c r="CQ135" s="3">
        <f>+IF(AVANCE[[#This Row],[IMPERMEABILIZACION BANO - COCINA LOGIA]]=BD$2,100%,AVANCE[[#This Row],[IMPERMEABILIZACION BANO - COCINA LOGIA]])</f>
        <v>0</v>
      </c>
      <c r="CR135" s="40">
        <f ca="1">+IF(AVANCE[[#This Row],[ESTADO MODULO]]="PENDIENTE",(TODAY()-AVANCE[[#This Row],[FECHA TERMINO  PLANIFICADO]]),0)</f>
        <v>0</v>
      </c>
      <c r="CS135" s="42" t="str" cm="1">
        <f t="array" ref="CS135">_xlfn.TEXTJOIN(" | ",TRUE,IF(SUMPRODUCT((BF135:CQ135&lt;1)*(PARTIDAS!$I$2:$AT$2="OBRA GRUESA"))&gt;0,"OBRA GRUESA: "&amp;_xlfn.TEXTJOIN(", ",TRUE,IF((BF135:CQ135&lt;1)*(PARTIDAS!$I$2:$AT$2="OBRA GRUESA"),PARTIDAS!$I$1:$AT$1,"")),""),IF(SUMPRODUCT((BF135:CQ135&lt;1)*(PARTIDAS!$I$2:$AT$2="SANITARIOS"))&gt;0,"SANITARIOS: "&amp;_xlfn.TEXTJOIN(", ",TRUE,IF((BF135:CQ135&lt;1)*(PARTIDAS!$I$2:$AT$2="SANITARIOS"),PARTIDAS!$I$1:$AT$1,"")),""),IF(SUMPRODUCT((BF135:CQ135&lt;1)*(PARTIDAS!$I$2:$AT$2="ELÉCTRICO"))&gt;0,"ELÉCTRICO: "&amp;_xlfn.TEXTJOIN(", ",TRUE,IF((BF135:CQ135&lt;1)*(PARTIDAS!$I$2:$AT$2="ELÉCTRICO"),PARTIDAS!$I$1:$AT$1,"")),""),IF(SUMPRODUCT((BF135:CQ135&lt;1)*(PARTIDAS!$I$2:$AT$2="TERMINACIONES"))&gt;0,"TERMINACIONES: "&amp;_xlfn.TEXTJOIN(", ",TRUE,IF((BF135:CQ135&lt;1)*(PARTIDAS!$I$2:$AT$2="TERMINACIONES"),PARTIDAS!$I$1:$AT$1,"")),""))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5" s="45" t="str" cm="1">
        <f t="array" ref="CT135">_xlfn.TEXTJOIN(", ",TRUE,IF(SUMPRODUCT((BF135:CQ135&lt;1)*(PARTIDAS!$I$2:$AT$2="OBRA GRUESA"))&gt;0,"OBRA GRUESA",""),IF(SUMPRODUCT((BF135:CQ135&lt;1)*(PARTIDAS!$I$2:$AT$2="SANITARIOS"))&gt;0,"SANITARIOS",""),IF(SUMPRODUCT((BF135:CQ135&lt;1)*(PARTIDAS!$I$2:$AT$2="ELÉCTRICO"))&gt;0,"ELÉCTRICO",""),IF(SUMPRODUCT((BF135:CQ135&lt;1)*(PARTIDAS!$I$2:$AT$2="TERMINACIONES"))&gt;0,"TERMINACIONES",""))</f>
        <v>OBRA GRUESA, SANITARIOS, ELÉCTRICO, TERMINACIONES</v>
      </c>
      <c r="CU135" s="46" cm="1">
        <f t="array" ref="CU135">SUMPRODUCT(--(BF135:CQ135&lt;1))</f>
        <v>38</v>
      </c>
    </row>
    <row r="136" spans="1:99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46181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 t="str">
        <f>+IF(AVANCE[[#This Row],[% AVANCE]]=100%,"MODULO TERMINADO",IF(AVANCE[[#This Row],[FECHA INICIO REAL]]="","MODULO NO INICIADO","PENDIENTE"))</f>
        <v>MODULO NO INICIADO</v>
      </c>
      <c r="BF136" s="3">
        <f>+IF(AVANCE[[#This Row],[VENTANAS]]=8.10810810810811%,100%,AVANCE[[#This Row],[VENTANAS]])</f>
        <v>0</v>
      </c>
      <c r="BG136" s="3">
        <f>+IF(AVANCE[[#This Row],[PISO]]=N$2,100%,AVANCE[[#This Row],[PISO]])</f>
        <v>0</v>
      </c>
      <c r="BH136" s="3">
        <f>+IF(AVANCE[[#This Row],[TABIQUES]]=O$2,100%,AVANCE[[#This Row],[TABIQUES]])</f>
        <v>0</v>
      </c>
      <c r="BI136" s="3">
        <f>+IF(AVANCE[[#This Row],[MUROS]]=P$2,100%,AVANCE[[#This Row],[MUROS]])</f>
        <v>0</v>
      </c>
      <c r="BJ136" s="3">
        <f>+IF(AVANCE[[#This Row],[CIELO]]=Q$2,100%,AVANCE[[#This Row],[CIELO]])</f>
        <v>0</v>
      </c>
      <c r="BK136" s="3">
        <f>+IF(AVANCE[[#This Row],[BALCÓN]]=R$2,100%,AVANCE[[#This Row],[BALCÓN]])</f>
        <v>0</v>
      </c>
      <c r="BL136" s="3">
        <f>+IF(AVANCE[[#This Row],[RED ALCANTARILLADO]]=U$2,100%,AVANCE[[#This Row],[RED ALCANTARILLADO]])</f>
        <v>0</v>
      </c>
      <c r="BM136" s="3">
        <f>+IF(AVANCE[[#This Row],[RED DE AGUA]]=V$2,100%,AVANCE[[#This Row],[RED DE AGUA]])</f>
        <v>0</v>
      </c>
      <c r="BN136" s="3">
        <f>+IF(AVANCE[[#This Row],[VENTILACIONES]]=W$2,100%,AVANCE[[#This Row],[VENTILACIONES]])</f>
        <v>0</v>
      </c>
      <c r="BO136" s="3">
        <f>+IF(AVANCE[[#This Row],[TINA]]=X$2,100%,AVANCE[[#This Row],[TINA]])</f>
        <v>0</v>
      </c>
      <c r="BP136" s="3">
        <f>+IF(AVANCE[[#This Row],[WC]]=Y$2,100%,AVANCE[[#This Row],[WC]])</f>
        <v>0</v>
      </c>
      <c r="BQ136" s="3">
        <f>+IF(AVANCE[[#This Row],[LAVAMANOS / LAVAPLATOS / LAVADERO]]=Z$2,100%,AVANCE[[#This Row],[LAVAMANOS / LAVAPLATOS / LAVADERO]])</f>
        <v>0</v>
      </c>
      <c r="BR136" s="3">
        <f>+IF(AVANCE[[#This Row],[CANALIZACIÓN]]=AC$2,100%,AVANCE[[#This Row],[CANALIZACIÓN]])</f>
        <v>0</v>
      </c>
      <c r="BS136" s="3">
        <f>+IF(AVANCE[[#This Row],[CABLEADO]]=AD$2,100%,AVANCE[[#This Row],[CABLEADO]])</f>
        <v>0</v>
      </c>
      <c r="BT136" s="3">
        <f>+IF(AVANCE[[#This Row],[ARTEFACTOS]]=AE$2,100%,AVANCE[[#This Row],[ARTEFACTOS]])</f>
        <v>0</v>
      </c>
      <c r="BU136" s="3">
        <f>+IF(AVANCE[[#This Row],[TABLERO]]=AF$2,100%,AVANCE[[#This Row],[TABLERO]])</f>
        <v>0</v>
      </c>
      <c r="BV136" s="3">
        <f>+IF(AVANCE[[#This Row],[CAJA PAU]]=AG$2,100%,AVANCE[[#This Row],[CAJA PAU]])</f>
        <v>0</v>
      </c>
      <c r="BW136" s="3">
        <f>+IF(AVANCE[[#This Row],[INSTALACION VINILICO]]=AJ$2,100%,AVANCE[[#This Row],[INSTALACION VINILICO]])</f>
        <v>0</v>
      </c>
      <c r="BX136" s="3">
        <f>+IF(AVANCE[[#This Row],[OSB CUBIERTA]]=AK$2,100%,AVANCE[[#This Row],[OSB CUBIERTA]])</f>
        <v>0</v>
      </c>
      <c r="BY136" s="3">
        <f>+IF(AVANCE[[#This Row],[BARANDA BALCON]]=AL$2,100%,AVANCE[[#This Row],[BARANDA BALCON]])</f>
        <v>0</v>
      </c>
      <c r="BZ136" s="3">
        <f>+IF(AVANCE[[#This Row],[OSB EXTERIOR]]=AM$2,100%,AVANCE[[#This Row],[OSB EXTERIOR]])</f>
        <v>0</v>
      </c>
      <c r="CA136" s="3">
        <f>+IF(AVANCE[[#This Row],[SMART PANEL]]=AN$2,100%,AVANCE[[#This Row],[SMART PANEL]])</f>
        <v>0</v>
      </c>
      <c r="CB136" s="3">
        <f>+IF(AVANCE[[#This Row],[PINTURA EXTERIOR]]=AO$2,100%,AVANCE[[#This Row],[PINTURA EXTERIOR]])</f>
        <v>0</v>
      </c>
      <c r="CC136" s="3">
        <f>+IF(AVANCE[[#This Row],[ZOCALOS LOGIA]]=AP$2,100%,AVANCE[[#This Row],[ZOCALOS LOGIA]])</f>
        <v>0</v>
      </c>
      <c r="CD136" s="3">
        <f>+IF(AVANCE[[#This Row],[MOLDURAS]]=AQ$2,100%,AVANCE[[#This Row],[MOLDURAS]])</f>
        <v>0</v>
      </c>
      <c r="CE136" s="3">
        <f>+IF(AVANCE[[#This Row],[PILASTREO]]=AR$2,100%,AVANCE[[#This Row],[PILASTREO]])</f>
        <v>0</v>
      </c>
      <c r="CF136" s="3">
        <f>+IF(AVANCE[[#This Row],[CELOSIAS]]=AS$2,100%,AVANCE[[#This Row],[CELOSIAS]])</f>
        <v>0</v>
      </c>
      <c r="CG136" s="3">
        <f>+IF(AVANCE[[#This Row],[VENTANAS]]=AT$2,100%,AVANCE[[#This Row],[VENTANAS]])</f>
        <v>0</v>
      </c>
      <c r="CH136" s="3">
        <f>+IF(AVANCE[[#This Row],[PUERTAS ACCESO - LOGIA - BANO]]=AU$2,100%,AVANCE[[#This Row],[PUERTAS ACCESO - LOGIA - BANO]])</f>
        <v>0</v>
      </c>
      <c r="CI136" s="3">
        <f>+IF(AVANCE[[#This Row],[CERRADURAS]]=AV$2,100%,AVANCE[[#This Row],[CERRADURAS]])</f>
        <v>0</v>
      </c>
      <c r="CJ136" s="3">
        <f>+IF(AVANCE[[#This Row],[REVESTIMIENTO INTERIOR ZONA SECA]]=AW$2,100%,AVANCE[[#This Row],[REVESTIMIENTO INTERIOR ZONA SECA]])</f>
        <v>0</v>
      </c>
      <c r="CK136" s="3">
        <f>+IF(AVANCE[[#This Row],[REVESTIMIENTO INTERIOR ZONAS HUMEDAS]]=AX$2,100%,AVANCE[[#This Row],[REVESTIMIENTO INTERIOR ZONAS HUMEDAS]])</f>
        <v>0</v>
      </c>
      <c r="CL136" s="3">
        <f>+IF(AVANCE[[#This Row],[MEMBRANA CIELO]]=AY$2,100%,AVANCE[[#This Row],[MEMBRANA CIELO]])</f>
        <v>0</v>
      </c>
      <c r="CM136" s="3">
        <f>+IF(AVANCE[[#This Row],[LIMPIEZA FINAL]]=AZ$2,100%,AVANCE[[#This Row],[LIMPIEZA FINAL]])</f>
        <v>0</v>
      </c>
      <c r="CN136" s="3">
        <f>+IF(AVANCE[[#This Row],[PUERTAS DORMITORIO]]=BA$2,100%,AVANCE[[#This Row],[PUERTAS DORMITORIO]])</f>
        <v>0</v>
      </c>
      <c r="CO136" s="3">
        <f>+IF(AVANCE[[#This Row],[REVESTIMIENTO INTERIOR BANO]]=BB$2,100%,AVANCE[[#This Row],[REVESTIMIENTO INTERIOR BANO]])</f>
        <v>0</v>
      </c>
      <c r="CP136" s="3">
        <f>+IF(AVANCE[[#This Row],[MUEBLE LAVAPLATOS]]=BC$2,100%,AVANCE[[#This Row],[MUEBLE LAVAPLATOS]])</f>
        <v>0</v>
      </c>
      <c r="CQ136" s="3">
        <f>+IF(AVANCE[[#This Row],[IMPERMEABILIZACION BANO - COCINA LOGIA]]=BD$2,100%,AVANCE[[#This Row],[IMPERMEABILIZACION BANO - COCINA LOGIA]])</f>
        <v>0</v>
      </c>
      <c r="CR136" s="40">
        <f ca="1">+IF(AVANCE[[#This Row],[ESTADO MODULO]]="PENDIENTE",(TODAY()-AVANCE[[#This Row],[FECHA TERMINO  PLANIFICADO]]),0)</f>
        <v>0</v>
      </c>
      <c r="CS136" s="42" t="str" cm="1">
        <f t="array" ref="CS136">_xlfn.TEXTJOIN(" | ",TRUE,IF(SUMPRODUCT((BF136:CQ136&lt;1)*(PARTIDAS!$I$2:$AT$2="OBRA GRUESA"))&gt;0,"OBRA GRUESA: "&amp;_xlfn.TEXTJOIN(", ",TRUE,IF((BF136:CQ136&lt;1)*(PARTIDAS!$I$2:$AT$2="OBRA GRUESA"),PARTIDAS!$I$1:$AT$1,"")),""),IF(SUMPRODUCT((BF136:CQ136&lt;1)*(PARTIDAS!$I$2:$AT$2="SANITARIOS"))&gt;0,"SANITARIOS: "&amp;_xlfn.TEXTJOIN(", ",TRUE,IF((BF136:CQ136&lt;1)*(PARTIDAS!$I$2:$AT$2="SANITARIOS"),PARTIDAS!$I$1:$AT$1,"")),""),IF(SUMPRODUCT((BF136:CQ136&lt;1)*(PARTIDAS!$I$2:$AT$2="ELÉCTRICO"))&gt;0,"ELÉCTRICO: "&amp;_xlfn.TEXTJOIN(", ",TRUE,IF((BF136:CQ136&lt;1)*(PARTIDAS!$I$2:$AT$2="ELÉCTRICO"),PARTIDAS!$I$1:$AT$1,"")),""),IF(SUMPRODUCT((BF136:CQ136&lt;1)*(PARTIDAS!$I$2:$AT$2="TERMINACIONES"))&gt;0,"TERMINACIONES: "&amp;_xlfn.TEXTJOIN(", ",TRUE,IF((BF136:CQ136&lt;1)*(PARTIDAS!$I$2:$AT$2="TERMINACIONES"),PARTIDAS!$I$1:$AT$1,"")),""))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6" s="45" t="str" cm="1">
        <f t="array" ref="CT136">_xlfn.TEXTJOIN(", ",TRUE,IF(SUMPRODUCT((BF136:CQ136&lt;1)*(PARTIDAS!$I$2:$AT$2="OBRA GRUESA"))&gt;0,"OBRA GRUESA",""),IF(SUMPRODUCT((BF136:CQ136&lt;1)*(PARTIDAS!$I$2:$AT$2="SANITARIOS"))&gt;0,"SANITARIOS",""),IF(SUMPRODUCT((BF136:CQ136&lt;1)*(PARTIDAS!$I$2:$AT$2="ELÉCTRICO"))&gt;0,"ELÉCTRICO",""),IF(SUMPRODUCT((BF136:CQ136&lt;1)*(PARTIDAS!$I$2:$AT$2="TERMINACIONES"))&gt;0,"TERMINACIONES",""))</f>
        <v>OBRA GRUESA, SANITARIOS, ELÉCTRICO, TERMINACIONES</v>
      </c>
      <c r="CU136" s="46" cm="1">
        <f t="array" ref="CU136">SUMPRODUCT(--(BF136:CQ136&lt;1))</f>
        <v>38</v>
      </c>
    </row>
    <row r="137" spans="1:99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46181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 s="3" t="str">
        <f>+IF(AVANCE[[#This Row],[% AVANCE]]=100%,"MODULO TERMINADO",IF(AVANCE[[#This Row],[FECHA INICIO REAL]]="","MODULO NO INICIADO","PENDIENTE"))</f>
        <v>MODULO NO INICIADO</v>
      </c>
      <c r="BF137" s="3">
        <f>+IF(AVANCE[[#This Row],[VENTANAS]]=8.10810810810811%,100%,AVANCE[[#This Row],[VENTANAS]])</f>
        <v>0</v>
      </c>
      <c r="BG137" s="3">
        <f>+IF(AVANCE[[#This Row],[PISO]]=N$2,100%,AVANCE[[#This Row],[PISO]])</f>
        <v>0</v>
      </c>
      <c r="BH137" s="3">
        <f>+IF(AVANCE[[#This Row],[TABIQUES]]=O$2,100%,AVANCE[[#This Row],[TABIQUES]])</f>
        <v>0</v>
      </c>
      <c r="BI137" s="3">
        <f>+IF(AVANCE[[#This Row],[MUROS]]=P$2,100%,AVANCE[[#This Row],[MUROS]])</f>
        <v>0</v>
      </c>
      <c r="BJ137" s="3">
        <f>+IF(AVANCE[[#This Row],[CIELO]]=Q$2,100%,AVANCE[[#This Row],[CIELO]])</f>
        <v>0</v>
      </c>
      <c r="BK137" s="3">
        <f>+IF(AVANCE[[#This Row],[BALCÓN]]=R$2,100%,AVANCE[[#This Row],[BALCÓN]])</f>
        <v>0</v>
      </c>
      <c r="BL137" s="3">
        <f>+IF(AVANCE[[#This Row],[RED ALCANTARILLADO]]=U$2,100%,AVANCE[[#This Row],[RED ALCANTARILLADO]])</f>
        <v>0</v>
      </c>
      <c r="BM137" s="3">
        <f>+IF(AVANCE[[#This Row],[RED DE AGUA]]=V$2,100%,AVANCE[[#This Row],[RED DE AGUA]])</f>
        <v>0</v>
      </c>
      <c r="BN137" s="3">
        <f>+IF(AVANCE[[#This Row],[VENTILACIONES]]=W$2,100%,AVANCE[[#This Row],[VENTILACIONES]])</f>
        <v>0</v>
      </c>
      <c r="BO137" s="3">
        <f>+IF(AVANCE[[#This Row],[TINA]]=X$2,100%,AVANCE[[#This Row],[TINA]])</f>
        <v>0</v>
      </c>
      <c r="BP137" s="3">
        <f>+IF(AVANCE[[#This Row],[WC]]=Y$2,100%,AVANCE[[#This Row],[WC]])</f>
        <v>0</v>
      </c>
      <c r="BQ137" s="3">
        <f>+IF(AVANCE[[#This Row],[LAVAMANOS / LAVAPLATOS / LAVADERO]]=Z$2,100%,AVANCE[[#This Row],[LAVAMANOS / LAVAPLATOS / LAVADERO]])</f>
        <v>0</v>
      </c>
      <c r="BR137" s="3">
        <f>+IF(AVANCE[[#This Row],[CANALIZACIÓN]]=AC$2,100%,AVANCE[[#This Row],[CANALIZACIÓN]])</f>
        <v>0</v>
      </c>
      <c r="BS137" s="3">
        <f>+IF(AVANCE[[#This Row],[CABLEADO]]=AD$2,100%,AVANCE[[#This Row],[CABLEADO]])</f>
        <v>0</v>
      </c>
      <c r="BT137" s="3">
        <f>+IF(AVANCE[[#This Row],[ARTEFACTOS]]=AE$2,100%,AVANCE[[#This Row],[ARTEFACTOS]])</f>
        <v>0</v>
      </c>
      <c r="BU137" s="3">
        <f>+IF(AVANCE[[#This Row],[TABLERO]]=AF$2,100%,AVANCE[[#This Row],[TABLERO]])</f>
        <v>0</v>
      </c>
      <c r="BV137" s="3">
        <f>+IF(AVANCE[[#This Row],[CAJA PAU]]=AG$2,100%,AVANCE[[#This Row],[CAJA PAU]])</f>
        <v>0</v>
      </c>
      <c r="BW137" s="3">
        <f>+IF(AVANCE[[#This Row],[INSTALACION VINILICO]]=AJ$2,100%,AVANCE[[#This Row],[INSTALACION VINILICO]])</f>
        <v>0</v>
      </c>
      <c r="BX137" s="3">
        <f>+IF(AVANCE[[#This Row],[OSB CUBIERTA]]=AK$2,100%,AVANCE[[#This Row],[OSB CUBIERTA]])</f>
        <v>0</v>
      </c>
      <c r="BY137" s="3">
        <f>+IF(AVANCE[[#This Row],[BARANDA BALCON]]=AL$2,100%,AVANCE[[#This Row],[BARANDA BALCON]])</f>
        <v>0</v>
      </c>
      <c r="BZ137" s="3">
        <f>+IF(AVANCE[[#This Row],[OSB EXTERIOR]]=AM$2,100%,AVANCE[[#This Row],[OSB EXTERIOR]])</f>
        <v>0</v>
      </c>
      <c r="CA137" s="3">
        <f>+IF(AVANCE[[#This Row],[SMART PANEL]]=AN$2,100%,AVANCE[[#This Row],[SMART PANEL]])</f>
        <v>0</v>
      </c>
      <c r="CB137" s="3">
        <f>+IF(AVANCE[[#This Row],[PINTURA EXTERIOR]]=AO$2,100%,AVANCE[[#This Row],[PINTURA EXTERIOR]])</f>
        <v>0</v>
      </c>
      <c r="CC137" s="3">
        <f>+IF(AVANCE[[#This Row],[ZOCALOS LOGIA]]=AP$2,100%,AVANCE[[#This Row],[ZOCALOS LOGIA]])</f>
        <v>0</v>
      </c>
      <c r="CD137" s="3">
        <f>+IF(AVANCE[[#This Row],[MOLDURAS]]=AQ$2,100%,AVANCE[[#This Row],[MOLDURAS]])</f>
        <v>0</v>
      </c>
      <c r="CE137" s="3">
        <f>+IF(AVANCE[[#This Row],[PILASTREO]]=AR$2,100%,AVANCE[[#This Row],[PILASTREO]])</f>
        <v>0</v>
      </c>
      <c r="CF137" s="3">
        <f>+IF(AVANCE[[#This Row],[CELOSIAS]]=AS$2,100%,AVANCE[[#This Row],[CELOSIAS]])</f>
        <v>0</v>
      </c>
      <c r="CG137" s="3">
        <f>+IF(AVANCE[[#This Row],[VENTANAS]]=AT$2,100%,AVANCE[[#This Row],[VENTANAS]])</f>
        <v>0</v>
      </c>
      <c r="CH137" s="3">
        <f>+IF(AVANCE[[#This Row],[PUERTAS ACCESO - LOGIA - BANO]]=AU$2,100%,AVANCE[[#This Row],[PUERTAS ACCESO - LOGIA - BANO]])</f>
        <v>0</v>
      </c>
      <c r="CI137" s="3">
        <f>+IF(AVANCE[[#This Row],[CERRADURAS]]=AV$2,100%,AVANCE[[#This Row],[CERRADURAS]])</f>
        <v>0</v>
      </c>
      <c r="CJ137" s="3">
        <f>+IF(AVANCE[[#This Row],[REVESTIMIENTO INTERIOR ZONA SECA]]=AW$2,100%,AVANCE[[#This Row],[REVESTIMIENTO INTERIOR ZONA SECA]])</f>
        <v>0</v>
      </c>
      <c r="CK137" s="3">
        <f>+IF(AVANCE[[#This Row],[REVESTIMIENTO INTERIOR ZONAS HUMEDAS]]=AX$2,100%,AVANCE[[#This Row],[REVESTIMIENTO INTERIOR ZONAS HUMEDAS]])</f>
        <v>0</v>
      </c>
      <c r="CL137" s="3">
        <f>+IF(AVANCE[[#This Row],[MEMBRANA CIELO]]=AY$2,100%,AVANCE[[#This Row],[MEMBRANA CIELO]])</f>
        <v>0</v>
      </c>
      <c r="CM137" s="3">
        <f>+IF(AVANCE[[#This Row],[LIMPIEZA FINAL]]=AZ$2,100%,AVANCE[[#This Row],[LIMPIEZA FINAL]])</f>
        <v>0</v>
      </c>
      <c r="CN137" s="3">
        <f>+IF(AVANCE[[#This Row],[PUERTAS DORMITORIO]]=BA$2,100%,AVANCE[[#This Row],[PUERTAS DORMITORIO]])</f>
        <v>0</v>
      </c>
      <c r="CO137" s="3">
        <f>+IF(AVANCE[[#This Row],[REVESTIMIENTO INTERIOR BANO]]=BB$2,100%,AVANCE[[#This Row],[REVESTIMIENTO INTERIOR BANO]])</f>
        <v>0</v>
      </c>
      <c r="CP137" s="3">
        <f>+IF(AVANCE[[#This Row],[MUEBLE LAVAPLATOS]]=BC$2,100%,AVANCE[[#This Row],[MUEBLE LAVAPLATOS]])</f>
        <v>0</v>
      </c>
      <c r="CQ137" s="3">
        <f>+IF(AVANCE[[#This Row],[IMPERMEABILIZACION BANO - COCINA LOGIA]]=BD$2,100%,AVANCE[[#This Row],[IMPERMEABILIZACION BANO - COCINA LOGIA]])</f>
        <v>0</v>
      </c>
      <c r="CR137" s="40">
        <f ca="1">+IF(AVANCE[[#This Row],[ESTADO MODULO]]="PENDIENTE",(TODAY()-AVANCE[[#This Row],[FECHA TERMINO  PLANIFICADO]]),0)</f>
        <v>0</v>
      </c>
      <c r="CS137" s="42" t="str" cm="1">
        <f t="array" ref="CS137">_xlfn.TEXTJOIN(" | ",TRUE,IF(SUMPRODUCT((BF137:CQ137&lt;1)*(PARTIDAS!$I$2:$AT$2="OBRA GRUESA"))&gt;0,"OBRA GRUESA: "&amp;_xlfn.TEXTJOIN(", ",TRUE,IF((BF137:CQ137&lt;1)*(PARTIDAS!$I$2:$AT$2="OBRA GRUESA"),PARTIDAS!$I$1:$AT$1,"")),""),IF(SUMPRODUCT((BF137:CQ137&lt;1)*(PARTIDAS!$I$2:$AT$2="SANITARIOS"))&gt;0,"SANITARIOS: "&amp;_xlfn.TEXTJOIN(", ",TRUE,IF((BF137:CQ137&lt;1)*(PARTIDAS!$I$2:$AT$2="SANITARIOS"),PARTIDAS!$I$1:$AT$1,"")),""),IF(SUMPRODUCT((BF137:CQ137&lt;1)*(PARTIDAS!$I$2:$AT$2="ELÉCTRICO"))&gt;0,"ELÉCTRICO: "&amp;_xlfn.TEXTJOIN(", ",TRUE,IF((BF137:CQ137&lt;1)*(PARTIDAS!$I$2:$AT$2="ELÉCTRICO"),PARTIDAS!$I$1:$AT$1,"")),""),IF(SUMPRODUCT((BF137:CQ137&lt;1)*(PARTIDAS!$I$2:$AT$2="TERMINACIONES"))&gt;0,"TERMINACIONES: "&amp;_xlfn.TEXTJOIN(", ",TRUE,IF((BF137:CQ137&lt;1)*(PARTIDAS!$I$2:$AT$2="TERMINACIONES"),PARTIDAS!$I$1:$AT$1,"")),""))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7" s="45" t="str" cm="1">
        <f t="array" ref="CT137">_xlfn.TEXTJOIN(", ",TRUE,IF(SUMPRODUCT((BF137:CQ137&lt;1)*(PARTIDAS!$I$2:$AT$2="OBRA GRUESA"))&gt;0,"OBRA GRUESA",""),IF(SUMPRODUCT((BF137:CQ137&lt;1)*(PARTIDAS!$I$2:$AT$2="SANITARIOS"))&gt;0,"SANITARIOS",""),IF(SUMPRODUCT((BF137:CQ137&lt;1)*(PARTIDAS!$I$2:$AT$2="ELÉCTRICO"))&gt;0,"ELÉCTRICO",""),IF(SUMPRODUCT((BF137:CQ137&lt;1)*(PARTIDAS!$I$2:$AT$2="TERMINACIONES"))&gt;0,"TERMINACIONES",""))</f>
        <v>OBRA GRUESA, SANITARIOS, ELÉCTRICO, TERMINACIONES</v>
      </c>
      <c r="CU137" s="46" cm="1">
        <f t="array" ref="CU137">SUMPRODUCT(--(BF137:CQ137&lt;1))</f>
        <v>38</v>
      </c>
    </row>
    <row r="138" spans="1:99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46181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 s="3" t="str">
        <f>+IF(AVANCE[[#This Row],[% AVANCE]]=100%,"MODULO TERMINADO",IF(AVANCE[[#This Row],[FECHA INICIO REAL]]="","MODULO NO INICIADO","PENDIENTE"))</f>
        <v>MODULO NO INICIADO</v>
      </c>
      <c r="BF138" s="3">
        <f>+IF(AVANCE[[#This Row],[VENTANAS]]=8.10810810810811%,100%,AVANCE[[#This Row],[VENTANAS]])</f>
        <v>0</v>
      </c>
      <c r="BG138" s="3">
        <f>+IF(AVANCE[[#This Row],[PISO]]=N$2,100%,AVANCE[[#This Row],[PISO]])</f>
        <v>0</v>
      </c>
      <c r="BH138" s="3">
        <f>+IF(AVANCE[[#This Row],[TABIQUES]]=O$2,100%,AVANCE[[#This Row],[TABIQUES]])</f>
        <v>0</v>
      </c>
      <c r="BI138" s="3">
        <f>+IF(AVANCE[[#This Row],[MUROS]]=P$2,100%,AVANCE[[#This Row],[MUROS]])</f>
        <v>0</v>
      </c>
      <c r="BJ138" s="3">
        <f>+IF(AVANCE[[#This Row],[CIELO]]=Q$2,100%,AVANCE[[#This Row],[CIELO]])</f>
        <v>0</v>
      </c>
      <c r="BK138" s="3">
        <f>+IF(AVANCE[[#This Row],[BALCÓN]]=R$2,100%,AVANCE[[#This Row],[BALCÓN]])</f>
        <v>0</v>
      </c>
      <c r="BL138" s="3">
        <f>+IF(AVANCE[[#This Row],[RED ALCANTARILLADO]]=U$2,100%,AVANCE[[#This Row],[RED ALCANTARILLADO]])</f>
        <v>0</v>
      </c>
      <c r="BM138" s="3">
        <f>+IF(AVANCE[[#This Row],[RED DE AGUA]]=V$2,100%,AVANCE[[#This Row],[RED DE AGUA]])</f>
        <v>0</v>
      </c>
      <c r="BN138" s="3">
        <f>+IF(AVANCE[[#This Row],[VENTILACIONES]]=W$2,100%,AVANCE[[#This Row],[VENTILACIONES]])</f>
        <v>0</v>
      </c>
      <c r="BO138" s="3">
        <f>+IF(AVANCE[[#This Row],[TINA]]=X$2,100%,AVANCE[[#This Row],[TINA]])</f>
        <v>0</v>
      </c>
      <c r="BP138" s="3">
        <f>+IF(AVANCE[[#This Row],[WC]]=Y$2,100%,AVANCE[[#This Row],[WC]])</f>
        <v>0</v>
      </c>
      <c r="BQ138" s="3">
        <f>+IF(AVANCE[[#This Row],[LAVAMANOS / LAVAPLATOS / LAVADERO]]=Z$2,100%,AVANCE[[#This Row],[LAVAMANOS / LAVAPLATOS / LAVADERO]])</f>
        <v>0</v>
      </c>
      <c r="BR138" s="3">
        <f>+IF(AVANCE[[#This Row],[CANALIZACIÓN]]=AC$2,100%,AVANCE[[#This Row],[CANALIZACIÓN]])</f>
        <v>0</v>
      </c>
      <c r="BS138" s="3">
        <f>+IF(AVANCE[[#This Row],[CABLEADO]]=AD$2,100%,AVANCE[[#This Row],[CABLEADO]])</f>
        <v>0</v>
      </c>
      <c r="BT138" s="3">
        <f>+IF(AVANCE[[#This Row],[ARTEFACTOS]]=AE$2,100%,AVANCE[[#This Row],[ARTEFACTOS]])</f>
        <v>0</v>
      </c>
      <c r="BU138" s="3">
        <f>+IF(AVANCE[[#This Row],[TABLERO]]=AF$2,100%,AVANCE[[#This Row],[TABLERO]])</f>
        <v>0</v>
      </c>
      <c r="BV138" s="3">
        <f>+IF(AVANCE[[#This Row],[CAJA PAU]]=AG$2,100%,AVANCE[[#This Row],[CAJA PAU]])</f>
        <v>0</v>
      </c>
      <c r="BW138" s="3">
        <f>+IF(AVANCE[[#This Row],[INSTALACION VINILICO]]=AJ$2,100%,AVANCE[[#This Row],[INSTALACION VINILICO]])</f>
        <v>0</v>
      </c>
      <c r="BX138" s="3">
        <f>+IF(AVANCE[[#This Row],[OSB CUBIERTA]]=AK$2,100%,AVANCE[[#This Row],[OSB CUBIERTA]])</f>
        <v>0</v>
      </c>
      <c r="BY138" s="3">
        <f>+IF(AVANCE[[#This Row],[BARANDA BALCON]]=AL$2,100%,AVANCE[[#This Row],[BARANDA BALCON]])</f>
        <v>0</v>
      </c>
      <c r="BZ138" s="3">
        <f>+IF(AVANCE[[#This Row],[OSB EXTERIOR]]=AM$2,100%,AVANCE[[#This Row],[OSB EXTERIOR]])</f>
        <v>0</v>
      </c>
      <c r="CA138" s="3">
        <f>+IF(AVANCE[[#This Row],[SMART PANEL]]=AN$2,100%,AVANCE[[#This Row],[SMART PANEL]])</f>
        <v>0</v>
      </c>
      <c r="CB138" s="3">
        <f>+IF(AVANCE[[#This Row],[PINTURA EXTERIOR]]=AO$2,100%,AVANCE[[#This Row],[PINTURA EXTERIOR]])</f>
        <v>0</v>
      </c>
      <c r="CC138" s="3">
        <f>+IF(AVANCE[[#This Row],[ZOCALOS LOGIA]]=AP$2,100%,AVANCE[[#This Row],[ZOCALOS LOGIA]])</f>
        <v>0</v>
      </c>
      <c r="CD138" s="3">
        <f>+IF(AVANCE[[#This Row],[MOLDURAS]]=AQ$2,100%,AVANCE[[#This Row],[MOLDURAS]])</f>
        <v>0</v>
      </c>
      <c r="CE138" s="3">
        <f>+IF(AVANCE[[#This Row],[PILASTREO]]=AR$2,100%,AVANCE[[#This Row],[PILASTREO]])</f>
        <v>0</v>
      </c>
      <c r="CF138" s="3">
        <f>+IF(AVANCE[[#This Row],[CELOSIAS]]=AS$2,100%,AVANCE[[#This Row],[CELOSIAS]])</f>
        <v>0</v>
      </c>
      <c r="CG138" s="3">
        <f>+IF(AVANCE[[#This Row],[VENTANAS]]=AT$2,100%,AVANCE[[#This Row],[VENTANAS]])</f>
        <v>0</v>
      </c>
      <c r="CH138" s="3">
        <f>+IF(AVANCE[[#This Row],[PUERTAS ACCESO - LOGIA - BANO]]=AU$2,100%,AVANCE[[#This Row],[PUERTAS ACCESO - LOGIA - BANO]])</f>
        <v>0</v>
      </c>
      <c r="CI138" s="3">
        <f>+IF(AVANCE[[#This Row],[CERRADURAS]]=AV$2,100%,AVANCE[[#This Row],[CERRADURAS]])</f>
        <v>0</v>
      </c>
      <c r="CJ138" s="3">
        <f>+IF(AVANCE[[#This Row],[REVESTIMIENTO INTERIOR ZONA SECA]]=AW$2,100%,AVANCE[[#This Row],[REVESTIMIENTO INTERIOR ZONA SECA]])</f>
        <v>0</v>
      </c>
      <c r="CK138" s="3">
        <f>+IF(AVANCE[[#This Row],[REVESTIMIENTO INTERIOR ZONAS HUMEDAS]]=AX$2,100%,AVANCE[[#This Row],[REVESTIMIENTO INTERIOR ZONAS HUMEDAS]])</f>
        <v>0</v>
      </c>
      <c r="CL138" s="3">
        <f>+IF(AVANCE[[#This Row],[MEMBRANA CIELO]]=AY$2,100%,AVANCE[[#This Row],[MEMBRANA CIELO]])</f>
        <v>0</v>
      </c>
      <c r="CM138" s="3">
        <f>+IF(AVANCE[[#This Row],[LIMPIEZA FINAL]]=AZ$2,100%,AVANCE[[#This Row],[LIMPIEZA FINAL]])</f>
        <v>0</v>
      </c>
      <c r="CN138" s="3">
        <f>+IF(AVANCE[[#This Row],[PUERTAS DORMITORIO]]=BA$2,100%,AVANCE[[#This Row],[PUERTAS DORMITORIO]])</f>
        <v>0</v>
      </c>
      <c r="CO138" s="3">
        <f>+IF(AVANCE[[#This Row],[REVESTIMIENTO INTERIOR BANO]]=BB$2,100%,AVANCE[[#This Row],[REVESTIMIENTO INTERIOR BANO]])</f>
        <v>0</v>
      </c>
      <c r="CP138" s="3">
        <f>+IF(AVANCE[[#This Row],[MUEBLE LAVAPLATOS]]=BC$2,100%,AVANCE[[#This Row],[MUEBLE LAVAPLATOS]])</f>
        <v>0</v>
      </c>
      <c r="CQ138" s="3">
        <f>+IF(AVANCE[[#This Row],[IMPERMEABILIZACION BANO - COCINA LOGIA]]=BD$2,100%,AVANCE[[#This Row],[IMPERMEABILIZACION BANO - COCINA LOGIA]])</f>
        <v>0</v>
      </c>
      <c r="CR138" s="40">
        <f ca="1">+IF(AVANCE[[#This Row],[ESTADO MODULO]]="PENDIENTE",(TODAY()-AVANCE[[#This Row],[FECHA TERMINO  PLANIFICADO]]),0)</f>
        <v>0</v>
      </c>
      <c r="CS138" s="42" t="str" cm="1">
        <f t="array" ref="CS138">_xlfn.TEXTJOIN(" | ",TRUE,IF(SUMPRODUCT((BF138:CQ138&lt;1)*(PARTIDAS!$I$2:$AT$2="OBRA GRUESA"))&gt;0,"OBRA GRUESA: "&amp;_xlfn.TEXTJOIN(", ",TRUE,IF((BF138:CQ138&lt;1)*(PARTIDAS!$I$2:$AT$2="OBRA GRUESA"),PARTIDAS!$I$1:$AT$1,"")),""),IF(SUMPRODUCT((BF138:CQ138&lt;1)*(PARTIDAS!$I$2:$AT$2="SANITARIOS"))&gt;0,"SANITARIOS: "&amp;_xlfn.TEXTJOIN(", ",TRUE,IF((BF138:CQ138&lt;1)*(PARTIDAS!$I$2:$AT$2="SANITARIOS"),PARTIDAS!$I$1:$AT$1,"")),""),IF(SUMPRODUCT((BF138:CQ138&lt;1)*(PARTIDAS!$I$2:$AT$2="ELÉCTRICO"))&gt;0,"ELÉCTRICO: "&amp;_xlfn.TEXTJOIN(", ",TRUE,IF((BF138:CQ138&lt;1)*(PARTIDAS!$I$2:$AT$2="ELÉCTRICO"),PARTIDAS!$I$1:$AT$1,"")),""),IF(SUMPRODUCT((BF138:CQ138&lt;1)*(PARTIDAS!$I$2:$AT$2="TERMINACIONES"))&gt;0,"TERMINACIONES: "&amp;_xlfn.TEXTJOIN(", ",TRUE,IF((BF138:CQ138&lt;1)*(PARTIDAS!$I$2:$AT$2="TERMINACIONES"),PARTIDAS!$I$1:$AT$1,"")),""))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8" s="45" t="str" cm="1">
        <f t="array" ref="CT138">_xlfn.TEXTJOIN(", ",TRUE,IF(SUMPRODUCT((BF138:CQ138&lt;1)*(PARTIDAS!$I$2:$AT$2="OBRA GRUESA"))&gt;0,"OBRA GRUESA",""),IF(SUMPRODUCT((BF138:CQ138&lt;1)*(PARTIDAS!$I$2:$AT$2="SANITARIOS"))&gt;0,"SANITARIOS",""),IF(SUMPRODUCT((BF138:CQ138&lt;1)*(PARTIDAS!$I$2:$AT$2="ELÉCTRICO"))&gt;0,"ELÉCTRICO",""),IF(SUMPRODUCT((BF138:CQ138&lt;1)*(PARTIDAS!$I$2:$AT$2="TERMINACIONES"))&gt;0,"TERMINACIONES",""))</f>
        <v>OBRA GRUESA, SANITARIOS, ELÉCTRICO, TERMINACIONES</v>
      </c>
      <c r="CU138" s="46" cm="1">
        <f t="array" ref="CU138">SUMPRODUCT(--(BF138:CQ138&lt;1))</f>
        <v>38</v>
      </c>
    </row>
    <row r="139" spans="1:99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46181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 t="str">
        <f>+IF(AVANCE[[#This Row],[% AVANCE]]=100%,"MODULO TERMINADO",IF(AVANCE[[#This Row],[FECHA INICIO REAL]]="","MODULO NO INICIADO","PENDIENTE"))</f>
        <v>MODULO NO INICIADO</v>
      </c>
      <c r="BF139" s="3">
        <f>+IF(AVANCE[[#This Row],[VENTANAS]]=8.10810810810811%,100%,AVANCE[[#This Row],[VENTANAS]])</f>
        <v>0</v>
      </c>
      <c r="BG139" s="3">
        <f>+IF(AVANCE[[#This Row],[PISO]]=N$2,100%,AVANCE[[#This Row],[PISO]])</f>
        <v>0</v>
      </c>
      <c r="BH139" s="3">
        <f>+IF(AVANCE[[#This Row],[TABIQUES]]=O$2,100%,AVANCE[[#This Row],[TABIQUES]])</f>
        <v>0</v>
      </c>
      <c r="BI139" s="3">
        <f>+IF(AVANCE[[#This Row],[MUROS]]=P$2,100%,AVANCE[[#This Row],[MUROS]])</f>
        <v>0</v>
      </c>
      <c r="BJ139" s="3">
        <f>+IF(AVANCE[[#This Row],[CIELO]]=Q$2,100%,AVANCE[[#This Row],[CIELO]])</f>
        <v>0</v>
      </c>
      <c r="BK139" s="3">
        <f>+IF(AVANCE[[#This Row],[BALCÓN]]=R$2,100%,AVANCE[[#This Row],[BALCÓN]])</f>
        <v>0</v>
      </c>
      <c r="BL139" s="3">
        <f>+IF(AVANCE[[#This Row],[RED ALCANTARILLADO]]=U$2,100%,AVANCE[[#This Row],[RED ALCANTARILLADO]])</f>
        <v>0</v>
      </c>
      <c r="BM139" s="3">
        <f>+IF(AVANCE[[#This Row],[RED DE AGUA]]=V$2,100%,AVANCE[[#This Row],[RED DE AGUA]])</f>
        <v>0</v>
      </c>
      <c r="BN139" s="3">
        <f>+IF(AVANCE[[#This Row],[VENTILACIONES]]=W$2,100%,AVANCE[[#This Row],[VENTILACIONES]])</f>
        <v>0</v>
      </c>
      <c r="BO139" s="3">
        <f>+IF(AVANCE[[#This Row],[TINA]]=X$2,100%,AVANCE[[#This Row],[TINA]])</f>
        <v>0</v>
      </c>
      <c r="BP139" s="3">
        <f>+IF(AVANCE[[#This Row],[WC]]=Y$2,100%,AVANCE[[#This Row],[WC]])</f>
        <v>0</v>
      </c>
      <c r="BQ139" s="3">
        <f>+IF(AVANCE[[#This Row],[LAVAMANOS / LAVAPLATOS / LAVADERO]]=Z$2,100%,AVANCE[[#This Row],[LAVAMANOS / LAVAPLATOS / LAVADERO]])</f>
        <v>0</v>
      </c>
      <c r="BR139" s="3">
        <f>+IF(AVANCE[[#This Row],[CANALIZACIÓN]]=AC$2,100%,AVANCE[[#This Row],[CANALIZACIÓN]])</f>
        <v>0</v>
      </c>
      <c r="BS139" s="3">
        <f>+IF(AVANCE[[#This Row],[CABLEADO]]=AD$2,100%,AVANCE[[#This Row],[CABLEADO]])</f>
        <v>0</v>
      </c>
      <c r="BT139" s="3">
        <f>+IF(AVANCE[[#This Row],[ARTEFACTOS]]=AE$2,100%,AVANCE[[#This Row],[ARTEFACTOS]])</f>
        <v>0</v>
      </c>
      <c r="BU139" s="3">
        <f>+IF(AVANCE[[#This Row],[TABLERO]]=AF$2,100%,AVANCE[[#This Row],[TABLERO]])</f>
        <v>0</v>
      </c>
      <c r="BV139" s="3">
        <f>+IF(AVANCE[[#This Row],[CAJA PAU]]=AG$2,100%,AVANCE[[#This Row],[CAJA PAU]])</f>
        <v>0</v>
      </c>
      <c r="BW139" s="3">
        <f>+IF(AVANCE[[#This Row],[INSTALACION VINILICO]]=AJ$2,100%,AVANCE[[#This Row],[INSTALACION VINILICO]])</f>
        <v>0</v>
      </c>
      <c r="BX139" s="3">
        <f>+IF(AVANCE[[#This Row],[OSB CUBIERTA]]=AK$2,100%,AVANCE[[#This Row],[OSB CUBIERTA]])</f>
        <v>0</v>
      </c>
      <c r="BY139" s="3">
        <f>+IF(AVANCE[[#This Row],[BARANDA BALCON]]=AL$2,100%,AVANCE[[#This Row],[BARANDA BALCON]])</f>
        <v>0</v>
      </c>
      <c r="BZ139" s="3">
        <f>+IF(AVANCE[[#This Row],[OSB EXTERIOR]]=AM$2,100%,AVANCE[[#This Row],[OSB EXTERIOR]])</f>
        <v>0</v>
      </c>
      <c r="CA139" s="3">
        <f>+IF(AVANCE[[#This Row],[SMART PANEL]]=AN$2,100%,AVANCE[[#This Row],[SMART PANEL]])</f>
        <v>0</v>
      </c>
      <c r="CB139" s="3">
        <f>+IF(AVANCE[[#This Row],[PINTURA EXTERIOR]]=AO$2,100%,AVANCE[[#This Row],[PINTURA EXTERIOR]])</f>
        <v>0</v>
      </c>
      <c r="CC139" s="3">
        <f>+IF(AVANCE[[#This Row],[ZOCALOS LOGIA]]=AP$2,100%,AVANCE[[#This Row],[ZOCALOS LOGIA]])</f>
        <v>0</v>
      </c>
      <c r="CD139" s="3">
        <f>+IF(AVANCE[[#This Row],[MOLDURAS]]=AQ$2,100%,AVANCE[[#This Row],[MOLDURAS]])</f>
        <v>0</v>
      </c>
      <c r="CE139" s="3">
        <f>+IF(AVANCE[[#This Row],[PILASTREO]]=AR$2,100%,AVANCE[[#This Row],[PILASTREO]])</f>
        <v>0</v>
      </c>
      <c r="CF139" s="3">
        <f>+IF(AVANCE[[#This Row],[CELOSIAS]]=AS$2,100%,AVANCE[[#This Row],[CELOSIAS]])</f>
        <v>0</v>
      </c>
      <c r="CG139" s="3">
        <f>+IF(AVANCE[[#This Row],[VENTANAS]]=AT$2,100%,AVANCE[[#This Row],[VENTANAS]])</f>
        <v>0</v>
      </c>
      <c r="CH139" s="3">
        <f>+IF(AVANCE[[#This Row],[PUERTAS ACCESO - LOGIA - BANO]]=AU$2,100%,AVANCE[[#This Row],[PUERTAS ACCESO - LOGIA - BANO]])</f>
        <v>0</v>
      </c>
      <c r="CI139" s="3">
        <f>+IF(AVANCE[[#This Row],[CERRADURAS]]=AV$2,100%,AVANCE[[#This Row],[CERRADURAS]])</f>
        <v>0</v>
      </c>
      <c r="CJ139" s="3">
        <f>+IF(AVANCE[[#This Row],[REVESTIMIENTO INTERIOR ZONA SECA]]=AW$2,100%,AVANCE[[#This Row],[REVESTIMIENTO INTERIOR ZONA SECA]])</f>
        <v>0</v>
      </c>
      <c r="CK139" s="3">
        <f>+IF(AVANCE[[#This Row],[REVESTIMIENTO INTERIOR ZONAS HUMEDAS]]=AX$2,100%,AVANCE[[#This Row],[REVESTIMIENTO INTERIOR ZONAS HUMEDAS]])</f>
        <v>0</v>
      </c>
      <c r="CL139" s="3">
        <f>+IF(AVANCE[[#This Row],[MEMBRANA CIELO]]=AY$2,100%,AVANCE[[#This Row],[MEMBRANA CIELO]])</f>
        <v>0</v>
      </c>
      <c r="CM139" s="3">
        <f>+IF(AVANCE[[#This Row],[LIMPIEZA FINAL]]=AZ$2,100%,AVANCE[[#This Row],[LIMPIEZA FINAL]])</f>
        <v>0</v>
      </c>
      <c r="CN139" s="3">
        <f>+IF(AVANCE[[#This Row],[PUERTAS DORMITORIO]]=BA$2,100%,AVANCE[[#This Row],[PUERTAS DORMITORIO]])</f>
        <v>0</v>
      </c>
      <c r="CO139" s="3">
        <f>+IF(AVANCE[[#This Row],[REVESTIMIENTO INTERIOR BANO]]=BB$2,100%,AVANCE[[#This Row],[REVESTIMIENTO INTERIOR BANO]])</f>
        <v>0</v>
      </c>
      <c r="CP139" s="3">
        <f>+IF(AVANCE[[#This Row],[MUEBLE LAVAPLATOS]]=BC$2,100%,AVANCE[[#This Row],[MUEBLE LAVAPLATOS]])</f>
        <v>0</v>
      </c>
      <c r="CQ139" s="3">
        <f>+IF(AVANCE[[#This Row],[IMPERMEABILIZACION BANO - COCINA LOGIA]]=BD$2,100%,AVANCE[[#This Row],[IMPERMEABILIZACION BANO - COCINA LOGIA]])</f>
        <v>0</v>
      </c>
      <c r="CR139" s="40">
        <f ca="1">+IF(AVANCE[[#This Row],[ESTADO MODULO]]="PENDIENTE",(TODAY()-AVANCE[[#This Row],[FECHA TERMINO  PLANIFICADO]]),0)</f>
        <v>0</v>
      </c>
      <c r="CS139" s="42" t="str" cm="1">
        <f t="array" ref="CS139">_xlfn.TEXTJOIN(" | ",TRUE,IF(SUMPRODUCT((BF139:CQ139&lt;1)*(PARTIDAS!$I$2:$AT$2="OBRA GRUESA"))&gt;0,"OBRA GRUESA: "&amp;_xlfn.TEXTJOIN(", ",TRUE,IF((BF139:CQ139&lt;1)*(PARTIDAS!$I$2:$AT$2="OBRA GRUESA"),PARTIDAS!$I$1:$AT$1,"")),""),IF(SUMPRODUCT((BF139:CQ139&lt;1)*(PARTIDAS!$I$2:$AT$2="SANITARIOS"))&gt;0,"SANITARIOS: "&amp;_xlfn.TEXTJOIN(", ",TRUE,IF((BF139:CQ139&lt;1)*(PARTIDAS!$I$2:$AT$2="SANITARIOS"),PARTIDAS!$I$1:$AT$1,"")),""),IF(SUMPRODUCT((BF139:CQ139&lt;1)*(PARTIDAS!$I$2:$AT$2="ELÉCTRICO"))&gt;0,"ELÉCTRICO: "&amp;_xlfn.TEXTJOIN(", ",TRUE,IF((BF139:CQ139&lt;1)*(PARTIDAS!$I$2:$AT$2="ELÉCTRICO"),PARTIDAS!$I$1:$AT$1,"")),""),IF(SUMPRODUCT((BF139:CQ139&lt;1)*(PARTIDAS!$I$2:$AT$2="TERMINACIONES"))&gt;0,"TERMINACIONES: "&amp;_xlfn.TEXTJOIN(", ",TRUE,IF((BF139:CQ139&lt;1)*(PARTIDAS!$I$2:$AT$2="TERMINACIONES"),PARTIDAS!$I$1:$AT$1,"")),""))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39" s="45" t="str" cm="1">
        <f t="array" ref="CT139">_xlfn.TEXTJOIN(", ",TRUE,IF(SUMPRODUCT((BF139:CQ139&lt;1)*(PARTIDAS!$I$2:$AT$2="OBRA GRUESA"))&gt;0,"OBRA GRUESA",""),IF(SUMPRODUCT((BF139:CQ139&lt;1)*(PARTIDAS!$I$2:$AT$2="SANITARIOS"))&gt;0,"SANITARIOS",""),IF(SUMPRODUCT((BF139:CQ139&lt;1)*(PARTIDAS!$I$2:$AT$2="ELÉCTRICO"))&gt;0,"ELÉCTRICO",""),IF(SUMPRODUCT((BF139:CQ139&lt;1)*(PARTIDAS!$I$2:$AT$2="TERMINACIONES"))&gt;0,"TERMINACIONES",""))</f>
        <v>OBRA GRUESA, SANITARIOS, ELÉCTRICO, TERMINACIONES</v>
      </c>
      <c r="CU139" s="46" cm="1">
        <f t="array" ref="CU139">SUMPRODUCT(--(BF139:CQ139&lt;1))</f>
        <v>38</v>
      </c>
    </row>
    <row r="140" spans="1:99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46181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 t="str">
        <f>+IF(AVANCE[[#This Row],[% AVANCE]]=100%,"MODULO TERMINADO",IF(AVANCE[[#This Row],[FECHA INICIO REAL]]="","MODULO NO INICIADO","PENDIENTE"))</f>
        <v>MODULO NO INICIADO</v>
      </c>
      <c r="BF140" s="3">
        <f>+IF(AVANCE[[#This Row],[VENTANAS]]=8.10810810810811%,100%,AVANCE[[#This Row],[VENTANAS]])</f>
        <v>0</v>
      </c>
      <c r="BG140" s="3">
        <f>+IF(AVANCE[[#This Row],[PISO]]=N$2,100%,AVANCE[[#This Row],[PISO]])</f>
        <v>0</v>
      </c>
      <c r="BH140" s="3">
        <f>+IF(AVANCE[[#This Row],[TABIQUES]]=O$2,100%,AVANCE[[#This Row],[TABIQUES]])</f>
        <v>0</v>
      </c>
      <c r="BI140" s="3">
        <f>+IF(AVANCE[[#This Row],[MUROS]]=P$2,100%,AVANCE[[#This Row],[MUROS]])</f>
        <v>0</v>
      </c>
      <c r="BJ140" s="3">
        <f>+IF(AVANCE[[#This Row],[CIELO]]=Q$2,100%,AVANCE[[#This Row],[CIELO]])</f>
        <v>0</v>
      </c>
      <c r="BK140" s="3">
        <f>+IF(AVANCE[[#This Row],[BALCÓN]]=R$2,100%,AVANCE[[#This Row],[BALCÓN]])</f>
        <v>0</v>
      </c>
      <c r="BL140" s="3">
        <f>+IF(AVANCE[[#This Row],[RED ALCANTARILLADO]]=U$2,100%,AVANCE[[#This Row],[RED ALCANTARILLADO]])</f>
        <v>0</v>
      </c>
      <c r="BM140" s="3">
        <f>+IF(AVANCE[[#This Row],[RED DE AGUA]]=V$2,100%,AVANCE[[#This Row],[RED DE AGUA]])</f>
        <v>0</v>
      </c>
      <c r="BN140" s="3">
        <f>+IF(AVANCE[[#This Row],[VENTILACIONES]]=W$2,100%,AVANCE[[#This Row],[VENTILACIONES]])</f>
        <v>0</v>
      </c>
      <c r="BO140" s="3">
        <f>+IF(AVANCE[[#This Row],[TINA]]=X$2,100%,AVANCE[[#This Row],[TINA]])</f>
        <v>0</v>
      </c>
      <c r="BP140" s="3">
        <f>+IF(AVANCE[[#This Row],[WC]]=Y$2,100%,AVANCE[[#This Row],[WC]])</f>
        <v>0</v>
      </c>
      <c r="BQ140" s="3">
        <f>+IF(AVANCE[[#This Row],[LAVAMANOS / LAVAPLATOS / LAVADERO]]=Z$2,100%,AVANCE[[#This Row],[LAVAMANOS / LAVAPLATOS / LAVADERO]])</f>
        <v>0</v>
      </c>
      <c r="BR140" s="3">
        <f>+IF(AVANCE[[#This Row],[CANALIZACIÓN]]=AC$2,100%,AVANCE[[#This Row],[CANALIZACIÓN]])</f>
        <v>0</v>
      </c>
      <c r="BS140" s="3">
        <f>+IF(AVANCE[[#This Row],[CABLEADO]]=AD$2,100%,AVANCE[[#This Row],[CABLEADO]])</f>
        <v>0</v>
      </c>
      <c r="BT140" s="3">
        <f>+IF(AVANCE[[#This Row],[ARTEFACTOS]]=AE$2,100%,AVANCE[[#This Row],[ARTEFACTOS]])</f>
        <v>0</v>
      </c>
      <c r="BU140" s="3">
        <f>+IF(AVANCE[[#This Row],[TABLERO]]=AF$2,100%,AVANCE[[#This Row],[TABLERO]])</f>
        <v>0</v>
      </c>
      <c r="BV140" s="3">
        <f>+IF(AVANCE[[#This Row],[CAJA PAU]]=AG$2,100%,AVANCE[[#This Row],[CAJA PAU]])</f>
        <v>0</v>
      </c>
      <c r="BW140" s="3">
        <f>+IF(AVANCE[[#This Row],[INSTALACION VINILICO]]=AJ$2,100%,AVANCE[[#This Row],[INSTALACION VINILICO]])</f>
        <v>0</v>
      </c>
      <c r="BX140" s="3">
        <f>+IF(AVANCE[[#This Row],[OSB CUBIERTA]]=AK$2,100%,AVANCE[[#This Row],[OSB CUBIERTA]])</f>
        <v>0</v>
      </c>
      <c r="BY140" s="3">
        <f>+IF(AVANCE[[#This Row],[BARANDA BALCON]]=AL$2,100%,AVANCE[[#This Row],[BARANDA BALCON]])</f>
        <v>0</v>
      </c>
      <c r="BZ140" s="3">
        <f>+IF(AVANCE[[#This Row],[OSB EXTERIOR]]=AM$2,100%,AVANCE[[#This Row],[OSB EXTERIOR]])</f>
        <v>0</v>
      </c>
      <c r="CA140" s="3">
        <f>+IF(AVANCE[[#This Row],[SMART PANEL]]=AN$2,100%,AVANCE[[#This Row],[SMART PANEL]])</f>
        <v>0</v>
      </c>
      <c r="CB140" s="3">
        <f>+IF(AVANCE[[#This Row],[PINTURA EXTERIOR]]=AO$2,100%,AVANCE[[#This Row],[PINTURA EXTERIOR]])</f>
        <v>0</v>
      </c>
      <c r="CC140" s="3">
        <f>+IF(AVANCE[[#This Row],[ZOCALOS LOGIA]]=AP$2,100%,AVANCE[[#This Row],[ZOCALOS LOGIA]])</f>
        <v>0</v>
      </c>
      <c r="CD140" s="3">
        <f>+IF(AVANCE[[#This Row],[MOLDURAS]]=AQ$2,100%,AVANCE[[#This Row],[MOLDURAS]])</f>
        <v>0</v>
      </c>
      <c r="CE140" s="3">
        <f>+IF(AVANCE[[#This Row],[PILASTREO]]=AR$2,100%,AVANCE[[#This Row],[PILASTREO]])</f>
        <v>0</v>
      </c>
      <c r="CF140" s="3">
        <f>+IF(AVANCE[[#This Row],[CELOSIAS]]=AS$2,100%,AVANCE[[#This Row],[CELOSIAS]])</f>
        <v>0</v>
      </c>
      <c r="CG140" s="3">
        <f>+IF(AVANCE[[#This Row],[VENTANAS]]=AT$2,100%,AVANCE[[#This Row],[VENTANAS]])</f>
        <v>0</v>
      </c>
      <c r="CH140" s="3">
        <f>+IF(AVANCE[[#This Row],[PUERTAS ACCESO - LOGIA - BANO]]=AU$2,100%,AVANCE[[#This Row],[PUERTAS ACCESO - LOGIA - BANO]])</f>
        <v>0</v>
      </c>
      <c r="CI140" s="3">
        <f>+IF(AVANCE[[#This Row],[CERRADURAS]]=AV$2,100%,AVANCE[[#This Row],[CERRADURAS]])</f>
        <v>0</v>
      </c>
      <c r="CJ140" s="3">
        <f>+IF(AVANCE[[#This Row],[REVESTIMIENTO INTERIOR ZONA SECA]]=AW$2,100%,AVANCE[[#This Row],[REVESTIMIENTO INTERIOR ZONA SECA]])</f>
        <v>0</v>
      </c>
      <c r="CK140" s="3">
        <f>+IF(AVANCE[[#This Row],[REVESTIMIENTO INTERIOR ZONAS HUMEDAS]]=AX$2,100%,AVANCE[[#This Row],[REVESTIMIENTO INTERIOR ZONAS HUMEDAS]])</f>
        <v>0</v>
      </c>
      <c r="CL140" s="3">
        <f>+IF(AVANCE[[#This Row],[MEMBRANA CIELO]]=AY$2,100%,AVANCE[[#This Row],[MEMBRANA CIELO]])</f>
        <v>0</v>
      </c>
      <c r="CM140" s="3">
        <f>+IF(AVANCE[[#This Row],[LIMPIEZA FINAL]]=AZ$2,100%,AVANCE[[#This Row],[LIMPIEZA FINAL]])</f>
        <v>0</v>
      </c>
      <c r="CN140" s="3">
        <f>+IF(AVANCE[[#This Row],[PUERTAS DORMITORIO]]=BA$2,100%,AVANCE[[#This Row],[PUERTAS DORMITORIO]])</f>
        <v>0</v>
      </c>
      <c r="CO140" s="3">
        <f>+IF(AVANCE[[#This Row],[REVESTIMIENTO INTERIOR BANO]]=BB$2,100%,AVANCE[[#This Row],[REVESTIMIENTO INTERIOR BANO]])</f>
        <v>0</v>
      </c>
      <c r="CP140" s="3">
        <f>+IF(AVANCE[[#This Row],[MUEBLE LAVAPLATOS]]=BC$2,100%,AVANCE[[#This Row],[MUEBLE LAVAPLATOS]])</f>
        <v>0</v>
      </c>
      <c r="CQ140" s="3">
        <f>+IF(AVANCE[[#This Row],[IMPERMEABILIZACION BANO - COCINA LOGIA]]=BD$2,100%,AVANCE[[#This Row],[IMPERMEABILIZACION BANO - COCINA LOGIA]])</f>
        <v>0</v>
      </c>
      <c r="CR140" s="40">
        <f ca="1">+IF(AVANCE[[#This Row],[ESTADO MODULO]]="PENDIENTE",(TODAY()-AVANCE[[#This Row],[FECHA TERMINO  PLANIFICADO]]),0)</f>
        <v>0</v>
      </c>
      <c r="CS140" s="42" t="str" cm="1">
        <f t="array" ref="CS140">_xlfn.TEXTJOIN(" | ",TRUE,IF(SUMPRODUCT((BF140:CQ140&lt;1)*(PARTIDAS!$I$2:$AT$2="OBRA GRUESA"))&gt;0,"OBRA GRUESA: "&amp;_xlfn.TEXTJOIN(", ",TRUE,IF((BF140:CQ140&lt;1)*(PARTIDAS!$I$2:$AT$2="OBRA GRUESA"),PARTIDAS!$I$1:$AT$1,"")),""),IF(SUMPRODUCT((BF140:CQ140&lt;1)*(PARTIDAS!$I$2:$AT$2="SANITARIOS"))&gt;0,"SANITARIOS: "&amp;_xlfn.TEXTJOIN(", ",TRUE,IF((BF140:CQ140&lt;1)*(PARTIDAS!$I$2:$AT$2="SANITARIOS"),PARTIDAS!$I$1:$AT$1,"")),""),IF(SUMPRODUCT((BF140:CQ140&lt;1)*(PARTIDAS!$I$2:$AT$2="ELÉCTRICO"))&gt;0,"ELÉCTRICO: "&amp;_xlfn.TEXTJOIN(", ",TRUE,IF((BF140:CQ140&lt;1)*(PARTIDAS!$I$2:$AT$2="ELÉCTRICO"),PARTIDAS!$I$1:$AT$1,"")),""),IF(SUMPRODUCT((BF140:CQ140&lt;1)*(PARTIDAS!$I$2:$AT$2="TERMINACIONES"))&gt;0,"TERMINACIONES: "&amp;_xlfn.TEXTJOIN(", ",TRUE,IF((BF140:CQ140&lt;1)*(PARTIDAS!$I$2:$AT$2="TERMINACIONES"),PARTIDAS!$I$1:$AT$1,"")),""))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0" s="45" t="str" cm="1">
        <f t="array" ref="CT140">_xlfn.TEXTJOIN(", ",TRUE,IF(SUMPRODUCT((BF140:CQ140&lt;1)*(PARTIDAS!$I$2:$AT$2="OBRA GRUESA"))&gt;0,"OBRA GRUESA",""),IF(SUMPRODUCT((BF140:CQ140&lt;1)*(PARTIDAS!$I$2:$AT$2="SANITARIOS"))&gt;0,"SANITARIOS",""),IF(SUMPRODUCT((BF140:CQ140&lt;1)*(PARTIDAS!$I$2:$AT$2="ELÉCTRICO"))&gt;0,"ELÉCTRICO",""),IF(SUMPRODUCT((BF140:CQ140&lt;1)*(PARTIDAS!$I$2:$AT$2="TERMINACIONES"))&gt;0,"TERMINACIONES",""))</f>
        <v>OBRA GRUESA, SANITARIOS, ELÉCTRICO, TERMINACIONES</v>
      </c>
      <c r="CU140" s="46" cm="1">
        <f t="array" ref="CU140">SUMPRODUCT(--(BF140:CQ140&lt;1))</f>
        <v>38</v>
      </c>
    </row>
    <row r="141" spans="1:99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46181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 t="str">
        <f>+IF(AVANCE[[#This Row],[% AVANCE]]=100%,"MODULO TERMINADO",IF(AVANCE[[#This Row],[FECHA INICIO REAL]]="","MODULO NO INICIADO","PENDIENTE"))</f>
        <v>MODULO NO INICIADO</v>
      </c>
      <c r="BF141" s="3">
        <f>+IF(AVANCE[[#This Row],[VENTANAS]]=8.10810810810811%,100%,AVANCE[[#This Row],[VENTANAS]])</f>
        <v>0</v>
      </c>
      <c r="BG141" s="3">
        <f>+IF(AVANCE[[#This Row],[PISO]]=N$2,100%,AVANCE[[#This Row],[PISO]])</f>
        <v>0</v>
      </c>
      <c r="BH141" s="3">
        <f>+IF(AVANCE[[#This Row],[TABIQUES]]=O$2,100%,AVANCE[[#This Row],[TABIQUES]])</f>
        <v>0</v>
      </c>
      <c r="BI141" s="3">
        <f>+IF(AVANCE[[#This Row],[MUROS]]=P$2,100%,AVANCE[[#This Row],[MUROS]])</f>
        <v>0</v>
      </c>
      <c r="BJ141" s="3">
        <f>+IF(AVANCE[[#This Row],[CIELO]]=Q$2,100%,AVANCE[[#This Row],[CIELO]])</f>
        <v>0</v>
      </c>
      <c r="BK141" s="3">
        <f>+IF(AVANCE[[#This Row],[BALCÓN]]=R$2,100%,AVANCE[[#This Row],[BALCÓN]])</f>
        <v>0</v>
      </c>
      <c r="BL141" s="3">
        <f>+IF(AVANCE[[#This Row],[RED ALCANTARILLADO]]=U$2,100%,AVANCE[[#This Row],[RED ALCANTARILLADO]])</f>
        <v>0</v>
      </c>
      <c r="BM141" s="3">
        <f>+IF(AVANCE[[#This Row],[RED DE AGUA]]=V$2,100%,AVANCE[[#This Row],[RED DE AGUA]])</f>
        <v>0</v>
      </c>
      <c r="BN141" s="3">
        <f>+IF(AVANCE[[#This Row],[VENTILACIONES]]=W$2,100%,AVANCE[[#This Row],[VENTILACIONES]])</f>
        <v>0</v>
      </c>
      <c r="BO141" s="3">
        <f>+IF(AVANCE[[#This Row],[TINA]]=X$2,100%,AVANCE[[#This Row],[TINA]])</f>
        <v>0</v>
      </c>
      <c r="BP141" s="3">
        <f>+IF(AVANCE[[#This Row],[WC]]=Y$2,100%,AVANCE[[#This Row],[WC]])</f>
        <v>0</v>
      </c>
      <c r="BQ141" s="3">
        <f>+IF(AVANCE[[#This Row],[LAVAMANOS / LAVAPLATOS / LAVADERO]]=Z$2,100%,AVANCE[[#This Row],[LAVAMANOS / LAVAPLATOS / LAVADERO]])</f>
        <v>0</v>
      </c>
      <c r="BR141" s="3">
        <f>+IF(AVANCE[[#This Row],[CANALIZACIÓN]]=AC$2,100%,AVANCE[[#This Row],[CANALIZACIÓN]])</f>
        <v>0</v>
      </c>
      <c r="BS141" s="3">
        <f>+IF(AVANCE[[#This Row],[CABLEADO]]=AD$2,100%,AVANCE[[#This Row],[CABLEADO]])</f>
        <v>0</v>
      </c>
      <c r="BT141" s="3">
        <f>+IF(AVANCE[[#This Row],[ARTEFACTOS]]=AE$2,100%,AVANCE[[#This Row],[ARTEFACTOS]])</f>
        <v>0</v>
      </c>
      <c r="BU141" s="3">
        <f>+IF(AVANCE[[#This Row],[TABLERO]]=AF$2,100%,AVANCE[[#This Row],[TABLERO]])</f>
        <v>0</v>
      </c>
      <c r="BV141" s="3">
        <f>+IF(AVANCE[[#This Row],[CAJA PAU]]=AG$2,100%,AVANCE[[#This Row],[CAJA PAU]])</f>
        <v>0</v>
      </c>
      <c r="BW141" s="3">
        <f>+IF(AVANCE[[#This Row],[INSTALACION VINILICO]]=AJ$2,100%,AVANCE[[#This Row],[INSTALACION VINILICO]])</f>
        <v>0</v>
      </c>
      <c r="BX141" s="3">
        <f>+IF(AVANCE[[#This Row],[OSB CUBIERTA]]=AK$2,100%,AVANCE[[#This Row],[OSB CUBIERTA]])</f>
        <v>0</v>
      </c>
      <c r="BY141" s="3">
        <f>+IF(AVANCE[[#This Row],[BARANDA BALCON]]=AL$2,100%,AVANCE[[#This Row],[BARANDA BALCON]])</f>
        <v>0</v>
      </c>
      <c r="BZ141" s="3">
        <f>+IF(AVANCE[[#This Row],[OSB EXTERIOR]]=AM$2,100%,AVANCE[[#This Row],[OSB EXTERIOR]])</f>
        <v>0</v>
      </c>
      <c r="CA141" s="3">
        <f>+IF(AVANCE[[#This Row],[SMART PANEL]]=AN$2,100%,AVANCE[[#This Row],[SMART PANEL]])</f>
        <v>0</v>
      </c>
      <c r="CB141" s="3">
        <f>+IF(AVANCE[[#This Row],[PINTURA EXTERIOR]]=AO$2,100%,AVANCE[[#This Row],[PINTURA EXTERIOR]])</f>
        <v>0</v>
      </c>
      <c r="CC141" s="3">
        <f>+IF(AVANCE[[#This Row],[ZOCALOS LOGIA]]=AP$2,100%,AVANCE[[#This Row],[ZOCALOS LOGIA]])</f>
        <v>0</v>
      </c>
      <c r="CD141" s="3">
        <f>+IF(AVANCE[[#This Row],[MOLDURAS]]=AQ$2,100%,AVANCE[[#This Row],[MOLDURAS]])</f>
        <v>0</v>
      </c>
      <c r="CE141" s="3">
        <f>+IF(AVANCE[[#This Row],[PILASTREO]]=AR$2,100%,AVANCE[[#This Row],[PILASTREO]])</f>
        <v>0</v>
      </c>
      <c r="CF141" s="3">
        <f>+IF(AVANCE[[#This Row],[CELOSIAS]]=AS$2,100%,AVANCE[[#This Row],[CELOSIAS]])</f>
        <v>0</v>
      </c>
      <c r="CG141" s="3">
        <f>+IF(AVANCE[[#This Row],[VENTANAS]]=AT$2,100%,AVANCE[[#This Row],[VENTANAS]])</f>
        <v>0</v>
      </c>
      <c r="CH141" s="3">
        <f>+IF(AVANCE[[#This Row],[PUERTAS ACCESO - LOGIA - BANO]]=AU$2,100%,AVANCE[[#This Row],[PUERTAS ACCESO - LOGIA - BANO]])</f>
        <v>0</v>
      </c>
      <c r="CI141" s="3">
        <f>+IF(AVANCE[[#This Row],[CERRADURAS]]=AV$2,100%,AVANCE[[#This Row],[CERRADURAS]])</f>
        <v>0</v>
      </c>
      <c r="CJ141" s="3">
        <f>+IF(AVANCE[[#This Row],[REVESTIMIENTO INTERIOR ZONA SECA]]=AW$2,100%,AVANCE[[#This Row],[REVESTIMIENTO INTERIOR ZONA SECA]])</f>
        <v>0</v>
      </c>
      <c r="CK141" s="3">
        <f>+IF(AVANCE[[#This Row],[REVESTIMIENTO INTERIOR ZONAS HUMEDAS]]=AX$2,100%,AVANCE[[#This Row],[REVESTIMIENTO INTERIOR ZONAS HUMEDAS]])</f>
        <v>0</v>
      </c>
      <c r="CL141" s="3">
        <f>+IF(AVANCE[[#This Row],[MEMBRANA CIELO]]=AY$2,100%,AVANCE[[#This Row],[MEMBRANA CIELO]])</f>
        <v>0</v>
      </c>
      <c r="CM141" s="3">
        <f>+IF(AVANCE[[#This Row],[LIMPIEZA FINAL]]=AZ$2,100%,AVANCE[[#This Row],[LIMPIEZA FINAL]])</f>
        <v>0</v>
      </c>
      <c r="CN141" s="3">
        <f>+IF(AVANCE[[#This Row],[PUERTAS DORMITORIO]]=BA$2,100%,AVANCE[[#This Row],[PUERTAS DORMITORIO]])</f>
        <v>0</v>
      </c>
      <c r="CO141" s="3">
        <f>+IF(AVANCE[[#This Row],[REVESTIMIENTO INTERIOR BANO]]=BB$2,100%,AVANCE[[#This Row],[REVESTIMIENTO INTERIOR BANO]])</f>
        <v>0</v>
      </c>
      <c r="CP141" s="3">
        <f>+IF(AVANCE[[#This Row],[MUEBLE LAVAPLATOS]]=BC$2,100%,AVANCE[[#This Row],[MUEBLE LAVAPLATOS]])</f>
        <v>0</v>
      </c>
      <c r="CQ141" s="3">
        <f>+IF(AVANCE[[#This Row],[IMPERMEABILIZACION BANO - COCINA LOGIA]]=BD$2,100%,AVANCE[[#This Row],[IMPERMEABILIZACION BANO - COCINA LOGIA]])</f>
        <v>0</v>
      </c>
      <c r="CR141" s="40">
        <f ca="1">+IF(AVANCE[[#This Row],[ESTADO MODULO]]="PENDIENTE",(TODAY()-AVANCE[[#This Row],[FECHA TERMINO  PLANIFICADO]]),0)</f>
        <v>0</v>
      </c>
      <c r="CS141" s="42" t="str" cm="1">
        <f t="array" ref="CS141">_xlfn.TEXTJOIN(" | ",TRUE,IF(SUMPRODUCT((BF141:CQ141&lt;1)*(PARTIDAS!$I$2:$AT$2="OBRA GRUESA"))&gt;0,"OBRA GRUESA: "&amp;_xlfn.TEXTJOIN(", ",TRUE,IF((BF141:CQ141&lt;1)*(PARTIDAS!$I$2:$AT$2="OBRA GRUESA"),PARTIDAS!$I$1:$AT$1,"")),""),IF(SUMPRODUCT((BF141:CQ141&lt;1)*(PARTIDAS!$I$2:$AT$2="SANITARIOS"))&gt;0,"SANITARIOS: "&amp;_xlfn.TEXTJOIN(", ",TRUE,IF((BF141:CQ141&lt;1)*(PARTIDAS!$I$2:$AT$2="SANITARIOS"),PARTIDAS!$I$1:$AT$1,"")),""),IF(SUMPRODUCT((BF141:CQ141&lt;1)*(PARTIDAS!$I$2:$AT$2="ELÉCTRICO"))&gt;0,"ELÉCTRICO: "&amp;_xlfn.TEXTJOIN(", ",TRUE,IF((BF141:CQ141&lt;1)*(PARTIDAS!$I$2:$AT$2="ELÉCTRICO"),PARTIDAS!$I$1:$AT$1,"")),""),IF(SUMPRODUCT((BF141:CQ141&lt;1)*(PARTIDAS!$I$2:$AT$2="TERMINACIONES"))&gt;0,"TERMINACIONES: "&amp;_xlfn.TEXTJOIN(", ",TRUE,IF((BF141:CQ141&lt;1)*(PARTIDAS!$I$2:$AT$2="TERMINACIONES"),PARTIDAS!$I$1:$AT$1,"")),""))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1" s="45" t="str" cm="1">
        <f t="array" ref="CT141">_xlfn.TEXTJOIN(", ",TRUE,IF(SUMPRODUCT((BF141:CQ141&lt;1)*(PARTIDAS!$I$2:$AT$2="OBRA GRUESA"))&gt;0,"OBRA GRUESA",""),IF(SUMPRODUCT((BF141:CQ141&lt;1)*(PARTIDAS!$I$2:$AT$2="SANITARIOS"))&gt;0,"SANITARIOS",""),IF(SUMPRODUCT((BF141:CQ141&lt;1)*(PARTIDAS!$I$2:$AT$2="ELÉCTRICO"))&gt;0,"ELÉCTRICO",""),IF(SUMPRODUCT((BF141:CQ141&lt;1)*(PARTIDAS!$I$2:$AT$2="TERMINACIONES"))&gt;0,"TERMINACIONES",""))</f>
        <v>OBRA GRUESA, SANITARIOS, ELÉCTRICO, TERMINACIONES</v>
      </c>
      <c r="CU141" s="46" cm="1">
        <f t="array" ref="CU141">SUMPRODUCT(--(BF141:CQ141&lt;1))</f>
        <v>38</v>
      </c>
    </row>
    <row r="142" spans="1:99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46181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 t="str">
        <f>+IF(AVANCE[[#This Row],[% AVANCE]]=100%,"MODULO TERMINADO",IF(AVANCE[[#This Row],[FECHA INICIO REAL]]="","MODULO NO INICIADO","PENDIENTE"))</f>
        <v>MODULO NO INICIADO</v>
      </c>
      <c r="BF142" s="3">
        <f>+IF(AVANCE[[#This Row],[VENTANAS]]=8.10810810810811%,100%,AVANCE[[#This Row],[VENTANAS]])</f>
        <v>0</v>
      </c>
      <c r="BG142" s="3">
        <f>+IF(AVANCE[[#This Row],[PISO]]=N$2,100%,AVANCE[[#This Row],[PISO]])</f>
        <v>0</v>
      </c>
      <c r="BH142" s="3">
        <f>+IF(AVANCE[[#This Row],[TABIQUES]]=O$2,100%,AVANCE[[#This Row],[TABIQUES]])</f>
        <v>0</v>
      </c>
      <c r="BI142" s="3">
        <f>+IF(AVANCE[[#This Row],[MUROS]]=P$2,100%,AVANCE[[#This Row],[MUROS]])</f>
        <v>0</v>
      </c>
      <c r="BJ142" s="3">
        <f>+IF(AVANCE[[#This Row],[CIELO]]=Q$2,100%,AVANCE[[#This Row],[CIELO]])</f>
        <v>0</v>
      </c>
      <c r="BK142" s="3">
        <f>+IF(AVANCE[[#This Row],[BALCÓN]]=R$2,100%,AVANCE[[#This Row],[BALCÓN]])</f>
        <v>0</v>
      </c>
      <c r="BL142" s="3">
        <f>+IF(AVANCE[[#This Row],[RED ALCANTARILLADO]]=U$2,100%,AVANCE[[#This Row],[RED ALCANTARILLADO]])</f>
        <v>0</v>
      </c>
      <c r="BM142" s="3">
        <f>+IF(AVANCE[[#This Row],[RED DE AGUA]]=V$2,100%,AVANCE[[#This Row],[RED DE AGUA]])</f>
        <v>0</v>
      </c>
      <c r="BN142" s="3">
        <f>+IF(AVANCE[[#This Row],[VENTILACIONES]]=W$2,100%,AVANCE[[#This Row],[VENTILACIONES]])</f>
        <v>0</v>
      </c>
      <c r="BO142" s="3">
        <f>+IF(AVANCE[[#This Row],[TINA]]=X$2,100%,AVANCE[[#This Row],[TINA]])</f>
        <v>0</v>
      </c>
      <c r="BP142" s="3">
        <f>+IF(AVANCE[[#This Row],[WC]]=Y$2,100%,AVANCE[[#This Row],[WC]])</f>
        <v>0</v>
      </c>
      <c r="BQ142" s="3">
        <f>+IF(AVANCE[[#This Row],[LAVAMANOS / LAVAPLATOS / LAVADERO]]=Z$2,100%,AVANCE[[#This Row],[LAVAMANOS / LAVAPLATOS / LAVADERO]])</f>
        <v>0</v>
      </c>
      <c r="BR142" s="3">
        <f>+IF(AVANCE[[#This Row],[CANALIZACIÓN]]=AC$2,100%,AVANCE[[#This Row],[CANALIZACIÓN]])</f>
        <v>0</v>
      </c>
      <c r="BS142" s="3">
        <f>+IF(AVANCE[[#This Row],[CABLEADO]]=AD$2,100%,AVANCE[[#This Row],[CABLEADO]])</f>
        <v>0</v>
      </c>
      <c r="BT142" s="3">
        <f>+IF(AVANCE[[#This Row],[ARTEFACTOS]]=AE$2,100%,AVANCE[[#This Row],[ARTEFACTOS]])</f>
        <v>0</v>
      </c>
      <c r="BU142" s="3">
        <f>+IF(AVANCE[[#This Row],[TABLERO]]=AF$2,100%,AVANCE[[#This Row],[TABLERO]])</f>
        <v>0</v>
      </c>
      <c r="BV142" s="3">
        <f>+IF(AVANCE[[#This Row],[CAJA PAU]]=AG$2,100%,AVANCE[[#This Row],[CAJA PAU]])</f>
        <v>0</v>
      </c>
      <c r="BW142" s="3">
        <f>+IF(AVANCE[[#This Row],[INSTALACION VINILICO]]=AJ$2,100%,AVANCE[[#This Row],[INSTALACION VINILICO]])</f>
        <v>0</v>
      </c>
      <c r="BX142" s="3">
        <f>+IF(AVANCE[[#This Row],[OSB CUBIERTA]]=AK$2,100%,AVANCE[[#This Row],[OSB CUBIERTA]])</f>
        <v>0</v>
      </c>
      <c r="BY142" s="3">
        <f>+IF(AVANCE[[#This Row],[BARANDA BALCON]]=AL$2,100%,AVANCE[[#This Row],[BARANDA BALCON]])</f>
        <v>0</v>
      </c>
      <c r="BZ142" s="3">
        <f>+IF(AVANCE[[#This Row],[OSB EXTERIOR]]=AM$2,100%,AVANCE[[#This Row],[OSB EXTERIOR]])</f>
        <v>0</v>
      </c>
      <c r="CA142" s="3">
        <f>+IF(AVANCE[[#This Row],[SMART PANEL]]=AN$2,100%,AVANCE[[#This Row],[SMART PANEL]])</f>
        <v>0</v>
      </c>
      <c r="CB142" s="3">
        <f>+IF(AVANCE[[#This Row],[PINTURA EXTERIOR]]=AO$2,100%,AVANCE[[#This Row],[PINTURA EXTERIOR]])</f>
        <v>0</v>
      </c>
      <c r="CC142" s="3">
        <f>+IF(AVANCE[[#This Row],[ZOCALOS LOGIA]]=AP$2,100%,AVANCE[[#This Row],[ZOCALOS LOGIA]])</f>
        <v>0</v>
      </c>
      <c r="CD142" s="3">
        <f>+IF(AVANCE[[#This Row],[MOLDURAS]]=AQ$2,100%,AVANCE[[#This Row],[MOLDURAS]])</f>
        <v>0</v>
      </c>
      <c r="CE142" s="3">
        <f>+IF(AVANCE[[#This Row],[PILASTREO]]=AR$2,100%,AVANCE[[#This Row],[PILASTREO]])</f>
        <v>0</v>
      </c>
      <c r="CF142" s="3">
        <f>+IF(AVANCE[[#This Row],[CELOSIAS]]=AS$2,100%,AVANCE[[#This Row],[CELOSIAS]])</f>
        <v>0</v>
      </c>
      <c r="CG142" s="3">
        <f>+IF(AVANCE[[#This Row],[VENTANAS]]=AT$2,100%,AVANCE[[#This Row],[VENTANAS]])</f>
        <v>0</v>
      </c>
      <c r="CH142" s="3">
        <f>+IF(AVANCE[[#This Row],[PUERTAS ACCESO - LOGIA - BANO]]=AU$2,100%,AVANCE[[#This Row],[PUERTAS ACCESO - LOGIA - BANO]])</f>
        <v>0</v>
      </c>
      <c r="CI142" s="3">
        <f>+IF(AVANCE[[#This Row],[CERRADURAS]]=AV$2,100%,AVANCE[[#This Row],[CERRADURAS]])</f>
        <v>0</v>
      </c>
      <c r="CJ142" s="3">
        <f>+IF(AVANCE[[#This Row],[REVESTIMIENTO INTERIOR ZONA SECA]]=AW$2,100%,AVANCE[[#This Row],[REVESTIMIENTO INTERIOR ZONA SECA]])</f>
        <v>0</v>
      </c>
      <c r="CK142" s="3">
        <f>+IF(AVANCE[[#This Row],[REVESTIMIENTO INTERIOR ZONAS HUMEDAS]]=AX$2,100%,AVANCE[[#This Row],[REVESTIMIENTO INTERIOR ZONAS HUMEDAS]])</f>
        <v>0</v>
      </c>
      <c r="CL142" s="3">
        <f>+IF(AVANCE[[#This Row],[MEMBRANA CIELO]]=AY$2,100%,AVANCE[[#This Row],[MEMBRANA CIELO]])</f>
        <v>0</v>
      </c>
      <c r="CM142" s="3">
        <f>+IF(AVANCE[[#This Row],[LIMPIEZA FINAL]]=AZ$2,100%,AVANCE[[#This Row],[LIMPIEZA FINAL]])</f>
        <v>0</v>
      </c>
      <c r="CN142" s="3">
        <f>+IF(AVANCE[[#This Row],[PUERTAS DORMITORIO]]=BA$2,100%,AVANCE[[#This Row],[PUERTAS DORMITORIO]])</f>
        <v>0</v>
      </c>
      <c r="CO142" s="3">
        <f>+IF(AVANCE[[#This Row],[REVESTIMIENTO INTERIOR BANO]]=BB$2,100%,AVANCE[[#This Row],[REVESTIMIENTO INTERIOR BANO]])</f>
        <v>0</v>
      </c>
      <c r="CP142" s="3">
        <f>+IF(AVANCE[[#This Row],[MUEBLE LAVAPLATOS]]=BC$2,100%,AVANCE[[#This Row],[MUEBLE LAVAPLATOS]])</f>
        <v>0</v>
      </c>
      <c r="CQ142" s="3">
        <f>+IF(AVANCE[[#This Row],[IMPERMEABILIZACION BANO - COCINA LOGIA]]=BD$2,100%,AVANCE[[#This Row],[IMPERMEABILIZACION BANO - COCINA LOGIA]])</f>
        <v>0</v>
      </c>
      <c r="CR142" s="40">
        <f ca="1">+IF(AVANCE[[#This Row],[ESTADO MODULO]]="PENDIENTE",(TODAY()-AVANCE[[#This Row],[FECHA TERMINO  PLANIFICADO]]),0)</f>
        <v>0</v>
      </c>
      <c r="CS142" s="42" t="str" cm="1">
        <f t="array" ref="CS142">_xlfn.TEXTJOIN(" | ",TRUE,IF(SUMPRODUCT((BF142:CQ142&lt;1)*(PARTIDAS!$I$2:$AT$2="OBRA GRUESA"))&gt;0,"OBRA GRUESA: "&amp;_xlfn.TEXTJOIN(", ",TRUE,IF((BF142:CQ142&lt;1)*(PARTIDAS!$I$2:$AT$2="OBRA GRUESA"),PARTIDAS!$I$1:$AT$1,"")),""),IF(SUMPRODUCT((BF142:CQ142&lt;1)*(PARTIDAS!$I$2:$AT$2="SANITARIOS"))&gt;0,"SANITARIOS: "&amp;_xlfn.TEXTJOIN(", ",TRUE,IF((BF142:CQ142&lt;1)*(PARTIDAS!$I$2:$AT$2="SANITARIOS"),PARTIDAS!$I$1:$AT$1,"")),""),IF(SUMPRODUCT((BF142:CQ142&lt;1)*(PARTIDAS!$I$2:$AT$2="ELÉCTRICO"))&gt;0,"ELÉCTRICO: "&amp;_xlfn.TEXTJOIN(", ",TRUE,IF((BF142:CQ142&lt;1)*(PARTIDAS!$I$2:$AT$2="ELÉCTRICO"),PARTIDAS!$I$1:$AT$1,"")),""),IF(SUMPRODUCT((BF142:CQ142&lt;1)*(PARTIDAS!$I$2:$AT$2="TERMINACIONES"))&gt;0,"TERMINACIONES: "&amp;_xlfn.TEXTJOIN(", ",TRUE,IF((BF142:CQ142&lt;1)*(PARTIDAS!$I$2:$AT$2="TERMINACIONES"),PARTIDAS!$I$1:$AT$1,"")),""))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2" s="45" t="str" cm="1">
        <f t="array" ref="CT142">_xlfn.TEXTJOIN(", ",TRUE,IF(SUMPRODUCT((BF142:CQ142&lt;1)*(PARTIDAS!$I$2:$AT$2="OBRA GRUESA"))&gt;0,"OBRA GRUESA",""),IF(SUMPRODUCT((BF142:CQ142&lt;1)*(PARTIDAS!$I$2:$AT$2="SANITARIOS"))&gt;0,"SANITARIOS",""),IF(SUMPRODUCT((BF142:CQ142&lt;1)*(PARTIDAS!$I$2:$AT$2="ELÉCTRICO"))&gt;0,"ELÉCTRICO",""),IF(SUMPRODUCT((BF142:CQ142&lt;1)*(PARTIDAS!$I$2:$AT$2="TERMINACIONES"))&gt;0,"TERMINACIONES",""))</f>
        <v>OBRA GRUESA, SANITARIOS, ELÉCTRICO, TERMINACIONES</v>
      </c>
      <c r="CU142" s="46" cm="1">
        <f t="array" ref="CU142">SUMPRODUCT(--(BF142:CQ142&lt;1))</f>
        <v>38</v>
      </c>
    </row>
    <row r="143" spans="1:99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46181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 t="str">
        <f>+IF(AVANCE[[#This Row],[% AVANCE]]=100%,"MODULO TERMINADO",IF(AVANCE[[#This Row],[FECHA INICIO REAL]]="","MODULO NO INICIADO","PENDIENTE"))</f>
        <v>MODULO NO INICIADO</v>
      </c>
      <c r="BF143" s="3">
        <f>+IF(AVANCE[[#This Row],[VENTANAS]]=8.10810810810811%,100%,AVANCE[[#This Row],[VENTANAS]])</f>
        <v>0</v>
      </c>
      <c r="BG143" s="3">
        <f>+IF(AVANCE[[#This Row],[PISO]]=N$2,100%,AVANCE[[#This Row],[PISO]])</f>
        <v>0</v>
      </c>
      <c r="BH143" s="3">
        <f>+IF(AVANCE[[#This Row],[TABIQUES]]=O$2,100%,AVANCE[[#This Row],[TABIQUES]])</f>
        <v>0</v>
      </c>
      <c r="BI143" s="3">
        <f>+IF(AVANCE[[#This Row],[MUROS]]=P$2,100%,AVANCE[[#This Row],[MUROS]])</f>
        <v>0</v>
      </c>
      <c r="BJ143" s="3">
        <f>+IF(AVANCE[[#This Row],[CIELO]]=Q$2,100%,AVANCE[[#This Row],[CIELO]])</f>
        <v>0</v>
      </c>
      <c r="BK143" s="3">
        <f>+IF(AVANCE[[#This Row],[BALCÓN]]=R$2,100%,AVANCE[[#This Row],[BALCÓN]])</f>
        <v>0</v>
      </c>
      <c r="BL143" s="3">
        <f>+IF(AVANCE[[#This Row],[RED ALCANTARILLADO]]=U$2,100%,AVANCE[[#This Row],[RED ALCANTARILLADO]])</f>
        <v>0</v>
      </c>
      <c r="BM143" s="3">
        <f>+IF(AVANCE[[#This Row],[RED DE AGUA]]=V$2,100%,AVANCE[[#This Row],[RED DE AGUA]])</f>
        <v>0</v>
      </c>
      <c r="BN143" s="3">
        <f>+IF(AVANCE[[#This Row],[VENTILACIONES]]=W$2,100%,AVANCE[[#This Row],[VENTILACIONES]])</f>
        <v>0</v>
      </c>
      <c r="BO143" s="3">
        <f>+IF(AVANCE[[#This Row],[TINA]]=X$2,100%,AVANCE[[#This Row],[TINA]])</f>
        <v>0</v>
      </c>
      <c r="BP143" s="3">
        <f>+IF(AVANCE[[#This Row],[WC]]=Y$2,100%,AVANCE[[#This Row],[WC]])</f>
        <v>0</v>
      </c>
      <c r="BQ143" s="3">
        <f>+IF(AVANCE[[#This Row],[LAVAMANOS / LAVAPLATOS / LAVADERO]]=Z$2,100%,AVANCE[[#This Row],[LAVAMANOS / LAVAPLATOS / LAVADERO]])</f>
        <v>0</v>
      </c>
      <c r="BR143" s="3">
        <f>+IF(AVANCE[[#This Row],[CANALIZACIÓN]]=AC$2,100%,AVANCE[[#This Row],[CANALIZACIÓN]])</f>
        <v>0</v>
      </c>
      <c r="BS143" s="3">
        <f>+IF(AVANCE[[#This Row],[CABLEADO]]=AD$2,100%,AVANCE[[#This Row],[CABLEADO]])</f>
        <v>0</v>
      </c>
      <c r="BT143" s="3">
        <f>+IF(AVANCE[[#This Row],[ARTEFACTOS]]=AE$2,100%,AVANCE[[#This Row],[ARTEFACTOS]])</f>
        <v>0</v>
      </c>
      <c r="BU143" s="3">
        <f>+IF(AVANCE[[#This Row],[TABLERO]]=AF$2,100%,AVANCE[[#This Row],[TABLERO]])</f>
        <v>0</v>
      </c>
      <c r="BV143" s="3">
        <f>+IF(AVANCE[[#This Row],[CAJA PAU]]=AG$2,100%,AVANCE[[#This Row],[CAJA PAU]])</f>
        <v>0</v>
      </c>
      <c r="BW143" s="3">
        <f>+IF(AVANCE[[#This Row],[INSTALACION VINILICO]]=AJ$2,100%,AVANCE[[#This Row],[INSTALACION VINILICO]])</f>
        <v>0</v>
      </c>
      <c r="BX143" s="3">
        <f>+IF(AVANCE[[#This Row],[OSB CUBIERTA]]=AK$2,100%,AVANCE[[#This Row],[OSB CUBIERTA]])</f>
        <v>0</v>
      </c>
      <c r="BY143" s="3">
        <f>+IF(AVANCE[[#This Row],[BARANDA BALCON]]=AL$2,100%,AVANCE[[#This Row],[BARANDA BALCON]])</f>
        <v>0</v>
      </c>
      <c r="BZ143" s="3">
        <f>+IF(AVANCE[[#This Row],[OSB EXTERIOR]]=AM$2,100%,AVANCE[[#This Row],[OSB EXTERIOR]])</f>
        <v>0</v>
      </c>
      <c r="CA143" s="3">
        <f>+IF(AVANCE[[#This Row],[SMART PANEL]]=AN$2,100%,AVANCE[[#This Row],[SMART PANEL]])</f>
        <v>0</v>
      </c>
      <c r="CB143" s="3">
        <f>+IF(AVANCE[[#This Row],[PINTURA EXTERIOR]]=AO$2,100%,AVANCE[[#This Row],[PINTURA EXTERIOR]])</f>
        <v>0</v>
      </c>
      <c r="CC143" s="3">
        <f>+IF(AVANCE[[#This Row],[ZOCALOS LOGIA]]=AP$2,100%,AVANCE[[#This Row],[ZOCALOS LOGIA]])</f>
        <v>0</v>
      </c>
      <c r="CD143" s="3">
        <f>+IF(AVANCE[[#This Row],[MOLDURAS]]=AQ$2,100%,AVANCE[[#This Row],[MOLDURAS]])</f>
        <v>0</v>
      </c>
      <c r="CE143" s="3">
        <f>+IF(AVANCE[[#This Row],[PILASTREO]]=AR$2,100%,AVANCE[[#This Row],[PILASTREO]])</f>
        <v>0</v>
      </c>
      <c r="CF143" s="3">
        <f>+IF(AVANCE[[#This Row],[CELOSIAS]]=AS$2,100%,AVANCE[[#This Row],[CELOSIAS]])</f>
        <v>0</v>
      </c>
      <c r="CG143" s="3">
        <f>+IF(AVANCE[[#This Row],[VENTANAS]]=AT$2,100%,AVANCE[[#This Row],[VENTANAS]])</f>
        <v>0</v>
      </c>
      <c r="CH143" s="3">
        <f>+IF(AVANCE[[#This Row],[PUERTAS ACCESO - LOGIA - BANO]]=AU$2,100%,AVANCE[[#This Row],[PUERTAS ACCESO - LOGIA - BANO]])</f>
        <v>0</v>
      </c>
      <c r="CI143" s="3">
        <f>+IF(AVANCE[[#This Row],[CERRADURAS]]=AV$2,100%,AVANCE[[#This Row],[CERRADURAS]])</f>
        <v>0</v>
      </c>
      <c r="CJ143" s="3">
        <f>+IF(AVANCE[[#This Row],[REVESTIMIENTO INTERIOR ZONA SECA]]=AW$2,100%,AVANCE[[#This Row],[REVESTIMIENTO INTERIOR ZONA SECA]])</f>
        <v>0</v>
      </c>
      <c r="CK143" s="3">
        <f>+IF(AVANCE[[#This Row],[REVESTIMIENTO INTERIOR ZONAS HUMEDAS]]=AX$2,100%,AVANCE[[#This Row],[REVESTIMIENTO INTERIOR ZONAS HUMEDAS]])</f>
        <v>0</v>
      </c>
      <c r="CL143" s="3">
        <f>+IF(AVANCE[[#This Row],[MEMBRANA CIELO]]=AY$2,100%,AVANCE[[#This Row],[MEMBRANA CIELO]])</f>
        <v>0</v>
      </c>
      <c r="CM143" s="3">
        <f>+IF(AVANCE[[#This Row],[LIMPIEZA FINAL]]=AZ$2,100%,AVANCE[[#This Row],[LIMPIEZA FINAL]])</f>
        <v>0</v>
      </c>
      <c r="CN143" s="3">
        <f>+IF(AVANCE[[#This Row],[PUERTAS DORMITORIO]]=BA$2,100%,AVANCE[[#This Row],[PUERTAS DORMITORIO]])</f>
        <v>0</v>
      </c>
      <c r="CO143" s="3">
        <f>+IF(AVANCE[[#This Row],[REVESTIMIENTO INTERIOR BANO]]=BB$2,100%,AVANCE[[#This Row],[REVESTIMIENTO INTERIOR BANO]])</f>
        <v>0</v>
      </c>
      <c r="CP143" s="3">
        <f>+IF(AVANCE[[#This Row],[MUEBLE LAVAPLATOS]]=BC$2,100%,AVANCE[[#This Row],[MUEBLE LAVAPLATOS]])</f>
        <v>0</v>
      </c>
      <c r="CQ143" s="3">
        <f>+IF(AVANCE[[#This Row],[IMPERMEABILIZACION BANO - COCINA LOGIA]]=BD$2,100%,AVANCE[[#This Row],[IMPERMEABILIZACION BANO - COCINA LOGIA]])</f>
        <v>0</v>
      </c>
      <c r="CR143" s="40">
        <f ca="1">+IF(AVANCE[[#This Row],[ESTADO MODULO]]="PENDIENTE",(TODAY()-AVANCE[[#This Row],[FECHA TERMINO  PLANIFICADO]]),0)</f>
        <v>0</v>
      </c>
      <c r="CS143" s="42" t="str" cm="1">
        <f t="array" ref="CS143">_xlfn.TEXTJOIN(" | ",TRUE,IF(SUMPRODUCT((BF143:CQ143&lt;1)*(PARTIDAS!$I$2:$AT$2="OBRA GRUESA"))&gt;0,"OBRA GRUESA: "&amp;_xlfn.TEXTJOIN(", ",TRUE,IF((BF143:CQ143&lt;1)*(PARTIDAS!$I$2:$AT$2="OBRA GRUESA"),PARTIDAS!$I$1:$AT$1,"")),""),IF(SUMPRODUCT((BF143:CQ143&lt;1)*(PARTIDAS!$I$2:$AT$2="SANITARIOS"))&gt;0,"SANITARIOS: "&amp;_xlfn.TEXTJOIN(", ",TRUE,IF((BF143:CQ143&lt;1)*(PARTIDAS!$I$2:$AT$2="SANITARIOS"),PARTIDAS!$I$1:$AT$1,"")),""),IF(SUMPRODUCT((BF143:CQ143&lt;1)*(PARTIDAS!$I$2:$AT$2="ELÉCTRICO"))&gt;0,"ELÉCTRICO: "&amp;_xlfn.TEXTJOIN(", ",TRUE,IF((BF143:CQ143&lt;1)*(PARTIDAS!$I$2:$AT$2="ELÉCTRICO"),PARTIDAS!$I$1:$AT$1,"")),""),IF(SUMPRODUCT((BF143:CQ143&lt;1)*(PARTIDAS!$I$2:$AT$2="TERMINACIONES"))&gt;0,"TERMINACIONES: "&amp;_xlfn.TEXTJOIN(", ",TRUE,IF((BF143:CQ143&lt;1)*(PARTIDAS!$I$2:$AT$2="TERMINACIONES"),PARTIDAS!$I$1:$AT$1,"")),""))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3" s="45" t="str" cm="1">
        <f t="array" ref="CT143">_xlfn.TEXTJOIN(", ",TRUE,IF(SUMPRODUCT((BF143:CQ143&lt;1)*(PARTIDAS!$I$2:$AT$2="OBRA GRUESA"))&gt;0,"OBRA GRUESA",""),IF(SUMPRODUCT((BF143:CQ143&lt;1)*(PARTIDAS!$I$2:$AT$2="SANITARIOS"))&gt;0,"SANITARIOS",""),IF(SUMPRODUCT((BF143:CQ143&lt;1)*(PARTIDAS!$I$2:$AT$2="ELÉCTRICO"))&gt;0,"ELÉCTRICO",""),IF(SUMPRODUCT((BF143:CQ143&lt;1)*(PARTIDAS!$I$2:$AT$2="TERMINACIONES"))&gt;0,"TERMINACIONES",""))</f>
        <v>OBRA GRUESA, SANITARIOS, ELÉCTRICO, TERMINACIONES</v>
      </c>
      <c r="CU143" s="46" cm="1">
        <f t="array" ref="CU143">SUMPRODUCT(--(BF143:CQ143&lt;1))</f>
        <v>38</v>
      </c>
    </row>
    <row r="144" spans="1:99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46181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 t="str">
        <f>+IF(AVANCE[[#This Row],[% AVANCE]]=100%,"MODULO TERMINADO",IF(AVANCE[[#This Row],[FECHA INICIO REAL]]="","MODULO NO INICIADO","PENDIENTE"))</f>
        <v>MODULO NO INICIADO</v>
      </c>
      <c r="BF144" s="3">
        <f>+IF(AVANCE[[#This Row],[VENTANAS]]=8.10810810810811%,100%,AVANCE[[#This Row],[VENTANAS]])</f>
        <v>0</v>
      </c>
      <c r="BG144" s="3">
        <f>+IF(AVANCE[[#This Row],[PISO]]=N$2,100%,AVANCE[[#This Row],[PISO]])</f>
        <v>0</v>
      </c>
      <c r="BH144" s="3">
        <f>+IF(AVANCE[[#This Row],[TABIQUES]]=O$2,100%,AVANCE[[#This Row],[TABIQUES]])</f>
        <v>0</v>
      </c>
      <c r="BI144" s="3">
        <f>+IF(AVANCE[[#This Row],[MUROS]]=P$2,100%,AVANCE[[#This Row],[MUROS]])</f>
        <v>0</v>
      </c>
      <c r="BJ144" s="3">
        <f>+IF(AVANCE[[#This Row],[CIELO]]=Q$2,100%,AVANCE[[#This Row],[CIELO]])</f>
        <v>0</v>
      </c>
      <c r="BK144" s="3">
        <f>+IF(AVANCE[[#This Row],[BALCÓN]]=R$2,100%,AVANCE[[#This Row],[BALCÓN]])</f>
        <v>0</v>
      </c>
      <c r="BL144" s="3">
        <f>+IF(AVANCE[[#This Row],[RED ALCANTARILLADO]]=U$2,100%,AVANCE[[#This Row],[RED ALCANTARILLADO]])</f>
        <v>0</v>
      </c>
      <c r="BM144" s="3">
        <f>+IF(AVANCE[[#This Row],[RED DE AGUA]]=V$2,100%,AVANCE[[#This Row],[RED DE AGUA]])</f>
        <v>0</v>
      </c>
      <c r="BN144" s="3">
        <f>+IF(AVANCE[[#This Row],[VENTILACIONES]]=W$2,100%,AVANCE[[#This Row],[VENTILACIONES]])</f>
        <v>0</v>
      </c>
      <c r="BO144" s="3">
        <f>+IF(AVANCE[[#This Row],[TINA]]=X$2,100%,AVANCE[[#This Row],[TINA]])</f>
        <v>0</v>
      </c>
      <c r="BP144" s="3">
        <f>+IF(AVANCE[[#This Row],[WC]]=Y$2,100%,AVANCE[[#This Row],[WC]])</f>
        <v>0</v>
      </c>
      <c r="BQ144" s="3">
        <f>+IF(AVANCE[[#This Row],[LAVAMANOS / LAVAPLATOS / LAVADERO]]=Z$2,100%,AVANCE[[#This Row],[LAVAMANOS / LAVAPLATOS / LAVADERO]])</f>
        <v>0</v>
      </c>
      <c r="BR144" s="3">
        <f>+IF(AVANCE[[#This Row],[CANALIZACIÓN]]=AC$2,100%,AVANCE[[#This Row],[CANALIZACIÓN]])</f>
        <v>0</v>
      </c>
      <c r="BS144" s="3">
        <f>+IF(AVANCE[[#This Row],[CABLEADO]]=AD$2,100%,AVANCE[[#This Row],[CABLEADO]])</f>
        <v>0</v>
      </c>
      <c r="BT144" s="3">
        <f>+IF(AVANCE[[#This Row],[ARTEFACTOS]]=AE$2,100%,AVANCE[[#This Row],[ARTEFACTOS]])</f>
        <v>0</v>
      </c>
      <c r="BU144" s="3">
        <f>+IF(AVANCE[[#This Row],[TABLERO]]=AF$2,100%,AVANCE[[#This Row],[TABLERO]])</f>
        <v>0</v>
      </c>
      <c r="BV144" s="3">
        <f>+IF(AVANCE[[#This Row],[CAJA PAU]]=AG$2,100%,AVANCE[[#This Row],[CAJA PAU]])</f>
        <v>0</v>
      </c>
      <c r="BW144" s="3">
        <f>+IF(AVANCE[[#This Row],[INSTALACION VINILICO]]=AJ$2,100%,AVANCE[[#This Row],[INSTALACION VINILICO]])</f>
        <v>0</v>
      </c>
      <c r="BX144" s="3">
        <f>+IF(AVANCE[[#This Row],[OSB CUBIERTA]]=AK$2,100%,AVANCE[[#This Row],[OSB CUBIERTA]])</f>
        <v>0</v>
      </c>
      <c r="BY144" s="3">
        <f>+IF(AVANCE[[#This Row],[BARANDA BALCON]]=AL$2,100%,AVANCE[[#This Row],[BARANDA BALCON]])</f>
        <v>0</v>
      </c>
      <c r="BZ144" s="3">
        <f>+IF(AVANCE[[#This Row],[OSB EXTERIOR]]=AM$2,100%,AVANCE[[#This Row],[OSB EXTERIOR]])</f>
        <v>0</v>
      </c>
      <c r="CA144" s="3">
        <f>+IF(AVANCE[[#This Row],[SMART PANEL]]=AN$2,100%,AVANCE[[#This Row],[SMART PANEL]])</f>
        <v>0</v>
      </c>
      <c r="CB144" s="3">
        <f>+IF(AVANCE[[#This Row],[PINTURA EXTERIOR]]=AO$2,100%,AVANCE[[#This Row],[PINTURA EXTERIOR]])</f>
        <v>0</v>
      </c>
      <c r="CC144" s="3">
        <f>+IF(AVANCE[[#This Row],[ZOCALOS LOGIA]]=AP$2,100%,AVANCE[[#This Row],[ZOCALOS LOGIA]])</f>
        <v>0</v>
      </c>
      <c r="CD144" s="3">
        <f>+IF(AVANCE[[#This Row],[MOLDURAS]]=AQ$2,100%,AVANCE[[#This Row],[MOLDURAS]])</f>
        <v>0</v>
      </c>
      <c r="CE144" s="3">
        <f>+IF(AVANCE[[#This Row],[PILASTREO]]=AR$2,100%,AVANCE[[#This Row],[PILASTREO]])</f>
        <v>0</v>
      </c>
      <c r="CF144" s="3">
        <f>+IF(AVANCE[[#This Row],[CELOSIAS]]=AS$2,100%,AVANCE[[#This Row],[CELOSIAS]])</f>
        <v>0</v>
      </c>
      <c r="CG144" s="3">
        <f>+IF(AVANCE[[#This Row],[VENTANAS]]=AT$2,100%,AVANCE[[#This Row],[VENTANAS]])</f>
        <v>0</v>
      </c>
      <c r="CH144" s="3">
        <f>+IF(AVANCE[[#This Row],[PUERTAS ACCESO - LOGIA - BANO]]=AU$2,100%,AVANCE[[#This Row],[PUERTAS ACCESO - LOGIA - BANO]])</f>
        <v>0</v>
      </c>
      <c r="CI144" s="3">
        <f>+IF(AVANCE[[#This Row],[CERRADURAS]]=AV$2,100%,AVANCE[[#This Row],[CERRADURAS]])</f>
        <v>0</v>
      </c>
      <c r="CJ144" s="3">
        <f>+IF(AVANCE[[#This Row],[REVESTIMIENTO INTERIOR ZONA SECA]]=AW$2,100%,AVANCE[[#This Row],[REVESTIMIENTO INTERIOR ZONA SECA]])</f>
        <v>0</v>
      </c>
      <c r="CK144" s="3">
        <f>+IF(AVANCE[[#This Row],[REVESTIMIENTO INTERIOR ZONAS HUMEDAS]]=AX$2,100%,AVANCE[[#This Row],[REVESTIMIENTO INTERIOR ZONAS HUMEDAS]])</f>
        <v>0</v>
      </c>
      <c r="CL144" s="3">
        <f>+IF(AVANCE[[#This Row],[MEMBRANA CIELO]]=AY$2,100%,AVANCE[[#This Row],[MEMBRANA CIELO]])</f>
        <v>0</v>
      </c>
      <c r="CM144" s="3">
        <f>+IF(AVANCE[[#This Row],[LIMPIEZA FINAL]]=AZ$2,100%,AVANCE[[#This Row],[LIMPIEZA FINAL]])</f>
        <v>0</v>
      </c>
      <c r="CN144" s="3">
        <f>+IF(AVANCE[[#This Row],[PUERTAS DORMITORIO]]=BA$2,100%,AVANCE[[#This Row],[PUERTAS DORMITORIO]])</f>
        <v>0</v>
      </c>
      <c r="CO144" s="3">
        <f>+IF(AVANCE[[#This Row],[REVESTIMIENTO INTERIOR BANO]]=BB$2,100%,AVANCE[[#This Row],[REVESTIMIENTO INTERIOR BANO]])</f>
        <v>0</v>
      </c>
      <c r="CP144" s="3">
        <f>+IF(AVANCE[[#This Row],[MUEBLE LAVAPLATOS]]=BC$2,100%,AVANCE[[#This Row],[MUEBLE LAVAPLATOS]])</f>
        <v>0</v>
      </c>
      <c r="CQ144" s="3">
        <f>+IF(AVANCE[[#This Row],[IMPERMEABILIZACION BANO - COCINA LOGIA]]=BD$2,100%,AVANCE[[#This Row],[IMPERMEABILIZACION BANO - COCINA LOGIA]])</f>
        <v>0</v>
      </c>
      <c r="CR144" s="40">
        <f ca="1">+IF(AVANCE[[#This Row],[ESTADO MODULO]]="PENDIENTE",(TODAY()-AVANCE[[#This Row],[FECHA TERMINO  PLANIFICADO]]),0)</f>
        <v>0</v>
      </c>
      <c r="CS144" s="42" t="str" cm="1">
        <f t="array" ref="CS144">_xlfn.TEXTJOIN(" | ",TRUE,IF(SUMPRODUCT((BF144:CQ144&lt;1)*(PARTIDAS!$I$2:$AT$2="OBRA GRUESA"))&gt;0,"OBRA GRUESA: "&amp;_xlfn.TEXTJOIN(", ",TRUE,IF((BF144:CQ144&lt;1)*(PARTIDAS!$I$2:$AT$2="OBRA GRUESA"),PARTIDAS!$I$1:$AT$1,"")),""),IF(SUMPRODUCT((BF144:CQ144&lt;1)*(PARTIDAS!$I$2:$AT$2="SANITARIOS"))&gt;0,"SANITARIOS: "&amp;_xlfn.TEXTJOIN(", ",TRUE,IF((BF144:CQ144&lt;1)*(PARTIDAS!$I$2:$AT$2="SANITARIOS"),PARTIDAS!$I$1:$AT$1,"")),""),IF(SUMPRODUCT((BF144:CQ144&lt;1)*(PARTIDAS!$I$2:$AT$2="ELÉCTRICO"))&gt;0,"ELÉCTRICO: "&amp;_xlfn.TEXTJOIN(", ",TRUE,IF((BF144:CQ144&lt;1)*(PARTIDAS!$I$2:$AT$2="ELÉCTRICO"),PARTIDAS!$I$1:$AT$1,"")),""),IF(SUMPRODUCT((BF144:CQ144&lt;1)*(PARTIDAS!$I$2:$AT$2="TERMINACIONES"))&gt;0,"TERMINACIONES: "&amp;_xlfn.TEXTJOIN(", ",TRUE,IF((BF144:CQ144&lt;1)*(PARTIDAS!$I$2:$AT$2="TERMINACIONES"),PARTIDAS!$I$1:$AT$1,"")),""))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4" s="45" t="str" cm="1">
        <f t="array" ref="CT144">_xlfn.TEXTJOIN(", ",TRUE,IF(SUMPRODUCT((BF144:CQ144&lt;1)*(PARTIDAS!$I$2:$AT$2="OBRA GRUESA"))&gt;0,"OBRA GRUESA",""),IF(SUMPRODUCT((BF144:CQ144&lt;1)*(PARTIDAS!$I$2:$AT$2="SANITARIOS"))&gt;0,"SANITARIOS",""),IF(SUMPRODUCT((BF144:CQ144&lt;1)*(PARTIDAS!$I$2:$AT$2="ELÉCTRICO"))&gt;0,"ELÉCTRICO",""),IF(SUMPRODUCT((BF144:CQ144&lt;1)*(PARTIDAS!$I$2:$AT$2="TERMINACIONES"))&gt;0,"TERMINACIONES",""))</f>
        <v>OBRA GRUESA, SANITARIOS, ELÉCTRICO, TERMINACIONES</v>
      </c>
      <c r="CU144" s="46" cm="1">
        <f t="array" ref="CU144">SUMPRODUCT(--(BF144:CQ144&lt;1))</f>
        <v>38</v>
      </c>
    </row>
    <row r="145" spans="1:99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46181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 t="str">
        <f>+IF(AVANCE[[#This Row],[% AVANCE]]=100%,"MODULO TERMINADO",IF(AVANCE[[#This Row],[FECHA INICIO REAL]]="","MODULO NO INICIADO","PENDIENTE"))</f>
        <v>MODULO NO INICIADO</v>
      </c>
      <c r="BF145" s="3">
        <f>+IF(AVANCE[[#This Row],[VENTANAS]]=8.10810810810811%,100%,AVANCE[[#This Row],[VENTANAS]])</f>
        <v>0</v>
      </c>
      <c r="BG145" s="3">
        <f>+IF(AVANCE[[#This Row],[PISO]]=N$2,100%,AVANCE[[#This Row],[PISO]])</f>
        <v>0</v>
      </c>
      <c r="BH145" s="3">
        <f>+IF(AVANCE[[#This Row],[TABIQUES]]=O$2,100%,AVANCE[[#This Row],[TABIQUES]])</f>
        <v>0</v>
      </c>
      <c r="BI145" s="3">
        <f>+IF(AVANCE[[#This Row],[MUROS]]=P$2,100%,AVANCE[[#This Row],[MUROS]])</f>
        <v>0</v>
      </c>
      <c r="BJ145" s="3">
        <f>+IF(AVANCE[[#This Row],[CIELO]]=Q$2,100%,AVANCE[[#This Row],[CIELO]])</f>
        <v>0</v>
      </c>
      <c r="BK145" s="3">
        <f>+IF(AVANCE[[#This Row],[BALCÓN]]=R$2,100%,AVANCE[[#This Row],[BALCÓN]])</f>
        <v>0</v>
      </c>
      <c r="BL145" s="3">
        <f>+IF(AVANCE[[#This Row],[RED ALCANTARILLADO]]=U$2,100%,AVANCE[[#This Row],[RED ALCANTARILLADO]])</f>
        <v>0</v>
      </c>
      <c r="BM145" s="3">
        <f>+IF(AVANCE[[#This Row],[RED DE AGUA]]=V$2,100%,AVANCE[[#This Row],[RED DE AGUA]])</f>
        <v>0</v>
      </c>
      <c r="BN145" s="3">
        <f>+IF(AVANCE[[#This Row],[VENTILACIONES]]=W$2,100%,AVANCE[[#This Row],[VENTILACIONES]])</f>
        <v>0</v>
      </c>
      <c r="BO145" s="3">
        <f>+IF(AVANCE[[#This Row],[TINA]]=X$2,100%,AVANCE[[#This Row],[TINA]])</f>
        <v>0</v>
      </c>
      <c r="BP145" s="3">
        <f>+IF(AVANCE[[#This Row],[WC]]=Y$2,100%,AVANCE[[#This Row],[WC]])</f>
        <v>0</v>
      </c>
      <c r="BQ145" s="3">
        <f>+IF(AVANCE[[#This Row],[LAVAMANOS / LAVAPLATOS / LAVADERO]]=Z$2,100%,AVANCE[[#This Row],[LAVAMANOS / LAVAPLATOS / LAVADERO]])</f>
        <v>0</v>
      </c>
      <c r="BR145" s="3">
        <f>+IF(AVANCE[[#This Row],[CANALIZACIÓN]]=AC$2,100%,AVANCE[[#This Row],[CANALIZACIÓN]])</f>
        <v>0</v>
      </c>
      <c r="BS145" s="3">
        <f>+IF(AVANCE[[#This Row],[CABLEADO]]=AD$2,100%,AVANCE[[#This Row],[CABLEADO]])</f>
        <v>0</v>
      </c>
      <c r="BT145" s="3">
        <f>+IF(AVANCE[[#This Row],[ARTEFACTOS]]=AE$2,100%,AVANCE[[#This Row],[ARTEFACTOS]])</f>
        <v>0</v>
      </c>
      <c r="BU145" s="3">
        <f>+IF(AVANCE[[#This Row],[TABLERO]]=AF$2,100%,AVANCE[[#This Row],[TABLERO]])</f>
        <v>0</v>
      </c>
      <c r="BV145" s="3">
        <f>+IF(AVANCE[[#This Row],[CAJA PAU]]=AG$2,100%,AVANCE[[#This Row],[CAJA PAU]])</f>
        <v>0</v>
      </c>
      <c r="BW145" s="3">
        <f>+IF(AVANCE[[#This Row],[INSTALACION VINILICO]]=AJ$2,100%,AVANCE[[#This Row],[INSTALACION VINILICO]])</f>
        <v>0</v>
      </c>
      <c r="BX145" s="3">
        <f>+IF(AVANCE[[#This Row],[OSB CUBIERTA]]=AK$2,100%,AVANCE[[#This Row],[OSB CUBIERTA]])</f>
        <v>0</v>
      </c>
      <c r="BY145" s="3">
        <f>+IF(AVANCE[[#This Row],[BARANDA BALCON]]=AL$2,100%,AVANCE[[#This Row],[BARANDA BALCON]])</f>
        <v>0</v>
      </c>
      <c r="BZ145" s="3">
        <f>+IF(AVANCE[[#This Row],[OSB EXTERIOR]]=AM$2,100%,AVANCE[[#This Row],[OSB EXTERIOR]])</f>
        <v>0</v>
      </c>
      <c r="CA145" s="3">
        <f>+IF(AVANCE[[#This Row],[SMART PANEL]]=AN$2,100%,AVANCE[[#This Row],[SMART PANEL]])</f>
        <v>0</v>
      </c>
      <c r="CB145" s="3">
        <f>+IF(AVANCE[[#This Row],[PINTURA EXTERIOR]]=AO$2,100%,AVANCE[[#This Row],[PINTURA EXTERIOR]])</f>
        <v>0</v>
      </c>
      <c r="CC145" s="3">
        <f>+IF(AVANCE[[#This Row],[ZOCALOS LOGIA]]=AP$2,100%,AVANCE[[#This Row],[ZOCALOS LOGIA]])</f>
        <v>0</v>
      </c>
      <c r="CD145" s="3">
        <f>+IF(AVANCE[[#This Row],[MOLDURAS]]=AQ$2,100%,AVANCE[[#This Row],[MOLDURAS]])</f>
        <v>0</v>
      </c>
      <c r="CE145" s="3">
        <f>+IF(AVANCE[[#This Row],[PILASTREO]]=AR$2,100%,AVANCE[[#This Row],[PILASTREO]])</f>
        <v>0</v>
      </c>
      <c r="CF145" s="3">
        <f>+IF(AVANCE[[#This Row],[CELOSIAS]]=AS$2,100%,AVANCE[[#This Row],[CELOSIAS]])</f>
        <v>0</v>
      </c>
      <c r="CG145" s="3">
        <f>+IF(AVANCE[[#This Row],[VENTANAS]]=AT$2,100%,AVANCE[[#This Row],[VENTANAS]])</f>
        <v>0</v>
      </c>
      <c r="CH145" s="3">
        <f>+IF(AVANCE[[#This Row],[PUERTAS ACCESO - LOGIA - BANO]]=AU$2,100%,AVANCE[[#This Row],[PUERTAS ACCESO - LOGIA - BANO]])</f>
        <v>0</v>
      </c>
      <c r="CI145" s="3">
        <f>+IF(AVANCE[[#This Row],[CERRADURAS]]=AV$2,100%,AVANCE[[#This Row],[CERRADURAS]])</f>
        <v>0</v>
      </c>
      <c r="CJ145" s="3">
        <f>+IF(AVANCE[[#This Row],[REVESTIMIENTO INTERIOR ZONA SECA]]=AW$2,100%,AVANCE[[#This Row],[REVESTIMIENTO INTERIOR ZONA SECA]])</f>
        <v>0</v>
      </c>
      <c r="CK145" s="3">
        <f>+IF(AVANCE[[#This Row],[REVESTIMIENTO INTERIOR ZONAS HUMEDAS]]=AX$2,100%,AVANCE[[#This Row],[REVESTIMIENTO INTERIOR ZONAS HUMEDAS]])</f>
        <v>0</v>
      </c>
      <c r="CL145" s="3">
        <f>+IF(AVANCE[[#This Row],[MEMBRANA CIELO]]=AY$2,100%,AVANCE[[#This Row],[MEMBRANA CIELO]])</f>
        <v>0</v>
      </c>
      <c r="CM145" s="3">
        <f>+IF(AVANCE[[#This Row],[LIMPIEZA FINAL]]=AZ$2,100%,AVANCE[[#This Row],[LIMPIEZA FINAL]])</f>
        <v>0</v>
      </c>
      <c r="CN145" s="3">
        <f>+IF(AVANCE[[#This Row],[PUERTAS DORMITORIO]]=BA$2,100%,AVANCE[[#This Row],[PUERTAS DORMITORIO]])</f>
        <v>0</v>
      </c>
      <c r="CO145" s="3">
        <f>+IF(AVANCE[[#This Row],[REVESTIMIENTO INTERIOR BANO]]=BB$2,100%,AVANCE[[#This Row],[REVESTIMIENTO INTERIOR BANO]])</f>
        <v>0</v>
      </c>
      <c r="CP145" s="3">
        <f>+IF(AVANCE[[#This Row],[MUEBLE LAVAPLATOS]]=BC$2,100%,AVANCE[[#This Row],[MUEBLE LAVAPLATOS]])</f>
        <v>0</v>
      </c>
      <c r="CQ145" s="3">
        <f>+IF(AVANCE[[#This Row],[IMPERMEABILIZACION BANO - COCINA LOGIA]]=BD$2,100%,AVANCE[[#This Row],[IMPERMEABILIZACION BANO - COCINA LOGIA]])</f>
        <v>0</v>
      </c>
      <c r="CR145" s="40">
        <f ca="1">+IF(AVANCE[[#This Row],[ESTADO MODULO]]="PENDIENTE",(TODAY()-AVANCE[[#This Row],[FECHA TERMINO  PLANIFICADO]]),0)</f>
        <v>0</v>
      </c>
      <c r="CS145" s="42" t="str" cm="1">
        <f t="array" ref="CS145">_xlfn.TEXTJOIN(" | ",TRUE,IF(SUMPRODUCT((BF145:CQ145&lt;1)*(PARTIDAS!$I$2:$AT$2="OBRA GRUESA"))&gt;0,"OBRA GRUESA: "&amp;_xlfn.TEXTJOIN(", ",TRUE,IF((BF145:CQ145&lt;1)*(PARTIDAS!$I$2:$AT$2="OBRA GRUESA"),PARTIDAS!$I$1:$AT$1,"")),""),IF(SUMPRODUCT((BF145:CQ145&lt;1)*(PARTIDAS!$I$2:$AT$2="SANITARIOS"))&gt;0,"SANITARIOS: "&amp;_xlfn.TEXTJOIN(", ",TRUE,IF((BF145:CQ145&lt;1)*(PARTIDAS!$I$2:$AT$2="SANITARIOS"),PARTIDAS!$I$1:$AT$1,"")),""),IF(SUMPRODUCT((BF145:CQ145&lt;1)*(PARTIDAS!$I$2:$AT$2="ELÉCTRICO"))&gt;0,"ELÉCTRICO: "&amp;_xlfn.TEXTJOIN(", ",TRUE,IF((BF145:CQ145&lt;1)*(PARTIDAS!$I$2:$AT$2="ELÉCTRICO"),PARTIDAS!$I$1:$AT$1,"")),""),IF(SUMPRODUCT((BF145:CQ145&lt;1)*(PARTIDAS!$I$2:$AT$2="TERMINACIONES"))&gt;0,"TERMINACIONES: "&amp;_xlfn.TEXTJOIN(", ",TRUE,IF((BF145:CQ145&lt;1)*(PARTIDAS!$I$2:$AT$2="TERMINACIONES"),PARTIDAS!$I$1:$AT$1,"")),""))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5" s="45" t="str" cm="1">
        <f t="array" ref="CT145">_xlfn.TEXTJOIN(", ",TRUE,IF(SUMPRODUCT((BF145:CQ145&lt;1)*(PARTIDAS!$I$2:$AT$2="OBRA GRUESA"))&gt;0,"OBRA GRUESA",""),IF(SUMPRODUCT((BF145:CQ145&lt;1)*(PARTIDAS!$I$2:$AT$2="SANITARIOS"))&gt;0,"SANITARIOS",""),IF(SUMPRODUCT((BF145:CQ145&lt;1)*(PARTIDAS!$I$2:$AT$2="ELÉCTRICO"))&gt;0,"ELÉCTRICO",""),IF(SUMPRODUCT((BF145:CQ145&lt;1)*(PARTIDAS!$I$2:$AT$2="TERMINACIONES"))&gt;0,"TERMINACIONES",""))</f>
        <v>OBRA GRUESA, SANITARIOS, ELÉCTRICO, TERMINACIONES</v>
      </c>
      <c r="CU145" s="46" cm="1">
        <f t="array" ref="CU145">SUMPRODUCT(--(BF145:CQ145&lt;1))</f>
        <v>38</v>
      </c>
    </row>
    <row r="146" spans="1:99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46181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 t="str">
        <f>+IF(AVANCE[[#This Row],[% AVANCE]]=100%,"MODULO TERMINADO",IF(AVANCE[[#This Row],[FECHA INICIO REAL]]="","MODULO NO INICIADO","PENDIENTE"))</f>
        <v>MODULO NO INICIADO</v>
      </c>
      <c r="BF146" s="3">
        <f>+IF(AVANCE[[#This Row],[VENTANAS]]=8.10810810810811%,100%,AVANCE[[#This Row],[VENTANAS]])</f>
        <v>0</v>
      </c>
      <c r="BG146" s="3">
        <f>+IF(AVANCE[[#This Row],[PISO]]=N$2,100%,AVANCE[[#This Row],[PISO]])</f>
        <v>0</v>
      </c>
      <c r="BH146" s="3">
        <f>+IF(AVANCE[[#This Row],[TABIQUES]]=O$2,100%,AVANCE[[#This Row],[TABIQUES]])</f>
        <v>0</v>
      </c>
      <c r="BI146" s="3">
        <f>+IF(AVANCE[[#This Row],[MUROS]]=P$2,100%,AVANCE[[#This Row],[MUROS]])</f>
        <v>0</v>
      </c>
      <c r="BJ146" s="3">
        <f>+IF(AVANCE[[#This Row],[CIELO]]=Q$2,100%,AVANCE[[#This Row],[CIELO]])</f>
        <v>0</v>
      </c>
      <c r="BK146" s="3">
        <f>+IF(AVANCE[[#This Row],[BALCÓN]]=R$2,100%,AVANCE[[#This Row],[BALCÓN]])</f>
        <v>0</v>
      </c>
      <c r="BL146" s="3">
        <f>+IF(AVANCE[[#This Row],[RED ALCANTARILLADO]]=U$2,100%,AVANCE[[#This Row],[RED ALCANTARILLADO]])</f>
        <v>0</v>
      </c>
      <c r="BM146" s="3">
        <f>+IF(AVANCE[[#This Row],[RED DE AGUA]]=V$2,100%,AVANCE[[#This Row],[RED DE AGUA]])</f>
        <v>0</v>
      </c>
      <c r="BN146" s="3">
        <f>+IF(AVANCE[[#This Row],[VENTILACIONES]]=W$2,100%,AVANCE[[#This Row],[VENTILACIONES]])</f>
        <v>0</v>
      </c>
      <c r="BO146" s="3">
        <f>+IF(AVANCE[[#This Row],[TINA]]=X$2,100%,AVANCE[[#This Row],[TINA]])</f>
        <v>0</v>
      </c>
      <c r="BP146" s="3">
        <f>+IF(AVANCE[[#This Row],[WC]]=Y$2,100%,AVANCE[[#This Row],[WC]])</f>
        <v>0</v>
      </c>
      <c r="BQ146" s="3">
        <f>+IF(AVANCE[[#This Row],[LAVAMANOS / LAVAPLATOS / LAVADERO]]=Z$2,100%,AVANCE[[#This Row],[LAVAMANOS / LAVAPLATOS / LAVADERO]])</f>
        <v>0</v>
      </c>
      <c r="BR146" s="3">
        <f>+IF(AVANCE[[#This Row],[CANALIZACIÓN]]=AC$2,100%,AVANCE[[#This Row],[CANALIZACIÓN]])</f>
        <v>0</v>
      </c>
      <c r="BS146" s="3">
        <f>+IF(AVANCE[[#This Row],[CABLEADO]]=AD$2,100%,AVANCE[[#This Row],[CABLEADO]])</f>
        <v>0</v>
      </c>
      <c r="BT146" s="3">
        <f>+IF(AVANCE[[#This Row],[ARTEFACTOS]]=AE$2,100%,AVANCE[[#This Row],[ARTEFACTOS]])</f>
        <v>0</v>
      </c>
      <c r="BU146" s="3">
        <f>+IF(AVANCE[[#This Row],[TABLERO]]=AF$2,100%,AVANCE[[#This Row],[TABLERO]])</f>
        <v>0</v>
      </c>
      <c r="BV146" s="3">
        <f>+IF(AVANCE[[#This Row],[CAJA PAU]]=AG$2,100%,AVANCE[[#This Row],[CAJA PAU]])</f>
        <v>0</v>
      </c>
      <c r="BW146" s="3">
        <f>+IF(AVANCE[[#This Row],[INSTALACION VINILICO]]=AJ$2,100%,AVANCE[[#This Row],[INSTALACION VINILICO]])</f>
        <v>0</v>
      </c>
      <c r="BX146" s="3">
        <f>+IF(AVANCE[[#This Row],[OSB CUBIERTA]]=AK$2,100%,AVANCE[[#This Row],[OSB CUBIERTA]])</f>
        <v>0</v>
      </c>
      <c r="BY146" s="3">
        <f>+IF(AVANCE[[#This Row],[BARANDA BALCON]]=AL$2,100%,AVANCE[[#This Row],[BARANDA BALCON]])</f>
        <v>0</v>
      </c>
      <c r="BZ146" s="3">
        <f>+IF(AVANCE[[#This Row],[OSB EXTERIOR]]=AM$2,100%,AVANCE[[#This Row],[OSB EXTERIOR]])</f>
        <v>0</v>
      </c>
      <c r="CA146" s="3">
        <f>+IF(AVANCE[[#This Row],[SMART PANEL]]=AN$2,100%,AVANCE[[#This Row],[SMART PANEL]])</f>
        <v>0</v>
      </c>
      <c r="CB146" s="3">
        <f>+IF(AVANCE[[#This Row],[PINTURA EXTERIOR]]=AO$2,100%,AVANCE[[#This Row],[PINTURA EXTERIOR]])</f>
        <v>0</v>
      </c>
      <c r="CC146" s="3">
        <f>+IF(AVANCE[[#This Row],[ZOCALOS LOGIA]]=AP$2,100%,AVANCE[[#This Row],[ZOCALOS LOGIA]])</f>
        <v>0</v>
      </c>
      <c r="CD146" s="3">
        <f>+IF(AVANCE[[#This Row],[MOLDURAS]]=AQ$2,100%,AVANCE[[#This Row],[MOLDURAS]])</f>
        <v>0</v>
      </c>
      <c r="CE146" s="3">
        <f>+IF(AVANCE[[#This Row],[PILASTREO]]=AR$2,100%,AVANCE[[#This Row],[PILASTREO]])</f>
        <v>0</v>
      </c>
      <c r="CF146" s="3">
        <f>+IF(AVANCE[[#This Row],[CELOSIAS]]=AS$2,100%,AVANCE[[#This Row],[CELOSIAS]])</f>
        <v>0</v>
      </c>
      <c r="CG146" s="3">
        <f>+IF(AVANCE[[#This Row],[VENTANAS]]=AT$2,100%,AVANCE[[#This Row],[VENTANAS]])</f>
        <v>0</v>
      </c>
      <c r="CH146" s="3">
        <f>+IF(AVANCE[[#This Row],[PUERTAS ACCESO - LOGIA - BANO]]=AU$2,100%,AVANCE[[#This Row],[PUERTAS ACCESO - LOGIA - BANO]])</f>
        <v>0</v>
      </c>
      <c r="CI146" s="3">
        <f>+IF(AVANCE[[#This Row],[CERRADURAS]]=AV$2,100%,AVANCE[[#This Row],[CERRADURAS]])</f>
        <v>0</v>
      </c>
      <c r="CJ146" s="3">
        <f>+IF(AVANCE[[#This Row],[REVESTIMIENTO INTERIOR ZONA SECA]]=AW$2,100%,AVANCE[[#This Row],[REVESTIMIENTO INTERIOR ZONA SECA]])</f>
        <v>0</v>
      </c>
      <c r="CK146" s="3">
        <f>+IF(AVANCE[[#This Row],[REVESTIMIENTO INTERIOR ZONAS HUMEDAS]]=AX$2,100%,AVANCE[[#This Row],[REVESTIMIENTO INTERIOR ZONAS HUMEDAS]])</f>
        <v>0</v>
      </c>
      <c r="CL146" s="3">
        <f>+IF(AVANCE[[#This Row],[MEMBRANA CIELO]]=AY$2,100%,AVANCE[[#This Row],[MEMBRANA CIELO]])</f>
        <v>0</v>
      </c>
      <c r="CM146" s="3">
        <f>+IF(AVANCE[[#This Row],[LIMPIEZA FINAL]]=AZ$2,100%,AVANCE[[#This Row],[LIMPIEZA FINAL]])</f>
        <v>0</v>
      </c>
      <c r="CN146" s="3">
        <f>+IF(AVANCE[[#This Row],[PUERTAS DORMITORIO]]=BA$2,100%,AVANCE[[#This Row],[PUERTAS DORMITORIO]])</f>
        <v>0</v>
      </c>
      <c r="CO146" s="3">
        <f>+IF(AVANCE[[#This Row],[REVESTIMIENTO INTERIOR BANO]]=BB$2,100%,AVANCE[[#This Row],[REVESTIMIENTO INTERIOR BANO]])</f>
        <v>0</v>
      </c>
      <c r="CP146" s="3">
        <f>+IF(AVANCE[[#This Row],[MUEBLE LAVAPLATOS]]=BC$2,100%,AVANCE[[#This Row],[MUEBLE LAVAPLATOS]])</f>
        <v>0</v>
      </c>
      <c r="CQ146" s="3">
        <f>+IF(AVANCE[[#This Row],[IMPERMEABILIZACION BANO - COCINA LOGIA]]=BD$2,100%,AVANCE[[#This Row],[IMPERMEABILIZACION BANO - COCINA LOGIA]])</f>
        <v>0</v>
      </c>
      <c r="CR146" s="40">
        <f ca="1">+IF(AVANCE[[#This Row],[ESTADO MODULO]]="PENDIENTE",(TODAY()-AVANCE[[#This Row],[FECHA TERMINO  PLANIFICADO]]),0)</f>
        <v>0</v>
      </c>
      <c r="CS146" s="42" t="str" cm="1">
        <f t="array" ref="CS146">_xlfn.TEXTJOIN(" | ",TRUE,IF(SUMPRODUCT((BF146:CQ146&lt;1)*(PARTIDAS!$I$2:$AT$2="OBRA GRUESA"))&gt;0,"OBRA GRUESA: "&amp;_xlfn.TEXTJOIN(", ",TRUE,IF((BF146:CQ146&lt;1)*(PARTIDAS!$I$2:$AT$2="OBRA GRUESA"),PARTIDAS!$I$1:$AT$1,"")),""),IF(SUMPRODUCT((BF146:CQ146&lt;1)*(PARTIDAS!$I$2:$AT$2="SANITARIOS"))&gt;0,"SANITARIOS: "&amp;_xlfn.TEXTJOIN(", ",TRUE,IF((BF146:CQ146&lt;1)*(PARTIDAS!$I$2:$AT$2="SANITARIOS"),PARTIDAS!$I$1:$AT$1,"")),""),IF(SUMPRODUCT((BF146:CQ146&lt;1)*(PARTIDAS!$I$2:$AT$2="ELÉCTRICO"))&gt;0,"ELÉCTRICO: "&amp;_xlfn.TEXTJOIN(", ",TRUE,IF((BF146:CQ146&lt;1)*(PARTIDAS!$I$2:$AT$2="ELÉCTRICO"),PARTIDAS!$I$1:$AT$1,"")),""),IF(SUMPRODUCT((BF146:CQ146&lt;1)*(PARTIDAS!$I$2:$AT$2="TERMINACIONES"))&gt;0,"TERMINACIONES: "&amp;_xlfn.TEXTJOIN(", ",TRUE,IF((BF146:CQ146&lt;1)*(PARTIDAS!$I$2:$AT$2="TERMINACIONES"),PARTIDAS!$I$1:$AT$1,"")),""))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6" s="45" t="str" cm="1">
        <f t="array" ref="CT146">_xlfn.TEXTJOIN(", ",TRUE,IF(SUMPRODUCT((BF146:CQ146&lt;1)*(PARTIDAS!$I$2:$AT$2="OBRA GRUESA"))&gt;0,"OBRA GRUESA",""),IF(SUMPRODUCT((BF146:CQ146&lt;1)*(PARTIDAS!$I$2:$AT$2="SANITARIOS"))&gt;0,"SANITARIOS",""),IF(SUMPRODUCT((BF146:CQ146&lt;1)*(PARTIDAS!$I$2:$AT$2="ELÉCTRICO"))&gt;0,"ELÉCTRICO",""),IF(SUMPRODUCT((BF146:CQ146&lt;1)*(PARTIDAS!$I$2:$AT$2="TERMINACIONES"))&gt;0,"TERMINACIONES",""))</f>
        <v>OBRA GRUESA, SANITARIOS, ELÉCTRICO, TERMINACIONES</v>
      </c>
      <c r="CU146" s="46" cm="1">
        <f t="array" ref="CU146">SUMPRODUCT(--(BF146:CQ146&lt;1))</f>
        <v>38</v>
      </c>
    </row>
    <row r="147" spans="1:99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46181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 t="str">
        <f>+IF(AVANCE[[#This Row],[% AVANCE]]=100%,"MODULO TERMINADO",IF(AVANCE[[#This Row],[FECHA INICIO REAL]]="","MODULO NO INICIADO","PENDIENTE"))</f>
        <v>MODULO NO INICIADO</v>
      </c>
      <c r="BF147" s="3">
        <f>+IF(AVANCE[[#This Row],[VENTANAS]]=8.10810810810811%,100%,AVANCE[[#This Row],[VENTANAS]])</f>
        <v>0</v>
      </c>
      <c r="BG147" s="3">
        <f>+IF(AVANCE[[#This Row],[PISO]]=N$2,100%,AVANCE[[#This Row],[PISO]])</f>
        <v>0</v>
      </c>
      <c r="BH147" s="3">
        <f>+IF(AVANCE[[#This Row],[TABIQUES]]=O$2,100%,AVANCE[[#This Row],[TABIQUES]])</f>
        <v>0</v>
      </c>
      <c r="BI147" s="3">
        <f>+IF(AVANCE[[#This Row],[MUROS]]=P$2,100%,AVANCE[[#This Row],[MUROS]])</f>
        <v>0</v>
      </c>
      <c r="BJ147" s="3">
        <f>+IF(AVANCE[[#This Row],[CIELO]]=Q$2,100%,AVANCE[[#This Row],[CIELO]])</f>
        <v>0</v>
      </c>
      <c r="BK147" s="3">
        <f>+IF(AVANCE[[#This Row],[BALCÓN]]=R$2,100%,AVANCE[[#This Row],[BALCÓN]])</f>
        <v>0</v>
      </c>
      <c r="BL147" s="3">
        <f>+IF(AVANCE[[#This Row],[RED ALCANTARILLADO]]=U$2,100%,AVANCE[[#This Row],[RED ALCANTARILLADO]])</f>
        <v>0</v>
      </c>
      <c r="BM147" s="3">
        <f>+IF(AVANCE[[#This Row],[RED DE AGUA]]=V$2,100%,AVANCE[[#This Row],[RED DE AGUA]])</f>
        <v>0</v>
      </c>
      <c r="BN147" s="3">
        <f>+IF(AVANCE[[#This Row],[VENTILACIONES]]=W$2,100%,AVANCE[[#This Row],[VENTILACIONES]])</f>
        <v>0</v>
      </c>
      <c r="BO147" s="3">
        <f>+IF(AVANCE[[#This Row],[TINA]]=X$2,100%,AVANCE[[#This Row],[TINA]])</f>
        <v>0</v>
      </c>
      <c r="BP147" s="3">
        <f>+IF(AVANCE[[#This Row],[WC]]=Y$2,100%,AVANCE[[#This Row],[WC]])</f>
        <v>0</v>
      </c>
      <c r="BQ147" s="3">
        <f>+IF(AVANCE[[#This Row],[LAVAMANOS / LAVAPLATOS / LAVADERO]]=Z$2,100%,AVANCE[[#This Row],[LAVAMANOS / LAVAPLATOS / LAVADERO]])</f>
        <v>0</v>
      </c>
      <c r="BR147" s="3">
        <f>+IF(AVANCE[[#This Row],[CANALIZACIÓN]]=AC$2,100%,AVANCE[[#This Row],[CANALIZACIÓN]])</f>
        <v>0</v>
      </c>
      <c r="BS147" s="3">
        <f>+IF(AVANCE[[#This Row],[CABLEADO]]=AD$2,100%,AVANCE[[#This Row],[CABLEADO]])</f>
        <v>0</v>
      </c>
      <c r="BT147" s="3">
        <f>+IF(AVANCE[[#This Row],[ARTEFACTOS]]=AE$2,100%,AVANCE[[#This Row],[ARTEFACTOS]])</f>
        <v>0</v>
      </c>
      <c r="BU147" s="3">
        <f>+IF(AVANCE[[#This Row],[TABLERO]]=AF$2,100%,AVANCE[[#This Row],[TABLERO]])</f>
        <v>0</v>
      </c>
      <c r="BV147" s="3">
        <f>+IF(AVANCE[[#This Row],[CAJA PAU]]=AG$2,100%,AVANCE[[#This Row],[CAJA PAU]])</f>
        <v>0</v>
      </c>
      <c r="BW147" s="3">
        <f>+IF(AVANCE[[#This Row],[INSTALACION VINILICO]]=AJ$2,100%,AVANCE[[#This Row],[INSTALACION VINILICO]])</f>
        <v>0</v>
      </c>
      <c r="BX147" s="3">
        <f>+IF(AVANCE[[#This Row],[OSB CUBIERTA]]=AK$2,100%,AVANCE[[#This Row],[OSB CUBIERTA]])</f>
        <v>0</v>
      </c>
      <c r="BY147" s="3">
        <f>+IF(AVANCE[[#This Row],[BARANDA BALCON]]=AL$2,100%,AVANCE[[#This Row],[BARANDA BALCON]])</f>
        <v>0</v>
      </c>
      <c r="BZ147" s="3">
        <f>+IF(AVANCE[[#This Row],[OSB EXTERIOR]]=AM$2,100%,AVANCE[[#This Row],[OSB EXTERIOR]])</f>
        <v>0</v>
      </c>
      <c r="CA147" s="3">
        <f>+IF(AVANCE[[#This Row],[SMART PANEL]]=AN$2,100%,AVANCE[[#This Row],[SMART PANEL]])</f>
        <v>0</v>
      </c>
      <c r="CB147" s="3">
        <f>+IF(AVANCE[[#This Row],[PINTURA EXTERIOR]]=AO$2,100%,AVANCE[[#This Row],[PINTURA EXTERIOR]])</f>
        <v>0</v>
      </c>
      <c r="CC147" s="3">
        <f>+IF(AVANCE[[#This Row],[ZOCALOS LOGIA]]=AP$2,100%,AVANCE[[#This Row],[ZOCALOS LOGIA]])</f>
        <v>0</v>
      </c>
      <c r="CD147" s="3">
        <f>+IF(AVANCE[[#This Row],[MOLDURAS]]=AQ$2,100%,AVANCE[[#This Row],[MOLDURAS]])</f>
        <v>0</v>
      </c>
      <c r="CE147" s="3">
        <f>+IF(AVANCE[[#This Row],[PILASTREO]]=AR$2,100%,AVANCE[[#This Row],[PILASTREO]])</f>
        <v>0</v>
      </c>
      <c r="CF147" s="3">
        <f>+IF(AVANCE[[#This Row],[CELOSIAS]]=AS$2,100%,AVANCE[[#This Row],[CELOSIAS]])</f>
        <v>0</v>
      </c>
      <c r="CG147" s="3">
        <f>+IF(AVANCE[[#This Row],[VENTANAS]]=AT$2,100%,AVANCE[[#This Row],[VENTANAS]])</f>
        <v>0</v>
      </c>
      <c r="CH147" s="3">
        <f>+IF(AVANCE[[#This Row],[PUERTAS ACCESO - LOGIA - BANO]]=AU$2,100%,AVANCE[[#This Row],[PUERTAS ACCESO - LOGIA - BANO]])</f>
        <v>0</v>
      </c>
      <c r="CI147" s="3">
        <f>+IF(AVANCE[[#This Row],[CERRADURAS]]=AV$2,100%,AVANCE[[#This Row],[CERRADURAS]])</f>
        <v>0</v>
      </c>
      <c r="CJ147" s="3">
        <f>+IF(AVANCE[[#This Row],[REVESTIMIENTO INTERIOR ZONA SECA]]=AW$2,100%,AVANCE[[#This Row],[REVESTIMIENTO INTERIOR ZONA SECA]])</f>
        <v>0</v>
      </c>
      <c r="CK147" s="3">
        <f>+IF(AVANCE[[#This Row],[REVESTIMIENTO INTERIOR ZONAS HUMEDAS]]=AX$2,100%,AVANCE[[#This Row],[REVESTIMIENTO INTERIOR ZONAS HUMEDAS]])</f>
        <v>0</v>
      </c>
      <c r="CL147" s="3">
        <f>+IF(AVANCE[[#This Row],[MEMBRANA CIELO]]=AY$2,100%,AVANCE[[#This Row],[MEMBRANA CIELO]])</f>
        <v>0</v>
      </c>
      <c r="CM147" s="3">
        <f>+IF(AVANCE[[#This Row],[LIMPIEZA FINAL]]=AZ$2,100%,AVANCE[[#This Row],[LIMPIEZA FINAL]])</f>
        <v>0</v>
      </c>
      <c r="CN147" s="3">
        <f>+IF(AVANCE[[#This Row],[PUERTAS DORMITORIO]]=BA$2,100%,AVANCE[[#This Row],[PUERTAS DORMITORIO]])</f>
        <v>0</v>
      </c>
      <c r="CO147" s="3">
        <f>+IF(AVANCE[[#This Row],[REVESTIMIENTO INTERIOR BANO]]=BB$2,100%,AVANCE[[#This Row],[REVESTIMIENTO INTERIOR BANO]])</f>
        <v>0</v>
      </c>
      <c r="CP147" s="3">
        <f>+IF(AVANCE[[#This Row],[MUEBLE LAVAPLATOS]]=BC$2,100%,AVANCE[[#This Row],[MUEBLE LAVAPLATOS]])</f>
        <v>0</v>
      </c>
      <c r="CQ147" s="3">
        <f>+IF(AVANCE[[#This Row],[IMPERMEABILIZACION BANO - COCINA LOGIA]]=BD$2,100%,AVANCE[[#This Row],[IMPERMEABILIZACION BANO - COCINA LOGIA]])</f>
        <v>0</v>
      </c>
      <c r="CR147" s="40">
        <f ca="1">+IF(AVANCE[[#This Row],[ESTADO MODULO]]="PENDIENTE",(TODAY()-AVANCE[[#This Row],[FECHA TERMINO  PLANIFICADO]]),0)</f>
        <v>0</v>
      </c>
      <c r="CS147" s="42" t="str" cm="1">
        <f t="array" ref="CS147">_xlfn.TEXTJOIN(" | ",TRUE,IF(SUMPRODUCT((BF147:CQ147&lt;1)*(PARTIDAS!$I$2:$AT$2="OBRA GRUESA"))&gt;0,"OBRA GRUESA: "&amp;_xlfn.TEXTJOIN(", ",TRUE,IF((BF147:CQ147&lt;1)*(PARTIDAS!$I$2:$AT$2="OBRA GRUESA"),PARTIDAS!$I$1:$AT$1,"")),""),IF(SUMPRODUCT((BF147:CQ147&lt;1)*(PARTIDAS!$I$2:$AT$2="SANITARIOS"))&gt;0,"SANITARIOS: "&amp;_xlfn.TEXTJOIN(", ",TRUE,IF((BF147:CQ147&lt;1)*(PARTIDAS!$I$2:$AT$2="SANITARIOS"),PARTIDAS!$I$1:$AT$1,"")),""),IF(SUMPRODUCT((BF147:CQ147&lt;1)*(PARTIDAS!$I$2:$AT$2="ELÉCTRICO"))&gt;0,"ELÉCTRICO: "&amp;_xlfn.TEXTJOIN(", ",TRUE,IF((BF147:CQ147&lt;1)*(PARTIDAS!$I$2:$AT$2="ELÉCTRICO"),PARTIDAS!$I$1:$AT$1,"")),""),IF(SUMPRODUCT((BF147:CQ147&lt;1)*(PARTIDAS!$I$2:$AT$2="TERMINACIONES"))&gt;0,"TERMINACIONES: "&amp;_xlfn.TEXTJOIN(", ",TRUE,IF((BF147:CQ147&lt;1)*(PARTIDAS!$I$2:$AT$2="TERMINACIONES"),PARTIDAS!$I$1:$AT$1,"")),""))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7" s="45" t="str" cm="1">
        <f t="array" ref="CT147">_xlfn.TEXTJOIN(", ",TRUE,IF(SUMPRODUCT((BF147:CQ147&lt;1)*(PARTIDAS!$I$2:$AT$2="OBRA GRUESA"))&gt;0,"OBRA GRUESA",""),IF(SUMPRODUCT((BF147:CQ147&lt;1)*(PARTIDAS!$I$2:$AT$2="SANITARIOS"))&gt;0,"SANITARIOS",""),IF(SUMPRODUCT((BF147:CQ147&lt;1)*(PARTIDAS!$I$2:$AT$2="ELÉCTRICO"))&gt;0,"ELÉCTRICO",""),IF(SUMPRODUCT((BF147:CQ147&lt;1)*(PARTIDAS!$I$2:$AT$2="TERMINACIONES"))&gt;0,"TERMINACIONES",""))</f>
        <v>OBRA GRUESA, SANITARIOS, ELÉCTRICO, TERMINACIONES</v>
      </c>
      <c r="CU147" s="46" cm="1">
        <f t="array" ref="CU147">SUMPRODUCT(--(BF147:CQ147&lt;1))</f>
        <v>38</v>
      </c>
    </row>
    <row r="148" spans="1:99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46181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 t="str">
        <f>+IF(AVANCE[[#This Row],[% AVANCE]]=100%,"MODULO TERMINADO",IF(AVANCE[[#This Row],[FECHA INICIO REAL]]="","MODULO NO INICIADO","PENDIENTE"))</f>
        <v>MODULO NO INICIADO</v>
      </c>
      <c r="BF148" s="3">
        <f>+IF(AVANCE[[#This Row],[VENTANAS]]=8.10810810810811%,100%,AVANCE[[#This Row],[VENTANAS]])</f>
        <v>0</v>
      </c>
      <c r="BG148" s="3">
        <f>+IF(AVANCE[[#This Row],[PISO]]=N$2,100%,AVANCE[[#This Row],[PISO]])</f>
        <v>0</v>
      </c>
      <c r="BH148" s="3">
        <f>+IF(AVANCE[[#This Row],[TABIQUES]]=O$2,100%,AVANCE[[#This Row],[TABIQUES]])</f>
        <v>0</v>
      </c>
      <c r="BI148" s="3">
        <f>+IF(AVANCE[[#This Row],[MUROS]]=P$2,100%,AVANCE[[#This Row],[MUROS]])</f>
        <v>0</v>
      </c>
      <c r="BJ148" s="3">
        <f>+IF(AVANCE[[#This Row],[CIELO]]=Q$2,100%,AVANCE[[#This Row],[CIELO]])</f>
        <v>0</v>
      </c>
      <c r="BK148" s="3">
        <f>+IF(AVANCE[[#This Row],[BALCÓN]]=R$2,100%,AVANCE[[#This Row],[BALCÓN]])</f>
        <v>0</v>
      </c>
      <c r="BL148" s="3">
        <f>+IF(AVANCE[[#This Row],[RED ALCANTARILLADO]]=U$2,100%,AVANCE[[#This Row],[RED ALCANTARILLADO]])</f>
        <v>0</v>
      </c>
      <c r="BM148" s="3">
        <f>+IF(AVANCE[[#This Row],[RED DE AGUA]]=V$2,100%,AVANCE[[#This Row],[RED DE AGUA]])</f>
        <v>0</v>
      </c>
      <c r="BN148" s="3">
        <f>+IF(AVANCE[[#This Row],[VENTILACIONES]]=W$2,100%,AVANCE[[#This Row],[VENTILACIONES]])</f>
        <v>0</v>
      </c>
      <c r="BO148" s="3">
        <f>+IF(AVANCE[[#This Row],[TINA]]=X$2,100%,AVANCE[[#This Row],[TINA]])</f>
        <v>0</v>
      </c>
      <c r="BP148" s="3">
        <f>+IF(AVANCE[[#This Row],[WC]]=Y$2,100%,AVANCE[[#This Row],[WC]])</f>
        <v>0</v>
      </c>
      <c r="BQ148" s="3">
        <f>+IF(AVANCE[[#This Row],[LAVAMANOS / LAVAPLATOS / LAVADERO]]=Z$2,100%,AVANCE[[#This Row],[LAVAMANOS / LAVAPLATOS / LAVADERO]])</f>
        <v>0</v>
      </c>
      <c r="BR148" s="3">
        <f>+IF(AVANCE[[#This Row],[CANALIZACIÓN]]=AC$2,100%,AVANCE[[#This Row],[CANALIZACIÓN]])</f>
        <v>0</v>
      </c>
      <c r="BS148" s="3">
        <f>+IF(AVANCE[[#This Row],[CABLEADO]]=AD$2,100%,AVANCE[[#This Row],[CABLEADO]])</f>
        <v>0</v>
      </c>
      <c r="BT148" s="3">
        <f>+IF(AVANCE[[#This Row],[ARTEFACTOS]]=AE$2,100%,AVANCE[[#This Row],[ARTEFACTOS]])</f>
        <v>0</v>
      </c>
      <c r="BU148" s="3">
        <f>+IF(AVANCE[[#This Row],[TABLERO]]=AF$2,100%,AVANCE[[#This Row],[TABLERO]])</f>
        <v>0</v>
      </c>
      <c r="BV148" s="3">
        <f>+IF(AVANCE[[#This Row],[CAJA PAU]]=AG$2,100%,AVANCE[[#This Row],[CAJA PAU]])</f>
        <v>0</v>
      </c>
      <c r="BW148" s="3">
        <f>+IF(AVANCE[[#This Row],[INSTALACION VINILICO]]=AJ$2,100%,AVANCE[[#This Row],[INSTALACION VINILICO]])</f>
        <v>0</v>
      </c>
      <c r="BX148" s="3">
        <f>+IF(AVANCE[[#This Row],[OSB CUBIERTA]]=AK$2,100%,AVANCE[[#This Row],[OSB CUBIERTA]])</f>
        <v>0</v>
      </c>
      <c r="BY148" s="3">
        <f>+IF(AVANCE[[#This Row],[BARANDA BALCON]]=AL$2,100%,AVANCE[[#This Row],[BARANDA BALCON]])</f>
        <v>0</v>
      </c>
      <c r="BZ148" s="3">
        <f>+IF(AVANCE[[#This Row],[OSB EXTERIOR]]=AM$2,100%,AVANCE[[#This Row],[OSB EXTERIOR]])</f>
        <v>0</v>
      </c>
      <c r="CA148" s="3">
        <f>+IF(AVANCE[[#This Row],[SMART PANEL]]=AN$2,100%,AVANCE[[#This Row],[SMART PANEL]])</f>
        <v>0</v>
      </c>
      <c r="CB148" s="3">
        <f>+IF(AVANCE[[#This Row],[PINTURA EXTERIOR]]=AO$2,100%,AVANCE[[#This Row],[PINTURA EXTERIOR]])</f>
        <v>0</v>
      </c>
      <c r="CC148" s="3">
        <f>+IF(AVANCE[[#This Row],[ZOCALOS LOGIA]]=AP$2,100%,AVANCE[[#This Row],[ZOCALOS LOGIA]])</f>
        <v>0</v>
      </c>
      <c r="CD148" s="3">
        <f>+IF(AVANCE[[#This Row],[MOLDURAS]]=AQ$2,100%,AVANCE[[#This Row],[MOLDURAS]])</f>
        <v>0</v>
      </c>
      <c r="CE148" s="3">
        <f>+IF(AVANCE[[#This Row],[PILASTREO]]=AR$2,100%,AVANCE[[#This Row],[PILASTREO]])</f>
        <v>0</v>
      </c>
      <c r="CF148" s="3">
        <f>+IF(AVANCE[[#This Row],[CELOSIAS]]=AS$2,100%,AVANCE[[#This Row],[CELOSIAS]])</f>
        <v>0</v>
      </c>
      <c r="CG148" s="3">
        <f>+IF(AVANCE[[#This Row],[VENTANAS]]=AT$2,100%,AVANCE[[#This Row],[VENTANAS]])</f>
        <v>0</v>
      </c>
      <c r="CH148" s="3">
        <f>+IF(AVANCE[[#This Row],[PUERTAS ACCESO - LOGIA - BANO]]=AU$2,100%,AVANCE[[#This Row],[PUERTAS ACCESO - LOGIA - BANO]])</f>
        <v>0</v>
      </c>
      <c r="CI148" s="3">
        <f>+IF(AVANCE[[#This Row],[CERRADURAS]]=AV$2,100%,AVANCE[[#This Row],[CERRADURAS]])</f>
        <v>0</v>
      </c>
      <c r="CJ148" s="3">
        <f>+IF(AVANCE[[#This Row],[REVESTIMIENTO INTERIOR ZONA SECA]]=AW$2,100%,AVANCE[[#This Row],[REVESTIMIENTO INTERIOR ZONA SECA]])</f>
        <v>0</v>
      </c>
      <c r="CK148" s="3">
        <f>+IF(AVANCE[[#This Row],[REVESTIMIENTO INTERIOR ZONAS HUMEDAS]]=AX$2,100%,AVANCE[[#This Row],[REVESTIMIENTO INTERIOR ZONAS HUMEDAS]])</f>
        <v>0</v>
      </c>
      <c r="CL148" s="3">
        <f>+IF(AVANCE[[#This Row],[MEMBRANA CIELO]]=AY$2,100%,AVANCE[[#This Row],[MEMBRANA CIELO]])</f>
        <v>0</v>
      </c>
      <c r="CM148" s="3">
        <f>+IF(AVANCE[[#This Row],[LIMPIEZA FINAL]]=AZ$2,100%,AVANCE[[#This Row],[LIMPIEZA FINAL]])</f>
        <v>0</v>
      </c>
      <c r="CN148" s="3">
        <f>+IF(AVANCE[[#This Row],[PUERTAS DORMITORIO]]=BA$2,100%,AVANCE[[#This Row],[PUERTAS DORMITORIO]])</f>
        <v>0</v>
      </c>
      <c r="CO148" s="3">
        <f>+IF(AVANCE[[#This Row],[REVESTIMIENTO INTERIOR BANO]]=BB$2,100%,AVANCE[[#This Row],[REVESTIMIENTO INTERIOR BANO]])</f>
        <v>0</v>
      </c>
      <c r="CP148" s="3">
        <f>+IF(AVANCE[[#This Row],[MUEBLE LAVAPLATOS]]=BC$2,100%,AVANCE[[#This Row],[MUEBLE LAVAPLATOS]])</f>
        <v>0</v>
      </c>
      <c r="CQ148" s="3">
        <f>+IF(AVANCE[[#This Row],[IMPERMEABILIZACION BANO - COCINA LOGIA]]=BD$2,100%,AVANCE[[#This Row],[IMPERMEABILIZACION BANO - COCINA LOGIA]])</f>
        <v>0</v>
      </c>
      <c r="CR148" s="40">
        <f ca="1">+IF(AVANCE[[#This Row],[ESTADO MODULO]]="PENDIENTE",(TODAY()-AVANCE[[#This Row],[FECHA TERMINO  PLANIFICADO]]),0)</f>
        <v>0</v>
      </c>
      <c r="CS148" s="42" t="str" cm="1">
        <f t="array" ref="CS148">_xlfn.TEXTJOIN(" | ",TRUE,IF(SUMPRODUCT((BF148:CQ148&lt;1)*(PARTIDAS!$I$2:$AT$2="OBRA GRUESA"))&gt;0,"OBRA GRUESA: "&amp;_xlfn.TEXTJOIN(", ",TRUE,IF((BF148:CQ148&lt;1)*(PARTIDAS!$I$2:$AT$2="OBRA GRUESA"),PARTIDAS!$I$1:$AT$1,"")),""),IF(SUMPRODUCT((BF148:CQ148&lt;1)*(PARTIDAS!$I$2:$AT$2="SANITARIOS"))&gt;0,"SANITARIOS: "&amp;_xlfn.TEXTJOIN(", ",TRUE,IF((BF148:CQ148&lt;1)*(PARTIDAS!$I$2:$AT$2="SANITARIOS"),PARTIDAS!$I$1:$AT$1,"")),""),IF(SUMPRODUCT((BF148:CQ148&lt;1)*(PARTIDAS!$I$2:$AT$2="ELÉCTRICO"))&gt;0,"ELÉCTRICO: "&amp;_xlfn.TEXTJOIN(", ",TRUE,IF((BF148:CQ148&lt;1)*(PARTIDAS!$I$2:$AT$2="ELÉCTRICO"),PARTIDAS!$I$1:$AT$1,"")),""),IF(SUMPRODUCT((BF148:CQ148&lt;1)*(PARTIDAS!$I$2:$AT$2="TERMINACIONES"))&gt;0,"TERMINACIONES: "&amp;_xlfn.TEXTJOIN(", ",TRUE,IF((BF148:CQ148&lt;1)*(PARTIDAS!$I$2:$AT$2="TERMINACIONES"),PARTIDAS!$I$1:$AT$1,"")),""))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8" s="45" t="str" cm="1">
        <f t="array" ref="CT148">_xlfn.TEXTJOIN(", ",TRUE,IF(SUMPRODUCT((BF148:CQ148&lt;1)*(PARTIDAS!$I$2:$AT$2="OBRA GRUESA"))&gt;0,"OBRA GRUESA",""),IF(SUMPRODUCT((BF148:CQ148&lt;1)*(PARTIDAS!$I$2:$AT$2="SANITARIOS"))&gt;0,"SANITARIOS",""),IF(SUMPRODUCT((BF148:CQ148&lt;1)*(PARTIDAS!$I$2:$AT$2="ELÉCTRICO"))&gt;0,"ELÉCTRICO",""),IF(SUMPRODUCT((BF148:CQ148&lt;1)*(PARTIDAS!$I$2:$AT$2="TERMINACIONES"))&gt;0,"TERMINACIONES",""))</f>
        <v>OBRA GRUESA, SANITARIOS, ELÉCTRICO, TERMINACIONES</v>
      </c>
      <c r="CU148" s="46" cm="1">
        <f t="array" ref="CU148">SUMPRODUCT(--(BF148:CQ148&lt;1))</f>
        <v>38</v>
      </c>
    </row>
    <row r="149" spans="1:99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46181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 t="str">
        <f>+IF(AVANCE[[#This Row],[% AVANCE]]=100%,"MODULO TERMINADO",IF(AVANCE[[#This Row],[FECHA INICIO REAL]]="","MODULO NO INICIADO","PENDIENTE"))</f>
        <v>MODULO NO INICIADO</v>
      </c>
      <c r="BF149" s="3">
        <f>+IF(AVANCE[[#This Row],[VENTANAS]]=8.10810810810811%,100%,AVANCE[[#This Row],[VENTANAS]])</f>
        <v>0</v>
      </c>
      <c r="BG149" s="3">
        <f>+IF(AVANCE[[#This Row],[PISO]]=N$2,100%,AVANCE[[#This Row],[PISO]])</f>
        <v>0</v>
      </c>
      <c r="BH149" s="3">
        <f>+IF(AVANCE[[#This Row],[TABIQUES]]=O$2,100%,AVANCE[[#This Row],[TABIQUES]])</f>
        <v>0</v>
      </c>
      <c r="BI149" s="3">
        <f>+IF(AVANCE[[#This Row],[MUROS]]=P$2,100%,AVANCE[[#This Row],[MUROS]])</f>
        <v>0</v>
      </c>
      <c r="BJ149" s="3">
        <f>+IF(AVANCE[[#This Row],[CIELO]]=Q$2,100%,AVANCE[[#This Row],[CIELO]])</f>
        <v>0</v>
      </c>
      <c r="BK149" s="3">
        <f>+IF(AVANCE[[#This Row],[BALCÓN]]=R$2,100%,AVANCE[[#This Row],[BALCÓN]])</f>
        <v>0</v>
      </c>
      <c r="BL149" s="3">
        <f>+IF(AVANCE[[#This Row],[RED ALCANTARILLADO]]=U$2,100%,AVANCE[[#This Row],[RED ALCANTARILLADO]])</f>
        <v>0</v>
      </c>
      <c r="BM149" s="3">
        <f>+IF(AVANCE[[#This Row],[RED DE AGUA]]=V$2,100%,AVANCE[[#This Row],[RED DE AGUA]])</f>
        <v>0</v>
      </c>
      <c r="BN149" s="3">
        <f>+IF(AVANCE[[#This Row],[VENTILACIONES]]=W$2,100%,AVANCE[[#This Row],[VENTILACIONES]])</f>
        <v>0</v>
      </c>
      <c r="BO149" s="3">
        <f>+IF(AVANCE[[#This Row],[TINA]]=X$2,100%,AVANCE[[#This Row],[TINA]])</f>
        <v>0</v>
      </c>
      <c r="BP149" s="3">
        <f>+IF(AVANCE[[#This Row],[WC]]=Y$2,100%,AVANCE[[#This Row],[WC]])</f>
        <v>0</v>
      </c>
      <c r="BQ149" s="3">
        <f>+IF(AVANCE[[#This Row],[LAVAMANOS / LAVAPLATOS / LAVADERO]]=Z$2,100%,AVANCE[[#This Row],[LAVAMANOS / LAVAPLATOS / LAVADERO]])</f>
        <v>0</v>
      </c>
      <c r="BR149" s="3">
        <f>+IF(AVANCE[[#This Row],[CANALIZACIÓN]]=AC$2,100%,AVANCE[[#This Row],[CANALIZACIÓN]])</f>
        <v>0</v>
      </c>
      <c r="BS149" s="3">
        <f>+IF(AVANCE[[#This Row],[CABLEADO]]=AD$2,100%,AVANCE[[#This Row],[CABLEADO]])</f>
        <v>0</v>
      </c>
      <c r="BT149" s="3">
        <f>+IF(AVANCE[[#This Row],[ARTEFACTOS]]=AE$2,100%,AVANCE[[#This Row],[ARTEFACTOS]])</f>
        <v>0</v>
      </c>
      <c r="BU149" s="3">
        <f>+IF(AVANCE[[#This Row],[TABLERO]]=AF$2,100%,AVANCE[[#This Row],[TABLERO]])</f>
        <v>0</v>
      </c>
      <c r="BV149" s="3">
        <f>+IF(AVANCE[[#This Row],[CAJA PAU]]=AG$2,100%,AVANCE[[#This Row],[CAJA PAU]])</f>
        <v>0</v>
      </c>
      <c r="BW149" s="3">
        <f>+IF(AVANCE[[#This Row],[INSTALACION VINILICO]]=AJ$2,100%,AVANCE[[#This Row],[INSTALACION VINILICO]])</f>
        <v>0</v>
      </c>
      <c r="BX149" s="3">
        <f>+IF(AVANCE[[#This Row],[OSB CUBIERTA]]=AK$2,100%,AVANCE[[#This Row],[OSB CUBIERTA]])</f>
        <v>0</v>
      </c>
      <c r="BY149" s="3">
        <f>+IF(AVANCE[[#This Row],[BARANDA BALCON]]=AL$2,100%,AVANCE[[#This Row],[BARANDA BALCON]])</f>
        <v>0</v>
      </c>
      <c r="BZ149" s="3">
        <f>+IF(AVANCE[[#This Row],[OSB EXTERIOR]]=AM$2,100%,AVANCE[[#This Row],[OSB EXTERIOR]])</f>
        <v>0</v>
      </c>
      <c r="CA149" s="3">
        <f>+IF(AVANCE[[#This Row],[SMART PANEL]]=AN$2,100%,AVANCE[[#This Row],[SMART PANEL]])</f>
        <v>0</v>
      </c>
      <c r="CB149" s="3">
        <f>+IF(AVANCE[[#This Row],[PINTURA EXTERIOR]]=AO$2,100%,AVANCE[[#This Row],[PINTURA EXTERIOR]])</f>
        <v>0</v>
      </c>
      <c r="CC149" s="3">
        <f>+IF(AVANCE[[#This Row],[ZOCALOS LOGIA]]=AP$2,100%,AVANCE[[#This Row],[ZOCALOS LOGIA]])</f>
        <v>0</v>
      </c>
      <c r="CD149" s="3">
        <f>+IF(AVANCE[[#This Row],[MOLDURAS]]=AQ$2,100%,AVANCE[[#This Row],[MOLDURAS]])</f>
        <v>0</v>
      </c>
      <c r="CE149" s="3">
        <f>+IF(AVANCE[[#This Row],[PILASTREO]]=AR$2,100%,AVANCE[[#This Row],[PILASTREO]])</f>
        <v>0</v>
      </c>
      <c r="CF149" s="3">
        <f>+IF(AVANCE[[#This Row],[CELOSIAS]]=AS$2,100%,AVANCE[[#This Row],[CELOSIAS]])</f>
        <v>0</v>
      </c>
      <c r="CG149" s="3">
        <f>+IF(AVANCE[[#This Row],[VENTANAS]]=AT$2,100%,AVANCE[[#This Row],[VENTANAS]])</f>
        <v>0</v>
      </c>
      <c r="CH149" s="3">
        <f>+IF(AVANCE[[#This Row],[PUERTAS ACCESO - LOGIA - BANO]]=AU$2,100%,AVANCE[[#This Row],[PUERTAS ACCESO - LOGIA - BANO]])</f>
        <v>0</v>
      </c>
      <c r="CI149" s="3">
        <f>+IF(AVANCE[[#This Row],[CERRADURAS]]=AV$2,100%,AVANCE[[#This Row],[CERRADURAS]])</f>
        <v>0</v>
      </c>
      <c r="CJ149" s="3">
        <f>+IF(AVANCE[[#This Row],[REVESTIMIENTO INTERIOR ZONA SECA]]=AW$2,100%,AVANCE[[#This Row],[REVESTIMIENTO INTERIOR ZONA SECA]])</f>
        <v>0</v>
      </c>
      <c r="CK149" s="3">
        <f>+IF(AVANCE[[#This Row],[REVESTIMIENTO INTERIOR ZONAS HUMEDAS]]=AX$2,100%,AVANCE[[#This Row],[REVESTIMIENTO INTERIOR ZONAS HUMEDAS]])</f>
        <v>0</v>
      </c>
      <c r="CL149" s="3">
        <f>+IF(AVANCE[[#This Row],[MEMBRANA CIELO]]=AY$2,100%,AVANCE[[#This Row],[MEMBRANA CIELO]])</f>
        <v>0</v>
      </c>
      <c r="CM149" s="3">
        <f>+IF(AVANCE[[#This Row],[LIMPIEZA FINAL]]=AZ$2,100%,AVANCE[[#This Row],[LIMPIEZA FINAL]])</f>
        <v>0</v>
      </c>
      <c r="CN149" s="3">
        <f>+IF(AVANCE[[#This Row],[PUERTAS DORMITORIO]]=BA$2,100%,AVANCE[[#This Row],[PUERTAS DORMITORIO]])</f>
        <v>0</v>
      </c>
      <c r="CO149" s="3">
        <f>+IF(AVANCE[[#This Row],[REVESTIMIENTO INTERIOR BANO]]=BB$2,100%,AVANCE[[#This Row],[REVESTIMIENTO INTERIOR BANO]])</f>
        <v>0</v>
      </c>
      <c r="CP149" s="3">
        <f>+IF(AVANCE[[#This Row],[MUEBLE LAVAPLATOS]]=BC$2,100%,AVANCE[[#This Row],[MUEBLE LAVAPLATOS]])</f>
        <v>0</v>
      </c>
      <c r="CQ149" s="3">
        <f>+IF(AVANCE[[#This Row],[IMPERMEABILIZACION BANO - COCINA LOGIA]]=BD$2,100%,AVANCE[[#This Row],[IMPERMEABILIZACION BANO - COCINA LOGIA]])</f>
        <v>0</v>
      </c>
      <c r="CR149" s="40">
        <f ca="1">+IF(AVANCE[[#This Row],[ESTADO MODULO]]="PENDIENTE",(TODAY()-AVANCE[[#This Row],[FECHA TERMINO  PLANIFICADO]]),0)</f>
        <v>0</v>
      </c>
      <c r="CS149" s="42" t="str" cm="1">
        <f t="array" ref="CS149">_xlfn.TEXTJOIN(" | ",TRUE,IF(SUMPRODUCT((BF149:CQ149&lt;1)*(PARTIDAS!$I$2:$AT$2="OBRA GRUESA"))&gt;0,"OBRA GRUESA: "&amp;_xlfn.TEXTJOIN(", ",TRUE,IF((BF149:CQ149&lt;1)*(PARTIDAS!$I$2:$AT$2="OBRA GRUESA"),PARTIDAS!$I$1:$AT$1,"")),""),IF(SUMPRODUCT((BF149:CQ149&lt;1)*(PARTIDAS!$I$2:$AT$2="SANITARIOS"))&gt;0,"SANITARIOS: "&amp;_xlfn.TEXTJOIN(", ",TRUE,IF((BF149:CQ149&lt;1)*(PARTIDAS!$I$2:$AT$2="SANITARIOS"),PARTIDAS!$I$1:$AT$1,"")),""),IF(SUMPRODUCT((BF149:CQ149&lt;1)*(PARTIDAS!$I$2:$AT$2="ELÉCTRICO"))&gt;0,"ELÉCTRICO: "&amp;_xlfn.TEXTJOIN(", ",TRUE,IF((BF149:CQ149&lt;1)*(PARTIDAS!$I$2:$AT$2="ELÉCTRICO"),PARTIDAS!$I$1:$AT$1,"")),""),IF(SUMPRODUCT((BF149:CQ149&lt;1)*(PARTIDAS!$I$2:$AT$2="TERMINACIONES"))&gt;0,"TERMINACIONES: "&amp;_xlfn.TEXTJOIN(", ",TRUE,IF((BF149:CQ149&lt;1)*(PARTIDAS!$I$2:$AT$2="TERMINACIONES"),PARTIDAS!$I$1:$AT$1,"")),""))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49" s="45" t="str" cm="1">
        <f t="array" ref="CT149">_xlfn.TEXTJOIN(", ",TRUE,IF(SUMPRODUCT((BF149:CQ149&lt;1)*(PARTIDAS!$I$2:$AT$2="OBRA GRUESA"))&gt;0,"OBRA GRUESA",""),IF(SUMPRODUCT((BF149:CQ149&lt;1)*(PARTIDAS!$I$2:$AT$2="SANITARIOS"))&gt;0,"SANITARIOS",""),IF(SUMPRODUCT((BF149:CQ149&lt;1)*(PARTIDAS!$I$2:$AT$2="ELÉCTRICO"))&gt;0,"ELÉCTRICO",""),IF(SUMPRODUCT((BF149:CQ149&lt;1)*(PARTIDAS!$I$2:$AT$2="TERMINACIONES"))&gt;0,"TERMINACIONES",""))</f>
        <v>OBRA GRUESA, SANITARIOS, ELÉCTRICO, TERMINACIONES</v>
      </c>
      <c r="CU149" s="46" cm="1">
        <f t="array" ref="CU149">SUMPRODUCT(--(BF149:CQ149&lt;1))</f>
        <v>38</v>
      </c>
    </row>
    <row r="150" spans="1:99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46181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 t="str">
        <f>+IF(AVANCE[[#This Row],[% AVANCE]]=100%,"MODULO TERMINADO",IF(AVANCE[[#This Row],[FECHA INICIO REAL]]="","MODULO NO INICIADO","PENDIENTE"))</f>
        <v>MODULO NO INICIADO</v>
      </c>
      <c r="BF150" s="3">
        <f>+IF(AVANCE[[#This Row],[VENTANAS]]=8.10810810810811%,100%,AVANCE[[#This Row],[VENTANAS]])</f>
        <v>0</v>
      </c>
      <c r="BG150" s="3">
        <f>+IF(AVANCE[[#This Row],[PISO]]=N$2,100%,AVANCE[[#This Row],[PISO]])</f>
        <v>0</v>
      </c>
      <c r="BH150" s="3">
        <f>+IF(AVANCE[[#This Row],[TABIQUES]]=O$2,100%,AVANCE[[#This Row],[TABIQUES]])</f>
        <v>0</v>
      </c>
      <c r="BI150" s="3">
        <f>+IF(AVANCE[[#This Row],[MUROS]]=P$2,100%,AVANCE[[#This Row],[MUROS]])</f>
        <v>0</v>
      </c>
      <c r="BJ150" s="3">
        <f>+IF(AVANCE[[#This Row],[CIELO]]=Q$2,100%,AVANCE[[#This Row],[CIELO]])</f>
        <v>0</v>
      </c>
      <c r="BK150" s="3">
        <f>+IF(AVANCE[[#This Row],[BALCÓN]]=R$2,100%,AVANCE[[#This Row],[BALCÓN]])</f>
        <v>0</v>
      </c>
      <c r="BL150" s="3">
        <f>+IF(AVANCE[[#This Row],[RED ALCANTARILLADO]]=U$2,100%,AVANCE[[#This Row],[RED ALCANTARILLADO]])</f>
        <v>0</v>
      </c>
      <c r="BM150" s="3">
        <f>+IF(AVANCE[[#This Row],[RED DE AGUA]]=V$2,100%,AVANCE[[#This Row],[RED DE AGUA]])</f>
        <v>0</v>
      </c>
      <c r="BN150" s="3">
        <f>+IF(AVANCE[[#This Row],[VENTILACIONES]]=W$2,100%,AVANCE[[#This Row],[VENTILACIONES]])</f>
        <v>0</v>
      </c>
      <c r="BO150" s="3">
        <f>+IF(AVANCE[[#This Row],[TINA]]=X$2,100%,AVANCE[[#This Row],[TINA]])</f>
        <v>0</v>
      </c>
      <c r="BP150" s="3">
        <f>+IF(AVANCE[[#This Row],[WC]]=Y$2,100%,AVANCE[[#This Row],[WC]])</f>
        <v>0</v>
      </c>
      <c r="BQ150" s="3">
        <f>+IF(AVANCE[[#This Row],[LAVAMANOS / LAVAPLATOS / LAVADERO]]=Z$2,100%,AVANCE[[#This Row],[LAVAMANOS / LAVAPLATOS / LAVADERO]])</f>
        <v>0</v>
      </c>
      <c r="BR150" s="3">
        <f>+IF(AVANCE[[#This Row],[CANALIZACIÓN]]=AC$2,100%,AVANCE[[#This Row],[CANALIZACIÓN]])</f>
        <v>0</v>
      </c>
      <c r="BS150" s="3">
        <f>+IF(AVANCE[[#This Row],[CABLEADO]]=AD$2,100%,AVANCE[[#This Row],[CABLEADO]])</f>
        <v>0</v>
      </c>
      <c r="BT150" s="3">
        <f>+IF(AVANCE[[#This Row],[ARTEFACTOS]]=AE$2,100%,AVANCE[[#This Row],[ARTEFACTOS]])</f>
        <v>0</v>
      </c>
      <c r="BU150" s="3">
        <f>+IF(AVANCE[[#This Row],[TABLERO]]=AF$2,100%,AVANCE[[#This Row],[TABLERO]])</f>
        <v>0</v>
      </c>
      <c r="BV150" s="3">
        <f>+IF(AVANCE[[#This Row],[CAJA PAU]]=AG$2,100%,AVANCE[[#This Row],[CAJA PAU]])</f>
        <v>0</v>
      </c>
      <c r="BW150" s="3">
        <f>+IF(AVANCE[[#This Row],[INSTALACION VINILICO]]=AJ$2,100%,AVANCE[[#This Row],[INSTALACION VINILICO]])</f>
        <v>0</v>
      </c>
      <c r="BX150" s="3">
        <f>+IF(AVANCE[[#This Row],[OSB CUBIERTA]]=AK$2,100%,AVANCE[[#This Row],[OSB CUBIERTA]])</f>
        <v>0</v>
      </c>
      <c r="BY150" s="3">
        <f>+IF(AVANCE[[#This Row],[BARANDA BALCON]]=AL$2,100%,AVANCE[[#This Row],[BARANDA BALCON]])</f>
        <v>0</v>
      </c>
      <c r="BZ150" s="3">
        <f>+IF(AVANCE[[#This Row],[OSB EXTERIOR]]=AM$2,100%,AVANCE[[#This Row],[OSB EXTERIOR]])</f>
        <v>0</v>
      </c>
      <c r="CA150" s="3">
        <f>+IF(AVANCE[[#This Row],[SMART PANEL]]=AN$2,100%,AVANCE[[#This Row],[SMART PANEL]])</f>
        <v>0</v>
      </c>
      <c r="CB150" s="3">
        <f>+IF(AVANCE[[#This Row],[PINTURA EXTERIOR]]=AO$2,100%,AVANCE[[#This Row],[PINTURA EXTERIOR]])</f>
        <v>0</v>
      </c>
      <c r="CC150" s="3">
        <f>+IF(AVANCE[[#This Row],[ZOCALOS LOGIA]]=AP$2,100%,AVANCE[[#This Row],[ZOCALOS LOGIA]])</f>
        <v>0</v>
      </c>
      <c r="CD150" s="3">
        <f>+IF(AVANCE[[#This Row],[MOLDURAS]]=AQ$2,100%,AVANCE[[#This Row],[MOLDURAS]])</f>
        <v>0</v>
      </c>
      <c r="CE150" s="3">
        <f>+IF(AVANCE[[#This Row],[PILASTREO]]=AR$2,100%,AVANCE[[#This Row],[PILASTREO]])</f>
        <v>0</v>
      </c>
      <c r="CF150" s="3">
        <f>+IF(AVANCE[[#This Row],[CELOSIAS]]=AS$2,100%,AVANCE[[#This Row],[CELOSIAS]])</f>
        <v>0</v>
      </c>
      <c r="CG150" s="3">
        <f>+IF(AVANCE[[#This Row],[VENTANAS]]=AT$2,100%,AVANCE[[#This Row],[VENTANAS]])</f>
        <v>0</v>
      </c>
      <c r="CH150" s="3">
        <f>+IF(AVANCE[[#This Row],[PUERTAS ACCESO - LOGIA - BANO]]=AU$2,100%,AVANCE[[#This Row],[PUERTAS ACCESO - LOGIA - BANO]])</f>
        <v>0</v>
      </c>
      <c r="CI150" s="3">
        <f>+IF(AVANCE[[#This Row],[CERRADURAS]]=AV$2,100%,AVANCE[[#This Row],[CERRADURAS]])</f>
        <v>0</v>
      </c>
      <c r="CJ150" s="3">
        <f>+IF(AVANCE[[#This Row],[REVESTIMIENTO INTERIOR ZONA SECA]]=AW$2,100%,AVANCE[[#This Row],[REVESTIMIENTO INTERIOR ZONA SECA]])</f>
        <v>0</v>
      </c>
      <c r="CK150" s="3">
        <f>+IF(AVANCE[[#This Row],[REVESTIMIENTO INTERIOR ZONAS HUMEDAS]]=AX$2,100%,AVANCE[[#This Row],[REVESTIMIENTO INTERIOR ZONAS HUMEDAS]])</f>
        <v>0</v>
      </c>
      <c r="CL150" s="3">
        <f>+IF(AVANCE[[#This Row],[MEMBRANA CIELO]]=AY$2,100%,AVANCE[[#This Row],[MEMBRANA CIELO]])</f>
        <v>0</v>
      </c>
      <c r="CM150" s="3">
        <f>+IF(AVANCE[[#This Row],[LIMPIEZA FINAL]]=AZ$2,100%,AVANCE[[#This Row],[LIMPIEZA FINAL]])</f>
        <v>0</v>
      </c>
      <c r="CN150" s="3">
        <f>+IF(AVANCE[[#This Row],[PUERTAS DORMITORIO]]=BA$2,100%,AVANCE[[#This Row],[PUERTAS DORMITORIO]])</f>
        <v>0</v>
      </c>
      <c r="CO150" s="3">
        <f>+IF(AVANCE[[#This Row],[REVESTIMIENTO INTERIOR BANO]]=BB$2,100%,AVANCE[[#This Row],[REVESTIMIENTO INTERIOR BANO]])</f>
        <v>0</v>
      </c>
      <c r="CP150" s="3">
        <f>+IF(AVANCE[[#This Row],[MUEBLE LAVAPLATOS]]=BC$2,100%,AVANCE[[#This Row],[MUEBLE LAVAPLATOS]])</f>
        <v>0</v>
      </c>
      <c r="CQ150" s="3">
        <f>+IF(AVANCE[[#This Row],[IMPERMEABILIZACION BANO - COCINA LOGIA]]=BD$2,100%,AVANCE[[#This Row],[IMPERMEABILIZACION BANO - COCINA LOGIA]])</f>
        <v>0</v>
      </c>
      <c r="CR150" s="40">
        <f ca="1">+IF(AVANCE[[#This Row],[ESTADO MODULO]]="PENDIENTE",(TODAY()-AVANCE[[#This Row],[FECHA TERMINO  PLANIFICADO]]),0)</f>
        <v>0</v>
      </c>
      <c r="CS150" s="42" t="str" cm="1">
        <f t="array" ref="CS150">_xlfn.TEXTJOIN(" | ",TRUE,IF(SUMPRODUCT((BF150:CQ150&lt;1)*(PARTIDAS!$I$2:$AT$2="OBRA GRUESA"))&gt;0,"OBRA GRUESA: "&amp;_xlfn.TEXTJOIN(", ",TRUE,IF((BF150:CQ150&lt;1)*(PARTIDAS!$I$2:$AT$2="OBRA GRUESA"),PARTIDAS!$I$1:$AT$1,"")),""),IF(SUMPRODUCT((BF150:CQ150&lt;1)*(PARTIDAS!$I$2:$AT$2="SANITARIOS"))&gt;0,"SANITARIOS: "&amp;_xlfn.TEXTJOIN(", ",TRUE,IF((BF150:CQ150&lt;1)*(PARTIDAS!$I$2:$AT$2="SANITARIOS"),PARTIDAS!$I$1:$AT$1,"")),""),IF(SUMPRODUCT((BF150:CQ150&lt;1)*(PARTIDAS!$I$2:$AT$2="ELÉCTRICO"))&gt;0,"ELÉCTRICO: "&amp;_xlfn.TEXTJOIN(", ",TRUE,IF((BF150:CQ150&lt;1)*(PARTIDAS!$I$2:$AT$2="ELÉCTRICO"),PARTIDAS!$I$1:$AT$1,"")),""),IF(SUMPRODUCT((BF150:CQ150&lt;1)*(PARTIDAS!$I$2:$AT$2="TERMINACIONES"))&gt;0,"TERMINACIONES: "&amp;_xlfn.TEXTJOIN(", ",TRUE,IF((BF150:CQ150&lt;1)*(PARTIDAS!$I$2:$AT$2="TERMINACIONES"),PARTIDAS!$I$1:$AT$1,"")),""))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0" s="45" t="str" cm="1">
        <f t="array" ref="CT150">_xlfn.TEXTJOIN(", ",TRUE,IF(SUMPRODUCT((BF150:CQ150&lt;1)*(PARTIDAS!$I$2:$AT$2="OBRA GRUESA"))&gt;0,"OBRA GRUESA",""),IF(SUMPRODUCT((BF150:CQ150&lt;1)*(PARTIDAS!$I$2:$AT$2="SANITARIOS"))&gt;0,"SANITARIOS",""),IF(SUMPRODUCT((BF150:CQ150&lt;1)*(PARTIDAS!$I$2:$AT$2="ELÉCTRICO"))&gt;0,"ELÉCTRICO",""),IF(SUMPRODUCT((BF150:CQ150&lt;1)*(PARTIDAS!$I$2:$AT$2="TERMINACIONES"))&gt;0,"TERMINACIONES",""))</f>
        <v>OBRA GRUESA, SANITARIOS, ELÉCTRICO, TERMINACIONES</v>
      </c>
      <c r="CU150" s="46" cm="1">
        <f t="array" ref="CU150">SUMPRODUCT(--(BF150:CQ150&lt;1))</f>
        <v>38</v>
      </c>
    </row>
    <row r="151" spans="1:99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46181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 t="str">
        <f>+IF(AVANCE[[#This Row],[% AVANCE]]=100%,"MODULO TERMINADO",IF(AVANCE[[#This Row],[FECHA INICIO REAL]]="","MODULO NO INICIADO","PENDIENTE"))</f>
        <v>MODULO NO INICIADO</v>
      </c>
      <c r="BF151" s="3">
        <f>+IF(AVANCE[[#This Row],[VENTANAS]]=8.10810810810811%,100%,AVANCE[[#This Row],[VENTANAS]])</f>
        <v>0</v>
      </c>
      <c r="BG151" s="3">
        <f>+IF(AVANCE[[#This Row],[PISO]]=N$2,100%,AVANCE[[#This Row],[PISO]])</f>
        <v>0</v>
      </c>
      <c r="BH151" s="3">
        <f>+IF(AVANCE[[#This Row],[TABIQUES]]=O$2,100%,AVANCE[[#This Row],[TABIQUES]])</f>
        <v>0</v>
      </c>
      <c r="BI151" s="3">
        <f>+IF(AVANCE[[#This Row],[MUROS]]=P$2,100%,AVANCE[[#This Row],[MUROS]])</f>
        <v>0</v>
      </c>
      <c r="BJ151" s="3">
        <f>+IF(AVANCE[[#This Row],[CIELO]]=Q$2,100%,AVANCE[[#This Row],[CIELO]])</f>
        <v>0</v>
      </c>
      <c r="BK151" s="3">
        <f>+IF(AVANCE[[#This Row],[BALCÓN]]=R$2,100%,AVANCE[[#This Row],[BALCÓN]])</f>
        <v>0</v>
      </c>
      <c r="BL151" s="3">
        <f>+IF(AVANCE[[#This Row],[RED ALCANTARILLADO]]=U$2,100%,AVANCE[[#This Row],[RED ALCANTARILLADO]])</f>
        <v>0</v>
      </c>
      <c r="BM151" s="3">
        <f>+IF(AVANCE[[#This Row],[RED DE AGUA]]=V$2,100%,AVANCE[[#This Row],[RED DE AGUA]])</f>
        <v>0</v>
      </c>
      <c r="BN151" s="3">
        <f>+IF(AVANCE[[#This Row],[VENTILACIONES]]=W$2,100%,AVANCE[[#This Row],[VENTILACIONES]])</f>
        <v>0</v>
      </c>
      <c r="BO151" s="3">
        <f>+IF(AVANCE[[#This Row],[TINA]]=X$2,100%,AVANCE[[#This Row],[TINA]])</f>
        <v>0</v>
      </c>
      <c r="BP151" s="3">
        <f>+IF(AVANCE[[#This Row],[WC]]=Y$2,100%,AVANCE[[#This Row],[WC]])</f>
        <v>0</v>
      </c>
      <c r="BQ151" s="3">
        <f>+IF(AVANCE[[#This Row],[LAVAMANOS / LAVAPLATOS / LAVADERO]]=Z$2,100%,AVANCE[[#This Row],[LAVAMANOS / LAVAPLATOS / LAVADERO]])</f>
        <v>0</v>
      </c>
      <c r="BR151" s="3">
        <f>+IF(AVANCE[[#This Row],[CANALIZACIÓN]]=AC$2,100%,AVANCE[[#This Row],[CANALIZACIÓN]])</f>
        <v>0</v>
      </c>
      <c r="BS151" s="3">
        <f>+IF(AVANCE[[#This Row],[CABLEADO]]=AD$2,100%,AVANCE[[#This Row],[CABLEADO]])</f>
        <v>0</v>
      </c>
      <c r="BT151" s="3">
        <f>+IF(AVANCE[[#This Row],[ARTEFACTOS]]=AE$2,100%,AVANCE[[#This Row],[ARTEFACTOS]])</f>
        <v>0</v>
      </c>
      <c r="BU151" s="3">
        <f>+IF(AVANCE[[#This Row],[TABLERO]]=AF$2,100%,AVANCE[[#This Row],[TABLERO]])</f>
        <v>0</v>
      </c>
      <c r="BV151" s="3">
        <f>+IF(AVANCE[[#This Row],[CAJA PAU]]=AG$2,100%,AVANCE[[#This Row],[CAJA PAU]])</f>
        <v>0</v>
      </c>
      <c r="BW151" s="3">
        <f>+IF(AVANCE[[#This Row],[INSTALACION VINILICO]]=AJ$2,100%,AVANCE[[#This Row],[INSTALACION VINILICO]])</f>
        <v>0</v>
      </c>
      <c r="BX151" s="3">
        <f>+IF(AVANCE[[#This Row],[OSB CUBIERTA]]=AK$2,100%,AVANCE[[#This Row],[OSB CUBIERTA]])</f>
        <v>0</v>
      </c>
      <c r="BY151" s="3">
        <f>+IF(AVANCE[[#This Row],[BARANDA BALCON]]=AL$2,100%,AVANCE[[#This Row],[BARANDA BALCON]])</f>
        <v>0</v>
      </c>
      <c r="BZ151" s="3">
        <f>+IF(AVANCE[[#This Row],[OSB EXTERIOR]]=AM$2,100%,AVANCE[[#This Row],[OSB EXTERIOR]])</f>
        <v>0</v>
      </c>
      <c r="CA151" s="3">
        <f>+IF(AVANCE[[#This Row],[SMART PANEL]]=AN$2,100%,AVANCE[[#This Row],[SMART PANEL]])</f>
        <v>0</v>
      </c>
      <c r="CB151" s="3">
        <f>+IF(AVANCE[[#This Row],[PINTURA EXTERIOR]]=AO$2,100%,AVANCE[[#This Row],[PINTURA EXTERIOR]])</f>
        <v>0</v>
      </c>
      <c r="CC151" s="3">
        <f>+IF(AVANCE[[#This Row],[ZOCALOS LOGIA]]=AP$2,100%,AVANCE[[#This Row],[ZOCALOS LOGIA]])</f>
        <v>0</v>
      </c>
      <c r="CD151" s="3">
        <f>+IF(AVANCE[[#This Row],[MOLDURAS]]=AQ$2,100%,AVANCE[[#This Row],[MOLDURAS]])</f>
        <v>0</v>
      </c>
      <c r="CE151" s="3">
        <f>+IF(AVANCE[[#This Row],[PILASTREO]]=AR$2,100%,AVANCE[[#This Row],[PILASTREO]])</f>
        <v>0</v>
      </c>
      <c r="CF151" s="3">
        <f>+IF(AVANCE[[#This Row],[CELOSIAS]]=AS$2,100%,AVANCE[[#This Row],[CELOSIAS]])</f>
        <v>0</v>
      </c>
      <c r="CG151" s="3">
        <f>+IF(AVANCE[[#This Row],[VENTANAS]]=AT$2,100%,AVANCE[[#This Row],[VENTANAS]])</f>
        <v>0</v>
      </c>
      <c r="CH151" s="3">
        <f>+IF(AVANCE[[#This Row],[PUERTAS ACCESO - LOGIA - BANO]]=AU$2,100%,AVANCE[[#This Row],[PUERTAS ACCESO - LOGIA - BANO]])</f>
        <v>0</v>
      </c>
      <c r="CI151" s="3">
        <f>+IF(AVANCE[[#This Row],[CERRADURAS]]=AV$2,100%,AVANCE[[#This Row],[CERRADURAS]])</f>
        <v>0</v>
      </c>
      <c r="CJ151" s="3">
        <f>+IF(AVANCE[[#This Row],[REVESTIMIENTO INTERIOR ZONA SECA]]=AW$2,100%,AVANCE[[#This Row],[REVESTIMIENTO INTERIOR ZONA SECA]])</f>
        <v>0</v>
      </c>
      <c r="CK151" s="3">
        <f>+IF(AVANCE[[#This Row],[REVESTIMIENTO INTERIOR ZONAS HUMEDAS]]=AX$2,100%,AVANCE[[#This Row],[REVESTIMIENTO INTERIOR ZONAS HUMEDAS]])</f>
        <v>0</v>
      </c>
      <c r="CL151" s="3">
        <f>+IF(AVANCE[[#This Row],[MEMBRANA CIELO]]=AY$2,100%,AVANCE[[#This Row],[MEMBRANA CIELO]])</f>
        <v>0</v>
      </c>
      <c r="CM151" s="3">
        <f>+IF(AVANCE[[#This Row],[LIMPIEZA FINAL]]=AZ$2,100%,AVANCE[[#This Row],[LIMPIEZA FINAL]])</f>
        <v>0</v>
      </c>
      <c r="CN151" s="3">
        <f>+IF(AVANCE[[#This Row],[PUERTAS DORMITORIO]]=BA$2,100%,AVANCE[[#This Row],[PUERTAS DORMITORIO]])</f>
        <v>0</v>
      </c>
      <c r="CO151" s="3">
        <f>+IF(AVANCE[[#This Row],[REVESTIMIENTO INTERIOR BANO]]=BB$2,100%,AVANCE[[#This Row],[REVESTIMIENTO INTERIOR BANO]])</f>
        <v>0</v>
      </c>
      <c r="CP151" s="3">
        <f>+IF(AVANCE[[#This Row],[MUEBLE LAVAPLATOS]]=BC$2,100%,AVANCE[[#This Row],[MUEBLE LAVAPLATOS]])</f>
        <v>0</v>
      </c>
      <c r="CQ151" s="3">
        <f>+IF(AVANCE[[#This Row],[IMPERMEABILIZACION BANO - COCINA LOGIA]]=BD$2,100%,AVANCE[[#This Row],[IMPERMEABILIZACION BANO - COCINA LOGIA]])</f>
        <v>0</v>
      </c>
      <c r="CR151" s="40">
        <f ca="1">+IF(AVANCE[[#This Row],[ESTADO MODULO]]="PENDIENTE",(TODAY()-AVANCE[[#This Row],[FECHA TERMINO  PLANIFICADO]]),0)</f>
        <v>0</v>
      </c>
      <c r="CS151" s="42" t="str" cm="1">
        <f t="array" ref="CS151">_xlfn.TEXTJOIN(" | ",TRUE,IF(SUMPRODUCT((BF151:CQ151&lt;1)*(PARTIDAS!$I$2:$AT$2="OBRA GRUESA"))&gt;0,"OBRA GRUESA: "&amp;_xlfn.TEXTJOIN(", ",TRUE,IF((BF151:CQ151&lt;1)*(PARTIDAS!$I$2:$AT$2="OBRA GRUESA"),PARTIDAS!$I$1:$AT$1,"")),""),IF(SUMPRODUCT((BF151:CQ151&lt;1)*(PARTIDAS!$I$2:$AT$2="SANITARIOS"))&gt;0,"SANITARIOS: "&amp;_xlfn.TEXTJOIN(", ",TRUE,IF((BF151:CQ151&lt;1)*(PARTIDAS!$I$2:$AT$2="SANITARIOS"),PARTIDAS!$I$1:$AT$1,"")),""),IF(SUMPRODUCT((BF151:CQ151&lt;1)*(PARTIDAS!$I$2:$AT$2="ELÉCTRICO"))&gt;0,"ELÉCTRICO: "&amp;_xlfn.TEXTJOIN(", ",TRUE,IF((BF151:CQ151&lt;1)*(PARTIDAS!$I$2:$AT$2="ELÉCTRICO"),PARTIDAS!$I$1:$AT$1,"")),""),IF(SUMPRODUCT((BF151:CQ151&lt;1)*(PARTIDAS!$I$2:$AT$2="TERMINACIONES"))&gt;0,"TERMINACIONES: "&amp;_xlfn.TEXTJOIN(", ",TRUE,IF((BF151:CQ151&lt;1)*(PARTIDAS!$I$2:$AT$2="TERMINACIONES"),PARTIDAS!$I$1:$AT$1,"")),""))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1" s="45" t="str" cm="1">
        <f t="array" ref="CT151">_xlfn.TEXTJOIN(", ",TRUE,IF(SUMPRODUCT((BF151:CQ151&lt;1)*(PARTIDAS!$I$2:$AT$2="OBRA GRUESA"))&gt;0,"OBRA GRUESA",""),IF(SUMPRODUCT((BF151:CQ151&lt;1)*(PARTIDAS!$I$2:$AT$2="SANITARIOS"))&gt;0,"SANITARIOS",""),IF(SUMPRODUCT((BF151:CQ151&lt;1)*(PARTIDAS!$I$2:$AT$2="ELÉCTRICO"))&gt;0,"ELÉCTRICO",""),IF(SUMPRODUCT((BF151:CQ151&lt;1)*(PARTIDAS!$I$2:$AT$2="TERMINACIONES"))&gt;0,"TERMINACIONES",""))</f>
        <v>OBRA GRUESA, SANITARIOS, ELÉCTRICO, TERMINACIONES</v>
      </c>
      <c r="CU151" s="46" cm="1">
        <f t="array" ref="CU151">SUMPRODUCT(--(BF151:CQ151&lt;1))</f>
        <v>38</v>
      </c>
    </row>
    <row r="152" spans="1:99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46181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 t="str">
        <f>+IF(AVANCE[[#This Row],[% AVANCE]]=100%,"MODULO TERMINADO",IF(AVANCE[[#This Row],[FECHA INICIO REAL]]="","MODULO NO INICIADO","PENDIENTE"))</f>
        <v>MODULO NO INICIADO</v>
      </c>
      <c r="BF152" s="3">
        <f>+IF(AVANCE[[#This Row],[VENTANAS]]=8.10810810810811%,100%,AVANCE[[#This Row],[VENTANAS]])</f>
        <v>0</v>
      </c>
      <c r="BG152" s="3">
        <f>+IF(AVANCE[[#This Row],[PISO]]=N$2,100%,AVANCE[[#This Row],[PISO]])</f>
        <v>0</v>
      </c>
      <c r="BH152" s="3">
        <f>+IF(AVANCE[[#This Row],[TABIQUES]]=O$2,100%,AVANCE[[#This Row],[TABIQUES]])</f>
        <v>0</v>
      </c>
      <c r="BI152" s="3">
        <f>+IF(AVANCE[[#This Row],[MUROS]]=P$2,100%,AVANCE[[#This Row],[MUROS]])</f>
        <v>0</v>
      </c>
      <c r="BJ152" s="3">
        <f>+IF(AVANCE[[#This Row],[CIELO]]=Q$2,100%,AVANCE[[#This Row],[CIELO]])</f>
        <v>0</v>
      </c>
      <c r="BK152" s="3">
        <f>+IF(AVANCE[[#This Row],[BALCÓN]]=R$2,100%,AVANCE[[#This Row],[BALCÓN]])</f>
        <v>0</v>
      </c>
      <c r="BL152" s="3">
        <f>+IF(AVANCE[[#This Row],[RED ALCANTARILLADO]]=U$2,100%,AVANCE[[#This Row],[RED ALCANTARILLADO]])</f>
        <v>0</v>
      </c>
      <c r="BM152" s="3">
        <f>+IF(AVANCE[[#This Row],[RED DE AGUA]]=V$2,100%,AVANCE[[#This Row],[RED DE AGUA]])</f>
        <v>0</v>
      </c>
      <c r="BN152" s="3">
        <f>+IF(AVANCE[[#This Row],[VENTILACIONES]]=W$2,100%,AVANCE[[#This Row],[VENTILACIONES]])</f>
        <v>0</v>
      </c>
      <c r="BO152" s="3">
        <f>+IF(AVANCE[[#This Row],[TINA]]=X$2,100%,AVANCE[[#This Row],[TINA]])</f>
        <v>0</v>
      </c>
      <c r="BP152" s="3">
        <f>+IF(AVANCE[[#This Row],[WC]]=Y$2,100%,AVANCE[[#This Row],[WC]])</f>
        <v>0</v>
      </c>
      <c r="BQ152" s="3">
        <f>+IF(AVANCE[[#This Row],[LAVAMANOS / LAVAPLATOS / LAVADERO]]=Z$2,100%,AVANCE[[#This Row],[LAVAMANOS / LAVAPLATOS / LAVADERO]])</f>
        <v>0</v>
      </c>
      <c r="BR152" s="3">
        <f>+IF(AVANCE[[#This Row],[CANALIZACIÓN]]=AC$2,100%,AVANCE[[#This Row],[CANALIZACIÓN]])</f>
        <v>0</v>
      </c>
      <c r="BS152" s="3">
        <f>+IF(AVANCE[[#This Row],[CABLEADO]]=AD$2,100%,AVANCE[[#This Row],[CABLEADO]])</f>
        <v>0</v>
      </c>
      <c r="BT152" s="3">
        <f>+IF(AVANCE[[#This Row],[ARTEFACTOS]]=AE$2,100%,AVANCE[[#This Row],[ARTEFACTOS]])</f>
        <v>0</v>
      </c>
      <c r="BU152" s="3">
        <f>+IF(AVANCE[[#This Row],[TABLERO]]=AF$2,100%,AVANCE[[#This Row],[TABLERO]])</f>
        <v>0</v>
      </c>
      <c r="BV152" s="3">
        <f>+IF(AVANCE[[#This Row],[CAJA PAU]]=AG$2,100%,AVANCE[[#This Row],[CAJA PAU]])</f>
        <v>0</v>
      </c>
      <c r="BW152" s="3">
        <f>+IF(AVANCE[[#This Row],[INSTALACION VINILICO]]=AJ$2,100%,AVANCE[[#This Row],[INSTALACION VINILICO]])</f>
        <v>0</v>
      </c>
      <c r="BX152" s="3">
        <f>+IF(AVANCE[[#This Row],[OSB CUBIERTA]]=AK$2,100%,AVANCE[[#This Row],[OSB CUBIERTA]])</f>
        <v>0</v>
      </c>
      <c r="BY152" s="3">
        <f>+IF(AVANCE[[#This Row],[BARANDA BALCON]]=AL$2,100%,AVANCE[[#This Row],[BARANDA BALCON]])</f>
        <v>0</v>
      </c>
      <c r="BZ152" s="3">
        <f>+IF(AVANCE[[#This Row],[OSB EXTERIOR]]=AM$2,100%,AVANCE[[#This Row],[OSB EXTERIOR]])</f>
        <v>0</v>
      </c>
      <c r="CA152" s="3">
        <f>+IF(AVANCE[[#This Row],[SMART PANEL]]=AN$2,100%,AVANCE[[#This Row],[SMART PANEL]])</f>
        <v>0</v>
      </c>
      <c r="CB152" s="3">
        <f>+IF(AVANCE[[#This Row],[PINTURA EXTERIOR]]=AO$2,100%,AVANCE[[#This Row],[PINTURA EXTERIOR]])</f>
        <v>0</v>
      </c>
      <c r="CC152" s="3">
        <f>+IF(AVANCE[[#This Row],[ZOCALOS LOGIA]]=AP$2,100%,AVANCE[[#This Row],[ZOCALOS LOGIA]])</f>
        <v>0</v>
      </c>
      <c r="CD152" s="3">
        <f>+IF(AVANCE[[#This Row],[MOLDURAS]]=AQ$2,100%,AVANCE[[#This Row],[MOLDURAS]])</f>
        <v>0</v>
      </c>
      <c r="CE152" s="3">
        <f>+IF(AVANCE[[#This Row],[PILASTREO]]=AR$2,100%,AVANCE[[#This Row],[PILASTREO]])</f>
        <v>0</v>
      </c>
      <c r="CF152" s="3">
        <f>+IF(AVANCE[[#This Row],[CELOSIAS]]=AS$2,100%,AVANCE[[#This Row],[CELOSIAS]])</f>
        <v>0</v>
      </c>
      <c r="CG152" s="3">
        <f>+IF(AVANCE[[#This Row],[VENTANAS]]=AT$2,100%,AVANCE[[#This Row],[VENTANAS]])</f>
        <v>0</v>
      </c>
      <c r="CH152" s="3">
        <f>+IF(AVANCE[[#This Row],[PUERTAS ACCESO - LOGIA - BANO]]=AU$2,100%,AVANCE[[#This Row],[PUERTAS ACCESO - LOGIA - BANO]])</f>
        <v>0</v>
      </c>
      <c r="CI152" s="3">
        <f>+IF(AVANCE[[#This Row],[CERRADURAS]]=AV$2,100%,AVANCE[[#This Row],[CERRADURAS]])</f>
        <v>0</v>
      </c>
      <c r="CJ152" s="3">
        <f>+IF(AVANCE[[#This Row],[REVESTIMIENTO INTERIOR ZONA SECA]]=AW$2,100%,AVANCE[[#This Row],[REVESTIMIENTO INTERIOR ZONA SECA]])</f>
        <v>0</v>
      </c>
      <c r="CK152" s="3">
        <f>+IF(AVANCE[[#This Row],[REVESTIMIENTO INTERIOR ZONAS HUMEDAS]]=AX$2,100%,AVANCE[[#This Row],[REVESTIMIENTO INTERIOR ZONAS HUMEDAS]])</f>
        <v>0</v>
      </c>
      <c r="CL152" s="3">
        <f>+IF(AVANCE[[#This Row],[MEMBRANA CIELO]]=AY$2,100%,AVANCE[[#This Row],[MEMBRANA CIELO]])</f>
        <v>0</v>
      </c>
      <c r="CM152" s="3">
        <f>+IF(AVANCE[[#This Row],[LIMPIEZA FINAL]]=AZ$2,100%,AVANCE[[#This Row],[LIMPIEZA FINAL]])</f>
        <v>0</v>
      </c>
      <c r="CN152" s="3">
        <f>+IF(AVANCE[[#This Row],[PUERTAS DORMITORIO]]=BA$2,100%,AVANCE[[#This Row],[PUERTAS DORMITORIO]])</f>
        <v>0</v>
      </c>
      <c r="CO152" s="3">
        <f>+IF(AVANCE[[#This Row],[REVESTIMIENTO INTERIOR BANO]]=BB$2,100%,AVANCE[[#This Row],[REVESTIMIENTO INTERIOR BANO]])</f>
        <v>0</v>
      </c>
      <c r="CP152" s="3">
        <f>+IF(AVANCE[[#This Row],[MUEBLE LAVAPLATOS]]=BC$2,100%,AVANCE[[#This Row],[MUEBLE LAVAPLATOS]])</f>
        <v>0</v>
      </c>
      <c r="CQ152" s="3">
        <f>+IF(AVANCE[[#This Row],[IMPERMEABILIZACION BANO - COCINA LOGIA]]=BD$2,100%,AVANCE[[#This Row],[IMPERMEABILIZACION BANO - COCINA LOGIA]])</f>
        <v>0</v>
      </c>
      <c r="CR152" s="40">
        <f ca="1">+IF(AVANCE[[#This Row],[ESTADO MODULO]]="PENDIENTE",(TODAY()-AVANCE[[#This Row],[FECHA TERMINO  PLANIFICADO]]),0)</f>
        <v>0</v>
      </c>
      <c r="CS152" s="42" t="str" cm="1">
        <f t="array" ref="CS152">_xlfn.TEXTJOIN(" | ",TRUE,IF(SUMPRODUCT((BF152:CQ152&lt;1)*(PARTIDAS!$I$2:$AT$2="OBRA GRUESA"))&gt;0,"OBRA GRUESA: "&amp;_xlfn.TEXTJOIN(", ",TRUE,IF((BF152:CQ152&lt;1)*(PARTIDAS!$I$2:$AT$2="OBRA GRUESA"),PARTIDAS!$I$1:$AT$1,"")),""),IF(SUMPRODUCT((BF152:CQ152&lt;1)*(PARTIDAS!$I$2:$AT$2="SANITARIOS"))&gt;0,"SANITARIOS: "&amp;_xlfn.TEXTJOIN(", ",TRUE,IF((BF152:CQ152&lt;1)*(PARTIDAS!$I$2:$AT$2="SANITARIOS"),PARTIDAS!$I$1:$AT$1,"")),""),IF(SUMPRODUCT((BF152:CQ152&lt;1)*(PARTIDAS!$I$2:$AT$2="ELÉCTRICO"))&gt;0,"ELÉCTRICO: "&amp;_xlfn.TEXTJOIN(", ",TRUE,IF((BF152:CQ152&lt;1)*(PARTIDAS!$I$2:$AT$2="ELÉCTRICO"),PARTIDAS!$I$1:$AT$1,"")),""),IF(SUMPRODUCT((BF152:CQ152&lt;1)*(PARTIDAS!$I$2:$AT$2="TERMINACIONES"))&gt;0,"TERMINACIONES: "&amp;_xlfn.TEXTJOIN(", ",TRUE,IF((BF152:CQ152&lt;1)*(PARTIDAS!$I$2:$AT$2="TERMINACIONES"),PARTIDAS!$I$1:$AT$1,"")),""))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2" s="45" t="str" cm="1">
        <f t="array" ref="CT152">_xlfn.TEXTJOIN(", ",TRUE,IF(SUMPRODUCT((BF152:CQ152&lt;1)*(PARTIDAS!$I$2:$AT$2="OBRA GRUESA"))&gt;0,"OBRA GRUESA",""),IF(SUMPRODUCT((BF152:CQ152&lt;1)*(PARTIDAS!$I$2:$AT$2="SANITARIOS"))&gt;0,"SANITARIOS",""),IF(SUMPRODUCT((BF152:CQ152&lt;1)*(PARTIDAS!$I$2:$AT$2="ELÉCTRICO"))&gt;0,"ELÉCTRICO",""),IF(SUMPRODUCT((BF152:CQ152&lt;1)*(PARTIDAS!$I$2:$AT$2="TERMINACIONES"))&gt;0,"TERMINACIONES",""))</f>
        <v>OBRA GRUESA, SANITARIOS, ELÉCTRICO, TERMINACIONES</v>
      </c>
      <c r="CU152" s="46" cm="1">
        <f t="array" ref="CU152">SUMPRODUCT(--(BF152:CQ152&lt;1))</f>
        <v>38</v>
      </c>
    </row>
    <row r="153" spans="1:99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46181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 t="str">
        <f>+IF(AVANCE[[#This Row],[% AVANCE]]=100%,"MODULO TERMINADO",IF(AVANCE[[#This Row],[FECHA INICIO REAL]]="","MODULO NO INICIADO","PENDIENTE"))</f>
        <v>MODULO NO INICIADO</v>
      </c>
      <c r="BF153" s="3">
        <f>+IF(AVANCE[[#This Row],[VENTANAS]]=8.10810810810811%,100%,AVANCE[[#This Row],[VENTANAS]])</f>
        <v>0</v>
      </c>
      <c r="BG153" s="3">
        <f>+IF(AVANCE[[#This Row],[PISO]]=N$2,100%,AVANCE[[#This Row],[PISO]])</f>
        <v>0</v>
      </c>
      <c r="BH153" s="3">
        <f>+IF(AVANCE[[#This Row],[TABIQUES]]=O$2,100%,AVANCE[[#This Row],[TABIQUES]])</f>
        <v>0</v>
      </c>
      <c r="BI153" s="3">
        <f>+IF(AVANCE[[#This Row],[MUROS]]=P$2,100%,AVANCE[[#This Row],[MUROS]])</f>
        <v>0</v>
      </c>
      <c r="BJ153" s="3">
        <f>+IF(AVANCE[[#This Row],[CIELO]]=Q$2,100%,AVANCE[[#This Row],[CIELO]])</f>
        <v>0</v>
      </c>
      <c r="BK153" s="3">
        <f>+IF(AVANCE[[#This Row],[BALCÓN]]=R$2,100%,AVANCE[[#This Row],[BALCÓN]])</f>
        <v>0</v>
      </c>
      <c r="BL153" s="3">
        <f>+IF(AVANCE[[#This Row],[RED ALCANTARILLADO]]=U$2,100%,AVANCE[[#This Row],[RED ALCANTARILLADO]])</f>
        <v>0</v>
      </c>
      <c r="BM153" s="3">
        <f>+IF(AVANCE[[#This Row],[RED DE AGUA]]=V$2,100%,AVANCE[[#This Row],[RED DE AGUA]])</f>
        <v>0</v>
      </c>
      <c r="BN153" s="3">
        <f>+IF(AVANCE[[#This Row],[VENTILACIONES]]=W$2,100%,AVANCE[[#This Row],[VENTILACIONES]])</f>
        <v>0</v>
      </c>
      <c r="BO153" s="3">
        <f>+IF(AVANCE[[#This Row],[TINA]]=X$2,100%,AVANCE[[#This Row],[TINA]])</f>
        <v>0</v>
      </c>
      <c r="BP153" s="3">
        <f>+IF(AVANCE[[#This Row],[WC]]=Y$2,100%,AVANCE[[#This Row],[WC]])</f>
        <v>0</v>
      </c>
      <c r="BQ153" s="3">
        <f>+IF(AVANCE[[#This Row],[LAVAMANOS / LAVAPLATOS / LAVADERO]]=Z$2,100%,AVANCE[[#This Row],[LAVAMANOS / LAVAPLATOS / LAVADERO]])</f>
        <v>0</v>
      </c>
      <c r="BR153" s="3">
        <f>+IF(AVANCE[[#This Row],[CANALIZACIÓN]]=AC$2,100%,AVANCE[[#This Row],[CANALIZACIÓN]])</f>
        <v>0</v>
      </c>
      <c r="BS153" s="3">
        <f>+IF(AVANCE[[#This Row],[CABLEADO]]=AD$2,100%,AVANCE[[#This Row],[CABLEADO]])</f>
        <v>0</v>
      </c>
      <c r="BT153" s="3">
        <f>+IF(AVANCE[[#This Row],[ARTEFACTOS]]=AE$2,100%,AVANCE[[#This Row],[ARTEFACTOS]])</f>
        <v>0</v>
      </c>
      <c r="BU153" s="3">
        <f>+IF(AVANCE[[#This Row],[TABLERO]]=AF$2,100%,AVANCE[[#This Row],[TABLERO]])</f>
        <v>0</v>
      </c>
      <c r="BV153" s="3">
        <f>+IF(AVANCE[[#This Row],[CAJA PAU]]=AG$2,100%,AVANCE[[#This Row],[CAJA PAU]])</f>
        <v>0</v>
      </c>
      <c r="BW153" s="3">
        <f>+IF(AVANCE[[#This Row],[INSTALACION VINILICO]]=AJ$2,100%,AVANCE[[#This Row],[INSTALACION VINILICO]])</f>
        <v>0</v>
      </c>
      <c r="BX153" s="3">
        <f>+IF(AVANCE[[#This Row],[OSB CUBIERTA]]=AK$2,100%,AVANCE[[#This Row],[OSB CUBIERTA]])</f>
        <v>0</v>
      </c>
      <c r="BY153" s="3">
        <f>+IF(AVANCE[[#This Row],[BARANDA BALCON]]=AL$2,100%,AVANCE[[#This Row],[BARANDA BALCON]])</f>
        <v>0</v>
      </c>
      <c r="BZ153" s="3">
        <f>+IF(AVANCE[[#This Row],[OSB EXTERIOR]]=AM$2,100%,AVANCE[[#This Row],[OSB EXTERIOR]])</f>
        <v>0</v>
      </c>
      <c r="CA153" s="3">
        <f>+IF(AVANCE[[#This Row],[SMART PANEL]]=AN$2,100%,AVANCE[[#This Row],[SMART PANEL]])</f>
        <v>0</v>
      </c>
      <c r="CB153" s="3">
        <f>+IF(AVANCE[[#This Row],[PINTURA EXTERIOR]]=AO$2,100%,AVANCE[[#This Row],[PINTURA EXTERIOR]])</f>
        <v>0</v>
      </c>
      <c r="CC153" s="3">
        <f>+IF(AVANCE[[#This Row],[ZOCALOS LOGIA]]=AP$2,100%,AVANCE[[#This Row],[ZOCALOS LOGIA]])</f>
        <v>0</v>
      </c>
      <c r="CD153" s="3">
        <f>+IF(AVANCE[[#This Row],[MOLDURAS]]=AQ$2,100%,AVANCE[[#This Row],[MOLDURAS]])</f>
        <v>0</v>
      </c>
      <c r="CE153" s="3">
        <f>+IF(AVANCE[[#This Row],[PILASTREO]]=AR$2,100%,AVANCE[[#This Row],[PILASTREO]])</f>
        <v>0</v>
      </c>
      <c r="CF153" s="3">
        <f>+IF(AVANCE[[#This Row],[CELOSIAS]]=AS$2,100%,AVANCE[[#This Row],[CELOSIAS]])</f>
        <v>0</v>
      </c>
      <c r="CG153" s="3">
        <f>+IF(AVANCE[[#This Row],[VENTANAS]]=AT$2,100%,AVANCE[[#This Row],[VENTANAS]])</f>
        <v>0</v>
      </c>
      <c r="CH153" s="3">
        <f>+IF(AVANCE[[#This Row],[PUERTAS ACCESO - LOGIA - BANO]]=AU$2,100%,AVANCE[[#This Row],[PUERTAS ACCESO - LOGIA - BANO]])</f>
        <v>0</v>
      </c>
      <c r="CI153" s="3">
        <f>+IF(AVANCE[[#This Row],[CERRADURAS]]=AV$2,100%,AVANCE[[#This Row],[CERRADURAS]])</f>
        <v>0</v>
      </c>
      <c r="CJ153" s="3">
        <f>+IF(AVANCE[[#This Row],[REVESTIMIENTO INTERIOR ZONA SECA]]=AW$2,100%,AVANCE[[#This Row],[REVESTIMIENTO INTERIOR ZONA SECA]])</f>
        <v>0</v>
      </c>
      <c r="CK153" s="3">
        <f>+IF(AVANCE[[#This Row],[REVESTIMIENTO INTERIOR ZONAS HUMEDAS]]=AX$2,100%,AVANCE[[#This Row],[REVESTIMIENTO INTERIOR ZONAS HUMEDAS]])</f>
        <v>0</v>
      </c>
      <c r="CL153" s="3">
        <f>+IF(AVANCE[[#This Row],[MEMBRANA CIELO]]=AY$2,100%,AVANCE[[#This Row],[MEMBRANA CIELO]])</f>
        <v>0</v>
      </c>
      <c r="CM153" s="3">
        <f>+IF(AVANCE[[#This Row],[LIMPIEZA FINAL]]=AZ$2,100%,AVANCE[[#This Row],[LIMPIEZA FINAL]])</f>
        <v>0</v>
      </c>
      <c r="CN153" s="3">
        <f>+IF(AVANCE[[#This Row],[PUERTAS DORMITORIO]]=BA$2,100%,AVANCE[[#This Row],[PUERTAS DORMITORIO]])</f>
        <v>0</v>
      </c>
      <c r="CO153" s="3">
        <f>+IF(AVANCE[[#This Row],[REVESTIMIENTO INTERIOR BANO]]=BB$2,100%,AVANCE[[#This Row],[REVESTIMIENTO INTERIOR BANO]])</f>
        <v>0</v>
      </c>
      <c r="CP153" s="3">
        <f>+IF(AVANCE[[#This Row],[MUEBLE LAVAPLATOS]]=BC$2,100%,AVANCE[[#This Row],[MUEBLE LAVAPLATOS]])</f>
        <v>0</v>
      </c>
      <c r="CQ153" s="3">
        <f>+IF(AVANCE[[#This Row],[IMPERMEABILIZACION BANO - COCINA LOGIA]]=BD$2,100%,AVANCE[[#This Row],[IMPERMEABILIZACION BANO - COCINA LOGIA]])</f>
        <v>0</v>
      </c>
      <c r="CR153" s="40">
        <f ca="1">+IF(AVANCE[[#This Row],[ESTADO MODULO]]="PENDIENTE",(TODAY()-AVANCE[[#This Row],[FECHA TERMINO  PLANIFICADO]]),0)</f>
        <v>0</v>
      </c>
      <c r="CS153" s="42" t="str" cm="1">
        <f t="array" ref="CS153">_xlfn.TEXTJOIN(" | ",TRUE,IF(SUMPRODUCT((BF153:CQ153&lt;1)*(PARTIDAS!$I$2:$AT$2="OBRA GRUESA"))&gt;0,"OBRA GRUESA: "&amp;_xlfn.TEXTJOIN(", ",TRUE,IF((BF153:CQ153&lt;1)*(PARTIDAS!$I$2:$AT$2="OBRA GRUESA"),PARTIDAS!$I$1:$AT$1,"")),""),IF(SUMPRODUCT((BF153:CQ153&lt;1)*(PARTIDAS!$I$2:$AT$2="SANITARIOS"))&gt;0,"SANITARIOS: "&amp;_xlfn.TEXTJOIN(", ",TRUE,IF((BF153:CQ153&lt;1)*(PARTIDAS!$I$2:$AT$2="SANITARIOS"),PARTIDAS!$I$1:$AT$1,"")),""),IF(SUMPRODUCT((BF153:CQ153&lt;1)*(PARTIDAS!$I$2:$AT$2="ELÉCTRICO"))&gt;0,"ELÉCTRICO: "&amp;_xlfn.TEXTJOIN(", ",TRUE,IF((BF153:CQ153&lt;1)*(PARTIDAS!$I$2:$AT$2="ELÉCTRICO"),PARTIDAS!$I$1:$AT$1,"")),""),IF(SUMPRODUCT((BF153:CQ153&lt;1)*(PARTIDAS!$I$2:$AT$2="TERMINACIONES"))&gt;0,"TERMINACIONES: "&amp;_xlfn.TEXTJOIN(", ",TRUE,IF((BF153:CQ153&lt;1)*(PARTIDAS!$I$2:$AT$2="TERMINACIONES"),PARTIDAS!$I$1:$AT$1,"")),""))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3" s="45" t="str" cm="1">
        <f t="array" ref="CT153">_xlfn.TEXTJOIN(", ",TRUE,IF(SUMPRODUCT((BF153:CQ153&lt;1)*(PARTIDAS!$I$2:$AT$2="OBRA GRUESA"))&gt;0,"OBRA GRUESA",""),IF(SUMPRODUCT((BF153:CQ153&lt;1)*(PARTIDAS!$I$2:$AT$2="SANITARIOS"))&gt;0,"SANITARIOS",""),IF(SUMPRODUCT((BF153:CQ153&lt;1)*(PARTIDAS!$I$2:$AT$2="ELÉCTRICO"))&gt;0,"ELÉCTRICO",""),IF(SUMPRODUCT((BF153:CQ153&lt;1)*(PARTIDAS!$I$2:$AT$2="TERMINACIONES"))&gt;0,"TERMINACIONES",""))</f>
        <v>OBRA GRUESA, SANITARIOS, ELÉCTRICO, TERMINACIONES</v>
      </c>
      <c r="CU153" s="46" cm="1">
        <f t="array" ref="CU153">SUMPRODUCT(--(BF153:CQ153&lt;1))</f>
        <v>38</v>
      </c>
    </row>
    <row r="154" spans="1:99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46181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 t="str">
        <f>+IF(AVANCE[[#This Row],[% AVANCE]]=100%,"MODULO TERMINADO",IF(AVANCE[[#This Row],[FECHA INICIO REAL]]="","MODULO NO INICIADO","PENDIENTE"))</f>
        <v>MODULO NO INICIADO</v>
      </c>
      <c r="BF154" s="3">
        <f>+IF(AVANCE[[#This Row],[VENTANAS]]=8.10810810810811%,100%,AVANCE[[#This Row],[VENTANAS]])</f>
        <v>0</v>
      </c>
      <c r="BG154" s="3">
        <f>+IF(AVANCE[[#This Row],[PISO]]=N$2,100%,AVANCE[[#This Row],[PISO]])</f>
        <v>0</v>
      </c>
      <c r="BH154" s="3">
        <f>+IF(AVANCE[[#This Row],[TABIQUES]]=O$2,100%,AVANCE[[#This Row],[TABIQUES]])</f>
        <v>0</v>
      </c>
      <c r="BI154" s="3">
        <f>+IF(AVANCE[[#This Row],[MUROS]]=P$2,100%,AVANCE[[#This Row],[MUROS]])</f>
        <v>0</v>
      </c>
      <c r="BJ154" s="3">
        <f>+IF(AVANCE[[#This Row],[CIELO]]=Q$2,100%,AVANCE[[#This Row],[CIELO]])</f>
        <v>0</v>
      </c>
      <c r="BK154" s="3">
        <f>+IF(AVANCE[[#This Row],[BALCÓN]]=R$2,100%,AVANCE[[#This Row],[BALCÓN]])</f>
        <v>0</v>
      </c>
      <c r="BL154" s="3">
        <f>+IF(AVANCE[[#This Row],[RED ALCANTARILLADO]]=U$2,100%,AVANCE[[#This Row],[RED ALCANTARILLADO]])</f>
        <v>0</v>
      </c>
      <c r="BM154" s="3">
        <f>+IF(AVANCE[[#This Row],[RED DE AGUA]]=V$2,100%,AVANCE[[#This Row],[RED DE AGUA]])</f>
        <v>0</v>
      </c>
      <c r="BN154" s="3">
        <f>+IF(AVANCE[[#This Row],[VENTILACIONES]]=W$2,100%,AVANCE[[#This Row],[VENTILACIONES]])</f>
        <v>0</v>
      </c>
      <c r="BO154" s="3">
        <f>+IF(AVANCE[[#This Row],[TINA]]=X$2,100%,AVANCE[[#This Row],[TINA]])</f>
        <v>0</v>
      </c>
      <c r="BP154" s="3">
        <f>+IF(AVANCE[[#This Row],[WC]]=Y$2,100%,AVANCE[[#This Row],[WC]])</f>
        <v>0</v>
      </c>
      <c r="BQ154" s="3">
        <f>+IF(AVANCE[[#This Row],[LAVAMANOS / LAVAPLATOS / LAVADERO]]=Z$2,100%,AVANCE[[#This Row],[LAVAMANOS / LAVAPLATOS / LAVADERO]])</f>
        <v>0</v>
      </c>
      <c r="BR154" s="3">
        <f>+IF(AVANCE[[#This Row],[CANALIZACIÓN]]=AC$2,100%,AVANCE[[#This Row],[CANALIZACIÓN]])</f>
        <v>0</v>
      </c>
      <c r="BS154" s="3">
        <f>+IF(AVANCE[[#This Row],[CABLEADO]]=AD$2,100%,AVANCE[[#This Row],[CABLEADO]])</f>
        <v>0</v>
      </c>
      <c r="BT154" s="3">
        <f>+IF(AVANCE[[#This Row],[ARTEFACTOS]]=AE$2,100%,AVANCE[[#This Row],[ARTEFACTOS]])</f>
        <v>0</v>
      </c>
      <c r="BU154" s="3">
        <f>+IF(AVANCE[[#This Row],[TABLERO]]=AF$2,100%,AVANCE[[#This Row],[TABLERO]])</f>
        <v>0</v>
      </c>
      <c r="BV154" s="3">
        <f>+IF(AVANCE[[#This Row],[CAJA PAU]]=AG$2,100%,AVANCE[[#This Row],[CAJA PAU]])</f>
        <v>0</v>
      </c>
      <c r="BW154" s="3">
        <f>+IF(AVANCE[[#This Row],[INSTALACION VINILICO]]=AJ$2,100%,AVANCE[[#This Row],[INSTALACION VINILICO]])</f>
        <v>0</v>
      </c>
      <c r="BX154" s="3">
        <f>+IF(AVANCE[[#This Row],[OSB CUBIERTA]]=AK$2,100%,AVANCE[[#This Row],[OSB CUBIERTA]])</f>
        <v>0</v>
      </c>
      <c r="BY154" s="3">
        <f>+IF(AVANCE[[#This Row],[BARANDA BALCON]]=AL$2,100%,AVANCE[[#This Row],[BARANDA BALCON]])</f>
        <v>0</v>
      </c>
      <c r="BZ154" s="3">
        <f>+IF(AVANCE[[#This Row],[OSB EXTERIOR]]=AM$2,100%,AVANCE[[#This Row],[OSB EXTERIOR]])</f>
        <v>0</v>
      </c>
      <c r="CA154" s="3">
        <f>+IF(AVANCE[[#This Row],[SMART PANEL]]=AN$2,100%,AVANCE[[#This Row],[SMART PANEL]])</f>
        <v>0</v>
      </c>
      <c r="CB154" s="3">
        <f>+IF(AVANCE[[#This Row],[PINTURA EXTERIOR]]=AO$2,100%,AVANCE[[#This Row],[PINTURA EXTERIOR]])</f>
        <v>0</v>
      </c>
      <c r="CC154" s="3">
        <f>+IF(AVANCE[[#This Row],[ZOCALOS LOGIA]]=AP$2,100%,AVANCE[[#This Row],[ZOCALOS LOGIA]])</f>
        <v>0</v>
      </c>
      <c r="CD154" s="3">
        <f>+IF(AVANCE[[#This Row],[MOLDURAS]]=AQ$2,100%,AVANCE[[#This Row],[MOLDURAS]])</f>
        <v>0</v>
      </c>
      <c r="CE154" s="3">
        <f>+IF(AVANCE[[#This Row],[PILASTREO]]=AR$2,100%,AVANCE[[#This Row],[PILASTREO]])</f>
        <v>0</v>
      </c>
      <c r="CF154" s="3">
        <f>+IF(AVANCE[[#This Row],[CELOSIAS]]=AS$2,100%,AVANCE[[#This Row],[CELOSIAS]])</f>
        <v>0</v>
      </c>
      <c r="CG154" s="3">
        <f>+IF(AVANCE[[#This Row],[VENTANAS]]=AT$2,100%,AVANCE[[#This Row],[VENTANAS]])</f>
        <v>0</v>
      </c>
      <c r="CH154" s="3">
        <f>+IF(AVANCE[[#This Row],[PUERTAS ACCESO - LOGIA - BANO]]=AU$2,100%,AVANCE[[#This Row],[PUERTAS ACCESO - LOGIA - BANO]])</f>
        <v>0</v>
      </c>
      <c r="CI154" s="3">
        <f>+IF(AVANCE[[#This Row],[CERRADURAS]]=AV$2,100%,AVANCE[[#This Row],[CERRADURAS]])</f>
        <v>0</v>
      </c>
      <c r="CJ154" s="3">
        <f>+IF(AVANCE[[#This Row],[REVESTIMIENTO INTERIOR ZONA SECA]]=AW$2,100%,AVANCE[[#This Row],[REVESTIMIENTO INTERIOR ZONA SECA]])</f>
        <v>0</v>
      </c>
      <c r="CK154" s="3">
        <f>+IF(AVANCE[[#This Row],[REVESTIMIENTO INTERIOR ZONAS HUMEDAS]]=AX$2,100%,AVANCE[[#This Row],[REVESTIMIENTO INTERIOR ZONAS HUMEDAS]])</f>
        <v>0</v>
      </c>
      <c r="CL154" s="3">
        <f>+IF(AVANCE[[#This Row],[MEMBRANA CIELO]]=AY$2,100%,AVANCE[[#This Row],[MEMBRANA CIELO]])</f>
        <v>0</v>
      </c>
      <c r="CM154" s="3">
        <f>+IF(AVANCE[[#This Row],[LIMPIEZA FINAL]]=AZ$2,100%,AVANCE[[#This Row],[LIMPIEZA FINAL]])</f>
        <v>0</v>
      </c>
      <c r="CN154" s="3">
        <f>+IF(AVANCE[[#This Row],[PUERTAS DORMITORIO]]=BA$2,100%,AVANCE[[#This Row],[PUERTAS DORMITORIO]])</f>
        <v>0</v>
      </c>
      <c r="CO154" s="3">
        <f>+IF(AVANCE[[#This Row],[REVESTIMIENTO INTERIOR BANO]]=BB$2,100%,AVANCE[[#This Row],[REVESTIMIENTO INTERIOR BANO]])</f>
        <v>0</v>
      </c>
      <c r="CP154" s="3">
        <f>+IF(AVANCE[[#This Row],[MUEBLE LAVAPLATOS]]=BC$2,100%,AVANCE[[#This Row],[MUEBLE LAVAPLATOS]])</f>
        <v>0</v>
      </c>
      <c r="CQ154" s="3">
        <f>+IF(AVANCE[[#This Row],[IMPERMEABILIZACION BANO - COCINA LOGIA]]=BD$2,100%,AVANCE[[#This Row],[IMPERMEABILIZACION BANO - COCINA LOGIA]])</f>
        <v>0</v>
      </c>
      <c r="CR154" s="40">
        <f ca="1">+IF(AVANCE[[#This Row],[ESTADO MODULO]]="PENDIENTE",(TODAY()-AVANCE[[#This Row],[FECHA TERMINO  PLANIFICADO]]),0)</f>
        <v>0</v>
      </c>
      <c r="CS154" s="42" t="str" cm="1">
        <f t="array" ref="CS154">_xlfn.TEXTJOIN(" | ",TRUE,IF(SUMPRODUCT((BF154:CQ154&lt;1)*(PARTIDAS!$I$2:$AT$2="OBRA GRUESA"))&gt;0,"OBRA GRUESA: "&amp;_xlfn.TEXTJOIN(", ",TRUE,IF((BF154:CQ154&lt;1)*(PARTIDAS!$I$2:$AT$2="OBRA GRUESA"),PARTIDAS!$I$1:$AT$1,"")),""),IF(SUMPRODUCT((BF154:CQ154&lt;1)*(PARTIDAS!$I$2:$AT$2="SANITARIOS"))&gt;0,"SANITARIOS: "&amp;_xlfn.TEXTJOIN(", ",TRUE,IF((BF154:CQ154&lt;1)*(PARTIDAS!$I$2:$AT$2="SANITARIOS"),PARTIDAS!$I$1:$AT$1,"")),""),IF(SUMPRODUCT((BF154:CQ154&lt;1)*(PARTIDAS!$I$2:$AT$2="ELÉCTRICO"))&gt;0,"ELÉCTRICO: "&amp;_xlfn.TEXTJOIN(", ",TRUE,IF((BF154:CQ154&lt;1)*(PARTIDAS!$I$2:$AT$2="ELÉCTRICO"),PARTIDAS!$I$1:$AT$1,"")),""),IF(SUMPRODUCT((BF154:CQ154&lt;1)*(PARTIDAS!$I$2:$AT$2="TERMINACIONES"))&gt;0,"TERMINACIONES: "&amp;_xlfn.TEXTJOIN(", ",TRUE,IF((BF154:CQ154&lt;1)*(PARTIDAS!$I$2:$AT$2="TERMINACIONES"),PARTIDAS!$I$1:$AT$1,"")),""))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4" s="45" t="str" cm="1">
        <f t="array" ref="CT154">_xlfn.TEXTJOIN(", ",TRUE,IF(SUMPRODUCT((BF154:CQ154&lt;1)*(PARTIDAS!$I$2:$AT$2="OBRA GRUESA"))&gt;0,"OBRA GRUESA",""),IF(SUMPRODUCT((BF154:CQ154&lt;1)*(PARTIDAS!$I$2:$AT$2="SANITARIOS"))&gt;0,"SANITARIOS",""),IF(SUMPRODUCT((BF154:CQ154&lt;1)*(PARTIDAS!$I$2:$AT$2="ELÉCTRICO"))&gt;0,"ELÉCTRICO",""),IF(SUMPRODUCT((BF154:CQ154&lt;1)*(PARTIDAS!$I$2:$AT$2="TERMINACIONES"))&gt;0,"TERMINACIONES",""))</f>
        <v>OBRA GRUESA, SANITARIOS, ELÉCTRICO, TERMINACIONES</v>
      </c>
      <c r="CU154" s="46" cm="1">
        <f t="array" ref="CU154">SUMPRODUCT(--(BF154:CQ154&lt;1))</f>
        <v>38</v>
      </c>
    </row>
    <row r="155" spans="1:99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46181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 t="str">
        <f>+IF(AVANCE[[#This Row],[% AVANCE]]=100%,"MODULO TERMINADO",IF(AVANCE[[#This Row],[FECHA INICIO REAL]]="","MODULO NO INICIADO","PENDIENTE"))</f>
        <v>MODULO NO INICIADO</v>
      </c>
      <c r="BF155" s="3">
        <f>+IF(AVANCE[[#This Row],[VENTANAS]]=8.10810810810811%,100%,AVANCE[[#This Row],[VENTANAS]])</f>
        <v>0</v>
      </c>
      <c r="BG155" s="3">
        <f>+IF(AVANCE[[#This Row],[PISO]]=N$2,100%,AVANCE[[#This Row],[PISO]])</f>
        <v>0</v>
      </c>
      <c r="BH155" s="3">
        <f>+IF(AVANCE[[#This Row],[TABIQUES]]=O$2,100%,AVANCE[[#This Row],[TABIQUES]])</f>
        <v>0</v>
      </c>
      <c r="BI155" s="3">
        <f>+IF(AVANCE[[#This Row],[MUROS]]=P$2,100%,AVANCE[[#This Row],[MUROS]])</f>
        <v>0</v>
      </c>
      <c r="BJ155" s="3">
        <f>+IF(AVANCE[[#This Row],[CIELO]]=Q$2,100%,AVANCE[[#This Row],[CIELO]])</f>
        <v>0</v>
      </c>
      <c r="BK155" s="3">
        <f>+IF(AVANCE[[#This Row],[BALCÓN]]=R$2,100%,AVANCE[[#This Row],[BALCÓN]])</f>
        <v>0</v>
      </c>
      <c r="BL155" s="3">
        <f>+IF(AVANCE[[#This Row],[RED ALCANTARILLADO]]=U$2,100%,AVANCE[[#This Row],[RED ALCANTARILLADO]])</f>
        <v>0</v>
      </c>
      <c r="BM155" s="3">
        <f>+IF(AVANCE[[#This Row],[RED DE AGUA]]=V$2,100%,AVANCE[[#This Row],[RED DE AGUA]])</f>
        <v>0</v>
      </c>
      <c r="BN155" s="3">
        <f>+IF(AVANCE[[#This Row],[VENTILACIONES]]=W$2,100%,AVANCE[[#This Row],[VENTILACIONES]])</f>
        <v>0</v>
      </c>
      <c r="BO155" s="3">
        <f>+IF(AVANCE[[#This Row],[TINA]]=X$2,100%,AVANCE[[#This Row],[TINA]])</f>
        <v>0</v>
      </c>
      <c r="BP155" s="3">
        <f>+IF(AVANCE[[#This Row],[WC]]=Y$2,100%,AVANCE[[#This Row],[WC]])</f>
        <v>0</v>
      </c>
      <c r="BQ155" s="3">
        <f>+IF(AVANCE[[#This Row],[LAVAMANOS / LAVAPLATOS / LAVADERO]]=Z$2,100%,AVANCE[[#This Row],[LAVAMANOS / LAVAPLATOS / LAVADERO]])</f>
        <v>0</v>
      </c>
      <c r="BR155" s="3">
        <f>+IF(AVANCE[[#This Row],[CANALIZACIÓN]]=AC$2,100%,AVANCE[[#This Row],[CANALIZACIÓN]])</f>
        <v>0</v>
      </c>
      <c r="BS155" s="3">
        <f>+IF(AVANCE[[#This Row],[CABLEADO]]=AD$2,100%,AVANCE[[#This Row],[CABLEADO]])</f>
        <v>0</v>
      </c>
      <c r="BT155" s="3">
        <f>+IF(AVANCE[[#This Row],[ARTEFACTOS]]=AE$2,100%,AVANCE[[#This Row],[ARTEFACTOS]])</f>
        <v>0</v>
      </c>
      <c r="BU155" s="3">
        <f>+IF(AVANCE[[#This Row],[TABLERO]]=AF$2,100%,AVANCE[[#This Row],[TABLERO]])</f>
        <v>0</v>
      </c>
      <c r="BV155" s="3">
        <f>+IF(AVANCE[[#This Row],[CAJA PAU]]=AG$2,100%,AVANCE[[#This Row],[CAJA PAU]])</f>
        <v>0</v>
      </c>
      <c r="BW155" s="3">
        <f>+IF(AVANCE[[#This Row],[INSTALACION VINILICO]]=AJ$2,100%,AVANCE[[#This Row],[INSTALACION VINILICO]])</f>
        <v>0</v>
      </c>
      <c r="BX155" s="3">
        <f>+IF(AVANCE[[#This Row],[OSB CUBIERTA]]=AK$2,100%,AVANCE[[#This Row],[OSB CUBIERTA]])</f>
        <v>0</v>
      </c>
      <c r="BY155" s="3">
        <f>+IF(AVANCE[[#This Row],[BARANDA BALCON]]=AL$2,100%,AVANCE[[#This Row],[BARANDA BALCON]])</f>
        <v>0</v>
      </c>
      <c r="BZ155" s="3">
        <f>+IF(AVANCE[[#This Row],[OSB EXTERIOR]]=AM$2,100%,AVANCE[[#This Row],[OSB EXTERIOR]])</f>
        <v>0</v>
      </c>
      <c r="CA155" s="3">
        <f>+IF(AVANCE[[#This Row],[SMART PANEL]]=AN$2,100%,AVANCE[[#This Row],[SMART PANEL]])</f>
        <v>0</v>
      </c>
      <c r="CB155" s="3">
        <f>+IF(AVANCE[[#This Row],[PINTURA EXTERIOR]]=AO$2,100%,AVANCE[[#This Row],[PINTURA EXTERIOR]])</f>
        <v>0</v>
      </c>
      <c r="CC155" s="3">
        <f>+IF(AVANCE[[#This Row],[ZOCALOS LOGIA]]=AP$2,100%,AVANCE[[#This Row],[ZOCALOS LOGIA]])</f>
        <v>0</v>
      </c>
      <c r="CD155" s="3">
        <f>+IF(AVANCE[[#This Row],[MOLDURAS]]=AQ$2,100%,AVANCE[[#This Row],[MOLDURAS]])</f>
        <v>0</v>
      </c>
      <c r="CE155" s="3">
        <f>+IF(AVANCE[[#This Row],[PILASTREO]]=AR$2,100%,AVANCE[[#This Row],[PILASTREO]])</f>
        <v>0</v>
      </c>
      <c r="CF155" s="3">
        <f>+IF(AVANCE[[#This Row],[CELOSIAS]]=AS$2,100%,AVANCE[[#This Row],[CELOSIAS]])</f>
        <v>0</v>
      </c>
      <c r="CG155" s="3">
        <f>+IF(AVANCE[[#This Row],[VENTANAS]]=AT$2,100%,AVANCE[[#This Row],[VENTANAS]])</f>
        <v>0</v>
      </c>
      <c r="CH155" s="3">
        <f>+IF(AVANCE[[#This Row],[PUERTAS ACCESO - LOGIA - BANO]]=AU$2,100%,AVANCE[[#This Row],[PUERTAS ACCESO - LOGIA - BANO]])</f>
        <v>0</v>
      </c>
      <c r="CI155" s="3">
        <f>+IF(AVANCE[[#This Row],[CERRADURAS]]=AV$2,100%,AVANCE[[#This Row],[CERRADURAS]])</f>
        <v>0</v>
      </c>
      <c r="CJ155" s="3">
        <f>+IF(AVANCE[[#This Row],[REVESTIMIENTO INTERIOR ZONA SECA]]=AW$2,100%,AVANCE[[#This Row],[REVESTIMIENTO INTERIOR ZONA SECA]])</f>
        <v>0</v>
      </c>
      <c r="CK155" s="3">
        <f>+IF(AVANCE[[#This Row],[REVESTIMIENTO INTERIOR ZONAS HUMEDAS]]=AX$2,100%,AVANCE[[#This Row],[REVESTIMIENTO INTERIOR ZONAS HUMEDAS]])</f>
        <v>0</v>
      </c>
      <c r="CL155" s="3">
        <f>+IF(AVANCE[[#This Row],[MEMBRANA CIELO]]=AY$2,100%,AVANCE[[#This Row],[MEMBRANA CIELO]])</f>
        <v>0</v>
      </c>
      <c r="CM155" s="3">
        <f>+IF(AVANCE[[#This Row],[LIMPIEZA FINAL]]=AZ$2,100%,AVANCE[[#This Row],[LIMPIEZA FINAL]])</f>
        <v>0</v>
      </c>
      <c r="CN155" s="3">
        <f>+IF(AVANCE[[#This Row],[PUERTAS DORMITORIO]]=BA$2,100%,AVANCE[[#This Row],[PUERTAS DORMITORIO]])</f>
        <v>0</v>
      </c>
      <c r="CO155" s="3">
        <f>+IF(AVANCE[[#This Row],[REVESTIMIENTO INTERIOR BANO]]=BB$2,100%,AVANCE[[#This Row],[REVESTIMIENTO INTERIOR BANO]])</f>
        <v>0</v>
      </c>
      <c r="CP155" s="3">
        <f>+IF(AVANCE[[#This Row],[MUEBLE LAVAPLATOS]]=BC$2,100%,AVANCE[[#This Row],[MUEBLE LAVAPLATOS]])</f>
        <v>0</v>
      </c>
      <c r="CQ155" s="3">
        <f>+IF(AVANCE[[#This Row],[IMPERMEABILIZACION BANO - COCINA LOGIA]]=BD$2,100%,AVANCE[[#This Row],[IMPERMEABILIZACION BANO - COCINA LOGIA]])</f>
        <v>0</v>
      </c>
      <c r="CR155" s="40">
        <f ca="1">+IF(AVANCE[[#This Row],[ESTADO MODULO]]="PENDIENTE",(TODAY()-AVANCE[[#This Row],[FECHA TERMINO  PLANIFICADO]]),0)</f>
        <v>0</v>
      </c>
      <c r="CS155" s="42" t="str" cm="1">
        <f t="array" ref="CS155">_xlfn.TEXTJOIN(" | ",TRUE,IF(SUMPRODUCT((BF155:CQ155&lt;1)*(PARTIDAS!$I$2:$AT$2="OBRA GRUESA"))&gt;0,"OBRA GRUESA: "&amp;_xlfn.TEXTJOIN(", ",TRUE,IF((BF155:CQ155&lt;1)*(PARTIDAS!$I$2:$AT$2="OBRA GRUESA"),PARTIDAS!$I$1:$AT$1,"")),""),IF(SUMPRODUCT((BF155:CQ155&lt;1)*(PARTIDAS!$I$2:$AT$2="SANITARIOS"))&gt;0,"SANITARIOS: "&amp;_xlfn.TEXTJOIN(", ",TRUE,IF((BF155:CQ155&lt;1)*(PARTIDAS!$I$2:$AT$2="SANITARIOS"),PARTIDAS!$I$1:$AT$1,"")),""),IF(SUMPRODUCT((BF155:CQ155&lt;1)*(PARTIDAS!$I$2:$AT$2="ELÉCTRICO"))&gt;0,"ELÉCTRICO: "&amp;_xlfn.TEXTJOIN(", ",TRUE,IF((BF155:CQ155&lt;1)*(PARTIDAS!$I$2:$AT$2="ELÉCTRICO"),PARTIDAS!$I$1:$AT$1,"")),""),IF(SUMPRODUCT((BF155:CQ155&lt;1)*(PARTIDAS!$I$2:$AT$2="TERMINACIONES"))&gt;0,"TERMINACIONES: "&amp;_xlfn.TEXTJOIN(", ",TRUE,IF((BF155:CQ155&lt;1)*(PARTIDAS!$I$2:$AT$2="TERMINACIONES"),PARTIDAS!$I$1:$AT$1,"")),""))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5" s="45" t="str" cm="1">
        <f t="array" ref="CT155">_xlfn.TEXTJOIN(", ",TRUE,IF(SUMPRODUCT((BF155:CQ155&lt;1)*(PARTIDAS!$I$2:$AT$2="OBRA GRUESA"))&gt;0,"OBRA GRUESA",""),IF(SUMPRODUCT((BF155:CQ155&lt;1)*(PARTIDAS!$I$2:$AT$2="SANITARIOS"))&gt;0,"SANITARIOS",""),IF(SUMPRODUCT((BF155:CQ155&lt;1)*(PARTIDAS!$I$2:$AT$2="ELÉCTRICO"))&gt;0,"ELÉCTRICO",""),IF(SUMPRODUCT((BF155:CQ155&lt;1)*(PARTIDAS!$I$2:$AT$2="TERMINACIONES"))&gt;0,"TERMINACIONES",""))</f>
        <v>OBRA GRUESA, SANITARIOS, ELÉCTRICO, TERMINACIONES</v>
      </c>
      <c r="CU155" s="46" cm="1">
        <f t="array" ref="CU155">SUMPRODUCT(--(BF155:CQ155&lt;1))</f>
        <v>38</v>
      </c>
    </row>
    <row r="156" spans="1:99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46181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 t="str">
        <f>+IF(AVANCE[[#This Row],[% AVANCE]]=100%,"MODULO TERMINADO",IF(AVANCE[[#This Row],[FECHA INICIO REAL]]="","MODULO NO INICIADO","PENDIENTE"))</f>
        <v>MODULO NO INICIADO</v>
      </c>
      <c r="BF156" s="3">
        <f>+IF(AVANCE[[#This Row],[VENTANAS]]=8.10810810810811%,100%,AVANCE[[#This Row],[VENTANAS]])</f>
        <v>0</v>
      </c>
      <c r="BG156" s="3">
        <f>+IF(AVANCE[[#This Row],[PISO]]=N$2,100%,AVANCE[[#This Row],[PISO]])</f>
        <v>0</v>
      </c>
      <c r="BH156" s="3">
        <f>+IF(AVANCE[[#This Row],[TABIQUES]]=O$2,100%,AVANCE[[#This Row],[TABIQUES]])</f>
        <v>0</v>
      </c>
      <c r="BI156" s="3">
        <f>+IF(AVANCE[[#This Row],[MUROS]]=P$2,100%,AVANCE[[#This Row],[MUROS]])</f>
        <v>0</v>
      </c>
      <c r="BJ156" s="3">
        <f>+IF(AVANCE[[#This Row],[CIELO]]=Q$2,100%,AVANCE[[#This Row],[CIELO]])</f>
        <v>0</v>
      </c>
      <c r="BK156" s="3">
        <f>+IF(AVANCE[[#This Row],[BALCÓN]]=R$2,100%,AVANCE[[#This Row],[BALCÓN]])</f>
        <v>0</v>
      </c>
      <c r="BL156" s="3">
        <f>+IF(AVANCE[[#This Row],[RED ALCANTARILLADO]]=U$2,100%,AVANCE[[#This Row],[RED ALCANTARILLADO]])</f>
        <v>0</v>
      </c>
      <c r="BM156" s="3">
        <f>+IF(AVANCE[[#This Row],[RED DE AGUA]]=V$2,100%,AVANCE[[#This Row],[RED DE AGUA]])</f>
        <v>0</v>
      </c>
      <c r="BN156" s="3">
        <f>+IF(AVANCE[[#This Row],[VENTILACIONES]]=W$2,100%,AVANCE[[#This Row],[VENTILACIONES]])</f>
        <v>0</v>
      </c>
      <c r="BO156" s="3">
        <f>+IF(AVANCE[[#This Row],[TINA]]=X$2,100%,AVANCE[[#This Row],[TINA]])</f>
        <v>0</v>
      </c>
      <c r="BP156" s="3">
        <f>+IF(AVANCE[[#This Row],[WC]]=Y$2,100%,AVANCE[[#This Row],[WC]])</f>
        <v>0</v>
      </c>
      <c r="BQ156" s="3">
        <f>+IF(AVANCE[[#This Row],[LAVAMANOS / LAVAPLATOS / LAVADERO]]=Z$2,100%,AVANCE[[#This Row],[LAVAMANOS / LAVAPLATOS / LAVADERO]])</f>
        <v>0</v>
      </c>
      <c r="BR156" s="3">
        <f>+IF(AVANCE[[#This Row],[CANALIZACIÓN]]=AC$2,100%,AVANCE[[#This Row],[CANALIZACIÓN]])</f>
        <v>0</v>
      </c>
      <c r="BS156" s="3">
        <f>+IF(AVANCE[[#This Row],[CABLEADO]]=AD$2,100%,AVANCE[[#This Row],[CABLEADO]])</f>
        <v>0</v>
      </c>
      <c r="BT156" s="3">
        <f>+IF(AVANCE[[#This Row],[ARTEFACTOS]]=AE$2,100%,AVANCE[[#This Row],[ARTEFACTOS]])</f>
        <v>0</v>
      </c>
      <c r="BU156" s="3">
        <f>+IF(AVANCE[[#This Row],[TABLERO]]=AF$2,100%,AVANCE[[#This Row],[TABLERO]])</f>
        <v>0</v>
      </c>
      <c r="BV156" s="3">
        <f>+IF(AVANCE[[#This Row],[CAJA PAU]]=AG$2,100%,AVANCE[[#This Row],[CAJA PAU]])</f>
        <v>0</v>
      </c>
      <c r="BW156" s="3">
        <f>+IF(AVANCE[[#This Row],[INSTALACION VINILICO]]=AJ$2,100%,AVANCE[[#This Row],[INSTALACION VINILICO]])</f>
        <v>0</v>
      </c>
      <c r="BX156" s="3">
        <f>+IF(AVANCE[[#This Row],[OSB CUBIERTA]]=AK$2,100%,AVANCE[[#This Row],[OSB CUBIERTA]])</f>
        <v>0</v>
      </c>
      <c r="BY156" s="3">
        <f>+IF(AVANCE[[#This Row],[BARANDA BALCON]]=AL$2,100%,AVANCE[[#This Row],[BARANDA BALCON]])</f>
        <v>0</v>
      </c>
      <c r="BZ156" s="3">
        <f>+IF(AVANCE[[#This Row],[OSB EXTERIOR]]=AM$2,100%,AVANCE[[#This Row],[OSB EXTERIOR]])</f>
        <v>0</v>
      </c>
      <c r="CA156" s="3">
        <f>+IF(AVANCE[[#This Row],[SMART PANEL]]=AN$2,100%,AVANCE[[#This Row],[SMART PANEL]])</f>
        <v>0</v>
      </c>
      <c r="CB156" s="3">
        <f>+IF(AVANCE[[#This Row],[PINTURA EXTERIOR]]=AO$2,100%,AVANCE[[#This Row],[PINTURA EXTERIOR]])</f>
        <v>0</v>
      </c>
      <c r="CC156" s="3">
        <f>+IF(AVANCE[[#This Row],[ZOCALOS LOGIA]]=AP$2,100%,AVANCE[[#This Row],[ZOCALOS LOGIA]])</f>
        <v>0</v>
      </c>
      <c r="CD156" s="3">
        <f>+IF(AVANCE[[#This Row],[MOLDURAS]]=AQ$2,100%,AVANCE[[#This Row],[MOLDURAS]])</f>
        <v>0</v>
      </c>
      <c r="CE156" s="3">
        <f>+IF(AVANCE[[#This Row],[PILASTREO]]=AR$2,100%,AVANCE[[#This Row],[PILASTREO]])</f>
        <v>0</v>
      </c>
      <c r="CF156" s="3">
        <f>+IF(AVANCE[[#This Row],[CELOSIAS]]=AS$2,100%,AVANCE[[#This Row],[CELOSIAS]])</f>
        <v>0</v>
      </c>
      <c r="CG156" s="3">
        <f>+IF(AVANCE[[#This Row],[VENTANAS]]=AT$2,100%,AVANCE[[#This Row],[VENTANAS]])</f>
        <v>0</v>
      </c>
      <c r="CH156" s="3">
        <f>+IF(AVANCE[[#This Row],[PUERTAS ACCESO - LOGIA - BANO]]=AU$2,100%,AVANCE[[#This Row],[PUERTAS ACCESO - LOGIA - BANO]])</f>
        <v>0</v>
      </c>
      <c r="CI156" s="3">
        <f>+IF(AVANCE[[#This Row],[CERRADURAS]]=AV$2,100%,AVANCE[[#This Row],[CERRADURAS]])</f>
        <v>0</v>
      </c>
      <c r="CJ156" s="3">
        <f>+IF(AVANCE[[#This Row],[REVESTIMIENTO INTERIOR ZONA SECA]]=AW$2,100%,AVANCE[[#This Row],[REVESTIMIENTO INTERIOR ZONA SECA]])</f>
        <v>0</v>
      </c>
      <c r="CK156" s="3">
        <f>+IF(AVANCE[[#This Row],[REVESTIMIENTO INTERIOR ZONAS HUMEDAS]]=AX$2,100%,AVANCE[[#This Row],[REVESTIMIENTO INTERIOR ZONAS HUMEDAS]])</f>
        <v>0</v>
      </c>
      <c r="CL156" s="3">
        <f>+IF(AVANCE[[#This Row],[MEMBRANA CIELO]]=AY$2,100%,AVANCE[[#This Row],[MEMBRANA CIELO]])</f>
        <v>0</v>
      </c>
      <c r="CM156" s="3">
        <f>+IF(AVANCE[[#This Row],[LIMPIEZA FINAL]]=AZ$2,100%,AVANCE[[#This Row],[LIMPIEZA FINAL]])</f>
        <v>0</v>
      </c>
      <c r="CN156" s="3">
        <f>+IF(AVANCE[[#This Row],[PUERTAS DORMITORIO]]=BA$2,100%,AVANCE[[#This Row],[PUERTAS DORMITORIO]])</f>
        <v>0</v>
      </c>
      <c r="CO156" s="3">
        <f>+IF(AVANCE[[#This Row],[REVESTIMIENTO INTERIOR BANO]]=BB$2,100%,AVANCE[[#This Row],[REVESTIMIENTO INTERIOR BANO]])</f>
        <v>0</v>
      </c>
      <c r="CP156" s="3">
        <f>+IF(AVANCE[[#This Row],[MUEBLE LAVAPLATOS]]=BC$2,100%,AVANCE[[#This Row],[MUEBLE LAVAPLATOS]])</f>
        <v>0</v>
      </c>
      <c r="CQ156" s="3">
        <f>+IF(AVANCE[[#This Row],[IMPERMEABILIZACION BANO - COCINA LOGIA]]=BD$2,100%,AVANCE[[#This Row],[IMPERMEABILIZACION BANO - COCINA LOGIA]])</f>
        <v>0</v>
      </c>
      <c r="CR156" s="40">
        <f ca="1">+IF(AVANCE[[#This Row],[ESTADO MODULO]]="PENDIENTE",(TODAY()-AVANCE[[#This Row],[FECHA TERMINO  PLANIFICADO]]),0)</f>
        <v>0</v>
      </c>
      <c r="CS156" s="42" t="str" cm="1">
        <f t="array" ref="CS156">_xlfn.TEXTJOIN(" | ",TRUE,IF(SUMPRODUCT((BF156:CQ156&lt;1)*(PARTIDAS!$I$2:$AT$2="OBRA GRUESA"))&gt;0,"OBRA GRUESA: "&amp;_xlfn.TEXTJOIN(", ",TRUE,IF((BF156:CQ156&lt;1)*(PARTIDAS!$I$2:$AT$2="OBRA GRUESA"),PARTIDAS!$I$1:$AT$1,"")),""),IF(SUMPRODUCT((BF156:CQ156&lt;1)*(PARTIDAS!$I$2:$AT$2="SANITARIOS"))&gt;0,"SANITARIOS: "&amp;_xlfn.TEXTJOIN(", ",TRUE,IF((BF156:CQ156&lt;1)*(PARTIDAS!$I$2:$AT$2="SANITARIOS"),PARTIDAS!$I$1:$AT$1,"")),""),IF(SUMPRODUCT((BF156:CQ156&lt;1)*(PARTIDAS!$I$2:$AT$2="ELÉCTRICO"))&gt;0,"ELÉCTRICO: "&amp;_xlfn.TEXTJOIN(", ",TRUE,IF((BF156:CQ156&lt;1)*(PARTIDAS!$I$2:$AT$2="ELÉCTRICO"),PARTIDAS!$I$1:$AT$1,"")),""),IF(SUMPRODUCT((BF156:CQ156&lt;1)*(PARTIDAS!$I$2:$AT$2="TERMINACIONES"))&gt;0,"TERMINACIONES: "&amp;_xlfn.TEXTJOIN(", ",TRUE,IF((BF156:CQ156&lt;1)*(PARTIDAS!$I$2:$AT$2="TERMINACIONES"),PARTIDAS!$I$1:$AT$1,"")),""))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6" s="45" t="str" cm="1">
        <f t="array" ref="CT156">_xlfn.TEXTJOIN(", ",TRUE,IF(SUMPRODUCT((BF156:CQ156&lt;1)*(PARTIDAS!$I$2:$AT$2="OBRA GRUESA"))&gt;0,"OBRA GRUESA",""),IF(SUMPRODUCT((BF156:CQ156&lt;1)*(PARTIDAS!$I$2:$AT$2="SANITARIOS"))&gt;0,"SANITARIOS",""),IF(SUMPRODUCT((BF156:CQ156&lt;1)*(PARTIDAS!$I$2:$AT$2="ELÉCTRICO"))&gt;0,"ELÉCTRICO",""),IF(SUMPRODUCT((BF156:CQ156&lt;1)*(PARTIDAS!$I$2:$AT$2="TERMINACIONES"))&gt;0,"TERMINACIONES",""))</f>
        <v>OBRA GRUESA, SANITARIOS, ELÉCTRICO, TERMINACIONES</v>
      </c>
      <c r="CU156" s="46" cm="1">
        <f t="array" ref="CU156">SUMPRODUCT(--(BF156:CQ156&lt;1))</f>
        <v>38</v>
      </c>
    </row>
    <row r="157" spans="1:99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46181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 t="str">
        <f>+IF(AVANCE[[#This Row],[% AVANCE]]=100%,"MODULO TERMINADO",IF(AVANCE[[#This Row],[FECHA INICIO REAL]]="","MODULO NO INICIADO","PENDIENTE"))</f>
        <v>MODULO NO INICIADO</v>
      </c>
      <c r="BF157" s="3">
        <f>+IF(AVANCE[[#This Row],[VENTANAS]]=8.10810810810811%,100%,AVANCE[[#This Row],[VENTANAS]])</f>
        <v>0</v>
      </c>
      <c r="BG157" s="3">
        <f>+IF(AVANCE[[#This Row],[PISO]]=N$2,100%,AVANCE[[#This Row],[PISO]])</f>
        <v>0</v>
      </c>
      <c r="BH157" s="3">
        <f>+IF(AVANCE[[#This Row],[TABIQUES]]=O$2,100%,AVANCE[[#This Row],[TABIQUES]])</f>
        <v>0</v>
      </c>
      <c r="BI157" s="3">
        <f>+IF(AVANCE[[#This Row],[MUROS]]=P$2,100%,AVANCE[[#This Row],[MUROS]])</f>
        <v>0</v>
      </c>
      <c r="BJ157" s="3">
        <f>+IF(AVANCE[[#This Row],[CIELO]]=Q$2,100%,AVANCE[[#This Row],[CIELO]])</f>
        <v>0</v>
      </c>
      <c r="BK157" s="3">
        <f>+IF(AVANCE[[#This Row],[BALCÓN]]=R$2,100%,AVANCE[[#This Row],[BALCÓN]])</f>
        <v>0</v>
      </c>
      <c r="BL157" s="3">
        <f>+IF(AVANCE[[#This Row],[RED ALCANTARILLADO]]=U$2,100%,AVANCE[[#This Row],[RED ALCANTARILLADO]])</f>
        <v>0</v>
      </c>
      <c r="BM157" s="3">
        <f>+IF(AVANCE[[#This Row],[RED DE AGUA]]=V$2,100%,AVANCE[[#This Row],[RED DE AGUA]])</f>
        <v>0</v>
      </c>
      <c r="BN157" s="3">
        <f>+IF(AVANCE[[#This Row],[VENTILACIONES]]=W$2,100%,AVANCE[[#This Row],[VENTILACIONES]])</f>
        <v>0</v>
      </c>
      <c r="BO157" s="3">
        <f>+IF(AVANCE[[#This Row],[TINA]]=X$2,100%,AVANCE[[#This Row],[TINA]])</f>
        <v>0</v>
      </c>
      <c r="BP157" s="3">
        <f>+IF(AVANCE[[#This Row],[WC]]=Y$2,100%,AVANCE[[#This Row],[WC]])</f>
        <v>0</v>
      </c>
      <c r="BQ157" s="3">
        <f>+IF(AVANCE[[#This Row],[LAVAMANOS / LAVAPLATOS / LAVADERO]]=Z$2,100%,AVANCE[[#This Row],[LAVAMANOS / LAVAPLATOS / LAVADERO]])</f>
        <v>0</v>
      </c>
      <c r="BR157" s="3">
        <f>+IF(AVANCE[[#This Row],[CANALIZACIÓN]]=AC$2,100%,AVANCE[[#This Row],[CANALIZACIÓN]])</f>
        <v>0</v>
      </c>
      <c r="BS157" s="3">
        <f>+IF(AVANCE[[#This Row],[CABLEADO]]=AD$2,100%,AVANCE[[#This Row],[CABLEADO]])</f>
        <v>0</v>
      </c>
      <c r="BT157" s="3">
        <f>+IF(AVANCE[[#This Row],[ARTEFACTOS]]=AE$2,100%,AVANCE[[#This Row],[ARTEFACTOS]])</f>
        <v>0</v>
      </c>
      <c r="BU157" s="3">
        <f>+IF(AVANCE[[#This Row],[TABLERO]]=AF$2,100%,AVANCE[[#This Row],[TABLERO]])</f>
        <v>0</v>
      </c>
      <c r="BV157" s="3">
        <f>+IF(AVANCE[[#This Row],[CAJA PAU]]=AG$2,100%,AVANCE[[#This Row],[CAJA PAU]])</f>
        <v>0</v>
      </c>
      <c r="BW157" s="3">
        <f>+IF(AVANCE[[#This Row],[INSTALACION VINILICO]]=AJ$2,100%,AVANCE[[#This Row],[INSTALACION VINILICO]])</f>
        <v>0</v>
      </c>
      <c r="BX157" s="3">
        <f>+IF(AVANCE[[#This Row],[OSB CUBIERTA]]=AK$2,100%,AVANCE[[#This Row],[OSB CUBIERTA]])</f>
        <v>0</v>
      </c>
      <c r="BY157" s="3">
        <f>+IF(AVANCE[[#This Row],[BARANDA BALCON]]=AL$2,100%,AVANCE[[#This Row],[BARANDA BALCON]])</f>
        <v>0</v>
      </c>
      <c r="BZ157" s="3">
        <f>+IF(AVANCE[[#This Row],[OSB EXTERIOR]]=AM$2,100%,AVANCE[[#This Row],[OSB EXTERIOR]])</f>
        <v>0</v>
      </c>
      <c r="CA157" s="3">
        <f>+IF(AVANCE[[#This Row],[SMART PANEL]]=AN$2,100%,AVANCE[[#This Row],[SMART PANEL]])</f>
        <v>0</v>
      </c>
      <c r="CB157" s="3">
        <f>+IF(AVANCE[[#This Row],[PINTURA EXTERIOR]]=AO$2,100%,AVANCE[[#This Row],[PINTURA EXTERIOR]])</f>
        <v>0</v>
      </c>
      <c r="CC157" s="3">
        <f>+IF(AVANCE[[#This Row],[ZOCALOS LOGIA]]=AP$2,100%,AVANCE[[#This Row],[ZOCALOS LOGIA]])</f>
        <v>0</v>
      </c>
      <c r="CD157" s="3">
        <f>+IF(AVANCE[[#This Row],[MOLDURAS]]=AQ$2,100%,AVANCE[[#This Row],[MOLDURAS]])</f>
        <v>0</v>
      </c>
      <c r="CE157" s="3">
        <f>+IF(AVANCE[[#This Row],[PILASTREO]]=AR$2,100%,AVANCE[[#This Row],[PILASTREO]])</f>
        <v>0</v>
      </c>
      <c r="CF157" s="3">
        <f>+IF(AVANCE[[#This Row],[CELOSIAS]]=AS$2,100%,AVANCE[[#This Row],[CELOSIAS]])</f>
        <v>0</v>
      </c>
      <c r="CG157" s="3">
        <f>+IF(AVANCE[[#This Row],[VENTANAS]]=AT$2,100%,AVANCE[[#This Row],[VENTANAS]])</f>
        <v>0</v>
      </c>
      <c r="CH157" s="3">
        <f>+IF(AVANCE[[#This Row],[PUERTAS ACCESO - LOGIA - BANO]]=AU$2,100%,AVANCE[[#This Row],[PUERTAS ACCESO - LOGIA - BANO]])</f>
        <v>0</v>
      </c>
      <c r="CI157" s="3">
        <f>+IF(AVANCE[[#This Row],[CERRADURAS]]=AV$2,100%,AVANCE[[#This Row],[CERRADURAS]])</f>
        <v>0</v>
      </c>
      <c r="CJ157" s="3">
        <f>+IF(AVANCE[[#This Row],[REVESTIMIENTO INTERIOR ZONA SECA]]=AW$2,100%,AVANCE[[#This Row],[REVESTIMIENTO INTERIOR ZONA SECA]])</f>
        <v>0</v>
      </c>
      <c r="CK157" s="3">
        <f>+IF(AVANCE[[#This Row],[REVESTIMIENTO INTERIOR ZONAS HUMEDAS]]=AX$2,100%,AVANCE[[#This Row],[REVESTIMIENTO INTERIOR ZONAS HUMEDAS]])</f>
        <v>0</v>
      </c>
      <c r="CL157" s="3">
        <f>+IF(AVANCE[[#This Row],[MEMBRANA CIELO]]=AY$2,100%,AVANCE[[#This Row],[MEMBRANA CIELO]])</f>
        <v>0</v>
      </c>
      <c r="CM157" s="3">
        <f>+IF(AVANCE[[#This Row],[LIMPIEZA FINAL]]=AZ$2,100%,AVANCE[[#This Row],[LIMPIEZA FINAL]])</f>
        <v>0</v>
      </c>
      <c r="CN157" s="3">
        <f>+IF(AVANCE[[#This Row],[PUERTAS DORMITORIO]]=BA$2,100%,AVANCE[[#This Row],[PUERTAS DORMITORIO]])</f>
        <v>0</v>
      </c>
      <c r="CO157" s="3">
        <f>+IF(AVANCE[[#This Row],[REVESTIMIENTO INTERIOR BANO]]=BB$2,100%,AVANCE[[#This Row],[REVESTIMIENTO INTERIOR BANO]])</f>
        <v>0</v>
      </c>
      <c r="CP157" s="3">
        <f>+IF(AVANCE[[#This Row],[MUEBLE LAVAPLATOS]]=BC$2,100%,AVANCE[[#This Row],[MUEBLE LAVAPLATOS]])</f>
        <v>0</v>
      </c>
      <c r="CQ157" s="3">
        <f>+IF(AVANCE[[#This Row],[IMPERMEABILIZACION BANO - COCINA LOGIA]]=BD$2,100%,AVANCE[[#This Row],[IMPERMEABILIZACION BANO - COCINA LOGIA]])</f>
        <v>0</v>
      </c>
      <c r="CR157" s="40">
        <f ca="1">+IF(AVANCE[[#This Row],[ESTADO MODULO]]="PENDIENTE",(TODAY()-AVANCE[[#This Row],[FECHA TERMINO  PLANIFICADO]]),0)</f>
        <v>0</v>
      </c>
      <c r="CS157" s="42" t="str" cm="1">
        <f t="array" ref="CS157">_xlfn.TEXTJOIN(" | ",TRUE,IF(SUMPRODUCT((BF157:CQ157&lt;1)*(PARTIDAS!$I$2:$AT$2="OBRA GRUESA"))&gt;0,"OBRA GRUESA: "&amp;_xlfn.TEXTJOIN(", ",TRUE,IF((BF157:CQ157&lt;1)*(PARTIDAS!$I$2:$AT$2="OBRA GRUESA"),PARTIDAS!$I$1:$AT$1,"")),""),IF(SUMPRODUCT((BF157:CQ157&lt;1)*(PARTIDAS!$I$2:$AT$2="SANITARIOS"))&gt;0,"SANITARIOS: "&amp;_xlfn.TEXTJOIN(", ",TRUE,IF((BF157:CQ157&lt;1)*(PARTIDAS!$I$2:$AT$2="SANITARIOS"),PARTIDAS!$I$1:$AT$1,"")),""),IF(SUMPRODUCT((BF157:CQ157&lt;1)*(PARTIDAS!$I$2:$AT$2="ELÉCTRICO"))&gt;0,"ELÉCTRICO: "&amp;_xlfn.TEXTJOIN(", ",TRUE,IF((BF157:CQ157&lt;1)*(PARTIDAS!$I$2:$AT$2="ELÉCTRICO"),PARTIDAS!$I$1:$AT$1,"")),""),IF(SUMPRODUCT((BF157:CQ157&lt;1)*(PARTIDAS!$I$2:$AT$2="TERMINACIONES"))&gt;0,"TERMINACIONES: "&amp;_xlfn.TEXTJOIN(", ",TRUE,IF((BF157:CQ157&lt;1)*(PARTIDAS!$I$2:$AT$2="TERMINACIONES"),PARTIDAS!$I$1:$AT$1,"")),""))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7" s="45" t="str" cm="1">
        <f t="array" ref="CT157">_xlfn.TEXTJOIN(", ",TRUE,IF(SUMPRODUCT((BF157:CQ157&lt;1)*(PARTIDAS!$I$2:$AT$2="OBRA GRUESA"))&gt;0,"OBRA GRUESA",""),IF(SUMPRODUCT((BF157:CQ157&lt;1)*(PARTIDAS!$I$2:$AT$2="SANITARIOS"))&gt;0,"SANITARIOS",""),IF(SUMPRODUCT((BF157:CQ157&lt;1)*(PARTIDAS!$I$2:$AT$2="ELÉCTRICO"))&gt;0,"ELÉCTRICO",""),IF(SUMPRODUCT((BF157:CQ157&lt;1)*(PARTIDAS!$I$2:$AT$2="TERMINACIONES"))&gt;0,"TERMINACIONES",""))</f>
        <v>OBRA GRUESA, SANITARIOS, ELÉCTRICO, TERMINACIONES</v>
      </c>
      <c r="CU157" s="46" cm="1">
        <f t="array" ref="CU157">SUMPRODUCT(--(BF157:CQ157&lt;1))</f>
        <v>38</v>
      </c>
    </row>
    <row r="158" spans="1:99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46181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 t="str">
        <f>+IF(AVANCE[[#This Row],[% AVANCE]]=100%,"MODULO TERMINADO",IF(AVANCE[[#This Row],[FECHA INICIO REAL]]="","MODULO NO INICIADO","PENDIENTE"))</f>
        <v>MODULO NO INICIADO</v>
      </c>
      <c r="BF158" s="3">
        <f>+IF(AVANCE[[#This Row],[VENTANAS]]=8.10810810810811%,100%,AVANCE[[#This Row],[VENTANAS]])</f>
        <v>0</v>
      </c>
      <c r="BG158" s="3">
        <f>+IF(AVANCE[[#This Row],[PISO]]=N$2,100%,AVANCE[[#This Row],[PISO]])</f>
        <v>0</v>
      </c>
      <c r="BH158" s="3">
        <f>+IF(AVANCE[[#This Row],[TABIQUES]]=O$2,100%,AVANCE[[#This Row],[TABIQUES]])</f>
        <v>0</v>
      </c>
      <c r="BI158" s="3">
        <f>+IF(AVANCE[[#This Row],[MUROS]]=P$2,100%,AVANCE[[#This Row],[MUROS]])</f>
        <v>0</v>
      </c>
      <c r="BJ158" s="3">
        <f>+IF(AVANCE[[#This Row],[CIELO]]=Q$2,100%,AVANCE[[#This Row],[CIELO]])</f>
        <v>0</v>
      </c>
      <c r="BK158" s="3">
        <f>+IF(AVANCE[[#This Row],[BALCÓN]]=R$2,100%,AVANCE[[#This Row],[BALCÓN]])</f>
        <v>0</v>
      </c>
      <c r="BL158" s="3">
        <f>+IF(AVANCE[[#This Row],[RED ALCANTARILLADO]]=U$2,100%,AVANCE[[#This Row],[RED ALCANTARILLADO]])</f>
        <v>0</v>
      </c>
      <c r="BM158" s="3">
        <f>+IF(AVANCE[[#This Row],[RED DE AGUA]]=V$2,100%,AVANCE[[#This Row],[RED DE AGUA]])</f>
        <v>0</v>
      </c>
      <c r="BN158" s="3">
        <f>+IF(AVANCE[[#This Row],[VENTILACIONES]]=W$2,100%,AVANCE[[#This Row],[VENTILACIONES]])</f>
        <v>0</v>
      </c>
      <c r="BO158" s="3">
        <f>+IF(AVANCE[[#This Row],[TINA]]=X$2,100%,AVANCE[[#This Row],[TINA]])</f>
        <v>0</v>
      </c>
      <c r="BP158" s="3">
        <f>+IF(AVANCE[[#This Row],[WC]]=Y$2,100%,AVANCE[[#This Row],[WC]])</f>
        <v>0</v>
      </c>
      <c r="BQ158" s="3">
        <f>+IF(AVANCE[[#This Row],[LAVAMANOS / LAVAPLATOS / LAVADERO]]=Z$2,100%,AVANCE[[#This Row],[LAVAMANOS / LAVAPLATOS / LAVADERO]])</f>
        <v>0</v>
      </c>
      <c r="BR158" s="3">
        <f>+IF(AVANCE[[#This Row],[CANALIZACIÓN]]=AC$2,100%,AVANCE[[#This Row],[CANALIZACIÓN]])</f>
        <v>0</v>
      </c>
      <c r="BS158" s="3">
        <f>+IF(AVANCE[[#This Row],[CABLEADO]]=AD$2,100%,AVANCE[[#This Row],[CABLEADO]])</f>
        <v>0</v>
      </c>
      <c r="BT158" s="3">
        <f>+IF(AVANCE[[#This Row],[ARTEFACTOS]]=AE$2,100%,AVANCE[[#This Row],[ARTEFACTOS]])</f>
        <v>0</v>
      </c>
      <c r="BU158" s="3">
        <f>+IF(AVANCE[[#This Row],[TABLERO]]=AF$2,100%,AVANCE[[#This Row],[TABLERO]])</f>
        <v>0</v>
      </c>
      <c r="BV158" s="3">
        <f>+IF(AVANCE[[#This Row],[CAJA PAU]]=AG$2,100%,AVANCE[[#This Row],[CAJA PAU]])</f>
        <v>0</v>
      </c>
      <c r="BW158" s="3">
        <f>+IF(AVANCE[[#This Row],[INSTALACION VINILICO]]=AJ$2,100%,AVANCE[[#This Row],[INSTALACION VINILICO]])</f>
        <v>0</v>
      </c>
      <c r="BX158" s="3">
        <f>+IF(AVANCE[[#This Row],[OSB CUBIERTA]]=AK$2,100%,AVANCE[[#This Row],[OSB CUBIERTA]])</f>
        <v>0</v>
      </c>
      <c r="BY158" s="3">
        <f>+IF(AVANCE[[#This Row],[BARANDA BALCON]]=AL$2,100%,AVANCE[[#This Row],[BARANDA BALCON]])</f>
        <v>0</v>
      </c>
      <c r="BZ158" s="3">
        <f>+IF(AVANCE[[#This Row],[OSB EXTERIOR]]=AM$2,100%,AVANCE[[#This Row],[OSB EXTERIOR]])</f>
        <v>0</v>
      </c>
      <c r="CA158" s="3">
        <f>+IF(AVANCE[[#This Row],[SMART PANEL]]=AN$2,100%,AVANCE[[#This Row],[SMART PANEL]])</f>
        <v>0</v>
      </c>
      <c r="CB158" s="3">
        <f>+IF(AVANCE[[#This Row],[PINTURA EXTERIOR]]=AO$2,100%,AVANCE[[#This Row],[PINTURA EXTERIOR]])</f>
        <v>0</v>
      </c>
      <c r="CC158" s="3">
        <f>+IF(AVANCE[[#This Row],[ZOCALOS LOGIA]]=AP$2,100%,AVANCE[[#This Row],[ZOCALOS LOGIA]])</f>
        <v>0</v>
      </c>
      <c r="CD158" s="3">
        <f>+IF(AVANCE[[#This Row],[MOLDURAS]]=AQ$2,100%,AVANCE[[#This Row],[MOLDURAS]])</f>
        <v>0</v>
      </c>
      <c r="CE158" s="3">
        <f>+IF(AVANCE[[#This Row],[PILASTREO]]=AR$2,100%,AVANCE[[#This Row],[PILASTREO]])</f>
        <v>0</v>
      </c>
      <c r="CF158" s="3">
        <f>+IF(AVANCE[[#This Row],[CELOSIAS]]=AS$2,100%,AVANCE[[#This Row],[CELOSIAS]])</f>
        <v>0</v>
      </c>
      <c r="CG158" s="3">
        <f>+IF(AVANCE[[#This Row],[VENTANAS]]=AT$2,100%,AVANCE[[#This Row],[VENTANAS]])</f>
        <v>0</v>
      </c>
      <c r="CH158" s="3">
        <f>+IF(AVANCE[[#This Row],[PUERTAS ACCESO - LOGIA - BANO]]=AU$2,100%,AVANCE[[#This Row],[PUERTAS ACCESO - LOGIA - BANO]])</f>
        <v>0</v>
      </c>
      <c r="CI158" s="3">
        <f>+IF(AVANCE[[#This Row],[CERRADURAS]]=AV$2,100%,AVANCE[[#This Row],[CERRADURAS]])</f>
        <v>0</v>
      </c>
      <c r="CJ158" s="3">
        <f>+IF(AVANCE[[#This Row],[REVESTIMIENTO INTERIOR ZONA SECA]]=AW$2,100%,AVANCE[[#This Row],[REVESTIMIENTO INTERIOR ZONA SECA]])</f>
        <v>0</v>
      </c>
      <c r="CK158" s="3">
        <f>+IF(AVANCE[[#This Row],[REVESTIMIENTO INTERIOR ZONAS HUMEDAS]]=AX$2,100%,AVANCE[[#This Row],[REVESTIMIENTO INTERIOR ZONAS HUMEDAS]])</f>
        <v>0</v>
      </c>
      <c r="CL158" s="3">
        <f>+IF(AVANCE[[#This Row],[MEMBRANA CIELO]]=AY$2,100%,AVANCE[[#This Row],[MEMBRANA CIELO]])</f>
        <v>0</v>
      </c>
      <c r="CM158" s="3">
        <f>+IF(AVANCE[[#This Row],[LIMPIEZA FINAL]]=AZ$2,100%,AVANCE[[#This Row],[LIMPIEZA FINAL]])</f>
        <v>0</v>
      </c>
      <c r="CN158" s="3">
        <f>+IF(AVANCE[[#This Row],[PUERTAS DORMITORIO]]=BA$2,100%,AVANCE[[#This Row],[PUERTAS DORMITORIO]])</f>
        <v>0</v>
      </c>
      <c r="CO158" s="3">
        <f>+IF(AVANCE[[#This Row],[REVESTIMIENTO INTERIOR BANO]]=BB$2,100%,AVANCE[[#This Row],[REVESTIMIENTO INTERIOR BANO]])</f>
        <v>0</v>
      </c>
      <c r="CP158" s="3">
        <f>+IF(AVANCE[[#This Row],[MUEBLE LAVAPLATOS]]=BC$2,100%,AVANCE[[#This Row],[MUEBLE LAVAPLATOS]])</f>
        <v>0</v>
      </c>
      <c r="CQ158" s="3">
        <f>+IF(AVANCE[[#This Row],[IMPERMEABILIZACION BANO - COCINA LOGIA]]=BD$2,100%,AVANCE[[#This Row],[IMPERMEABILIZACION BANO - COCINA LOGIA]])</f>
        <v>0</v>
      </c>
      <c r="CR158" s="40">
        <f ca="1">+IF(AVANCE[[#This Row],[ESTADO MODULO]]="PENDIENTE",(TODAY()-AVANCE[[#This Row],[FECHA TERMINO  PLANIFICADO]]),0)</f>
        <v>0</v>
      </c>
      <c r="CS158" s="42" t="str" cm="1">
        <f t="array" ref="CS158">_xlfn.TEXTJOIN(" | ",TRUE,IF(SUMPRODUCT((BF158:CQ158&lt;1)*(PARTIDAS!$I$2:$AT$2="OBRA GRUESA"))&gt;0,"OBRA GRUESA: "&amp;_xlfn.TEXTJOIN(", ",TRUE,IF((BF158:CQ158&lt;1)*(PARTIDAS!$I$2:$AT$2="OBRA GRUESA"),PARTIDAS!$I$1:$AT$1,"")),""),IF(SUMPRODUCT((BF158:CQ158&lt;1)*(PARTIDAS!$I$2:$AT$2="SANITARIOS"))&gt;0,"SANITARIOS: "&amp;_xlfn.TEXTJOIN(", ",TRUE,IF((BF158:CQ158&lt;1)*(PARTIDAS!$I$2:$AT$2="SANITARIOS"),PARTIDAS!$I$1:$AT$1,"")),""),IF(SUMPRODUCT((BF158:CQ158&lt;1)*(PARTIDAS!$I$2:$AT$2="ELÉCTRICO"))&gt;0,"ELÉCTRICO: "&amp;_xlfn.TEXTJOIN(", ",TRUE,IF((BF158:CQ158&lt;1)*(PARTIDAS!$I$2:$AT$2="ELÉCTRICO"),PARTIDAS!$I$1:$AT$1,"")),""),IF(SUMPRODUCT((BF158:CQ158&lt;1)*(PARTIDAS!$I$2:$AT$2="TERMINACIONES"))&gt;0,"TERMINACIONES: "&amp;_xlfn.TEXTJOIN(", ",TRUE,IF((BF158:CQ158&lt;1)*(PARTIDAS!$I$2:$AT$2="TERMINACIONES"),PARTIDAS!$I$1:$AT$1,"")),""))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8" s="45" t="str" cm="1">
        <f t="array" ref="CT158">_xlfn.TEXTJOIN(", ",TRUE,IF(SUMPRODUCT((BF158:CQ158&lt;1)*(PARTIDAS!$I$2:$AT$2="OBRA GRUESA"))&gt;0,"OBRA GRUESA",""),IF(SUMPRODUCT((BF158:CQ158&lt;1)*(PARTIDAS!$I$2:$AT$2="SANITARIOS"))&gt;0,"SANITARIOS",""),IF(SUMPRODUCT((BF158:CQ158&lt;1)*(PARTIDAS!$I$2:$AT$2="ELÉCTRICO"))&gt;0,"ELÉCTRICO",""),IF(SUMPRODUCT((BF158:CQ158&lt;1)*(PARTIDAS!$I$2:$AT$2="TERMINACIONES"))&gt;0,"TERMINACIONES",""))</f>
        <v>OBRA GRUESA, SANITARIOS, ELÉCTRICO, TERMINACIONES</v>
      </c>
      <c r="CU158" s="46" cm="1">
        <f t="array" ref="CU158">SUMPRODUCT(--(BF158:CQ158&lt;1))</f>
        <v>38</v>
      </c>
    </row>
    <row r="159" spans="1:99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46181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 t="str">
        <f>+IF(AVANCE[[#This Row],[% AVANCE]]=100%,"MODULO TERMINADO",IF(AVANCE[[#This Row],[FECHA INICIO REAL]]="","MODULO NO INICIADO","PENDIENTE"))</f>
        <v>MODULO NO INICIADO</v>
      </c>
      <c r="BF159" s="3">
        <f>+IF(AVANCE[[#This Row],[VENTANAS]]=8.10810810810811%,100%,AVANCE[[#This Row],[VENTANAS]])</f>
        <v>0</v>
      </c>
      <c r="BG159" s="3">
        <f>+IF(AVANCE[[#This Row],[PISO]]=N$2,100%,AVANCE[[#This Row],[PISO]])</f>
        <v>0</v>
      </c>
      <c r="BH159" s="3">
        <f>+IF(AVANCE[[#This Row],[TABIQUES]]=O$2,100%,AVANCE[[#This Row],[TABIQUES]])</f>
        <v>0</v>
      </c>
      <c r="BI159" s="3">
        <f>+IF(AVANCE[[#This Row],[MUROS]]=P$2,100%,AVANCE[[#This Row],[MUROS]])</f>
        <v>0</v>
      </c>
      <c r="BJ159" s="3">
        <f>+IF(AVANCE[[#This Row],[CIELO]]=Q$2,100%,AVANCE[[#This Row],[CIELO]])</f>
        <v>0</v>
      </c>
      <c r="BK159" s="3">
        <f>+IF(AVANCE[[#This Row],[BALCÓN]]=R$2,100%,AVANCE[[#This Row],[BALCÓN]])</f>
        <v>0</v>
      </c>
      <c r="BL159" s="3">
        <f>+IF(AVANCE[[#This Row],[RED ALCANTARILLADO]]=U$2,100%,AVANCE[[#This Row],[RED ALCANTARILLADO]])</f>
        <v>0</v>
      </c>
      <c r="BM159" s="3">
        <f>+IF(AVANCE[[#This Row],[RED DE AGUA]]=V$2,100%,AVANCE[[#This Row],[RED DE AGUA]])</f>
        <v>0</v>
      </c>
      <c r="BN159" s="3">
        <f>+IF(AVANCE[[#This Row],[VENTILACIONES]]=W$2,100%,AVANCE[[#This Row],[VENTILACIONES]])</f>
        <v>0</v>
      </c>
      <c r="BO159" s="3">
        <f>+IF(AVANCE[[#This Row],[TINA]]=X$2,100%,AVANCE[[#This Row],[TINA]])</f>
        <v>0</v>
      </c>
      <c r="BP159" s="3">
        <f>+IF(AVANCE[[#This Row],[WC]]=Y$2,100%,AVANCE[[#This Row],[WC]])</f>
        <v>0</v>
      </c>
      <c r="BQ159" s="3">
        <f>+IF(AVANCE[[#This Row],[LAVAMANOS / LAVAPLATOS / LAVADERO]]=Z$2,100%,AVANCE[[#This Row],[LAVAMANOS / LAVAPLATOS / LAVADERO]])</f>
        <v>0</v>
      </c>
      <c r="BR159" s="3">
        <f>+IF(AVANCE[[#This Row],[CANALIZACIÓN]]=AC$2,100%,AVANCE[[#This Row],[CANALIZACIÓN]])</f>
        <v>0</v>
      </c>
      <c r="BS159" s="3">
        <f>+IF(AVANCE[[#This Row],[CABLEADO]]=AD$2,100%,AVANCE[[#This Row],[CABLEADO]])</f>
        <v>0</v>
      </c>
      <c r="BT159" s="3">
        <f>+IF(AVANCE[[#This Row],[ARTEFACTOS]]=AE$2,100%,AVANCE[[#This Row],[ARTEFACTOS]])</f>
        <v>0</v>
      </c>
      <c r="BU159" s="3">
        <f>+IF(AVANCE[[#This Row],[TABLERO]]=AF$2,100%,AVANCE[[#This Row],[TABLERO]])</f>
        <v>0</v>
      </c>
      <c r="BV159" s="3">
        <f>+IF(AVANCE[[#This Row],[CAJA PAU]]=AG$2,100%,AVANCE[[#This Row],[CAJA PAU]])</f>
        <v>0</v>
      </c>
      <c r="BW159" s="3">
        <f>+IF(AVANCE[[#This Row],[INSTALACION VINILICO]]=AJ$2,100%,AVANCE[[#This Row],[INSTALACION VINILICO]])</f>
        <v>0</v>
      </c>
      <c r="BX159" s="3">
        <f>+IF(AVANCE[[#This Row],[OSB CUBIERTA]]=AK$2,100%,AVANCE[[#This Row],[OSB CUBIERTA]])</f>
        <v>0</v>
      </c>
      <c r="BY159" s="3">
        <f>+IF(AVANCE[[#This Row],[BARANDA BALCON]]=AL$2,100%,AVANCE[[#This Row],[BARANDA BALCON]])</f>
        <v>0</v>
      </c>
      <c r="BZ159" s="3">
        <f>+IF(AVANCE[[#This Row],[OSB EXTERIOR]]=AM$2,100%,AVANCE[[#This Row],[OSB EXTERIOR]])</f>
        <v>0</v>
      </c>
      <c r="CA159" s="3">
        <f>+IF(AVANCE[[#This Row],[SMART PANEL]]=AN$2,100%,AVANCE[[#This Row],[SMART PANEL]])</f>
        <v>0</v>
      </c>
      <c r="CB159" s="3">
        <f>+IF(AVANCE[[#This Row],[PINTURA EXTERIOR]]=AO$2,100%,AVANCE[[#This Row],[PINTURA EXTERIOR]])</f>
        <v>0</v>
      </c>
      <c r="CC159" s="3">
        <f>+IF(AVANCE[[#This Row],[ZOCALOS LOGIA]]=AP$2,100%,AVANCE[[#This Row],[ZOCALOS LOGIA]])</f>
        <v>0</v>
      </c>
      <c r="CD159" s="3">
        <f>+IF(AVANCE[[#This Row],[MOLDURAS]]=AQ$2,100%,AVANCE[[#This Row],[MOLDURAS]])</f>
        <v>0</v>
      </c>
      <c r="CE159" s="3">
        <f>+IF(AVANCE[[#This Row],[PILASTREO]]=AR$2,100%,AVANCE[[#This Row],[PILASTREO]])</f>
        <v>0</v>
      </c>
      <c r="CF159" s="3">
        <f>+IF(AVANCE[[#This Row],[CELOSIAS]]=AS$2,100%,AVANCE[[#This Row],[CELOSIAS]])</f>
        <v>0</v>
      </c>
      <c r="CG159" s="3">
        <f>+IF(AVANCE[[#This Row],[VENTANAS]]=AT$2,100%,AVANCE[[#This Row],[VENTANAS]])</f>
        <v>0</v>
      </c>
      <c r="CH159" s="3">
        <f>+IF(AVANCE[[#This Row],[PUERTAS ACCESO - LOGIA - BANO]]=AU$2,100%,AVANCE[[#This Row],[PUERTAS ACCESO - LOGIA - BANO]])</f>
        <v>0</v>
      </c>
      <c r="CI159" s="3">
        <f>+IF(AVANCE[[#This Row],[CERRADURAS]]=AV$2,100%,AVANCE[[#This Row],[CERRADURAS]])</f>
        <v>0</v>
      </c>
      <c r="CJ159" s="3">
        <f>+IF(AVANCE[[#This Row],[REVESTIMIENTO INTERIOR ZONA SECA]]=AW$2,100%,AVANCE[[#This Row],[REVESTIMIENTO INTERIOR ZONA SECA]])</f>
        <v>0</v>
      </c>
      <c r="CK159" s="3">
        <f>+IF(AVANCE[[#This Row],[REVESTIMIENTO INTERIOR ZONAS HUMEDAS]]=AX$2,100%,AVANCE[[#This Row],[REVESTIMIENTO INTERIOR ZONAS HUMEDAS]])</f>
        <v>0</v>
      </c>
      <c r="CL159" s="3">
        <f>+IF(AVANCE[[#This Row],[MEMBRANA CIELO]]=AY$2,100%,AVANCE[[#This Row],[MEMBRANA CIELO]])</f>
        <v>0</v>
      </c>
      <c r="CM159" s="3">
        <f>+IF(AVANCE[[#This Row],[LIMPIEZA FINAL]]=AZ$2,100%,AVANCE[[#This Row],[LIMPIEZA FINAL]])</f>
        <v>0</v>
      </c>
      <c r="CN159" s="3">
        <f>+IF(AVANCE[[#This Row],[PUERTAS DORMITORIO]]=BA$2,100%,AVANCE[[#This Row],[PUERTAS DORMITORIO]])</f>
        <v>0</v>
      </c>
      <c r="CO159" s="3">
        <f>+IF(AVANCE[[#This Row],[REVESTIMIENTO INTERIOR BANO]]=BB$2,100%,AVANCE[[#This Row],[REVESTIMIENTO INTERIOR BANO]])</f>
        <v>0</v>
      </c>
      <c r="CP159" s="3">
        <f>+IF(AVANCE[[#This Row],[MUEBLE LAVAPLATOS]]=BC$2,100%,AVANCE[[#This Row],[MUEBLE LAVAPLATOS]])</f>
        <v>0</v>
      </c>
      <c r="CQ159" s="3">
        <f>+IF(AVANCE[[#This Row],[IMPERMEABILIZACION BANO - COCINA LOGIA]]=BD$2,100%,AVANCE[[#This Row],[IMPERMEABILIZACION BANO - COCINA LOGIA]])</f>
        <v>0</v>
      </c>
      <c r="CR159" s="40">
        <f ca="1">+IF(AVANCE[[#This Row],[ESTADO MODULO]]="PENDIENTE",(TODAY()-AVANCE[[#This Row],[FECHA TERMINO  PLANIFICADO]]),0)</f>
        <v>0</v>
      </c>
      <c r="CS159" s="42" t="str" cm="1">
        <f t="array" ref="CS159">_xlfn.TEXTJOIN(" | ",TRUE,IF(SUMPRODUCT((BF159:CQ159&lt;1)*(PARTIDAS!$I$2:$AT$2="OBRA GRUESA"))&gt;0,"OBRA GRUESA: "&amp;_xlfn.TEXTJOIN(", ",TRUE,IF((BF159:CQ159&lt;1)*(PARTIDAS!$I$2:$AT$2="OBRA GRUESA"),PARTIDAS!$I$1:$AT$1,"")),""),IF(SUMPRODUCT((BF159:CQ159&lt;1)*(PARTIDAS!$I$2:$AT$2="SANITARIOS"))&gt;0,"SANITARIOS: "&amp;_xlfn.TEXTJOIN(", ",TRUE,IF((BF159:CQ159&lt;1)*(PARTIDAS!$I$2:$AT$2="SANITARIOS"),PARTIDAS!$I$1:$AT$1,"")),""),IF(SUMPRODUCT((BF159:CQ159&lt;1)*(PARTIDAS!$I$2:$AT$2="ELÉCTRICO"))&gt;0,"ELÉCTRICO: "&amp;_xlfn.TEXTJOIN(", ",TRUE,IF((BF159:CQ159&lt;1)*(PARTIDAS!$I$2:$AT$2="ELÉCTRICO"),PARTIDAS!$I$1:$AT$1,"")),""),IF(SUMPRODUCT((BF159:CQ159&lt;1)*(PARTIDAS!$I$2:$AT$2="TERMINACIONES"))&gt;0,"TERMINACIONES: "&amp;_xlfn.TEXTJOIN(", ",TRUE,IF((BF159:CQ159&lt;1)*(PARTIDAS!$I$2:$AT$2="TERMINACIONES"),PARTIDAS!$I$1:$AT$1,"")),""))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59" s="45" t="str" cm="1">
        <f t="array" ref="CT159">_xlfn.TEXTJOIN(", ",TRUE,IF(SUMPRODUCT((BF159:CQ159&lt;1)*(PARTIDAS!$I$2:$AT$2="OBRA GRUESA"))&gt;0,"OBRA GRUESA",""),IF(SUMPRODUCT((BF159:CQ159&lt;1)*(PARTIDAS!$I$2:$AT$2="SANITARIOS"))&gt;0,"SANITARIOS",""),IF(SUMPRODUCT((BF159:CQ159&lt;1)*(PARTIDAS!$I$2:$AT$2="ELÉCTRICO"))&gt;0,"ELÉCTRICO",""),IF(SUMPRODUCT((BF159:CQ159&lt;1)*(PARTIDAS!$I$2:$AT$2="TERMINACIONES"))&gt;0,"TERMINACIONES",""))</f>
        <v>OBRA GRUESA, SANITARIOS, ELÉCTRICO, TERMINACIONES</v>
      </c>
      <c r="CU159" s="46" cm="1">
        <f t="array" ref="CU159">SUMPRODUCT(--(BF159:CQ159&lt;1))</f>
        <v>38</v>
      </c>
    </row>
    <row r="160" spans="1:99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46181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 t="str">
        <f>+IF(AVANCE[[#This Row],[% AVANCE]]=100%,"MODULO TERMINADO",IF(AVANCE[[#This Row],[FECHA INICIO REAL]]="","MODULO NO INICIADO","PENDIENTE"))</f>
        <v>MODULO NO INICIADO</v>
      </c>
      <c r="BF160" s="3">
        <f>+IF(AVANCE[[#This Row],[VENTANAS]]=8.10810810810811%,100%,AVANCE[[#This Row],[VENTANAS]])</f>
        <v>0</v>
      </c>
      <c r="BG160" s="3">
        <f>+IF(AVANCE[[#This Row],[PISO]]=N$2,100%,AVANCE[[#This Row],[PISO]])</f>
        <v>0</v>
      </c>
      <c r="BH160" s="3">
        <f>+IF(AVANCE[[#This Row],[TABIQUES]]=O$2,100%,AVANCE[[#This Row],[TABIQUES]])</f>
        <v>0</v>
      </c>
      <c r="BI160" s="3">
        <f>+IF(AVANCE[[#This Row],[MUROS]]=P$2,100%,AVANCE[[#This Row],[MUROS]])</f>
        <v>0</v>
      </c>
      <c r="BJ160" s="3">
        <f>+IF(AVANCE[[#This Row],[CIELO]]=Q$2,100%,AVANCE[[#This Row],[CIELO]])</f>
        <v>0</v>
      </c>
      <c r="BK160" s="3">
        <f>+IF(AVANCE[[#This Row],[BALCÓN]]=R$2,100%,AVANCE[[#This Row],[BALCÓN]])</f>
        <v>0</v>
      </c>
      <c r="BL160" s="3">
        <f>+IF(AVANCE[[#This Row],[RED ALCANTARILLADO]]=U$2,100%,AVANCE[[#This Row],[RED ALCANTARILLADO]])</f>
        <v>0</v>
      </c>
      <c r="BM160" s="3">
        <f>+IF(AVANCE[[#This Row],[RED DE AGUA]]=V$2,100%,AVANCE[[#This Row],[RED DE AGUA]])</f>
        <v>0</v>
      </c>
      <c r="BN160" s="3">
        <f>+IF(AVANCE[[#This Row],[VENTILACIONES]]=W$2,100%,AVANCE[[#This Row],[VENTILACIONES]])</f>
        <v>0</v>
      </c>
      <c r="BO160" s="3">
        <f>+IF(AVANCE[[#This Row],[TINA]]=X$2,100%,AVANCE[[#This Row],[TINA]])</f>
        <v>0</v>
      </c>
      <c r="BP160" s="3">
        <f>+IF(AVANCE[[#This Row],[WC]]=Y$2,100%,AVANCE[[#This Row],[WC]])</f>
        <v>0</v>
      </c>
      <c r="BQ160" s="3">
        <f>+IF(AVANCE[[#This Row],[LAVAMANOS / LAVAPLATOS / LAVADERO]]=Z$2,100%,AVANCE[[#This Row],[LAVAMANOS / LAVAPLATOS / LAVADERO]])</f>
        <v>0</v>
      </c>
      <c r="BR160" s="3">
        <f>+IF(AVANCE[[#This Row],[CANALIZACIÓN]]=AC$2,100%,AVANCE[[#This Row],[CANALIZACIÓN]])</f>
        <v>0</v>
      </c>
      <c r="BS160" s="3">
        <f>+IF(AVANCE[[#This Row],[CABLEADO]]=AD$2,100%,AVANCE[[#This Row],[CABLEADO]])</f>
        <v>0</v>
      </c>
      <c r="BT160" s="3">
        <f>+IF(AVANCE[[#This Row],[ARTEFACTOS]]=AE$2,100%,AVANCE[[#This Row],[ARTEFACTOS]])</f>
        <v>0</v>
      </c>
      <c r="BU160" s="3">
        <f>+IF(AVANCE[[#This Row],[TABLERO]]=AF$2,100%,AVANCE[[#This Row],[TABLERO]])</f>
        <v>0</v>
      </c>
      <c r="BV160" s="3">
        <f>+IF(AVANCE[[#This Row],[CAJA PAU]]=AG$2,100%,AVANCE[[#This Row],[CAJA PAU]])</f>
        <v>0</v>
      </c>
      <c r="BW160" s="3">
        <f>+IF(AVANCE[[#This Row],[INSTALACION VINILICO]]=AJ$2,100%,AVANCE[[#This Row],[INSTALACION VINILICO]])</f>
        <v>0</v>
      </c>
      <c r="BX160" s="3">
        <f>+IF(AVANCE[[#This Row],[OSB CUBIERTA]]=AK$2,100%,AVANCE[[#This Row],[OSB CUBIERTA]])</f>
        <v>0</v>
      </c>
      <c r="BY160" s="3">
        <f>+IF(AVANCE[[#This Row],[BARANDA BALCON]]=AL$2,100%,AVANCE[[#This Row],[BARANDA BALCON]])</f>
        <v>0</v>
      </c>
      <c r="BZ160" s="3">
        <f>+IF(AVANCE[[#This Row],[OSB EXTERIOR]]=AM$2,100%,AVANCE[[#This Row],[OSB EXTERIOR]])</f>
        <v>0</v>
      </c>
      <c r="CA160" s="3">
        <f>+IF(AVANCE[[#This Row],[SMART PANEL]]=AN$2,100%,AVANCE[[#This Row],[SMART PANEL]])</f>
        <v>0</v>
      </c>
      <c r="CB160" s="3">
        <f>+IF(AVANCE[[#This Row],[PINTURA EXTERIOR]]=AO$2,100%,AVANCE[[#This Row],[PINTURA EXTERIOR]])</f>
        <v>0</v>
      </c>
      <c r="CC160" s="3">
        <f>+IF(AVANCE[[#This Row],[ZOCALOS LOGIA]]=AP$2,100%,AVANCE[[#This Row],[ZOCALOS LOGIA]])</f>
        <v>0</v>
      </c>
      <c r="CD160" s="3">
        <f>+IF(AVANCE[[#This Row],[MOLDURAS]]=AQ$2,100%,AVANCE[[#This Row],[MOLDURAS]])</f>
        <v>0</v>
      </c>
      <c r="CE160" s="3">
        <f>+IF(AVANCE[[#This Row],[PILASTREO]]=AR$2,100%,AVANCE[[#This Row],[PILASTREO]])</f>
        <v>0</v>
      </c>
      <c r="CF160" s="3">
        <f>+IF(AVANCE[[#This Row],[CELOSIAS]]=AS$2,100%,AVANCE[[#This Row],[CELOSIAS]])</f>
        <v>0</v>
      </c>
      <c r="CG160" s="3">
        <f>+IF(AVANCE[[#This Row],[VENTANAS]]=AT$2,100%,AVANCE[[#This Row],[VENTANAS]])</f>
        <v>0</v>
      </c>
      <c r="CH160" s="3">
        <f>+IF(AVANCE[[#This Row],[PUERTAS ACCESO - LOGIA - BANO]]=AU$2,100%,AVANCE[[#This Row],[PUERTAS ACCESO - LOGIA - BANO]])</f>
        <v>0</v>
      </c>
      <c r="CI160" s="3">
        <f>+IF(AVANCE[[#This Row],[CERRADURAS]]=AV$2,100%,AVANCE[[#This Row],[CERRADURAS]])</f>
        <v>0</v>
      </c>
      <c r="CJ160" s="3">
        <f>+IF(AVANCE[[#This Row],[REVESTIMIENTO INTERIOR ZONA SECA]]=AW$2,100%,AVANCE[[#This Row],[REVESTIMIENTO INTERIOR ZONA SECA]])</f>
        <v>0</v>
      </c>
      <c r="CK160" s="3">
        <f>+IF(AVANCE[[#This Row],[REVESTIMIENTO INTERIOR ZONAS HUMEDAS]]=AX$2,100%,AVANCE[[#This Row],[REVESTIMIENTO INTERIOR ZONAS HUMEDAS]])</f>
        <v>0</v>
      </c>
      <c r="CL160" s="3">
        <f>+IF(AVANCE[[#This Row],[MEMBRANA CIELO]]=AY$2,100%,AVANCE[[#This Row],[MEMBRANA CIELO]])</f>
        <v>0</v>
      </c>
      <c r="CM160" s="3">
        <f>+IF(AVANCE[[#This Row],[LIMPIEZA FINAL]]=AZ$2,100%,AVANCE[[#This Row],[LIMPIEZA FINAL]])</f>
        <v>0</v>
      </c>
      <c r="CN160" s="3">
        <f>+IF(AVANCE[[#This Row],[PUERTAS DORMITORIO]]=BA$2,100%,AVANCE[[#This Row],[PUERTAS DORMITORIO]])</f>
        <v>0</v>
      </c>
      <c r="CO160" s="3">
        <f>+IF(AVANCE[[#This Row],[REVESTIMIENTO INTERIOR BANO]]=BB$2,100%,AVANCE[[#This Row],[REVESTIMIENTO INTERIOR BANO]])</f>
        <v>0</v>
      </c>
      <c r="CP160" s="3">
        <f>+IF(AVANCE[[#This Row],[MUEBLE LAVAPLATOS]]=BC$2,100%,AVANCE[[#This Row],[MUEBLE LAVAPLATOS]])</f>
        <v>0</v>
      </c>
      <c r="CQ160" s="3">
        <f>+IF(AVANCE[[#This Row],[IMPERMEABILIZACION BANO - COCINA LOGIA]]=BD$2,100%,AVANCE[[#This Row],[IMPERMEABILIZACION BANO - COCINA LOGIA]])</f>
        <v>0</v>
      </c>
      <c r="CR160" s="40">
        <f ca="1">+IF(AVANCE[[#This Row],[ESTADO MODULO]]="PENDIENTE",(TODAY()-AVANCE[[#This Row],[FECHA TERMINO  PLANIFICADO]]),0)</f>
        <v>0</v>
      </c>
      <c r="CS160" s="42" t="str" cm="1">
        <f t="array" ref="CS160">_xlfn.TEXTJOIN(" | ",TRUE,IF(SUMPRODUCT((BF160:CQ160&lt;1)*(PARTIDAS!$I$2:$AT$2="OBRA GRUESA"))&gt;0,"OBRA GRUESA: "&amp;_xlfn.TEXTJOIN(", ",TRUE,IF((BF160:CQ160&lt;1)*(PARTIDAS!$I$2:$AT$2="OBRA GRUESA"),PARTIDAS!$I$1:$AT$1,"")),""),IF(SUMPRODUCT((BF160:CQ160&lt;1)*(PARTIDAS!$I$2:$AT$2="SANITARIOS"))&gt;0,"SANITARIOS: "&amp;_xlfn.TEXTJOIN(", ",TRUE,IF((BF160:CQ160&lt;1)*(PARTIDAS!$I$2:$AT$2="SANITARIOS"),PARTIDAS!$I$1:$AT$1,"")),""),IF(SUMPRODUCT((BF160:CQ160&lt;1)*(PARTIDAS!$I$2:$AT$2="ELÉCTRICO"))&gt;0,"ELÉCTRICO: "&amp;_xlfn.TEXTJOIN(", ",TRUE,IF((BF160:CQ160&lt;1)*(PARTIDAS!$I$2:$AT$2="ELÉCTRICO"),PARTIDAS!$I$1:$AT$1,"")),""),IF(SUMPRODUCT((BF160:CQ160&lt;1)*(PARTIDAS!$I$2:$AT$2="TERMINACIONES"))&gt;0,"TERMINACIONES: "&amp;_xlfn.TEXTJOIN(", ",TRUE,IF((BF160:CQ160&lt;1)*(PARTIDAS!$I$2:$AT$2="TERMINACIONES"),PARTIDAS!$I$1:$AT$1,"")),""))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0" s="45" t="str" cm="1">
        <f t="array" ref="CT160">_xlfn.TEXTJOIN(", ",TRUE,IF(SUMPRODUCT((BF160:CQ160&lt;1)*(PARTIDAS!$I$2:$AT$2="OBRA GRUESA"))&gt;0,"OBRA GRUESA",""),IF(SUMPRODUCT((BF160:CQ160&lt;1)*(PARTIDAS!$I$2:$AT$2="SANITARIOS"))&gt;0,"SANITARIOS",""),IF(SUMPRODUCT((BF160:CQ160&lt;1)*(PARTIDAS!$I$2:$AT$2="ELÉCTRICO"))&gt;0,"ELÉCTRICO",""),IF(SUMPRODUCT((BF160:CQ160&lt;1)*(PARTIDAS!$I$2:$AT$2="TERMINACIONES"))&gt;0,"TERMINACIONES",""))</f>
        <v>OBRA GRUESA, SANITARIOS, ELÉCTRICO, TERMINACIONES</v>
      </c>
      <c r="CU160" s="46" cm="1">
        <f t="array" ref="CU160">SUMPRODUCT(--(BF160:CQ160&lt;1))</f>
        <v>38</v>
      </c>
    </row>
    <row r="161" spans="1:99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46181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 t="str">
        <f>+IF(AVANCE[[#This Row],[% AVANCE]]=100%,"MODULO TERMINADO",IF(AVANCE[[#This Row],[FECHA INICIO REAL]]="","MODULO NO INICIADO","PENDIENTE"))</f>
        <v>MODULO NO INICIADO</v>
      </c>
      <c r="BF161" s="3">
        <f>+IF(AVANCE[[#This Row],[VENTANAS]]=8.10810810810811%,100%,AVANCE[[#This Row],[VENTANAS]])</f>
        <v>0</v>
      </c>
      <c r="BG161" s="3">
        <f>+IF(AVANCE[[#This Row],[PISO]]=N$2,100%,AVANCE[[#This Row],[PISO]])</f>
        <v>0</v>
      </c>
      <c r="BH161" s="3">
        <f>+IF(AVANCE[[#This Row],[TABIQUES]]=O$2,100%,AVANCE[[#This Row],[TABIQUES]])</f>
        <v>0</v>
      </c>
      <c r="BI161" s="3">
        <f>+IF(AVANCE[[#This Row],[MUROS]]=P$2,100%,AVANCE[[#This Row],[MUROS]])</f>
        <v>0</v>
      </c>
      <c r="BJ161" s="3">
        <f>+IF(AVANCE[[#This Row],[CIELO]]=Q$2,100%,AVANCE[[#This Row],[CIELO]])</f>
        <v>0</v>
      </c>
      <c r="BK161" s="3">
        <f>+IF(AVANCE[[#This Row],[BALCÓN]]=R$2,100%,AVANCE[[#This Row],[BALCÓN]])</f>
        <v>0</v>
      </c>
      <c r="BL161" s="3">
        <f>+IF(AVANCE[[#This Row],[RED ALCANTARILLADO]]=U$2,100%,AVANCE[[#This Row],[RED ALCANTARILLADO]])</f>
        <v>0</v>
      </c>
      <c r="BM161" s="3">
        <f>+IF(AVANCE[[#This Row],[RED DE AGUA]]=V$2,100%,AVANCE[[#This Row],[RED DE AGUA]])</f>
        <v>0</v>
      </c>
      <c r="BN161" s="3">
        <f>+IF(AVANCE[[#This Row],[VENTILACIONES]]=W$2,100%,AVANCE[[#This Row],[VENTILACIONES]])</f>
        <v>0</v>
      </c>
      <c r="BO161" s="3">
        <f>+IF(AVANCE[[#This Row],[TINA]]=X$2,100%,AVANCE[[#This Row],[TINA]])</f>
        <v>0</v>
      </c>
      <c r="BP161" s="3">
        <f>+IF(AVANCE[[#This Row],[WC]]=Y$2,100%,AVANCE[[#This Row],[WC]])</f>
        <v>0</v>
      </c>
      <c r="BQ161" s="3">
        <f>+IF(AVANCE[[#This Row],[LAVAMANOS / LAVAPLATOS / LAVADERO]]=Z$2,100%,AVANCE[[#This Row],[LAVAMANOS / LAVAPLATOS / LAVADERO]])</f>
        <v>0</v>
      </c>
      <c r="BR161" s="3">
        <f>+IF(AVANCE[[#This Row],[CANALIZACIÓN]]=AC$2,100%,AVANCE[[#This Row],[CANALIZACIÓN]])</f>
        <v>0</v>
      </c>
      <c r="BS161" s="3">
        <f>+IF(AVANCE[[#This Row],[CABLEADO]]=AD$2,100%,AVANCE[[#This Row],[CABLEADO]])</f>
        <v>0</v>
      </c>
      <c r="BT161" s="3">
        <f>+IF(AVANCE[[#This Row],[ARTEFACTOS]]=AE$2,100%,AVANCE[[#This Row],[ARTEFACTOS]])</f>
        <v>0</v>
      </c>
      <c r="BU161" s="3">
        <f>+IF(AVANCE[[#This Row],[TABLERO]]=AF$2,100%,AVANCE[[#This Row],[TABLERO]])</f>
        <v>0</v>
      </c>
      <c r="BV161" s="3">
        <f>+IF(AVANCE[[#This Row],[CAJA PAU]]=AG$2,100%,AVANCE[[#This Row],[CAJA PAU]])</f>
        <v>0</v>
      </c>
      <c r="BW161" s="3">
        <f>+IF(AVANCE[[#This Row],[INSTALACION VINILICO]]=AJ$2,100%,AVANCE[[#This Row],[INSTALACION VINILICO]])</f>
        <v>0</v>
      </c>
      <c r="BX161" s="3">
        <f>+IF(AVANCE[[#This Row],[OSB CUBIERTA]]=AK$2,100%,AVANCE[[#This Row],[OSB CUBIERTA]])</f>
        <v>0</v>
      </c>
      <c r="BY161" s="3">
        <f>+IF(AVANCE[[#This Row],[BARANDA BALCON]]=AL$2,100%,AVANCE[[#This Row],[BARANDA BALCON]])</f>
        <v>0</v>
      </c>
      <c r="BZ161" s="3">
        <f>+IF(AVANCE[[#This Row],[OSB EXTERIOR]]=AM$2,100%,AVANCE[[#This Row],[OSB EXTERIOR]])</f>
        <v>0</v>
      </c>
      <c r="CA161" s="3">
        <f>+IF(AVANCE[[#This Row],[SMART PANEL]]=AN$2,100%,AVANCE[[#This Row],[SMART PANEL]])</f>
        <v>0</v>
      </c>
      <c r="CB161" s="3">
        <f>+IF(AVANCE[[#This Row],[PINTURA EXTERIOR]]=AO$2,100%,AVANCE[[#This Row],[PINTURA EXTERIOR]])</f>
        <v>0</v>
      </c>
      <c r="CC161" s="3">
        <f>+IF(AVANCE[[#This Row],[ZOCALOS LOGIA]]=AP$2,100%,AVANCE[[#This Row],[ZOCALOS LOGIA]])</f>
        <v>0</v>
      </c>
      <c r="CD161" s="3">
        <f>+IF(AVANCE[[#This Row],[MOLDURAS]]=AQ$2,100%,AVANCE[[#This Row],[MOLDURAS]])</f>
        <v>0</v>
      </c>
      <c r="CE161" s="3">
        <f>+IF(AVANCE[[#This Row],[PILASTREO]]=AR$2,100%,AVANCE[[#This Row],[PILASTREO]])</f>
        <v>0</v>
      </c>
      <c r="CF161" s="3">
        <f>+IF(AVANCE[[#This Row],[CELOSIAS]]=AS$2,100%,AVANCE[[#This Row],[CELOSIAS]])</f>
        <v>0</v>
      </c>
      <c r="CG161" s="3">
        <f>+IF(AVANCE[[#This Row],[VENTANAS]]=AT$2,100%,AVANCE[[#This Row],[VENTANAS]])</f>
        <v>0</v>
      </c>
      <c r="CH161" s="3">
        <f>+IF(AVANCE[[#This Row],[PUERTAS ACCESO - LOGIA - BANO]]=AU$2,100%,AVANCE[[#This Row],[PUERTAS ACCESO - LOGIA - BANO]])</f>
        <v>0</v>
      </c>
      <c r="CI161" s="3">
        <f>+IF(AVANCE[[#This Row],[CERRADURAS]]=AV$2,100%,AVANCE[[#This Row],[CERRADURAS]])</f>
        <v>0</v>
      </c>
      <c r="CJ161" s="3">
        <f>+IF(AVANCE[[#This Row],[REVESTIMIENTO INTERIOR ZONA SECA]]=AW$2,100%,AVANCE[[#This Row],[REVESTIMIENTO INTERIOR ZONA SECA]])</f>
        <v>0</v>
      </c>
      <c r="CK161" s="3">
        <f>+IF(AVANCE[[#This Row],[REVESTIMIENTO INTERIOR ZONAS HUMEDAS]]=AX$2,100%,AVANCE[[#This Row],[REVESTIMIENTO INTERIOR ZONAS HUMEDAS]])</f>
        <v>0</v>
      </c>
      <c r="CL161" s="3">
        <f>+IF(AVANCE[[#This Row],[MEMBRANA CIELO]]=AY$2,100%,AVANCE[[#This Row],[MEMBRANA CIELO]])</f>
        <v>0</v>
      </c>
      <c r="CM161" s="3">
        <f>+IF(AVANCE[[#This Row],[LIMPIEZA FINAL]]=AZ$2,100%,AVANCE[[#This Row],[LIMPIEZA FINAL]])</f>
        <v>0</v>
      </c>
      <c r="CN161" s="3">
        <f>+IF(AVANCE[[#This Row],[PUERTAS DORMITORIO]]=BA$2,100%,AVANCE[[#This Row],[PUERTAS DORMITORIO]])</f>
        <v>0</v>
      </c>
      <c r="CO161" s="3">
        <f>+IF(AVANCE[[#This Row],[REVESTIMIENTO INTERIOR BANO]]=BB$2,100%,AVANCE[[#This Row],[REVESTIMIENTO INTERIOR BANO]])</f>
        <v>0</v>
      </c>
      <c r="CP161" s="3">
        <f>+IF(AVANCE[[#This Row],[MUEBLE LAVAPLATOS]]=BC$2,100%,AVANCE[[#This Row],[MUEBLE LAVAPLATOS]])</f>
        <v>0</v>
      </c>
      <c r="CQ161" s="3">
        <f>+IF(AVANCE[[#This Row],[IMPERMEABILIZACION BANO - COCINA LOGIA]]=BD$2,100%,AVANCE[[#This Row],[IMPERMEABILIZACION BANO - COCINA LOGIA]])</f>
        <v>0</v>
      </c>
      <c r="CR161" s="40">
        <f ca="1">+IF(AVANCE[[#This Row],[ESTADO MODULO]]="PENDIENTE",(TODAY()-AVANCE[[#This Row],[FECHA TERMINO  PLANIFICADO]]),0)</f>
        <v>0</v>
      </c>
      <c r="CS161" s="42" t="str" cm="1">
        <f t="array" ref="CS161">_xlfn.TEXTJOIN(" | ",TRUE,IF(SUMPRODUCT((BF161:CQ161&lt;1)*(PARTIDAS!$I$2:$AT$2="OBRA GRUESA"))&gt;0,"OBRA GRUESA: "&amp;_xlfn.TEXTJOIN(", ",TRUE,IF((BF161:CQ161&lt;1)*(PARTIDAS!$I$2:$AT$2="OBRA GRUESA"),PARTIDAS!$I$1:$AT$1,"")),""),IF(SUMPRODUCT((BF161:CQ161&lt;1)*(PARTIDAS!$I$2:$AT$2="SANITARIOS"))&gt;0,"SANITARIOS: "&amp;_xlfn.TEXTJOIN(", ",TRUE,IF((BF161:CQ161&lt;1)*(PARTIDAS!$I$2:$AT$2="SANITARIOS"),PARTIDAS!$I$1:$AT$1,"")),""),IF(SUMPRODUCT((BF161:CQ161&lt;1)*(PARTIDAS!$I$2:$AT$2="ELÉCTRICO"))&gt;0,"ELÉCTRICO: "&amp;_xlfn.TEXTJOIN(", ",TRUE,IF((BF161:CQ161&lt;1)*(PARTIDAS!$I$2:$AT$2="ELÉCTRICO"),PARTIDAS!$I$1:$AT$1,"")),""),IF(SUMPRODUCT((BF161:CQ161&lt;1)*(PARTIDAS!$I$2:$AT$2="TERMINACIONES"))&gt;0,"TERMINACIONES: "&amp;_xlfn.TEXTJOIN(", ",TRUE,IF((BF161:CQ161&lt;1)*(PARTIDAS!$I$2:$AT$2="TERMINACIONES"),PARTIDAS!$I$1:$AT$1,"")),""))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1" s="45" t="str" cm="1">
        <f t="array" ref="CT161">_xlfn.TEXTJOIN(", ",TRUE,IF(SUMPRODUCT((BF161:CQ161&lt;1)*(PARTIDAS!$I$2:$AT$2="OBRA GRUESA"))&gt;0,"OBRA GRUESA",""),IF(SUMPRODUCT((BF161:CQ161&lt;1)*(PARTIDAS!$I$2:$AT$2="SANITARIOS"))&gt;0,"SANITARIOS",""),IF(SUMPRODUCT((BF161:CQ161&lt;1)*(PARTIDAS!$I$2:$AT$2="ELÉCTRICO"))&gt;0,"ELÉCTRICO",""),IF(SUMPRODUCT((BF161:CQ161&lt;1)*(PARTIDAS!$I$2:$AT$2="TERMINACIONES"))&gt;0,"TERMINACIONES",""))</f>
        <v>OBRA GRUESA, SANITARIOS, ELÉCTRICO, TERMINACIONES</v>
      </c>
      <c r="CU161" s="46" cm="1">
        <f t="array" ref="CU161">SUMPRODUCT(--(BF161:CQ161&lt;1))</f>
        <v>38</v>
      </c>
    </row>
    <row r="162" spans="1:99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46181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 t="str">
        <f>+IF(AVANCE[[#This Row],[% AVANCE]]=100%,"MODULO TERMINADO",IF(AVANCE[[#This Row],[FECHA INICIO REAL]]="","MODULO NO INICIADO","PENDIENTE"))</f>
        <v>MODULO NO INICIADO</v>
      </c>
      <c r="BF162" s="3">
        <f>+IF(AVANCE[[#This Row],[VENTANAS]]=8.10810810810811%,100%,AVANCE[[#This Row],[VENTANAS]])</f>
        <v>0</v>
      </c>
      <c r="BG162" s="3">
        <f>+IF(AVANCE[[#This Row],[PISO]]=N$2,100%,AVANCE[[#This Row],[PISO]])</f>
        <v>0</v>
      </c>
      <c r="BH162" s="3">
        <f>+IF(AVANCE[[#This Row],[TABIQUES]]=O$2,100%,AVANCE[[#This Row],[TABIQUES]])</f>
        <v>0</v>
      </c>
      <c r="BI162" s="3">
        <f>+IF(AVANCE[[#This Row],[MUROS]]=P$2,100%,AVANCE[[#This Row],[MUROS]])</f>
        <v>0</v>
      </c>
      <c r="BJ162" s="3">
        <f>+IF(AVANCE[[#This Row],[CIELO]]=Q$2,100%,AVANCE[[#This Row],[CIELO]])</f>
        <v>0</v>
      </c>
      <c r="BK162" s="3">
        <f>+IF(AVANCE[[#This Row],[BALCÓN]]=R$2,100%,AVANCE[[#This Row],[BALCÓN]])</f>
        <v>0</v>
      </c>
      <c r="BL162" s="3">
        <f>+IF(AVANCE[[#This Row],[RED ALCANTARILLADO]]=U$2,100%,AVANCE[[#This Row],[RED ALCANTARILLADO]])</f>
        <v>0</v>
      </c>
      <c r="BM162" s="3">
        <f>+IF(AVANCE[[#This Row],[RED DE AGUA]]=V$2,100%,AVANCE[[#This Row],[RED DE AGUA]])</f>
        <v>0</v>
      </c>
      <c r="BN162" s="3">
        <f>+IF(AVANCE[[#This Row],[VENTILACIONES]]=W$2,100%,AVANCE[[#This Row],[VENTILACIONES]])</f>
        <v>0</v>
      </c>
      <c r="BO162" s="3">
        <f>+IF(AVANCE[[#This Row],[TINA]]=X$2,100%,AVANCE[[#This Row],[TINA]])</f>
        <v>0</v>
      </c>
      <c r="BP162" s="3">
        <f>+IF(AVANCE[[#This Row],[WC]]=Y$2,100%,AVANCE[[#This Row],[WC]])</f>
        <v>0</v>
      </c>
      <c r="BQ162" s="3">
        <f>+IF(AVANCE[[#This Row],[LAVAMANOS / LAVAPLATOS / LAVADERO]]=Z$2,100%,AVANCE[[#This Row],[LAVAMANOS / LAVAPLATOS / LAVADERO]])</f>
        <v>0</v>
      </c>
      <c r="BR162" s="3">
        <f>+IF(AVANCE[[#This Row],[CANALIZACIÓN]]=AC$2,100%,AVANCE[[#This Row],[CANALIZACIÓN]])</f>
        <v>0</v>
      </c>
      <c r="BS162" s="3">
        <f>+IF(AVANCE[[#This Row],[CABLEADO]]=AD$2,100%,AVANCE[[#This Row],[CABLEADO]])</f>
        <v>0</v>
      </c>
      <c r="BT162" s="3">
        <f>+IF(AVANCE[[#This Row],[ARTEFACTOS]]=AE$2,100%,AVANCE[[#This Row],[ARTEFACTOS]])</f>
        <v>0</v>
      </c>
      <c r="BU162" s="3">
        <f>+IF(AVANCE[[#This Row],[TABLERO]]=AF$2,100%,AVANCE[[#This Row],[TABLERO]])</f>
        <v>0</v>
      </c>
      <c r="BV162" s="3">
        <f>+IF(AVANCE[[#This Row],[CAJA PAU]]=AG$2,100%,AVANCE[[#This Row],[CAJA PAU]])</f>
        <v>0</v>
      </c>
      <c r="BW162" s="3">
        <f>+IF(AVANCE[[#This Row],[INSTALACION VINILICO]]=AJ$2,100%,AVANCE[[#This Row],[INSTALACION VINILICO]])</f>
        <v>0</v>
      </c>
      <c r="BX162" s="3">
        <f>+IF(AVANCE[[#This Row],[OSB CUBIERTA]]=AK$2,100%,AVANCE[[#This Row],[OSB CUBIERTA]])</f>
        <v>0</v>
      </c>
      <c r="BY162" s="3">
        <f>+IF(AVANCE[[#This Row],[BARANDA BALCON]]=AL$2,100%,AVANCE[[#This Row],[BARANDA BALCON]])</f>
        <v>0</v>
      </c>
      <c r="BZ162" s="3">
        <f>+IF(AVANCE[[#This Row],[OSB EXTERIOR]]=AM$2,100%,AVANCE[[#This Row],[OSB EXTERIOR]])</f>
        <v>0</v>
      </c>
      <c r="CA162" s="3">
        <f>+IF(AVANCE[[#This Row],[SMART PANEL]]=AN$2,100%,AVANCE[[#This Row],[SMART PANEL]])</f>
        <v>0</v>
      </c>
      <c r="CB162" s="3">
        <f>+IF(AVANCE[[#This Row],[PINTURA EXTERIOR]]=AO$2,100%,AVANCE[[#This Row],[PINTURA EXTERIOR]])</f>
        <v>0</v>
      </c>
      <c r="CC162" s="3">
        <f>+IF(AVANCE[[#This Row],[ZOCALOS LOGIA]]=AP$2,100%,AVANCE[[#This Row],[ZOCALOS LOGIA]])</f>
        <v>0</v>
      </c>
      <c r="CD162" s="3">
        <f>+IF(AVANCE[[#This Row],[MOLDURAS]]=AQ$2,100%,AVANCE[[#This Row],[MOLDURAS]])</f>
        <v>0</v>
      </c>
      <c r="CE162" s="3">
        <f>+IF(AVANCE[[#This Row],[PILASTREO]]=AR$2,100%,AVANCE[[#This Row],[PILASTREO]])</f>
        <v>0</v>
      </c>
      <c r="CF162" s="3">
        <f>+IF(AVANCE[[#This Row],[CELOSIAS]]=AS$2,100%,AVANCE[[#This Row],[CELOSIAS]])</f>
        <v>0</v>
      </c>
      <c r="CG162" s="3">
        <f>+IF(AVANCE[[#This Row],[VENTANAS]]=AT$2,100%,AVANCE[[#This Row],[VENTANAS]])</f>
        <v>0</v>
      </c>
      <c r="CH162" s="3">
        <f>+IF(AVANCE[[#This Row],[PUERTAS ACCESO - LOGIA - BANO]]=AU$2,100%,AVANCE[[#This Row],[PUERTAS ACCESO - LOGIA - BANO]])</f>
        <v>0</v>
      </c>
      <c r="CI162" s="3">
        <f>+IF(AVANCE[[#This Row],[CERRADURAS]]=AV$2,100%,AVANCE[[#This Row],[CERRADURAS]])</f>
        <v>0</v>
      </c>
      <c r="CJ162" s="3">
        <f>+IF(AVANCE[[#This Row],[REVESTIMIENTO INTERIOR ZONA SECA]]=AW$2,100%,AVANCE[[#This Row],[REVESTIMIENTO INTERIOR ZONA SECA]])</f>
        <v>0</v>
      </c>
      <c r="CK162" s="3">
        <f>+IF(AVANCE[[#This Row],[REVESTIMIENTO INTERIOR ZONAS HUMEDAS]]=AX$2,100%,AVANCE[[#This Row],[REVESTIMIENTO INTERIOR ZONAS HUMEDAS]])</f>
        <v>0</v>
      </c>
      <c r="CL162" s="3">
        <f>+IF(AVANCE[[#This Row],[MEMBRANA CIELO]]=AY$2,100%,AVANCE[[#This Row],[MEMBRANA CIELO]])</f>
        <v>0</v>
      </c>
      <c r="CM162" s="3">
        <f>+IF(AVANCE[[#This Row],[LIMPIEZA FINAL]]=AZ$2,100%,AVANCE[[#This Row],[LIMPIEZA FINAL]])</f>
        <v>0</v>
      </c>
      <c r="CN162" s="3">
        <f>+IF(AVANCE[[#This Row],[PUERTAS DORMITORIO]]=BA$2,100%,AVANCE[[#This Row],[PUERTAS DORMITORIO]])</f>
        <v>0</v>
      </c>
      <c r="CO162" s="3">
        <f>+IF(AVANCE[[#This Row],[REVESTIMIENTO INTERIOR BANO]]=BB$2,100%,AVANCE[[#This Row],[REVESTIMIENTO INTERIOR BANO]])</f>
        <v>0</v>
      </c>
      <c r="CP162" s="3">
        <f>+IF(AVANCE[[#This Row],[MUEBLE LAVAPLATOS]]=BC$2,100%,AVANCE[[#This Row],[MUEBLE LAVAPLATOS]])</f>
        <v>0</v>
      </c>
      <c r="CQ162" s="3">
        <f>+IF(AVANCE[[#This Row],[IMPERMEABILIZACION BANO - COCINA LOGIA]]=BD$2,100%,AVANCE[[#This Row],[IMPERMEABILIZACION BANO - COCINA LOGIA]])</f>
        <v>0</v>
      </c>
      <c r="CR162" s="40">
        <f ca="1">+IF(AVANCE[[#This Row],[ESTADO MODULO]]="PENDIENTE",(TODAY()-AVANCE[[#This Row],[FECHA TERMINO  PLANIFICADO]]),0)</f>
        <v>0</v>
      </c>
      <c r="CS162" s="42" t="str" cm="1">
        <f t="array" ref="CS162">_xlfn.TEXTJOIN(" | ",TRUE,IF(SUMPRODUCT((BF162:CQ162&lt;1)*(PARTIDAS!$I$2:$AT$2="OBRA GRUESA"))&gt;0,"OBRA GRUESA: "&amp;_xlfn.TEXTJOIN(", ",TRUE,IF((BF162:CQ162&lt;1)*(PARTIDAS!$I$2:$AT$2="OBRA GRUESA"),PARTIDAS!$I$1:$AT$1,"")),""),IF(SUMPRODUCT((BF162:CQ162&lt;1)*(PARTIDAS!$I$2:$AT$2="SANITARIOS"))&gt;0,"SANITARIOS: "&amp;_xlfn.TEXTJOIN(", ",TRUE,IF((BF162:CQ162&lt;1)*(PARTIDAS!$I$2:$AT$2="SANITARIOS"),PARTIDAS!$I$1:$AT$1,"")),""),IF(SUMPRODUCT((BF162:CQ162&lt;1)*(PARTIDAS!$I$2:$AT$2="ELÉCTRICO"))&gt;0,"ELÉCTRICO: "&amp;_xlfn.TEXTJOIN(", ",TRUE,IF((BF162:CQ162&lt;1)*(PARTIDAS!$I$2:$AT$2="ELÉCTRICO"),PARTIDAS!$I$1:$AT$1,"")),""),IF(SUMPRODUCT((BF162:CQ162&lt;1)*(PARTIDAS!$I$2:$AT$2="TERMINACIONES"))&gt;0,"TERMINACIONES: "&amp;_xlfn.TEXTJOIN(", ",TRUE,IF((BF162:CQ162&lt;1)*(PARTIDAS!$I$2:$AT$2="TERMINACIONES"),PARTIDAS!$I$1:$AT$1,"")),""))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2" s="45" t="str" cm="1">
        <f t="array" ref="CT162">_xlfn.TEXTJOIN(", ",TRUE,IF(SUMPRODUCT((BF162:CQ162&lt;1)*(PARTIDAS!$I$2:$AT$2="OBRA GRUESA"))&gt;0,"OBRA GRUESA",""),IF(SUMPRODUCT((BF162:CQ162&lt;1)*(PARTIDAS!$I$2:$AT$2="SANITARIOS"))&gt;0,"SANITARIOS",""),IF(SUMPRODUCT((BF162:CQ162&lt;1)*(PARTIDAS!$I$2:$AT$2="ELÉCTRICO"))&gt;0,"ELÉCTRICO",""),IF(SUMPRODUCT((BF162:CQ162&lt;1)*(PARTIDAS!$I$2:$AT$2="TERMINACIONES"))&gt;0,"TERMINACIONES",""))</f>
        <v>OBRA GRUESA, SANITARIOS, ELÉCTRICO, TERMINACIONES</v>
      </c>
      <c r="CU162" s="46" cm="1">
        <f t="array" ref="CU162">SUMPRODUCT(--(BF162:CQ162&lt;1))</f>
        <v>38</v>
      </c>
    </row>
    <row r="163" spans="1:99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46181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 t="str">
        <f>+IF(AVANCE[[#This Row],[% AVANCE]]=100%,"MODULO TERMINADO",IF(AVANCE[[#This Row],[FECHA INICIO REAL]]="","MODULO NO INICIADO","PENDIENTE"))</f>
        <v>MODULO NO INICIADO</v>
      </c>
      <c r="BF163" s="3">
        <f>+IF(AVANCE[[#This Row],[VENTANAS]]=8.10810810810811%,100%,AVANCE[[#This Row],[VENTANAS]])</f>
        <v>0</v>
      </c>
      <c r="BG163" s="3">
        <f>+IF(AVANCE[[#This Row],[PISO]]=N$2,100%,AVANCE[[#This Row],[PISO]])</f>
        <v>0</v>
      </c>
      <c r="BH163" s="3">
        <f>+IF(AVANCE[[#This Row],[TABIQUES]]=O$2,100%,AVANCE[[#This Row],[TABIQUES]])</f>
        <v>0</v>
      </c>
      <c r="BI163" s="3">
        <f>+IF(AVANCE[[#This Row],[MUROS]]=P$2,100%,AVANCE[[#This Row],[MUROS]])</f>
        <v>0</v>
      </c>
      <c r="BJ163" s="3">
        <f>+IF(AVANCE[[#This Row],[CIELO]]=Q$2,100%,AVANCE[[#This Row],[CIELO]])</f>
        <v>0</v>
      </c>
      <c r="BK163" s="3">
        <f>+IF(AVANCE[[#This Row],[BALCÓN]]=R$2,100%,AVANCE[[#This Row],[BALCÓN]])</f>
        <v>0</v>
      </c>
      <c r="BL163" s="3">
        <f>+IF(AVANCE[[#This Row],[RED ALCANTARILLADO]]=U$2,100%,AVANCE[[#This Row],[RED ALCANTARILLADO]])</f>
        <v>0</v>
      </c>
      <c r="BM163" s="3">
        <f>+IF(AVANCE[[#This Row],[RED DE AGUA]]=V$2,100%,AVANCE[[#This Row],[RED DE AGUA]])</f>
        <v>0</v>
      </c>
      <c r="BN163" s="3">
        <f>+IF(AVANCE[[#This Row],[VENTILACIONES]]=W$2,100%,AVANCE[[#This Row],[VENTILACIONES]])</f>
        <v>0</v>
      </c>
      <c r="BO163" s="3">
        <f>+IF(AVANCE[[#This Row],[TINA]]=X$2,100%,AVANCE[[#This Row],[TINA]])</f>
        <v>0</v>
      </c>
      <c r="BP163" s="3">
        <f>+IF(AVANCE[[#This Row],[WC]]=Y$2,100%,AVANCE[[#This Row],[WC]])</f>
        <v>0</v>
      </c>
      <c r="BQ163" s="3">
        <f>+IF(AVANCE[[#This Row],[LAVAMANOS / LAVAPLATOS / LAVADERO]]=Z$2,100%,AVANCE[[#This Row],[LAVAMANOS / LAVAPLATOS / LAVADERO]])</f>
        <v>0</v>
      </c>
      <c r="BR163" s="3">
        <f>+IF(AVANCE[[#This Row],[CANALIZACIÓN]]=AC$2,100%,AVANCE[[#This Row],[CANALIZACIÓN]])</f>
        <v>0</v>
      </c>
      <c r="BS163" s="3">
        <f>+IF(AVANCE[[#This Row],[CABLEADO]]=AD$2,100%,AVANCE[[#This Row],[CABLEADO]])</f>
        <v>0</v>
      </c>
      <c r="BT163" s="3">
        <f>+IF(AVANCE[[#This Row],[ARTEFACTOS]]=AE$2,100%,AVANCE[[#This Row],[ARTEFACTOS]])</f>
        <v>0</v>
      </c>
      <c r="BU163" s="3">
        <f>+IF(AVANCE[[#This Row],[TABLERO]]=AF$2,100%,AVANCE[[#This Row],[TABLERO]])</f>
        <v>0</v>
      </c>
      <c r="BV163" s="3">
        <f>+IF(AVANCE[[#This Row],[CAJA PAU]]=AG$2,100%,AVANCE[[#This Row],[CAJA PAU]])</f>
        <v>0</v>
      </c>
      <c r="BW163" s="3">
        <f>+IF(AVANCE[[#This Row],[INSTALACION VINILICO]]=AJ$2,100%,AVANCE[[#This Row],[INSTALACION VINILICO]])</f>
        <v>0</v>
      </c>
      <c r="BX163" s="3">
        <f>+IF(AVANCE[[#This Row],[OSB CUBIERTA]]=AK$2,100%,AVANCE[[#This Row],[OSB CUBIERTA]])</f>
        <v>0</v>
      </c>
      <c r="BY163" s="3">
        <f>+IF(AVANCE[[#This Row],[BARANDA BALCON]]=AL$2,100%,AVANCE[[#This Row],[BARANDA BALCON]])</f>
        <v>0</v>
      </c>
      <c r="BZ163" s="3">
        <f>+IF(AVANCE[[#This Row],[OSB EXTERIOR]]=AM$2,100%,AVANCE[[#This Row],[OSB EXTERIOR]])</f>
        <v>0</v>
      </c>
      <c r="CA163" s="3">
        <f>+IF(AVANCE[[#This Row],[SMART PANEL]]=AN$2,100%,AVANCE[[#This Row],[SMART PANEL]])</f>
        <v>0</v>
      </c>
      <c r="CB163" s="3">
        <f>+IF(AVANCE[[#This Row],[PINTURA EXTERIOR]]=AO$2,100%,AVANCE[[#This Row],[PINTURA EXTERIOR]])</f>
        <v>0</v>
      </c>
      <c r="CC163" s="3">
        <f>+IF(AVANCE[[#This Row],[ZOCALOS LOGIA]]=AP$2,100%,AVANCE[[#This Row],[ZOCALOS LOGIA]])</f>
        <v>0</v>
      </c>
      <c r="CD163" s="3">
        <f>+IF(AVANCE[[#This Row],[MOLDURAS]]=AQ$2,100%,AVANCE[[#This Row],[MOLDURAS]])</f>
        <v>0</v>
      </c>
      <c r="CE163" s="3">
        <f>+IF(AVANCE[[#This Row],[PILASTREO]]=AR$2,100%,AVANCE[[#This Row],[PILASTREO]])</f>
        <v>0</v>
      </c>
      <c r="CF163" s="3">
        <f>+IF(AVANCE[[#This Row],[CELOSIAS]]=AS$2,100%,AVANCE[[#This Row],[CELOSIAS]])</f>
        <v>0</v>
      </c>
      <c r="CG163" s="3">
        <f>+IF(AVANCE[[#This Row],[VENTANAS]]=AT$2,100%,AVANCE[[#This Row],[VENTANAS]])</f>
        <v>0</v>
      </c>
      <c r="CH163" s="3">
        <f>+IF(AVANCE[[#This Row],[PUERTAS ACCESO - LOGIA - BANO]]=AU$2,100%,AVANCE[[#This Row],[PUERTAS ACCESO - LOGIA - BANO]])</f>
        <v>0</v>
      </c>
      <c r="CI163" s="3">
        <f>+IF(AVANCE[[#This Row],[CERRADURAS]]=AV$2,100%,AVANCE[[#This Row],[CERRADURAS]])</f>
        <v>0</v>
      </c>
      <c r="CJ163" s="3">
        <f>+IF(AVANCE[[#This Row],[REVESTIMIENTO INTERIOR ZONA SECA]]=AW$2,100%,AVANCE[[#This Row],[REVESTIMIENTO INTERIOR ZONA SECA]])</f>
        <v>0</v>
      </c>
      <c r="CK163" s="3">
        <f>+IF(AVANCE[[#This Row],[REVESTIMIENTO INTERIOR ZONAS HUMEDAS]]=AX$2,100%,AVANCE[[#This Row],[REVESTIMIENTO INTERIOR ZONAS HUMEDAS]])</f>
        <v>0</v>
      </c>
      <c r="CL163" s="3">
        <f>+IF(AVANCE[[#This Row],[MEMBRANA CIELO]]=AY$2,100%,AVANCE[[#This Row],[MEMBRANA CIELO]])</f>
        <v>0</v>
      </c>
      <c r="CM163" s="3">
        <f>+IF(AVANCE[[#This Row],[LIMPIEZA FINAL]]=AZ$2,100%,AVANCE[[#This Row],[LIMPIEZA FINAL]])</f>
        <v>0</v>
      </c>
      <c r="CN163" s="3">
        <f>+IF(AVANCE[[#This Row],[PUERTAS DORMITORIO]]=BA$2,100%,AVANCE[[#This Row],[PUERTAS DORMITORIO]])</f>
        <v>0</v>
      </c>
      <c r="CO163" s="3">
        <f>+IF(AVANCE[[#This Row],[REVESTIMIENTO INTERIOR BANO]]=BB$2,100%,AVANCE[[#This Row],[REVESTIMIENTO INTERIOR BANO]])</f>
        <v>0</v>
      </c>
      <c r="CP163" s="3">
        <f>+IF(AVANCE[[#This Row],[MUEBLE LAVAPLATOS]]=BC$2,100%,AVANCE[[#This Row],[MUEBLE LAVAPLATOS]])</f>
        <v>0</v>
      </c>
      <c r="CQ163" s="3">
        <f>+IF(AVANCE[[#This Row],[IMPERMEABILIZACION BANO - COCINA LOGIA]]=BD$2,100%,AVANCE[[#This Row],[IMPERMEABILIZACION BANO - COCINA LOGIA]])</f>
        <v>0</v>
      </c>
      <c r="CR163" s="40">
        <f ca="1">+IF(AVANCE[[#This Row],[ESTADO MODULO]]="PENDIENTE",(TODAY()-AVANCE[[#This Row],[FECHA TERMINO  PLANIFICADO]]),0)</f>
        <v>0</v>
      </c>
      <c r="CS163" s="42" t="str" cm="1">
        <f t="array" ref="CS163">_xlfn.TEXTJOIN(" | ",TRUE,IF(SUMPRODUCT((BF163:CQ163&lt;1)*(PARTIDAS!$I$2:$AT$2="OBRA GRUESA"))&gt;0,"OBRA GRUESA: "&amp;_xlfn.TEXTJOIN(", ",TRUE,IF((BF163:CQ163&lt;1)*(PARTIDAS!$I$2:$AT$2="OBRA GRUESA"),PARTIDAS!$I$1:$AT$1,"")),""),IF(SUMPRODUCT((BF163:CQ163&lt;1)*(PARTIDAS!$I$2:$AT$2="SANITARIOS"))&gt;0,"SANITARIOS: "&amp;_xlfn.TEXTJOIN(", ",TRUE,IF((BF163:CQ163&lt;1)*(PARTIDAS!$I$2:$AT$2="SANITARIOS"),PARTIDAS!$I$1:$AT$1,"")),""),IF(SUMPRODUCT((BF163:CQ163&lt;1)*(PARTIDAS!$I$2:$AT$2="ELÉCTRICO"))&gt;0,"ELÉCTRICO: "&amp;_xlfn.TEXTJOIN(", ",TRUE,IF((BF163:CQ163&lt;1)*(PARTIDAS!$I$2:$AT$2="ELÉCTRICO"),PARTIDAS!$I$1:$AT$1,"")),""),IF(SUMPRODUCT((BF163:CQ163&lt;1)*(PARTIDAS!$I$2:$AT$2="TERMINACIONES"))&gt;0,"TERMINACIONES: "&amp;_xlfn.TEXTJOIN(", ",TRUE,IF((BF163:CQ163&lt;1)*(PARTIDAS!$I$2:$AT$2="TERMINACIONES"),PARTIDAS!$I$1:$AT$1,"")),""))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3" s="45" t="str" cm="1">
        <f t="array" ref="CT163">_xlfn.TEXTJOIN(", ",TRUE,IF(SUMPRODUCT((BF163:CQ163&lt;1)*(PARTIDAS!$I$2:$AT$2="OBRA GRUESA"))&gt;0,"OBRA GRUESA",""),IF(SUMPRODUCT((BF163:CQ163&lt;1)*(PARTIDAS!$I$2:$AT$2="SANITARIOS"))&gt;0,"SANITARIOS",""),IF(SUMPRODUCT((BF163:CQ163&lt;1)*(PARTIDAS!$I$2:$AT$2="ELÉCTRICO"))&gt;0,"ELÉCTRICO",""),IF(SUMPRODUCT((BF163:CQ163&lt;1)*(PARTIDAS!$I$2:$AT$2="TERMINACIONES"))&gt;0,"TERMINACIONES",""))</f>
        <v>OBRA GRUESA, SANITARIOS, ELÉCTRICO, TERMINACIONES</v>
      </c>
      <c r="CU163" s="46" cm="1">
        <f t="array" ref="CU163">SUMPRODUCT(--(BF163:CQ163&lt;1))</f>
        <v>38</v>
      </c>
    </row>
    <row r="164" spans="1:99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46181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 t="str">
        <f>+IF(AVANCE[[#This Row],[% AVANCE]]=100%,"MODULO TERMINADO",IF(AVANCE[[#This Row],[FECHA INICIO REAL]]="","MODULO NO INICIADO","PENDIENTE"))</f>
        <v>MODULO NO INICIADO</v>
      </c>
      <c r="BF164" s="3">
        <f>+IF(AVANCE[[#This Row],[VENTANAS]]=8.10810810810811%,100%,AVANCE[[#This Row],[VENTANAS]])</f>
        <v>0</v>
      </c>
      <c r="BG164" s="3">
        <f>+IF(AVANCE[[#This Row],[PISO]]=N$2,100%,AVANCE[[#This Row],[PISO]])</f>
        <v>0</v>
      </c>
      <c r="BH164" s="3">
        <f>+IF(AVANCE[[#This Row],[TABIQUES]]=O$2,100%,AVANCE[[#This Row],[TABIQUES]])</f>
        <v>0</v>
      </c>
      <c r="BI164" s="3">
        <f>+IF(AVANCE[[#This Row],[MUROS]]=P$2,100%,AVANCE[[#This Row],[MUROS]])</f>
        <v>0</v>
      </c>
      <c r="BJ164" s="3">
        <f>+IF(AVANCE[[#This Row],[CIELO]]=Q$2,100%,AVANCE[[#This Row],[CIELO]])</f>
        <v>0</v>
      </c>
      <c r="BK164" s="3">
        <f>+IF(AVANCE[[#This Row],[BALCÓN]]=R$2,100%,AVANCE[[#This Row],[BALCÓN]])</f>
        <v>0</v>
      </c>
      <c r="BL164" s="3">
        <f>+IF(AVANCE[[#This Row],[RED ALCANTARILLADO]]=U$2,100%,AVANCE[[#This Row],[RED ALCANTARILLADO]])</f>
        <v>0</v>
      </c>
      <c r="BM164" s="3">
        <f>+IF(AVANCE[[#This Row],[RED DE AGUA]]=V$2,100%,AVANCE[[#This Row],[RED DE AGUA]])</f>
        <v>0</v>
      </c>
      <c r="BN164" s="3">
        <f>+IF(AVANCE[[#This Row],[VENTILACIONES]]=W$2,100%,AVANCE[[#This Row],[VENTILACIONES]])</f>
        <v>0</v>
      </c>
      <c r="BO164" s="3">
        <f>+IF(AVANCE[[#This Row],[TINA]]=X$2,100%,AVANCE[[#This Row],[TINA]])</f>
        <v>0</v>
      </c>
      <c r="BP164" s="3">
        <f>+IF(AVANCE[[#This Row],[WC]]=Y$2,100%,AVANCE[[#This Row],[WC]])</f>
        <v>0</v>
      </c>
      <c r="BQ164" s="3">
        <f>+IF(AVANCE[[#This Row],[LAVAMANOS / LAVAPLATOS / LAVADERO]]=Z$2,100%,AVANCE[[#This Row],[LAVAMANOS / LAVAPLATOS / LAVADERO]])</f>
        <v>0</v>
      </c>
      <c r="BR164" s="3">
        <f>+IF(AVANCE[[#This Row],[CANALIZACIÓN]]=AC$2,100%,AVANCE[[#This Row],[CANALIZACIÓN]])</f>
        <v>0</v>
      </c>
      <c r="BS164" s="3">
        <f>+IF(AVANCE[[#This Row],[CABLEADO]]=AD$2,100%,AVANCE[[#This Row],[CABLEADO]])</f>
        <v>0</v>
      </c>
      <c r="BT164" s="3">
        <f>+IF(AVANCE[[#This Row],[ARTEFACTOS]]=AE$2,100%,AVANCE[[#This Row],[ARTEFACTOS]])</f>
        <v>0</v>
      </c>
      <c r="BU164" s="3">
        <f>+IF(AVANCE[[#This Row],[TABLERO]]=AF$2,100%,AVANCE[[#This Row],[TABLERO]])</f>
        <v>0</v>
      </c>
      <c r="BV164" s="3">
        <f>+IF(AVANCE[[#This Row],[CAJA PAU]]=AG$2,100%,AVANCE[[#This Row],[CAJA PAU]])</f>
        <v>0</v>
      </c>
      <c r="BW164" s="3">
        <f>+IF(AVANCE[[#This Row],[INSTALACION VINILICO]]=AJ$2,100%,AVANCE[[#This Row],[INSTALACION VINILICO]])</f>
        <v>0</v>
      </c>
      <c r="BX164" s="3">
        <f>+IF(AVANCE[[#This Row],[OSB CUBIERTA]]=AK$2,100%,AVANCE[[#This Row],[OSB CUBIERTA]])</f>
        <v>0</v>
      </c>
      <c r="BY164" s="3">
        <f>+IF(AVANCE[[#This Row],[BARANDA BALCON]]=AL$2,100%,AVANCE[[#This Row],[BARANDA BALCON]])</f>
        <v>0</v>
      </c>
      <c r="BZ164" s="3">
        <f>+IF(AVANCE[[#This Row],[OSB EXTERIOR]]=AM$2,100%,AVANCE[[#This Row],[OSB EXTERIOR]])</f>
        <v>0</v>
      </c>
      <c r="CA164" s="3">
        <f>+IF(AVANCE[[#This Row],[SMART PANEL]]=AN$2,100%,AVANCE[[#This Row],[SMART PANEL]])</f>
        <v>0</v>
      </c>
      <c r="CB164" s="3">
        <f>+IF(AVANCE[[#This Row],[PINTURA EXTERIOR]]=AO$2,100%,AVANCE[[#This Row],[PINTURA EXTERIOR]])</f>
        <v>0</v>
      </c>
      <c r="CC164" s="3">
        <f>+IF(AVANCE[[#This Row],[ZOCALOS LOGIA]]=AP$2,100%,AVANCE[[#This Row],[ZOCALOS LOGIA]])</f>
        <v>0</v>
      </c>
      <c r="CD164" s="3">
        <f>+IF(AVANCE[[#This Row],[MOLDURAS]]=AQ$2,100%,AVANCE[[#This Row],[MOLDURAS]])</f>
        <v>0</v>
      </c>
      <c r="CE164" s="3">
        <f>+IF(AVANCE[[#This Row],[PILASTREO]]=AR$2,100%,AVANCE[[#This Row],[PILASTREO]])</f>
        <v>0</v>
      </c>
      <c r="CF164" s="3">
        <f>+IF(AVANCE[[#This Row],[CELOSIAS]]=AS$2,100%,AVANCE[[#This Row],[CELOSIAS]])</f>
        <v>0</v>
      </c>
      <c r="CG164" s="3">
        <f>+IF(AVANCE[[#This Row],[VENTANAS]]=AT$2,100%,AVANCE[[#This Row],[VENTANAS]])</f>
        <v>0</v>
      </c>
      <c r="CH164" s="3">
        <f>+IF(AVANCE[[#This Row],[PUERTAS ACCESO - LOGIA - BANO]]=AU$2,100%,AVANCE[[#This Row],[PUERTAS ACCESO - LOGIA - BANO]])</f>
        <v>0</v>
      </c>
      <c r="CI164" s="3">
        <f>+IF(AVANCE[[#This Row],[CERRADURAS]]=AV$2,100%,AVANCE[[#This Row],[CERRADURAS]])</f>
        <v>0</v>
      </c>
      <c r="CJ164" s="3">
        <f>+IF(AVANCE[[#This Row],[REVESTIMIENTO INTERIOR ZONA SECA]]=AW$2,100%,AVANCE[[#This Row],[REVESTIMIENTO INTERIOR ZONA SECA]])</f>
        <v>0</v>
      </c>
      <c r="CK164" s="3">
        <f>+IF(AVANCE[[#This Row],[REVESTIMIENTO INTERIOR ZONAS HUMEDAS]]=AX$2,100%,AVANCE[[#This Row],[REVESTIMIENTO INTERIOR ZONAS HUMEDAS]])</f>
        <v>0</v>
      </c>
      <c r="CL164" s="3">
        <f>+IF(AVANCE[[#This Row],[MEMBRANA CIELO]]=AY$2,100%,AVANCE[[#This Row],[MEMBRANA CIELO]])</f>
        <v>0</v>
      </c>
      <c r="CM164" s="3">
        <f>+IF(AVANCE[[#This Row],[LIMPIEZA FINAL]]=AZ$2,100%,AVANCE[[#This Row],[LIMPIEZA FINAL]])</f>
        <v>0</v>
      </c>
      <c r="CN164" s="3">
        <f>+IF(AVANCE[[#This Row],[PUERTAS DORMITORIO]]=BA$2,100%,AVANCE[[#This Row],[PUERTAS DORMITORIO]])</f>
        <v>0</v>
      </c>
      <c r="CO164" s="3">
        <f>+IF(AVANCE[[#This Row],[REVESTIMIENTO INTERIOR BANO]]=BB$2,100%,AVANCE[[#This Row],[REVESTIMIENTO INTERIOR BANO]])</f>
        <v>0</v>
      </c>
      <c r="CP164" s="3">
        <f>+IF(AVANCE[[#This Row],[MUEBLE LAVAPLATOS]]=BC$2,100%,AVANCE[[#This Row],[MUEBLE LAVAPLATOS]])</f>
        <v>0</v>
      </c>
      <c r="CQ164" s="3">
        <f>+IF(AVANCE[[#This Row],[IMPERMEABILIZACION BANO - COCINA LOGIA]]=BD$2,100%,AVANCE[[#This Row],[IMPERMEABILIZACION BANO - COCINA LOGIA]])</f>
        <v>0</v>
      </c>
      <c r="CR164" s="40">
        <f ca="1">+IF(AVANCE[[#This Row],[ESTADO MODULO]]="PENDIENTE",(TODAY()-AVANCE[[#This Row],[FECHA TERMINO  PLANIFICADO]]),0)</f>
        <v>0</v>
      </c>
      <c r="CS164" s="42" t="str" cm="1">
        <f t="array" ref="CS164">_xlfn.TEXTJOIN(" | ",TRUE,IF(SUMPRODUCT((BF164:CQ164&lt;1)*(PARTIDAS!$I$2:$AT$2="OBRA GRUESA"))&gt;0,"OBRA GRUESA: "&amp;_xlfn.TEXTJOIN(", ",TRUE,IF((BF164:CQ164&lt;1)*(PARTIDAS!$I$2:$AT$2="OBRA GRUESA"),PARTIDAS!$I$1:$AT$1,"")),""),IF(SUMPRODUCT((BF164:CQ164&lt;1)*(PARTIDAS!$I$2:$AT$2="SANITARIOS"))&gt;0,"SANITARIOS: "&amp;_xlfn.TEXTJOIN(", ",TRUE,IF((BF164:CQ164&lt;1)*(PARTIDAS!$I$2:$AT$2="SANITARIOS"),PARTIDAS!$I$1:$AT$1,"")),""),IF(SUMPRODUCT((BF164:CQ164&lt;1)*(PARTIDAS!$I$2:$AT$2="ELÉCTRICO"))&gt;0,"ELÉCTRICO: "&amp;_xlfn.TEXTJOIN(", ",TRUE,IF((BF164:CQ164&lt;1)*(PARTIDAS!$I$2:$AT$2="ELÉCTRICO"),PARTIDAS!$I$1:$AT$1,"")),""),IF(SUMPRODUCT((BF164:CQ164&lt;1)*(PARTIDAS!$I$2:$AT$2="TERMINACIONES"))&gt;0,"TERMINACIONES: "&amp;_xlfn.TEXTJOIN(", ",TRUE,IF((BF164:CQ164&lt;1)*(PARTIDAS!$I$2:$AT$2="TERMINACIONES"),PARTIDAS!$I$1:$AT$1,"")),""))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4" s="45" t="str" cm="1">
        <f t="array" ref="CT164">_xlfn.TEXTJOIN(", ",TRUE,IF(SUMPRODUCT((BF164:CQ164&lt;1)*(PARTIDAS!$I$2:$AT$2="OBRA GRUESA"))&gt;0,"OBRA GRUESA",""),IF(SUMPRODUCT((BF164:CQ164&lt;1)*(PARTIDAS!$I$2:$AT$2="SANITARIOS"))&gt;0,"SANITARIOS",""),IF(SUMPRODUCT((BF164:CQ164&lt;1)*(PARTIDAS!$I$2:$AT$2="ELÉCTRICO"))&gt;0,"ELÉCTRICO",""),IF(SUMPRODUCT((BF164:CQ164&lt;1)*(PARTIDAS!$I$2:$AT$2="TERMINACIONES"))&gt;0,"TERMINACIONES",""))</f>
        <v>OBRA GRUESA, SANITARIOS, ELÉCTRICO, TERMINACIONES</v>
      </c>
      <c r="CU164" s="46" cm="1">
        <f t="array" ref="CU164">SUMPRODUCT(--(BF164:CQ164&lt;1))</f>
        <v>38</v>
      </c>
    </row>
    <row r="165" spans="1:99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46181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 t="str">
        <f>+IF(AVANCE[[#This Row],[% AVANCE]]=100%,"MODULO TERMINADO",IF(AVANCE[[#This Row],[FECHA INICIO REAL]]="","MODULO NO INICIADO","PENDIENTE"))</f>
        <v>MODULO NO INICIADO</v>
      </c>
      <c r="BF165" s="3">
        <f>+IF(AVANCE[[#This Row],[VENTANAS]]=8.10810810810811%,100%,AVANCE[[#This Row],[VENTANAS]])</f>
        <v>0</v>
      </c>
      <c r="BG165" s="3">
        <f>+IF(AVANCE[[#This Row],[PISO]]=N$2,100%,AVANCE[[#This Row],[PISO]])</f>
        <v>0</v>
      </c>
      <c r="BH165" s="3">
        <f>+IF(AVANCE[[#This Row],[TABIQUES]]=O$2,100%,AVANCE[[#This Row],[TABIQUES]])</f>
        <v>0</v>
      </c>
      <c r="BI165" s="3">
        <f>+IF(AVANCE[[#This Row],[MUROS]]=P$2,100%,AVANCE[[#This Row],[MUROS]])</f>
        <v>0</v>
      </c>
      <c r="BJ165" s="3">
        <f>+IF(AVANCE[[#This Row],[CIELO]]=Q$2,100%,AVANCE[[#This Row],[CIELO]])</f>
        <v>0</v>
      </c>
      <c r="BK165" s="3">
        <f>+IF(AVANCE[[#This Row],[BALCÓN]]=R$2,100%,AVANCE[[#This Row],[BALCÓN]])</f>
        <v>0</v>
      </c>
      <c r="BL165" s="3">
        <f>+IF(AVANCE[[#This Row],[RED ALCANTARILLADO]]=U$2,100%,AVANCE[[#This Row],[RED ALCANTARILLADO]])</f>
        <v>0</v>
      </c>
      <c r="BM165" s="3">
        <f>+IF(AVANCE[[#This Row],[RED DE AGUA]]=V$2,100%,AVANCE[[#This Row],[RED DE AGUA]])</f>
        <v>0</v>
      </c>
      <c r="BN165" s="3">
        <f>+IF(AVANCE[[#This Row],[VENTILACIONES]]=W$2,100%,AVANCE[[#This Row],[VENTILACIONES]])</f>
        <v>0</v>
      </c>
      <c r="BO165" s="3">
        <f>+IF(AVANCE[[#This Row],[TINA]]=X$2,100%,AVANCE[[#This Row],[TINA]])</f>
        <v>0</v>
      </c>
      <c r="BP165" s="3">
        <f>+IF(AVANCE[[#This Row],[WC]]=Y$2,100%,AVANCE[[#This Row],[WC]])</f>
        <v>0</v>
      </c>
      <c r="BQ165" s="3">
        <f>+IF(AVANCE[[#This Row],[LAVAMANOS / LAVAPLATOS / LAVADERO]]=Z$2,100%,AVANCE[[#This Row],[LAVAMANOS / LAVAPLATOS / LAVADERO]])</f>
        <v>0</v>
      </c>
      <c r="BR165" s="3">
        <f>+IF(AVANCE[[#This Row],[CANALIZACIÓN]]=AC$2,100%,AVANCE[[#This Row],[CANALIZACIÓN]])</f>
        <v>0</v>
      </c>
      <c r="BS165" s="3">
        <f>+IF(AVANCE[[#This Row],[CABLEADO]]=AD$2,100%,AVANCE[[#This Row],[CABLEADO]])</f>
        <v>0</v>
      </c>
      <c r="BT165" s="3">
        <f>+IF(AVANCE[[#This Row],[ARTEFACTOS]]=AE$2,100%,AVANCE[[#This Row],[ARTEFACTOS]])</f>
        <v>0</v>
      </c>
      <c r="BU165" s="3">
        <f>+IF(AVANCE[[#This Row],[TABLERO]]=AF$2,100%,AVANCE[[#This Row],[TABLERO]])</f>
        <v>0</v>
      </c>
      <c r="BV165" s="3">
        <f>+IF(AVANCE[[#This Row],[CAJA PAU]]=AG$2,100%,AVANCE[[#This Row],[CAJA PAU]])</f>
        <v>0</v>
      </c>
      <c r="BW165" s="3">
        <f>+IF(AVANCE[[#This Row],[INSTALACION VINILICO]]=AJ$2,100%,AVANCE[[#This Row],[INSTALACION VINILICO]])</f>
        <v>0</v>
      </c>
      <c r="BX165" s="3">
        <f>+IF(AVANCE[[#This Row],[OSB CUBIERTA]]=AK$2,100%,AVANCE[[#This Row],[OSB CUBIERTA]])</f>
        <v>0</v>
      </c>
      <c r="BY165" s="3">
        <f>+IF(AVANCE[[#This Row],[BARANDA BALCON]]=AL$2,100%,AVANCE[[#This Row],[BARANDA BALCON]])</f>
        <v>0</v>
      </c>
      <c r="BZ165" s="3">
        <f>+IF(AVANCE[[#This Row],[OSB EXTERIOR]]=AM$2,100%,AVANCE[[#This Row],[OSB EXTERIOR]])</f>
        <v>0</v>
      </c>
      <c r="CA165" s="3">
        <f>+IF(AVANCE[[#This Row],[SMART PANEL]]=AN$2,100%,AVANCE[[#This Row],[SMART PANEL]])</f>
        <v>0</v>
      </c>
      <c r="CB165" s="3">
        <f>+IF(AVANCE[[#This Row],[PINTURA EXTERIOR]]=AO$2,100%,AVANCE[[#This Row],[PINTURA EXTERIOR]])</f>
        <v>0</v>
      </c>
      <c r="CC165" s="3">
        <f>+IF(AVANCE[[#This Row],[ZOCALOS LOGIA]]=AP$2,100%,AVANCE[[#This Row],[ZOCALOS LOGIA]])</f>
        <v>0</v>
      </c>
      <c r="CD165" s="3">
        <f>+IF(AVANCE[[#This Row],[MOLDURAS]]=AQ$2,100%,AVANCE[[#This Row],[MOLDURAS]])</f>
        <v>0</v>
      </c>
      <c r="CE165" s="3">
        <f>+IF(AVANCE[[#This Row],[PILASTREO]]=AR$2,100%,AVANCE[[#This Row],[PILASTREO]])</f>
        <v>0</v>
      </c>
      <c r="CF165" s="3">
        <f>+IF(AVANCE[[#This Row],[CELOSIAS]]=AS$2,100%,AVANCE[[#This Row],[CELOSIAS]])</f>
        <v>0</v>
      </c>
      <c r="CG165" s="3">
        <f>+IF(AVANCE[[#This Row],[VENTANAS]]=AT$2,100%,AVANCE[[#This Row],[VENTANAS]])</f>
        <v>0</v>
      </c>
      <c r="CH165" s="3">
        <f>+IF(AVANCE[[#This Row],[PUERTAS ACCESO - LOGIA - BANO]]=AU$2,100%,AVANCE[[#This Row],[PUERTAS ACCESO - LOGIA - BANO]])</f>
        <v>0</v>
      </c>
      <c r="CI165" s="3">
        <f>+IF(AVANCE[[#This Row],[CERRADURAS]]=AV$2,100%,AVANCE[[#This Row],[CERRADURAS]])</f>
        <v>0</v>
      </c>
      <c r="CJ165" s="3">
        <f>+IF(AVANCE[[#This Row],[REVESTIMIENTO INTERIOR ZONA SECA]]=AW$2,100%,AVANCE[[#This Row],[REVESTIMIENTO INTERIOR ZONA SECA]])</f>
        <v>0</v>
      </c>
      <c r="CK165" s="3">
        <f>+IF(AVANCE[[#This Row],[REVESTIMIENTO INTERIOR ZONAS HUMEDAS]]=AX$2,100%,AVANCE[[#This Row],[REVESTIMIENTO INTERIOR ZONAS HUMEDAS]])</f>
        <v>0</v>
      </c>
      <c r="CL165" s="3">
        <f>+IF(AVANCE[[#This Row],[MEMBRANA CIELO]]=AY$2,100%,AVANCE[[#This Row],[MEMBRANA CIELO]])</f>
        <v>0</v>
      </c>
      <c r="CM165" s="3">
        <f>+IF(AVANCE[[#This Row],[LIMPIEZA FINAL]]=AZ$2,100%,AVANCE[[#This Row],[LIMPIEZA FINAL]])</f>
        <v>0</v>
      </c>
      <c r="CN165" s="3">
        <f>+IF(AVANCE[[#This Row],[PUERTAS DORMITORIO]]=BA$2,100%,AVANCE[[#This Row],[PUERTAS DORMITORIO]])</f>
        <v>0</v>
      </c>
      <c r="CO165" s="3">
        <f>+IF(AVANCE[[#This Row],[REVESTIMIENTO INTERIOR BANO]]=BB$2,100%,AVANCE[[#This Row],[REVESTIMIENTO INTERIOR BANO]])</f>
        <v>0</v>
      </c>
      <c r="CP165" s="3">
        <f>+IF(AVANCE[[#This Row],[MUEBLE LAVAPLATOS]]=BC$2,100%,AVANCE[[#This Row],[MUEBLE LAVAPLATOS]])</f>
        <v>0</v>
      </c>
      <c r="CQ165" s="3">
        <f>+IF(AVANCE[[#This Row],[IMPERMEABILIZACION BANO - COCINA LOGIA]]=BD$2,100%,AVANCE[[#This Row],[IMPERMEABILIZACION BANO - COCINA LOGIA]])</f>
        <v>0</v>
      </c>
      <c r="CR165" s="40">
        <f ca="1">+IF(AVANCE[[#This Row],[ESTADO MODULO]]="PENDIENTE",(TODAY()-AVANCE[[#This Row],[FECHA TERMINO  PLANIFICADO]]),0)</f>
        <v>0</v>
      </c>
      <c r="CS165" s="42" t="str" cm="1">
        <f t="array" ref="CS165">_xlfn.TEXTJOIN(" | ",TRUE,IF(SUMPRODUCT((BF165:CQ165&lt;1)*(PARTIDAS!$I$2:$AT$2="OBRA GRUESA"))&gt;0,"OBRA GRUESA: "&amp;_xlfn.TEXTJOIN(", ",TRUE,IF((BF165:CQ165&lt;1)*(PARTIDAS!$I$2:$AT$2="OBRA GRUESA"),PARTIDAS!$I$1:$AT$1,"")),""),IF(SUMPRODUCT((BF165:CQ165&lt;1)*(PARTIDAS!$I$2:$AT$2="SANITARIOS"))&gt;0,"SANITARIOS: "&amp;_xlfn.TEXTJOIN(", ",TRUE,IF((BF165:CQ165&lt;1)*(PARTIDAS!$I$2:$AT$2="SANITARIOS"),PARTIDAS!$I$1:$AT$1,"")),""),IF(SUMPRODUCT((BF165:CQ165&lt;1)*(PARTIDAS!$I$2:$AT$2="ELÉCTRICO"))&gt;0,"ELÉCTRICO: "&amp;_xlfn.TEXTJOIN(", ",TRUE,IF((BF165:CQ165&lt;1)*(PARTIDAS!$I$2:$AT$2="ELÉCTRICO"),PARTIDAS!$I$1:$AT$1,"")),""),IF(SUMPRODUCT((BF165:CQ165&lt;1)*(PARTIDAS!$I$2:$AT$2="TERMINACIONES"))&gt;0,"TERMINACIONES: "&amp;_xlfn.TEXTJOIN(", ",TRUE,IF((BF165:CQ165&lt;1)*(PARTIDAS!$I$2:$AT$2="TERMINACIONES"),PARTIDAS!$I$1:$AT$1,"")),""))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5" s="45" t="str" cm="1">
        <f t="array" ref="CT165">_xlfn.TEXTJOIN(", ",TRUE,IF(SUMPRODUCT((BF165:CQ165&lt;1)*(PARTIDAS!$I$2:$AT$2="OBRA GRUESA"))&gt;0,"OBRA GRUESA",""),IF(SUMPRODUCT((BF165:CQ165&lt;1)*(PARTIDAS!$I$2:$AT$2="SANITARIOS"))&gt;0,"SANITARIOS",""),IF(SUMPRODUCT((BF165:CQ165&lt;1)*(PARTIDAS!$I$2:$AT$2="ELÉCTRICO"))&gt;0,"ELÉCTRICO",""),IF(SUMPRODUCT((BF165:CQ165&lt;1)*(PARTIDAS!$I$2:$AT$2="TERMINACIONES"))&gt;0,"TERMINACIONES",""))</f>
        <v>OBRA GRUESA, SANITARIOS, ELÉCTRICO, TERMINACIONES</v>
      </c>
      <c r="CU165" s="46" cm="1">
        <f t="array" ref="CU165">SUMPRODUCT(--(BF165:CQ165&lt;1))</f>
        <v>38</v>
      </c>
    </row>
    <row r="166" spans="1:99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46181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 t="str">
        <f>+IF(AVANCE[[#This Row],[% AVANCE]]=100%,"MODULO TERMINADO",IF(AVANCE[[#This Row],[FECHA INICIO REAL]]="","MODULO NO INICIADO","PENDIENTE"))</f>
        <v>MODULO NO INICIADO</v>
      </c>
      <c r="BF166" s="3">
        <f>+IF(AVANCE[[#This Row],[VENTANAS]]=8.10810810810811%,100%,AVANCE[[#This Row],[VENTANAS]])</f>
        <v>0</v>
      </c>
      <c r="BG166" s="3">
        <f>+IF(AVANCE[[#This Row],[PISO]]=N$2,100%,AVANCE[[#This Row],[PISO]])</f>
        <v>0</v>
      </c>
      <c r="BH166" s="3">
        <f>+IF(AVANCE[[#This Row],[TABIQUES]]=O$2,100%,AVANCE[[#This Row],[TABIQUES]])</f>
        <v>0</v>
      </c>
      <c r="BI166" s="3">
        <f>+IF(AVANCE[[#This Row],[MUROS]]=P$2,100%,AVANCE[[#This Row],[MUROS]])</f>
        <v>0</v>
      </c>
      <c r="BJ166" s="3">
        <f>+IF(AVANCE[[#This Row],[CIELO]]=Q$2,100%,AVANCE[[#This Row],[CIELO]])</f>
        <v>0</v>
      </c>
      <c r="BK166" s="3">
        <f>+IF(AVANCE[[#This Row],[BALCÓN]]=R$2,100%,AVANCE[[#This Row],[BALCÓN]])</f>
        <v>0</v>
      </c>
      <c r="BL166" s="3">
        <f>+IF(AVANCE[[#This Row],[RED ALCANTARILLADO]]=U$2,100%,AVANCE[[#This Row],[RED ALCANTARILLADO]])</f>
        <v>0</v>
      </c>
      <c r="BM166" s="3">
        <f>+IF(AVANCE[[#This Row],[RED DE AGUA]]=V$2,100%,AVANCE[[#This Row],[RED DE AGUA]])</f>
        <v>0</v>
      </c>
      <c r="BN166" s="3">
        <f>+IF(AVANCE[[#This Row],[VENTILACIONES]]=W$2,100%,AVANCE[[#This Row],[VENTILACIONES]])</f>
        <v>0</v>
      </c>
      <c r="BO166" s="3">
        <f>+IF(AVANCE[[#This Row],[TINA]]=X$2,100%,AVANCE[[#This Row],[TINA]])</f>
        <v>0</v>
      </c>
      <c r="BP166" s="3">
        <f>+IF(AVANCE[[#This Row],[WC]]=Y$2,100%,AVANCE[[#This Row],[WC]])</f>
        <v>0</v>
      </c>
      <c r="BQ166" s="3">
        <f>+IF(AVANCE[[#This Row],[LAVAMANOS / LAVAPLATOS / LAVADERO]]=Z$2,100%,AVANCE[[#This Row],[LAVAMANOS / LAVAPLATOS / LAVADERO]])</f>
        <v>0</v>
      </c>
      <c r="BR166" s="3">
        <f>+IF(AVANCE[[#This Row],[CANALIZACIÓN]]=AC$2,100%,AVANCE[[#This Row],[CANALIZACIÓN]])</f>
        <v>0</v>
      </c>
      <c r="BS166" s="3">
        <f>+IF(AVANCE[[#This Row],[CABLEADO]]=AD$2,100%,AVANCE[[#This Row],[CABLEADO]])</f>
        <v>0</v>
      </c>
      <c r="BT166" s="3">
        <f>+IF(AVANCE[[#This Row],[ARTEFACTOS]]=AE$2,100%,AVANCE[[#This Row],[ARTEFACTOS]])</f>
        <v>0</v>
      </c>
      <c r="BU166" s="3">
        <f>+IF(AVANCE[[#This Row],[TABLERO]]=AF$2,100%,AVANCE[[#This Row],[TABLERO]])</f>
        <v>0</v>
      </c>
      <c r="BV166" s="3">
        <f>+IF(AVANCE[[#This Row],[CAJA PAU]]=AG$2,100%,AVANCE[[#This Row],[CAJA PAU]])</f>
        <v>0</v>
      </c>
      <c r="BW166" s="3">
        <f>+IF(AVANCE[[#This Row],[INSTALACION VINILICO]]=AJ$2,100%,AVANCE[[#This Row],[INSTALACION VINILICO]])</f>
        <v>0</v>
      </c>
      <c r="BX166" s="3">
        <f>+IF(AVANCE[[#This Row],[OSB CUBIERTA]]=AK$2,100%,AVANCE[[#This Row],[OSB CUBIERTA]])</f>
        <v>0</v>
      </c>
      <c r="BY166" s="3">
        <f>+IF(AVANCE[[#This Row],[BARANDA BALCON]]=AL$2,100%,AVANCE[[#This Row],[BARANDA BALCON]])</f>
        <v>0</v>
      </c>
      <c r="BZ166" s="3">
        <f>+IF(AVANCE[[#This Row],[OSB EXTERIOR]]=AM$2,100%,AVANCE[[#This Row],[OSB EXTERIOR]])</f>
        <v>0</v>
      </c>
      <c r="CA166" s="3">
        <f>+IF(AVANCE[[#This Row],[SMART PANEL]]=AN$2,100%,AVANCE[[#This Row],[SMART PANEL]])</f>
        <v>0</v>
      </c>
      <c r="CB166" s="3">
        <f>+IF(AVANCE[[#This Row],[PINTURA EXTERIOR]]=AO$2,100%,AVANCE[[#This Row],[PINTURA EXTERIOR]])</f>
        <v>0</v>
      </c>
      <c r="CC166" s="3">
        <f>+IF(AVANCE[[#This Row],[ZOCALOS LOGIA]]=AP$2,100%,AVANCE[[#This Row],[ZOCALOS LOGIA]])</f>
        <v>0</v>
      </c>
      <c r="CD166" s="3">
        <f>+IF(AVANCE[[#This Row],[MOLDURAS]]=AQ$2,100%,AVANCE[[#This Row],[MOLDURAS]])</f>
        <v>0</v>
      </c>
      <c r="CE166" s="3">
        <f>+IF(AVANCE[[#This Row],[PILASTREO]]=AR$2,100%,AVANCE[[#This Row],[PILASTREO]])</f>
        <v>0</v>
      </c>
      <c r="CF166" s="3">
        <f>+IF(AVANCE[[#This Row],[CELOSIAS]]=AS$2,100%,AVANCE[[#This Row],[CELOSIAS]])</f>
        <v>0</v>
      </c>
      <c r="CG166" s="3">
        <f>+IF(AVANCE[[#This Row],[VENTANAS]]=AT$2,100%,AVANCE[[#This Row],[VENTANAS]])</f>
        <v>0</v>
      </c>
      <c r="CH166" s="3">
        <f>+IF(AVANCE[[#This Row],[PUERTAS ACCESO - LOGIA - BANO]]=AU$2,100%,AVANCE[[#This Row],[PUERTAS ACCESO - LOGIA - BANO]])</f>
        <v>0</v>
      </c>
      <c r="CI166" s="3">
        <f>+IF(AVANCE[[#This Row],[CERRADURAS]]=AV$2,100%,AVANCE[[#This Row],[CERRADURAS]])</f>
        <v>0</v>
      </c>
      <c r="CJ166" s="3">
        <f>+IF(AVANCE[[#This Row],[REVESTIMIENTO INTERIOR ZONA SECA]]=AW$2,100%,AVANCE[[#This Row],[REVESTIMIENTO INTERIOR ZONA SECA]])</f>
        <v>0</v>
      </c>
      <c r="CK166" s="3">
        <f>+IF(AVANCE[[#This Row],[REVESTIMIENTO INTERIOR ZONAS HUMEDAS]]=AX$2,100%,AVANCE[[#This Row],[REVESTIMIENTO INTERIOR ZONAS HUMEDAS]])</f>
        <v>0</v>
      </c>
      <c r="CL166" s="3">
        <f>+IF(AVANCE[[#This Row],[MEMBRANA CIELO]]=AY$2,100%,AVANCE[[#This Row],[MEMBRANA CIELO]])</f>
        <v>0</v>
      </c>
      <c r="CM166" s="3">
        <f>+IF(AVANCE[[#This Row],[LIMPIEZA FINAL]]=AZ$2,100%,AVANCE[[#This Row],[LIMPIEZA FINAL]])</f>
        <v>0</v>
      </c>
      <c r="CN166" s="3">
        <f>+IF(AVANCE[[#This Row],[PUERTAS DORMITORIO]]=BA$2,100%,AVANCE[[#This Row],[PUERTAS DORMITORIO]])</f>
        <v>0</v>
      </c>
      <c r="CO166" s="3">
        <f>+IF(AVANCE[[#This Row],[REVESTIMIENTO INTERIOR BANO]]=BB$2,100%,AVANCE[[#This Row],[REVESTIMIENTO INTERIOR BANO]])</f>
        <v>0</v>
      </c>
      <c r="CP166" s="3">
        <f>+IF(AVANCE[[#This Row],[MUEBLE LAVAPLATOS]]=BC$2,100%,AVANCE[[#This Row],[MUEBLE LAVAPLATOS]])</f>
        <v>0</v>
      </c>
      <c r="CQ166" s="3">
        <f>+IF(AVANCE[[#This Row],[IMPERMEABILIZACION BANO - COCINA LOGIA]]=BD$2,100%,AVANCE[[#This Row],[IMPERMEABILIZACION BANO - COCINA LOGIA]])</f>
        <v>0</v>
      </c>
      <c r="CR166" s="40">
        <f ca="1">+IF(AVANCE[[#This Row],[ESTADO MODULO]]="PENDIENTE",(TODAY()-AVANCE[[#This Row],[FECHA TERMINO  PLANIFICADO]]),0)</f>
        <v>0</v>
      </c>
      <c r="CS166" s="42" t="str" cm="1">
        <f t="array" ref="CS166">_xlfn.TEXTJOIN(" | ",TRUE,IF(SUMPRODUCT((BF166:CQ166&lt;1)*(PARTIDAS!$I$2:$AT$2="OBRA GRUESA"))&gt;0,"OBRA GRUESA: "&amp;_xlfn.TEXTJOIN(", ",TRUE,IF((BF166:CQ166&lt;1)*(PARTIDAS!$I$2:$AT$2="OBRA GRUESA"),PARTIDAS!$I$1:$AT$1,"")),""),IF(SUMPRODUCT((BF166:CQ166&lt;1)*(PARTIDAS!$I$2:$AT$2="SANITARIOS"))&gt;0,"SANITARIOS: "&amp;_xlfn.TEXTJOIN(", ",TRUE,IF((BF166:CQ166&lt;1)*(PARTIDAS!$I$2:$AT$2="SANITARIOS"),PARTIDAS!$I$1:$AT$1,"")),""),IF(SUMPRODUCT((BF166:CQ166&lt;1)*(PARTIDAS!$I$2:$AT$2="ELÉCTRICO"))&gt;0,"ELÉCTRICO: "&amp;_xlfn.TEXTJOIN(", ",TRUE,IF((BF166:CQ166&lt;1)*(PARTIDAS!$I$2:$AT$2="ELÉCTRICO"),PARTIDAS!$I$1:$AT$1,"")),""),IF(SUMPRODUCT((BF166:CQ166&lt;1)*(PARTIDAS!$I$2:$AT$2="TERMINACIONES"))&gt;0,"TERMINACIONES: "&amp;_xlfn.TEXTJOIN(", ",TRUE,IF((BF166:CQ166&lt;1)*(PARTIDAS!$I$2:$AT$2="TERMINACIONES"),PARTIDAS!$I$1:$AT$1,"")),""))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6" s="45" t="str" cm="1">
        <f t="array" ref="CT166">_xlfn.TEXTJOIN(", ",TRUE,IF(SUMPRODUCT((BF166:CQ166&lt;1)*(PARTIDAS!$I$2:$AT$2="OBRA GRUESA"))&gt;0,"OBRA GRUESA",""),IF(SUMPRODUCT((BF166:CQ166&lt;1)*(PARTIDAS!$I$2:$AT$2="SANITARIOS"))&gt;0,"SANITARIOS",""),IF(SUMPRODUCT((BF166:CQ166&lt;1)*(PARTIDAS!$I$2:$AT$2="ELÉCTRICO"))&gt;0,"ELÉCTRICO",""),IF(SUMPRODUCT((BF166:CQ166&lt;1)*(PARTIDAS!$I$2:$AT$2="TERMINACIONES"))&gt;0,"TERMINACIONES",""))</f>
        <v>OBRA GRUESA, SANITARIOS, ELÉCTRICO, TERMINACIONES</v>
      </c>
      <c r="CU166" s="46" cm="1">
        <f t="array" ref="CU166">SUMPRODUCT(--(BF166:CQ166&lt;1))</f>
        <v>38</v>
      </c>
    </row>
    <row r="167" spans="1:99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46181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 t="str">
        <f>+IF(AVANCE[[#This Row],[% AVANCE]]=100%,"MODULO TERMINADO",IF(AVANCE[[#This Row],[FECHA INICIO REAL]]="","MODULO NO INICIADO","PENDIENTE"))</f>
        <v>MODULO NO INICIADO</v>
      </c>
      <c r="BF167" s="3">
        <f>+IF(AVANCE[[#This Row],[VENTANAS]]=8.10810810810811%,100%,AVANCE[[#This Row],[VENTANAS]])</f>
        <v>0</v>
      </c>
      <c r="BG167" s="3">
        <f>+IF(AVANCE[[#This Row],[PISO]]=N$2,100%,AVANCE[[#This Row],[PISO]])</f>
        <v>0</v>
      </c>
      <c r="BH167" s="3">
        <f>+IF(AVANCE[[#This Row],[TABIQUES]]=O$2,100%,AVANCE[[#This Row],[TABIQUES]])</f>
        <v>0</v>
      </c>
      <c r="BI167" s="3">
        <f>+IF(AVANCE[[#This Row],[MUROS]]=P$2,100%,AVANCE[[#This Row],[MUROS]])</f>
        <v>0</v>
      </c>
      <c r="BJ167" s="3">
        <f>+IF(AVANCE[[#This Row],[CIELO]]=Q$2,100%,AVANCE[[#This Row],[CIELO]])</f>
        <v>0</v>
      </c>
      <c r="BK167" s="3">
        <f>+IF(AVANCE[[#This Row],[BALCÓN]]=R$2,100%,AVANCE[[#This Row],[BALCÓN]])</f>
        <v>0</v>
      </c>
      <c r="BL167" s="3">
        <f>+IF(AVANCE[[#This Row],[RED ALCANTARILLADO]]=U$2,100%,AVANCE[[#This Row],[RED ALCANTARILLADO]])</f>
        <v>0</v>
      </c>
      <c r="BM167" s="3">
        <f>+IF(AVANCE[[#This Row],[RED DE AGUA]]=V$2,100%,AVANCE[[#This Row],[RED DE AGUA]])</f>
        <v>0</v>
      </c>
      <c r="BN167" s="3">
        <f>+IF(AVANCE[[#This Row],[VENTILACIONES]]=W$2,100%,AVANCE[[#This Row],[VENTILACIONES]])</f>
        <v>0</v>
      </c>
      <c r="BO167" s="3">
        <f>+IF(AVANCE[[#This Row],[TINA]]=X$2,100%,AVANCE[[#This Row],[TINA]])</f>
        <v>0</v>
      </c>
      <c r="BP167" s="3">
        <f>+IF(AVANCE[[#This Row],[WC]]=Y$2,100%,AVANCE[[#This Row],[WC]])</f>
        <v>0</v>
      </c>
      <c r="BQ167" s="3">
        <f>+IF(AVANCE[[#This Row],[LAVAMANOS / LAVAPLATOS / LAVADERO]]=Z$2,100%,AVANCE[[#This Row],[LAVAMANOS / LAVAPLATOS / LAVADERO]])</f>
        <v>0</v>
      </c>
      <c r="BR167" s="3">
        <f>+IF(AVANCE[[#This Row],[CANALIZACIÓN]]=AC$2,100%,AVANCE[[#This Row],[CANALIZACIÓN]])</f>
        <v>0</v>
      </c>
      <c r="BS167" s="3">
        <f>+IF(AVANCE[[#This Row],[CABLEADO]]=AD$2,100%,AVANCE[[#This Row],[CABLEADO]])</f>
        <v>0</v>
      </c>
      <c r="BT167" s="3">
        <f>+IF(AVANCE[[#This Row],[ARTEFACTOS]]=AE$2,100%,AVANCE[[#This Row],[ARTEFACTOS]])</f>
        <v>0</v>
      </c>
      <c r="BU167" s="3">
        <f>+IF(AVANCE[[#This Row],[TABLERO]]=AF$2,100%,AVANCE[[#This Row],[TABLERO]])</f>
        <v>0</v>
      </c>
      <c r="BV167" s="3">
        <f>+IF(AVANCE[[#This Row],[CAJA PAU]]=AG$2,100%,AVANCE[[#This Row],[CAJA PAU]])</f>
        <v>0</v>
      </c>
      <c r="BW167" s="3">
        <f>+IF(AVANCE[[#This Row],[INSTALACION VINILICO]]=AJ$2,100%,AVANCE[[#This Row],[INSTALACION VINILICO]])</f>
        <v>0</v>
      </c>
      <c r="BX167" s="3">
        <f>+IF(AVANCE[[#This Row],[OSB CUBIERTA]]=AK$2,100%,AVANCE[[#This Row],[OSB CUBIERTA]])</f>
        <v>0</v>
      </c>
      <c r="BY167" s="3">
        <f>+IF(AVANCE[[#This Row],[BARANDA BALCON]]=AL$2,100%,AVANCE[[#This Row],[BARANDA BALCON]])</f>
        <v>0</v>
      </c>
      <c r="BZ167" s="3">
        <f>+IF(AVANCE[[#This Row],[OSB EXTERIOR]]=AM$2,100%,AVANCE[[#This Row],[OSB EXTERIOR]])</f>
        <v>0</v>
      </c>
      <c r="CA167" s="3">
        <f>+IF(AVANCE[[#This Row],[SMART PANEL]]=AN$2,100%,AVANCE[[#This Row],[SMART PANEL]])</f>
        <v>0</v>
      </c>
      <c r="CB167" s="3">
        <f>+IF(AVANCE[[#This Row],[PINTURA EXTERIOR]]=AO$2,100%,AVANCE[[#This Row],[PINTURA EXTERIOR]])</f>
        <v>0</v>
      </c>
      <c r="CC167" s="3">
        <f>+IF(AVANCE[[#This Row],[ZOCALOS LOGIA]]=AP$2,100%,AVANCE[[#This Row],[ZOCALOS LOGIA]])</f>
        <v>0</v>
      </c>
      <c r="CD167" s="3">
        <f>+IF(AVANCE[[#This Row],[MOLDURAS]]=AQ$2,100%,AVANCE[[#This Row],[MOLDURAS]])</f>
        <v>0</v>
      </c>
      <c r="CE167" s="3">
        <f>+IF(AVANCE[[#This Row],[PILASTREO]]=AR$2,100%,AVANCE[[#This Row],[PILASTREO]])</f>
        <v>0</v>
      </c>
      <c r="CF167" s="3">
        <f>+IF(AVANCE[[#This Row],[CELOSIAS]]=AS$2,100%,AVANCE[[#This Row],[CELOSIAS]])</f>
        <v>0</v>
      </c>
      <c r="CG167" s="3">
        <f>+IF(AVANCE[[#This Row],[VENTANAS]]=AT$2,100%,AVANCE[[#This Row],[VENTANAS]])</f>
        <v>0</v>
      </c>
      <c r="CH167" s="3">
        <f>+IF(AVANCE[[#This Row],[PUERTAS ACCESO - LOGIA - BANO]]=AU$2,100%,AVANCE[[#This Row],[PUERTAS ACCESO - LOGIA - BANO]])</f>
        <v>0</v>
      </c>
      <c r="CI167" s="3">
        <f>+IF(AVANCE[[#This Row],[CERRADURAS]]=AV$2,100%,AVANCE[[#This Row],[CERRADURAS]])</f>
        <v>0</v>
      </c>
      <c r="CJ167" s="3">
        <f>+IF(AVANCE[[#This Row],[REVESTIMIENTO INTERIOR ZONA SECA]]=AW$2,100%,AVANCE[[#This Row],[REVESTIMIENTO INTERIOR ZONA SECA]])</f>
        <v>0</v>
      </c>
      <c r="CK167" s="3">
        <f>+IF(AVANCE[[#This Row],[REVESTIMIENTO INTERIOR ZONAS HUMEDAS]]=AX$2,100%,AVANCE[[#This Row],[REVESTIMIENTO INTERIOR ZONAS HUMEDAS]])</f>
        <v>0</v>
      </c>
      <c r="CL167" s="3">
        <f>+IF(AVANCE[[#This Row],[MEMBRANA CIELO]]=AY$2,100%,AVANCE[[#This Row],[MEMBRANA CIELO]])</f>
        <v>0</v>
      </c>
      <c r="CM167" s="3">
        <f>+IF(AVANCE[[#This Row],[LIMPIEZA FINAL]]=AZ$2,100%,AVANCE[[#This Row],[LIMPIEZA FINAL]])</f>
        <v>0</v>
      </c>
      <c r="CN167" s="3">
        <f>+IF(AVANCE[[#This Row],[PUERTAS DORMITORIO]]=BA$2,100%,AVANCE[[#This Row],[PUERTAS DORMITORIO]])</f>
        <v>0</v>
      </c>
      <c r="CO167" s="3">
        <f>+IF(AVANCE[[#This Row],[REVESTIMIENTO INTERIOR BANO]]=BB$2,100%,AVANCE[[#This Row],[REVESTIMIENTO INTERIOR BANO]])</f>
        <v>0</v>
      </c>
      <c r="CP167" s="3">
        <f>+IF(AVANCE[[#This Row],[MUEBLE LAVAPLATOS]]=BC$2,100%,AVANCE[[#This Row],[MUEBLE LAVAPLATOS]])</f>
        <v>0</v>
      </c>
      <c r="CQ167" s="3">
        <f>+IF(AVANCE[[#This Row],[IMPERMEABILIZACION BANO - COCINA LOGIA]]=BD$2,100%,AVANCE[[#This Row],[IMPERMEABILIZACION BANO - COCINA LOGIA]])</f>
        <v>0</v>
      </c>
      <c r="CR167" s="40">
        <f ca="1">+IF(AVANCE[[#This Row],[ESTADO MODULO]]="PENDIENTE",(TODAY()-AVANCE[[#This Row],[FECHA TERMINO  PLANIFICADO]]),0)</f>
        <v>0</v>
      </c>
      <c r="CS167" s="42" t="str" cm="1">
        <f t="array" ref="CS167">_xlfn.TEXTJOIN(" | ",TRUE,IF(SUMPRODUCT((BF167:CQ167&lt;1)*(PARTIDAS!$I$2:$AT$2="OBRA GRUESA"))&gt;0,"OBRA GRUESA: "&amp;_xlfn.TEXTJOIN(", ",TRUE,IF((BF167:CQ167&lt;1)*(PARTIDAS!$I$2:$AT$2="OBRA GRUESA"),PARTIDAS!$I$1:$AT$1,"")),""),IF(SUMPRODUCT((BF167:CQ167&lt;1)*(PARTIDAS!$I$2:$AT$2="SANITARIOS"))&gt;0,"SANITARIOS: "&amp;_xlfn.TEXTJOIN(", ",TRUE,IF((BF167:CQ167&lt;1)*(PARTIDAS!$I$2:$AT$2="SANITARIOS"),PARTIDAS!$I$1:$AT$1,"")),""),IF(SUMPRODUCT((BF167:CQ167&lt;1)*(PARTIDAS!$I$2:$AT$2="ELÉCTRICO"))&gt;0,"ELÉCTRICO: "&amp;_xlfn.TEXTJOIN(", ",TRUE,IF((BF167:CQ167&lt;1)*(PARTIDAS!$I$2:$AT$2="ELÉCTRICO"),PARTIDAS!$I$1:$AT$1,"")),""),IF(SUMPRODUCT((BF167:CQ167&lt;1)*(PARTIDAS!$I$2:$AT$2="TERMINACIONES"))&gt;0,"TERMINACIONES: "&amp;_xlfn.TEXTJOIN(", ",TRUE,IF((BF167:CQ167&lt;1)*(PARTIDAS!$I$2:$AT$2="TERMINACIONES"),PARTIDAS!$I$1:$AT$1,"")),""))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7" s="45" t="str" cm="1">
        <f t="array" ref="CT167">_xlfn.TEXTJOIN(", ",TRUE,IF(SUMPRODUCT((BF167:CQ167&lt;1)*(PARTIDAS!$I$2:$AT$2="OBRA GRUESA"))&gt;0,"OBRA GRUESA",""),IF(SUMPRODUCT((BF167:CQ167&lt;1)*(PARTIDAS!$I$2:$AT$2="SANITARIOS"))&gt;0,"SANITARIOS",""),IF(SUMPRODUCT((BF167:CQ167&lt;1)*(PARTIDAS!$I$2:$AT$2="ELÉCTRICO"))&gt;0,"ELÉCTRICO",""),IF(SUMPRODUCT((BF167:CQ167&lt;1)*(PARTIDAS!$I$2:$AT$2="TERMINACIONES"))&gt;0,"TERMINACIONES",""))</f>
        <v>OBRA GRUESA, SANITARIOS, ELÉCTRICO, TERMINACIONES</v>
      </c>
      <c r="CU167" s="46" cm="1">
        <f t="array" ref="CU167">SUMPRODUCT(--(BF167:CQ167&lt;1))</f>
        <v>38</v>
      </c>
    </row>
    <row r="168" spans="1:99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46181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 t="str">
        <f>+IF(AVANCE[[#This Row],[% AVANCE]]=100%,"MODULO TERMINADO",IF(AVANCE[[#This Row],[FECHA INICIO REAL]]="","MODULO NO INICIADO","PENDIENTE"))</f>
        <v>MODULO NO INICIADO</v>
      </c>
      <c r="BF168" s="3">
        <f>+IF(AVANCE[[#This Row],[VENTANAS]]=8.10810810810811%,100%,AVANCE[[#This Row],[VENTANAS]])</f>
        <v>0</v>
      </c>
      <c r="BG168" s="3">
        <f>+IF(AVANCE[[#This Row],[PISO]]=N$2,100%,AVANCE[[#This Row],[PISO]])</f>
        <v>0</v>
      </c>
      <c r="BH168" s="3">
        <f>+IF(AVANCE[[#This Row],[TABIQUES]]=O$2,100%,AVANCE[[#This Row],[TABIQUES]])</f>
        <v>0</v>
      </c>
      <c r="BI168" s="3">
        <f>+IF(AVANCE[[#This Row],[MUROS]]=P$2,100%,AVANCE[[#This Row],[MUROS]])</f>
        <v>0</v>
      </c>
      <c r="BJ168" s="3">
        <f>+IF(AVANCE[[#This Row],[CIELO]]=Q$2,100%,AVANCE[[#This Row],[CIELO]])</f>
        <v>0</v>
      </c>
      <c r="BK168" s="3">
        <f>+IF(AVANCE[[#This Row],[BALCÓN]]=R$2,100%,AVANCE[[#This Row],[BALCÓN]])</f>
        <v>0</v>
      </c>
      <c r="BL168" s="3">
        <f>+IF(AVANCE[[#This Row],[RED ALCANTARILLADO]]=U$2,100%,AVANCE[[#This Row],[RED ALCANTARILLADO]])</f>
        <v>0</v>
      </c>
      <c r="BM168" s="3">
        <f>+IF(AVANCE[[#This Row],[RED DE AGUA]]=V$2,100%,AVANCE[[#This Row],[RED DE AGUA]])</f>
        <v>0</v>
      </c>
      <c r="BN168" s="3">
        <f>+IF(AVANCE[[#This Row],[VENTILACIONES]]=W$2,100%,AVANCE[[#This Row],[VENTILACIONES]])</f>
        <v>0</v>
      </c>
      <c r="BO168" s="3">
        <f>+IF(AVANCE[[#This Row],[TINA]]=X$2,100%,AVANCE[[#This Row],[TINA]])</f>
        <v>0</v>
      </c>
      <c r="BP168" s="3">
        <f>+IF(AVANCE[[#This Row],[WC]]=Y$2,100%,AVANCE[[#This Row],[WC]])</f>
        <v>0</v>
      </c>
      <c r="BQ168" s="3">
        <f>+IF(AVANCE[[#This Row],[LAVAMANOS / LAVAPLATOS / LAVADERO]]=Z$2,100%,AVANCE[[#This Row],[LAVAMANOS / LAVAPLATOS / LAVADERO]])</f>
        <v>0</v>
      </c>
      <c r="BR168" s="3">
        <f>+IF(AVANCE[[#This Row],[CANALIZACIÓN]]=AC$2,100%,AVANCE[[#This Row],[CANALIZACIÓN]])</f>
        <v>0</v>
      </c>
      <c r="BS168" s="3">
        <f>+IF(AVANCE[[#This Row],[CABLEADO]]=AD$2,100%,AVANCE[[#This Row],[CABLEADO]])</f>
        <v>0</v>
      </c>
      <c r="BT168" s="3">
        <f>+IF(AVANCE[[#This Row],[ARTEFACTOS]]=AE$2,100%,AVANCE[[#This Row],[ARTEFACTOS]])</f>
        <v>0</v>
      </c>
      <c r="BU168" s="3">
        <f>+IF(AVANCE[[#This Row],[TABLERO]]=AF$2,100%,AVANCE[[#This Row],[TABLERO]])</f>
        <v>0</v>
      </c>
      <c r="BV168" s="3">
        <f>+IF(AVANCE[[#This Row],[CAJA PAU]]=AG$2,100%,AVANCE[[#This Row],[CAJA PAU]])</f>
        <v>0</v>
      </c>
      <c r="BW168" s="3">
        <f>+IF(AVANCE[[#This Row],[INSTALACION VINILICO]]=AJ$2,100%,AVANCE[[#This Row],[INSTALACION VINILICO]])</f>
        <v>0</v>
      </c>
      <c r="BX168" s="3">
        <f>+IF(AVANCE[[#This Row],[OSB CUBIERTA]]=AK$2,100%,AVANCE[[#This Row],[OSB CUBIERTA]])</f>
        <v>0</v>
      </c>
      <c r="BY168" s="3">
        <f>+IF(AVANCE[[#This Row],[BARANDA BALCON]]=AL$2,100%,AVANCE[[#This Row],[BARANDA BALCON]])</f>
        <v>0</v>
      </c>
      <c r="BZ168" s="3">
        <f>+IF(AVANCE[[#This Row],[OSB EXTERIOR]]=AM$2,100%,AVANCE[[#This Row],[OSB EXTERIOR]])</f>
        <v>0</v>
      </c>
      <c r="CA168" s="3">
        <f>+IF(AVANCE[[#This Row],[SMART PANEL]]=AN$2,100%,AVANCE[[#This Row],[SMART PANEL]])</f>
        <v>0</v>
      </c>
      <c r="CB168" s="3">
        <f>+IF(AVANCE[[#This Row],[PINTURA EXTERIOR]]=AO$2,100%,AVANCE[[#This Row],[PINTURA EXTERIOR]])</f>
        <v>0</v>
      </c>
      <c r="CC168" s="3">
        <f>+IF(AVANCE[[#This Row],[ZOCALOS LOGIA]]=AP$2,100%,AVANCE[[#This Row],[ZOCALOS LOGIA]])</f>
        <v>0</v>
      </c>
      <c r="CD168" s="3">
        <f>+IF(AVANCE[[#This Row],[MOLDURAS]]=AQ$2,100%,AVANCE[[#This Row],[MOLDURAS]])</f>
        <v>0</v>
      </c>
      <c r="CE168" s="3">
        <f>+IF(AVANCE[[#This Row],[PILASTREO]]=AR$2,100%,AVANCE[[#This Row],[PILASTREO]])</f>
        <v>0</v>
      </c>
      <c r="CF168" s="3">
        <f>+IF(AVANCE[[#This Row],[CELOSIAS]]=AS$2,100%,AVANCE[[#This Row],[CELOSIAS]])</f>
        <v>0</v>
      </c>
      <c r="CG168" s="3">
        <f>+IF(AVANCE[[#This Row],[VENTANAS]]=AT$2,100%,AVANCE[[#This Row],[VENTANAS]])</f>
        <v>0</v>
      </c>
      <c r="CH168" s="3">
        <f>+IF(AVANCE[[#This Row],[PUERTAS ACCESO - LOGIA - BANO]]=AU$2,100%,AVANCE[[#This Row],[PUERTAS ACCESO - LOGIA - BANO]])</f>
        <v>0</v>
      </c>
      <c r="CI168" s="3">
        <f>+IF(AVANCE[[#This Row],[CERRADURAS]]=AV$2,100%,AVANCE[[#This Row],[CERRADURAS]])</f>
        <v>0</v>
      </c>
      <c r="CJ168" s="3">
        <f>+IF(AVANCE[[#This Row],[REVESTIMIENTO INTERIOR ZONA SECA]]=AW$2,100%,AVANCE[[#This Row],[REVESTIMIENTO INTERIOR ZONA SECA]])</f>
        <v>0</v>
      </c>
      <c r="CK168" s="3">
        <f>+IF(AVANCE[[#This Row],[REVESTIMIENTO INTERIOR ZONAS HUMEDAS]]=AX$2,100%,AVANCE[[#This Row],[REVESTIMIENTO INTERIOR ZONAS HUMEDAS]])</f>
        <v>0</v>
      </c>
      <c r="CL168" s="3">
        <f>+IF(AVANCE[[#This Row],[MEMBRANA CIELO]]=AY$2,100%,AVANCE[[#This Row],[MEMBRANA CIELO]])</f>
        <v>0</v>
      </c>
      <c r="CM168" s="3">
        <f>+IF(AVANCE[[#This Row],[LIMPIEZA FINAL]]=AZ$2,100%,AVANCE[[#This Row],[LIMPIEZA FINAL]])</f>
        <v>0</v>
      </c>
      <c r="CN168" s="3">
        <f>+IF(AVANCE[[#This Row],[PUERTAS DORMITORIO]]=BA$2,100%,AVANCE[[#This Row],[PUERTAS DORMITORIO]])</f>
        <v>0</v>
      </c>
      <c r="CO168" s="3">
        <f>+IF(AVANCE[[#This Row],[REVESTIMIENTO INTERIOR BANO]]=BB$2,100%,AVANCE[[#This Row],[REVESTIMIENTO INTERIOR BANO]])</f>
        <v>0</v>
      </c>
      <c r="CP168" s="3">
        <f>+IF(AVANCE[[#This Row],[MUEBLE LAVAPLATOS]]=BC$2,100%,AVANCE[[#This Row],[MUEBLE LAVAPLATOS]])</f>
        <v>0</v>
      </c>
      <c r="CQ168" s="3">
        <f>+IF(AVANCE[[#This Row],[IMPERMEABILIZACION BANO - COCINA LOGIA]]=BD$2,100%,AVANCE[[#This Row],[IMPERMEABILIZACION BANO - COCINA LOGIA]])</f>
        <v>0</v>
      </c>
      <c r="CR168" s="40">
        <f ca="1">+IF(AVANCE[[#This Row],[ESTADO MODULO]]="PENDIENTE",(TODAY()-AVANCE[[#This Row],[FECHA TERMINO  PLANIFICADO]]),0)</f>
        <v>0</v>
      </c>
      <c r="CS168" s="42" t="str" cm="1">
        <f t="array" ref="CS168">_xlfn.TEXTJOIN(" | ",TRUE,IF(SUMPRODUCT((BF168:CQ168&lt;1)*(PARTIDAS!$I$2:$AT$2="OBRA GRUESA"))&gt;0,"OBRA GRUESA: "&amp;_xlfn.TEXTJOIN(", ",TRUE,IF((BF168:CQ168&lt;1)*(PARTIDAS!$I$2:$AT$2="OBRA GRUESA"),PARTIDAS!$I$1:$AT$1,"")),""),IF(SUMPRODUCT((BF168:CQ168&lt;1)*(PARTIDAS!$I$2:$AT$2="SANITARIOS"))&gt;0,"SANITARIOS: "&amp;_xlfn.TEXTJOIN(", ",TRUE,IF((BF168:CQ168&lt;1)*(PARTIDAS!$I$2:$AT$2="SANITARIOS"),PARTIDAS!$I$1:$AT$1,"")),""),IF(SUMPRODUCT((BF168:CQ168&lt;1)*(PARTIDAS!$I$2:$AT$2="ELÉCTRICO"))&gt;0,"ELÉCTRICO: "&amp;_xlfn.TEXTJOIN(", ",TRUE,IF((BF168:CQ168&lt;1)*(PARTIDAS!$I$2:$AT$2="ELÉCTRICO"),PARTIDAS!$I$1:$AT$1,"")),""),IF(SUMPRODUCT((BF168:CQ168&lt;1)*(PARTIDAS!$I$2:$AT$2="TERMINACIONES"))&gt;0,"TERMINACIONES: "&amp;_xlfn.TEXTJOIN(", ",TRUE,IF((BF168:CQ168&lt;1)*(PARTIDAS!$I$2:$AT$2="TERMINACIONES"),PARTIDAS!$I$1:$AT$1,"")),""))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8" s="45" t="str" cm="1">
        <f t="array" ref="CT168">_xlfn.TEXTJOIN(", ",TRUE,IF(SUMPRODUCT((BF168:CQ168&lt;1)*(PARTIDAS!$I$2:$AT$2="OBRA GRUESA"))&gt;0,"OBRA GRUESA",""),IF(SUMPRODUCT((BF168:CQ168&lt;1)*(PARTIDAS!$I$2:$AT$2="SANITARIOS"))&gt;0,"SANITARIOS",""),IF(SUMPRODUCT((BF168:CQ168&lt;1)*(PARTIDAS!$I$2:$AT$2="ELÉCTRICO"))&gt;0,"ELÉCTRICO",""),IF(SUMPRODUCT((BF168:CQ168&lt;1)*(PARTIDAS!$I$2:$AT$2="TERMINACIONES"))&gt;0,"TERMINACIONES",""))</f>
        <v>OBRA GRUESA, SANITARIOS, ELÉCTRICO, TERMINACIONES</v>
      </c>
      <c r="CU168" s="46" cm="1">
        <f t="array" ref="CU168">SUMPRODUCT(--(BF168:CQ168&lt;1))</f>
        <v>38</v>
      </c>
    </row>
    <row r="169" spans="1:99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46181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 t="str">
        <f>+IF(AVANCE[[#This Row],[% AVANCE]]=100%,"MODULO TERMINADO",IF(AVANCE[[#This Row],[FECHA INICIO REAL]]="","MODULO NO INICIADO","PENDIENTE"))</f>
        <v>MODULO NO INICIADO</v>
      </c>
      <c r="BF169" s="3">
        <f>+IF(AVANCE[[#This Row],[VENTANAS]]=8.10810810810811%,100%,AVANCE[[#This Row],[VENTANAS]])</f>
        <v>0</v>
      </c>
      <c r="BG169" s="3">
        <f>+IF(AVANCE[[#This Row],[PISO]]=N$2,100%,AVANCE[[#This Row],[PISO]])</f>
        <v>0</v>
      </c>
      <c r="BH169" s="3">
        <f>+IF(AVANCE[[#This Row],[TABIQUES]]=O$2,100%,AVANCE[[#This Row],[TABIQUES]])</f>
        <v>0</v>
      </c>
      <c r="BI169" s="3">
        <f>+IF(AVANCE[[#This Row],[MUROS]]=P$2,100%,AVANCE[[#This Row],[MUROS]])</f>
        <v>0</v>
      </c>
      <c r="BJ169" s="3">
        <f>+IF(AVANCE[[#This Row],[CIELO]]=Q$2,100%,AVANCE[[#This Row],[CIELO]])</f>
        <v>0</v>
      </c>
      <c r="BK169" s="3">
        <f>+IF(AVANCE[[#This Row],[BALCÓN]]=R$2,100%,AVANCE[[#This Row],[BALCÓN]])</f>
        <v>0</v>
      </c>
      <c r="BL169" s="3">
        <f>+IF(AVANCE[[#This Row],[RED ALCANTARILLADO]]=U$2,100%,AVANCE[[#This Row],[RED ALCANTARILLADO]])</f>
        <v>0</v>
      </c>
      <c r="BM169" s="3">
        <f>+IF(AVANCE[[#This Row],[RED DE AGUA]]=V$2,100%,AVANCE[[#This Row],[RED DE AGUA]])</f>
        <v>0</v>
      </c>
      <c r="BN169" s="3">
        <f>+IF(AVANCE[[#This Row],[VENTILACIONES]]=W$2,100%,AVANCE[[#This Row],[VENTILACIONES]])</f>
        <v>0</v>
      </c>
      <c r="BO169" s="3">
        <f>+IF(AVANCE[[#This Row],[TINA]]=X$2,100%,AVANCE[[#This Row],[TINA]])</f>
        <v>0</v>
      </c>
      <c r="BP169" s="3">
        <f>+IF(AVANCE[[#This Row],[WC]]=Y$2,100%,AVANCE[[#This Row],[WC]])</f>
        <v>0</v>
      </c>
      <c r="BQ169" s="3">
        <f>+IF(AVANCE[[#This Row],[LAVAMANOS / LAVAPLATOS / LAVADERO]]=Z$2,100%,AVANCE[[#This Row],[LAVAMANOS / LAVAPLATOS / LAVADERO]])</f>
        <v>0</v>
      </c>
      <c r="BR169" s="3">
        <f>+IF(AVANCE[[#This Row],[CANALIZACIÓN]]=AC$2,100%,AVANCE[[#This Row],[CANALIZACIÓN]])</f>
        <v>0</v>
      </c>
      <c r="BS169" s="3">
        <f>+IF(AVANCE[[#This Row],[CABLEADO]]=AD$2,100%,AVANCE[[#This Row],[CABLEADO]])</f>
        <v>0</v>
      </c>
      <c r="BT169" s="3">
        <f>+IF(AVANCE[[#This Row],[ARTEFACTOS]]=AE$2,100%,AVANCE[[#This Row],[ARTEFACTOS]])</f>
        <v>0</v>
      </c>
      <c r="BU169" s="3">
        <f>+IF(AVANCE[[#This Row],[TABLERO]]=AF$2,100%,AVANCE[[#This Row],[TABLERO]])</f>
        <v>0</v>
      </c>
      <c r="BV169" s="3">
        <f>+IF(AVANCE[[#This Row],[CAJA PAU]]=AG$2,100%,AVANCE[[#This Row],[CAJA PAU]])</f>
        <v>0</v>
      </c>
      <c r="BW169" s="3">
        <f>+IF(AVANCE[[#This Row],[INSTALACION VINILICO]]=AJ$2,100%,AVANCE[[#This Row],[INSTALACION VINILICO]])</f>
        <v>0</v>
      </c>
      <c r="BX169" s="3">
        <f>+IF(AVANCE[[#This Row],[OSB CUBIERTA]]=AK$2,100%,AVANCE[[#This Row],[OSB CUBIERTA]])</f>
        <v>0</v>
      </c>
      <c r="BY169" s="3">
        <f>+IF(AVANCE[[#This Row],[BARANDA BALCON]]=AL$2,100%,AVANCE[[#This Row],[BARANDA BALCON]])</f>
        <v>0</v>
      </c>
      <c r="BZ169" s="3">
        <f>+IF(AVANCE[[#This Row],[OSB EXTERIOR]]=AM$2,100%,AVANCE[[#This Row],[OSB EXTERIOR]])</f>
        <v>0</v>
      </c>
      <c r="CA169" s="3">
        <f>+IF(AVANCE[[#This Row],[SMART PANEL]]=AN$2,100%,AVANCE[[#This Row],[SMART PANEL]])</f>
        <v>0</v>
      </c>
      <c r="CB169" s="3">
        <f>+IF(AVANCE[[#This Row],[PINTURA EXTERIOR]]=AO$2,100%,AVANCE[[#This Row],[PINTURA EXTERIOR]])</f>
        <v>0</v>
      </c>
      <c r="CC169" s="3">
        <f>+IF(AVANCE[[#This Row],[ZOCALOS LOGIA]]=AP$2,100%,AVANCE[[#This Row],[ZOCALOS LOGIA]])</f>
        <v>0</v>
      </c>
      <c r="CD169" s="3">
        <f>+IF(AVANCE[[#This Row],[MOLDURAS]]=AQ$2,100%,AVANCE[[#This Row],[MOLDURAS]])</f>
        <v>0</v>
      </c>
      <c r="CE169" s="3">
        <f>+IF(AVANCE[[#This Row],[PILASTREO]]=AR$2,100%,AVANCE[[#This Row],[PILASTREO]])</f>
        <v>0</v>
      </c>
      <c r="CF169" s="3">
        <f>+IF(AVANCE[[#This Row],[CELOSIAS]]=AS$2,100%,AVANCE[[#This Row],[CELOSIAS]])</f>
        <v>0</v>
      </c>
      <c r="CG169" s="3">
        <f>+IF(AVANCE[[#This Row],[VENTANAS]]=AT$2,100%,AVANCE[[#This Row],[VENTANAS]])</f>
        <v>0</v>
      </c>
      <c r="CH169" s="3">
        <f>+IF(AVANCE[[#This Row],[PUERTAS ACCESO - LOGIA - BANO]]=AU$2,100%,AVANCE[[#This Row],[PUERTAS ACCESO - LOGIA - BANO]])</f>
        <v>0</v>
      </c>
      <c r="CI169" s="3">
        <f>+IF(AVANCE[[#This Row],[CERRADURAS]]=AV$2,100%,AVANCE[[#This Row],[CERRADURAS]])</f>
        <v>0</v>
      </c>
      <c r="CJ169" s="3">
        <f>+IF(AVANCE[[#This Row],[REVESTIMIENTO INTERIOR ZONA SECA]]=AW$2,100%,AVANCE[[#This Row],[REVESTIMIENTO INTERIOR ZONA SECA]])</f>
        <v>0</v>
      </c>
      <c r="CK169" s="3">
        <f>+IF(AVANCE[[#This Row],[REVESTIMIENTO INTERIOR ZONAS HUMEDAS]]=AX$2,100%,AVANCE[[#This Row],[REVESTIMIENTO INTERIOR ZONAS HUMEDAS]])</f>
        <v>0</v>
      </c>
      <c r="CL169" s="3">
        <f>+IF(AVANCE[[#This Row],[MEMBRANA CIELO]]=AY$2,100%,AVANCE[[#This Row],[MEMBRANA CIELO]])</f>
        <v>0</v>
      </c>
      <c r="CM169" s="3">
        <f>+IF(AVANCE[[#This Row],[LIMPIEZA FINAL]]=AZ$2,100%,AVANCE[[#This Row],[LIMPIEZA FINAL]])</f>
        <v>0</v>
      </c>
      <c r="CN169" s="3">
        <f>+IF(AVANCE[[#This Row],[PUERTAS DORMITORIO]]=BA$2,100%,AVANCE[[#This Row],[PUERTAS DORMITORIO]])</f>
        <v>0</v>
      </c>
      <c r="CO169" s="3">
        <f>+IF(AVANCE[[#This Row],[REVESTIMIENTO INTERIOR BANO]]=BB$2,100%,AVANCE[[#This Row],[REVESTIMIENTO INTERIOR BANO]])</f>
        <v>0</v>
      </c>
      <c r="CP169" s="3">
        <f>+IF(AVANCE[[#This Row],[MUEBLE LAVAPLATOS]]=BC$2,100%,AVANCE[[#This Row],[MUEBLE LAVAPLATOS]])</f>
        <v>0</v>
      </c>
      <c r="CQ169" s="3">
        <f>+IF(AVANCE[[#This Row],[IMPERMEABILIZACION BANO - COCINA LOGIA]]=BD$2,100%,AVANCE[[#This Row],[IMPERMEABILIZACION BANO - COCINA LOGIA]])</f>
        <v>0</v>
      </c>
      <c r="CR169" s="40">
        <f ca="1">+IF(AVANCE[[#This Row],[ESTADO MODULO]]="PENDIENTE",(TODAY()-AVANCE[[#This Row],[FECHA TERMINO  PLANIFICADO]]),0)</f>
        <v>0</v>
      </c>
      <c r="CS169" s="42" t="str" cm="1">
        <f t="array" ref="CS169">_xlfn.TEXTJOIN(" | ",TRUE,IF(SUMPRODUCT((BF169:CQ169&lt;1)*(PARTIDAS!$I$2:$AT$2="OBRA GRUESA"))&gt;0,"OBRA GRUESA: "&amp;_xlfn.TEXTJOIN(", ",TRUE,IF((BF169:CQ169&lt;1)*(PARTIDAS!$I$2:$AT$2="OBRA GRUESA"),PARTIDAS!$I$1:$AT$1,"")),""),IF(SUMPRODUCT((BF169:CQ169&lt;1)*(PARTIDAS!$I$2:$AT$2="SANITARIOS"))&gt;0,"SANITARIOS: "&amp;_xlfn.TEXTJOIN(", ",TRUE,IF((BF169:CQ169&lt;1)*(PARTIDAS!$I$2:$AT$2="SANITARIOS"),PARTIDAS!$I$1:$AT$1,"")),""),IF(SUMPRODUCT((BF169:CQ169&lt;1)*(PARTIDAS!$I$2:$AT$2="ELÉCTRICO"))&gt;0,"ELÉCTRICO: "&amp;_xlfn.TEXTJOIN(", ",TRUE,IF((BF169:CQ169&lt;1)*(PARTIDAS!$I$2:$AT$2="ELÉCTRICO"),PARTIDAS!$I$1:$AT$1,"")),""),IF(SUMPRODUCT((BF169:CQ169&lt;1)*(PARTIDAS!$I$2:$AT$2="TERMINACIONES"))&gt;0,"TERMINACIONES: "&amp;_xlfn.TEXTJOIN(", ",TRUE,IF((BF169:CQ169&lt;1)*(PARTIDAS!$I$2:$AT$2="TERMINACIONES"),PARTIDAS!$I$1:$AT$1,"")),""))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69" s="45" t="str" cm="1">
        <f t="array" ref="CT169">_xlfn.TEXTJOIN(", ",TRUE,IF(SUMPRODUCT((BF169:CQ169&lt;1)*(PARTIDAS!$I$2:$AT$2="OBRA GRUESA"))&gt;0,"OBRA GRUESA",""),IF(SUMPRODUCT((BF169:CQ169&lt;1)*(PARTIDAS!$I$2:$AT$2="SANITARIOS"))&gt;0,"SANITARIOS",""),IF(SUMPRODUCT((BF169:CQ169&lt;1)*(PARTIDAS!$I$2:$AT$2="ELÉCTRICO"))&gt;0,"ELÉCTRICO",""),IF(SUMPRODUCT((BF169:CQ169&lt;1)*(PARTIDAS!$I$2:$AT$2="TERMINACIONES"))&gt;0,"TERMINACIONES",""))</f>
        <v>OBRA GRUESA, SANITARIOS, ELÉCTRICO, TERMINACIONES</v>
      </c>
      <c r="CU169" s="46" cm="1">
        <f t="array" ref="CU169">SUMPRODUCT(--(BF169:CQ169&lt;1))</f>
        <v>38</v>
      </c>
    </row>
    <row r="170" spans="1:99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46181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 t="str">
        <f>+IF(AVANCE[[#This Row],[% AVANCE]]=100%,"MODULO TERMINADO",IF(AVANCE[[#This Row],[FECHA INICIO REAL]]="","MODULO NO INICIADO","PENDIENTE"))</f>
        <v>MODULO NO INICIADO</v>
      </c>
      <c r="BF170" s="3">
        <f>+IF(AVANCE[[#This Row],[VENTANAS]]=8.10810810810811%,100%,AVANCE[[#This Row],[VENTANAS]])</f>
        <v>0</v>
      </c>
      <c r="BG170" s="3">
        <f>+IF(AVANCE[[#This Row],[PISO]]=N$2,100%,AVANCE[[#This Row],[PISO]])</f>
        <v>0</v>
      </c>
      <c r="BH170" s="3">
        <f>+IF(AVANCE[[#This Row],[TABIQUES]]=O$2,100%,AVANCE[[#This Row],[TABIQUES]])</f>
        <v>0</v>
      </c>
      <c r="BI170" s="3">
        <f>+IF(AVANCE[[#This Row],[MUROS]]=P$2,100%,AVANCE[[#This Row],[MUROS]])</f>
        <v>0</v>
      </c>
      <c r="BJ170" s="3">
        <f>+IF(AVANCE[[#This Row],[CIELO]]=Q$2,100%,AVANCE[[#This Row],[CIELO]])</f>
        <v>0</v>
      </c>
      <c r="BK170" s="3">
        <f>+IF(AVANCE[[#This Row],[BALCÓN]]=R$2,100%,AVANCE[[#This Row],[BALCÓN]])</f>
        <v>0</v>
      </c>
      <c r="BL170" s="3">
        <f>+IF(AVANCE[[#This Row],[RED ALCANTARILLADO]]=U$2,100%,AVANCE[[#This Row],[RED ALCANTARILLADO]])</f>
        <v>0</v>
      </c>
      <c r="BM170" s="3">
        <f>+IF(AVANCE[[#This Row],[RED DE AGUA]]=V$2,100%,AVANCE[[#This Row],[RED DE AGUA]])</f>
        <v>0</v>
      </c>
      <c r="BN170" s="3">
        <f>+IF(AVANCE[[#This Row],[VENTILACIONES]]=W$2,100%,AVANCE[[#This Row],[VENTILACIONES]])</f>
        <v>0</v>
      </c>
      <c r="BO170" s="3">
        <f>+IF(AVANCE[[#This Row],[TINA]]=X$2,100%,AVANCE[[#This Row],[TINA]])</f>
        <v>0</v>
      </c>
      <c r="BP170" s="3">
        <f>+IF(AVANCE[[#This Row],[WC]]=Y$2,100%,AVANCE[[#This Row],[WC]])</f>
        <v>0</v>
      </c>
      <c r="BQ170" s="3">
        <f>+IF(AVANCE[[#This Row],[LAVAMANOS / LAVAPLATOS / LAVADERO]]=Z$2,100%,AVANCE[[#This Row],[LAVAMANOS / LAVAPLATOS / LAVADERO]])</f>
        <v>0</v>
      </c>
      <c r="BR170" s="3">
        <f>+IF(AVANCE[[#This Row],[CANALIZACIÓN]]=AC$2,100%,AVANCE[[#This Row],[CANALIZACIÓN]])</f>
        <v>0</v>
      </c>
      <c r="BS170" s="3">
        <f>+IF(AVANCE[[#This Row],[CABLEADO]]=AD$2,100%,AVANCE[[#This Row],[CABLEADO]])</f>
        <v>0</v>
      </c>
      <c r="BT170" s="3">
        <f>+IF(AVANCE[[#This Row],[ARTEFACTOS]]=AE$2,100%,AVANCE[[#This Row],[ARTEFACTOS]])</f>
        <v>0</v>
      </c>
      <c r="BU170" s="3">
        <f>+IF(AVANCE[[#This Row],[TABLERO]]=AF$2,100%,AVANCE[[#This Row],[TABLERO]])</f>
        <v>0</v>
      </c>
      <c r="BV170" s="3">
        <f>+IF(AVANCE[[#This Row],[CAJA PAU]]=AG$2,100%,AVANCE[[#This Row],[CAJA PAU]])</f>
        <v>0</v>
      </c>
      <c r="BW170" s="3">
        <f>+IF(AVANCE[[#This Row],[INSTALACION VINILICO]]=AJ$2,100%,AVANCE[[#This Row],[INSTALACION VINILICO]])</f>
        <v>0</v>
      </c>
      <c r="BX170" s="3">
        <f>+IF(AVANCE[[#This Row],[OSB CUBIERTA]]=AK$2,100%,AVANCE[[#This Row],[OSB CUBIERTA]])</f>
        <v>0</v>
      </c>
      <c r="BY170" s="3">
        <f>+IF(AVANCE[[#This Row],[BARANDA BALCON]]=AL$2,100%,AVANCE[[#This Row],[BARANDA BALCON]])</f>
        <v>0</v>
      </c>
      <c r="BZ170" s="3">
        <f>+IF(AVANCE[[#This Row],[OSB EXTERIOR]]=AM$2,100%,AVANCE[[#This Row],[OSB EXTERIOR]])</f>
        <v>0</v>
      </c>
      <c r="CA170" s="3">
        <f>+IF(AVANCE[[#This Row],[SMART PANEL]]=AN$2,100%,AVANCE[[#This Row],[SMART PANEL]])</f>
        <v>0</v>
      </c>
      <c r="CB170" s="3">
        <f>+IF(AVANCE[[#This Row],[PINTURA EXTERIOR]]=AO$2,100%,AVANCE[[#This Row],[PINTURA EXTERIOR]])</f>
        <v>0</v>
      </c>
      <c r="CC170" s="3">
        <f>+IF(AVANCE[[#This Row],[ZOCALOS LOGIA]]=AP$2,100%,AVANCE[[#This Row],[ZOCALOS LOGIA]])</f>
        <v>0</v>
      </c>
      <c r="CD170" s="3">
        <f>+IF(AVANCE[[#This Row],[MOLDURAS]]=AQ$2,100%,AVANCE[[#This Row],[MOLDURAS]])</f>
        <v>0</v>
      </c>
      <c r="CE170" s="3">
        <f>+IF(AVANCE[[#This Row],[PILASTREO]]=AR$2,100%,AVANCE[[#This Row],[PILASTREO]])</f>
        <v>0</v>
      </c>
      <c r="CF170" s="3">
        <f>+IF(AVANCE[[#This Row],[CELOSIAS]]=AS$2,100%,AVANCE[[#This Row],[CELOSIAS]])</f>
        <v>0</v>
      </c>
      <c r="CG170" s="3">
        <f>+IF(AVANCE[[#This Row],[VENTANAS]]=AT$2,100%,AVANCE[[#This Row],[VENTANAS]])</f>
        <v>0</v>
      </c>
      <c r="CH170" s="3">
        <f>+IF(AVANCE[[#This Row],[PUERTAS ACCESO - LOGIA - BANO]]=AU$2,100%,AVANCE[[#This Row],[PUERTAS ACCESO - LOGIA - BANO]])</f>
        <v>0</v>
      </c>
      <c r="CI170" s="3">
        <f>+IF(AVANCE[[#This Row],[CERRADURAS]]=AV$2,100%,AVANCE[[#This Row],[CERRADURAS]])</f>
        <v>0</v>
      </c>
      <c r="CJ170" s="3">
        <f>+IF(AVANCE[[#This Row],[REVESTIMIENTO INTERIOR ZONA SECA]]=AW$2,100%,AVANCE[[#This Row],[REVESTIMIENTO INTERIOR ZONA SECA]])</f>
        <v>0</v>
      </c>
      <c r="CK170" s="3">
        <f>+IF(AVANCE[[#This Row],[REVESTIMIENTO INTERIOR ZONAS HUMEDAS]]=AX$2,100%,AVANCE[[#This Row],[REVESTIMIENTO INTERIOR ZONAS HUMEDAS]])</f>
        <v>0</v>
      </c>
      <c r="CL170" s="3">
        <f>+IF(AVANCE[[#This Row],[MEMBRANA CIELO]]=AY$2,100%,AVANCE[[#This Row],[MEMBRANA CIELO]])</f>
        <v>0</v>
      </c>
      <c r="CM170" s="3">
        <f>+IF(AVANCE[[#This Row],[LIMPIEZA FINAL]]=AZ$2,100%,AVANCE[[#This Row],[LIMPIEZA FINAL]])</f>
        <v>0</v>
      </c>
      <c r="CN170" s="3">
        <f>+IF(AVANCE[[#This Row],[PUERTAS DORMITORIO]]=BA$2,100%,AVANCE[[#This Row],[PUERTAS DORMITORIO]])</f>
        <v>0</v>
      </c>
      <c r="CO170" s="3">
        <f>+IF(AVANCE[[#This Row],[REVESTIMIENTO INTERIOR BANO]]=BB$2,100%,AVANCE[[#This Row],[REVESTIMIENTO INTERIOR BANO]])</f>
        <v>0</v>
      </c>
      <c r="CP170" s="3">
        <f>+IF(AVANCE[[#This Row],[MUEBLE LAVAPLATOS]]=BC$2,100%,AVANCE[[#This Row],[MUEBLE LAVAPLATOS]])</f>
        <v>0</v>
      </c>
      <c r="CQ170" s="3">
        <f>+IF(AVANCE[[#This Row],[IMPERMEABILIZACION BANO - COCINA LOGIA]]=BD$2,100%,AVANCE[[#This Row],[IMPERMEABILIZACION BANO - COCINA LOGIA]])</f>
        <v>0</v>
      </c>
      <c r="CR170" s="40">
        <f ca="1">+IF(AVANCE[[#This Row],[ESTADO MODULO]]="PENDIENTE",(TODAY()-AVANCE[[#This Row],[FECHA TERMINO  PLANIFICADO]]),0)</f>
        <v>0</v>
      </c>
      <c r="CS170" s="42" t="str" cm="1">
        <f t="array" ref="CS170">_xlfn.TEXTJOIN(" | ",TRUE,IF(SUMPRODUCT((BF170:CQ170&lt;1)*(PARTIDAS!$I$2:$AT$2="OBRA GRUESA"))&gt;0,"OBRA GRUESA: "&amp;_xlfn.TEXTJOIN(", ",TRUE,IF((BF170:CQ170&lt;1)*(PARTIDAS!$I$2:$AT$2="OBRA GRUESA"),PARTIDAS!$I$1:$AT$1,"")),""),IF(SUMPRODUCT((BF170:CQ170&lt;1)*(PARTIDAS!$I$2:$AT$2="SANITARIOS"))&gt;0,"SANITARIOS: "&amp;_xlfn.TEXTJOIN(", ",TRUE,IF((BF170:CQ170&lt;1)*(PARTIDAS!$I$2:$AT$2="SANITARIOS"),PARTIDAS!$I$1:$AT$1,"")),""),IF(SUMPRODUCT((BF170:CQ170&lt;1)*(PARTIDAS!$I$2:$AT$2="ELÉCTRICO"))&gt;0,"ELÉCTRICO: "&amp;_xlfn.TEXTJOIN(", ",TRUE,IF((BF170:CQ170&lt;1)*(PARTIDAS!$I$2:$AT$2="ELÉCTRICO"),PARTIDAS!$I$1:$AT$1,"")),""),IF(SUMPRODUCT((BF170:CQ170&lt;1)*(PARTIDAS!$I$2:$AT$2="TERMINACIONES"))&gt;0,"TERMINACIONES: "&amp;_xlfn.TEXTJOIN(", ",TRUE,IF((BF170:CQ170&lt;1)*(PARTIDAS!$I$2:$AT$2="TERMINACIONES"),PARTIDAS!$I$1:$AT$1,"")),""))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0" s="45" t="str" cm="1">
        <f t="array" ref="CT170">_xlfn.TEXTJOIN(", ",TRUE,IF(SUMPRODUCT((BF170:CQ170&lt;1)*(PARTIDAS!$I$2:$AT$2="OBRA GRUESA"))&gt;0,"OBRA GRUESA",""),IF(SUMPRODUCT((BF170:CQ170&lt;1)*(PARTIDAS!$I$2:$AT$2="SANITARIOS"))&gt;0,"SANITARIOS",""),IF(SUMPRODUCT((BF170:CQ170&lt;1)*(PARTIDAS!$I$2:$AT$2="ELÉCTRICO"))&gt;0,"ELÉCTRICO",""),IF(SUMPRODUCT((BF170:CQ170&lt;1)*(PARTIDAS!$I$2:$AT$2="TERMINACIONES"))&gt;0,"TERMINACIONES",""))</f>
        <v>OBRA GRUESA, SANITARIOS, ELÉCTRICO, TERMINACIONES</v>
      </c>
      <c r="CU170" s="46" cm="1">
        <f t="array" ref="CU170">SUMPRODUCT(--(BF170:CQ170&lt;1))</f>
        <v>38</v>
      </c>
    </row>
    <row r="171" spans="1:99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46181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 t="str">
        <f>+IF(AVANCE[[#This Row],[% AVANCE]]=100%,"MODULO TERMINADO",IF(AVANCE[[#This Row],[FECHA INICIO REAL]]="","MODULO NO INICIADO","PENDIENTE"))</f>
        <v>MODULO NO INICIADO</v>
      </c>
      <c r="BF171" s="3">
        <f>+IF(AVANCE[[#This Row],[VENTANAS]]=8.10810810810811%,100%,AVANCE[[#This Row],[VENTANAS]])</f>
        <v>0</v>
      </c>
      <c r="BG171" s="3">
        <f>+IF(AVANCE[[#This Row],[PISO]]=N$2,100%,AVANCE[[#This Row],[PISO]])</f>
        <v>0</v>
      </c>
      <c r="BH171" s="3">
        <f>+IF(AVANCE[[#This Row],[TABIQUES]]=O$2,100%,AVANCE[[#This Row],[TABIQUES]])</f>
        <v>0</v>
      </c>
      <c r="BI171" s="3">
        <f>+IF(AVANCE[[#This Row],[MUROS]]=P$2,100%,AVANCE[[#This Row],[MUROS]])</f>
        <v>0</v>
      </c>
      <c r="BJ171" s="3">
        <f>+IF(AVANCE[[#This Row],[CIELO]]=Q$2,100%,AVANCE[[#This Row],[CIELO]])</f>
        <v>0</v>
      </c>
      <c r="BK171" s="3">
        <f>+IF(AVANCE[[#This Row],[BALCÓN]]=R$2,100%,AVANCE[[#This Row],[BALCÓN]])</f>
        <v>0</v>
      </c>
      <c r="BL171" s="3">
        <f>+IF(AVANCE[[#This Row],[RED ALCANTARILLADO]]=U$2,100%,AVANCE[[#This Row],[RED ALCANTARILLADO]])</f>
        <v>0</v>
      </c>
      <c r="BM171" s="3">
        <f>+IF(AVANCE[[#This Row],[RED DE AGUA]]=V$2,100%,AVANCE[[#This Row],[RED DE AGUA]])</f>
        <v>0</v>
      </c>
      <c r="BN171" s="3">
        <f>+IF(AVANCE[[#This Row],[VENTILACIONES]]=W$2,100%,AVANCE[[#This Row],[VENTILACIONES]])</f>
        <v>0</v>
      </c>
      <c r="BO171" s="3">
        <f>+IF(AVANCE[[#This Row],[TINA]]=X$2,100%,AVANCE[[#This Row],[TINA]])</f>
        <v>0</v>
      </c>
      <c r="BP171" s="3">
        <f>+IF(AVANCE[[#This Row],[WC]]=Y$2,100%,AVANCE[[#This Row],[WC]])</f>
        <v>0</v>
      </c>
      <c r="BQ171" s="3">
        <f>+IF(AVANCE[[#This Row],[LAVAMANOS / LAVAPLATOS / LAVADERO]]=Z$2,100%,AVANCE[[#This Row],[LAVAMANOS / LAVAPLATOS / LAVADERO]])</f>
        <v>0</v>
      </c>
      <c r="BR171" s="3">
        <f>+IF(AVANCE[[#This Row],[CANALIZACIÓN]]=AC$2,100%,AVANCE[[#This Row],[CANALIZACIÓN]])</f>
        <v>0</v>
      </c>
      <c r="BS171" s="3">
        <f>+IF(AVANCE[[#This Row],[CABLEADO]]=AD$2,100%,AVANCE[[#This Row],[CABLEADO]])</f>
        <v>0</v>
      </c>
      <c r="BT171" s="3">
        <f>+IF(AVANCE[[#This Row],[ARTEFACTOS]]=AE$2,100%,AVANCE[[#This Row],[ARTEFACTOS]])</f>
        <v>0</v>
      </c>
      <c r="BU171" s="3">
        <f>+IF(AVANCE[[#This Row],[TABLERO]]=AF$2,100%,AVANCE[[#This Row],[TABLERO]])</f>
        <v>0</v>
      </c>
      <c r="BV171" s="3">
        <f>+IF(AVANCE[[#This Row],[CAJA PAU]]=AG$2,100%,AVANCE[[#This Row],[CAJA PAU]])</f>
        <v>0</v>
      </c>
      <c r="BW171" s="3">
        <f>+IF(AVANCE[[#This Row],[INSTALACION VINILICO]]=AJ$2,100%,AVANCE[[#This Row],[INSTALACION VINILICO]])</f>
        <v>0</v>
      </c>
      <c r="BX171" s="3">
        <f>+IF(AVANCE[[#This Row],[OSB CUBIERTA]]=AK$2,100%,AVANCE[[#This Row],[OSB CUBIERTA]])</f>
        <v>0</v>
      </c>
      <c r="BY171" s="3">
        <f>+IF(AVANCE[[#This Row],[BARANDA BALCON]]=AL$2,100%,AVANCE[[#This Row],[BARANDA BALCON]])</f>
        <v>0</v>
      </c>
      <c r="BZ171" s="3">
        <f>+IF(AVANCE[[#This Row],[OSB EXTERIOR]]=AM$2,100%,AVANCE[[#This Row],[OSB EXTERIOR]])</f>
        <v>0</v>
      </c>
      <c r="CA171" s="3">
        <f>+IF(AVANCE[[#This Row],[SMART PANEL]]=AN$2,100%,AVANCE[[#This Row],[SMART PANEL]])</f>
        <v>0</v>
      </c>
      <c r="CB171" s="3">
        <f>+IF(AVANCE[[#This Row],[PINTURA EXTERIOR]]=AO$2,100%,AVANCE[[#This Row],[PINTURA EXTERIOR]])</f>
        <v>0</v>
      </c>
      <c r="CC171" s="3">
        <f>+IF(AVANCE[[#This Row],[ZOCALOS LOGIA]]=AP$2,100%,AVANCE[[#This Row],[ZOCALOS LOGIA]])</f>
        <v>0</v>
      </c>
      <c r="CD171" s="3">
        <f>+IF(AVANCE[[#This Row],[MOLDURAS]]=AQ$2,100%,AVANCE[[#This Row],[MOLDURAS]])</f>
        <v>0</v>
      </c>
      <c r="CE171" s="3">
        <f>+IF(AVANCE[[#This Row],[PILASTREO]]=AR$2,100%,AVANCE[[#This Row],[PILASTREO]])</f>
        <v>0</v>
      </c>
      <c r="CF171" s="3">
        <f>+IF(AVANCE[[#This Row],[CELOSIAS]]=AS$2,100%,AVANCE[[#This Row],[CELOSIAS]])</f>
        <v>0</v>
      </c>
      <c r="CG171" s="3">
        <f>+IF(AVANCE[[#This Row],[VENTANAS]]=AT$2,100%,AVANCE[[#This Row],[VENTANAS]])</f>
        <v>0</v>
      </c>
      <c r="CH171" s="3">
        <f>+IF(AVANCE[[#This Row],[PUERTAS ACCESO - LOGIA - BANO]]=AU$2,100%,AVANCE[[#This Row],[PUERTAS ACCESO - LOGIA - BANO]])</f>
        <v>0</v>
      </c>
      <c r="CI171" s="3">
        <f>+IF(AVANCE[[#This Row],[CERRADURAS]]=AV$2,100%,AVANCE[[#This Row],[CERRADURAS]])</f>
        <v>0</v>
      </c>
      <c r="CJ171" s="3">
        <f>+IF(AVANCE[[#This Row],[REVESTIMIENTO INTERIOR ZONA SECA]]=AW$2,100%,AVANCE[[#This Row],[REVESTIMIENTO INTERIOR ZONA SECA]])</f>
        <v>0</v>
      </c>
      <c r="CK171" s="3">
        <f>+IF(AVANCE[[#This Row],[REVESTIMIENTO INTERIOR ZONAS HUMEDAS]]=AX$2,100%,AVANCE[[#This Row],[REVESTIMIENTO INTERIOR ZONAS HUMEDAS]])</f>
        <v>0</v>
      </c>
      <c r="CL171" s="3">
        <f>+IF(AVANCE[[#This Row],[MEMBRANA CIELO]]=AY$2,100%,AVANCE[[#This Row],[MEMBRANA CIELO]])</f>
        <v>0</v>
      </c>
      <c r="CM171" s="3">
        <f>+IF(AVANCE[[#This Row],[LIMPIEZA FINAL]]=AZ$2,100%,AVANCE[[#This Row],[LIMPIEZA FINAL]])</f>
        <v>0</v>
      </c>
      <c r="CN171" s="3">
        <f>+IF(AVANCE[[#This Row],[PUERTAS DORMITORIO]]=BA$2,100%,AVANCE[[#This Row],[PUERTAS DORMITORIO]])</f>
        <v>0</v>
      </c>
      <c r="CO171" s="3">
        <f>+IF(AVANCE[[#This Row],[REVESTIMIENTO INTERIOR BANO]]=BB$2,100%,AVANCE[[#This Row],[REVESTIMIENTO INTERIOR BANO]])</f>
        <v>0</v>
      </c>
      <c r="CP171" s="3">
        <f>+IF(AVANCE[[#This Row],[MUEBLE LAVAPLATOS]]=BC$2,100%,AVANCE[[#This Row],[MUEBLE LAVAPLATOS]])</f>
        <v>0</v>
      </c>
      <c r="CQ171" s="3">
        <f>+IF(AVANCE[[#This Row],[IMPERMEABILIZACION BANO - COCINA LOGIA]]=BD$2,100%,AVANCE[[#This Row],[IMPERMEABILIZACION BANO - COCINA LOGIA]])</f>
        <v>0</v>
      </c>
      <c r="CR171" s="40">
        <f ca="1">+IF(AVANCE[[#This Row],[ESTADO MODULO]]="PENDIENTE",(TODAY()-AVANCE[[#This Row],[FECHA TERMINO  PLANIFICADO]]),0)</f>
        <v>0</v>
      </c>
      <c r="CS171" s="42" t="str" cm="1">
        <f t="array" ref="CS171">_xlfn.TEXTJOIN(" | ",TRUE,IF(SUMPRODUCT((BF171:CQ171&lt;1)*(PARTIDAS!$I$2:$AT$2="OBRA GRUESA"))&gt;0,"OBRA GRUESA: "&amp;_xlfn.TEXTJOIN(", ",TRUE,IF((BF171:CQ171&lt;1)*(PARTIDAS!$I$2:$AT$2="OBRA GRUESA"),PARTIDAS!$I$1:$AT$1,"")),""),IF(SUMPRODUCT((BF171:CQ171&lt;1)*(PARTIDAS!$I$2:$AT$2="SANITARIOS"))&gt;0,"SANITARIOS: "&amp;_xlfn.TEXTJOIN(", ",TRUE,IF((BF171:CQ171&lt;1)*(PARTIDAS!$I$2:$AT$2="SANITARIOS"),PARTIDAS!$I$1:$AT$1,"")),""),IF(SUMPRODUCT((BF171:CQ171&lt;1)*(PARTIDAS!$I$2:$AT$2="ELÉCTRICO"))&gt;0,"ELÉCTRICO: "&amp;_xlfn.TEXTJOIN(", ",TRUE,IF((BF171:CQ171&lt;1)*(PARTIDAS!$I$2:$AT$2="ELÉCTRICO"),PARTIDAS!$I$1:$AT$1,"")),""),IF(SUMPRODUCT((BF171:CQ171&lt;1)*(PARTIDAS!$I$2:$AT$2="TERMINACIONES"))&gt;0,"TERMINACIONES: "&amp;_xlfn.TEXTJOIN(", ",TRUE,IF((BF171:CQ171&lt;1)*(PARTIDAS!$I$2:$AT$2="TERMINACIONES"),PARTIDAS!$I$1:$AT$1,"")),""))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1" s="45" t="str" cm="1">
        <f t="array" ref="CT171">_xlfn.TEXTJOIN(", ",TRUE,IF(SUMPRODUCT((BF171:CQ171&lt;1)*(PARTIDAS!$I$2:$AT$2="OBRA GRUESA"))&gt;0,"OBRA GRUESA",""),IF(SUMPRODUCT((BF171:CQ171&lt;1)*(PARTIDAS!$I$2:$AT$2="SANITARIOS"))&gt;0,"SANITARIOS",""),IF(SUMPRODUCT((BF171:CQ171&lt;1)*(PARTIDAS!$I$2:$AT$2="ELÉCTRICO"))&gt;0,"ELÉCTRICO",""),IF(SUMPRODUCT((BF171:CQ171&lt;1)*(PARTIDAS!$I$2:$AT$2="TERMINACIONES"))&gt;0,"TERMINACIONES",""))</f>
        <v>OBRA GRUESA, SANITARIOS, ELÉCTRICO, TERMINACIONES</v>
      </c>
      <c r="CU171" s="46" cm="1">
        <f t="array" ref="CU171">SUMPRODUCT(--(BF171:CQ171&lt;1))</f>
        <v>38</v>
      </c>
    </row>
    <row r="172" spans="1:99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46181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 t="str">
        <f>+IF(AVANCE[[#This Row],[% AVANCE]]=100%,"MODULO TERMINADO",IF(AVANCE[[#This Row],[FECHA INICIO REAL]]="","MODULO NO INICIADO","PENDIENTE"))</f>
        <v>MODULO NO INICIADO</v>
      </c>
      <c r="BF172" s="3">
        <f>+IF(AVANCE[[#This Row],[VENTANAS]]=8.10810810810811%,100%,AVANCE[[#This Row],[VENTANAS]])</f>
        <v>0</v>
      </c>
      <c r="BG172" s="3">
        <f>+IF(AVANCE[[#This Row],[PISO]]=N$2,100%,AVANCE[[#This Row],[PISO]])</f>
        <v>0</v>
      </c>
      <c r="BH172" s="3">
        <f>+IF(AVANCE[[#This Row],[TABIQUES]]=O$2,100%,AVANCE[[#This Row],[TABIQUES]])</f>
        <v>0</v>
      </c>
      <c r="BI172" s="3">
        <f>+IF(AVANCE[[#This Row],[MUROS]]=P$2,100%,AVANCE[[#This Row],[MUROS]])</f>
        <v>0</v>
      </c>
      <c r="BJ172" s="3">
        <f>+IF(AVANCE[[#This Row],[CIELO]]=Q$2,100%,AVANCE[[#This Row],[CIELO]])</f>
        <v>0</v>
      </c>
      <c r="BK172" s="3">
        <f>+IF(AVANCE[[#This Row],[BALCÓN]]=R$2,100%,AVANCE[[#This Row],[BALCÓN]])</f>
        <v>0</v>
      </c>
      <c r="BL172" s="3">
        <f>+IF(AVANCE[[#This Row],[RED ALCANTARILLADO]]=U$2,100%,AVANCE[[#This Row],[RED ALCANTARILLADO]])</f>
        <v>0</v>
      </c>
      <c r="BM172" s="3">
        <f>+IF(AVANCE[[#This Row],[RED DE AGUA]]=V$2,100%,AVANCE[[#This Row],[RED DE AGUA]])</f>
        <v>0</v>
      </c>
      <c r="BN172" s="3">
        <f>+IF(AVANCE[[#This Row],[VENTILACIONES]]=W$2,100%,AVANCE[[#This Row],[VENTILACIONES]])</f>
        <v>0</v>
      </c>
      <c r="BO172" s="3">
        <f>+IF(AVANCE[[#This Row],[TINA]]=X$2,100%,AVANCE[[#This Row],[TINA]])</f>
        <v>0</v>
      </c>
      <c r="BP172" s="3">
        <f>+IF(AVANCE[[#This Row],[WC]]=Y$2,100%,AVANCE[[#This Row],[WC]])</f>
        <v>0</v>
      </c>
      <c r="BQ172" s="3">
        <f>+IF(AVANCE[[#This Row],[LAVAMANOS / LAVAPLATOS / LAVADERO]]=Z$2,100%,AVANCE[[#This Row],[LAVAMANOS / LAVAPLATOS / LAVADERO]])</f>
        <v>0</v>
      </c>
      <c r="BR172" s="3">
        <f>+IF(AVANCE[[#This Row],[CANALIZACIÓN]]=AC$2,100%,AVANCE[[#This Row],[CANALIZACIÓN]])</f>
        <v>0</v>
      </c>
      <c r="BS172" s="3">
        <f>+IF(AVANCE[[#This Row],[CABLEADO]]=AD$2,100%,AVANCE[[#This Row],[CABLEADO]])</f>
        <v>0</v>
      </c>
      <c r="BT172" s="3">
        <f>+IF(AVANCE[[#This Row],[ARTEFACTOS]]=AE$2,100%,AVANCE[[#This Row],[ARTEFACTOS]])</f>
        <v>0</v>
      </c>
      <c r="BU172" s="3">
        <f>+IF(AVANCE[[#This Row],[TABLERO]]=AF$2,100%,AVANCE[[#This Row],[TABLERO]])</f>
        <v>0</v>
      </c>
      <c r="BV172" s="3">
        <f>+IF(AVANCE[[#This Row],[CAJA PAU]]=AG$2,100%,AVANCE[[#This Row],[CAJA PAU]])</f>
        <v>0</v>
      </c>
      <c r="BW172" s="3">
        <f>+IF(AVANCE[[#This Row],[INSTALACION VINILICO]]=AJ$2,100%,AVANCE[[#This Row],[INSTALACION VINILICO]])</f>
        <v>0</v>
      </c>
      <c r="BX172" s="3">
        <f>+IF(AVANCE[[#This Row],[OSB CUBIERTA]]=AK$2,100%,AVANCE[[#This Row],[OSB CUBIERTA]])</f>
        <v>0</v>
      </c>
      <c r="BY172" s="3">
        <f>+IF(AVANCE[[#This Row],[BARANDA BALCON]]=AL$2,100%,AVANCE[[#This Row],[BARANDA BALCON]])</f>
        <v>0</v>
      </c>
      <c r="BZ172" s="3">
        <f>+IF(AVANCE[[#This Row],[OSB EXTERIOR]]=AM$2,100%,AVANCE[[#This Row],[OSB EXTERIOR]])</f>
        <v>0</v>
      </c>
      <c r="CA172" s="3">
        <f>+IF(AVANCE[[#This Row],[SMART PANEL]]=AN$2,100%,AVANCE[[#This Row],[SMART PANEL]])</f>
        <v>0</v>
      </c>
      <c r="CB172" s="3">
        <f>+IF(AVANCE[[#This Row],[PINTURA EXTERIOR]]=AO$2,100%,AVANCE[[#This Row],[PINTURA EXTERIOR]])</f>
        <v>0</v>
      </c>
      <c r="CC172" s="3">
        <f>+IF(AVANCE[[#This Row],[ZOCALOS LOGIA]]=AP$2,100%,AVANCE[[#This Row],[ZOCALOS LOGIA]])</f>
        <v>0</v>
      </c>
      <c r="CD172" s="3">
        <f>+IF(AVANCE[[#This Row],[MOLDURAS]]=AQ$2,100%,AVANCE[[#This Row],[MOLDURAS]])</f>
        <v>0</v>
      </c>
      <c r="CE172" s="3">
        <f>+IF(AVANCE[[#This Row],[PILASTREO]]=AR$2,100%,AVANCE[[#This Row],[PILASTREO]])</f>
        <v>0</v>
      </c>
      <c r="CF172" s="3">
        <f>+IF(AVANCE[[#This Row],[CELOSIAS]]=AS$2,100%,AVANCE[[#This Row],[CELOSIAS]])</f>
        <v>0</v>
      </c>
      <c r="CG172" s="3">
        <f>+IF(AVANCE[[#This Row],[VENTANAS]]=AT$2,100%,AVANCE[[#This Row],[VENTANAS]])</f>
        <v>0</v>
      </c>
      <c r="CH172" s="3">
        <f>+IF(AVANCE[[#This Row],[PUERTAS ACCESO - LOGIA - BANO]]=AU$2,100%,AVANCE[[#This Row],[PUERTAS ACCESO - LOGIA - BANO]])</f>
        <v>0</v>
      </c>
      <c r="CI172" s="3">
        <f>+IF(AVANCE[[#This Row],[CERRADURAS]]=AV$2,100%,AVANCE[[#This Row],[CERRADURAS]])</f>
        <v>0</v>
      </c>
      <c r="CJ172" s="3">
        <f>+IF(AVANCE[[#This Row],[REVESTIMIENTO INTERIOR ZONA SECA]]=AW$2,100%,AVANCE[[#This Row],[REVESTIMIENTO INTERIOR ZONA SECA]])</f>
        <v>0</v>
      </c>
      <c r="CK172" s="3">
        <f>+IF(AVANCE[[#This Row],[REVESTIMIENTO INTERIOR ZONAS HUMEDAS]]=AX$2,100%,AVANCE[[#This Row],[REVESTIMIENTO INTERIOR ZONAS HUMEDAS]])</f>
        <v>0</v>
      </c>
      <c r="CL172" s="3">
        <f>+IF(AVANCE[[#This Row],[MEMBRANA CIELO]]=AY$2,100%,AVANCE[[#This Row],[MEMBRANA CIELO]])</f>
        <v>0</v>
      </c>
      <c r="CM172" s="3">
        <f>+IF(AVANCE[[#This Row],[LIMPIEZA FINAL]]=AZ$2,100%,AVANCE[[#This Row],[LIMPIEZA FINAL]])</f>
        <v>0</v>
      </c>
      <c r="CN172" s="3">
        <f>+IF(AVANCE[[#This Row],[PUERTAS DORMITORIO]]=BA$2,100%,AVANCE[[#This Row],[PUERTAS DORMITORIO]])</f>
        <v>0</v>
      </c>
      <c r="CO172" s="3">
        <f>+IF(AVANCE[[#This Row],[REVESTIMIENTO INTERIOR BANO]]=BB$2,100%,AVANCE[[#This Row],[REVESTIMIENTO INTERIOR BANO]])</f>
        <v>0</v>
      </c>
      <c r="CP172" s="3">
        <f>+IF(AVANCE[[#This Row],[MUEBLE LAVAPLATOS]]=BC$2,100%,AVANCE[[#This Row],[MUEBLE LAVAPLATOS]])</f>
        <v>0</v>
      </c>
      <c r="CQ172" s="3">
        <f>+IF(AVANCE[[#This Row],[IMPERMEABILIZACION BANO - COCINA LOGIA]]=BD$2,100%,AVANCE[[#This Row],[IMPERMEABILIZACION BANO - COCINA LOGIA]])</f>
        <v>0</v>
      </c>
      <c r="CR172" s="40">
        <f ca="1">+IF(AVANCE[[#This Row],[ESTADO MODULO]]="PENDIENTE",(TODAY()-AVANCE[[#This Row],[FECHA TERMINO  PLANIFICADO]]),0)</f>
        <v>0</v>
      </c>
      <c r="CS172" s="42" t="str" cm="1">
        <f t="array" ref="CS172">_xlfn.TEXTJOIN(" | ",TRUE,IF(SUMPRODUCT((BF172:CQ172&lt;1)*(PARTIDAS!$I$2:$AT$2="OBRA GRUESA"))&gt;0,"OBRA GRUESA: "&amp;_xlfn.TEXTJOIN(", ",TRUE,IF((BF172:CQ172&lt;1)*(PARTIDAS!$I$2:$AT$2="OBRA GRUESA"),PARTIDAS!$I$1:$AT$1,"")),""),IF(SUMPRODUCT((BF172:CQ172&lt;1)*(PARTIDAS!$I$2:$AT$2="SANITARIOS"))&gt;0,"SANITARIOS: "&amp;_xlfn.TEXTJOIN(", ",TRUE,IF((BF172:CQ172&lt;1)*(PARTIDAS!$I$2:$AT$2="SANITARIOS"),PARTIDAS!$I$1:$AT$1,"")),""),IF(SUMPRODUCT((BF172:CQ172&lt;1)*(PARTIDAS!$I$2:$AT$2="ELÉCTRICO"))&gt;0,"ELÉCTRICO: "&amp;_xlfn.TEXTJOIN(", ",TRUE,IF((BF172:CQ172&lt;1)*(PARTIDAS!$I$2:$AT$2="ELÉCTRICO"),PARTIDAS!$I$1:$AT$1,"")),""),IF(SUMPRODUCT((BF172:CQ172&lt;1)*(PARTIDAS!$I$2:$AT$2="TERMINACIONES"))&gt;0,"TERMINACIONES: "&amp;_xlfn.TEXTJOIN(", ",TRUE,IF((BF172:CQ172&lt;1)*(PARTIDAS!$I$2:$AT$2="TERMINACIONES"),PARTIDAS!$I$1:$AT$1,"")),""))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2" s="45" t="str" cm="1">
        <f t="array" ref="CT172">_xlfn.TEXTJOIN(", ",TRUE,IF(SUMPRODUCT((BF172:CQ172&lt;1)*(PARTIDAS!$I$2:$AT$2="OBRA GRUESA"))&gt;0,"OBRA GRUESA",""),IF(SUMPRODUCT((BF172:CQ172&lt;1)*(PARTIDAS!$I$2:$AT$2="SANITARIOS"))&gt;0,"SANITARIOS",""),IF(SUMPRODUCT((BF172:CQ172&lt;1)*(PARTIDAS!$I$2:$AT$2="ELÉCTRICO"))&gt;0,"ELÉCTRICO",""),IF(SUMPRODUCT((BF172:CQ172&lt;1)*(PARTIDAS!$I$2:$AT$2="TERMINACIONES"))&gt;0,"TERMINACIONES",""))</f>
        <v>OBRA GRUESA, SANITARIOS, ELÉCTRICO, TERMINACIONES</v>
      </c>
      <c r="CU172" s="46" cm="1">
        <f t="array" ref="CU172">SUMPRODUCT(--(BF172:CQ172&lt;1))</f>
        <v>38</v>
      </c>
    </row>
    <row r="173" spans="1:99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46181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 t="str">
        <f>+IF(AVANCE[[#This Row],[% AVANCE]]=100%,"MODULO TERMINADO",IF(AVANCE[[#This Row],[FECHA INICIO REAL]]="","MODULO NO INICIADO","PENDIENTE"))</f>
        <v>MODULO NO INICIADO</v>
      </c>
      <c r="BF173" s="3">
        <f>+IF(AVANCE[[#This Row],[VENTANAS]]=8.10810810810811%,100%,AVANCE[[#This Row],[VENTANAS]])</f>
        <v>0</v>
      </c>
      <c r="BG173" s="3">
        <f>+IF(AVANCE[[#This Row],[PISO]]=N$2,100%,AVANCE[[#This Row],[PISO]])</f>
        <v>0</v>
      </c>
      <c r="BH173" s="3">
        <f>+IF(AVANCE[[#This Row],[TABIQUES]]=O$2,100%,AVANCE[[#This Row],[TABIQUES]])</f>
        <v>0</v>
      </c>
      <c r="BI173" s="3">
        <f>+IF(AVANCE[[#This Row],[MUROS]]=P$2,100%,AVANCE[[#This Row],[MUROS]])</f>
        <v>0</v>
      </c>
      <c r="BJ173" s="3">
        <f>+IF(AVANCE[[#This Row],[CIELO]]=Q$2,100%,AVANCE[[#This Row],[CIELO]])</f>
        <v>0</v>
      </c>
      <c r="BK173" s="3">
        <f>+IF(AVANCE[[#This Row],[BALCÓN]]=R$2,100%,AVANCE[[#This Row],[BALCÓN]])</f>
        <v>0</v>
      </c>
      <c r="BL173" s="3">
        <f>+IF(AVANCE[[#This Row],[RED ALCANTARILLADO]]=U$2,100%,AVANCE[[#This Row],[RED ALCANTARILLADO]])</f>
        <v>0</v>
      </c>
      <c r="BM173" s="3">
        <f>+IF(AVANCE[[#This Row],[RED DE AGUA]]=V$2,100%,AVANCE[[#This Row],[RED DE AGUA]])</f>
        <v>0</v>
      </c>
      <c r="BN173" s="3">
        <f>+IF(AVANCE[[#This Row],[VENTILACIONES]]=W$2,100%,AVANCE[[#This Row],[VENTILACIONES]])</f>
        <v>0</v>
      </c>
      <c r="BO173" s="3">
        <f>+IF(AVANCE[[#This Row],[TINA]]=X$2,100%,AVANCE[[#This Row],[TINA]])</f>
        <v>0</v>
      </c>
      <c r="BP173" s="3">
        <f>+IF(AVANCE[[#This Row],[WC]]=Y$2,100%,AVANCE[[#This Row],[WC]])</f>
        <v>0</v>
      </c>
      <c r="BQ173" s="3">
        <f>+IF(AVANCE[[#This Row],[LAVAMANOS / LAVAPLATOS / LAVADERO]]=Z$2,100%,AVANCE[[#This Row],[LAVAMANOS / LAVAPLATOS / LAVADERO]])</f>
        <v>0</v>
      </c>
      <c r="BR173" s="3">
        <f>+IF(AVANCE[[#This Row],[CANALIZACIÓN]]=AC$2,100%,AVANCE[[#This Row],[CANALIZACIÓN]])</f>
        <v>0</v>
      </c>
      <c r="BS173" s="3">
        <f>+IF(AVANCE[[#This Row],[CABLEADO]]=AD$2,100%,AVANCE[[#This Row],[CABLEADO]])</f>
        <v>0</v>
      </c>
      <c r="BT173" s="3">
        <f>+IF(AVANCE[[#This Row],[ARTEFACTOS]]=AE$2,100%,AVANCE[[#This Row],[ARTEFACTOS]])</f>
        <v>0</v>
      </c>
      <c r="BU173" s="3">
        <f>+IF(AVANCE[[#This Row],[TABLERO]]=AF$2,100%,AVANCE[[#This Row],[TABLERO]])</f>
        <v>0</v>
      </c>
      <c r="BV173" s="3">
        <f>+IF(AVANCE[[#This Row],[CAJA PAU]]=AG$2,100%,AVANCE[[#This Row],[CAJA PAU]])</f>
        <v>0</v>
      </c>
      <c r="BW173" s="3">
        <f>+IF(AVANCE[[#This Row],[INSTALACION VINILICO]]=AJ$2,100%,AVANCE[[#This Row],[INSTALACION VINILICO]])</f>
        <v>0</v>
      </c>
      <c r="BX173" s="3">
        <f>+IF(AVANCE[[#This Row],[OSB CUBIERTA]]=AK$2,100%,AVANCE[[#This Row],[OSB CUBIERTA]])</f>
        <v>0</v>
      </c>
      <c r="BY173" s="3">
        <f>+IF(AVANCE[[#This Row],[BARANDA BALCON]]=AL$2,100%,AVANCE[[#This Row],[BARANDA BALCON]])</f>
        <v>0</v>
      </c>
      <c r="BZ173" s="3">
        <f>+IF(AVANCE[[#This Row],[OSB EXTERIOR]]=AM$2,100%,AVANCE[[#This Row],[OSB EXTERIOR]])</f>
        <v>0</v>
      </c>
      <c r="CA173" s="3">
        <f>+IF(AVANCE[[#This Row],[SMART PANEL]]=AN$2,100%,AVANCE[[#This Row],[SMART PANEL]])</f>
        <v>0</v>
      </c>
      <c r="CB173" s="3">
        <f>+IF(AVANCE[[#This Row],[PINTURA EXTERIOR]]=AO$2,100%,AVANCE[[#This Row],[PINTURA EXTERIOR]])</f>
        <v>0</v>
      </c>
      <c r="CC173" s="3">
        <f>+IF(AVANCE[[#This Row],[ZOCALOS LOGIA]]=AP$2,100%,AVANCE[[#This Row],[ZOCALOS LOGIA]])</f>
        <v>0</v>
      </c>
      <c r="CD173" s="3">
        <f>+IF(AVANCE[[#This Row],[MOLDURAS]]=AQ$2,100%,AVANCE[[#This Row],[MOLDURAS]])</f>
        <v>0</v>
      </c>
      <c r="CE173" s="3">
        <f>+IF(AVANCE[[#This Row],[PILASTREO]]=AR$2,100%,AVANCE[[#This Row],[PILASTREO]])</f>
        <v>0</v>
      </c>
      <c r="CF173" s="3">
        <f>+IF(AVANCE[[#This Row],[CELOSIAS]]=AS$2,100%,AVANCE[[#This Row],[CELOSIAS]])</f>
        <v>0</v>
      </c>
      <c r="CG173" s="3">
        <f>+IF(AVANCE[[#This Row],[VENTANAS]]=AT$2,100%,AVANCE[[#This Row],[VENTANAS]])</f>
        <v>0</v>
      </c>
      <c r="CH173" s="3">
        <f>+IF(AVANCE[[#This Row],[PUERTAS ACCESO - LOGIA - BANO]]=AU$2,100%,AVANCE[[#This Row],[PUERTAS ACCESO - LOGIA - BANO]])</f>
        <v>0</v>
      </c>
      <c r="CI173" s="3">
        <f>+IF(AVANCE[[#This Row],[CERRADURAS]]=AV$2,100%,AVANCE[[#This Row],[CERRADURAS]])</f>
        <v>0</v>
      </c>
      <c r="CJ173" s="3">
        <f>+IF(AVANCE[[#This Row],[REVESTIMIENTO INTERIOR ZONA SECA]]=AW$2,100%,AVANCE[[#This Row],[REVESTIMIENTO INTERIOR ZONA SECA]])</f>
        <v>0</v>
      </c>
      <c r="CK173" s="3">
        <f>+IF(AVANCE[[#This Row],[REVESTIMIENTO INTERIOR ZONAS HUMEDAS]]=AX$2,100%,AVANCE[[#This Row],[REVESTIMIENTO INTERIOR ZONAS HUMEDAS]])</f>
        <v>0</v>
      </c>
      <c r="CL173" s="3">
        <f>+IF(AVANCE[[#This Row],[MEMBRANA CIELO]]=AY$2,100%,AVANCE[[#This Row],[MEMBRANA CIELO]])</f>
        <v>0</v>
      </c>
      <c r="CM173" s="3">
        <f>+IF(AVANCE[[#This Row],[LIMPIEZA FINAL]]=AZ$2,100%,AVANCE[[#This Row],[LIMPIEZA FINAL]])</f>
        <v>0</v>
      </c>
      <c r="CN173" s="3">
        <f>+IF(AVANCE[[#This Row],[PUERTAS DORMITORIO]]=BA$2,100%,AVANCE[[#This Row],[PUERTAS DORMITORIO]])</f>
        <v>0</v>
      </c>
      <c r="CO173" s="3">
        <f>+IF(AVANCE[[#This Row],[REVESTIMIENTO INTERIOR BANO]]=BB$2,100%,AVANCE[[#This Row],[REVESTIMIENTO INTERIOR BANO]])</f>
        <v>0</v>
      </c>
      <c r="CP173" s="3">
        <f>+IF(AVANCE[[#This Row],[MUEBLE LAVAPLATOS]]=BC$2,100%,AVANCE[[#This Row],[MUEBLE LAVAPLATOS]])</f>
        <v>0</v>
      </c>
      <c r="CQ173" s="3">
        <f>+IF(AVANCE[[#This Row],[IMPERMEABILIZACION BANO - COCINA LOGIA]]=BD$2,100%,AVANCE[[#This Row],[IMPERMEABILIZACION BANO - COCINA LOGIA]])</f>
        <v>0</v>
      </c>
      <c r="CR173" s="40">
        <f ca="1">+IF(AVANCE[[#This Row],[ESTADO MODULO]]="PENDIENTE",(TODAY()-AVANCE[[#This Row],[FECHA TERMINO  PLANIFICADO]]),0)</f>
        <v>0</v>
      </c>
      <c r="CS173" s="42" t="str" cm="1">
        <f t="array" ref="CS173">_xlfn.TEXTJOIN(" | ",TRUE,IF(SUMPRODUCT((BF173:CQ173&lt;1)*(PARTIDAS!$I$2:$AT$2="OBRA GRUESA"))&gt;0,"OBRA GRUESA: "&amp;_xlfn.TEXTJOIN(", ",TRUE,IF((BF173:CQ173&lt;1)*(PARTIDAS!$I$2:$AT$2="OBRA GRUESA"),PARTIDAS!$I$1:$AT$1,"")),""),IF(SUMPRODUCT((BF173:CQ173&lt;1)*(PARTIDAS!$I$2:$AT$2="SANITARIOS"))&gt;0,"SANITARIOS: "&amp;_xlfn.TEXTJOIN(", ",TRUE,IF((BF173:CQ173&lt;1)*(PARTIDAS!$I$2:$AT$2="SANITARIOS"),PARTIDAS!$I$1:$AT$1,"")),""),IF(SUMPRODUCT((BF173:CQ173&lt;1)*(PARTIDAS!$I$2:$AT$2="ELÉCTRICO"))&gt;0,"ELÉCTRICO: "&amp;_xlfn.TEXTJOIN(", ",TRUE,IF((BF173:CQ173&lt;1)*(PARTIDAS!$I$2:$AT$2="ELÉCTRICO"),PARTIDAS!$I$1:$AT$1,"")),""),IF(SUMPRODUCT((BF173:CQ173&lt;1)*(PARTIDAS!$I$2:$AT$2="TERMINACIONES"))&gt;0,"TERMINACIONES: "&amp;_xlfn.TEXTJOIN(", ",TRUE,IF((BF173:CQ173&lt;1)*(PARTIDAS!$I$2:$AT$2="TERMINACIONES"),PARTIDAS!$I$1:$AT$1,"")),""))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3" s="45" t="str" cm="1">
        <f t="array" ref="CT173">_xlfn.TEXTJOIN(", ",TRUE,IF(SUMPRODUCT((BF173:CQ173&lt;1)*(PARTIDAS!$I$2:$AT$2="OBRA GRUESA"))&gt;0,"OBRA GRUESA",""),IF(SUMPRODUCT((BF173:CQ173&lt;1)*(PARTIDAS!$I$2:$AT$2="SANITARIOS"))&gt;0,"SANITARIOS",""),IF(SUMPRODUCT((BF173:CQ173&lt;1)*(PARTIDAS!$I$2:$AT$2="ELÉCTRICO"))&gt;0,"ELÉCTRICO",""),IF(SUMPRODUCT((BF173:CQ173&lt;1)*(PARTIDAS!$I$2:$AT$2="TERMINACIONES"))&gt;0,"TERMINACIONES",""))</f>
        <v>OBRA GRUESA, SANITARIOS, ELÉCTRICO, TERMINACIONES</v>
      </c>
      <c r="CU173" s="46" cm="1">
        <f t="array" ref="CU173">SUMPRODUCT(--(BF173:CQ173&lt;1))</f>
        <v>38</v>
      </c>
    </row>
    <row r="174" spans="1:99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46181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 t="str">
        <f>+IF(AVANCE[[#This Row],[% AVANCE]]=100%,"MODULO TERMINADO",IF(AVANCE[[#This Row],[FECHA INICIO REAL]]="","MODULO NO INICIADO","PENDIENTE"))</f>
        <v>MODULO NO INICIADO</v>
      </c>
      <c r="BF174" s="3">
        <f>+IF(AVANCE[[#This Row],[VENTANAS]]=8.10810810810811%,100%,AVANCE[[#This Row],[VENTANAS]])</f>
        <v>0</v>
      </c>
      <c r="BG174" s="3">
        <f>+IF(AVANCE[[#This Row],[PISO]]=N$2,100%,AVANCE[[#This Row],[PISO]])</f>
        <v>0</v>
      </c>
      <c r="BH174" s="3">
        <f>+IF(AVANCE[[#This Row],[TABIQUES]]=O$2,100%,AVANCE[[#This Row],[TABIQUES]])</f>
        <v>0</v>
      </c>
      <c r="BI174" s="3">
        <f>+IF(AVANCE[[#This Row],[MUROS]]=P$2,100%,AVANCE[[#This Row],[MUROS]])</f>
        <v>0</v>
      </c>
      <c r="BJ174" s="3">
        <f>+IF(AVANCE[[#This Row],[CIELO]]=Q$2,100%,AVANCE[[#This Row],[CIELO]])</f>
        <v>0</v>
      </c>
      <c r="BK174" s="3">
        <f>+IF(AVANCE[[#This Row],[BALCÓN]]=R$2,100%,AVANCE[[#This Row],[BALCÓN]])</f>
        <v>0</v>
      </c>
      <c r="BL174" s="3">
        <f>+IF(AVANCE[[#This Row],[RED ALCANTARILLADO]]=U$2,100%,AVANCE[[#This Row],[RED ALCANTARILLADO]])</f>
        <v>0</v>
      </c>
      <c r="BM174" s="3">
        <f>+IF(AVANCE[[#This Row],[RED DE AGUA]]=V$2,100%,AVANCE[[#This Row],[RED DE AGUA]])</f>
        <v>0</v>
      </c>
      <c r="BN174" s="3">
        <f>+IF(AVANCE[[#This Row],[VENTILACIONES]]=W$2,100%,AVANCE[[#This Row],[VENTILACIONES]])</f>
        <v>0</v>
      </c>
      <c r="BO174" s="3">
        <f>+IF(AVANCE[[#This Row],[TINA]]=X$2,100%,AVANCE[[#This Row],[TINA]])</f>
        <v>0</v>
      </c>
      <c r="BP174" s="3">
        <f>+IF(AVANCE[[#This Row],[WC]]=Y$2,100%,AVANCE[[#This Row],[WC]])</f>
        <v>0</v>
      </c>
      <c r="BQ174" s="3">
        <f>+IF(AVANCE[[#This Row],[LAVAMANOS / LAVAPLATOS / LAVADERO]]=Z$2,100%,AVANCE[[#This Row],[LAVAMANOS / LAVAPLATOS / LAVADERO]])</f>
        <v>0</v>
      </c>
      <c r="BR174" s="3">
        <f>+IF(AVANCE[[#This Row],[CANALIZACIÓN]]=AC$2,100%,AVANCE[[#This Row],[CANALIZACIÓN]])</f>
        <v>0</v>
      </c>
      <c r="BS174" s="3">
        <f>+IF(AVANCE[[#This Row],[CABLEADO]]=AD$2,100%,AVANCE[[#This Row],[CABLEADO]])</f>
        <v>0</v>
      </c>
      <c r="BT174" s="3">
        <f>+IF(AVANCE[[#This Row],[ARTEFACTOS]]=AE$2,100%,AVANCE[[#This Row],[ARTEFACTOS]])</f>
        <v>0</v>
      </c>
      <c r="BU174" s="3">
        <f>+IF(AVANCE[[#This Row],[TABLERO]]=AF$2,100%,AVANCE[[#This Row],[TABLERO]])</f>
        <v>0</v>
      </c>
      <c r="BV174" s="3">
        <f>+IF(AVANCE[[#This Row],[CAJA PAU]]=AG$2,100%,AVANCE[[#This Row],[CAJA PAU]])</f>
        <v>0</v>
      </c>
      <c r="BW174" s="3">
        <f>+IF(AVANCE[[#This Row],[INSTALACION VINILICO]]=AJ$2,100%,AVANCE[[#This Row],[INSTALACION VINILICO]])</f>
        <v>0</v>
      </c>
      <c r="BX174" s="3">
        <f>+IF(AVANCE[[#This Row],[OSB CUBIERTA]]=AK$2,100%,AVANCE[[#This Row],[OSB CUBIERTA]])</f>
        <v>0</v>
      </c>
      <c r="BY174" s="3">
        <f>+IF(AVANCE[[#This Row],[BARANDA BALCON]]=AL$2,100%,AVANCE[[#This Row],[BARANDA BALCON]])</f>
        <v>0</v>
      </c>
      <c r="BZ174" s="3">
        <f>+IF(AVANCE[[#This Row],[OSB EXTERIOR]]=AM$2,100%,AVANCE[[#This Row],[OSB EXTERIOR]])</f>
        <v>0</v>
      </c>
      <c r="CA174" s="3">
        <f>+IF(AVANCE[[#This Row],[SMART PANEL]]=AN$2,100%,AVANCE[[#This Row],[SMART PANEL]])</f>
        <v>0</v>
      </c>
      <c r="CB174" s="3">
        <f>+IF(AVANCE[[#This Row],[PINTURA EXTERIOR]]=AO$2,100%,AVANCE[[#This Row],[PINTURA EXTERIOR]])</f>
        <v>0</v>
      </c>
      <c r="CC174" s="3">
        <f>+IF(AVANCE[[#This Row],[ZOCALOS LOGIA]]=AP$2,100%,AVANCE[[#This Row],[ZOCALOS LOGIA]])</f>
        <v>0</v>
      </c>
      <c r="CD174" s="3">
        <f>+IF(AVANCE[[#This Row],[MOLDURAS]]=AQ$2,100%,AVANCE[[#This Row],[MOLDURAS]])</f>
        <v>0</v>
      </c>
      <c r="CE174" s="3">
        <f>+IF(AVANCE[[#This Row],[PILASTREO]]=AR$2,100%,AVANCE[[#This Row],[PILASTREO]])</f>
        <v>0</v>
      </c>
      <c r="CF174" s="3">
        <f>+IF(AVANCE[[#This Row],[CELOSIAS]]=AS$2,100%,AVANCE[[#This Row],[CELOSIAS]])</f>
        <v>0</v>
      </c>
      <c r="CG174" s="3">
        <f>+IF(AVANCE[[#This Row],[VENTANAS]]=AT$2,100%,AVANCE[[#This Row],[VENTANAS]])</f>
        <v>0</v>
      </c>
      <c r="CH174" s="3">
        <f>+IF(AVANCE[[#This Row],[PUERTAS ACCESO - LOGIA - BANO]]=AU$2,100%,AVANCE[[#This Row],[PUERTAS ACCESO - LOGIA - BANO]])</f>
        <v>0</v>
      </c>
      <c r="CI174" s="3">
        <f>+IF(AVANCE[[#This Row],[CERRADURAS]]=AV$2,100%,AVANCE[[#This Row],[CERRADURAS]])</f>
        <v>0</v>
      </c>
      <c r="CJ174" s="3">
        <f>+IF(AVANCE[[#This Row],[REVESTIMIENTO INTERIOR ZONA SECA]]=AW$2,100%,AVANCE[[#This Row],[REVESTIMIENTO INTERIOR ZONA SECA]])</f>
        <v>0</v>
      </c>
      <c r="CK174" s="3">
        <f>+IF(AVANCE[[#This Row],[REVESTIMIENTO INTERIOR ZONAS HUMEDAS]]=AX$2,100%,AVANCE[[#This Row],[REVESTIMIENTO INTERIOR ZONAS HUMEDAS]])</f>
        <v>0</v>
      </c>
      <c r="CL174" s="3">
        <f>+IF(AVANCE[[#This Row],[MEMBRANA CIELO]]=AY$2,100%,AVANCE[[#This Row],[MEMBRANA CIELO]])</f>
        <v>0</v>
      </c>
      <c r="CM174" s="3">
        <f>+IF(AVANCE[[#This Row],[LIMPIEZA FINAL]]=AZ$2,100%,AVANCE[[#This Row],[LIMPIEZA FINAL]])</f>
        <v>0</v>
      </c>
      <c r="CN174" s="3">
        <f>+IF(AVANCE[[#This Row],[PUERTAS DORMITORIO]]=BA$2,100%,AVANCE[[#This Row],[PUERTAS DORMITORIO]])</f>
        <v>0</v>
      </c>
      <c r="CO174" s="3">
        <f>+IF(AVANCE[[#This Row],[REVESTIMIENTO INTERIOR BANO]]=BB$2,100%,AVANCE[[#This Row],[REVESTIMIENTO INTERIOR BANO]])</f>
        <v>0</v>
      </c>
      <c r="CP174" s="3">
        <f>+IF(AVANCE[[#This Row],[MUEBLE LAVAPLATOS]]=BC$2,100%,AVANCE[[#This Row],[MUEBLE LAVAPLATOS]])</f>
        <v>0</v>
      </c>
      <c r="CQ174" s="3">
        <f>+IF(AVANCE[[#This Row],[IMPERMEABILIZACION BANO - COCINA LOGIA]]=BD$2,100%,AVANCE[[#This Row],[IMPERMEABILIZACION BANO - COCINA LOGIA]])</f>
        <v>0</v>
      </c>
      <c r="CR174" s="40">
        <f ca="1">+IF(AVANCE[[#This Row],[ESTADO MODULO]]="PENDIENTE",(TODAY()-AVANCE[[#This Row],[FECHA TERMINO  PLANIFICADO]]),0)</f>
        <v>0</v>
      </c>
      <c r="CS174" s="42" t="str" cm="1">
        <f t="array" ref="CS174">_xlfn.TEXTJOIN(" | ",TRUE,IF(SUMPRODUCT((BF174:CQ174&lt;1)*(PARTIDAS!$I$2:$AT$2="OBRA GRUESA"))&gt;0,"OBRA GRUESA: "&amp;_xlfn.TEXTJOIN(", ",TRUE,IF((BF174:CQ174&lt;1)*(PARTIDAS!$I$2:$AT$2="OBRA GRUESA"),PARTIDAS!$I$1:$AT$1,"")),""),IF(SUMPRODUCT((BF174:CQ174&lt;1)*(PARTIDAS!$I$2:$AT$2="SANITARIOS"))&gt;0,"SANITARIOS: "&amp;_xlfn.TEXTJOIN(", ",TRUE,IF((BF174:CQ174&lt;1)*(PARTIDAS!$I$2:$AT$2="SANITARIOS"),PARTIDAS!$I$1:$AT$1,"")),""),IF(SUMPRODUCT((BF174:CQ174&lt;1)*(PARTIDAS!$I$2:$AT$2="ELÉCTRICO"))&gt;0,"ELÉCTRICO: "&amp;_xlfn.TEXTJOIN(", ",TRUE,IF((BF174:CQ174&lt;1)*(PARTIDAS!$I$2:$AT$2="ELÉCTRICO"),PARTIDAS!$I$1:$AT$1,"")),""),IF(SUMPRODUCT((BF174:CQ174&lt;1)*(PARTIDAS!$I$2:$AT$2="TERMINACIONES"))&gt;0,"TERMINACIONES: "&amp;_xlfn.TEXTJOIN(", ",TRUE,IF((BF174:CQ174&lt;1)*(PARTIDAS!$I$2:$AT$2="TERMINACIONES"),PARTIDAS!$I$1:$AT$1,"")),""))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4" s="45" t="str" cm="1">
        <f t="array" ref="CT174">_xlfn.TEXTJOIN(", ",TRUE,IF(SUMPRODUCT((BF174:CQ174&lt;1)*(PARTIDAS!$I$2:$AT$2="OBRA GRUESA"))&gt;0,"OBRA GRUESA",""),IF(SUMPRODUCT((BF174:CQ174&lt;1)*(PARTIDAS!$I$2:$AT$2="SANITARIOS"))&gt;0,"SANITARIOS",""),IF(SUMPRODUCT((BF174:CQ174&lt;1)*(PARTIDAS!$I$2:$AT$2="ELÉCTRICO"))&gt;0,"ELÉCTRICO",""),IF(SUMPRODUCT((BF174:CQ174&lt;1)*(PARTIDAS!$I$2:$AT$2="TERMINACIONES"))&gt;0,"TERMINACIONES",""))</f>
        <v>OBRA GRUESA, SANITARIOS, ELÉCTRICO, TERMINACIONES</v>
      </c>
      <c r="CU174" s="46" cm="1">
        <f t="array" ref="CU174">SUMPRODUCT(--(BF174:CQ174&lt;1))</f>
        <v>38</v>
      </c>
    </row>
    <row r="175" spans="1:99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46181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 t="str">
        <f>+IF(AVANCE[[#This Row],[% AVANCE]]=100%,"MODULO TERMINADO",IF(AVANCE[[#This Row],[FECHA INICIO REAL]]="","MODULO NO INICIADO","PENDIENTE"))</f>
        <v>MODULO NO INICIADO</v>
      </c>
      <c r="BF175" s="3">
        <f>+IF(AVANCE[[#This Row],[VENTANAS]]=8.10810810810811%,100%,AVANCE[[#This Row],[VENTANAS]])</f>
        <v>0</v>
      </c>
      <c r="BG175" s="3">
        <f>+IF(AVANCE[[#This Row],[PISO]]=N$2,100%,AVANCE[[#This Row],[PISO]])</f>
        <v>0</v>
      </c>
      <c r="BH175" s="3">
        <f>+IF(AVANCE[[#This Row],[TABIQUES]]=O$2,100%,AVANCE[[#This Row],[TABIQUES]])</f>
        <v>0</v>
      </c>
      <c r="BI175" s="3">
        <f>+IF(AVANCE[[#This Row],[MUROS]]=P$2,100%,AVANCE[[#This Row],[MUROS]])</f>
        <v>0</v>
      </c>
      <c r="BJ175" s="3">
        <f>+IF(AVANCE[[#This Row],[CIELO]]=Q$2,100%,AVANCE[[#This Row],[CIELO]])</f>
        <v>0</v>
      </c>
      <c r="BK175" s="3">
        <f>+IF(AVANCE[[#This Row],[BALCÓN]]=R$2,100%,AVANCE[[#This Row],[BALCÓN]])</f>
        <v>0</v>
      </c>
      <c r="BL175" s="3">
        <f>+IF(AVANCE[[#This Row],[RED ALCANTARILLADO]]=U$2,100%,AVANCE[[#This Row],[RED ALCANTARILLADO]])</f>
        <v>0</v>
      </c>
      <c r="BM175" s="3">
        <f>+IF(AVANCE[[#This Row],[RED DE AGUA]]=V$2,100%,AVANCE[[#This Row],[RED DE AGUA]])</f>
        <v>0</v>
      </c>
      <c r="BN175" s="3">
        <f>+IF(AVANCE[[#This Row],[VENTILACIONES]]=W$2,100%,AVANCE[[#This Row],[VENTILACIONES]])</f>
        <v>0</v>
      </c>
      <c r="BO175" s="3">
        <f>+IF(AVANCE[[#This Row],[TINA]]=X$2,100%,AVANCE[[#This Row],[TINA]])</f>
        <v>0</v>
      </c>
      <c r="BP175" s="3">
        <f>+IF(AVANCE[[#This Row],[WC]]=Y$2,100%,AVANCE[[#This Row],[WC]])</f>
        <v>0</v>
      </c>
      <c r="BQ175" s="3">
        <f>+IF(AVANCE[[#This Row],[LAVAMANOS / LAVAPLATOS / LAVADERO]]=Z$2,100%,AVANCE[[#This Row],[LAVAMANOS / LAVAPLATOS / LAVADERO]])</f>
        <v>0</v>
      </c>
      <c r="BR175" s="3">
        <f>+IF(AVANCE[[#This Row],[CANALIZACIÓN]]=AC$2,100%,AVANCE[[#This Row],[CANALIZACIÓN]])</f>
        <v>0</v>
      </c>
      <c r="BS175" s="3">
        <f>+IF(AVANCE[[#This Row],[CABLEADO]]=AD$2,100%,AVANCE[[#This Row],[CABLEADO]])</f>
        <v>0</v>
      </c>
      <c r="BT175" s="3">
        <f>+IF(AVANCE[[#This Row],[ARTEFACTOS]]=AE$2,100%,AVANCE[[#This Row],[ARTEFACTOS]])</f>
        <v>0</v>
      </c>
      <c r="BU175" s="3">
        <f>+IF(AVANCE[[#This Row],[TABLERO]]=AF$2,100%,AVANCE[[#This Row],[TABLERO]])</f>
        <v>0</v>
      </c>
      <c r="BV175" s="3">
        <f>+IF(AVANCE[[#This Row],[CAJA PAU]]=AG$2,100%,AVANCE[[#This Row],[CAJA PAU]])</f>
        <v>0</v>
      </c>
      <c r="BW175" s="3">
        <f>+IF(AVANCE[[#This Row],[INSTALACION VINILICO]]=AJ$2,100%,AVANCE[[#This Row],[INSTALACION VINILICO]])</f>
        <v>0</v>
      </c>
      <c r="BX175" s="3">
        <f>+IF(AVANCE[[#This Row],[OSB CUBIERTA]]=AK$2,100%,AVANCE[[#This Row],[OSB CUBIERTA]])</f>
        <v>0</v>
      </c>
      <c r="BY175" s="3">
        <f>+IF(AVANCE[[#This Row],[BARANDA BALCON]]=AL$2,100%,AVANCE[[#This Row],[BARANDA BALCON]])</f>
        <v>0</v>
      </c>
      <c r="BZ175" s="3">
        <f>+IF(AVANCE[[#This Row],[OSB EXTERIOR]]=AM$2,100%,AVANCE[[#This Row],[OSB EXTERIOR]])</f>
        <v>0</v>
      </c>
      <c r="CA175" s="3">
        <f>+IF(AVANCE[[#This Row],[SMART PANEL]]=AN$2,100%,AVANCE[[#This Row],[SMART PANEL]])</f>
        <v>0</v>
      </c>
      <c r="CB175" s="3">
        <f>+IF(AVANCE[[#This Row],[PINTURA EXTERIOR]]=AO$2,100%,AVANCE[[#This Row],[PINTURA EXTERIOR]])</f>
        <v>0</v>
      </c>
      <c r="CC175" s="3">
        <f>+IF(AVANCE[[#This Row],[ZOCALOS LOGIA]]=AP$2,100%,AVANCE[[#This Row],[ZOCALOS LOGIA]])</f>
        <v>0</v>
      </c>
      <c r="CD175" s="3">
        <f>+IF(AVANCE[[#This Row],[MOLDURAS]]=AQ$2,100%,AVANCE[[#This Row],[MOLDURAS]])</f>
        <v>0</v>
      </c>
      <c r="CE175" s="3">
        <f>+IF(AVANCE[[#This Row],[PILASTREO]]=AR$2,100%,AVANCE[[#This Row],[PILASTREO]])</f>
        <v>0</v>
      </c>
      <c r="CF175" s="3">
        <f>+IF(AVANCE[[#This Row],[CELOSIAS]]=AS$2,100%,AVANCE[[#This Row],[CELOSIAS]])</f>
        <v>0</v>
      </c>
      <c r="CG175" s="3">
        <f>+IF(AVANCE[[#This Row],[VENTANAS]]=AT$2,100%,AVANCE[[#This Row],[VENTANAS]])</f>
        <v>0</v>
      </c>
      <c r="CH175" s="3">
        <f>+IF(AVANCE[[#This Row],[PUERTAS ACCESO - LOGIA - BANO]]=AU$2,100%,AVANCE[[#This Row],[PUERTAS ACCESO - LOGIA - BANO]])</f>
        <v>0</v>
      </c>
      <c r="CI175" s="3">
        <f>+IF(AVANCE[[#This Row],[CERRADURAS]]=AV$2,100%,AVANCE[[#This Row],[CERRADURAS]])</f>
        <v>0</v>
      </c>
      <c r="CJ175" s="3">
        <f>+IF(AVANCE[[#This Row],[REVESTIMIENTO INTERIOR ZONA SECA]]=AW$2,100%,AVANCE[[#This Row],[REVESTIMIENTO INTERIOR ZONA SECA]])</f>
        <v>0</v>
      </c>
      <c r="CK175" s="3">
        <f>+IF(AVANCE[[#This Row],[REVESTIMIENTO INTERIOR ZONAS HUMEDAS]]=AX$2,100%,AVANCE[[#This Row],[REVESTIMIENTO INTERIOR ZONAS HUMEDAS]])</f>
        <v>0</v>
      </c>
      <c r="CL175" s="3">
        <f>+IF(AVANCE[[#This Row],[MEMBRANA CIELO]]=AY$2,100%,AVANCE[[#This Row],[MEMBRANA CIELO]])</f>
        <v>0</v>
      </c>
      <c r="CM175" s="3">
        <f>+IF(AVANCE[[#This Row],[LIMPIEZA FINAL]]=AZ$2,100%,AVANCE[[#This Row],[LIMPIEZA FINAL]])</f>
        <v>0</v>
      </c>
      <c r="CN175" s="3">
        <f>+IF(AVANCE[[#This Row],[PUERTAS DORMITORIO]]=BA$2,100%,AVANCE[[#This Row],[PUERTAS DORMITORIO]])</f>
        <v>0</v>
      </c>
      <c r="CO175" s="3">
        <f>+IF(AVANCE[[#This Row],[REVESTIMIENTO INTERIOR BANO]]=BB$2,100%,AVANCE[[#This Row],[REVESTIMIENTO INTERIOR BANO]])</f>
        <v>0</v>
      </c>
      <c r="CP175" s="3">
        <f>+IF(AVANCE[[#This Row],[MUEBLE LAVAPLATOS]]=BC$2,100%,AVANCE[[#This Row],[MUEBLE LAVAPLATOS]])</f>
        <v>0</v>
      </c>
      <c r="CQ175" s="3">
        <f>+IF(AVANCE[[#This Row],[IMPERMEABILIZACION BANO - COCINA LOGIA]]=BD$2,100%,AVANCE[[#This Row],[IMPERMEABILIZACION BANO - COCINA LOGIA]])</f>
        <v>0</v>
      </c>
      <c r="CR175" s="40">
        <f ca="1">+IF(AVANCE[[#This Row],[ESTADO MODULO]]="PENDIENTE",(TODAY()-AVANCE[[#This Row],[FECHA TERMINO  PLANIFICADO]]),0)</f>
        <v>0</v>
      </c>
      <c r="CS175" s="42" t="str" cm="1">
        <f t="array" ref="CS175">_xlfn.TEXTJOIN(" | ",TRUE,IF(SUMPRODUCT((BF175:CQ175&lt;1)*(PARTIDAS!$I$2:$AT$2="OBRA GRUESA"))&gt;0,"OBRA GRUESA: "&amp;_xlfn.TEXTJOIN(", ",TRUE,IF((BF175:CQ175&lt;1)*(PARTIDAS!$I$2:$AT$2="OBRA GRUESA"),PARTIDAS!$I$1:$AT$1,"")),""),IF(SUMPRODUCT((BF175:CQ175&lt;1)*(PARTIDAS!$I$2:$AT$2="SANITARIOS"))&gt;0,"SANITARIOS: "&amp;_xlfn.TEXTJOIN(", ",TRUE,IF((BF175:CQ175&lt;1)*(PARTIDAS!$I$2:$AT$2="SANITARIOS"),PARTIDAS!$I$1:$AT$1,"")),""),IF(SUMPRODUCT((BF175:CQ175&lt;1)*(PARTIDAS!$I$2:$AT$2="ELÉCTRICO"))&gt;0,"ELÉCTRICO: "&amp;_xlfn.TEXTJOIN(", ",TRUE,IF((BF175:CQ175&lt;1)*(PARTIDAS!$I$2:$AT$2="ELÉCTRICO"),PARTIDAS!$I$1:$AT$1,"")),""),IF(SUMPRODUCT((BF175:CQ175&lt;1)*(PARTIDAS!$I$2:$AT$2="TERMINACIONES"))&gt;0,"TERMINACIONES: "&amp;_xlfn.TEXTJOIN(", ",TRUE,IF((BF175:CQ175&lt;1)*(PARTIDAS!$I$2:$AT$2="TERMINACIONES"),PARTIDAS!$I$1:$AT$1,"")),""))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5" s="45" t="str" cm="1">
        <f t="array" ref="CT175">_xlfn.TEXTJOIN(", ",TRUE,IF(SUMPRODUCT((BF175:CQ175&lt;1)*(PARTIDAS!$I$2:$AT$2="OBRA GRUESA"))&gt;0,"OBRA GRUESA",""),IF(SUMPRODUCT((BF175:CQ175&lt;1)*(PARTIDAS!$I$2:$AT$2="SANITARIOS"))&gt;0,"SANITARIOS",""),IF(SUMPRODUCT((BF175:CQ175&lt;1)*(PARTIDAS!$I$2:$AT$2="ELÉCTRICO"))&gt;0,"ELÉCTRICO",""),IF(SUMPRODUCT((BF175:CQ175&lt;1)*(PARTIDAS!$I$2:$AT$2="TERMINACIONES"))&gt;0,"TERMINACIONES",""))</f>
        <v>OBRA GRUESA, SANITARIOS, ELÉCTRICO, TERMINACIONES</v>
      </c>
      <c r="CU175" s="46" cm="1">
        <f t="array" ref="CU175">SUMPRODUCT(--(BF175:CQ175&lt;1))</f>
        <v>38</v>
      </c>
    </row>
    <row r="176" spans="1:99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46181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 t="str">
        <f>+IF(AVANCE[[#This Row],[% AVANCE]]=100%,"MODULO TERMINADO",IF(AVANCE[[#This Row],[FECHA INICIO REAL]]="","MODULO NO INICIADO","PENDIENTE"))</f>
        <v>MODULO NO INICIADO</v>
      </c>
      <c r="BF176" s="3">
        <f>+IF(AVANCE[[#This Row],[VENTANAS]]=8.10810810810811%,100%,AVANCE[[#This Row],[VENTANAS]])</f>
        <v>0</v>
      </c>
      <c r="BG176" s="3">
        <f>+IF(AVANCE[[#This Row],[PISO]]=N$2,100%,AVANCE[[#This Row],[PISO]])</f>
        <v>0</v>
      </c>
      <c r="BH176" s="3">
        <f>+IF(AVANCE[[#This Row],[TABIQUES]]=O$2,100%,AVANCE[[#This Row],[TABIQUES]])</f>
        <v>0</v>
      </c>
      <c r="BI176" s="3">
        <f>+IF(AVANCE[[#This Row],[MUROS]]=P$2,100%,AVANCE[[#This Row],[MUROS]])</f>
        <v>0</v>
      </c>
      <c r="BJ176" s="3">
        <f>+IF(AVANCE[[#This Row],[CIELO]]=Q$2,100%,AVANCE[[#This Row],[CIELO]])</f>
        <v>0</v>
      </c>
      <c r="BK176" s="3">
        <f>+IF(AVANCE[[#This Row],[BALCÓN]]=R$2,100%,AVANCE[[#This Row],[BALCÓN]])</f>
        <v>0</v>
      </c>
      <c r="BL176" s="3">
        <f>+IF(AVANCE[[#This Row],[RED ALCANTARILLADO]]=U$2,100%,AVANCE[[#This Row],[RED ALCANTARILLADO]])</f>
        <v>0</v>
      </c>
      <c r="BM176" s="3">
        <f>+IF(AVANCE[[#This Row],[RED DE AGUA]]=V$2,100%,AVANCE[[#This Row],[RED DE AGUA]])</f>
        <v>0</v>
      </c>
      <c r="BN176" s="3">
        <f>+IF(AVANCE[[#This Row],[VENTILACIONES]]=W$2,100%,AVANCE[[#This Row],[VENTILACIONES]])</f>
        <v>0</v>
      </c>
      <c r="BO176" s="3">
        <f>+IF(AVANCE[[#This Row],[TINA]]=X$2,100%,AVANCE[[#This Row],[TINA]])</f>
        <v>0</v>
      </c>
      <c r="BP176" s="3">
        <f>+IF(AVANCE[[#This Row],[WC]]=Y$2,100%,AVANCE[[#This Row],[WC]])</f>
        <v>0</v>
      </c>
      <c r="BQ176" s="3">
        <f>+IF(AVANCE[[#This Row],[LAVAMANOS / LAVAPLATOS / LAVADERO]]=Z$2,100%,AVANCE[[#This Row],[LAVAMANOS / LAVAPLATOS / LAVADERO]])</f>
        <v>0</v>
      </c>
      <c r="BR176" s="3">
        <f>+IF(AVANCE[[#This Row],[CANALIZACIÓN]]=AC$2,100%,AVANCE[[#This Row],[CANALIZACIÓN]])</f>
        <v>0</v>
      </c>
      <c r="BS176" s="3">
        <f>+IF(AVANCE[[#This Row],[CABLEADO]]=AD$2,100%,AVANCE[[#This Row],[CABLEADO]])</f>
        <v>0</v>
      </c>
      <c r="BT176" s="3">
        <f>+IF(AVANCE[[#This Row],[ARTEFACTOS]]=AE$2,100%,AVANCE[[#This Row],[ARTEFACTOS]])</f>
        <v>0</v>
      </c>
      <c r="BU176" s="3">
        <f>+IF(AVANCE[[#This Row],[TABLERO]]=AF$2,100%,AVANCE[[#This Row],[TABLERO]])</f>
        <v>0</v>
      </c>
      <c r="BV176" s="3">
        <f>+IF(AVANCE[[#This Row],[CAJA PAU]]=AG$2,100%,AVANCE[[#This Row],[CAJA PAU]])</f>
        <v>0</v>
      </c>
      <c r="BW176" s="3">
        <f>+IF(AVANCE[[#This Row],[INSTALACION VINILICO]]=AJ$2,100%,AVANCE[[#This Row],[INSTALACION VINILICO]])</f>
        <v>0</v>
      </c>
      <c r="BX176" s="3">
        <f>+IF(AVANCE[[#This Row],[OSB CUBIERTA]]=AK$2,100%,AVANCE[[#This Row],[OSB CUBIERTA]])</f>
        <v>0</v>
      </c>
      <c r="BY176" s="3">
        <f>+IF(AVANCE[[#This Row],[BARANDA BALCON]]=AL$2,100%,AVANCE[[#This Row],[BARANDA BALCON]])</f>
        <v>0</v>
      </c>
      <c r="BZ176" s="3">
        <f>+IF(AVANCE[[#This Row],[OSB EXTERIOR]]=AM$2,100%,AVANCE[[#This Row],[OSB EXTERIOR]])</f>
        <v>0</v>
      </c>
      <c r="CA176" s="3">
        <f>+IF(AVANCE[[#This Row],[SMART PANEL]]=AN$2,100%,AVANCE[[#This Row],[SMART PANEL]])</f>
        <v>0</v>
      </c>
      <c r="CB176" s="3">
        <f>+IF(AVANCE[[#This Row],[PINTURA EXTERIOR]]=AO$2,100%,AVANCE[[#This Row],[PINTURA EXTERIOR]])</f>
        <v>0</v>
      </c>
      <c r="CC176" s="3">
        <f>+IF(AVANCE[[#This Row],[ZOCALOS LOGIA]]=AP$2,100%,AVANCE[[#This Row],[ZOCALOS LOGIA]])</f>
        <v>0</v>
      </c>
      <c r="CD176" s="3">
        <f>+IF(AVANCE[[#This Row],[MOLDURAS]]=AQ$2,100%,AVANCE[[#This Row],[MOLDURAS]])</f>
        <v>0</v>
      </c>
      <c r="CE176" s="3">
        <f>+IF(AVANCE[[#This Row],[PILASTREO]]=AR$2,100%,AVANCE[[#This Row],[PILASTREO]])</f>
        <v>0</v>
      </c>
      <c r="CF176" s="3">
        <f>+IF(AVANCE[[#This Row],[CELOSIAS]]=AS$2,100%,AVANCE[[#This Row],[CELOSIAS]])</f>
        <v>0</v>
      </c>
      <c r="CG176" s="3">
        <f>+IF(AVANCE[[#This Row],[VENTANAS]]=AT$2,100%,AVANCE[[#This Row],[VENTANAS]])</f>
        <v>0</v>
      </c>
      <c r="CH176" s="3">
        <f>+IF(AVANCE[[#This Row],[PUERTAS ACCESO - LOGIA - BANO]]=AU$2,100%,AVANCE[[#This Row],[PUERTAS ACCESO - LOGIA - BANO]])</f>
        <v>0</v>
      </c>
      <c r="CI176" s="3">
        <f>+IF(AVANCE[[#This Row],[CERRADURAS]]=AV$2,100%,AVANCE[[#This Row],[CERRADURAS]])</f>
        <v>0</v>
      </c>
      <c r="CJ176" s="3">
        <f>+IF(AVANCE[[#This Row],[REVESTIMIENTO INTERIOR ZONA SECA]]=AW$2,100%,AVANCE[[#This Row],[REVESTIMIENTO INTERIOR ZONA SECA]])</f>
        <v>0</v>
      </c>
      <c r="CK176" s="3">
        <f>+IF(AVANCE[[#This Row],[REVESTIMIENTO INTERIOR ZONAS HUMEDAS]]=AX$2,100%,AVANCE[[#This Row],[REVESTIMIENTO INTERIOR ZONAS HUMEDAS]])</f>
        <v>0</v>
      </c>
      <c r="CL176" s="3">
        <f>+IF(AVANCE[[#This Row],[MEMBRANA CIELO]]=AY$2,100%,AVANCE[[#This Row],[MEMBRANA CIELO]])</f>
        <v>0</v>
      </c>
      <c r="CM176" s="3">
        <f>+IF(AVANCE[[#This Row],[LIMPIEZA FINAL]]=AZ$2,100%,AVANCE[[#This Row],[LIMPIEZA FINAL]])</f>
        <v>0</v>
      </c>
      <c r="CN176" s="3">
        <f>+IF(AVANCE[[#This Row],[PUERTAS DORMITORIO]]=BA$2,100%,AVANCE[[#This Row],[PUERTAS DORMITORIO]])</f>
        <v>0</v>
      </c>
      <c r="CO176" s="3">
        <f>+IF(AVANCE[[#This Row],[REVESTIMIENTO INTERIOR BANO]]=BB$2,100%,AVANCE[[#This Row],[REVESTIMIENTO INTERIOR BANO]])</f>
        <v>0</v>
      </c>
      <c r="CP176" s="3">
        <f>+IF(AVANCE[[#This Row],[MUEBLE LAVAPLATOS]]=BC$2,100%,AVANCE[[#This Row],[MUEBLE LAVAPLATOS]])</f>
        <v>0</v>
      </c>
      <c r="CQ176" s="3">
        <f>+IF(AVANCE[[#This Row],[IMPERMEABILIZACION BANO - COCINA LOGIA]]=BD$2,100%,AVANCE[[#This Row],[IMPERMEABILIZACION BANO - COCINA LOGIA]])</f>
        <v>0</v>
      </c>
      <c r="CR176" s="40">
        <f ca="1">+IF(AVANCE[[#This Row],[ESTADO MODULO]]="PENDIENTE",(TODAY()-AVANCE[[#This Row],[FECHA TERMINO  PLANIFICADO]]),0)</f>
        <v>0</v>
      </c>
      <c r="CS176" s="42" t="str" cm="1">
        <f t="array" ref="CS176">_xlfn.TEXTJOIN(" | ",TRUE,IF(SUMPRODUCT((BF176:CQ176&lt;1)*(PARTIDAS!$I$2:$AT$2="OBRA GRUESA"))&gt;0,"OBRA GRUESA: "&amp;_xlfn.TEXTJOIN(", ",TRUE,IF((BF176:CQ176&lt;1)*(PARTIDAS!$I$2:$AT$2="OBRA GRUESA"),PARTIDAS!$I$1:$AT$1,"")),""),IF(SUMPRODUCT((BF176:CQ176&lt;1)*(PARTIDAS!$I$2:$AT$2="SANITARIOS"))&gt;0,"SANITARIOS: "&amp;_xlfn.TEXTJOIN(", ",TRUE,IF((BF176:CQ176&lt;1)*(PARTIDAS!$I$2:$AT$2="SANITARIOS"),PARTIDAS!$I$1:$AT$1,"")),""),IF(SUMPRODUCT((BF176:CQ176&lt;1)*(PARTIDAS!$I$2:$AT$2="ELÉCTRICO"))&gt;0,"ELÉCTRICO: "&amp;_xlfn.TEXTJOIN(", ",TRUE,IF((BF176:CQ176&lt;1)*(PARTIDAS!$I$2:$AT$2="ELÉCTRICO"),PARTIDAS!$I$1:$AT$1,"")),""),IF(SUMPRODUCT((BF176:CQ176&lt;1)*(PARTIDAS!$I$2:$AT$2="TERMINACIONES"))&gt;0,"TERMINACIONES: "&amp;_xlfn.TEXTJOIN(", ",TRUE,IF((BF176:CQ176&lt;1)*(PARTIDAS!$I$2:$AT$2="TERMINACIONES"),PARTIDAS!$I$1:$AT$1,"")),""))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6" s="45" t="str" cm="1">
        <f t="array" ref="CT176">_xlfn.TEXTJOIN(", ",TRUE,IF(SUMPRODUCT((BF176:CQ176&lt;1)*(PARTIDAS!$I$2:$AT$2="OBRA GRUESA"))&gt;0,"OBRA GRUESA",""),IF(SUMPRODUCT((BF176:CQ176&lt;1)*(PARTIDAS!$I$2:$AT$2="SANITARIOS"))&gt;0,"SANITARIOS",""),IF(SUMPRODUCT((BF176:CQ176&lt;1)*(PARTIDAS!$I$2:$AT$2="ELÉCTRICO"))&gt;0,"ELÉCTRICO",""),IF(SUMPRODUCT((BF176:CQ176&lt;1)*(PARTIDAS!$I$2:$AT$2="TERMINACIONES"))&gt;0,"TERMINACIONES",""))</f>
        <v>OBRA GRUESA, SANITARIOS, ELÉCTRICO, TERMINACIONES</v>
      </c>
      <c r="CU176" s="46" cm="1">
        <f t="array" ref="CU176">SUMPRODUCT(--(BF176:CQ176&lt;1))</f>
        <v>38</v>
      </c>
    </row>
    <row r="177" spans="1:99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46181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 t="str">
        <f>+IF(AVANCE[[#This Row],[% AVANCE]]=100%,"MODULO TERMINADO",IF(AVANCE[[#This Row],[FECHA INICIO REAL]]="","MODULO NO INICIADO","PENDIENTE"))</f>
        <v>MODULO NO INICIADO</v>
      </c>
      <c r="BF177" s="3">
        <f>+IF(AVANCE[[#This Row],[VENTANAS]]=8.10810810810811%,100%,AVANCE[[#This Row],[VENTANAS]])</f>
        <v>0</v>
      </c>
      <c r="BG177" s="3">
        <f>+IF(AVANCE[[#This Row],[PISO]]=N$2,100%,AVANCE[[#This Row],[PISO]])</f>
        <v>0</v>
      </c>
      <c r="BH177" s="3">
        <f>+IF(AVANCE[[#This Row],[TABIQUES]]=O$2,100%,AVANCE[[#This Row],[TABIQUES]])</f>
        <v>0</v>
      </c>
      <c r="BI177" s="3">
        <f>+IF(AVANCE[[#This Row],[MUROS]]=P$2,100%,AVANCE[[#This Row],[MUROS]])</f>
        <v>0</v>
      </c>
      <c r="BJ177" s="3">
        <f>+IF(AVANCE[[#This Row],[CIELO]]=Q$2,100%,AVANCE[[#This Row],[CIELO]])</f>
        <v>0</v>
      </c>
      <c r="BK177" s="3">
        <f>+IF(AVANCE[[#This Row],[BALCÓN]]=R$2,100%,AVANCE[[#This Row],[BALCÓN]])</f>
        <v>0</v>
      </c>
      <c r="BL177" s="3">
        <f>+IF(AVANCE[[#This Row],[RED ALCANTARILLADO]]=U$2,100%,AVANCE[[#This Row],[RED ALCANTARILLADO]])</f>
        <v>0</v>
      </c>
      <c r="BM177" s="3">
        <f>+IF(AVANCE[[#This Row],[RED DE AGUA]]=V$2,100%,AVANCE[[#This Row],[RED DE AGUA]])</f>
        <v>0</v>
      </c>
      <c r="BN177" s="3">
        <f>+IF(AVANCE[[#This Row],[VENTILACIONES]]=W$2,100%,AVANCE[[#This Row],[VENTILACIONES]])</f>
        <v>0</v>
      </c>
      <c r="BO177" s="3">
        <f>+IF(AVANCE[[#This Row],[TINA]]=X$2,100%,AVANCE[[#This Row],[TINA]])</f>
        <v>0</v>
      </c>
      <c r="BP177" s="3">
        <f>+IF(AVANCE[[#This Row],[WC]]=Y$2,100%,AVANCE[[#This Row],[WC]])</f>
        <v>0</v>
      </c>
      <c r="BQ177" s="3">
        <f>+IF(AVANCE[[#This Row],[LAVAMANOS / LAVAPLATOS / LAVADERO]]=Z$2,100%,AVANCE[[#This Row],[LAVAMANOS / LAVAPLATOS / LAVADERO]])</f>
        <v>0</v>
      </c>
      <c r="BR177" s="3">
        <f>+IF(AVANCE[[#This Row],[CANALIZACIÓN]]=AC$2,100%,AVANCE[[#This Row],[CANALIZACIÓN]])</f>
        <v>0</v>
      </c>
      <c r="BS177" s="3">
        <f>+IF(AVANCE[[#This Row],[CABLEADO]]=AD$2,100%,AVANCE[[#This Row],[CABLEADO]])</f>
        <v>0</v>
      </c>
      <c r="BT177" s="3">
        <f>+IF(AVANCE[[#This Row],[ARTEFACTOS]]=AE$2,100%,AVANCE[[#This Row],[ARTEFACTOS]])</f>
        <v>0</v>
      </c>
      <c r="BU177" s="3">
        <f>+IF(AVANCE[[#This Row],[TABLERO]]=AF$2,100%,AVANCE[[#This Row],[TABLERO]])</f>
        <v>0</v>
      </c>
      <c r="BV177" s="3">
        <f>+IF(AVANCE[[#This Row],[CAJA PAU]]=AG$2,100%,AVANCE[[#This Row],[CAJA PAU]])</f>
        <v>0</v>
      </c>
      <c r="BW177" s="3">
        <f>+IF(AVANCE[[#This Row],[INSTALACION VINILICO]]=AJ$2,100%,AVANCE[[#This Row],[INSTALACION VINILICO]])</f>
        <v>0</v>
      </c>
      <c r="BX177" s="3">
        <f>+IF(AVANCE[[#This Row],[OSB CUBIERTA]]=AK$2,100%,AVANCE[[#This Row],[OSB CUBIERTA]])</f>
        <v>0</v>
      </c>
      <c r="BY177" s="3">
        <f>+IF(AVANCE[[#This Row],[BARANDA BALCON]]=AL$2,100%,AVANCE[[#This Row],[BARANDA BALCON]])</f>
        <v>0</v>
      </c>
      <c r="BZ177" s="3">
        <f>+IF(AVANCE[[#This Row],[OSB EXTERIOR]]=AM$2,100%,AVANCE[[#This Row],[OSB EXTERIOR]])</f>
        <v>0</v>
      </c>
      <c r="CA177" s="3">
        <f>+IF(AVANCE[[#This Row],[SMART PANEL]]=AN$2,100%,AVANCE[[#This Row],[SMART PANEL]])</f>
        <v>0</v>
      </c>
      <c r="CB177" s="3">
        <f>+IF(AVANCE[[#This Row],[PINTURA EXTERIOR]]=AO$2,100%,AVANCE[[#This Row],[PINTURA EXTERIOR]])</f>
        <v>0</v>
      </c>
      <c r="CC177" s="3">
        <f>+IF(AVANCE[[#This Row],[ZOCALOS LOGIA]]=AP$2,100%,AVANCE[[#This Row],[ZOCALOS LOGIA]])</f>
        <v>0</v>
      </c>
      <c r="CD177" s="3">
        <f>+IF(AVANCE[[#This Row],[MOLDURAS]]=AQ$2,100%,AVANCE[[#This Row],[MOLDURAS]])</f>
        <v>0</v>
      </c>
      <c r="CE177" s="3">
        <f>+IF(AVANCE[[#This Row],[PILASTREO]]=AR$2,100%,AVANCE[[#This Row],[PILASTREO]])</f>
        <v>0</v>
      </c>
      <c r="CF177" s="3">
        <f>+IF(AVANCE[[#This Row],[CELOSIAS]]=AS$2,100%,AVANCE[[#This Row],[CELOSIAS]])</f>
        <v>0</v>
      </c>
      <c r="CG177" s="3">
        <f>+IF(AVANCE[[#This Row],[VENTANAS]]=AT$2,100%,AVANCE[[#This Row],[VENTANAS]])</f>
        <v>0</v>
      </c>
      <c r="CH177" s="3">
        <f>+IF(AVANCE[[#This Row],[PUERTAS ACCESO - LOGIA - BANO]]=AU$2,100%,AVANCE[[#This Row],[PUERTAS ACCESO - LOGIA - BANO]])</f>
        <v>0</v>
      </c>
      <c r="CI177" s="3">
        <f>+IF(AVANCE[[#This Row],[CERRADURAS]]=AV$2,100%,AVANCE[[#This Row],[CERRADURAS]])</f>
        <v>0</v>
      </c>
      <c r="CJ177" s="3">
        <f>+IF(AVANCE[[#This Row],[REVESTIMIENTO INTERIOR ZONA SECA]]=AW$2,100%,AVANCE[[#This Row],[REVESTIMIENTO INTERIOR ZONA SECA]])</f>
        <v>0</v>
      </c>
      <c r="CK177" s="3">
        <f>+IF(AVANCE[[#This Row],[REVESTIMIENTO INTERIOR ZONAS HUMEDAS]]=AX$2,100%,AVANCE[[#This Row],[REVESTIMIENTO INTERIOR ZONAS HUMEDAS]])</f>
        <v>0</v>
      </c>
      <c r="CL177" s="3">
        <f>+IF(AVANCE[[#This Row],[MEMBRANA CIELO]]=AY$2,100%,AVANCE[[#This Row],[MEMBRANA CIELO]])</f>
        <v>0</v>
      </c>
      <c r="CM177" s="3">
        <f>+IF(AVANCE[[#This Row],[LIMPIEZA FINAL]]=AZ$2,100%,AVANCE[[#This Row],[LIMPIEZA FINAL]])</f>
        <v>0</v>
      </c>
      <c r="CN177" s="3">
        <f>+IF(AVANCE[[#This Row],[PUERTAS DORMITORIO]]=BA$2,100%,AVANCE[[#This Row],[PUERTAS DORMITORIO]])</f>
        <v>0</v>
      </c>
      <c r="CO177" s="3">
        <f>+IF(AVANCE[[#This Row],[REVESTIMIENTO INTERIOR BANO]]=BB$2,100%,AVANCE[[#This Row],[REVESTIMIENTO INTERIOR BANO]])</f>
        <v>0</v>
      </c>
      <c r="CP177" s="3">
        <f>+IF(AVANCE[[#This Row],[MUEBLE LAVAPLATOS]]=BC$2,100%,AVANCE[[#This Row],[MUEBLE LAVAPLATOS]])</f>
        <v>0</v>
      </c>
      <c r="CQ177" s="3">
        <f>+IF(AVANCE[[#This Row],[IMPERMEABILIZACION BANO - COCINA LOGIA]]=BD$2,100%,AVANCE[[#This Row],[IMPERMEABILIZACION BANO - COCINA LOGIA]])</f>
        <v>0</v>
      </c>
      <c r="CR177" s="40">
        <f ca="1">+IF(AVANCE[[#This Row],[ESTADO MODULO]]="PENDIENTE",(TODAY()-AVANCE[[#This Row],[FECHA TERMINO  PLANIFICADO]]),0)</f>
        <v>0</v>
      </c>
      <c r="CS177" s="42" t="str" cm="1">
        <f t="array" ref="CS177">_xlfn.TEXTJOIN(" | ",TRUE,IF(SUMPRODUCT((BF177:CQ177&lt;1)*(PARTIDAS!$I$2:$AT$2="OBRA GRUESA"))&gt;0,"OBRA GRUESA: "&amp;_xlfn.TEXTJOIN(", ",TRUE,IF((BF177:CQ177&lt;1)*(PARTIDAS!$I$2:$AT$2="OBRA GRUESA"),PARTIDAS!$I$1:$AT$1,"")),""),IF(SUMPRODUCT((BF177:CQ177&lt;1)*(PARTIDAS!$I$2:$AT$2="SANITARIOS"))&gt;0,"SANITARIOS: "&amp;_xlfn.TEXTJOIN(", ",TRUE,IF((BF177:CQ177&lt;1)*(PARTIDAS!$I$2:$AT$2="SANITARIOS"),PARTIDAS!$I$1:$AT$1,"")),""),IF(SUMPRODUCT((BF177:CQ177&lt;1)*(PARTIDAS!$I$2:$AT$2="ELÉCTRICO"))&gt;0,"ELÉCTRICO: "&amp;_xlfn.TEXTJOIN(", ",TRUE,IF((BF177:CQ177&lt;1)*(PARTIDAS!$I$2:$AT$2="ELÉCTRICO"),PARTIDAS!$I$1:$AT$1,"")),""),IF(SUMPRODUCT((BF177:CQ177&lt;1)*(PARTIDAS!$I$2:$AT$2="TERMINACIONES"))&gt;0,"TERMINACIONES: "&amp;_xlfn.TEXTJOIN(", ",TRUE,IF((BF177:CQ177&lt;1)*(PARTIDAS!$I$2:$AT$2="TERMINACIONES"),PARTIDAS!$I$1:$AT$1,"")),""))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7" s="45" t="str" cm="1">
        <f t="array" ref="CT177">_xlfn.TEXTJOIN(", ",TRUE,IF(SUMPRODUCT((BF177:CQ177&lt;1)*(PARTIDAS!$I$2:$AT$2="OBRA GRUESA"))&gt;0,"OBRA GRUESA",""),IF(SUMPRODUCT((BF177:CQ177&lt;1)*(PARTIDAS!$I$2:$AT$2="SANITARIOS"))&gt;0,"SANITARIOS",""),IF(SUMPRODUCT((BF177:CQ177&lt;1)*(PARTIDAS!$I$2:$AT$2="ELÉCTRICO"))&gt;0,"ELÉCTRICO",""),IF(SUMPRODUCT((BF177:CQ177&lt;1)*(PARTIDAS!$I$2:$AT$2="TERMINACIONES"))&gt;0,"TERMINACIONES",""))</f>
        <v>OBRA GRUESA, SANITARIOS, ELÉCTRICO, TERMINACIONES</v>
      </c>
      <c r="CU177" s="46" cm="1">
        <f t="array" ref="CU177">SUMPRODUCT(--(BF177:CQ177&lt;1))</f>
        <v>38</v>
      </c>
    </row>
    <row r="178" spans="1:99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46181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 t="str">
        <f>+IF(AVANCE[[#This Row],[% AVANCE]]=100%,"MODULO TERMINADO",IF(AVANCE[[#This Row],[FECHA INICIO REAL]]="","MODULO NO INICIADO","PENDIENTE"))</f>
        <v>MODULO NO INICIADO</v>
      </c>
      <c r="BF178" s="3">
        <f>+IF(AVANCE[[#This Row],[VENTANAS]]=8.10810810810811%,100%,AVANCE[[#This Row],[VENTANAS]])</f>
        <v>0</v>
      </c>
      <c r="BG178" s="3">
        <f>+IF(AVANCE[[#This Row],[PISO]]=N$2,100%,AVANCE[[#This Row],[PISO]])</f>
        <v>0</v>
      </c>
      <c r="BH178" s="3">
        <f>+IF(AVANCE[[#This Row],[TABIQUES]]=O$2,100%,AVANCE[[#This Row],[TABIQUES]])</f>
        <v>0</v>
      </c>
      <c r="BI178" s="3">
        <f>+IF(AVANCE[[#This Row],[MUROS]]=P$2,100%,AVANCE[[#This Row],[MUROS]])</f>
        <v>0</v>
      </c>
      <c r="BJ178" s="3">
        <f>+IF(AVANCE[[#This Row],[CIELO]]=Q$2,100%,AVANCE[[#This Row],[CIELO]])</f>
        <v>0</v>
      </c>
      <c r="BK178" s="3">
        <f>+IF(AVANCE[[#This Row],[BALCÓN]]=R$2,100%,AVANCE[[#This Row],[BALCÓN]])</f>
        <v>0</v>
      </c>
      <c r="BL178" s="3">
        <f>+IF(AVANCE[[#This Row],[RED ALCANTARILLADO]]=U$2,100%,AVANCE[[#This Row],[RED ALCANTARILLADO]])</f>
        <v>0</v>
      </c>
      <c r="BM178" s="3">
        <f>+IF(AVANCE[[#This Row],[RED DE AGUA]]=V$2,100%,AVANCE[[#This Row],[RED DE AGUA]])</f>
        <v>0</v>
      </c>
      <c r="BN178" s="3">
        <f>+IF(AVANCE[[#This Row],[VENTILACIONES]]=W$2,100%,AVANCE[[#This Row],[VENTILACIONES]])</f>
        <v>0</v>
      </c>
      <c r="BO178" s="3">
        <f>+IF(AVANCE[[#This Row],[TINA]]=X$2,100%,AVANCE[[#This Row],[TINA]])</f>
        <v>0</v>
      </c>
      <c r="BP178" s="3">
        <f>+IF(AVANCE[[#This Row],[WC]]=Y$2,100%,AVANCE[[#This Row],[WC]])</f>
        <v>0</v>
      </c>
      <c r="BQ178" s="3">
        <f>+IF(AVANCE[[#This Row],[LAVAMANOS / LAVAPLATOS / LAVADERO]]=Z$2,100%,AVANCE[[#This Row],[LAVAMANOS / LAVAPLATOS / LAVADERO]])</f>
        <v>0</v>
      </c>
      <c r="BR178" s="3">
        <f>+IF(AVANCE[[#This Row],[CANALIZACIÓN]]=AC$2,100%,AVANCE[[#This Row],[CANALIZACIÓN]])</f>
        <v>0</v>
      </c>
      <c r="BS178" s="3">
        <f>+IF(AVANCE[[#This Row],[CABLEADO]]=AD$2,100%,AVANCE[[#This Row],[CABLEADO]])</f>
        <v>0</v>
      </c>
      <c r="BT178" s="3">
        <f>+IF(AVANCE[[#This Row],[ARTEFACTOS]]=AE$2,100%,AVANCE[[#This Row],[ARTEFACTOS]])</f>
        <v>0</v>
      </c>
      <c r="BU178" s="3">
        <f>+IF(AVANCE[[#This Row],[TABLERO]]=AF$2,100%,AVANCE[[#This Row],[TABLERO]])</f>
        <v>0</v>
      </c>
      <c r="BV178" s="3">
        <f>+IF(AVANCE[[#This Row],[CAJA PAU]]=AG$2,100%,AVANCE[[#This Row],[CAJA PAU]])</f>
        <v>0</v>
      </c>
      <c r="BW178" s="3">
        <f>+IF(AVANCE[[#This Row],[INSTALACION VINILICO]]=AJ$2,100%,AVANCE[[#This Row],[INSTALACION VINILICO]])</f>
        <v>0</v>
      </c>
      <c r="BX178" s="3">
        <f>+IF(AVANCE[[#This Row],[OSB CUBIERTA]]=AK$2,100%,AVANCE[[#This Row],[OSB CUBIERTA]])</f>
        <v>0</v>
      </c>
      <c r="BY178" s="3">
        <f>+IF(AVANCE[[#This Row],[BARANDA BALCON]]=AL$2,100%,AVANCE[[#This Row],[BARANDA BALCON]])</f>
        <v>0</v>
      </c>
      <c r="BZ178" s="3">
        <f>+IF(AVANCE[[#This Row],[OSB EXTERIOR]]=AM$2,100%,AVANCE[[#This Row],[OSB EXTERIOR]])</f>
        <v>0</v>
      </c>
      <c r="CA178" s="3">
        <f>+IF(AVANCE[[#This Row],[SMART PANEL]]=AN$2,100%,AVANCE[[#This Row],[SMART PANEL]])</f>
        <v>0</v>
      </c>
      <c r="CB178" s="3">
        <f>+IF(AVANCE[[#This Row],[PINTURA EXTERIOR]]=AO$2,100%,AVANCE[[#This Row],[PINTURA EXTERIOR]])</f>
        <v>0</v>
      </c>
      <c r="CC178" s="3">
        <f>+IF(AVANCE[[#This Row],[ZOCALOS LOGIA]]=AP$2,100%,AVANCE[[#This Row],[ZOCALOS LOGIA]])</f>
        <v>0</v>
      </c>
      <c r="CD178" s="3">
        <f>+IF(AVANCE[[#This Row],[MOLDURAS]]=AQ$2,100%,AVANCE[[#This Row],[MOLDURAS]])</f>
        <v>0</v>
      </c>
      <c r="CE178" s="3">
        <f>+IF(AVANCE[[#This Row],[PILASTREO]]=AR$2,100%,AVANCE[[#This Row],[PILASTREO]])</f>
        <v>0</v>
      </c>
      <c r="CF178" s="3">
        <f>+IF(AVANCE[[#This Row],[CELOSIAS]]=AS$2,100%,AVANCE[[#This Row],[CELOSIAS]])</f>
        <v>0</v>
      </c>
      <c r="CG178" s="3">
        <f>+IF(AVANCE[[#This Row],[VENTANAS]]=AT$2,100%,AVANCE[[#This Row],[VENTANAS]])</f>
        <v>0</v>
      </c>
      <c r="CH178" s="3">
        <f>+IF(AVANCE[[#This Row],[PUERTAS ACCESO - LOGIA - BANO]]=AU$2,100%,AVANCE[[#This Row],[PUERTAS ACCESO - LOGIA - BANO]])</f>
        <v>0</v>
      </c>
      <c r="CI178" s="3">
        <f>+IF(AVANCE[[#This Row],[CERRADURAS]]=AV$2,100%,AVANCE[[#This Row],[CERRADURAS]])</f>
        <v>0</v>
      </c>
      <c r="CJ178" s="3">
        <f>+IF(AVANCE[[#This Row],[REVESTIMIENTO INTERIOR ZONA SECA]]=AW$2,100%,AVANCE[[#This Row],[REVESTIMIENTO INTERIOR ZONA SECA]])</f>
        <v>0</v>
      </c>
      <c r="CK178" s="3">
        <f>+IF(AVANCE[[#This Row],[REVESTIMIENTO INTERIOR ZONAS HUMEDAS]]=AX$2,100%,AVANCE[[#This Row],[REVESTIMIENTO INTERIOR ZONAS HUMEDAS]])</f>
        <v>0</v>
      </c>
      <c r="CL178" s="3">
        <f>+IF(AVANCE[[#This Row],[MEMBRANA CIELO]]=AY$2,100%,AVANCE[[#This Row],[MEMBRANA CIELO]])</f>
        <v>0</v>
      </c>
      <c r="CM178" s="3">
        <f>+IF(AVANCE[[#This Row],[LIMPIEZA FINAL]]=AZ$2,100%,AVANCE[[#This Row],[LIMPIEZA FINAL]])</f>
        <v>0</v>
      </c>
      <c r="CN178" s="3">
        <f>+IF(AVANCE[[#This Row],[PUERTAS DORMITORIO]]=BA$2,100%,AVANCE[[#This Row],[PUERTAS DORMITORIO]])</f>
        <v>0</v>
      </c>
      <c r="CO178" s="3">
        <f>+IF(AVANCE[[#This Row],[REVESTIMIENTO INTERIOR BANO]]=BB$2,100%,AVANCE[[#This Row],[REVESTIMIENTO INTERIOR BANO]])</f>
        <v>0</v>
      </c>
      <c r="CP178" s="3">
        <f>+IF(AVANCE[[#This Row],[MUEBLE LAVAPLATOS]]=BC$2,100%,AVANCE[[#This Row],[MUEBLE LAVAPLATOS]])</f>
        <v>0</v>
      </c>
      <c r="CQ178" s="3">
        <f>+IF(AVANCE[[#This Row],[IMPERMEABILIZACION BANO - COCINA LOGIA]]=BD$2,100%,AVANCE[[#This Row],[IMPERMEABILIZACION BANO - COCINA LOGIA]])</f>
        <v>0</v>
      </c>
      <c r="CR178" s="40">
        <f ca="1">+IF(AVANCE[[#This Row],[ESTADO MODULO]]="PENDIENTE",(TODAY()-AVANCE[[#This Row],[FECHA TERMINO  PLANIFICADO]]),0)</f>
        <v>0</v>
      </c>
      <c r="CS178" s="42" t="str" cm="1">
        <f t="array" ref="CS178">_xlfn.TEXTJOIN(" | ",TRUE,IF(SUMPRODUCT((BF178:CQ178&lt;1)*(PARTIDAS!$I$2:$AT$2="OBRA GRUESA"))&gt;0,"OBRA GRUESA: "&amp;_xlfn.TEXTJOIN(", ",TRUE,IF((BF178:CQ178&lt;1)*(PARTIDAS!$I$2:$AT$2="OBRA GRUESA"),PARTIDAS!$I$1:$AT$1,"")),""),IF(SUMPRODUCT((BF178:CQ178&lt;1)*(PARTIDAS!$I$2:$AT$2="SANITARIOS"))&gt;0,"SANITARIOS: "&amp;_xlfn.TEXTJOIN(", ",TRUE,IF((BF178:CQ178&lt;1)*(PARTIDAS!$I$2:$AT$2="SANITARIOS"),PARTIDAS!$I$1:$AT$1,"")),""),IF(SUMPRODUCT((BF178:CQ178&lt;1)*(PARTIDAS!$I$2:$AT$2="ELÉCTRICO"))&gt;0,"ELÉCTRICO: "&amp;_xlfn.TEXTJOIN(", ",TRUE,IF((BF178:CQ178&lt;1)*(PARTIDAS!$I$2:$AT$2="ELÉCTRICO"),PARTIDAS!$I$1:$AT$1,"")),""),IF(SUMPRODUCT((BF178:CQ178&lt;1)*(PARTIDAS!$I$2:$AT$2="TERMINACIONES"))&gt;0,"TERMINACIONES: "&amp;_xlfn.TEXTJOIN(", ",TRUE,IF((BF178:CQ178&lt;1)*(PARTIDAS!$I$2:$AT$2="TERMINACIONES"),PARTIDAS!$I$1:$AT$1,"")),""))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8" s="45" t="str" cm="1">
        <f t="array" ref="CT178">_xlfn.TEXTJOIN(", ",TRUE,IF(SUMPRODUCT((BF178:CQ178&lt;1)*(PARTIDAS!$I$2:$AT$2="OBRA GRUESA"))&gt;0,"OBRA GRUESA",""),IF(SUMPRODUCT((BF178:CQ178&lt;1)*(PARTIDAS!$I$2:$AT$2="SANITARIOS"))&gt;0,"SANITARIOS",""),IF(SUMPRODUCT((BF178:CQ178&lt;1)*(PARTIDAS!$I$2:$AT$2="ELÉCTRICO"))&gt;0,"ELÉCTRICO",""),IF(SUMPRODUCT((BF178:CQ178&lt;1)*(PARTIDAS!$I$2:$AT$2="TERMINACIONES"))&gt;0,"TERMINACIONES",""))</f>
        <v>OBRA GRUESA, SANITARIOS, ELÉCTRICO, TERMINACIONES</v>
      </c>
      <c r="CU178" s="46" cm="1">
        <f t="array" ref="CU178">SUMPRODUCT(--(BF178:CQ178&lt;1))</f>
        <v>38</v>
      </c>
    </row>
    <row r="179" spans="1:99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46181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 t="str">
        <f>+IF(AVANCE[[#This Row],[% AVANCE]]=100%,"MODULO TERMINADO",IF(AVANCE[[#This Row],[FECHA INICIO REAL]]="","MODULO NO INICIADO","PENDIENTE"))</f>
        <v>MODULO NO INICIADO</v>
      </c>
      <c r="BF179" s="3">
        <f>+IF(AVANCE[[#This Row],[VENTANAS]]=8.10810810810811%,100%,AVANCE[[#This Row],[VENTANAS]])</f>
        <v>0</v>
      </c>
      <c r="BG179" s="3">
        <f>+IF(AVANCE[[#This Row],[PISO]]=N$2,100%,AVANCE[[#This Row],[PISO]])</f>
        <v>0</v>
      </c>
      <c r="BH179" s="3">
        <f>+IF(AVANCE[[#This Row],[TABIQUES]]=O$2,100%,AVANCE[[#This Row],[TABIQUES]])</f>
        <v>0</v>
      </c>
      <c r="BI179" s="3">
        <f>+IF(AVANCE[[#This Row],[MUROS]]=P$2,100%,AVANCE[[#This Row],[MUROS]])</f>
        <v>0</v>
      </c>
      <c r="BJ179" s="3">
        <f>+IF(AVANCE[[#This Row],[CIELO]]=Q$2,100%,AVANCE[[#This Row],[CIELO]])</f>
        <v>0</v>
      </c>
      <c r="BK179" s="3">
        <f>+IF(AVANCE[[#This Row],[BALCÓN]]=R$2,100%,AVANCE[[#This Row],[BALCÓN]])</f>
        <v>0</v>
      </c>
      <c r="BL179" s="3">
        <f>+IF(AVANCE[[#This Row],[RED ALCANTARILLADO]]=U$2,100%,AVANCE[[#This Row],[RED ALCANTARILLADO]])</f>
        <v>0</v>
      </c>
      <c r="BM179" s="3">
        <f>+IF(AVANCE[[#This Row],[RED DE AGUA]]=V$2,100%,AVANCE[[#This Row],[RED DE AGUA]])</f>
        <v>0</v>
      </c>
      <c r="BN179" s="3">
        <f>+IF(AVANCE[[#This Row],[VENTILACIONES]]=W$2,100%,AVANCE[[#This Row],[VENTILACIONES]])</f>
        <v>0</v>
      </c>
      <c r="BO179" s="3">
        <f>+IF(AVANCE[[#This Row],[TINA]]=X$2,100%,AVANCE[[#This Row],[TINA]])</f>
        <v>0</v>
      </c>
      <c r="BP179" s="3">
        <f>+IF(AVANCE[[#This Row],[WC]]=Y$2,100%,AVANCE[[#This Row],[WC]])</f>
        <v>0</v>
      </c>
      <c r="BQ179" s="3">
        <f>+IF(AVANCE[[#This Row],[LAVAMANOS / LAVAPLATOS / LAVADERO]]=Z$2,100%,AVANCE[[#This Row],[LAVAMANOS / LAVAPLATOS / LAVADERO]])</f>
        <v>0</v>
      </c>
      <c r="BR179" s="3">
        <f>+IF(AVANCE[[#This Row],[CANALIZACIÓN]]=AC$2,100%,AVANCE[[#This Row],[CANALIZACIÓN]])</f>
        <v>0</v>
      </c>
      <c r="BS179" s="3">
        <f>+IF(AVANCE[[#This Row],[CABLEADO]]=AD$2,100%,AVANCE[[#This Row],[CABLEADO]])</f>
        <v>0</v>
      </c>
      <c r="BT179" s="3">
        <f>+IF(AVANCE[[#This Row],[ARTEFACTOS]]=AE$2,100%,AVANCE[[#This Row],[ARTEFACTOS]])</f>
        <v>0</v>
      </c>
      <c r="BU179" s="3">
        <f>+IF(AVANCE[[#This Row],[TABLERO]]=AF$2,100%,AVANCE[[#This Row],[TABLERO]])</f>
        <v>0</v>
      </c>
      <c r="BV179" s="3">
        <f>+IF(AVANCE[[#This Row],[CAJA PAU]]=AG$2,100%,AVANCE[[#This Row],[CAJA PAU]])</f>
        <v>0</v>
      </c>
      <c r="BW179" s="3">
        <f>+IF(AVANCE[[#This Row],[INSTALACION VINILICO]]=AJ$2,100%,AVANCE[[#This Row],[INSTALACION VINILICO]])</f>
        <v>0</v>
      </c>
      <c r="BX179" s="3">
        <f>+IF(AVANCE[[#This Row],[OSB CUBIERTA]]=AK$2,100%,AVANCE[[#This Row],[OSB CUBIERTA]])</f>
        <v>0</v>
      </c>
      <c r="BY179" s="3">
        <f>+IF(AVANCE[[#This Row],[BARANDA BALCON]]=AL$2,100%,AVANCE[[#This Row],[BARANDA BALCON]])</f>
        <v>0</v>
      </c>
      <c r="BZ179" s="3">
        <f>+IF(AVANCE[[#This Row],[OSB EXTERIOR]]=AM$2,100%,AVANCE[[#This Row],[OSB EXTERIOR]])</f>
        <v>0</v>
      </c>
      <c r="CA179" s="3">
        <f>+IF(AVANCE[[#This Row],[SMART PANEL]]=AN$2,100%,AVANCE[[#This Row],[SMART PANEL]])</f>
        <v>0</v>
      </c>
      <c r="CB179" s="3">
        <f>+IF(AVANCE[[#This Row],[PINTURA EXTERIOR]]=AO$2,100%,AVANCE[[#This Row],[PINTURA EXTERIOR]])</f>
        <v>0</v>
      </c>
      <c r="CC179" s="3">
        <f>+IF(AVANCE[[#This Row],[ZOCALOS LOGIA]]=AP$2,100%,AVANCE[[#This Row],[ZOCALOS LOGIA]])</f>
        <v>0</v>
      </c>
      <c r="CD179" s="3">
        <f>+IF(AVANCE[[#This Row],[MOLDURAS]]=AQ$2,100%,AVANCE[[#This Row],[MOLDURAS]])</f>
        <v>0</v>
      </c>
      <c r="CE179" s="3">
        <f>+IF(AVANCE[[#This Row],[PILASTREO]]=AR$2,100%,AVANCE[[#This Row],[PILASTREO]])</f>
        <v>0</v>
      </c>
      <c r="CF179" s="3">
        <f>+IF(AVANCE[[#This Row],[CELOSIAS]]=AS$2,100%,AVANCE[[#This Row],[CELOSIAS]])</f>
        <v>0</v>
      </c>
      <c r="CG179" s="3">
        <f>+IF(AVANCE[[#This Row],[VENTANAS]]=AT$2,100%,AVANCE[[#This Row],[VENTANAS]])</f>
        <v>0</v>
      </c>
      <c r="CH179" s="3">
        <f>+IF(AVANCE[[#This Row],[PUERTAS ACCESO - LOGIA - BANO]]=AU$2,100%,AVANCE[[#This Row],[PUERTAS ACCESO - LOGIA - BANO]])</f>
        <v>0</v>
      </c>
      <c r="CI179" s="3">
        <f>+IF(AVANCE[[#This Row],[CERRADURAS]]=AV$2,100%,AVANCE[[#This Row],[CERRADURAS]])</f>
        <v>0</v>
      </c>
      <c r="CJ179" s="3">
        <f>+IF(AVANCE[[#This Row],[REVESTIMIENTO INTERIOR ZONA SECA]]=AW$2,100%,AVANCE[[#This Row],[REVESTIMIENTO INTERIOR ZONA SECA]])</f>
        <v>0</v>
      </c>
      <c r="CK179" s="3">
        <f>+IF(AVANCE[[#This Row],[REVESTIMIENTO INTERIOR ZONAS HUMEDAS]]=AX$2,100%,AVANCE[[#This Row],[REVESTIMIENTO INTERIOR ZONAS HUMEDAS]])</f>
        <v>0</v>
      </c>
      <c r="CL179" s="3">
        <f>+IF(AVANCE[[#This Row],[MEMBRANA CIELO]]=AY$2,100%,AVANCE[[#This Row],[MEMBRANA CIELO]])</f>
        <v>0</v>
      </c>
      <c r="CM179" s="3">
        <f>+IF(AVANCE[[#This Row],[LIMPIEZA FINAL]]=AZ$2,100%,AVANCE[[#This Row],[LIMPIEZA FINAL]])</f>
        <v>0</v>
      </c>
      <c r="CN179" s="3">
        <f>+IF(AVANCE[[#This Row],[PUERTAS DORMITORIO]]=BA$2,100%,AVANCE[[#This Row],[PUERTAS DORMITORIO]])</f>
        <v>0</v>
      </c>
      <c r="CO179" s="3">
        <f>+IF(AVANCE[[#This Row],[REVESTIMIENTO INTERIOR BANO]]=BB$2,100%,AVANCE[[#This Row],[REVESTIMIENTO INTERIOR BANO]])</f>
        <v>0</v>
      </c>
      <c r="CP179" s="3">
        <f>+IF(AVANCE[[#This Row],[MUEBLE LAVAPLATOS]]=BC$2,100%,AVANCE[[#This Row],[MUEBLE LAVAPLATOS]])</f>
        <v>0</v>
      </c>
      <c r="CQ179" s="3">
        <f>+IF(AVANCE[[#This Row],[IMPERMEABILIZACION BANO - COCINA LOGIA]]=BD$2,100%,AVANCE[[#This Row],[IMPERMEABILIZACION BANO - COCINA LOGIA]])</f>
        <v>0</v>
      </c>
      <c r="CR179" s="40">
        <f ca="1">+IF(AVANCE[[#This Row],[ESTADO MODULO]]="PENDIENTE",(TODAY()-AVANCE[[#This Row],[FECHA TERMINO  PLANIFICADO]]),0)</f>
        <v>0</v>
      </c>
      <c r="CS179" s="42" t="str" cm="1">
        <f t="array" ref="CS179">_xlfn.TEXTJOIN(" | ",TRUE,IF(SUMPRODUCT((BF179:CQ179&lt;1)*(PARTIDAS!$I$2:$AT$2="OBRA GRUESA"))&gt;0,"OBRA GRUESA: "&amp;_xlfn.TEXTJOIN(", ",TRUE,IF((BF179:CQ179&lt;1)*(PARTIDAS!$I$2:$AT$2="OBRA GRUESA"),PARTIDAS!$I$1:$AT$1,"")),""),IF(SUMPRODUCT((BF179:CQ179&lt;1)*(PARTIDAS!$I$2:$AT$2="SANITARIOS"))&gt;0,"SANITARIOS: "&amp;_xlfn.TEXTJOIN(", ",TRUE,IF((BF179:CQ179&lt;1)*(PARTIDAS!$I$2:$AT$2="SANITARIOS"),PARTIDAS!$I$1:$AT$1,"")),""),IF(SUMPRODUCT((BF179:CQ179&lt;1)*(PARTIDAS!$I$2:$AT$2="ELÉCTRICO"))&gt;0,"ELÉCTRICO: "&amp;_xlfn.TEXTJOIN(", ",TRUE,IF((BF179:CQ179&lt;1)*(PARTIDAS!$I$2:$AT$2="ELÉCTRICO"),PARTIDAS!$I$1:$AT$1,"")),""),IF(SUMPRODUCT((BF179:CQ179&lt;1)*(PARTIDAS!$I$2:$AT$2="TERMINACIONES"))&gt;0,"TERMINACIONES: "&amp;_xlfn.TEXTJOIN(", ",TRUE,IF((BF179:CQ179&lt;1)*(PARTIDAS!$I$2:$AT$2="TERMINACIONES"),PARTIDAS!$I$1:$AT$1,"")),""))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79" s="45" t="str" cm="1">
        <f t="array" ref="CT179">_xlfn.TEXTJOIN(", ",TRUE,IF(SUMPRODUCT((BF179:CQ179&lt;1)*(PARTIDAS!$I$2:$AT$2="OBRA GRUESA"))&gt;0,"OBRA GRUESA",""),IF(SUMPRODUCT((BF179:CQ179&lt;1)*(PARTIDAS!$I$2:$AT$2="SANITARIOS"))&gt;0,"SANITARIOS",""),IF(SUMPRODUCT((BF179:CQ179&lt;1)*(PARTIDAS!$I$2:$AT$2="ELÉCTRICO"))&gt;0,"ELÉCTRICO",""),IF(SUMPRODUCT((BF179:CQ179&lt;1)*(PARTIDAS!$I$2:$AT$2="TERMINACIONES"))&gt;0,"TERMINACIONES",""))</f>
        <v>OBRA GRUESA, SANITARIOS, ELÉCTRICO, TERMINACIONES</v>
      </c>
      <c r="CU179" s="46" cm="1">
        <f t="array" ref="CU179">SUMPRODUCT(--(BF179:CQ179&lt;1))</f>
        <v>38</v>
      </c>
    </row>
    <row r="180" spans="1:99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46181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 t="str">
        <f>+IF(AVANCE[[#This Row],[% AVANCE]]=100%,"MODULO TERMINADO",IF(AVANCE[[#This Row],[FECHA INICIO REAL]]="","MODULO NO INICIADO","PENDIENTE"))</f>
        <v>MODULO NO INICIADO</v>
      </c>
      <c r="BF180" s="3">
        <f>+IF(AVANCE[[#This Row],[VENTANAS]]=8.10810810810811%,100%,AVANCE[[#This Row],[VENTANAS]])</f>
        <v>0</v>
      </c>
      <c r="BG180" s="3">
        <f>+IF(AVANCE[[#This Row],[PISO]]=N$2,100%,AVANCE[[#This Row],[PISO]])</f>
        <v>0</v>
      </c>
      <c r="BH180" s="3">
        <f>+IF(AVANCE[[#This Row],[TABIQUES]]=O$2,100%,AVANCE[[#This Row],[TABIQUES]])</f>
        <v>0</v>
      </c>
      <c r="BI180" s="3">
        <f>+IF(AVANCE[[#This Row],[MUROS]]=P$2,100%,AVANCE[[#This Row],[MUROS]])</f>
        <v>0</v>
      </c>
      <c r="BJ180" s="3">
        <f>+IF(AVANCE[[#This Row],[CIELO]]=Q$2,100%,AVANCE[[#This Row],[CIELO]])</f>
        <v>0</v>
      </c>
      <c r="BK180" s="3">
        <f>+IF(AVANCE[[#This Row],[BALCÓN]]=R$2,100%,AVANCE[[#This Row],[BALCÓN]])</f>
        <v>0</v>
      </c>
      <c r="BL180" s="3">
        <f>+IF(AVANCE[[#This Row],[RED ALCANTARILLADO]]=U$2,100%,AVANCE[[#This Row],[RED ALCANTARILLADO]])</f>
        <v>0</v>
      </c>
      <c r="BM180" s="3">
        <f>+IF(AVANCE[[#This Row],[RED DE AGUA]]=V$2,100%,AVANCE[[#This Row],[RED DE AGUA]])</f>
        <v>0</v>
      </c>
      <c r="BN180" s="3">
        <f>+IF(AVANCE[[#This Row],[VENTILACIONES]]=W$2,100%,AVANCE[[#This Row],[VENTILACIONES]])</f>
        <v>0</v>
      </c>
      <c r="BO180" s="3">
        <f>+IF(AVANCE[[#This Row],[TINA]]=X$2,100%,AVANCE[[#This Row],[TINA]])</f>
        <v>0</v>
      </c>
      <c r="BP180" s="3">
        <f>+IF(AVANCE[[#This Row],[WC]]=Y$2,100%,AVANCE[[#This Row],[WC]])</f>
        <v>0</v>
      </c>
      <c r="BQ180" s="3">
        <f>+IF(AVANCE[[#This Row],[LAVAMANOS / LAVAPLATOS / LAVADERO]]=Z$2,100%,AVANCE[[#This Row],[LAVAMANOS / LAVAPLATOS / LAVADERO]])</f>
        <v>0</v>
      </c>
      <c r="BR180" s="3">
        <f>+IF(AVANCE[[#This Row],[CANALIZACIÓN]]=AC$2,100%,AVANCE[[#This Row],[CANALIZACIÓN]])</f>
        <v>0</v>
      </c>
      <c r="BS180" s="3">
        <f>+IF(AVANCE[[#This Row],[CABLEADO]]=AD$2,100%,AVANCE[[#This Row],[CABLEADO]])</f>
        <v>0</v>
      </c>
      <c r="BT180" s="3">
        <f>+IF(AVANCE[[#This Row],[ARTEFACTOS]]=AE$2,100%,AVANCE[[#This Row],[ARTEFACTOS]])</f>
        <v>0</v>
      </c>
      <c r="BU180" s="3">
        <f>+IF(AVANCE[[#This Row],[TABLERO]]=AF$2,100%,AVANCE[[#This Row],[TABLERO]])</f>
        <v>0</v>
      </c>
      <c r="BV180" s="3">
        <f>+IF(AVANCE[[#This Row],[CAJA PAU]]=AG$2,100%,AVANCE[[#This Row],[CAJA PAU]])</f>
        <v>0</v>
      </c>
      <c r="BW180" s="3">
        <f>+IF(AVANCE[[#This Row],[INSTALACION VINILICO]]=AJ$2,100%,AVANCE[[#This Row],[INSTALACION VINILICO]])</f>
        <v>0</v>
      </c>
      <c r="BX180" s="3">
        <f>+IF(AVANCE[[#This Row],[OSB CUBIERTA]]=AK$2,100%,AVANCE[[#This Row],[OSB CUBIERTA]])</f>
        <v>0</v>
      </c>
      <c r="BY180" s="3">
        <f>+IF(AVANCE[[#This Row],[BARANDA BALCON]]=AL$2,100%,AVANCE[[#This Row],[BARANDA BALCON]])</f>
        <v>0</v>
      </c>
      <c r="BZ180" s="3">
        <f>+IF(AVANCE[[#This Row],[OSB EXTERIOR]]=AM$2,100%,AVANCE[[#This Row],[OSB EXTERIOR]])</f>
        <v>0</v>
      </c>
      <c r="CA180" s="3">
        <f>+IF(AVANCE[[#This Row],[SMART PANEL]]=AN$2,100%,AVANCE[[#This Row],[SMART PANEL]])</f>
        <v>0</v>
      </c>
      <c r="CB180" s="3">
        <f>+IF(AVANCE[[#This Row],[PINTURA EXTERIOR]]=AO$2,100%,AVANCE[[#This Row],[PINTURA EXTERIOR]])</f>
        <v>0</v>
      </c>
      <c r="CC180" s="3">
        <f>+IF(AVANCE[[#This Row],[ZOCALOS LOGIA]]=AP$2,100%,AVANCE[[#This Row],[ZOCALOS LOGIA]])</f>
        <v>0</v>
      </c>
      <c r="CD180" s="3">
        <f>+IF(AVANCE[[#This Row],[MOLDURAS]]=AQ$2,100%,AVANCE[[#This Row],[MOLDURAS]])</f>
        <v>0</v>
      </c>
      <c r="CE180" s="3">
        <f>+IF(AVANCE[[#This Row],[PILASTREO]]=AR$2,100%,AVANCE[[#This Row],[PILASTREO]])</f>
        <v>0</v>
      </c>
      <c r="CF180" s="3">
        <f>+IF(AVANCE[[#This Row],[CELOSIAS]]=AS$2,100%,AVANCE[[#This Row],[CELOSIAS]])</f>
        <v>0</v>
      </c>
      <c r="CG180" s="3">
        <f>+IF(AVANCE[[#This Row],[VENTANAS]]=AT$2,100%,AVANCE[[#This Row],[VENTANAS]])</f>
        <v>0</v>
      </c>
      <c r="CH180" s="3">
        <f>+IF(AVANCE[[#This Row],[PUERTAS ACCESO - LOGIA - BANO]]=AU$2,100%,AVANCE[[#This Row],[PUERTAS ACCESO - LOGIA - BANO]])</f>
        <v>0</v>
      </c>
      <c r="CI180" s="3">
        <f>+IF(AVANCE[[#This Row],[CERRADURAS]]=AV$2,100%,AVANCE[[#This Row],[CERRADURAS]])</f>
        <v>0</v>
      </c>
      <c r="CJ180" s="3">
        <f>+IF(AVANCE[[#This Row],[REVESTIMIENTO INTERIOR ZONA SECA]]=AW$2,100%,AVANCE[[#This Row],[REVESTIMIENTO INTERIOR ZONA SECA]])</f>
        <v>0</v>
      </c>
      <c r="CK180" s="3">
        <f>+IF(AVANCE[[#This Row],[REVESTIMIENTO INTERIOR ZONAS HUMEDAS]]=AX$2,100%,AVANCE[[#This Row],[REVESTIMIENTO INTERIOR ZONAS HUMEDAS]])</f>
        <v>0</v>
      </c>
      <c r="CL180" s="3">
        <f>+IF(AVANCE[[#This Row],[MEMBRANA CIELO]]=AY$2,100%,AVANCE[[#This Row],[MEMBRANA CIELO]])</f>
        <v>0</v>
      </c>
      <c r="CM180" s="3">
        <f>+IF(AVANCE[[#This Row],[LIMPIEZA FINAL]]=AZ$2,100%,AVANCE[[#This Row],[LIMPIEZA FINAL]])</f>
        <v>0</v>
      </c>
      <c r="CN180" s="3">
        <f>+IF(AVANCE[[#This Row],[PUERTAS DORMITORIO]]=BA$2,100%,AVANCE[[#This Row],[PUERTAS DORMITORIO]])</f>
        <v>0</v>
      </c>
      <c r="CO180" s="3">
        <f>+IF(AVANCE[[#This Row],[REVESTIMIENTO INTERIOR BANO]]=BB$2,100%,AVANCE[[#This Row],[REVESTIMIENTO INTERIOR BANO]])</f>
        <v>0</v>
      </c>
      <c r="CP180" s="3">
        <f>+IF(AVANCE[[#This Row],[MUEBLE LAVAPLATOS]]=BC$2,100%,AVANCE[[#This Row],[MUEBLE LAVAPLATOS]])</f>
        <v>0</v>
      </c>
      <c r="CQ180" s="3">
        <f>+IF(AVANCE[[#This Row],[IMPERMEABILIZACION BANO - COCINA LOGIA]]=BD$2,100%,AVANCE[[#This Row],[IMPERMEABILIZACION BANO - COCINA LOGIA]])</f>
        <v>0</v>
      </c>
      <c r="CR180" s="40">
        <f ca="1">+IF(AVANCE[[#This Row],[ESTADO MODULO]]="PENDIENTE",(TODAY()-AVANCE[[#This Row],[FECHA TERMINO  PLANIFICADO]]),0)</f>
        <v>0</v>
      </c>
      <c r="CS180" s="42" t="str" cm="1">
        <f t="array" ref="CS180">_xlfn.TEXTJOIN(" | ",TRUE,IF(SUMPRODUCT((BF180:CQ180&lt;1)*(PARTIDAS!$I$2:$AT$2="OBRA GRUESA"))&gt;0,"OBRA GRUESA: "&amp;_xlfn.TEXTJOIN(", ",TRUE,IF((BF180:CQ180&lt;1)*(PARTIDAS!$I$2:$AT$2="OBRA GRUESA"),PARTIDAS!$I$1:$AT$1,"")),""),IF(SUMPRODUCT((BF180:CQ180&lt;1)*(PARTIDAS!$I$2:$AT$2="SANITARIOS"))&gt;0,"SANITARIOS: "&amp;_xlfn.TEXTJOIN(", ",TRUE,IF((BF180:CQ180&lt;1)*(PARTIDAS!$I$2:$AT$2="SANITARIOS"),PARTIDAS!$I$1:$AT$1,"")),""),IF(SUMPRODUCT((BF180:CQ180&lt;1)*(PARTIDAS!$I$2:$AT$2="ELÉCTRICO"))&gt;0,"ELÉCTRICO: "&amp;_xlfn.TEXTJOIN(", ",TRUE,IF((BF180:CQ180&lt;1)*(PARTIDAS!$I$2:$AT$2="ELÉCTRICO"),PARTIDAS!$I$1:$AT$1,"")),""),IF(SUMPRODUCT((BF180:CQ180&lt;1)*(PARTIDAS!$I$2:$AT$2="TERMINACIONES"))&gt;0,"TERMINACIONES: "&amp;_xlfn.TEXTJOIN(", ",TRUE,IF((BF180:CQ180&lt;1)*(PARTIDAS!$I$2:$AT$2="TERMINACIONES"),PARTIDAS!$I$1:$AT$1,"")),""))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0" s="45" t="str" cm="1">
        <f t="array" ref="CT180">_xlfn.TEXTJOIN(", ",TRUE,IF(SUMPRODUCT((BF180:CQ180&lt;1)*(PARTIDAS!$I$2:$AT$2="OBRA GRUESA"))&gt;0,"OBRA GRUESA",""),IF(SUMPRODUCT((BF180:CQ180&lt;1)*(PARTIDAS!$I$2:$AT$2="SANITARIOS"))&gt;0,"SANITARIOS",""),IF(SUMPRODUCT((BF180:CQ180&lt;1)*(PARTIDAS!$I$2:$AT$2="ELÉCTRICO"))&gt;0,"ELÉCTRICO",""),IF(SUMPRODUCT((BF180:CQ180&lt;1)*(PARTIDAS!$I$2:$AT$2="TERMINACIONES"))&gt;0,"TERMINACIONES",""))</f>
        <v>OBRA GRUESA, SANITARIOS, ELÉCTRICO, TERMINACIONES</v>
      </c>
      <c r="CU180" s="46" cm="1">
        <f t="array" ref="CU180">SUMPRODUCT(--(BF180:CQ180&lt;1))</f>
        <v>38</v>
      </c>
    </row>
    <row r="181" spans="1:99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46181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 t="str">
        <f>+IF(AVANCE[[#This Row],[% AVANCE]]=100%,"MODULO TERMINADO",IF(AVANCE[[#This Row],[FECHA INICIO REAL]]="","MODULO NO INICIADO","PENDIENTE"))</f>
        <v>MODULO NO INICIADO</v>
      </c>
      <c r="BF181" s="3">
        <f>+IF(AVANCE[[#This Row],[VENTANAS]]=8.10810810810811%,100%,AVANCE[[#This Row],[VENTANAS]])</f>
        <v>0</v>
      </c>
      <c r="BG181" s="3">
        <f>+IF(AVANCE[[#This Row],[PISO]]=N$2,100%,AVANCE[[#This Row],[PISO]])</f>
        <v>0</v>
      </c>
      <c r="BH181" s="3">
        <f>+IF(AVANCE[[#This Row],[TABIQUES]]=O$2,100%,AVANCE[[#This Row],[TABIQUES]])</f>
        <v>0</v>
      </c>
      <c r="BI181" s="3">
        <f>+IF(AVANCE[[#This Row],[MUROS]]=P$2,100%,AVANCE[[#This Row],[MUROS]])</f>
        <v>0</v>
      </c>
      <c r="BJ181" s="3">
        <f>+IF(AVANCE[[#This Row],[CIELO]]=Q$2,100%,AVANCE[[#This Row],[CIELO]])</f>
        <v>0</v>
      </c>
      <c r="BK181" s="3">
        <f>+IF(AVANCE[[#This Row],[BALCÓN]]=R$2,100%,AVANCE[[#This Row],[BALCÓN]])</f>
        <v>0</v>
      </c>
      <c r="BL181" s="3">
        <f>+IF(AVANCE[[#This Row],[RED ALCANTARILLADO]]=U$2,100%,AVANCE[[#This Row],[RED ALCANTARILLADO]])</f>
        <v>0</v>
      </c>
      <c r="BM181" s="3">
        <f>+IF(AVANCE[[#This Row],[RED DE AGUA]]=V$2,100%,AVANCE[[#This Row],[RED DE AGUA]])</f>
        <v>0</v>
      </c>
      <c r="BN181" s="3">
        <f>+IF(AVANCE[[#This Row],[VENTILACIONES]]=W$2,100%,AVANCE[[#This Row],[VENTILACIONES]])</f>
        <v>0</v>
      </c>
      <c r="BO181" s="3">
        <f>+IF(AVANCE[[#This Row],[TINA]]=X$2,100%,AVANCE[[#This Row],[TINA]])</f>
        <v>0</v>
      </c>
      <c r="BP181" s="3">
        <f>+IF(AVANCE[[#This Row],[WC]]=Y$2,100%,AVANCE[[#This Row],[WC]])</f>
        <v>0</v>
      </c>
      <c r="BQ181" s="3">
        <f>+IF(AVANCE[[#This Row],[LAVAMANOS / LAVAPLATOS / LAVADERO]]=Z$2,100%,AVANCE[[#This Row],[LAVAMANOS / LAVAPLATOS / LAVADERO]])</f>
        <v>0</v>
      </c>
      <c r="BR181" s="3">
        <f>+IF(AVANCE[[#This Row],[CANALIZACIÓN]]=AC$2,100%,AVANCE[[#This Row],[CANALIZACIÓN]])</f>
        <v>0</v>
      </c>
      <c r="BS181" s="3">
        <f>+IF(AVANCE[[#This Row],[CABLEADO]]=AD$2,100%,AVANCE[[#This Row],[CABLEADO]])</f>
        <v>0</v>
      </c>
      <c r="BT181" s="3">
        <f>+IF(AVANCE[[#This Row],[ARTEFACTOS]]=AE$2,100%,AVANCE[[#This Row],[ARTEFACTOS]])</f>
        <v>0</v>
      </c>
      <c r="BU181" s="3">
        <f>+IF(AVANCE[[#This Row],[TABLERO]]=AF$2,100%,AVANCE[[#This Row],[TABLERO]])</f>
        <v>0</v>
      </c>
      <c r="BV181" s="3">
        <f>+IF(AVANCE[[#This Row],[CAJA PAU]]=AG$2,100%,AVANCE[[#This Row],[CAJA PAU]])</f>
        <v>0</v>
      </c>
      <c r="BW181" s="3">
        <f>+IF(AVANCE[[#This Row],[INSTALACION VINILICO]]=AJ$2,100%,AVANCE[[#This Row],[INSTALACION VINILICO]])</f>
        <v>0</v>
      </c>
      <c r="BX181" s="3">
        <f>+IF(AVANCE[[#This Row],[OSB CUBIERTA]]=AK$2,100%,AVANCE[[#This Row],[OSB CUBIERTA]])</f>
        <v>0</v>
      </c>
      <c r="BY181" s="3">
        <f>+IF(AVANCE[[#This Row],[BARANDA BALCON]]=AL$2,100%,AVANCE[[#This Row],[BARANDA BALCON]])</f>
        <v>0</v>
      </c>
      <c r="BZ181" s="3">
        <f>+IF(AVANCE[[#This Row],[OSB EXTERIOR]]=AM$2,100%,AVANCE[[#This Row],[OSB EXTERIOR]])</f>
        <v>0</v>
      </c>
      <c r="CA181" s="3">
        <f>+IF(AVANCE[[#This Row],[SMART PANEL]]=AN$2,100%,AVANCE[[#This Row],[SMART PANEL]])</f>
        <v>0</v>
      </c>
      <c r="CB181" s="3">
        <f>+IF(AVANCE[[#This Row],[PINTURA EXTERIOR]]=AO$2,100%,AVANCE[[#This Row],[PINTURA EXTERIOR]])</f>
        <v>0</v>
      </c>
      <c r="CC181" s="3">
        <f>+IF(AVANCE[[#This Row],[ZOCALOS LOGIA]]=AP$2,100%,AVANCE[[#This Row],[ZOCALOS LOGIA]])</f>
        <v>0</v>
      </c>
      <c r="CD181" s="3">
        <f>+IF(AVANCE[[#This Row],[MOLDURAS]]=AQ$2,100%,AVANCE[[#This Row],[MOLDURAS]])</f>
        <v>0</v>
      </c>
      <c r="CE181" s="3">
        <f>+IF(AVANCE[[#This Row],[PILASTREO]]=AR$2,100%,AVANCE[[#This Row],[PILASTREO]])</f>
        <v>0</v>
      </c>
      <c r="CF181" s="3">
        <f>+IF(AVANCE[[#This Row],[CELOSIAS]]=AS$2,100%,AVANCE[[#This Row],[CELOSIAS]])</f>
        <v>0</v>
      </c>
      <c r="CG181" s="3">
        <f>+IF(AVANCE[[#This Row],[VENTANAS]]=AT$2,100%,AVANCE[[#This Row],[VENTANAS]])</f>
        <v>0</v>
      </c>
      <c r="CH181" s="3">
        <f>+IF(AVANCE[[#This Row],[PUERTAS ACCESO - LOGIA - BANO]]=AU$2,100%,AVANCE[[#This Row],[PUERTAS ACCESO - LOGIA - BANO]])</f>
        <v>0</v>
      </c>
      <c r="CI181" s="3">
        <f>+IF(AVANCE[[#This Row],[CERRADURAS]]=AV$2,100%,AVANCE[[#This Row],[CERRADURAS]])</f>
        <v>0</v>
      </c>
      <c r="CJ181" s="3">
        <f>+IF(AVANCE[[#This Row],[REVESTIMIENTO INTERIOR ZONA SECA]]=AW$2,100%,AVANCE[[#This Row],[REVESTIMIENTO INTERIOR ZONA SECA]])</f>
        <v>0</v>
      </c>
      <c r="CK181" s="3">
        <f>+IF(AVANCE[[#This Row],[REVESTIMIENTO INTERIOR ZONAS HUMEDAS]]=AX$2,100%,AVANCE[[#This Row],[REVESTIMIENTO INTERIOR ZONAS HUMEDAS]])</f>
        <v>0</v>
      </c>
      <c r="CL181" s="3">
        <f>+IF(AVANCE[[#This Row],[MEMBRANA CIELO]]=AY$2,100%,AVANCE[[#This Row],[MEMBRANA CIELO]])</f>
        <v>0</v>
      </c>
      <c r="CM181" s="3">
        <f>+IF(AVANCE[[#This Row],[LIMPIEZA FINAL]]=AZ$2,100%,AVANCE[[#This Row],[LIMPIEZA FINAL]])</f>
        <v>0</v>
      </c>
      <c r="CN181" s="3">
        <f>+IF(AVANCE[[#This Row],[PUERTAS DORMITORIO]]=BA$2,100%,AVANCE[[#This Row],[PUERTAS DORMITORIO]])</f>
        <v>0</v>
      </c>
      <c r="CO181" s="3">
        <f>+IF(AVANCE[[#This Row],[REVESTIMIENTO INTERIOR BANO]]=BB$2,100%,AVANCE[[#This Row],[REVESTIMIENTO INTERIOR BANO]])</f>
        <v>0</v>
      </c>
      <c r="CP181" s="3">
        <f>+IF(AVANCE[[#This Row],[MUEBLE LAVAPLATOS]]=BC$2,100%,AVANCE[[#This Row],[MUEBLE LAVAPLATOS]])</f>
        <v>0</v>
      </c>
      <c r="CQ181" s="3">
        <f>+IF(AVANCE[[#This Row],[IMPERMEABILIZACION BANO - COCINA LOGIA]]=BD$2,100%,AVANCE[[#This Row],[IMPERMEABILIZACION BANO - COCINA LOGIA]])</f>
        <v>0</v>
      </c>
      <c r="CR181" s="40">
        <f ca="1">+IF(AVANCE[[#This Row],[ESTADO MODULO]]="PENDIENTE",(TODAY()-AVANCE[[#This Row],[FECHA TERMINO  PLANIFICADO]]),0)</f>
        <v>0</v>
      </c>
      <c r="CS181" s="42" t="str" cm="1">
        <f t="array" ref="CS181">_xlfn.TEXTJOIN(" | ",TRUE,IF(SUMPRODUCT((BF181:CQ181&lt;1)*(PARTIDAS!$I$2:$AT$2="OBRA GRUESA"))&gt;0,"OBRA GRUESA: "&amp;_xlfn.TEXTJOIN(", ",TRUE,IF((BF181:CQ181&lt;1)*(PARTIDAS!$I$2:$AT$2="OBRA GRUESA"),PARTIDAS!$I$1:$AT$1,"")),""),IF(SUMPRODUCT((BF181:CQ181&lt;1)*(PARTIDAS!$I$2:$AT$2="SANITARIOS"))&gt;0,"SANITARIOS: "&amp;_xlfn.TEXTJOIN(", ",TRUE,IF((BF181:CQ181&lt;1)*(PARTIDAS!$I$2:$AT$2="SANITARIOS"),PARTIDAS!$I$1:$AT$1,"")),""),IF(SUMPRODUCT((BF181:CQ181&lt;1)*(PARTIDAS!$I$2:$AT$2="ELÉCTRICO"))&gt;0,"ELÉCTRICO: "&amp;_xlfn.TEXTJOIN(", ",TRUE,IF((BF181:CQ181&lt;1)*(PARTIDAS!$I$2:$AT$2="ELÉCTRICO"),PARTIDAS!$I$1:$AT$1,"")),""),IF(SUMPRODUCT((BF181:CQ181&lt;1)*(PARTIDAS!$I$2:$AT$2="TERMINACIONES"))&gt;0,"TERMINACIONES: "&amp;_xlfn.TEXTJOIN(", ",TRUE,IF((BF181:CQ181&lt;1)*(PARTIDAS!$I$2:$AT$2="TERMINACIONES"),PARTIDAS!$I$1:$AT$1,"")),""))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1" s="45" t="str" cm="1">
        <f t="array" ref="CT181">_xlfn.TEXTJOIN(", ",TRUE,IF(SUMPRODUCT((BF181:CQ181&lt;1)*(PARTIDAS!$I$2:$AT$2="OBRA GRUESA"))&gt;0,"OBRA GRUESA",""),IF(SUMPRODUCT((BF181:CQ181&lt;1)*(PARTIDAS!$I$2:$AT$2="SANITARIOS"))&gt;0,"SANITARIOS",""),IF(SUMPRODUCT((BF181:CQ181&lt;1)*(PARTIDAS!$I$2:$AT$2="ELÉCTRICO"))&gt;0,"ELÉCTRICO",""),IF(SUMPRODUCT((BF181:CQ181&lt;1)*(PARTIDAS!$I$2:$AT$2="TERMINACIONES"))&gt;0,"TERMINACIONES",""))</f>
        <v>OBRA GRUESA, SANITARIOS, ELÉCTRICO, TERMINACIONES</v>
      </c>
      <c r="CU181" s="46" cm="1">
        <f t="array" ref="CU181">SUMPRODUCT(--(BF181:CQ181&lt;1))</f>
        <v>38</v>
      </c>
    </row>
    <row r="182" spans="1:99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46181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 t="str">
        <f>+IF(AVANCE[[#This Row],[% AVANCE]]=100%,"MODULO TERMINADO",IF(AVANCE[[#This Row],[FECHA INICIO REAL]]="","MODULO NO INICIADO","PENDIENTE"))</f>
        <v>MODULO NO INICIADO</v>
      </c>
      <c r="BF182" s="3">
        <f>+IF(AVANCE[[#This Row],[VENTANAS]]=8.10810810810811%,100%,AVANCE[[#This Row],[VENTANAS]])</f>
        <v>0</v>
      </c>
      <c r="BG182" s="3">
        <f>+IF(AVANCE[[#This Row],[PISO]]=N$2,100%,AVANCE[[#This Row],[PISO]])</f>
        <v>0</v>
      </c>
      <c r="BH182" s="3">
        <f>+IF(AVANCE[[#This Row],[TABIQUES]]=O$2,100%,AVANCE[[#This Row],[TABIQUES]])</f>
        <v>0</v>
      </c>
      <c r="BI182" s="3">
        <f>+IF(AVANCE[[#This Row],[MUROS]]=P$2,100%,AVANCE[[#This Row],[MUROS]])</f>
        <v>0</v>
      </c>
      <c r="BJ182" s="3">
        <f>+IF(AVANCE[[#This Row],[CIELO]]=Q$2,100%,AVANCE[[#This Row],[CIELO]])</f>
        <v>0</v>
      </c>
      <c r="BK182" s="3">
        <f>+IF(AVANCE[[#This Row],[BALCÓN]]=R$2,100%,AVANCE[[#This Row],[BALCÓN]])</f>
        <v>0</v>
      </c>
      <c r="BL182" s="3">
        <f>+IF(AVANCE[[#This Row],[RED ALCANTARILLADO]]=U$2,100%,AVANCE[[#This Row],[RED ALCANTARILLADO]])</f>
        <v>0</v>
      </c>
      <c r="BM182" s="3">
        <f>+IF(AVANCE[[#This Row],[RED DE AGUA]]=V$2,100%,AVANCE[[#This Row],[RED DE AGUA]])</f>
        <v>0</v>
      </c>
      <c r="BN182" s="3">
        <f>+IF(AVANCE[[#This Row],[VENTILACIONES]]=W$2,100%,AVANCE[[#This Row],[VENTILACIONES]])</f>
        <v>0</v>
      </c>
      <c r="BO182" s="3">
        <f>+IF(AVANCE[[#This Row],[TINA]]=X$2,100%,AVANCE[[#This Row],[TINA]])</f>
        <v>0</v>
      </c>
      <c r="BP182" s="3">
        <f>+IF(AVANCE[[#This Row],[WC]]=Y$2,100%,AVANCE[[#This Row],[WC]])</f>
        <v>0</v>
      </c>
      <c r="BQ182" s="3">
        <f>+IF(AVANCE[[#This Row],[LAVAMANOS / LAVAPLATOS / LAVADERO]]=Z$2,100%,AVANCE[[#This Row],[LAVAMANOS / LAVAPLATOS / LAVADERO]])</f>
        <v>0</v>
      </c>
      <c r="BR182" s="3">
        <f>+IF(AVANCE[[#This Row],[CANALIZACIÓN]]=AC$2,100%,AVANCE[[#This Row],[CANALIZACIÓN]])</f>
        <v>0</v>
      </c>
      <c r="BS182" s="3">
        <f>+IF(AVANCE[[#This Row],[CABLEADO]]=AD$2,100%,AVANCE[[#This Row],[CABLEADO]])</f>
        <v>0</v>
      </c>
      <c r="BT182" s="3">
        <f>+IF(AVANCE[[#This Row],[ARTEFACTOS]]=AE$2,100%,AVANCE[[#This Row],[ARTEFACTOS]])</f>
        <v>0</v>
      </c>
      <c r="BU182" s="3">
        <f>+IF(AVANCE[[#This Row],[TABLERO]]=AF$2,100%,AVANCE[[#This Row],[TABLERO]])</f>
        <v>0</v>
      </c>
      <c r="BV182" s="3">
        <f>+IF(AVANCE[[#This Row],[CAJA PAU]]=AG$2,100%,AVANCE[[#This Row],[CAJA PAU]])</f>
        <v>0</v>
      </c>
      <c r="BW182" s="3">
        <f>+IF(AVANCE[[#This Row],[INSTALACION VINILICO]]=AJ$2,100%,AVANCE[[#This Row],[INSTALACION VINILICO]])</f>
        <v>0</v>
      </c>
      <c r="BX182" s="3">
        <f>+IF(AVANCE[[#This Row],[OSB CUBIERTA]]=AK$2,100%,AVANCE[[#This Row],[OSB CUBIERTA]])</f>
        <v>0</v>
      </c>
      <c r="BY182" s="3">
        <f>+IF(AVANCE[[#This Row],[BARANDA BALCON]]=AL$2,100%,AVANCE[[#This Row],[BARANDA BALCON]])</f>
        <v>0</v>
      </c>
      <c r="BZ182" s="3">
        <f>+IF(AVANCE[[#This Row],[OSB EXTERIOR]]=AM$2,100%,AVANCE[[#This Row],[OSB EXTERIOR]])</f>
        <v>0</v>
      </c>
      <c r="CA182" s="3">
        <f>+IF(AVANCE[[#This Row],[SMART PANEL]]=AN$2,100%,AVANCE[[#This Row],[SMART PANEL]])</f>
        <v>0</v>
      </c>
      <c r="CB182" s="3">
        <f>+IF(AVANCE[[#This Row],[PINTURA EXTERIOR]]=AO$2,100%,AVANCE[[#This Row],[PINTURA EXTERIOR]])</f>
        <v>0</v>
      </c>
      <c r="CC182" s="3">
        <f>+IF(AVANCE[[#This Row],[ZOCALOS LOGIA]]=AP$2,100%,AVANCE[[#This Row],[ZOCALOS LOGIA]])</f>
        <v>0</v>
      </c>
      <c r="CD182" s="3">
        <f>+IF(AVANCE[[#This Row],[MOLDURAS]]=AQ$2,100%,AVANCE[[#This Row],[MOLDURAS]])</f>
        <v>0</v>
      </c>
      <c r="CE182" s="3">
        <f>+IF(AVANCE[[#This Row],[PILASTREO]]=AR$2,100%,AVANCE[[#This Row],[PILASTREO]])</f>
        <v>0</v>
      </c>
      <c r="CF182" s="3">
        <f>+IF(AVANCE[[#This Row],[CELOSIAS]]=AS$2,100%,AVANCE[[#This Row],[CELOSIAS]])</f>
        <v>0</v>
      </c>
      <c r="CG182" s="3">
        <f>+IF(AVANCE[[#This Row],[VENTANAS]]=AT$2,100%,AVANCE[[#This Row],[VENTANAS]])</f>
        <v>0</v>
      </c>
      <c r="CH182" s="3">
        <f>+IF(AVANCE[[#This Row],[PUERTAS ACCESO - LOGIA - BANO]]=AU$2,100%,AVANCE[[#This Row],[PUERTAS ACCESO - LOGIA - BANO]])</f>
        <v>0</v>
      </c>
      <c r="CI182" s="3">
        <f>+IF(AVANCE[[#This Row],[CERRADURAS]]=AV$2,100%,AVANCE[[#This Row],[CERRADURAS]])</f>
        <v>0</v>
      </c>
      <c r="CJ182" s="3">
        <f>+IF(AVANCE[[#This Row],[REVESTIMIENTO INTERIOR ZONA SECA]]=AW$2,100%,AVANCE[[#This Row],[REVESTIMIENTO INTERIOR ZONA SECA]])</f>
        <v>0</v>
      </c>
      <c r="CK182" s="3">
        <f>+IF(AVANCE[[#This Row],[REVESTIMIENTO INTERIOR ZONAS HUMEDAS]]=AX$2,100%,AVANCE[[#This Row],[REVESTIMIENTO INTERIOR ZONAS HUMEDAS]])</f>
        <v>0</v>
      </c>
      <c r="CL182" s="3">
        <f>+IF(AVANCE[[#This Row],[MEMBRANA CIELO]]=AY$2,100%,AVANCE[[#This Row],[MEMBRANA CIELO]])</f>
        <v>0</v>
      </c>
      <c r="CM182" s="3">
        <f>+IF(AVANCE[[#This Row],[LIMPIEZA FINAL]]=AZ$2,100%,AVANCE[[#This Row],[LIMPIEZA FINAL]])</f>
        <v>0</v>
      </c>
      <c r="CN182" s="3">
        <f>+IF(AVANCE[[#This Row],[PUERTAS DORMITORIO]]=BA$2,100%,AVANCE[[#This Row],[PUERTAS DORMITORIO]])</f>
        <v>0</v>
      </c>
      <c r="CO182" s="3">
        <f>+IF(AVANCE[[#This Row],[REVESTIMIENTO INTERIOR BANO]]=BB$2,100%,AVANCE[[#This Row],[REVESTIMIENTO INTERIOR BANO]])</f>
        <v>0</v>
      </c>
      <c r="CP182" s="3">
        <f>+IF(AVANCE[[#This Row],[MUEBLE LAVAPLATOS]]=BC$2,100%,AVANCE[[#This Row],[MUEBLE LAVAPLATOS]])</f>
        <v>0</v>
      </c>
      <c r="CQ182" s="3">
        <f>+IF(AVANCE[[#This Row],[IMPERMEABILIZACION BANO - COCINA LOGIA]]=BD$2,100%,AVANCE[[#This Row],[IMPERMEABILIZACION BANO - COCINA LOGIA]])</f>
        <v>0</v>
      </c>
      <c r="CR182" s="40">
        <f ca="1">+IF(AVANCE[[#This Row],[ESTADO MODULO]]="PENDIENTE",(TODAY()-AVANCE[[#This Row],[FECHA TERMINO  PLANIFICADO]]),0)</f>
        <v>0</v>
      </c>
      <c r="CS182" s="42" t="str" cm="1">
        <f t="array" ref="CS182">_xlfn.TEXTJOIN(" | ",TRUE,IF(SUMPRODUCT((BF182:CQ182&lt;1)*(PARTIDAS!$I$2:$AT$2="OBRA GRUESA"))&gt;0,"OBRA GRUESA: "&amp;_xlfn.TEXTJOIN(", ",TRUE,IF((BF182:CQ182&lt;1)*(PARTIDAS!$I$2:$AT$2="OBRA GRUESA"),PARTIDAS!$I$1:$AT$1,"")),""),IF(SUMPRODUCT((BF182:CQ182&lt;1)*(PARTIDAS!$I$2:$AT$2="SANITARIOS"))&gt;0,"SANITARIOS: "&amp;_xlfn.TEXTJOIN(", ",TRUE,IF((BF182:CQ182&lt;1)*(PARTIDAS!$I$2:$AT$2="SANITARIOS"),PARTIDAS!$I$1:$AT$1,"")),""),IF(SUMPRODUCT((BF182:CQ182&lt;1)*(PARTIDAS!$I$2:$AT$2="ELÉCTRICO"))&gt;0,"ELÉCTRICO: "&amp;_xlfn.TEXTJOIN(", ",TRUE,IF((BF182:CQ182&lt;1)*(PARTIDAS!$I$2:$AT$2="ELÉCTRICO"),PARTIDAS!$I$1:$AT$1,"")),""),IF(SUMPRODUCT((BF182:CQ182&lt;1)*(PARTIDAS!$I$2:$AT$2="TERMINACIONES"))&gt;0,"TERMINACIONES: "&amp;_xlfn.TEXTJOIN(", ",TRUE,IF((BF182:CQ182&lt;1)*(PARTIDAS!$I$2:$AT$2="TERMINACIONES"),PARTIDAS!$I$1:$AT$1,"")),""))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2" s="45" t="str" cm="1">
        <f t="array" ref="CT182">_xlfn.TEXTJOIN(", ",TRUE,IF(SUMPRODUCT((BF182:CQ182&lt;1)*(PARTIDAS!$I$2:$AT$2="OBRA GRUESA"))&gt;0,"OBRA GRUESA",""),IF(SUMPRODUCT((BF182:CQ182&lt;1)*(PARTIDAS!$I$2:$AT$2="SANITARIOS"))&gt;0,"SANITARIOS",""),IF(SUMPRODUCT((BF182:CQ182&lt;1)*(PARTIDAS!$I$2:$AT$2="ELÉCTRICO"))&gt;0,"ELÉCTRICO",""),IF(SUMPRODUCT((BF182:CQ182&lt;1)*(PARTIDAS!$I$2:$AT$2="TERMINACIONES"))&gt;0,"TERMINACIONES",""))</f>
        <v>OBRA GRUESA, SANITARIOS, ELÉCTRICO, TERMINACIONES</v>
      </c>
      <c r="CU182" s="46" cm="1">
        <f t="array" ref="CU182">SUMPRODUCT(--(BF182:CQ182&lt;1))</f>
        <v>38</v>
      </c>
    </row>
    <row r="183" spans="1:99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46181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 t="str">
        <f>+IF(AVANCE[[#This Row],[% AVANCE]]=100%,"MODULO TERMINADO",IF(AVANCE[[#This Row],[FECHA INICIO REAL]]="","MODULO NO INICIADO","PENDIENTE"))</f>
        <v>MODULO NO INICIADO</v>
      </c>
      <c r="BF183" s="3">
        <f>+IF(AVANCE[[#This Row],[VENTANAS]]=8.10810810810811%,100%,AVANCE[[#This Row],[VENTANAS]])</f>
        <v>0</v>
      </c>
      <c r="BG183" s="3">
        <f>+IF(AVANCE[[#This Row],[PISO]]=N$2,100%,AVANCE[[#This Row],[PISO]])</f>
        <v>0</v>
      </c>
      <c r="BH183" s="3">
        <f>+IF(AVANCE[[#This Row],[TABIQUES]]=O$2,100%,AVANCE[[#This Row],[TABIQUES]])</f>
        <v>0</v>
      </c>
      <c r="BI183" s="3">
        <f>+IF(AVANCE[[#This Row],[MUROS]]=P$2,100%,AVANCE[[#This Row],[MUROS]])</f>
        <v>0</v>
      </c>
      <c r="BJ183" s="3">
        <f>+IF(AVANCE[[#This Row],[CIELO]]=Q$2,100%,AVANCE[[#This Row],[CIELO]])</f>
        <v>0</v>
      </c>
      <c r="BK183" s="3">
        <f>+IF(AVANCE[[#This Row],[BALCÓN]]=R$2,100%,AVANCE[[#This Row],[BALCÓN]])</f>
        <v>0</v>
      </c>
      <c r="BL183" s="3">
        <f>+IF(AVANCE[[#This Row],[RED ALCANTARILLADO]]=U$2,100%,AVANCE[[#This Row],[RED ALCANTARILLADO]])</f>
        <v>0</v>
      </c>
      <c r="BM183" s="3">
        <f>+IF(AVANCE[[#This Row],[RED DE AGUA]]=V$2,100%,AVANCE[[#This Row],[RED DE AGUA]])</f>
        <v>0</v>
      </c>
      <c r="BN183" s="3">
        <f>+IF(AVANCE[[#This Row],[VENTILACIONES]]=W$2,100%,AVANCE[[#This Row],[VENTILACIONES]])</f>
        <v>0</v>
      </c>
      <c r="BO183" s="3">
        <f>+IF(AVANCE[[#This Row],[TINA]]=X$2,100%,AVANCE[[#This Row],[TINA]])</f>
        <v>0</v>
      </c>
      <c r="BP183" s="3">
        <f>+IF(AVANCE[[#This Row],[WC]]=Y$2,100%,AVANCE[[#This Row],[WC]])</f>
        <v>0</v>
      </c>
      <c r="BQ183" s="3">
        <f>+IF(AVANCE[[#This Row],[LAVAMANOS / LAVAPLATOS / LAVADERO]]=Z$2,100%,AVANCE[[#This Row],[LAVAMANOS / LAVAPLATOS / LAVADERO]])</f>
        <v>0</v>
      </c>
      <c r="BR183" s="3">
        <f>+IF(AVANCE[[#This Row],[CANALIZACIÓN]]=AC$2,100%,AVANCE[[#This Row],[CANALIZACIÓN]])</f>
        <v>0</v>
      </c>
      <c r="BS183" s="3">
        <f>+IF(AVANCE[[#This Row],[CABLEADO]]=AD$2,100%,AVANCE[[#This Row],[CABLEADO]])</f>
        <v>0</v>
      </c>
      <c r="BT183" s="3">
        <f>+IF(AVANCE[[#This Row],[ARTEFACTOS]]=AE$2,100%,AVANCE[[#This Row],[ARTEFACTOS]])</f>
        <v>0</v>
      </c>
      <c r="BU183" s="3">
        <f>+IF(AVANCE[[#This Row],[TABLERO]]=AF$2,100%,AVANCE[[#This Row],[TABLERO]])</f>
        <v>0</v>
      </c>
      <c r="BV183" s="3">
        <f>+IF(AVANCE[[#This Row],[CAJA PAU]]=AG$2,100%,AVANCE[[#This Row],[CAJA PAU]])</f>
        <v>0</v>
      </c>
      <c r="BW183" s="3">
        <f>+IF(AVANCE[[#This Row],[INSTALACION VINILICO]]=AJ$2,100%,AVANCE[[#This Row],[INSTALACION VINILICO]])</f>
        <v>0</v>
      </c>
      <c r="BX183" s="3">
        <f>+IF(AVANCE[[#This Row],[OSB CUBIERTA]]=AK$2,100%,AVANCE[[#This Row],[OSB CUBIERTA]])</f>
        <v>0</v>
      </c>
      <c r="BY183" s="3">
        <f>+IF(AVANCE[[#This Row],[BARANDA BALCON]]=AL$2,100%,AVANCE[[#This Row],[BARANDA BALCON]])</f>
        <v>0</v>
      </c>
      <c r="BZ183" s="3">
        <f>+IF(AVANCE[[#This Row],[OSB EXTERIOR]]=AM$2,100%,AVANCE[[#This Row],[OSB EXTERIOR]])</f>
        <v>0</v>
      </c>
      <c r="CA183" s="3">
        <f>+IF(AVANCE[[#This Row],[SMART PANEL]]=AN$2,100%,AVANCE[[#This Row],[SMART PANEL]])</f>
        <v>0</v>
      </c>
      <c r="CB183" s="3">
        <f>+IF(AVANCE[[#This Row],[PINTURA EXTERIOR]]=AO$2,100%,AVANCE[[#This Row],[PINTURA EXTERIOR]])</f>
        <v>0</v>
      </c>
      <c r="CC183" s="3">
        <f>+IF(AVANCE[[#This Row],[ZOCALOS LOGIA]]=AP$2,100%,AVANCE[[#This Row],[ZOCALOS LOGIA]])</f>
        <v>0</v>
      </c>
      <c r="CD183" s="3">
        <f>+IF(AVANCE[[#This Row],[MOLDURAS]]=AQ$2,100%,AVANCE[[#This Row],[MOLDURAS]])</f>
        <v>0</v>
      </c>
      <c r="CE183" s="3">
        <f>+IF(AVANCE[[#This Row],[PILASTREO]]=AR$2,100%,AVANCE[[#This Row],[PILASTREO]])</f>
        <v>0</v>
      </c>
      <c r="CF183" s="3">
        <f>+IF(AVANCE[[#This Row],[CELOSIAS]]=AS$2,100%,AVANCE[[#This Row],[CELOSIAS]])</f>
        <v>0</v>
      </c>
      <c r="CG183" s="3">
        <f>+IF(AVANCE[[#This Row],[VENTANAS]]=AT$2,100%,AVANCE[[#This Row],[VENTANAS]])</f>
        <v>0</v>
      </c>
      <c r="CH183" s="3">
        <f>+IF(AVANCE[[#This Row],[PUERTAS ACCESO - LOGIA - BANO]]=AU$2,100%,AVANCE[[#This Row],[PUERTAS ACCESO - LOGIA - BANO]])</f>
        <v>0</v>
      </c>
      <c r="CI183" s="3">
        <f>+IF(AVANCE[[#This Row],[CERRADURAS]]=AV$2,100%,AVANCE[[#This Row],[CERRADURAS]])</f>
        <v>0</v>
      </c>
      <c r="CJ183" s="3">
        <f>+IF(AVANCE[[#This Row],[REVESTIMIENTO INTERIOR ZONA SECA]]=AW$2,100%,AVANCE[[#This Row],[REVESTIMIENTO INTERIOR ZONA SECA]])</f>
        <v>0</v>
      </c>
      <c r="CK183" s="3">
        <f>+IF(AVANCE[[#This Row],[REVESTIMIENTO INTERIOR ZONAS HUMEDAS]]=AX$2,100%,AVANCE[[#This Row],[REVESTIMIENTO INTERIOR ZONAS HUMEDAS]])</f>
        <v>0</v>
      </c>
      <c r="CL183" s="3">
        <f>+IF(AVANCE[[#This Row],[MEMBRANA CIELO]]=AY$2,100%,AVANCE[[#This Row],[MEMBRANA CIELO]])</f>
        <v>0</v>
      </c>
      <c r="CM183" s="3">
        <f>+IF(AVANCE[[#This Row],[LIMPIEZA FINAL]]=AZ$2,100%,AVANCE[[#This Row],[LIMPIEZA FINAL]])</f>
        <v>0</v>
      </c>
      <c r="CN183" s="3">
        <f>+IF(AVANCE[[#This Row],[PUERTAS DORMITORIO]]=BA$2,100%,AVANCE[[#This Row],[PUERTAS DORMITORIO]])</f>
        <v>0</v>
      </c>
      <c r="CO183" s="3">
        <f>+IF(AVANCE[[#This Row],[REVESTIMIENTO INTERIOR BANO]]=BB$2,100%,AVANCE[[#This Row],[REVESTIMIENTO INTERIOR BANO]])</f>
        <v>0</v>
      </c>
      <c r="CP183" s="3">
        <f>+IF(AVANCE[[#This Row],[MUEBLE LAVAPLATOS]]=BC$2,100%,AVANCE[[#This Row],[MUEBLE LAVAPLATOS]])</f>
        <v>0</v>
      </c>
      <c r="CQ183" s="3">
        <f>+IF(AVANCE[[#This Row],[IMPERMEABILIZACION BANO - COCINA LOGIA]]=BD$2,100%,AVANCE[[#This Row],[IMPERMEABILIZACION BANO - COCINA LOGIA]])</f>
        <v>0</v>
      </c>
      <c r="CR183" s="40">
        <f ca="1">+IF(AVANCE[[#This Row],[ESTADO MODULO]]="PENDIENTE",(TODAY()-AVANCE[[#This Row],[FECHA TERMINO  PLANIFICADO]]),0)</f>
        <v>0</v>
      </c>
      <c r="CS183" s="42" t="str" cm="1">
        <f t="array" ref="CS183">_xlfn.TEXTJOIN(" | ",TRUE,IF(SUMPRODUCT((BF183:CQ183&lt;1)*(PARTIDAS!$I$2:$AT$2="OBRA GRUESA"))&gt;0,"OBRA GRUESA: "&amp;_xlfn.TEXTJOIN(", ",TRUE,IF((BF183:CQ183&lt;1)*(PARTIDAS!$I$2:$AT$2="OBRA GRUESA"),PARTIDAS!$I$1:$AT$1,"")),""),IF(SUMPRODUCT((BF183:CQ183&lt;1)*(PARTIDAS!$I$2:$AT$2="SANITARIOS"))&gt;0,"SANITARIOS: "&amp;_xlfn.TEXTJOIN(", ",TRUE,IF((BF183:CQ183&lt;1)*(PARTIDAS!$I$2:$AT$2="SANITARIOS"),PARTIDAS!$I$1:$AT$1,"")),""),IF(SUMPRODUCT((BF183:CQ183&lt;1)*(PARTIDAS!$I$2:$AT$2="ELÉCTRICO"))&gt;0,"ELÉCTRICO: "&amp;_xlfn.TEXTJOIN(", ",TRUE,IF((BF183:CQ183&lt;1)*(PARTIDAS!$I$2:$AT$2="ELÉCTRICO"),PARTIDAS!$I$1:$AT$1,"")),""),IF(SUMPRODUCT((BF183:CQ183&lt;1)*(PARTIDAS!$I$2:$AT$2="TERMINACIONES"))&gt;0,"TERMINACIONES: "&amp;_xlfn.TEXTJOIN(", ",TRUE,IF((BF183:CQ183&lt;1)*(PARTIDAS!$I$2:$AT$2="TERMINACIONES"),PARTIDAS!$I$1:$AT$1,"")),""))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3" s="45" t="str" cm="1">
        <f t="array" ref="CT183">_xlfn.TEXTJOIN(", ",TRUE,IF(SUMPRODUCT((BF183:CQ183&lt;1)*(PARTIDAS!$I$2:$AT$2="OBRA GRUESA"))&gt;0,"OBRA GRUESA",""),IF(SUMPRODUCT((BF183:CQ183&lt;1)*(PARTIDAS!$I$2:$AT$2="SANITARIOS"))&gt;0,"SANITARIOS",""),IF(SUMPRODUCT((BF183:CQ183&lt;1)*(PARTIDAS!$I$2:$AT$2="ELÉCTRICO"))&gt;0,"ELÉCTRICO",""),IF(SUMPRODUCT((BF183:CQ183&lt;1)*(PARTIDAS!$I$2:$AT$2="TERMINACIONES"))&gt;0,"TERMINACIONES",""))</f>
        <v>OBRA GRUESA, SANITARIOS, ELÉCTRICO, TERMINACIONES</v>
      </c>
      <c r="CU183" s="46" cm="1">
        <f t="array" ref="CU183">SUMPRODUCT(--(BF183:CQ183&lt;1))</f>
        <v>38</v>
      </c>
    </row>
    <row r="184" spans="1:99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46181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 t="str">
        <f>+IF(AVANCE[[#This Row],[% AVANCE]]=100%,"MODULO TERMINADO",IF(AVANCE[[#This Row],[FECHA INICIO REAL]]="","MODULO NO INICIADO","PENDIENTE"))</f>
        <v>MODULO NO INICIADO</v>
      </c>
      <c r="BF184" s="3">
        <f>+IF(AVANCE[[#This Row],[VENTANAS]]=8.10810810810811%,100%,AVANCE[[#This Row],[VENTANAS]])</f>
        <v>0</v>
      </c>
      <c r="BG184" s="3">
        <f>+IF(AVANCE[[#This Row],[PISO]]=N$2,100%,AVANCE[[#This Row],[PISO]])</f>
        <v>0</v>
      </c>
      <c r="BH184" s="3">
        <f>+IF(AVANCE[[#This Row],[TABIQUES]]=O$2,100%,AVANCE[[#This Row],[TABIQUES]])</f>
        <v>0</v>
      </c>
      <c r="BI184" s="3">
        <f>+IF(AVANCE[[#This Row],[MUROS]]=P$2,100%,AVANCE[[#This Row],[MUROS]])</f>
        <v>0</v>
      </c>
      <c r="BJ184" s="3">
        <f>+IF(AVANCE[[#This Row],[CIELO]]=Q$2,100%,AVANCE[[#This Row],[CIELO]])</f>
        <v>0</v>
      </c>
      <c r="BK184" s="3">
        <f>+IF(AVANCE[[#This Row],[BALCÓN]]=R$2,100%,AVANCE[[#This Row],[BALCÓN]])</f>
        <v>0</v>
      </c>
      <c r="BL184" s="3">
        <f>+IF(AVANCE[[#This Row],[RED ALCANTARILLADO]]=U$2,100%,AVANCE[[#This Row],[RED ALCANTARILLADO]])</f>
        <v>0</v>
      </c>
      <c r="BM184" s="3">
        <f>+IF(AVANCE[[#This Row],[RED DE AGUA]]=V$2,100%,AVANCE[[#This Row],[RED DE AGUA]])</f>
        <v>0</v>
      </c>
      <c r="BN184" s="3">
        <f>+IF(AVANCE[[#This Row],[VENTILACIONES]]=W$2,100%,AVANCE[[#This Row],[VENTILACIONES]])</f>
        <v>0</v>
      </c>
      <c r="BO184" s="3">
        <f>+IF(AVANCE[[#This Row],[TINA]]=X$2,100%,AVANCE[[#This Row],[TINA]])</f>
        <v>0</v>
      </c>
      <c r="BP184" s="3">
        <f>+IF(AVANCE[[#This Row],[WC]]=Y$2,100%,AVANCE[[#This Row],[WC]])</f>
        <v>0</v>
      </c>
      <c r="BQ184" s="3">
        <f>+IF(AVANCE[[#This Row],[LAVAMANOS / LAVAPLATOS / LAVADERO]]=Z$2,100%,AVANCE[[#This Row],[LAVAMANOS / LAVAPLATOS / LAVADERO]])</f>
        <v>0</v>
      </c>
      <c r="BR184" s="3">
        <f>+IF(AVANCE[[#This Row],[CANALIZACIÓN]]=AC$2,100%,AVANCE[[#This Row],[CANALIZACIÓN]])</f>
        <v>0</v>
      </c>
      <c r="BS184" s="3">
        <f>+IF(AVANCE[[#This Row],[CABLEADO]]=AD$2,100%,AVANCE[[#This Row],[CABLEADO]])</f>
        <v>0</v>
      </c>
      <c r="BT184" s="3">
        <f>+IF(AVANCE[[#This Row],[ARTEFACTOS]]=AE$2,100%,AVANCE[[#This Row],[ARTEFACTOS]])</f>
        <v>0</v>
      </c>
      <c r="BU184" s="3">
        <f>+IF(AVANCE[[#This Row],[TABLERO]]=AF$2,100%,AVANCE[[#This Row],[TABLERO]])</f>
        <v>0</v>
      </c>
      <c r="BV184" s="3">
        <f>+IF(AVANCE[[#This Row],[CAJA PAU]]=AG$2,100%,AVANCE[[#This Row],[CAJA PAU]])</f>
        <v>0</v>
      </c>
      <c r="BW184" s="3">
        <f>+IF(AVANCE[[#This Row],[INSTALACION VINILICO]]=AJ$2,100%,AVANCE[[#This Row],[INSTALACION VINILICO]])</f>
        <v>0</v>
      </c>
      <c r="BX184" s="3">
        <f>+IF(AVANCE[[#This Row],[OSB CUBIERTA]]=AK$2,100%,AVANCE[[#This Row],[OSB CUBIERTA]])</f>
        <v>0</v>
      </c>
      <c r="BY184" s="3">
        <f>+IF(AVANCE[[#This Row],[BARANDA BALCON]]=AL$2,100%,AVANCE[[#This Row],[BARANDA BALCON]])</f>
        <v>0</v>
      </c>
      <c r="BZ184" s="3">
        <f>+IF(AVANCE[[#This Row],[OSB EXTERIOR]]=AM$2,100%,AVANCE[[#This Row],[OSB EXTERIOR]])</f>
        <v>0</v>
      </c>
      <c r="CA184" s="3">
        <f>+IF(AVANCE[[#This Row],[SMART PANEL]]=AN$2,100%,AVANCE[[#This Row],[SMART PANEL]])</f>
        <v>0</v>
      </c>
      <c r="CB184" s="3">
        <f>+IF(AVANCE[[#This Row],[PINTURA EXTERIOR]]=AO$2,100%,AVANCE[[#This Row],[PINTURA EXTERIOR]])</f>
        <v>0</v>
      </c>
      <c r="CC184" s="3">
        <f>+IF(AVANCE[[#This Row],[ZOCALOS LOGIA]]=AP$2,100%,AVANCE[[#This Row],[ZOCALOS LOGIA]])</f>
        <v>0</v>
      </c>
      <c r="CD184" s="3">
        <f>+IF(AVANCE[[#This Row],[MOLDURAS]]=AQ$2,100%,AVANCE[[#This Row],[MOLDURAS]])</f>
        <v>0</v>
      </c>
      <c r="CE184" s="3">
        <f>+IF(AVANCE[[#This Row],[PILASTREO]]=AR$2,100%,AVANCE[[#This Row],[PILASTREO]])</f>
        <v>0</v>
      </c>
      <c r="CF184" s="3">
        <f>+IF(AVANCE[[#This Row],[CELOSIAS]]=AS$2,100%,AVANCE[[#This Row],[CELOSIAS]])</f>
        <v>0</v>
      </c>
      <c r="CG184" s="3">
        <f>+IF(AVANCE[[#This Row],[VENTANAS]]=AT$2,100%,AVANCE[[#This Row],[VENTANAS]])</f>
        <v>0</v>
      </c>
      <c r="CH184" s="3">
        <f>+IF(AVANCE[[#This Row],[PUERTAS ACCESO - LOGIA - BANO]]=AU$2,100%,AVANCE[[#This Row],[PUERTAS ACCESO - LOGIA - BANO]])</f>
        <v>0</v>
      </c>
      <c r="CI184" s="3">
        <f>+IF(AVANCE[[#This Row],[CERRADURAS]]=AV$2,100%,AVANCE[[#This Row],[CERRADURAS]])</f>
        <v>0</v>
      </c>
      <c r="CJ184" s="3">
        <f>+IF(AVANCE[[#This Row],[REVESTIMIENTO INTERIOR ZONA SECA]]=AW$2,100%,AVANCE[[#This Row],[REVESTIMIENTO INTERIOR ZONA SECA]])</f>
        <v>0</v>
      </c>
      <c r="CK184" s="3">
        <f>+IF(AVANCE[[#This Row],[REVESTIMIENTO INTERIOR ZONAS HUMEDAS]]=AX$2,100%,AVANCE[[#This Row],[REVESTIMIENTO INTERIOR ZONAS HUMEDAS]])</f>
        <v>0</v>
      </c>
      <c r="CL184" s="3">
        <f>+IF(AVANCE[[#This Row],[MEMBRANA CIELO]]=AY$2,100%,AVANCE[[#This Row],[MEMBRANA CIELO]])</f>
        <v>0</v>
      </c>
      <c r="CM184" s="3">
        <f>+IF(AVANCE[[#This Row],[LIMPIEZA FINAL]]=AZ$2,100%,AVANCE[[#This Row],[LIMPIEZA FINAL]])</f>
        <v>0</v>
      </c>
      <c r="CN184" s="3">
        <f>+IF(AVANCE[[#This Row],[PUERTAS DORMITORIO]]=BA$2,100%,AVANCE[[#This Row],[PUERTAS DORMITORIO]])</f>
        <v>0</v>
      </c>
      <c r="CO184" s="3">
        <f>+IF(AVANCE[[#This Row],[REVESTIMIENTO INTERIOR BANO]]=BB$2,100%,AVANCE[[#This Row],[REVESTIMIENTO INTERIOR BANO]])</f>
        <v>0</v>
      </c>
      <c r="CP184" s="3">
        <f>+IF(AVANCE[[#This Row],[MUEBLE LAVAPLATOS]]=BC$2,100%,AVANCE[[#This Row],[MUEBLE LAVAPLATOS]])</f>
        <v>0</v>
      </c>
      <c r="CQ184" s="3">
        <f>+IF(AVANCE[[#This Row],[IMPERMEABILIZACION BANO - COCINA LOGIA]]=BD$2,100%,AVANCE[[#This Row],[IMPERMEABILIZACION BANO - COCINA LOGIA]])</f>
        <v>0</v>
      </c>
      <c r="CR184" s="40">
        <f ca="1">+IF(AVANCE[[#This Row],[ESTADO MODULO]]="PENDIENTE",(TODAY()-AVANCE[[#This Row],[FECHA TERMINO  PLANIFICADO]]),0)</f>
        <v>0</v>
      </c>
      <c r="CS184" s="42" t="str" cm="1">
        <f t="array" ref="CS184">_xlfn.TEXTJOIN(" | ",TRUE,IF(SUMPRODUCT((BF184:CQ184&lt;1)*(PARTIDAS!$I$2:$AT$2="OBRA GRUESA"))&gt;0,"OBRA GRUESA: "&amp;_xlfn.TEXTJOIN(", ",TRUE,IF((BF184:CQ184&lt;1)*(PARTIDAS!$I$2:$AT$2="OBRA GRUESA"),PARTIDAS!$I$1:$AT$1,"")),""),IF(SUMPRODUCT((BF184:CQ184&lt;1)*(PARTIDAS!$I$2:$AT$2="SANITARIOS"))&gt;0,"SANITARIOS: "&amp;_xlfn.TEXTJOIN(", ",TRUE,IF((BF184:CQ184&lt;1)*(PARTIDAS!$I$2:$AT$2="SANITARIOS"),PARTIDAS!$I$1:$AT$1,"")),""),IF(SUMPRODUCT((BF184:CQ184&lt;1)*(PARTIDAS!$I$2:$AT$2="ELÉCTRICO"))&gt;0,"ELÉCTRICO: "&amp;_xlfn.TEXTJOIN(", ",TRUE,IF((BF184:CQ184&lt;1)*(PARTIDAS!$I$2:$AT$2="ELÉCTRICO"),PARTIDAS!$I$1:$AT$1,"")),""),IF(SUMPRODUCT((BF184:CQ184&lt;1)*(PARTIDAS!$I$2:$AT$2="TERMINACIONES"))&gt;0,"TERMINACIONES: "&amp;_xlfn.TEXTJOIN(", ",TRUE,IF((BF184:CQ184&lt;1)*(PARTIDAS!$I$2:$AT$2="TERMINACIONES"),PARTIDAS!$I$1:$AT$1,"")),""))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4" s="45" t="str" cm="1">
        <f t="array" ref="CT184">_xlfn.TEXTJOIN(", ",TRUE,IF(SUMPRODUCT((BF184:CQ184&lt;1)*(PARTIDAS!$I$2:$AT$2="OBRA GRUESA"))&gt;0,"OBRA GRUESA",""),IF(SUMPRODUCT((BF184:CQ184&lt;1)*(PARTIDAS!$I$2:$AT$2="SANITARIOS"))&gt;0,"SANITARIOS",""),IF(SUMPRODUCT((BF184:CQ184&lt;1)*(PARTIDAS!$I$2:$AT$2="ELÉCTRICO"))&gt;0,"ELÉCTRICO",""),IF(SUMPRODUCT((BF184:CQ184&lt;1)*(PARTIDAS!$I$2:$AT$2="TERMINACIONES"))&gt;0,"TERMINACIONES",""))</f>
        <v>OBRA GRUESA, SANITARIOS, ELÉCTRICO, TERMINACIONES</v>
      </c>
      <c r="CU184" s="46" cm="1">
        <f t="array" ref="CU184">SUMPRODUCT(--(BF184:CQ184&lt;1))</f>
        <v>38</v>
      </c>
    </row>
    <row r="185" spans="1:99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46181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 t="str">
        <f>+IF(AVANCE[[#This Row],[% AVANCE]]=100%,"MODULO TERMINADO",IF(AVANCE[[#This Row],[FECHA INICIO REAL]]="","MODULO NO INICIADO","PENDIENTE"))</f>
        <v>MODULO NO INICIADO</v>
      </c>
      <c r="BF185" s="3">
        <f>+IF(AVANCE[[#This Row],[VENTANAS]]=8.10810810810811%,100%,AVANCE[[#This Row],[VENTANAS]])</f>
        <v>0</v>
      </c>
      <c r="BG185" s="3">
        <f>+IF(AVANCE[[#This Row],[PISO]]=N$2,100%,AVANCE[[#This Row],[PISO]])</f>
        <v>0</v>
      </c>
      <c r="BH185" s="3">
        <f>+IF(AVANCE[[#This Row],[TABIQUES]]=O$2,100%,AVANCE[[#This Row],[TABIQUES]])</f>
        <v>0</v>
      </c>
      <c r="BI185" s="3">
        <f>+IF(AVANCE[[#This Row],[MUROS]]=P$2,100%,AVANCE[[#This Row],[MUROS]])</f>
        <v>0</v>
      </c>
      <c r="BJ185" s="3">
        <f>+IF(AVANCE[[#This Row],[CIELO]]=Q$2,100%,AVANCE[[#This Row],[CIELO]])</f>
        <v>0</v>
      </c>
      <c r="BK185" s="3">
        <f>+IF(AVANCE[[#This Row],[BALCÓN]]=R$2,100%,AVANCE[[#This Row],[BALCÓN]])</f>
        <v>0</v>
      </c>
      <c r="BL185" s="3">
        <f>+IF(AVANCE[[#This Row],[RED ALCANTARILLADO]]=U$2,100%,AVANCE[[#This Row],[RED ALCANTARILLADO]])</f>
        <v>0</v>
      </c>
      <c r="BM185" s="3">
        <f>+IF(AVANCE[[#This Row],[RED DE AGUA]]=V$2,100%,AVANCE[[#This Row],[RED DE AGUA]])</f>
        <v>0</v>
      </c>
      <c r="BN185" s="3">
        <f>+IF(AVANCE[[#This Row],[VENTILACIONES]]=W$2,100%,AVANCE[[#This Row],[VENTILACIONES]])</f>
        <v>0</v>
      </c>
      <c r="BO185" s="3">
        <f>+IF(AVANCE[[#This Row],[TINA]]=X$2,100%,AVANCE[[#This Row],[TINA]])</f>
        <v>0</v>
      </c>
      <c r="BP185" s="3">
        <f>+IF(AVANCE[[#This Row],[WC]]=Y$2,100%,AVANCE[[#This Row],[WC]])</f>
        <v>0</v>
      </c>
      <c r="BQ185" s="3">
        <f>+IF(AVANCE[[#This Row],[LAVAMANOS / LAVAPLATOS / LAVADERO]]=Z$2,100%,AVANCE[[#This Row],[LAVAMANOS / LAVAPLATOS / LAVADERO]])</f>
        <v>0</v>
      </c>
      <c r="BR185" s="3">
        <f>+IF(AVANCE[[#This Row],[CANALIZACIÓN]]=AC$2,100%,AVANCE[[#This Row],[CANALIZACIÓN]])</f>
        <v>0</v>
      </c>
      <c r="BS185" s="3">
        <f>+IF(AVANCE[[#This Row],[CABLEADO]]=AD$2,100%,AVANCE[[#This Row],[CABLEADO]])</f>
        <v>0</v>
      </c>
      <c r="BT185" s="3">
        <f>+IF(AVANCE[[#This Row],[ARTEFACTOS]]=AE$2,100%,AVANCE[[#This Row],[ARTEFACTOS]])</f>
        <v>0</v>
      </c>
      <c r="BU185" s="3">
        <f>+IF(AVANCE[[#This Row],[TABLERO]]=AF$2,100%,AVANCE[[#This Row],[TABLERO]])</f>
        <v>0</v>
      </c>
      <c r="BV185" s="3">
        <f>+IF(AVANCE[[#This Row],[CAJA PAU]]=AG$2,100%,AVANCE[[#This Row],[CAJA PAU]])</f>
        <v>0</v>
      </c>
      <c r="BW185" s="3">
        <f>+IF(AVANCE[[#This Row],[INSTALACION VINILICO]]=AJ$2,100%,AVANCE[[#This Row],[INSTALACION VINILICO]])</f>
        <v>0</v>
      </c>
      <c r="BX185" s="3">
        <f>+IF(AVANCE[[#This Row],[OSB CUBIERTA]]=AK$2,100%,AVANCE[[#This Row],[OSB CUBIERTA]])</f>
        <v>0</v>
      </c>
      <c r="BY185" s="3">
        <f>+IF(AVANCE[[#This Row],[BARANDA BALCON]]=AL$2,100%,AVANCE[[#This Row],[BARANDA BALCON]])</f>
        <v>0</v>
      </c>
      <c r="BZ185" s="3">
        <f>+IF(AVANCE[[#This Row],[OSB EXTERIOR]]=AM$2,100%,AVANCE[[#This Row],[OSB EXTERIOR]])</f>
        <v>0</v>
      </c>
      <c r="CA185" s="3">
        <f>+IF(AVANCE[[#This Row],[SMART PANEL]]=AN$2,100%,AVANCE[[#This Row],[SMART PANEL]])</f>
        <v>0</v>
      </c>
      <c r="CB185" s="3">
        <f>+IF(AVANCE[[#This Row],[PINTURA EXTERIOR]]=AO$2,100%,AVANCE[[#This Row],[PINTURA EXTERIOR]])</f>
        <v>0</v>
      </c>
      <c r="CC185" s="3">
        <f>+IF(AVANCE[[#This Row],[ZOCALOS LOGIA]]=AP$2,100%,AVANCE[[#This Row],[ZOCALOS LOGIA]])</f>
        <v>0</v>
      </c>
      <c r="CD185" s="3">
        <f>+IF(AVANCE[[#This Row],[MOLDURAS]]=AQ$2,100%,AVANCE[[#This Row],[MOLDURAS]])</f>
        <v>0</v>
      </c>
      <c r="CE185" s="3">
        <f>+IF(AVANCE[[#This Row],[PILASTREO]]=AR$2,100%,AVANCE[[#This Row],[PILASTREO]])</f>
        <v>0</v>
      </c>
      <c r="CF185" s="3">
        <f>+IF(AVANCE[[#This Row],[CELOSIAS]]=AS$2,100%,AVANCE[[#This Row],[CELOSIAS]])</f>
        <v>0</v>
      </c>
      <c r="CG185" s="3">
        <f>+IF(AVANCE[[#This Row],[VENTANAS]]=AT$2,100%,AVANCE[[#This Row],[VENTANAS]])</f>
        <v>0</v>
      </c>
      <c r="CH185" s="3">
        <f>+IF(AVANCE[[#This Row],[PUERTAS ACCESO - LOGIA - BANO]]=AU$2,100%,AVANCE[[#This Row],[PUERTAS ACCESO - LOGIA - BANO]])</f>
        <v>0</v>
      </c>
      <c r="CI185" s="3">
        <f>+IF(AVANCE[[#This Row],[CERRADURAS]]=AV$2,100%,AVANCE[[#This Row],[CERRADURAS]])</f>
        <v>0</v>
      </c>
      <c r="CJ185" s="3">
        <f>+IF(AVANCE[[#This Row],[REVESTIMIENTO INTERIOR ZONA SECA]]=AW$2,100%,AVANCE[[#This Row],[REVESTIMIENTO INTERIOR ZONA SECA]])</f>
        <v>0</v>
      </c>
      <c r="CK185" s="3">
        <f>+IF(AVANCE[[#This Row],[REVESTIMIENTO INTERIOR ZONAS HUMEDAS]]=AX$2,100%,AVANCE[[#This Row],[REVESTIMIENTO INTERIOR ZONAS HUMEDAS]])</f>
        <v>0</v>
      </c>
      <c r="CL185" s="3">
        <f>+IF(AVANCE[[#This Row],[MEMBRANA CIELO]]=AY$2,100%,AVANCE[[#This Row],[MEMBRANA CIELO]])</f>
        <v>0</v>
      </c>
      <c r="CM185" s="3">
        <f>+IF(AVANCE[[#This Row],[LIMPIEZA FINAL]]=AZ$2,100%,AVANCE[[#This Row],[LIMPIEZA FINAL]])</f>
        <v>0</v>
      </c>
      <c r="CN185" s="3">
        <f>+IF(AVANCE[[#This Row],[PUERTAS DORMITORIO]]=BA$2,100%,AVANCE[[#This Row],[PUERTAS DORMITORIO]])</f>
        <v>0</v>
      </c>
      <c r="CO185" s="3">
        <f>+IF(AVANCE[[#This Row],[REVESTIMIENTO INTERIOR BANO]]=BB$2,100%,AVANCE[[#This Row],[REVESTIMIENTO INTERIOR BANO]])</f>
        <v>0</v>
      </c>
      <c r="CP185" s="3">
        <f>+IF(AVANCE[[#This Row],[MUEBLE LAVAPLATOS]]=BC$2,100%,AVANCE[[#This Row],[MUEBLE LAVAPLATOS]])</f>
        <v>0</v>
      </c>
      <c r="CQ185" s="3">
        <f>+IF(AVANCE[[#This Row],[IMPERMEABILIZACION BANO - COCINA LOGIA]]=BD$2,100%,AVANCE[[#This Row],[IMPERMEABILIZACION BANO - COCINA LOGIA]])</f>
        <v>0</v>
      </c>
      <c r="CR185" s="40">
        <f ca="1">+IF(AVANCE[[#This Row],[ESTADO MODULO]]="PENDIENTE",(TODAY()-AVANCE[[#This Row],[FECHA TERMINO  PLANIFICADO]]),0)</f>
        <v>0</v>
      </c>
      <c r="CS185" s="42" t="str" cm="1">
        <f t="array" ref="CS185">_xlfn.TEXTJOIN(" | ",TRUE,IF(SUMPRODUCT((BF185:CQ185&lt;1)*(PARTIDAS!$I$2:$AT$2="OBRA GRUESA"))&gt;0,"OBRA GRUESA: "&amp;_xlfn.TEXTJOIN(", ",TRUE,IF((BF185:CQ185&lt;1)*(PARTIDAS!$I$2:$AT$2="OBRA GRUESA"),PARTIDAS!$I$1:$AT$1,"")),""),IF(SUMPRODUCT((BF185:CQ185&lt;1)*(PARTIDAS!$I$2:$AT$2="SANITARIOS"))&gt;0,"SANITARIOS: "&amp;_xlfn.TEXTJOIN(", ",TRUE,IF((BF185:CQ185&lt;1)*(PARTIDAS!$I$2:$AT$2="SANITARIOS"),PARTIDAS!$I$1:$AT$1,"")),""),IF(SUMPRODUCT((BF185:CQ185&lt;1)*(PARTIDAS!$I$2:$AT$2="ELÉCTRICO"))&gt;0,"ELÉCTRICO: "&amp;_xlfn.TEXTJOIN(", ",TRUE,IF((BF185:CQ185&lt;1)*(PARTIDAS!$I$2:$AT$2="ELÉCTRICO"),PARTIDAS!$I$1:$AT$1,"")),""),IF(SUMPRODUCT((BF185:CQ185&lt;1)*(PARTIDAS!$I$2:$AT$2="TERMINACIONES"))&gt;0,"TERMINACIONES: "&amp;_xlfn.TEXTJOIN(", ",TRUE,IF((BF185:CQ185&lt;1)*(PARTIDAS!$I$2:$AT$2="TERMINACIONES"),PARTIDAS!$I$1:$AT$1,"")),""))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5" s="45" t="str" cm="1">
        <f t="array" ref="CT185">_xlfn.TEXTJOIN(", ",TRUE,IF(SUMPRODUCT((BF185:CQ185&lt;1)*(PARTIDAS!$I$2:$AT$2="OBRA GRUESA"))&gt;0,"OBRA GRUESA",""),IF(SUMPRODUCT((BF185:CQ185&lt;1)*(PARTIDAS!$I$2:$AT$2="SANITARIOS"))&gt;0,"SANITARIOS",""),IF(SUMPRODUCT((BF185:CQ185&lt;1)*(PARTIDAS!$I$2:$AT$2="ELÉCTRICO"))&gt;0,"ELÉCTRICO",""),IF(SUMPRODUCT((BF185:CQ185&lt;1)*(PARTIDAS!$I$2:$AT$2="TERMINACIONES"))&gt;0,"TERMINACIONES",""))</f>
        <v>OBRA GRUESA, SANITARIOS, ELÉCTRICO, TERMINACIONES</v>
      </c>
      <c r="CU185" s="46" cm="1">
        <f t="array" ref="CU185">SUMPRODUCT(--(BF185:CQ185&lt;1))</f>
        <v>38</v>
      </c>
    </row>
    <row r="186" spans="1:99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46181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 t="str">
        <f>+IF(AVANCE[[#This Row],[% AVANCE]]=100%,"MODULO TERMINADO",IF(AVANCE[[#This Row],[FECHA INICIO REAL]]="","MODULO NO INICIADO","PENDIENTE"))</f>
        <v>MODULO NO INICIADO</v>
      </c>
      <c r="BF186" s="3">
        <f>+IF(AVANCE[[#This Row],[VENTANAS]]=8.10810810810811%,100%,AVANCE[[#This Row],[VENTANAS]])</f>
        <v>0</v>
      </c>
      <c r="BG186" s="3">
        <f>+IF(AVANCE[[#This Row],[PISO]]=N$2,100%,AVANCE[[#This Row],[PISO]])</f>
        <v>0</v>
      </c>
      <c r="BH186" s="3">
        <f>+IF(AVANCE[[#This Row],[TABIQUES]]=O$2,100%,AVANCE[[#This Row],[TABIQUES]])</f>
        <v>0</v>
      </c>
      <c r="BI186" s="3">
        <f>+IF(AVANCE[[#This Row],[MUROS]]=P$2,100%,AVANCE[[#This Row],[MUROS]])</f>
        <v>0</v>
      </c>
      <c r="BJ186" s="3">
        <f>+IF(AVANCE[[#This Row],[CIELO]]=Q$2,100%,AVANCE[[#This Row],[CIELO]])</f>
        <v>0</v>
      </c>
      <c r="BK186" s="3">
        <f>+IF(AVANCE[[#This Row],[BALCÓN]]=R$2,100%,AVANCE[[#This Row],[BALCÓN]])</f>
        <v>0</v>
      </c>
      <c r="BL186" s="3">
        <f>+IF(AVANCE[[#This Row],[RED ALCANTARILLADO]]=U$2,100%,AVANCE[[#This Row],[RED ALCANTARILLADO]])</f>
        <v>0</v>
      </c>
      <c r="BM186" s="3">
        <f>+IF(AVANCE[[#This Row],[RED DE AGUA]]=V$2,100%,AVANCE[[#This Row],[RED DE AGUA]])</f>
        <v>0</v>
      </c>
      <c r="BN186" s="3">
        <f>+IF(AVANCE[[#This Row],[VENTILACIONES]]=W$2,100%,AVANCE[[#This Row],[VENTILACIONES]])</f>
        <v>0</v>
      </c>
      <c r="BO186" s="3">
        <f>+IF(AVANCE[[#This Row],[TINA]]=X$2,100%,AVANCE[[#This Row],[TINA]])</f>
        <v>0</v>
      </c>
      <c r="BP186" s="3">
        <f>+IF(AVANCE[[#This Row],[WC]]=Y$2,100%,AVANCE[[#This Row],[WC]])</f>
        <v>0</v>
      </c>
      <c r="BQ186" s="3">
        <f>+IF(AVANCE[[#This Row],[LAVAMANOS / LAVAPLATOS / LAVADERO]]=Z$2,100%,AVANCE[[#This Row],[LAVAMANOS / LAVAPLATOS / LAVADERO]])</f>
        <v>0</v>
      </c>
      <c r="BR186" s="3">
        <f>+IF(AVANCE[[#This Row],[CANALIZACIÓN]]=AC$2,100%,AVANCE[[#This Row],[CANALIZACIÓN]])</f>
        <v>0</v>
      </c>
      <c r="BS186" s="3">
        <f>+IF(AVANCE[[#This Row],[CABLEADO]]=AD$2,100%,AVANCE[[#This Row],[CABLEADO]])</f>
        <v>0</v>
      </c>
      <c r="BT186" s="3">
        <f>+IF(AVANCE[[#This Row],[ARTEFACTOS]]=AE$2,100%,AVANCE[[#This Row],[ARTEFACTOS]])</f>
        <v>0</v>
      </c>
      <c r="BU186" s="3">
        <f>+IF(AVANCE[[#This Row],[TABLERO]]=AF$2,100%,AVANCE[[#This Row],[TABLERO]])</f>
        <v>0</v>
      </c>
      <c r="BV186" s="3">
        <f>+IF(AVANCE[[#This Row],[CAJA PAU]]=AG$2,100%,AVANCE[[#This Row],[CAJA PAU]])</f>
        <v>0</v>
      </c>
      <c r="BW186" s="3">
        <f>+IF(AVANCE[[#This Row],[INSTALACION VINILICO]]=AJ$2,100%,AVANCE[[#This Row],[INSTALACION VINILICO]])</f>
        <v>0</v>
      </c>
      <c r="BX186" s="3">
        <f>+IF(AVANCE[[#This Row],[OSB CUBIERTA]]=AK$2,100%,AVANCE[[#This Row],[OSB CUBIERTA]])</f>
        <v>0</v>
      </c>
      <c r="BY186" s="3">
        <f>+IF(AVANCE[[#This Row],[BARANDA BALCON]]=AL$2,100%,AVANCE[[#This Row],[BARANDA BALCON]])</f>
        <v>0</v>
      </c>
      <c r="BZ186" s="3">
        <f>+IF(AVANCE[[#This Row],[OSB EXTERIOR]]=AM$2,100%,AVANCE[[#This Row],[OSB EXTERIOR]])</f>
        <v>0</v>
      </c>
      <c r="CA186" s="3">
        <f>+IF(AVANCE[[#This Row],[SMART PANEL]]=AN$2,100%,AVANCE[[#This Row],[SMART PANEL]])</f>
        <v>0</v>
      </c>
      <c r="CB186" s="3">
        <f>+IF(AVANCE[[#This Row],[PINTURA EXTERIOR]]=AO$2,100%,AVANCE[[#This Row],[PINTURA EXTERIOR]])</f>
        <v>0</v>
      </c>
      <c r="CC186" s="3">
        <f>+IF(AVANCE[[#This Row],[ZOCALOS LOGIA]]=AP$2,100%,AVANCE[[#This Row],[ZOCALOS LOGIA]])</f>
        <v>0</v>
      </c>
      <c r="CD186" s="3">
        <f>+IF(AVANCE[[#This Row],[MOLDURAS]]=AQ$2,100%,AVANCE[[#This Row],[MOLDURAS]])</f>
        <v>0</v>
      </c>
      <c r="CE186" s="3">
        <f>+IF(AVANCE[[#This Row],[PILASTREO]]=AR$2,100%,AVANCE[[#This Row],[PILASTREO]])</f>
        <v>0</v>
      </c>
      <c r="CF186" s="3">
        <f>+IF(AVANCE[[#This Row],[CELOSIAS]]=AS$2,100%,AVANCE[[#This Row],[CELOSIAS]])</f>
        <v>0</v>
      </c>
      <c r="CG186" s="3">
        <f>+IF(AVANCE[[#This Row],[VENTANAS]]=AT$2,100%,AVANCE[[#This Row],[VENTANAS]])</f>
        <v>0</v>
      </c>
      <c r="CH186" s="3">
        <f>+IF(AVANCE[[#This Row],[PUERTAS ACCESO - LOGIA - BANO]]=AU$2,100%,AVANCE[[#This Row],[PUERTAS ACCESO - LOGIA - BANO]])</f>
        <v>0</v>
      </c>
      <c r="CI186" s="3">
        <f>+IF(AVANCE[[#This Row],[CERRADURAS]]=AV$2,100%,AVANCE[[#This Row],[CERRADURAS]])</f>
        <v>0</v>
      </c>
      <c r="CJ186" s="3">
        <f>+IF(AVANCE[[#This Row],[REVESTIMIENTO INTERIOR ZONA SECA]]=AW$2,100%,AVANCE[[#This Row],[REVESTIMIENTO INTERIOR ZONA SECA]])</f>
        <v>0</v>
      </c>
      <c r="CK186" s="3">
        <f>+IF(AVANCE[[#This Row],[REVESTIMIENTO INTERIOR ZONAS HUMEDAS]]=AX$2,100%,AVANCE[[#This Row],[REVESTIMIENTO INTERIOR ZONAS HUMEDAS]])</f>
        <v>0</v>
      </c>
      <c r="CL186" s="3">
        <f>+IF(AVANCE[[#This Row],[MEMBRANA CIELO]]=AY$2,100%,AVANCE[[#This Row],[MEMBRANA CIELO]])</f>
        <v>0</v>
      </c>
      <c r="CM186" s="3">
        <f>+IF(AVANCE[[#This Row],[LIMPIEZA FINAL]]=AZ$2,100%,AVANCE[[#This Row],[LIMPIEZA FINAL]])</f>
        <v>0</v>
      </c>
      <c r="CN186" s="3">
        <f>+IF(AVANCE[[#This Row],[PUERTAS DORMITORIO]]=BA$2,100%,AVANCE[[#This Row],[PUERTAS DORMITORIO]])</f>
        <v>0</v>
      </c>
      <c r="CO186" s="3">
        <f>+IF(AVANCE[[#This Row],[REVESTIMIENTO INTERIOR BANO]]=BB$2,100%,AVANCE[[#This Row],[REVESTIMIENTO INTERIOR BANO]])</f>
        <v>0</v>
      </c>
      <c r="CP186" s="3">
        <f>+IF(AVANCE[[#This Row],[MUEBLE LAVAPLATOS]]=BC$2,100%,AVANCE[[#This Row],[MUEBLE LAVAPLATOS]])</f>
        <v>0</v>
      </c>
      <c r="CQ186" s="3">
        <f>+IF(AVANCE[[#This Row],[IMPERMEABILIZACION BANO - COCINA LOGIA]]=BD$2,100%,AVANCE[[#This Row],[IMPERMEABILIZACION BANO - COCINA LOGIA]])</f>
        <v>0</v>
      </c>
      <c r="CR186" s="40">
        <f ca="1">+IF(AVANCE[[#This Row],[ESTADO MODULO]]="PENDIENTE",(TODAY()-AVANCE[[#This Row],[FECHA TERMINO  PLANIFICADO]]),0)</f>
        <v>0</v>
      </c>
      <c r="CS186" s="42" t="str" cm="1">
        <f t="array" ref="CS186">_xlfn.TEXTJOIN(" | ",TRUE,IF(SUMPRODUCT((BF186:CQ186&lt;1)*(PARTIDAS!$I$2:$AT$2="OBRA GRUESA"))&gt;0,"OBRA GRUESA: "&amp;_xlfn.TEXTJOIN(", ",TRUE,IF((BF186:CQ186&lt;1)*(PARTIDAS!$I$2:$AT$2="OBRA GRUESA"),PARTIDAS!$I$1:$AT$1,"")),""),IF(SUMPRODUCT((BF186:CQ186&lt;1)*(PARTIDAS!$I$2:$AT$2="SANITARIOS"))&gt;0,"SANITARIOS: "&amp;_xlfn.TEXTJOIN(", ",TRUE,IF((BF186:CQ186&lt;1)*(PARTIDAS!$I$2:$AT$2="SANITARIOS"),PARTIDAS!$I$1:$AT$1,"")),""),IF(SUMPRODUCT((BF186:CQ186&lt;1)*(PARTIDAS!$I$2:$AT$2="ELÉCTRICO"))&gt;0,"ELÉCTRICO: "&amp;_xlfn.TEXTJOIN(", ",TRUE,IF((BF186:CQ186&lt;1)*(PARTIDAS!$I$2:$AT$2="ELÉCTRICO"),PARTIDAS!$I$1:$AT$1,"")),""),IF(SUMPRODUCT((BF186:CQ186&lt;1)*(PARTIDAS!$I$2:$AT$2="TERMINACIONES"))&gt;0,"TERMINACIONES: "&amp;_xlfn.TEXTJOIN(", ",TRUE,IF((BF186:CQ186&lt;1)*(PARTIDAS!$I$2:$AT$2="TERMINACIONES"),PARTIDAS!$I$1:$AT$1,"")),""))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6" s="45" t="str" cm="1">
        <f t="array" ref="CT186">_xlfn.TEXTJOIN(", ",TRUE,IF(SUMPRODUCT((BF186:CQ186&lt;1)*(PARTIDAS!$I$2:$AT$2="OBRA GRUESA"))&gt;0,"OBRA GRUESA",""),IF(SUMPRODUCT((BF186:CQ186&lt;1)*(PARTIDAS!$I$2:$AT$2="SANITARIOS"))&gt;0,"SANITARIOS",""),IF(SUMPRODUCT((BF186:CQ186&lt;1)*(PARTIDAS!$I$2:$AT$2="ELÉCTRICO"))&gt;0,"ELÉCTRICO",""),IF(SUMPRODUCT((BF186:CQ186&lt;1)*(PARTIDAS!$I$2:$AT$2="TERMINACIONES"))&gt;0,"TERMINACIONES",""))</f>
        <v>OBRA GRUESA, SANITARIOS, ELÉCTRICO, TERMINACIONES</v>
      </c>
      <c r="CU186" s="46" cm="1">
        <f t="array" ref="CU186">SUMPRODUCT(--(BF186:CQ186&lt;1))</f>
        <v>38</v>
      </c>
    </row>
    <row r="187" spans="1:99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46181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 t="str">
        <f>+IF(AVANCE[[#This Row],[% AVANCE]]=100%,"MODULO TERMINADO",IF(AVANCE[[#This Row],[FECHA INICIO REAL]]="","MODULO NO INICIADO","PENDIENTE"))</f>
        <v>MODULO NO INICIADO</v>
      </c>
      <c r="BF187" s="3">
        <f>+IF(AVANCE[[#This Row],[VENTANAS]]=8.10810810810811%,100%,AVANCE[[#This Row],[VENTANAS]])</f>
        <v>0</v>
      </c>
      <c r="BG187" s="3">
        <f>+IF(AVANCE[[#This Row],[PISO]]=N$2,100%,AVANCE[[#This Row],[PISO]])</f>
        <v>0</v>
      </c>
      <c r="BH187" s="3">
        <f>+IF(AVANCE[[#This Row],[TABIQUES]]=O$2,100%,AVANCE[[#This Row],[TABIQUES]])</f>
        <v>0</v>
      </c>
      <c r="BI187" s="3">
        <f>+IF(AVANCE[[#This Row],[MUROS]]=P$2,100%,AVANCE[[#This Row],[MUROS]])</f>
        <v>0</v>
      </c>
      <c r="BJ187" s="3">
        <f>+IF(AVANCE[[#This Row],[CIELO]]=Q$2,100%,AVANCE[[#This Row],[CIELO]])</f>
        <v>0</v>
      </c>
      <c r="BK187" s="3">
        <f>+IF(AVANCE[[#This Row],[BALCÓN]]=R$2,100%,AVANCE[[#This Row],[BALCÓN]])</f>
        <v>0</v>
      </c>
      <c r="BL187" s="3">
        <f>+IF(AVANCE[[#This Row],[RED ALCANTARILLADO]]=U$2,100%,AVANCE[[#This Row],[RED ALCANTARILLADO]])</f>
        <v>0</v>
      </c>
      <c r="BM187" s="3">
        <f>+IF(AVANCE[[#This Row],[RED DE AGUA]]=V$2,100%,AVANCE[[#This Row],[RED DE AGUA]])</f>
        <v>0</v>
      </c>
      <c r="BN187" s="3">
        <f>+IF(AVANCE[[#This Row],[VENTILACIONES]]=W$2,100%,AVANCE[[#This Row],[VENTILACIONES]])</f>
        <v>0</v>
      </c>
      <c r="BO187" s="3">
        <f>+IF(AVANCE[[#This Row],[TINA]]=X$2,100%,AVANCE[[#This Row],[TINA]])</f>
        <v>0</v>
      </c>
      <c r="BP187" s="3">
        <f>+IF(AVANCE[[#This Row],[WC]]=Y$2,100%,AVANCE[[#This Row],[WC]])</f>
        <v>0</v>
      </c>
      <c r="BQ187" s="3">
        <f>+IF(AVANCE[[#This Row],[LAVAMANOS / LAVAPLATOS / LAVADERO]]=Z$2,100%,AVANCE[[#This Row],[LAVAMANOS / LAVAPLATOS / LAVADERO]])</f>
        <v>0</v>
      </c>
      <c r="BR187" s="3">
        <f>+IF(AVANCE[[#This Row],[CANALIZACIÓN]]=AC$2,100%,AVANCE[[#This Row],[CANALIZACIÓN]])</f>
        <v>0</v>
      </c>
      <c r="BS187" s="3">
        <f>+IF(AVANCE[[#This Row],[CABLEADO]]=AD$2,100%,AVANCE[[#This Row],[CABLEADO]])</f>
        <v>0</v>
      </c>
      <c r="BT187" s="3">
        <f>+IF(AVANCE[[#This Row],[ARTEFACTOS]]=AE$2,100%,AVANCE[[#This Row],[ARTEFACTOS]])</f>
        <v>0</v>
      </c>
      <c r="BU187" s="3">
        <f>+IF(AVANCE[[#This Row],[TABLERO]]=AF$2,100%,AVANCE[[#This Row],[TABLERO]])</f>
        <v>0</v>
      </c>
      <c r="BV187" s="3">
        <f>+IF(AVANCE[[#This Row],[CAJA PAU]]=AG$2,100%,AVANCE[[#This Row],[CAJA PAU]])</f>
        <v>0</v>
      </c>
      <c r="BW187" s="3">
        <f>+IF(AVANCE[[#This Row],[INSTALACION VINILICO]]=AJ$2,100%,AVANCE[[#This Row],[INSTALACION VINILICO]])</f>
        <v>0</v>
      </c>
      <c r="BX187" s="3">
        <f>+IF(AVANCE[[#This Row],[OSB CUBIERTA]]=AK$2,100%,AVANCE[[#This Row],[OSB CUBIERTA]])</f>
        <v>0</v>
      </c>
      <c r="BY187" s="3">
        <f>+IF(AVANCE[[#This Row],[BARANDA BALCON]]=AL$2,100%,AVANCE[[#This Row],[BARANDA BALCON]])</f>
        <v>0</v>
      </c>
      <c r="BZ187" s="3">
        <f>+IF(AVANCE[[#This Row],[OSB EXTERIOR]]=AM$2,100%,AVANCE[[#This Row],[OSB EXTERIOR]])</f>
        <v>0</v>
      </c>
      <c r="CA187" s="3">
        <f>+IF(AVANCE[[#This Row],[SMART PANEL]]=AN$2,100%,AVANCE[[#This Row],[SMART PANEL]])</f>
        <v>0</v>
      </c>
      <c r="CB187" s="3">
        <f>+IF(AVANCE[[#This Row],[PINTURA EXTERIOR]]=AO$2,100%,AVANCE[[#This Row],[PINTURA EXTERIOR]])</f>
        <v>0</v>
      </c>
      <c r="CC187" s="3">
        <f>+IF(AVANCE[[#This Row],[ZOCALOS LOGIA]]=AP$2,100%,AVANCE[[#This Row],[ZOCALOS LOGIA]])</f>
        <v>0</v>
      </c>
      <c r="CD187" s="3">
        <f>+IF(AVANCE[[#This Row],[MOLDURAS]]=AQ$2,100%,AVANCE[[#This Row],[MOLDURAS]])</f>
        <v>0</v>
      </c>
      <c r="CE187" s="3">
        <f>+IF(AVANCE[[#This Row],[PILASTREO]]=AR$2,100%,AVANCE[[#This Row],[PILASTREO]])</f>
        <v>0</v>
      </c>
      <c r="CF187" s="3">
        <f>+IF(AVANCE[[#This Row],[CELOSIAS]]=AS$2,100%,AVANCE[[#This Row],[CELOSIAS]])</f>
        <v>0</v>
      </c>
      <c r="CG187" s="3">
        <f>+IF(AVANCE[[#This Row],[VENTANAS]]=AT$2,100%,AVANCE[[#This Row],[VENTANAS]])</f>
        <v>0</v>
      </c>
      <c r="CH187" s="3">
        <f>+IF(AVANCE[[#This Row],[PUERTAS ACCESO - LOGIA - BANO]]=AU$2,100%,AVANCE[[#This Row],[PUERTAS ACCESO - LOGIA - BANO]])</f>
        <v>0</v>
      </c>
      <c r="CI187" s="3">
        <f>+IF(AVANCE[[#This Row],[CERRADURAS]]=AV$2,100%,AVANCE[[#This Row],[CERRADURAS]])</f>
        <v>0</v>
      </c>
      <c r="CJ187" s="3">
        <f>+IF(AVANCE[[#This Row],[REVESTIMIENTO INTERIOR ZONA SECA]]=AW$2,100%,AVANCE[[#This Row],[REVESTIMIENTO INTERIOR ZONA SECA]])</f>
        <v>0</v>
      </c>
      <c r="CK187" s="3">
        <f>+IF(AVANCE[[#This Row],[REVESTIMIENTO INTERIOR ZONAS HUMEDAS]]=AX$2,100%,AVANCE[[#This Row],[REVESTIMIENTO INTERIOR ZONAS HUMEDAS]])</f>
        <v>0</v>
      </c>
      <c r="CL187" s="3">
        <f>+IF(AVANCE[[#This Row],[MEMBRANA CIELO]]=AY$2,100%,AVANCE[[#This Row],[MEMBRANA CIELO]])</f>
        <v>0</v>
      </c>
      <c r="CM187" s="3">
        <f>+IF(AVANCE[[#This Row],[LIMPIEZA FINAL]]=AZ$2,100%,AVANCE[[#This Row],[LIMPIEZA FINAL]])</f>
        <v>0</v>
      </c>
      <c r="CN187" s="3">
        <f>+IF(AVANCE[[#This Row],[PUERTAS DORMITORIO]]=BA$2,100%,AVANCE[[#This Row],[PUERTAS DORMITORIO]])</f>
        <v>0</v>
      </c>
      <c r="CO187" s="3">
        <f>+IF(AVANCE[[#This Row],[REVESTIMIENTO INTERIOR BANO]]=BB$2,100%,AVANCE[[#This Row],[REVESTIMIENTO INTERIOR BANO]])</f>
        <v>0</v>
      </c>
      <c r="CP187" s="3">
        <f>+IF(AVANCE[[#This Row],[MUEBLE LAVAPLATOS]]=BC$2,100%,AVANCE[[#This Row],[MUEBLE LAVAPLATOS]])</f>
        <v>0</v>
      </c>
      <c r="CQ187" s="3">
        <f>+IF(AVANCE[[#This Row],[IMPERMEABILIZACION BANO - COCINA LOGIA]]=BD$2,100%,AVANCE[[#This Row],[IMPERMEABILIZACION BANO - COCINA LOGIA]])</f>
        <v>0</v>
      </c>
      <c r="CR187" s="40">
        <f ca="1">+IF(AVANCE[[#This Row],[ESTADO MODULO]]="PENDIENTE",(TODAY()-AVANCE[[#This Row],[FECHA TERMINO  PLANIFICADO]]),0)</f>
        <v>0</v>
      </c>
      <c r="CS187" s="42" t="str" cm="1">
        <f t="array" ref="CS187">_xlfn.TEXTJOIN(" | ",TRUE,IF(SUMPRODUCT((BF187:CQ187&lt;1)*(PARTIDAS!$I$2:$AT$2="OBRA GRUESA"))&gt;0,"OBRA GRUESA: "&amp;_xlfn.TEXTJOIN(", ",TRUE,IF((BF187:CQ187&lt;1)*(PARTIDAS!$I$2:$AT$2="OBRA GRUESA"),PARTIDAS!$I$1:$AT$1,"")),""),IF(SUMPRODUCT((BF187:CQ187&lt;1)*(PARTIDAS!$I$2:$AT$2="SANITARIOS"))&gt;0,"SANITARIOS: "&amp;_xlfn.TEXTJOIN(", ",TRUE,IF((BF187:CQ187&lt;1)*(PARTIDAS!$I$2:$AT$2="SANITARIOS"),PARTIDAS!$I$1:$AT$1,"")),""),IF(SUMPRODUCT((BF187:CQ187&lt;1)*(PARTIDAS!$I$2:$AT$2="ELÉCTRICO"))&gt;0,"ELÉCTRICO: "&amp;_xlfn.TEXTJOIN(", ",TRUE,IF((BF187:CQ187&lt;1)*(PARTIDAS!$I$2:$AT$2="ELÉCTRICO"),PARTIDAS!$I$1:$AT$1,"")),""),IF(SUMPRODUCT((BF187:CQ187&lt;1)*(PARTIDAS!$I$2:$AT$2="TERMINACIONES"))&gt;0,"TERMINACIONES: "&amp;_xlfn.TEXTJOIN(", ",TRUE,IF((BF187:CQ187&lt;1)*(PARTIDAS!$I$2:$AT$2="TERMINACIONES"),PARTIDAS!$I$1:$AT$1,"")),""))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7" s="45" t="str" cm="1">
        <f t="array" ref="CT187">_xlfn.TEXTJOIN(", ",TRUE,IF(SUMPRODUCT((BF187:CQ187&lt;1)*(PARTIDAS!$I$2:$AT$2="OBRA GRUESA"))&gt;0,"OBRA GRUESA",""),IF(SUMPRODUCT((BF187:CQ187&lt;1)*(PARTIDAS!$I$2:$AT$2="SANITARIOS"))&gt;0,"SANITARIOS",""),IF(SUMPRODUCT((BF187:CQ187&lt;1)*(PARTIDAS!$I$2:$AT$2="ELÉCTRICO"))&gt;0,"ELÉCTRICO",""),IF(SUMPRODUCT((BF187:CQ187&lt;1)*(PARTIDAS!$I$2:$AT$2="TERMINACIONES"))&gt;0,"TERMINACIONES",""))</f>
        <v>OBRA GRUESA, SANITARIOS, ELÉCTRICO, TERMINACIONES</v>
      </c>
      <c r="CU187" s="46" cm="1">
        <f t="array" ref="CU187">SUMPRODUCT(--(BF187:CQ187&lt;1))</f>
        <v>38</v>
      </c>
    </row>
    <row r="188" spans="1:99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46181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 t="str">
        <f>+IF(AVANCE[[#This Row],[% AVANCE]]=100%,"MODULO TERMINADO",IF(AVANCE[[#This Row],[FECHA INICIO REAL]]="","MODULO NO INICIADO","PENDIENTE"))</f>
        <v>MODULO NO INICIADO</v>
      </c>
      <c r="BF188" s="3">
        <f>+IF(AVANCE[[#This Row],[VENTANAS]]=8.10810810810811%,100%,AVANCE[[#This Row],[VENTANAS]])</f>
        <v>0</v>
      </c>
      <c r="BG188" s="3">
        <f>+IF(AVANCE[[#This Row],[PISO]]=N$2,100%,AVANCE[[#This Row],[PISO]])</f>
        <v>0</v>
      </c>
      <c r="BH188" s="3">
        <f>+IF(AVANCE[[#This Row],[TABIQUES]]=O$2,100%,AVANCE[[#This Row],[TABIQUES]])</f>
        <v>0</v>
      </c>
      <c r="BI188" s="3">
        <f>+IF(AVANCE[[#This Row],[MUROS]]=P$2,100%,AVANCE[[#This Row],[MUROS]])</f>
        <v>0</v>
      </c>
      <c r="BJ188" s="3">
        <f>+IF(AVANCE[[#This Row],[CIELO]]=Q$2,100%,AVANCE[[#This Row],[CIELO]])</f>
        <v>0</v>
      </c>
      <c r="BK188" s="3">
        <f>+IF(AVANCE[[#This Row],[BALCÓN]]=R$2,100%,AVANCE[[#This Row],[BALCÓN]])</f>
        <v>0</v>
      </c>
      <c r="BL188" s="3">
        <f>+IF(AVANCE[[#This Row],[RED ALCANTARILLADO]]=U$2,100%,AVANCE[[#This Row],[RED ALCANTARILLADO]])</f>
        <v>0</v>
      </c>
      <c r="BM188" s="3">
        <f>+IF(AVANCE[[#This Row],[RED DE AGUA]]=V$2,100%,AVANCE[[#This Row],[RED DE AGUA]])</f>
        <v>0</v>
      </c>
      <c r="BN188" s="3">
        <f>+IF(AVANCE[[#This Row],[VENTILACIONES]]=W$2,100%,AVANCE[[#This Row],[VENTILACIONES]])</f>
        <v>0</v>
      </c>
      <c r="BO188" s="3">
        <f>+IF(AVANCE[[#This Row],[TINA]]=X$2,100%,AVANCE[[#This Row],[TINA]])</f>
        <v>0</v>
      </c>
      <c r="BP188" s="3">
        <f>+IF(AVANCE[[#This Row],[WC]]=Y$2,100%,AVANCE[[#This Row],[WC]])</f>
        <v>0</v>
      </c>
      <c r="BQ188" s="3">
        <f>+IF(AVANCE[[#This Row],[LAVAMANOS / LAVAPLATOS / LAVADERO]]=Z$2,100%,AVANCE[[#This Row],[LAVAMANOS / LAVAPLATOS / LAVADERO]])</f>
        <v>0</v>
      </c>
      <c r="BR188" s="3">
        <f>+IF(AVANCE[[#This Row],[CANALIZACIÓN]]=AC$2,100%,AVANCE[[#This Row],[CANALIZACIÓN]])</f>
        <v>0</v>
      </c>
      <c r="BS188" s="3">
        <f>+IF(AVANCE[[#This Row],[CABLEADO]]=AD$2,100%,AVANCE[[#This Row],[CABLEADO]])</f>
        <v>0</v>
      </c>
      <c r="BT188" s="3">
        <f>+IF(AVANCE[[#This Row],[ARTEFACTOS]]=AE$2,100%,AVANCE[[#This Row],[ARTEFACTOS]])</f>
        <v>0</v>
      </c>
      <c r="BU188" s="3">
        <f>+IF(AVANCE[[#This Row],[TABLERO]]=AF$2,100%,AVANCE[[#This Row],[TABLERO]])</f>
        <v>0</v>
      </c>
      <c r="BV188" s="3">
        <f>+IF(AVANCE[[#This Row],[CAJA PAU]]=AG$2,100%,AVANCE[[#This Row],[CAJA PAU]])</f>
        <v>0</v>
      </c>
      <c r="BW188" s="3">
        <f>+IF(AVANCE[[#This Row],[INSTALACION VINILICO]]=AJ$2,100%,AVANCE[[#This Row],[INSTALACION VINILICO]])</f>
        <v>0</v>
      </c>
      <c r="BX188" s="3">
        <f>+IF(AVANCE[[#This Row],[OSB CUBIERTA]]=AK$2,100%,AVANCE[[#This Row],[OSB CUBIERTA]])</f>
        <v>0</v>
      </c>
      <c r="BY188" s="3">
        <f>+IF(AVANCE[[#This Row],[BARANDA BALCON]]=AL$2,100%,AVANCE[[#This Row],[BARANDA BALCON]])</f>
        <v>0</v>
      </c>
      <c r="BZ188" s="3">
        <f>+IF(AVANCE[[#This Row],[OSB EXTERIOR]]=AM$2,100%,AVANCE[[#This Row],[OSB EXTERIOR]])</f>
        <v>0</v>
      </c>
      <c r="CA188" s="3">
        <f>+IF(AVANCE[[#This Row],[SMART PANEL]]=AN$2,100%,AVANCE[[#This Row],[SMART PANEL]])</f>
        <v>0</v>
      </c>
      <c r="CB188" s="3">
        <f>+IF(AVANCE[[#This Row],[PINTURA EXTERIOR]]=AO$2,100%,AVANCE[[#This Row],[PINTURA EXTERIOR]])</f>
        <v>0</v>
      </c>
      <c r="CC188" s="3">
        <f>+IF(AVANCE[[#This Row],[ZOCALOS LOGIA]]=AP$2,100%,AVANCE[[#This Row],[ZOCALOS LOGIA]])</f>
        <v>0</v>
      </c>
      <c r="CD188" s="3">
        <f>+IF(AVANCE[[#This Row],[MOLDURAS]]=AQ$2,100%,AVANCE[[#This Row],[MOLDURAS]])</f>
        <v>0</v>
      </c>
      <c r="CE188" s="3">
        <f>+IF(AVANCE[[#This Row],[PILASTREO]]=AR$2,100%,AVANCE[[#This Row],[PILASTREO]])</f>
        <v>0</v>
      </c>
      <c r="CF188" s="3">
        <f>+IF(AVANCE[[#This Row],[CELOSIAS]]=AS$2,100%,AVANCE[[#This Row],[CELOSIAS]])</f>
        <v>0</v>
      </c>
      <c r="CG188" s="3">
        <f>+IF(AVANCE[[#This Row],[VENTANAS]]=AT$2,100%,AVANCE[[#This Row],[VENTANAS]])</f>
        <v>0</v>
      </c>
      <c r="CH188" s="3">
        <f>+IF(AVANCE[[#This Row],[PUERTAS ACCESO - LOGIA - BANO]]=AU$2,100%,AVANCE[[#This Row],[PUERTAS ACCESO - LOGIA - BANO]])</f>
        <v>0</v>
      </c>
      <c r="CI188" s="3">
        <f>+IF(AVANCE[[#This Row],[CERRADURAS]]=AV$2,100%,AVANCE[[#This Row],[CERRADURAS]])</f>
        <v>0</v>
      </c>
      <c r="CJ188" s="3">
        <f>+IF(AVANCE[[#This Row],[REVESTIMIENTO INTERIOR ZONA SECA]]=AW$2,100%,AVANCE[[#This Row],[REVESTIMIENTO INTERIOR ZONA SECA]])</f>
        <v>0</v>
      </c>
      <c r="CK188" s="3">
        <f>+IF(AVANCE[[#This Row],[REVESTIMIENTO INTERIOR ZONAS HUMEDAS]]=AX$2,100%,AVANCE[[#This Row],[REVESTIMIENTO INTERIOR ZONAS HUMEDAS]])</f>
        <v>0</v>
      </c>
      <c r="CL188" s="3">
        <f>+IF(AVANCE[[#This Row],[MEMBRANA CIELO]]=AY$2,100%,AVANCE[[#This Row],[MEMBRANA CIELO]])</f>
        <v>0</v>
      </c>
      <c r="CM188" s="3">
        <f>+IF(AVANCE[[#This Row],[LIMPIEZA FINAL]]=AZ$2,100%,AVANCE[[#This Row],[LIMPIEZA FINAL]])</f>
        <v>0</v>
      </c>
      <c r="CN188" s="3">
        <f>+IF(AVANCE[[#This Row],[PUERTAS DORMITORIO]]=BA$2,100%,AVANCE[[#This Row],[PUERTAS DORMITORIO]])</f>
        <v>0</v>
      </c>
      <c r="CO188" s="3">
        <f>+IF(AVANCE[[#This Row],[REVESTIMIENTO INTERIOR BANO]]=BB$2,100%,AVANCE[[#This Row],[REVESTIMIENTO INTERIOR BANO]])</f>
        <v>0</v>
      </c>
      <c r="CP188" s="3">
        <f>+IF(AVANCE[[#This Row],[MUEBLE LAVAPLATOS]]=BC$2,100%,AVANCE[[#This Row],[MUEBLE LAVAPLATOS]])</f>
        <v>0</v>
      </c>
      <c r="CQ188" s="3">
        <f>+IF(AVANCE[[#This Row],[IMPERMEABILIZACION BANO - COCINA LOGIA]]=BD$2,100%,AVANCE[[#This Row],[IMPERMEABILIZACION BANO - COCINA LOGIA]])</f>
        <v>0</v>
      </c>
      <c r="CR188" s="40">
        <f ca="1">+IF(AVANCE[[#This Row],[ESTADO MODULO]]="PENDIENTE",(TODAY()-AVANCE[[#This Row],[FECHA TERMINO  PLANIFICADO]]),0)</f>
        <v>0</v>
      </c>
      <c r="CS188" s="42" t="str" cm="1">
        <f t="array" ref="CS188">_xlfn.TEXTJOIN(" | ",TRUE,IF(SUMPRODUCT((BF188:CQ188&lt;1)*(PARTIDAS!$I$2:$AT$2="OBRA GRUESA"))&gt;0,"OBRA GRUESA: "&amp;_xlfn.TEXTJOIN(", ",TRUE,IF((BF188:CQ188&lt;1)*(PARTIDAS!$I$2:$AT$2="OBRA GRUESA"),PARTIDAS!$I$1:$AT$1,"")),""),IF(SUMPRODUCT((BF188:CQ188&lt;1)*(PARTIDAS!$I$2:$AT$2="SANITARIOS"))&gt;0,"SANITARIOS: "&amp;_xlfn.TEXTJOIN(", ",TRUE,IF((BF188:CQ188&lt;1)*(PARTIDAS!$I$2:$AT$2="SANITARIOS"),PARTIDAS!$I$1:$AT$1,"")),""),IF(SUMPRODUCT((BF188:CQ188&lt;1)*(PARTIDAS!$I$2:$AT$2="ELÉCTRICO"))&gt;0,"ELÉCTRICO: "&amp;_xlfn.TEXTJOIN(", ",TRUE,IF((BF188:CQ188&lt;1)*(PARTIDAS!$I$2:$AT$2="ELÉCTRICO"),PARTIDAS!$I$1:$AT$1,"")),""),IF(SUMPRODUCT((BF188:CQ188&lt;1)*(PARTIDAS!$I$2:$AT$2="TERMINACIONES"))&gt;0,"TERMINACIONES: "&amp;_xlfn.TEXTJOIN(", ",TRUE,IF((BF188:CQ188&lt;1)*(PARTIDAS!$I$2:$AT$2="TERMINACIONES"),PARTIDAS!$I$1:$AT$1,"")),""))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8" s="45" t="str" cm="1">
        <f t="array" ref="CT188">_xlfn.TEXTJOIN(", ",TRUE,IF(SUMPRODUCT((BF188:CQ188&lt;1)*(PARTIDAS!$I$2:$AT$2="OBRA GRUESA"))&gt;0,"OBRA GRUESA",""),IF(SUMPRODUCT((BF188:CQ188&lt;1)*(PARTIDAS!$I$2:$AT$2="SANITARIOS"))&gt;0,"SANITARIOS",""),IF(SUMPRODUCT((BF188:CQ188&lt;1)*(PARTIDAS!$I$2:$AT$2="ELÉCTRICO"))&gt;0,"ELÉCTRICO",""),IF(SUMPRODUCT((BF188:CQ188&lt;1)*(PARTIDAS!$I$2:$AT$2="TERMINACIONES"))&gt;0,"TERMINACIONES",""))</f>
        <v>OBRA GRUESA, SANITARIOS, ELÉCTRICO, TERMINACIONES</v>
      </c>
      <c r="CU188" s="46" cm="1">
        <f t="array" ref="CU188">SUMPRODUCT(--(BF188:CQ188&lt;1))</f>
        <v>38</v>
      </c>
    </row>
    <row r="189" spans="1:99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46181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 t="str">
        <f>+IF(AVANCE[[#This Row],[% AVANCE]]=100%,"MODULO TERMINADO",IF(AVANCE[[#This Row],[FECHA INICIO REAL]]="","MODULO NO INICIADO","PENDIENTE"))</f>
        <v>MODULO NO INICIADO</v>
      </c>
      <c r="BF189" s="3">
        <f>+IF(AVANCE[[#This Row],[VENTANAS]]=8.10810810810811%,100%,AVANCE[[#This Row],[VENTANAS]])</f>
        <v>0</v>
      </c>
      <c r="BG189" s="3">
        <f>+IF(AVANCE[[#This Row],[PISO]]=N$2,100%,AVANCE[[#This Row],[PISO]])</f>
        <v>0</v>
      </c>
      <c r="BH189" s="3">
        <f>+IF(AVANCE[[#This Row],[TABIQUES]]=O$2,100%,AVANCE[[#This Row],[TABIQUES]])</f>
        <v>0</v>
      </c>
      <c r="BI189" s="3">
        <f>+IF(AVANCE[[#This Row],[MUROS]]=P$2,100%,AVANCE[[#This Row],[MUROS]])</f>
        <v>0</v>
      </c>
      <c r="BJ189" s="3">
        <f>+IF(AVANCE[[#This Row],[CIELO]]=Q$2,100%,AVANCE[[#This Row],[CIELO]])</f>
        <v>0</v>
      </c>
      <c r="BK189" s="3">
        <f>+IF(AVANCE[[#This Row],[BALCÓN]]=R$2,100%,AVANCE[[#This Row],[BALCÓN]])</f>
        <v>0</v>
      </c>
      <c r="BL189" s="3">
        <f>+IF(AVANCE[[#This Row],[RED ALCANTARILLADO]]=U$2,100%,AVANCE[[#This Row],[RED ALCANTARILLADO]])</f>
        <v>0</v>
      </c>
      <c r="BM189" s="3">
        <f>+IF(AVANCE[[#This Row],[RED DE AGUA]]=V$2,100%,AVANCE[[#This Row],[RED DE AGUA]])</f>
        <v>0</v>
      </c>
      <c r="BN189" s="3">
        <f>+IF(AVANCE[[#This Row],[VENTILACIONES]]=W$2,100%,AVANCE[[#This Row],[VENTILACIONES]])</f>
        <v>0</v>
      </c>
      <c r="BO189" s="3">
        <f>+IF(AVANCE[[#This Row],[TINA]]=X$2,100%,AVANCE[[#This Row],[TINA]])</f>
        <v>0</v>
      </c>
      <c r="BP189" s="3">
        <f>+IF(AVANCE[[#This Row],[WC]]=Y$2,100%,AVANCE[[#This Row],[WC]])</f>
        <v>0</v>
      </c>
      <c r="BQ189" s="3">
        <f>+IF(AVANCE[[#This Row],[LAVAMANOS / LAVAPLATOS / LAVADERO]]=Z$2,100%,AVANCE[[#This Row],[LAVAMANOS / LAVAPLATOS / LAVADERO]])</f>
        <v>0</v>
      </c>
      <c r="BR189" s="3">
        <f>+IF(AVANCE[[#This Row],[CANALIZACIÓN]]=AC$2,100%,AVANCE[[#This Row],[CANALIZACIÓN]])</f>
        <v>0</v>
      </c>
      <c r="BS189" s="3">
        <f>+IF(AVANCE[[#This Row],[CABLEADO]]=AD$2,100%,AVANCE[[#This Row],[CABLEADO]])</f>
        <v>0</v>
      </c>
      <c r="BT189" s="3">
        <f>+IF(AVANCE[[#This Row],[ARTEFACTOS]]=AE$2,100%,AVANCE[[#This Row],[ARTEFACTOS]])</f>
        <v>0</v>
      </c>
      <c r="BU189" s="3">
        <f>+IF(AVANCE[[#This Row],[TABLERO]]=AF$2,100%,AVANCE[[#This Row],[TABLERO]])</f>
        <v>0</v>
      </c>
      <c r="BV189" s="3">
        <f>+IF(AVANCE[[#This Row],[CAJA PAU]]=AG$2,100%,AVANCE[[#This Row],[CAJA PAU]])</f>
        <v>0</v>
      </c>
      <c r="BW189" s="3">
        <f>+IF(AVANCE[[#This Row],[INSTALACION VINILICO]]=AJ$2,100%,AVANCE[[#This Row],[INSTALACION VINILICO]])</f>
        <v>0</v>
      </c>
      <c r="BX189" s="3">
        <f>+IF(AVANCE[[#This Row],[OSB CUBIERTA]]=AK$2,100%,AVANCE[[#This Row],[OSB CUBIERTA]])</f>
        <v>0</v>
      </c>
      <c r="BY189" s="3">
        <f>+IF(AVANCE[[#This Row],[BARANDA BALCON]]=AL$2,100%,AVANCE[[#This Row],[BARANDA BALCON]])</f>
        <v>0</v>
      </c>
      <c r="BZ189" s="3">
        <f>+IF(AVANCE[[#This Row],[OSB EXTERIOR]]=AM$2,100%,AVANCE[[#This Row],[OSB EXTERIOR]])</f>
        <v>0</v>
      </c>
      <c r="CA189" s="3">
        <f>+IF(AVANCE[[#This Row],[SMART PANEL]]=AN$2,100%,AVANCE[[#This Row],[SMART PANEL]])</f>
        <v>0</v>
      </c>
      <c r="CB189" s="3">
        <f>+IF(AVANCE[[#This Row],[PINTURA EXTERIOR]]=AO$2,100%,AVANCE[[#This Row],[PINTURA EXTERIOR]])</f>
        <v>0</v>
      </c>
      <c r="CC189" s="3">
        <f>+IF(AVANCE[[#This Row],[ZOCALOS LOGIA]]=AP$2,100%,AVANCE[[#This Row],[ZOCALOS LOGIA]])</f>
        <v>0</v>
      </c>
      <c r="CD189" s="3">
        <f>+IF(AVANCE[[#This Row],[MOLDURAS]]=AQ$2,100%,AVANCE[[#This Row],[MOLDURAS]])</f>
        <v>0</v>
      </c>
      <c r="CE189" s="3">
        <f>+IF(AVANCE[[#This Row],[PILASTREO]]=AR$2,100%,AVANCE[[#This Row],[PILASTREO]])</f>
        <v>0</v>
      </c>
      <c r="CF189" s="3">
        <f>+IF(AVANCE[[#This Row],[CELOSIAS]]=AS$2,100%,AVANCE[[#This Row],[CELOSIAS]])</f>
        <v>0</v>
      </c>
      <c r="CG189" s="3">
        <f>+IF(AVANCE[[#This Row],[VENTANAS]]=AT$2,100%,AVANCE[[#This Row],[VENTANAS]])</f>
        <v>0</v>
      </c>
      <c r="CH189" s="3">
        <f>+IF(AVANCE[[#This Row],[PUERTAS ACCESO - LOGIA - BANO]]=AU$2,100%,AVANCE[[#This Row],[PUERTAS ACCESO - LOGIA - BANO]])</f>
        <v>0</v>
      </c>
      <c r="CI189" s="3">
        <f>+IF(AVANCE[[#This Row],[CERRADURAS]]=AV$2,100%,AVANCE[[#This Row],[CERRADURAS]])</f>
        <v>0</v>
      </c>
      <c r="CJ189" s="3">
        <f>+IF(AVANCE[[#This Row],[REVESTIMIENTO INTERIOR ZONA SECA]]=AW$2,100%,AVANCE[[#This Row],[REVESTIMIENTO INTERIOR ZONA SECA]])</f>
        <v>0</v>
      </c>
      <c r="CK189" s="3">
        <f>+IF(AVANCE[[#This Row],[REVESTIMIENTO INTERIOR ZONAS HUMEDAS]]=AX$2,100%,AVANCE[[#This Row],[REVESTIMIENTO INTERIOR ZONAS HUMEDAS]])</f>
        <v>0</v>
      </c>
      <c r="CL189" s="3">
        <f>+IF(AVANCE[[#This Row],[MEMBRANA CIELO]]=AY$2,100%,AVANCE[[#This Row],[MEMBRANA CIELO]])</f>
        <v>0</v>
      </c>
      <c r="CM189" s="3">
        <f>+IF(AVANCE[[#This Row],[LIMPIEZA FINAL]]=AZ$2,100%,AVANCE[[#This Row],[LIMPIEZA FINAL]])</f>
        <v>0</v>
      </c>
      <c r="CN189" s="3">
        <f>+IF(AVANCE[[#This Row],[PUERTAS DORMITORIO]]=BA$2,100%,AVANCE[[#This Row],[PUERTAS DORMITORIO]])</f>
        <v>0</v>
      </c>
      <c r="CO189" s="3">
        <f>+IF(AVANCE[[#This Row],[REVESTIMIENTO INTERIOR BANO]]=BB$2,100%,AVANCE[[#This Row],[REVESTIMIENTO INTERIOR BANO]])</f>
        <v>0</v>
      </c>
      <c r="CP189" s="3">
        <f>+IF(AVANCE[[#This Row],[MUEBLE LAVAPLATOS]]=BC$2,100%,AVANCE[[#This Row],[MUEBLE LAVAPLATOS]])</f>
        <v>0</v>
      </c>
      <c r="CQ189" s="3">
        <f>+IF(AVANCE[[#This Row],[IMPERMEABILIZACION BANO - COCINA LOGIA]]=BD$2,100%,AVANCE[[#This Row],[IMPERMEABILIZACION BANO - COCINA LOGIA]])</f>
        <v>0</v>
      </c>
      <c r="CR189" s="40">
        <f ca="1">+IF(AVANCE[[#This Row],[ESTADO MODULO]]="PENDIENTE",(TODAY()-AVANCE[[#This Row],[FECHA TERMINO  PLANIFICADO]]),0)</f>
        <v>0</v>
      </c>
      <c r="CS189" s="42" t="str" cm="1">
        <f t="array" ref="CS189">_xlfn.TEXTJOIN(" | ",TRUE,IF(SUMPRODUCT((BF189:CQ189&lt;1)*(PARTIDAS!$I$2:$AT$2="OBRA GRUESA"))&gt;0,"OBRA GRUESA: "&amp;_xlfn.TEXTJOIN(", ",TRUE,IF((BF189:CQ189&lt;1)*(PARTIDAS!$I$2:$AT$2="OBRA GRUESA"),PARTIDAS!$I$1:$AT$1,"")),""),IF(SUMPRODUCT((BF189:CQ189&lt;1)*(PARTIDAS!$I$2:$AT$2="SANITARIOS"))&gt;0,"SANITARIOS: "&amp;_xlfn.TEXTJOIN(", ",TRUE,IF((BF189:CQ189&lt;1)*(PARTIDAS!$I$2:$AT$2="SANITARIOS"),PARTIDAS!$I$1:$AT$1,"")),""),IF(SUMPRODUCT((BF189:CQ189&lt;1)*(PARTIDAS!$I$2:$AT$2="ELÉCTRICO"))&gt;0,"ELÉCTRICO: "&amp;_xlfn.TEXTJOIN(", ",TRUE,IF((BF189:CQ189&lt;1)*(PARTIDAS!$I$2:$AT$2="ELÉCTRICO"),PARTIDAS!$I$1:$AT$1,"")),""),IF(SUMPRODUCT((BF189:CQ189&lt;1)*(PARTIDAS!$I$2:$AT$2="TERMINACIONES"))&gt;0,"TERMINACIONES: "&amp;_xlfn.TEXTJOIN(", ",TRUE,IF((BF189:CQ189&lt;1)*(PARTIDAS!$I$2:$AT$2="TERMINACIONES"),PARTIDAS!$I$1:$AT$1,"")),""))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89" s="45" t="str" cm="1">
        <f t="array" ref="CT189">_xlfn.TEXTJOIN(", ",TRUE,IF(SUMPRODUCT((BF189:CQ189&lt;1)*(PARTIDAS!$I$2:$AT$2="OBRA GRUESA"))&gt;0,"OBRA GRUESA",""),IF(SUMPRODUCT((BF189:CQ189&lt;1)*(PARTIDAS!$I$2:$AT$2="SANITARIOS"))&gt;0,"SANITARIOS",""),IF(SUMPRODUCT((BF189:CQ189&lt;1)*(PARTIDAS!$I$2:$AT$2="ELÉCTRICO"))&gt;0,"ELÉCTRICO",""),IF(SUMPRODUCT((BF189:CQ189&lt;1)*(PARTIDAS!$I$2:$AT$2="TERMINACIONES"))&gt;0,"TERMINACIONES",""))</f>
        <v>OBRA GRUESA, SANITARIOS, ELÉCTRICO, TERMINACIONES</v>
      </c>
      <c r="CU189" s="46" cm="1">
        <f t="array" ref="CU189">SUMPRODUCT(--(BF189:CQ189&lt;1))</f>
        <v>38</v>
      </c>
    </row>
    <row r="190" spans="1:99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46181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 t="str">
        <f>+IF(AVANCE[[#This Row],[% AVANCE]]=100%,"MODULO TERMINADO",IF(AVANCE[[#This Row],[FECHA INICIO REAL]]="","MODULO NO INICIADO","PENDIENTE"))</f>
        <v>MODULO NO INICIADO</v>
      </c>
      <c r="BF190" s="3">
        <f>+IF(AVANCE[[#This Row],[VENTANAS]]=8.10810810810811%,100%,AVANCE[[#This Row],[VENTANAS]])</f>
        <v>0</v>
      </c>
      <c r="BG190" s="3">
        <f>+IF(AVANCE[[#This Row],[PISO]]=N$2,100%,AVANCE[[#This Row],[PISO]])</f>
        <v>0</v>
      </c>
      <c r="BH190" s="3">
        <f>+IF(AVANCE[[#This Row],[TABIQUES]]=O$2,100%,AVANCE[[#This Row],[TABIQUES]])</f>
        <v>0</v>
      </c>
      <c r="BI190" s="3">
        <f>+IF(AVANCE[[#This Row],[MUROS]]=P$2,100%,AVANCE[[#This Row],[MUROS]])</f>
        <v>0</v>
      </c>
      <c r="BJ190" s="3">
        <f>+IF(AVANCE[[#This Row],[CIELO]]=Q$2,100%,AVANCE[[#This Row],[CIELO]])</f>
        <v>0</v>
      </c>
      <c r="BK190" s="3">
        <f>+IF(AVANCE[[#This Row],[BALCÓN]]=R$2,100%,AVANCE[[#This Row],[BALCÓN]])</f>
        <v>0</v>
      </c>
      <c r="BL190" s="3">
        <f>+IF(AVANCE[[#This Row],[RED ALCANTARILLADO]]=U$2,100%,AVANCE[[#This Row],[RED ALCANTARILLADO]])</f>
        <v>0</v>
      </c>
      <c r="BM190" s="3">
        <f>+IF(AVANCE[[#This Row],[RED DE AGUA]]=V$2,100%,AVANCE[[#This Row],[RED DE AGUA]])</f>
        <v>0</v>
      </c>
      <c r="BN190" s="3">
        <f>+IF(AVANCE[[#This Row],[VENTILACIONES]]=W$2,100%,AVANCE[[#This Row],[VENTILACIONES]])</f>
        <v>0</v>
      </c>
      <c r="BO190" s="3">
        <f>+IF(AVANCE[[#This Row],[TINA]]=X$2,100%,AVANCE[[#This Row],[TINA]])</f>
        <v>0</v>
      </c>
      <c r="BP190" s="3">
        <f>+IF(AVANCE[[#This Row],[WC]]=Y$2,100%,AVANCE[[#This Row],[WC]])</f>
        <v>0</v>
      </c>
      <c r="BQ190" s="3">
        <f>+IF(AVANCE[[#This Row],[LAVAMANOS / LAVAPLATOS / LAVADERO]]=Z$2,100%,AVANCE[[#This Row],[LAVAMANOS / LAVAPLATOS / LAVADERO]])</f>
        <v>0</v>
      </c>
      <c r="BR190" s="3">
        <f>+IF(AVANCE[[#This Row],[CANALIZACIÓN]]=AC$2,100%,AVANCE[[#This Row],[CANALIZACIÓN]])</f>
        <v>0</v>
      </c>
      <c r="BS190" s="3">
        <f>+IF(AVANCE[[#This Row],[CABLEADO]]=AD$2,100%,AVANCE[[#This Row],[CABLEADO]])</f>
        <v>0</v>
      </c>
      <c r="BT190" s="3">
        <f>+IF(AVANCE[[#This Row],[ARTEFACTOS]]=AE$2,100%,AVANCE[[#This Row],[ARTEFACTOS]])</f>
        <v>0</v>
      </c>
      <c r="BU190" s="3">
        <f>+IF(AVANCE[[#This Row],[TABLERO]]=AF$2,100%,AVANCE[[#This Row],[TABLERO]])</f>
        <v>0</v>
      </c>
      <c r="BV190" s="3">
        <f>+IF(AVANCE[[#This Row],[CAJA PAU]]=AG$2,100%,AVANCE[[#This Row],[CAJA PAU]])</f>
        <v>0</v>
      </c>
      <c r="BW190" s="3">
        <f>+IF(AVANCE[[#This Row],[INSTALACION VINILICO]]=AJ$2,100%,AVANCE[[#This Row],[INSTALACION VINILICO]])</f>
        <v>0</v>
      </c>
      <c r="BX190" s="3">
        <f>+IF(AVANCE[[#This Row],[OSB CUBIERTA]]=AK$2,100%,AVANCE[[#This Row],[OSB CUBIERTA]])</f>
        <v>0</v>
      </c>
      <c r="BY190" s="3">
        <f>+IF(AVANCE[[#This Row],[BARANDA BALCON]]=AL$2,100%,AVANCE[[#This Row],[BARANDA BALCON]])</f>
        <v>0</v>
      </c>
      <c r="BZ190" s="3">
        <f>+IF(AVANCE[[#This Row],[OSB EXTERIOR]]=AM$2,100%,AVANCE[[#This Row],[OSB EXTERIOR]])</f>
        <v>0</v>
      </c>
      <c r="CA190" s="3">
        <f>+IF(AVANCE[[#This Row],[SMART PANEL]]=AN$2,100%,AVANCE[[#This Row],[SMART PANEL]])</f>
        <v>0</v>
      </c>
      <c r="CB190" s="3">
        <f>+IF(AVANCE[[#This Row],[PINTURA EXTERIOR]]=AO$2,100%,AVANCE[[#This Row],[PINTURA EXTERIOR]])</f>
        <v>0</v>
      </c>
      <c r="CC190" s="3">
        <f>+IF(AVANCE[[#This Row],[ZOCALOS LOGIA]]=AP$2,100%,AVANCE[[#This Row],[ZOCALOS LOGIA]])</f>
        <v>0</v>
      </c>
      <c r="CD190" s="3">
        <f>+IF(AVANCE[[#This Row],[MOLDURAS]]=AQ$2,100%,AVANCE[[#This Row],[MOLDURAS]])</f>
        <v>0</v>
      </c>
      <c r="CE190" s="3">
        <f>+IF(AVANCE[[#This Row],[PILASTREO]]=AR$2,100%,AVANCE[[#This Row],[PILASTREO]])</f>
        <v>0</v>
      </c>
      <c r="CF190" s="3">
        <f>+IF(AVANCE[[#This Row],[CELOSIAS]]=AS$2,100%,AVANCE[[#This Row],[CELOSIAS]])</f>
        <v>0</v>
      </c>
      <c r="CG190" s="3">
        <f>+IF(AVANCE[[#This Row],[VENTANAS]]=AT$2,100%,AVANCE[[#This Row],[VENTANAS]])</f>
        <v>0</v>
      </c>
      <c r="CH190" s="3">
        <f>+IF(AVANCE[[#This Row],[PUERTAS ACCESO - LOGIA - BANO]]=AU$2,100%,AVANCE[[#This Row],[PUERTAS ACCESO - LOGIA - BANO]])</f>
        <v>0</v>
      </c>
      <c r="CI190" s="3">
        <f>+IF(AVANCE[[#This Row],[CERRADURAS]]=AV$2,100%,AVANCE[[#This Row],[CERRADURAS]])</f>
        <v>0</v>
      </c>
      <c r="CJ190" s="3">
        <f>+IF(AVANCE[[#This Row],[REVESTIMIENTO INTERIOR ZONA SECA]]=AW$2,100%,AVANCE[[#This Row],[REVESTIMIENTO INTERIOR ZONA SECA]])</f>
        <v>0</v>
      </c>
      <c r="CK190" s="3">
        <f>+IF(AVANCE[[#This Row],[REVESTIMIENTO INTERIOR ZONAS HUMEDAS]]=AX$2,100%,AVANCE[[#This Row],[REVESTIMIENTO INTERIOR ZONAS HUMEDAS]])</f>
        <v>0</v>
      </c>
      <c r="CL190" s="3">
        <f>+IF(AVANCE[[#This Row],[MEMBRANA CIELO]]=AY$2,100%,AVANCE[[#This Row],[MEMBRANA CIELO]])</f>
        <v>0</v>
      </c>
      <c r="CM190" s="3">
        <f>+IF(AVANCE[[#This Row],[LIMPIEZA FINAL]]=AZ$2,100%,AVANCE[[#This Row],[LIMPIEZA FINAL]])</f>
        <v>0</v>
      </c>
      <c r="CN190" s="3">
        <f>+IF(AVANCE[[#This Row],[PUERTAS DORMITORIO]]=BA$2,100%,AVANCE[[#This Row],[PUERTAS DORMITORIO]])</f>
        <v>0</v>
      </c>
      <c r="CO190" s="3">
        <f>+IF(AVANCE[[#This Row],[REVESTIMIENTO INTERIOR BANO]]=BB$2,100%,AVANCE[[#This Row],[REVESTIMIENTO INTERIOR BANO]])</f>
        <v>0</v>
      </c>
      <c r="CP190" s="3">
        <f>+IF(AVANCE[[#This Row],[MUEBLE LAVAPLATOS]]=BC$2,100%,AVANCE[[#This Row],[MUEBLE LAVAPLATOS]])</f>
        <v>0</v>
      </c>
      <c r="CQ190" s="3">
        <f>+IF(AVANCE[[#This Row],[IMPERMEABILIZACION BANO - COCINA LOGIA]]=BD$2,100%,AVANCE[[#This Row],[IMPERMEABILIZACION BANO - COCINA LOGIA]])</f>
        <v>0</v>
      </c>
      <c r="CR190" s="40">
        <f ca="1">+IF(AVANCE[[#This Row],[ESTADO MODULO]]="PENDIENTE",(TODAY()-AVANCE[[#This Row],[FECHA TERMINO  PLANIFICADO]]),0)</f>
        <v>0</v>
      </c>
      <c r="CS190" s="42" t="str" cm="1">
        <f t="array" ref="CS190">_xlfn.TEXTJOIN(" | ",TRUE,IF(SUMPRODUCT((BF190:CQ190&lt;1)*(PARTIDAS!$I$2:$AT$2="OBRA GRUESA"))&gt;0,"OBRA GRUESA: "&amp;_xlfn.TEXTJOIN(", ",TRUE,IF((BF190:CQ190&lt;1)*(PARTIDAS!$I$2:$AT$2="OBRA GRUESA"),PARTIDAS!$I$1:$AT$1,"")),""),IF(SUMPRODUCT((BF190:CQ190&lt;1)*(PARTIDAS!$I$2:$AT$2="SANITARIOS"))&gt;0,"SANITARIOS: "&amp;_xlfn.TEXTJOIN(", ",TRUE,IF((BF190:CQ190&lt;1)*(PARTIDAS!$I$2:$AT$2="SANITARIOS"),PARTIDAS!$I$1:$AT$1,"")),""),IF(SUMPRODUCT((BF190:CQ190&lt;1)*(PARTIDAS!$I$2:$AT$2="ELÉCTRICO"))&gt;0,"ELÉCTRICO: "&amp;_xlfn.TEXTJOIN(", ",TRUE,IF((BF190:CQ190&lt;1)*(PARTIDAS!$I$2:$AT$2="ELÉCTRICO"),PARTIDAS!$I$1:$AT$1,"")),""),IF(SUMPRODUCT((BF190:CQ190&lt;1)*(PARTIDAS!$I$2:$AT$2="TERMINACIONES"))&gt;0,"TERMINACIONES: "&amp;_xlfn.TEXTJOIN(", ",TRUE,IF((BF190:CQ190&lt;1)*(PARTIDAS!$I$2:$AT$2="TERMINACIONES"),PARTIDAS!$I$1:$AT$1,"")),""))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0" s="45" t="str" cm="1">
        <f t="array" ref="CT190">_xlfn.TEXTJOIN(", ",TRUE,IF(SUMPRODUCT((BF190:CQ190&lt;1)*(PARTIDAS!$I$2:$AT$2="OBRA GRUESA"))&gt;0,"OBRA GRUESA",""),IF(SUMPRODUCT((BF190:CQ190&lt;1)*(PARTIDAS!$I$2:$AT$2="SANITARIOS"))&gt;0,"SANITARIOS",""),IF(SUMPRODUCT((BF190:CQ190&lt;1)*(PARTIDAS!$I$2:$AT$2="ELÉCTRICO"))&gt;0,"ELÉCTRICO",""),IF(SUMPRODUCT((BF190:CQ190&lt;1)*(PARTIDAS!$I$2:$AT$2="TERMINACIONES"))&gt;0,"TERMINACIONES",""))</f>
        <v>OBRA GRUESA, SANITARIOS, ELÉCTRICO, TERMINACIONES</v>
      </c>
      <c r="CU190" s="46" cm="1">
        <f t="array" ref="CU190">SUMPRODUCT(--(BF190:CQ190&lt;1))</f>
        <v>38</v>
      </c>
    </row>
    <row r="191" spans="1:99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46181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 t="str">
        <f>+IF(AVANCE[[#This Row],[% AVANCE]]=100%,"MODULO TERMINADO",IF(AVANCE[[#This Row],[FECHA INICIO REAL]]="","MODULO NO INICIADO","PENDIENTE"))</f>
        <v>MODULO NO INICIADO</v>
      </c>
      <c r="BF191" s="3">
        <f>+IF(AVANCE[[#This Row],[VENTANAS]]=8.10810810810811%,100%,AVANCE[[#This Row],[VENTANAS]])</f>
        <v>0</v>
      </c>
      <c r="BG191" s="3">
        <f>+IF(AVANCE[[#This Row],[PISO]]=N$2,100%,AVANCE[[#This Row],[PISO]])</f>
        <v>0</v>
      </c>
      <c r="BH191" s="3">
        <f>+IF(AVANCE[[#This Row],[TABIQUES]]=O$2,100%,AVANCE[[#This Row],[TABIQUES]])</f>
        <v>0</v>
      </c>
      <c r="BI191" s="3">
        <f>+IF(AVANCE[[#This Row],[MUROS]]=P$2,100%,AVANCE[[#This Row],[MUROS]])</f>
        <v>0</v>
      </c>
      <c r="BJ191" s="3">
        <f>+IF(AVANCE[[#This Row],[CIELO]]=Q$2,100%,AVANCE[[#This Row],[CIELO]])</f>
        <v>0</v>
      </c>
      <c r="BK191" s="3">
        <f>+IF(AVANCE[[#This Row],[BALCÓN]]=R$2,100%,AVANCE[[#This Row],[BALCÓN]])</f>
        <v>0</v>
      </c>
      <c r="BL191" s="3">
        <f>+IF(AVANCE[[#This Row],[RED ALCANTARILLADO]]=U$2,100%,AVANCE[[#This Row],[RED ALCANTARILLADO]])</f>
        <v>0</v>
      </c>
      <c r="BM191" s="3">
        <f>+IF(AVANCE[[#This Row],[RED DE AGUA]]=V$2,100%,AVANCE[[#This Row],[RED DE AGUA]])</f>
        <v>0</v>
      </c>
      <c r="BN191" s="3">
        <f>+IF(AVANCE[[#This Row],[VENTILACIONES]]=W$2,100%,AVANCE[[#This Row],[VENTILACIONES]])</f>
        <v>0</v>
      </c>
      <c r="BO191" s="3">
        <f>+IF(AVANCE[[#This Row],[TINA]]=X$2,100%,AVANCE[[#This Row],[TINA]])</f>
        <v>0</v>
      </c>
      <c r="BP191" s="3">
        <f>+IF(AVANCE[[#This Row],[WC]]=Y$2,100%,AVANCE[[#This Row],[WC]])</f>
        <v>0</v>
      </c>
      <c r="BQ191" s="3">
        <f>+IF(AVANCE[[#This Row],[LAVAMANOS / LAVAPLATOS / LAVADERO]]=Z$2,100%,AVANCE[[#This Row],[LAVAMANOS / LAVAPLATOS / LAVADERO]])</f>
        <v>0</v>
      </c>
      <c r="BR191" s="3">
        <f>+IF(AVANCE[[#This Row],[CANALIZACIÓN]]=AC$2,100%,AVANCE[[#This Row],[CANALIZACIÓN]])</f>
        <v>0</v>
      </c>
      <c r="BS191" s="3">
        <f>+IF(AVANCE[[#This Row],[CABLEADO]]=AD$2,100%,AVANCE[[#This Row],[CABLEADO]])</f>
        <v>0</v>
      </c>
      <c r="BT191" s="3">
        <f>+IF(AVANCE[[#This Row],[ARTEFACTOS]]=AE$2,100%,AVANCE[[#This Row],[ARTEFACTOS]])</f>
        <v>0</v>
      </c>
      <c r="BU191" s="3">
        <f>+IF(AVANCE[[#This Row],[TABLERO]]=AF$2,100%,AVANCE[[#This Row],[TABLERO]])</f>
        <v>0</v>
      </c>
      <c r="BV191" s="3">
        <f>+IF(AVANCE[[#This Row],[CAJA PAU]]=AG$2,100%,AVANCE[[#This Row],[CAJA PAU]])</f>
        <v>0</v>
      </c>
      <c r="BW191" s="3">
        <f>+IF(AVANCE[[#This Row],[INSTALACION VINILICO]]=AJ$2,100%,AVANCE[[#This Row],[INSTALACION VINILICO]])</f>
        <v>0</v>
      </c>
      <c r="BX191" s="3">
        <f>+IF(AVANCE[[#This Row],[OSB CUBIERTA]]=AK$2,100%,AVANCE[[#This Row],[OSB CUBIERTA]])</f>
        <v>0</v>
      </c>
      <c r="BY191" s="3">
        <f>+IF(AVANCE[[#This Row],[BARANDA BALCON]]=AL$2,100%,AVANCE[[#This Row],[BARANDA BALCON]])</f>
        <v>0</v>
      </c>
      <c r="BZ191" s="3">
        <f>+IF(AVANCE[[#This Row],[OSB EXTERIOR]]=AM$2,100%,AVANCE[[#This Row],[OSB EXTERIOR]])</f>
        <v>0</v>
      </c>
      <c r="CA191" s="3">
        <f>+IF(AVANCE[[#This Row],[SMART PANEL]]=AN$2,100%,AVANCE[[#This Row],[SMART PANEL]])</f>
        <v>0</v>
      </c>
      <c r="CB191" s="3">
        <f>+IF(AVANCE[[#This Row],[PINTURA EXTERIOR]]=AO$2,100%,AVANCE[[#This Row],[PINTURA EXTERIOR]])</f>
        <v>0</v>
      </c>
      <c r="CC191" s="3">
        <f>+IF(AVANCE[[#This Row],[ZOCALOS LOGIA]]=AP$2,100%,AVANCE[[#This Row],[ZOCALOS LOGIA]])</f>
        <v>0</v>
      </c>
      <c r="CD191" s="3">
        <f>+IF(AVANCE[[#This Row],[MOLDURAS]]=AQ$2,100%,AVANCE[[#This Row],[MOLDURAS]])</f>
        <v>0</v>
      </c>
      <c r="CE191" s="3">
        <f>+IF(AVANCE[[#This Row],[PILASTREO]]=AR$2,100%,AVANCE[[#This Row],[PILASTREO]])</f>
        <v>0</v>
      </c>
      <c r="CF191" s="3">
        <f>+IF(AVANCE[[#This Row],[CELOSIAS]]=AS$2,100%,AVANCE[[#This Row],[CELOSIAS]])</f>
        <v>0</v>
      </c>
      <c r="CG191" s="3">
        <f>+IF(AVANCE[[#This Row],[VENTANAS]]=AT$2,100%,AVANCE[[#This Row],[VENTANAS]])</f>
        <v>0</v>
      </c>
      <c r="CH191" s="3">
        <f>+IF(AVANCE[[#This Row],[PUERTAS ACCESO - LOGIA - BANO]]=AU$2,100%,AVANCE[[#This Row],[PUERTAS ACCESO - LOGIA - BANO]])</f>
        <v>0</v>
      </c>
      <c r="CI191" s="3">
        <f>+IF(AVANCE[[#This Row],[CERRADURAS]]=AV$2,100%,AVANCE[[#This Row],[CERRADURAS]])</f>
        <v>0</v>
      </c>
      <c r="CJ191" s="3">
        <f>+IF(AVANCE[[#This Row],[REVESTIMIENTO INTERIOR ZONA SECA]]=AW$2,100%,AVANCE[[#This Row],[REVESTIMIENTO INTERIOR ZONA SECA]])</f>
        <v>0</v>
      </c>
      <c r="CK191" s="3">
        <f>+IF(AVANCE[[#This Row],[REVESTIMIENTO INTERIOR ZONAS HUMEDAS]]=AX$2,100%,AVANCE[[#This Row],[REVESTIMIENTO INTERIOR ZONAS HUMEDAS]])</f>
        <v>0</v>
      </c>
      <c r="CL191" s="3">
        <f>+IF(AVANCE[[#This Row],[MEMBRANA CIELO]]=AY$2,100%,AVANCE[[#This Row],[MEMBRANA CIELO]])</f>
        <v>0</v>
      </c>
      <c r="CM191" s="3">
        <f>+IF(AVANCE[[#This Row],[LIMPIEZA FINAL]]=AZ$2,100%,AVANCE[[#This Row],[LIMPIEZA FINAL]])</f>
        <v>0</v>
      </c>
      <c r="CN191" s="3">
        <f>+IF(AVANCE[[#This Row],[PUERTAS DORMITORIO]]=BA$2,100%,AVANCE[[#This Row],[PUERTAS DORMITORIO]])</f>
        <v>0</v>
      </c>
      <c r="CO191" s="3">
        <f>+IF(AVANCE[[#This Row],[REVESTIMIENTO INTERIOR BANO]]=BB$2,100%,AVANCE[[#This Row],[REVESTIMIENTO INTERIOR BANO]])</f>
        <v>0</v>
      </c>
      <c r="CP191" s="3">
        <f>+IF(AVANCE[[#This Row],[MUEBLE LAVAPLATOS]]=BC$2,100%,AVANCE[[#This Row],[MUEBLE LAVAPLATOS]])</f>
        <v>0</v>
      </c>
      <c r="CQ191" s="3">
        <f>+IF(AVANCE[[#This Row],[IMPERMEABILIZACION BANO - COCINA LOGIA]]=BD$2,100%,AVANCE[[#This Row],[IMPERMEABILIZACION BANO - COCINA LOGIA]])</f>
        <v>0</v>
      </c>
      <c r="CR191" s="40">
        <f ca="1">+IF(AVANCE[[#This Row],[ESTADO MODULO]]="PENDIENTE",(TODAY()-AVANCE[[#This Row],[FECHA TERMINO  PLANIFICADO]]),0)</f>
        <v>0</v>
      </c>
      <c r="CS191" s="42" t="str" cm="1">
        <f t="array" ref="CS191">_xlfn.TEXTJOIN(" | ",TRUE,IF(SUMPRODUCT((BF191:CQ191&lt;1)*(PARTIDAS!$I$2:$AT$2="OBRA GRUESA"))&gt;0,"OBRA GRUESA: "&amp;_xlfn.TEXTJOIN(", ",TRUE,IF((BF191:CQ191&lt;1)*(PARTIDAS!$I$2:$AT$2="OBRA GRUESA"),PARTIDAS!$I$1:$AT$1,"")),""),IF(SUMPRODUCT((BF191:CQ191&lt;1)*(PARTIDAS!$I$2:$AT$2="SANITARIOS"))&gt;0,"SANITARIOS: "&amp;_xlfn.TEXTJOIN(", ",TRUE,IF((BF191:CQ191&lt;1)*(PARTIDAS!$I$2:$AT$2="SANITARIOS"),PARTIDAS!$I$1:$AT$1,"")),""),IF(SUMPRODUCT((BF191:CQ191&lt;1)*(PARTIDAS!$I$2:$AT$2="ELÉCTRICO"))&gt;0,"ELÉCTRICO: "&amp;_xlfn.TEXTJOIN(", ",TRUE,IF((BF191:CQ191&lt;1)*(PARTIDAS!$I$2:$AT$2="ELÉCTRICO"),PARTIDAS!$I$1:$AT$1,"")),""),IF(SUMPRODUCT((BF191:CQ191&lt;1)*(PARTIDAS!$I$2:$AT$2="TERMINACIONES"))&gt;0,"TERMINACIONES: "&amp;_xlfn.TEXTJOIN(", ",TRUE,IF((BF191:CQ191&lt;1)*(PARTIDAS!$I$2:$AT$2="TERMINACIONES"),PARTIDAS!$I$1:$AT$1,"")),""))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1" s="45" t="str" cm="1">
        <f t="array" ref="CT191">_xlfn.TEXTJOIN(", ",TRUE,IF(SUMPRODUCT((BF191:CQ191&lt;1)*(PARTIDAS!$I$2:$AT$2="OBRA GRUESA"))&gt;0,"OBRA GRUESA",""),IF(SUMPRODUCT((BF191:CQ191&lt;1)*(PARTIDAS!$I$2:$AT$2="SANITARIOS"))&gt;0,"SANITARIOS",""),IF(SUMPRODUCT((BF191:CQ191&lt;1)*(PARTIDAS!$I$2:$AT$2="ELÉCTRICO"))&gt;0,"ELÉCTRICO",""),IF(SUMPRODUCT((BF191:CQ191&lt;1)*(PARTIDAS!$I$2:$AT$2="TERMINACIONES"))&gt;0,"TERMINACIONES",""))</f>
        <v>OBRA GRUESA, SANITARIOS, ELÉCTRICO, TERMINACIONES</v>
      </c>
      <c r="CU191" s="46" cm="1">
        <f t="array" ref="CU191">SUMPRODUCT(--(BF191:CQ191&lt;1))</f>
        <v>38</v>
      </c>
    </row>
    <row r="192" spans="1:99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46181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 t="str">
        <f>+IF(AVANCE[[#This Row],[% AVANCE]]=100%,"MODULO TERMINADO",IF(AVANCE[[#This Row],[FECHA INICIO REAL]]="","MODULO NO INICIADO","PENDIENTE"))</f>
        <v>MODULO NO INICIADO</v>
      </c>
      <c r="BF192" s="3">
        <f>+IF(AVANCE[[#This Row],[VENTANAS]]=8.10810810810811%,100%,AVANCE[[#This Row],[VENTANAS]])</f>
        <v>0</v>
      </c>
      <c r="BG192" s="3">
        <f>+IF(AVANCE[[#This Row],[PISO]]=N$2,100%,AVANCE[[#This Row],[PISO]])</f>
        <v>0</v>
      </c>
      <c r="BH192" s="3">
        <f>+IF(AVANCE[[#This Row],[TABIQUES]]=O$2,100%,AVANCE[[#This Row],[TABIQUES]])</f>
        <v>0</v>
      </c>
      <c r="BI192" s="3">
        <f>+IF(AVANCE[[#This Row],[MUROS]]=P$2,100%,AVANCE[[#This Row],[MUROS]])</f>
        <v>0</v>
      </c>
      <c r="BJ192" s="3">
        <f>+IF(AVANCE[[#This Row],[CIELO]]=Q$2,100%,AVANCE[[#This Row],[CIELO]])</f>
        <v>0</v>
      </c>
      <c r="BK192" s="3">
        <f>+IF(AVANCE[[#This Row],[BALCÓN]]=R$2,100%,AVANCE[[#This Row],[BALCÓN]])</f>
        <v>0</v>
      </c>
      <c r="BL192" s="3">
        <f>+IF(AVANCE[[#This Row],[RED ALCANTARILLADO]]=U$2,100%,AVANCE[[#This Row],[RED ALCANTARILLADO]])</f>
        <v>0</v>
      </c>
      <c r="BM192" s="3">
        <f>+IF(AVANCE[[#This Row],[RED DE AGUA]]=V$2,100%,AVANCE[[#This Row],[RED DE AGUA]])</f>
        <v>0</v>
      </c>
      <c r="BN192" s="3">
        <f>+IF(AVANCE[[#This Row],[VENTILACIONES]]=W$2,100%,AVANCE[[#This Row],[VENTILACIONES]])</f>
        <v>0</v>
      </c>
      <c r="BO192" s="3">
        <f>+IF(AVANCE[[#This Row],[TINA]]=X$2,100%,AVANCE[[#This Row],[TINA]])</f>
        <v>0</v>
      </c>
      <c r="BP192" s="3">
        <f>+IF(AVANCE[[#This Row],[WC]]=Y$2,100%,AVANCE[[#This Row],[WC]])</f>
        <v>0</v>
      </c>
      <c r="BQ192" s="3">
        <f>+IF(AVANCE[[#This Row],[LAVAMANOS / LAVAPLATOS / LAVADERO]]=Z$2,100%,AVANCE[[#This Row],[LAVAMANOS / LAVAPLATOS / LAVADERO]])</f>
        <v>0</v>
      </c>
      <c r="BR192" s="3">
        <f>+IF(AVANCE[[#This Row],[CANALIZACIÓN]]=AC$2,100%,AVANCE[[#This Row],[CANALIZACIÓN]])</f>
        <v>0</v>
      </c>
      <c r="BS192" s="3">
        <f>+IF(AVANCE[[#This Row],[CABLEADO]]=AD$2,100%,AVANCE[[#This Row],[CABLEADO]])</f>
        <v>0</v>
      </c>
      <c r="BT192" s="3">
        <f>+IF(AVANCE[[#This Row],[ARTEFACTOS]]=AE$2,100%,AVANCE[[#This Row],[ARTEFACTOS]])</f>
        <v>0</v>
      </c>
      <c r="BU192" s="3">
        <f>+IF(AVANCE[[#This Row],[TABLERO]]=AF$2,100%,AVANCE[[#This Row],[TABLERO]])</f>
        <v>0</v>
      </c>
      <c r="BV192" s="3">
        <f>+IF(AVANCE[[#This Row],[CAJA PAU]]=AG$2,100%,AVANCE[[#This Row],[CAJA PAU]])</f>
        <v>0</v>
      </c>
      <c r="BW192" s="3">
        <f>+IF(AVANCE[[#This Row],[INSTALACION VINILICO]]=AJ$2,100%,AVANCE[[#This Row],[INSTALACION VINILICO]])</f>
        <v>0</v>
      </c>
      <c r="BX192" s="3">
        <f>+IF(AVANCE[[#This Row],[OSB CUBIERTA]]=AK$2,100%,AVANCE[[#This Row],[OSB CUBIERTA]])</f>
        <v>0</v>
      </c>
      <c r="BY192" s="3">
        <f>+IF(AVANCE[[#This Row],[BARANDA BALCON]]=AL$2,100%,AVANCE[[#This Row],[BARANDA BALCON]])</f>
        <v>0</v>
      </c>
      <c r="BZ192" s="3">
        <f>+IF(AVANCE[[#This Row],[OSB EXTERIOR]]=AM$2,100%,AVANCE[[#This Row],[OSB EXTERIOR]])</f>
        <v>0</v>
      </c>
      <c r="CA192" s="3">
        <f>+IF(AVANCE[[#This Row],[SMART PANEL]]=AN$2,100%,AVANCE[[#This Row],[SMART PANEL]])</f>
        <v>0</v>
      </c>
      <c r="CB192" s="3">
        <f>+IF(AVANCE[[#This Row],[PINTURA EXTERIOR]]=AO$2,100%,AVANCE[[#This Row],[PINTURA EXTERIOR]])</f>
        <v>0</v>
      </c>
      <c r="CC192" s="3">
        <f>+IF(AVANCE[[#This Row],[ZOCALOS LOGIA]]=AP$2,100%,AVANCE[[#This Row],[ZOCALOS LOGIA]])</f>
        <v>0</v>
      </c>
      <c r="CD192" s="3">
        <f>+IF(AVANCE[[#This Row],[MOLDURAS]]=AQ$2,100%,AVANCE[[#This Row],[MOLDURAS]])</f>
        <v>0</v>
      </c>
      <c r="CE192" s="3">
        <f>+IF(AVANCE[[#This Row],[PILASTREO]]=AR$2,100%,AVANCE[[#This Row],[PILASTREO]])</f>
        <v>0</v>
      </c>
      <c r="CF192" s="3">
        <f>+IF(AVANCE[[#This Row],[CELOSIAS]]=AS$2,100%,AVANCE[[#This Row],[CELOSIAS]])</f>
        <v>0</v>
      </c>
      <c r="CG192" s="3">
        <f>+IF(AVANCE[[#This Row],[VENTANAS]]=AT$2,100%,AVANCE[[#This Row],[VENTANAS]])</f>
        <v>0</v>
      </c>
      <c r="CH192" s="3">
        <f>+IF(AVANCE[[#This Row],[PUERTAS ACCESO - LOGIA - BANO]]=AU$2,100%,AVANCE[[#This Row],[PUERTAS ACCESO - LOGIA - BANO]])</f>
        <v>0</v>
      </c>
      <c r="CI192" s="3">
        <f>+IF(AVANCE[[#This Row],[CERRADURAS]]=AV$2,100%,AVANCE[[#This Row],[CERRADURAS]])</f>
        <v>0</v>
      </c>
      <c r="CJ192" s="3">
        <f>+IF(AVANCE[[#This Row],[REVESTIMIENTO INTERIOR ZONA SECA]]=AW$2,100%,AVANCE[[#This Row],[REVESTIMIENTO INTERIOR ZONA SECA]])</f>
        <v>0</v>
      </c>
      <c r="CK192" s="3">
        <f>+IF(AVANCE[[#This Row],[REVESTIMIENTO INTERIOR ZONAS HUMEDAS]]=AX$2,100%,AVANCE[[#This Row],[REVESTIMIENTO INTERIOR ZONAS HUMEDAS]])</f>
        <v>0</v>
      </c>
      <c r="CL192" s="3">
        <f>+IF(AVANCE[[#This Row],[MEMBRANA CIELO]]=AY$2,100%,AVANCE[[#This Row],[MEMBRANA CIELO]])</f>
        <v>0</v>
      </c>
      <c r="CM192" s="3">
        <f>+IF(AVANCE[[#This Row],[LIMPIEZA FINAL]]=AZ$2,100%,AVANCE[[#This Row],[LIMPIEZA FINAL]])</f>
        <v>0</v>
      </c>
      <c r="CN192" s="3">
        <f>+IF(AVANCE[[#This Row],[PUERTAS DORMITORIO]]=BA$2,100%,AVANCE[[#This Row],[PUERTAS DORMITORIO]])</f>
        <v>0</v>
      </c>
      <c r="CO192" s="3">
        <f>+IF(AVANCE[[#This Row],[REVESTIMIENTO INTERIOR BANO]]=BB$2,100%,AVANCE[[#This Row],[REVESTIMIENTO INTERIOR BANO]])</f>
        <v>0</v>
      </c>
      <c r="CP192" s="3">
        <f>+IF(AVANCE[[#This Row],[MUEBLE LAVAPLATOS]]=BC$2,100%,AVANCE[[#This Row],[MUEBLE LAVAPLATOS]])</f>
        <v>0</v>
      </c>
      <c r="CQ192" s="3">
        <f>+IF(AVANCE[[#This Row],[IMPERMEABILIZACION BANO - COCINA LOGIA]]=BD$2,100%,AVANCE[[#This Row],[IMPERMEABILIZACION BANO - COCINA LOGIA]])</f>
        <v>0</v>
      </c>
      <c r="CR192" s="40">
        <f ca="1">+IF(AVANCE[[#This Row],[ESTADO MODULO]]="PENDIENTE",(TODAY()-AVANCE[[#This Row],[FECHA TERMINO  PLANIFICADO]]),0)</f>
        <v>0</v>
      </c>
      <c r="CS192" s="42" t="str" cm="1">
        <f t="array" ref="CS192">_xlfn.TEXTJOIN(" | ",TRUE,IF(SUMPRODUCT((BF192:CQ192&lt;1)*(PARTIDAS!$I$2:$AT$2="OBRA GRUESA"))&gt;0,"OBRA GRUESA: "&amp;_xlfn.TEXTJOIN(", ",TRUE,IF((BF192:CQ192&lt;1)*(PARTIDAS!$I$2:$AT$2="OBRA GRUESA"),PARTIDAS!$I$1:$AT$1,"")),""),IF(SUMPRODUCT((BF192:CQ192&lt;1)*(PARTIDAS!$I$2:$AT$2="SANITARIOS"))&gt;0,"SANITARIOS: "&amp;_xlfn.TEXTJOIN(", ",TRUE,IF((BF192:CQ192&lt;1)*(PARTIDAS!$I$2:$AT$2="SANITARIOS"),PARTIDAS!$I$1:$AT$1,"")),""),IF(SUMPRODUCT((BF192:CQ192&lt;1)*(PARTIDAS!$I$2:$AT$2="ELÉCTRICO"))&gt;0,"ELÉCTRICO: "&amp;_xlfn.TEXTJOIN(", ",TRUE,IF((BF192:CQ192&lt;1)*(PARTIDAS!$I$2:$AT$2="ELÉCTRICO"),PARTIDAS!$I$1:$AT$1,"")),""),IF(SUMPRODUCT((BF192:CQ192&lt;1)*(PARTIDAS!$I$2:$AT$2="TERMINACIONES"))&gt;0,"TERMINACIONES: "&amp;_xlfn.TEXTJOIN(", ",TRUE,IF((BF192:CQ192&lt;1)*(PARTIDAS!$I$2:$AT$2="TERMINACIONES"),PARTIDAS!$I$1:$AT$1,"")),""))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2" s="45" t="str" cm="1">
        <f t="array" ref="CT192">_xlfn.TEXTJOIN(", ",TRUE,IF(SUMPRODUCT((BF192:CQ192&lt;1)*(PARTIDAS!$I$2:$AT$2="OBRA GRUESA"))&gt;0,"OBRA GRUESA",""),IF(SUMPRODUCT((BF192:CQ192&lt;1)*(PARTIDAS!$I$2:$AT$2="SANITARIOS"))&gt;0,"SANITARIOS",""),IF(SUMPRODUCT((BF192:CQ192&lt;1)*(PARTIDAS!$I$2:$AT$2="ELÉCTRICO"))&gt;0,"ELÉCTRICO",""),IF(SUMPRODUCT((BF192:CQ192&lt;1)*(PARTIDAS!$I$2:$AT$2="TERMINACIONES"))&gt;0,"TERMINACIONES",""))</f>
        <v>OBRA GRUESA, SANITARIOS, ELÉCTRICO, TERMINACIONES</v>
      </c>
      <c r="CU192" s="46" cm="1">
        <f t="array" ref="CU192">SUMPRODUCT(--(BF192:CQ192&lt;1))</f>
        <v>38</v>
      </c>
    </row>
    <row r="193" spans="1:99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46181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 t="str">
        <f>+IF(AVANCE[[#This Row],[% AVANCE]]=100%,"MODULO TERMINADO",IF(AVANCE[[#This Row],[FECHA INICIO REAL]]="","MODULO NO INICIADO","PENDIENTE"))</f>
        <v>MODULO NO INICIADO</v>
      </c>
      <c r="BF193" s="3">
        <f>+IF(AVANCE[[#This Row],[VENTANAS]]=8.10810810810811%,100%,AVANCE[[#This Row],[VENTANAS]])</f>
        <v>0</v>
      </c>
      <c r="BG193" s="3">
        <f>+IF(AVANCE[[#This Row],[PISO]]=N$2,100%,AVANCE[[#This Row],[PISO]])</f>
        <v>0</v>
      </c>
      <c r="BH193" s="3">
        <f>+IF(AVANCE[[#This Row],[TABIQUES]]=O$2,100%,AVANCE[[#This Row],[TABIQUES]])</f>
        <v>0</v>
      </c>
      <c r="BI193" s="3">
        <f>+IF(AVANCE[[#This Row],[MUROS]]=P$2,100%,AVANCE[[#This Row],[MUROS]])</f>
        <v>0</v>
      </c>
      <c r="BJ193" s="3">
        <f>+IF(AVANCE[[#This Row],[CIELO]]=Q$2,100%,AVANCE[[#This Row],[CIELO]])</f>
        <v>0</v>
      </c>
      <c r="BK193" s="3">
        <f>+IF(AVANCE[[#This Row],[BALCÓN]]=R$2,100%,AVANCE[[#This Row],[BALCÓN]])</f>
        <v>0</v>
      </c>
      <c r="BL193" s="3">
        <f>+IF(AVANCE[[#This Row],[RED ALCANTARILLADO]]=U$2,100%,AVANCE[[#This Row],[RED ALCANTARILLADO]])</f>
        <v>0</v>
      </c>
      <c r="BM193" s="3">
        <f>+IF(AVANCE[[#This Row],[RED DE AGUA]]=V$2,100%,AVANCE[[#This Row],[RED DE AGUA]])</f>
        <v>0</v>
      </c>
      <c r="BN193" s="3">
        <f>+IF(AVANCE[[#This Row],[VENTILACIONES]]=W$2,100%,AVANCE[[#This Row],[VENTILACIONES]])</f>
        <v>0</v>
      </c>
      <c r="BO193" s="3">
        <f>+IF(AVANCE[[#This Row],[TINA]]=X$2,100%,AVANCE[[#This Row],[TINA]])</f>
        <v>0</v>
      </c>
      <c r="BP193" s="3">
        <f>+IF(AVANCE[[#This Row],[WC]]=Y$2,100%,AVANCE[[#This Row],[WC]])</f>
        <v>0</v>
      </c>
      <c r="BQ193" s="3">
        <f>+IF(AVANCE[[#This Row],[LAVAMANOS / LAVAPLATOS / LAVADERO]]=Z$2,100%,AVANCE[[#This Row],[LAVAMANOS / LAVAPLATOS / LAVADERO]])</f>
        <v>0</v>
      </c>
      <c r="BR193" s="3">
        <f>+IF(AVANCE[[#This Row],[CANALIZACIÓN]]=AC$2,100%,AVANCE[[#This Row],[CANALIZACIÓN]])</f>
        <v>0</v>
      </c>
      <c r="BS193" s="3">
        <f>+IF(AVANCE[[#This Row],[CABLEADO]]=AD$2,100%,AVANCE[[#This Row],[CABLEADO]])</f>
        <v>0</v>
      </c>
      <c r="BT193" s="3">
        <f>+IF(AVANCE[[#This Row],[ARTEFACTOS]]=AE$2,100%,AVANCE[[#This Row],[ARTEFACTOS]])</f>
        <v>0</v>
      </c>
      <c r="BU193" s="3">
        <f>+IF(AVANCE[[#This Row],[TABLERO]]=AF$2,100%,AVANCE[[#This Row],[TABLERO]])</f>
        <v>0</v>
      </c>
      <c r="BV193" s="3">
        <f>+IF(AVANCE[[#This Row],[CAJA PAU]]=AG$2,100%,AVANCE[[#This Row],[CAJA PAU]])</f>
        <v>0</v>
      </c>
      <c r="BW193" s="3">
        <f>+IF(AVANCE[[#This Row],[INSTALACION VINILICO]]=AJ$2,100%,AVANCE[[#This Row],[INSTALACION VINILICO]])</f>
        <v>0</v>
      </c>
      <c r="BX193" s="3">
        <f>+IF(AVANCE[[#This Row],[OSB CUBIERTA]]=AK$2,100%,AVANCE[[#This Row],[OSB CUBIERTA]])</f>
        <v>0</v>
      </c>
      <c r="BY193" s="3">
        <f>+IF(AVANCE[[#This Row],[BARANDA BALCON]]=AL$2,100%,AVANCE[[#This Row],[BARANDA BALCON]])</f>
        <v>0</v>
      </c>
      <c r="BZ193" s="3">
        <f>+IF(AVANCE[[#This Row],[OSB EXTERIOR]]=AM$2,100%,AVANCE[[#This Row],[OSB EXTERIOR]])</f>
        <v>0</v>
      </c>
      <c r="CA193" s="3">
        <f>+IF(AVANCE[[#This Row],[SMART PANEL]]=AN$2,100%,AVANCE[[#This Row],[SMART PANEL]])</f>
        <v>0</v>
      </c>
      <c r="CB193" s="3">
        <f>+IF(AVANCE[[#This Row],[PINTURA EXTERIOR]]=AO$2,100%,AVANCE[[#This Row],[PINTURA EXTERIOR]])</f>
        <v>0</v>
      </c>
      <c r="CC193" s="3">
        <f>+IF(AVANCE[[#This Row],[ZOCALOS LOGIA]]=AP$2,100%,AVANCE[[#This Row],[ZOCALOS LOGIA]])</f>
        <v>0</v>
      </c>
      <c r="CD193" s="3">
        <f>+IF(AVANCE[[#This Row],[MOLDURAS]]=AQ$2,100%,AVANCE[[#This Row],[MOLDURAS]])</f>
        <v>0</v>
      </c>
      <c r="CE193" s="3">
        <f>+IF(AVANCE[[#This Row],[PILASTREO]]=AR$2,100%,AVANCE[[#This Row],[PILASTREO]])</f>
        <v>0</v>
      </c>
      <c r="CF193" s="3">
        <f>+IF(AVANCE[[#This Row],[CELOSIAS]]=AS$2,100%,AVANCE[[#This Row],[CELOSIAS]])</f>
        <v>0</v>
      </c>
      <c r="CG193" s="3">
        <f>+IF(AVANCE[[#This Row],[VENTANAS]]=AT$2,100%,AVANCE[[#This Row],[VENTANAS]])</f>
        <v>0</v>
      </c>
      <c r="CH193" s="3">
        <f>+IF(AVANCE[[#This Row],[PUERTAS ACCESO - LOGIA - BANO]]=AU$2,100%,AVANCE[[#This Row],[PUERTAS ACCESO - LOGIA - BANO]])</f>
        <v>0</v>
      </c>
      <c r="CI193" s="3">
        <f>+IF(AVANCE[[#This Row],[CERRADURAS]]=AV$2,100%,AVANCE[[#This Row],[CERRADURAS]])</f>
        <v>0</v>
      </c>
      <c r="CJ193" s="3">
        <f>+IF(AVANCE[[#This Row],[REVESTIMIENTO INTERIOR ZONA SECA]]=AW$2,100%,AVANCE[[#This Row],[REVESTIMIENTO INTERIOR ZONA SECA]])</f>
        <v>0</v>
      </c>
      <c r="CK193" s="3">
        <f>+IF(AVANCE[[#This Row],[REVESTIMIENTO INTERIOR ZONAS HUMEDAS]]=AX$2,100%,AVANCE[[#This Row],[REVESTIMIENTO INTERIOR ZONAS HUMEDAS]])</f>
        <v>0</v>
      </c>
      <c r="CL193" s="3">
        <f>+IF(AVANCE[[#This Row],[MEMBRANA CIELO]]=AY$2,100%,AVANCE[[#This Row],[MEMBRANA CIELO]])</f>
        <v>0</v>
      </c>
      <c r="CM193" s="3">
        <f>+IF(AVANCE[[#This Row],[LIMPIEZA FINAL]]=AZ$2,100%,AVANCE[[#This Row],[LIMPIEZA FINAL]])</f>
        <v>0</v>
      </c>
      <c r="CN193" s="3">
        <f>+IF(AVANCE[[#This Row],[PUERTAS DORMITORIO]]=BA$2,100%,AVANCE[[#This Row],[PUERTAS DORMITORIO]])</f>
        <v>0</v>
      </c>
      <c r="CO193" s="3">
        <f>+IF(AVANCE[[#This Row],[REVESTIMIENTO INTERIOR BANO]]=BB$2,100%,AVANCE[[#This Row],[REVESTIMIENTO INTERIOR BANO]])</f>
        <v>0</v>
      </c>
      <c r="CP193" s="3">
        <f>+IF(AVANCE[[#This Row],[MUEBLE LAVAPLATOS]]=BC$2,100%,AVANCE[[#This Row],[MUEBLE LAVAPLATOS]])</f>
        <v>0</v>
      </c>
      <c r="CQ193" s="3">
        <f>+IF(AVANCE[[#This Row],[IMPERMEABILIZACION BANO - COCINA LOGIA]]=BD$2,100%,AVANCE[[#This Row],[IMPERMEABILIZACION BANO - COCINA LOGIA]])</f>
        <v>0</v>
      </c>
      <c r="CR193" s="40">
        <f ca="1">+IF(AVANCE[[#This Row],[ESTADO MODULO]]="PENDIENTE",(TODAY()-AVANCE[[#This Row],[FECHA TERMINO  PLANIFICADO]]),0)</f>
        <v>0</v>
      </c>
      <c r="CS193" s="42" t="str" cm="1">
        <f t="array" ref="CS193">_xlfn.TEXTJOIN(" | ",TRUE,IF(SUMPRODUCT((BF193:CQ193&lt;1)*(PARTIDAS!$I$2:$AT$2="OBRA GRUESA"))&gt;0,"OBRA GRUESA: "&amp;_xlfn.TEXTJOIN(", ",TRUE,IF((BF193:CQ193&lt;1)*(PARTIDAS!$I$2:$AT$2="OBRA GRUESA"),PARTIDAS!$I$1:$AT$1,"")),""),IF(SUMPRODUCT((BF193:CQ193&lt;1)*(PARTIDAS!$I$2:$AT$2="SANITARIOS"))&gt;0,"SANITARIOS: "&amp;_xlfn.TEXTJOIN(", ",TRUE,IF((BF193:CQ193&lt;1)*(PARTIDAS!$I$2:$AT$2="SANITARIOS"),PARTIDAS!$I$1:$AT$1,"")),""),IF(SUMPRODUCT((BF193:CQ193&lt;1)*(PARTIDAS!$I$2:$AT$2="ELÉCTRICO"))&gt;0,"ELÉCTRICO: "&amp;_xlfn.TEXTJOIN(", ",TRUE,IF((BF193:CQ193&lt;1)*(PARTIDAS!$I$2:$AT$2="ELÉCTRICO"),PARTIDAS!$I$1:$AT$1,"")),""),IF(SUMPRODUCT((BF193:CQ193&lt;1)*(PARTIDAS!$I$2:$AT$2="TERMINACIONES"))&gt;0,"TERMINACIONES: "&amp;_xlfn.TEXTJOIN(", ",TRUE,IF((BF193:CQ193&lt;1)*(PARTIDAS!$I$2:$AT$2="TERMINACIONES"),PARTIDAS!$I$1:$AT$1,"")),""))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3" s="45" t="str" cm="1">
        <f t="array" ref="CT193">_xlfn.TEXTJOIN(", ",TRUE,IF(SUMPRODUCT((BF193:CQ193&lt;1)*(PARTIDAS!$I$2:$AT$2="OBRA GRUESA"))&gt;0,"OBRA GRUESA",""),IF(SUMPRODUCT((BF193:CQ193&lt;1)*(PARTIDAS!$I$2:$AT$2="SANITARIOS"))&gt;0,"SANITARIOS",""),IF(SUMPRODUCT((BF193:CQ193&lt;1)*(PARTIDAS!$I$2:$AT$2="ELÉCTRICO"))&gt;0,"ELÉCTRICO",""),IF(SUMPRODUCT((BF193:CQ193&lt;1)*(PARTIDAS!$I$2:$AT$2="TERMINACIONES"))&gt;0,"TERMINACIONES",""))</f>
        <v>OBRA GRUESA, SANITARIOS, ELÉCTRICO, TERMINACIONES</v>
      </c>
      <c r="CU193" s="46" cm="1">
        <f t="array" ref="CU193">SUMPRODUCT(--(BF193:CQ193&lt;1))</f>
        <v>38</v>
      </c>
    </row>
    <row r="194" spans="1:99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46181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 t="str">
        <f>+IF(AVANCE[[#This Row],[% AVANCE]]=100%,"MODULO TERMINADO",IF(AVANCE[[#This Row],[FECHA INICIO REAL]]="","MODULO NO INICIADO","PENDIENTE"))</f>
        <v>MODULO NO INICIADO</v>
      </c>
      <c r="BF194" s="3">
        <f>+IF(AVANCE[[#This Row],[VENTANAS]]=8.10810810810811%,100%,AVANCE[[#This Row],[VENTANAS]])</f>
        <v>0</v>
      </c>
      <c r="BG194" s="3">
        <f>+IF(AVANCE[[#This Row],[PISO]]=N$2,100%,AVANCE[[#This Row],[PISO]])</f>
        <v>0</v>
      </c>
      <c r="BH194" s="3">
        <f>+IF(AVANCE[[#This Row],[TABIQUES]]=O$2,100%,AVANCE[[#This Row],[TABIQUES]])</f>
        <v>0</v>
      </c>
      <c r="BI194" s="3">
        <f>+IF(AVANCE[[#This Row],[MUROS]]=P$2,100%,AVANCE[[#This Row],[MUROS]])</f>
        <v>0</v>
      </c>
      <c r="BJ194" s="3">
        <f>+IF(AVANCE[[#This Row],[CIELO]]=Q$2,100%,AVANCE[[#This Row],[CIELO]])</f>
        <v>0</v>
      </c>
      <c r="BK194" s="3">
        <f>+IF(AVANCE[[#This Row],[BALCÓN]]=R$2,100%,AVANCE[[#This Row],[BALCÓN]])</f>
        <v>0</v>
      </c>
      <c r="BL194" s="3">
        <f>+IF(AVANCE[[#This Row],[RED ALCANTARILLADO]]=U$2,100%,AVANCE[[#This Row],[RED ALCANTARILLADO]])</f>
        <v>0</v>
      </c>
      <c r="BM194" s="3">
        <f>+IF(AVANCE[[#This Row],[RED DE AGUA]]=V$2,100%,AVANCE[[#This Row],[RED DE AGUA]])</f>
        <v>0</v>
      </c>
      <c r="BN194" s="3">
        <f>+IF(AVANCE[[#This Row],[VENTILACIONES]]=W$2,100%,AVANCE[[#This Row],[VENTILACIONES]])</f>
        <v>0</v>
      </c>
      <c r="BO194" s="3">
        <f>+IF(AVANCE[[#This Row],[TINA]]=X$2,100%,AVANCE[[#This Row],[TINA]])</f>
        <v>0</v>
      </c>
      <c r="BP194" s="3">
        <f>+IF(AVANCE[[#This Row],[WC]]=Y$2,100%,AVANCE[[#This Row],[WC]])</f>
        <v>0</v>
      </c>
      <c r="BQ194" s="3">
        <f>+IF(AVANCE[[#This Row],[LAVAMANOS / LAVAPLATOS / LAVADERO]]=Z$2,100%,AVANCE[[#This Row],[LAVAMANOS / LAVAPLATOS / LAVADERO]])</f>
        <v>0</v>
      </c>
      <c r="BR194" s="3">
        <f>+IF(AVANCE[[#This Row],[CANALIZACIÓN]]=AC$2,100%,AVANCE[[#This Row],[CANALIZACIÓN]])</f>
        <v>0</v>
      </c>
      <c r="BS194" s="3">
        <f>+IF(AVANCE[[#This Row],[CABLEADO]]=AD$2,100%,AVANCE[[#This Row],[CABLEADO]])</f>
        <v>0</v>
      </c>
      <c r="BT194" s="3">
        <f>+IF(AVANCE[[#This Row],[ARTEFACTOS]]=AE$2,100%,AVANCE[[#This Row],[ARTEFACTOS]])</f>
        <v>0</v>
      </c>
      <c r="BU194" s="3">
        <f>+IF(AVANCE[[#This Row],[TABLERO]]=AF$2,100%,AVANCE[[#This Row],[TABLERO]])</f>
        <v>0</v>
      </c>
      <c r="BV194" s="3">
        <f>+IF(AVANCE[[#This Row],[CAJA PAU]]=AG$2,100%,AVANCE[[#This Row],[CAJA PAU]])</f>
        <v>0</v>
      </c>
      <c r="BW194" s="3">
        <f>+IF(AVANCE[[#This Row],[INSTALACION VINILICO]]=AJ$2,100%,AVANCE[[#This Row],[INSTALACION VINILICO]])</f>
        <v>0</v>
      </c>
      <c r="BX194" s="3">
        <f>+IF(AVANCE[[#This Row],[OSB CUBIERTA]]=AK$2,100%,AVANCE[[#This Row],[OSB CUBIERTA]])</f>
        <v>0</v>
      </c>
      <c r="BY194" s="3">
        <f>+IF(AVANCE[[#This Row],[BARANDA BALCON]]=AL$2,100%,AVANCE[[#This Row],[BARANDA BALCON]])</f>
        <v>0</v>
      </c>
      <c r="BZ194" s="3">
        <f>+IF(AVANCE[[#This Row],[OSB EXTERIOR]]=AM$2,100%,AVANCE[[#This Row],[OSB EXTERIOR]])</f>
        <v>0</v>
      </c>
      <c r="CA194" s="3">
        <f>+IF(AVANCE[[#This Row],[SMART PANEL]]=AN$2,100%,AVANCE[[#This Row],[SMART PANEL]])</f>
        <v>0</v>
      </c>
      <c r="CB194" s="3">
        <f>+IF(AVANCE[[#This Row],[PINTURA EXTERIOR]]=AO$2,100%,AVANCE[[#This Row],[PINTURA EXTERIOR]])</f>
        <v>0</v>
      </c>
      <c r="CC194" s="3">
        <f>+IF(AVANCE[[#This Row],[ZOCALOS LOGIA]]=AP$2,100%,AVANCE[[#This Row],[ZOCALOS LOGIA]])</f>
        <v>0</v>
      </c>
      <c r="CD194" s="3">
        <f>+IF(AVANCE[[#This Row],[MOLDURAS]]=AQ$2,100%,AVANCE[[#This Row],[MOLDURAS]])</f>
        <v>0</v>
      </c>
      <c r="CE194" s="3">
        <f>+IF(AVANCE[[#This Row],[PILASTREO]]=AR$2,100%,AVANCE[[#This Row],[PILASTREO]])</f>
        <v>0</v>
      </c>
      <c r="CF194" s="3">
        <f>+IF(AVANCE[[#This Row],[CELOSIAS]]=AS$2,100%,AVANCE[[#This Row],[CELOSIAS]])</f>
        <v>0</v>
      </c>
      <c r="CG194" s="3">
        <f>+IF(AVANCE[[#This Row],[VENTANAS]]=AT$2,100%,AVANCE[[#This Row],[VENTANAS]])</f>
        <v>0</v>
      </c>
      <c r="CH194" s="3">
        <f>+IF(AVANCE[[#This Row],[PUERTAS ACCESO - LOGIA - BANO]]=AU$2,100%,AVANCE[[#This Row],[PUERTAS ACCESO - LOGIA - BANO]])</f>
        <v>0</v>
      </c>
      <c r="CI194" s="3">
        <f>+IF(AVANCE[[#This Row],[CERRADURAS]]=AV$2,100%,AVANCE[[#This Row],[CERRADURAS]])</f>
        <v>0</v>
      </c>
      <c r="CJ194" s="3">
        <f>+IF(AVANCE[[#This Row],[REVESTIMIENTO INTERIOR ZONA SECA]]=AW$2,100%,AVANCE[[#This Row],[REVESTIMIENTO INTERIOR ZONA SECA]])</f>
        <v>0</v>
      </c>
      <c r="CK194" s="3">
        <f>+IF(AVANCE[[#This Row],[REVESTIMIENTO INTERIOR ZONAS HUMEDAS]]=AX$2,100%,AVANCE[[#This Row],[REVESTIMIENTO INTERIOR ZONAS HUMEDAS]])</f>
        <v>0</v>
      </c>
      <c r="CL194" s="3">
        <f>+IF(AVANCE[[#This Row],[MEMBRANA CIELO]]=AY$2,100%,AVANCE[[#This Row],[MEMBRANA CIELO]])</f>
        <v>0</v>
      </c>
      <c r="CM194" s="3">
        <f>+IF(AVANCE[[#This Row],[LIMPIEZA FINAL]]=AZ$2,100%,AVANCE[[#This Row],[LIMPIEZA FINAL]])</f>
        <v>0</v>
      </c>
      <c r="CN194" s="3">
        <f>+IF(AVANCE[[#This Row],[PUERTAS DORMITORIO]]=BA$2,100%,AVANCE[[#This Row],[PUERTAS DORMITORIO]])</f>
        <v>0</v>
      </c>
      <c r="CO194" s="3">
        <f>+IF(AVANCE[[#This Row],[REVESTIMIENTO INTERIOR BANO]]=BB$2,100%,AVANCE[[#This Row],[REVESTIMIENTO INTERIOR BANO]])</f>
        <v>0</v>
      </c>
      <c r="CP194" s="3">
        <f>+IF(AVANCE[[#This Row],[MUEBLE LAVAPLATOS]]=BC$2,100%,AVANCE[[#This Row],[MUEBLE LAVAPLATOS]])</f>
        <v>0</v>
      </c>
      <c r="CQ194" s="3">
        <f>+IF(AVANCE[[#This Row],[IMPERMEABILIZACION BANO - COCINA LOGIA]]=BD$2,100%,AVANCE[[#This Row],[IMPERMEABILIZACION BANO - COCINA LOGIA]])</f>
        <v>0</v>
      </c>
      <c r="CR194" s="40">
        <f ca="1">+IF(AVANCE[[#This Row],[ESTADO MODULO]]="PENDIENTE",(TODAY()-AVANCE[[#This Row],[FECHA TERMINO  PLANIFICADO]]),0)</f>
        <v>0</v>
      </c>
      <c r="CS194" s="42" t="str" cm="1">
        <f t="array" ref="CS194">_xlfn.TEXTJOIN(" | ",TRUE,IF(SUMPRODUCT((BF194:CQ194&lt;1)*(PARTIDAS!$I$2:$AT$2="OBRA GRUESA"))&gt;0,"OBRA GRUESA: "&amp;_xlfn.TEXTJOIN(", ",TRUE,IF((BF194:CQ194&lt;1)*(PARTIDAS!$I$2:$AT$2="OBRA GRUESA"),PARTIDAS!$I$1:$AT$1,"")),""),IF(SUMPRODUCT((BF194:CQ194&lt;1)*(PARTIDAS!$I$2:$AT$2="SANITARIOS"))&gt;0,"SANITARIOS: "&amp;_xlfn.TEXTJOIN(", ",TRUE,IF((BF194:CQ194&lt;1)*(PARTIDAS!$I$2:$AT$2="SANITARIOS"),PARTIDAS!$I$1:$AT$1,"")),""),IF(SUMPRODUCT((BF194:CQ194&lt;1)*(PARTIDAS!$I$2:$AT$2="ELÉCTRICO"))&gt;0,"ELÉCTRICO: "&amp;_xlfn.TEXTJOIN(", ",TRUE,IF((BF194:CQ194&lt;1)*(PARTIDAS!$I$2:$AT$2="ELÉCTRICO"),PARTIDAS!$I$1:$AT$1,"")),""),IF(SUMPRODUCT((BF194:CQ194&lt;1)*(PARTIDAS!$I$2:$AT$2="TERMINACIONES"))&gt;0,"TERMINACIONES: "&amp;_xlfn.TEXTJOIN(", ",TRUE,IF((BF194:CQ194&lt;1)*(PARTIDAS!$I$2:$AT$2="TERMINACIONES"),PARTIDAS!$I$1:$AT$1,"")),""))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4" s="45" t="str" cm="1">
        <f t="array" ref="CT194">_xlfn.TEXTJOIN(", ",TRUE,IF(SUMPRODUCT((BF194:CQ194&lt;1)*(PARTIDAS!$I$2:$AT$2="OBRA GRUESA"))&gt;0,"OBRA GRUESA",""),IF(SUMPRODUCT((BF194:CQ194&lt;1)*(PARTIDAS!$I$2:$AT$2="SANITARIOS"))&gt;0,"SANITARIOS",""),IF(SUMPRODUCT((BF194:CQ194&lt;1)*(PARTIDAS!$I$2:$AT$2="ELÉCTRICO"))&gt;0,"ELÉCTRICO",""),IF(SUMPRODUCT((BF194:CQ194&lt;1)*(PARTIDAS!$I$2:$AT$2="TERMINACIONES"))&gt;0,"TERMINACIONES",""))</f>
        <v>OBRA GRUESA, SANITARIOS, ELÉCTRICO, TERMINACIONES</v>
      </c>
      <c r="CU194" s="46" cm="1">
        <f t="array" ref="CU194">SUMPRODUCT(--(BF194:CQ194&lt;1))</f>
        <v>38</v>
      </c>
    </row>
    <row r="195" spans="1:99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46181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 t="str">
        <f>+IF(AVANCE[[#This Row],[% AVANCE]]=100%,"MODULO TERMINADO",IF(AVANCE[[#This Row],[FECHA INICIO REAL]]="","MODULO NO INICIADO","PENDIENTE"))</f>
        <v>MODULO NO INICIADO</v>
      </c>
      <c r="BF195" s="3">
        <f>+IF(AVANCE[[#This Row],[VENTANAS]]=8.10810810810811%,100%,AVANCE[[#This Row],[VENTANAS]])</f>
        <v>0</v>
      </c>
      <c r="BG195" s="3">
        <f>+IF(AVANCE[[#This Row],[PISO]]=N$2,100%,AVANCE[[#This Row],[PISO]])</f>
        <v>0</v>
      </c>
      <c r="BH195" s="3">
        <f>+IF(AVANCE[[#This Row],[TABIQUES]]=O$2,100%,AVANCE[[#This Row],[TABIQUES]])</f>
        <v>0</v>
      </c>
      <c r="BI195" s="3">
        <f>+IF(AVANCE[[#This Row],[MUROS]]=P$2,100%,AVANCE[[#This Row],[MUROS]])</f>
        <v>0</v>
      </c>
      <c r="BJ195" s="3">
        <f>+IF(AVANCE[[#This Row],[CIELO]]=Q$2,100%,AVANCE[[#This Row],[CIELO]])</f>
        <v>0</v>
      </c>
      <c r="BK195" s="3">
        <f>+IF(AVANCE[[#This Row],[BALCÓN]]=R$2,100%,AVANCE[[#This Row],[BALCÓN]])</f>
        <v>0</v>
      </c>
      <c r="BL195" s="3">
        <f>+IF(AVANCE[[#This Row],[RED ALCANTARILLADO]]=U$2,100%,AVANCE[[#This Row],[RED ALCANTARILLADO]])</f>
        <v>0</v>
      </c>
      <c r="BM195" s="3">
        <f>+IF(AVANCE[[#This Row],[RED DE AGUA]]=V$2,100%,AVANCE[[#This Row],[RED DE AGUA]])</f>
        <v>0</v>
      </c>
      <c r="BN195" s="3">
        <f>+IF(AVANCE[[#This Row],[VENTILACIONES]]=W$2,100%,AVANCE[[#This Row],[VENTILACIONES]])</f>
        <v>0</v>
      </c>
      <c r="BO195" s="3">
        <f>+IF(AVANCE[[#This Row],[TINA]]=X$2,100%,AVANCE[[#This Row],[TINA]])</f>
        <v>0</v>
      </c>
      <c r="BP195" s="3">
        <f>+IF(AVANCE[[#This Row],[WC]]=Y$2,100%,AVANCE[[#This Row],[WC]])</f>
        <v>0</v>
      </c>
      <c r="BQ195" s="3">
        <f>+IF(AVANCE[[#This Row],[LAVAMANOS / LAVAPLATOS / LAVADERO]]=Z$2,100%,AVANCE[[#This Row],[LAVAMANOS / LAVAPLATOS / LAVADERO]])</f>
        <v>0</v>
      </c>
      <c r="BR195" s="3">
        <f>+IF(AVANCE[[#This Row],[CANALIZACIÓN]]=AC$2,100%,AVANCE[[#This Row],[CANALIZACIÓN]])</f>
        <v>0</v>
      </c>
      <c r="BS195" s="3">
        <f>+IF(AVANCE[[#This Row],[CABLEADO]]=AD$2,100%,AVANCE[[#This Row],[CABLEADO]])</f>
        <v>0</v>
      </c>
      <c r="BT195" s="3">
        <f>+IF(AVANCE[[#This Row],[ARTEFACTOS]]=AE$2,100%,AVANCE[[#This Row],[ARTEFACTOS]])</f>
        <v>0</v>
      </c>
      <c r="BU195" s="3">
        <f>+IF(AVANCE[[#This Row],[TABLERO]]=AF$2,100%,AVANCE[[#This Row],[TABLERO]])</f>
        <v>0</v>
      </c>
      <c r="BV195" s="3">
        <f>+IF(AVANCE[[#This Row],[CAJA PAU]]=AG$2,100%,AVANCE[[#This Row],[CAJA PAU]])</f>
        <v>0</v>
      </c>
      <c r="BW195" s="3">
        <f>+IF(AVANCE[[#This Row],[INSTALACION VINILICO]]=AJ$2,100%,AVANCE[[#This Row],[INSTALACION VINILICO]])</f>
        <v>0</v>
      </c>
      <c r="BX195" s="3">
        <f>+IF(AVANCE[[#This Row],[OSB CUBIERTA]]=AK$2,100%,AVANCE[[#This Row],[OSB CUBIERTA]])</f>
        <v>0</v>
      </c>
      <c r="BY195" s="3">
        <f>+IF(AVANCE[[#This Row],[BARANDA BALCON]]=AL$2,100%,AVANCE[[#This Row],[BARANDA BALCON]])</f>
        <v>0</v>
      </c>
      <c r="BZ195" s="3">
        <f>+IF(AVANCE[[#This Row],[OSB EXTERIOR]]=AM$2,100%,AVANCE[[#This Row],[OSB EXTERIOR]])</f>
        <v>0</v>
      </c>
      <c r="CA195" s="3">
        <f>+IF(AVANCE[[#This Row],[SMART PANEL]]=AN$2,100%,AVANCE[[#This Row],[SMART PANEL]])</f>
        <v>0</v>
      </c>
      <c r="CB195" s="3">
        <f>+IF(AVANCE[[#This Row],[PINTURA EXTERIOR]]=AO$2,100%,AVANCE[[#This Row],[PINTURA EXTERIOR]])</f>
        <v>0</v>
      </c>
      <c r="CC195" s="3">
        <f>+IF(AVANCE[[#This Row],[ZOCALOS LOGIA]]=AP$2,100%,AVANCE[[#This Row],[ZOCALOS LOGIA]])</f>
        <v>0</v>
      </c>
      <c r="CD195" s="3">
        <f>+IF(AVANCE[[#This Row],[MOLDURAS]]=AQ$2,100%,AVANCE[[#This Row],[MOLDURAS]])</f>
        <v>0</v>
      </c>
      <c r="CE195" s="3">
        <f>+IF(AVANCE[[#This Row],[PILASTREO]]=AR$2,100%,AVANCE[[#This Row],[PILASTREO]])</f>
        <v>0</v>
      </c>
      <c r="CF195" s="3">
        <f>+IF(AVANCE[[#This Row],[CELOSIAS]]=AS$2,100%,AVANCE[[#This Row],[CELOSIAS]])</f>
        <v>0</v>
      </c>
      <c r="CG195" s="3">
        <f>+IF(AVANCE[[#This Row],[VENTANAS]]=AT$2,100%,AVANCE[[#This Row],[VENTANAS]])</f>
        <v>0</v>
      </c>
      <c r="CH195" s="3">
        <f>+IF(AVANCE[[#This Row],[PUERTAS ACCESO - LOGIA - BANO]]=AU$2,100%,AVANCE[[#This Row],[PUERTAS ACCESO - LOGIA - BANO]])</f>
        <v>0</v>
      </c>
      <c r="CI195" s="3">
        <f>+IF(AVANCE[[#This Row],[CERRADURAS]]=AV$2,100%,AVANCE[[#This Row],[CERRADURAS]])</f>
        <v>0</v>
      </c>
      <c r="CJ195" s="3">
        <f>+IF(AVANCE[[#This Row],[REVESTIMIENTO INTERIOR ZONA SECA]]=AW$2,100%,AVANCE[[#This Row],[REVESTIMIENTO INTERIOR ZONA SECA]])</f>
        <v>0</v>
      </c>
      <c r="CK195" s="3">
        <f>+IF(AVANCE[[#This Row],[REVESTIMIENTO INTERIOR ZONAS HUMEDAS]]=AX$2,100%,AVANCE[[#This Row],[REVESTIMIENTO INTERIOR ZONAS HUMEDAS]])</f>
        <v>0</v>
      </c>
      <c r="CL195" s="3">
        <f>+IF(AVANCE[[#This Row],[MEMBRANA CIELO]]=AY$2,100%,AVANCE[[#This Row],[MEMBRANA CIELO]])</f>
        <v>0</v>
      </c>
      <c r="CM195" s="3">
        <f>+IF(AVANCE[[#This Row],[LIMPIEZA FINAL]]=AZ$2,100%,AVANCE[[#This Row],[LIMPIEZA FINAL]])</f>
        <v>0</v>
      </c>
      <c r="CN195" s="3">
        <f>+IF(AVANCE[[#This Row],[PUERTAS DORMITORIO]]=BA$2,100%,AVANCE[[#This Row],[PUERTAS DORMITORIO]])</f>
        <v>0</v>
      </c>
      <c r="CO195" s="3">
        <f>+IF(AVANCE[[#This Row],[REVESTIMIENTO INTERIOR BANO]]=BB$2,100%,AVANCE[[#This Row],[REVESTIMIENTO INTERIOR BANO]])</f>
        <v>0</v>
      </c>
      <c r="CP195" s="3">
        <f>+IF(AVANCE[[#This Row],[MUEBLE LAVAPLATOS]]=BC$2,100%,AVANCE[[#This Row],[MUEBLE LAVAPLATOS]])</f>
        <v>0</v>
      </c>
      <c r="CQ195" s="3">
        <f>+IF(AVANCE[[#This Row],[IMPERMEABILIZACION BANO - COCINA LOGIA]]=BD$2,100%,AVANCE[[#This Row],[IMPERMEABILIZACION BANO - COCINA LOGIA]])</f>
        <v>0</v>
      </c>
      <c r="CR195" s="40">
        <f ca="1">+IF(AVANCE[[#This Row],[ESTADO MODULO]]="PENDIENTE",(TODAY()-AVANCE[[#This Row],[FECHA TERMINO  PLANIFICADO]]),0)</f>
        <v>0</v>
      </c>
      <c r="CS195" s="42" t="str" cm="1">
        <f t="array" ref="CS195">_xlfn.TEXTJOIN(" | ",TRUE,IF(SUMPRODUCT((BF195:CQ195&lt;1)*(PARTIDAS!$I$2:$AT$2="OBRA GRUESA"))&gt;0,"OBRA GRUESA: "&amp;_xlfn.TEXTJOIN(", ",TRUE,IF((BF195:CQ195&lt;1)*(PARTIDAS!$I$2:$AT$2="OBRA GRUESA"),PARTIDAS!$I$1:$AT$1,"")),""),IF(SUMPRODUCT((BF195:CQ195&lt;1)*(PARTIDAS!$I$2:$AT$2="SANITARIOS"))&gt;0,"SANITARIOS: "&amp;_xlfn.TEXTJOIN(", ",TRUE,IF((BF195:CQ195&lt;1)*(PARTIDAS!$I$2:$AT$2="SANITARIOS"),PARTIDAS!$I$1:$AT$1,"")),""),IF(SUMPRODUCT((BF195:CQ195&lt;1)*(PARTIDAS!$I$2:$AT$2="ELÉCTRICO"))&gt;0,"ELÉCTRICO: "&amp;_xlfn.TEXTJOIN(", ",TRUE,IF((BF195:CQ195&lt;1)*(PARTIDAS!$I$2:$AT$2="ELÉCTRICO"),PARTIDAS!$I$1:$AT$1,"")),""),IF(SUMPRODUCT((BF195:CQ195&lt;1)*(PARTIDAS!$I$2:$AT$2="TERMINACIONES"))&gt;0,"TERMINACIONES: "&amp;_xlfn.TEXTJOIN(", ",TRUE,IF((BF195:CQ195&lt;1)*(PARTIDAS!$I$2:$AT$2="TERMINACIONES"),PARTIDAS!$I$1:$AT$1,"")),""))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5" s="45" t="str" cm="1">
        <f t="array" ref="CT195">_xlfn.TEXTJOIN(", ",TRUE,IF(SUMPRODUCT((BF195:CQ195&lt;1)*(PARTIDAS!$I$2:$AT$2="OBRA GRUESA"))&gt;0,"OBRA GRUESA",""),IF(SUMPRODUCT((BF195:CQ195&lt;1)*(PARTIDAS!$I$2:$AT$2="SANITARIOS"))&gt;0,"SANITARIOS",""),IF(SUMPRODUCT((BF195:CQ195&lt;1)*(PARTIDAS!$I$2:$AT$2="ELÉCTRICO"))&gt;0,"ELÉCTRICO",""),IF(SUMPRODUCT((BF195:CQ195&lt;1)*(PARTIDAS!$I$2:$AT$2="TERMINACIONES"))&gt;0,"TERMINACIONES",""))</f>
        <v>OBRA GRUESA, SANITARIOS, ELÉCTRICO, TERMINACIONES</v>
      </c>
      <c r="CU195" s="46" cm="1">
        <f t="array" ref="CU195">SUMPRODUCT(--(BF195:CQ195&lt;1))</f>
        <v>38</v>
      </c>
    </row>
    <row r="196" spans="1:99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46181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 t="str">
        <f>+IF(AVANCE[[#This Row],[% AVANCE]]=100%,"MODULO TERMINADO",IF(AVANCE[[#This Row],[FECHA INICIO REAL]]="","MODULO NO INICIADO","PENDIENTE"))</f>
        <v>MODULO NO INICIADO</v>
      </c>
      <c r="BF196" s="3">
        <f>+IF(AVANCE[[#This Row],[VENTANAS]]=8.10810810810811%,100%,AVANCE[[#This Row],[VENTANAS]])</f>
        <v>0</v>
      </c>
      <c r="BG196" s="3">
        <f>+IF(AVANCE[[#This Row],[PISO]]=N$2,100%,AVANCE[[#This Row],[PISO]])</f>
        <v>0</v>
      </c>
      <c r="BH196" s="3">
        <f>+IF(AVANCE[[#This Row],[TABIQUES]]=O$2,100%,AVANCE[[#This Row],[TABIQUES]])</f>
        <v>0</v>
      </c>
      <c r="BI196" s="3">
        <f>+IF(AVANCE[[#This Row],[MUROS]]=P$2,100%,AVANCE[[#This Row],[MUROS]])</f>
        <v>0</v>
      </c>
      <c r="BJ196" s="3">
        <f>+IF(AVANCE[[#This Row],[CIELO]]=Q$2,100%,AVANCE[[#This Row],[CIELO]])</f>
        <v>0</v>
      </c>
      <c r="BK196" s="3">
        <f>+IF(AVANCE[[#This Row],[BALCÓN]]=R$2,100%,AVANCE[[#This Row],[BALCÓN]])</f>
        <v>0</v>
      </c>
      <c r="BL196" s="3">
        <f>+IF(AVANCE[[#This Row],[RED ALCANTARILLADO]]=U$2,100%,AVANCE[[#This Row],[RED ALCANTARILLADO]])</f>
        <v>0</v>
      </c>
      <c r="BM196" s="3">
        <f>+IF(AVANCE[[#This Row],[RED DE AGUA]]=V$2,100%,AVANCE[[#This Row],[RED DE AGUA]])</f>
        <v>0</v>
      </c>
      <c r="BN196" s="3">
        <f>+IF(AVANCE[[#This Row],[VENTILACIONES]]=W$2,100%,AVANCE[[#This Row],[VENTILACIONES]])</f>
        <v>0</v>
      </c>
      <c r="BO196" s="3">
        <f>+IF(AVANCE[[#This Row],[TINA]]=X$2,100%,AVANCE[[#This Row],[TINA]])</f>
        <v>0</v>
      </c>
      <c r="BP196" s="3">
        <f>+IF(AVANCE[[#This Row],[WC]]=Y$2,100%,AVANCE[[#This Row],[WC]])</f>
        <v>0</v>
      </c>
      <c r="BQ196" s="3">
        <f>+IF(AVANCE[[#This Row],[LAVAMANOS / LAVAPLATOS / LAVADERO]]=Z$2,100%,AVANCE[[#This Row],[LAVAMANOS / LAVAPLATOS / LAVADERO]])</f>
        <v>0</v>
      </c>
      <c r="BR196" s="3">
        <f>+IF(AVANCE[[#This Row],[CANALIZACIÓN]]=AC$2,100%,AVANCE[[#This Row],[CANALIZACIÓN]])</f>
        <v>0</v>
      </c>
      <c r="BS196" s="3">
        <f>+IF(AVANCE[[#This Row],[CABLEADO]]=AD$2,100%,AVANCE[[#This Row],[CABLEADO]])</f>
        <v>0</v>
      </c>
      <c r="BT196" s="3">
        <f>+IF(AVANCE[[#This Row],[ARTEFACTOS]]=AE$2,100%,AVANCE[[#This Row],[ARTEFACTOS]])</f>
        <v>0</v>
      </c>
      <c r="BU196" s="3">
        <f>+IF(AVANCE[[#This Row],[TABLERO]]=AF$2,100%,AVANCE[[#This Row],[TABLERO]])</f>
        <v>0</v>
      </c>
      <c r="BV196" s="3">
        <f>+IF(AVANCE[[#This Row],[CAJA PAU]]=AG$2,100%,AVANCE[[#This Row],[CAJA PAU]])</f>
        <v>0</v>
      </c>
      <c r="BW196" s="3">
        <f>+IF(AVANCE[[#This Row],[INSTALACION VINILICO]]=AJ$2,100%,AVANCE[[#This Row],[INSTALACION VINILICO]])</f>
        <v>0</v>
      </c>
      <c r="BX196" s="3">
        <f>+IF(AVANCE[[#This Row],[OSB CUBIERTA]]=AK$2,100%,AVANCE[[#This Row],[OSB CUBIERTA]])</f>
        <v>0</v>
      </c>
      <c r="BY196" s="3">
        <f>+IF(AVANCE[[#This Row],[BARANDA BALCON]]=AL$2,100%,AVANCE[[#This Row],[BARANDA BALCON]])</f>
        <v>0</v>
      </c>
      <c r="BZ196" s="3">
        <f>+IF(AVANCE[[#This Row],[OSB EXTERIOR]]=AM$2,100%,AVANCE[[#This Row],[OSB EXTERIOR]])</f>
        <v>0</v>
      </c>
      <c r="CA196" s="3">
        <f>+IF(AVANCE[[#This Row],[SMART PANEL]]=AN$2,100%,AVANCE[[#This Row],[SMART PANEL]])</f>
        <v>0</v>
      </c>
      <c r="CB196" s="3">
        <f>+IF(AVANCE[[#This Row],[PINTURA EXTERIOR]]=AO$2,100%,AVANCE[[#This Row],[PINTURA EXTERIOR]])</f>
        <v>0</v>
      </c>
      <c r="CC196" s="3">
        <f>+IF(AVANCE[[#This Row],[ZOCALOS LOGIA]]=AP$2,100%,AVANCE[[#This Row],[ZOCALOS LOGIA]])</f>
        <v>0</v>
      </c>
      <c r="CD196" s="3">
        <f>+IF(AVANCE[[#This Row],[MOLDURAS]]=AQ$2,100%,AVANCE[[#This Row],[MOLDURAS]])</f>
        <v>0</v>
      </c>
      <c r="CE196" s="3">
        <f>+IF(AVANCE[[#This Row],[PILASTREO]]=AR$2,100%,AVANCE[[#This Row],[PILASTREO]])</f>
        <v>0</v>
      </c>
      <c r="CF196" s="3">
        <f>+IF(AVANCE[[#This Row],[CELOSIAS]]=AS$2,100%,AVANCE[[#This Row],[CELOSIAS]])</f>
        <v>0</v>
      </c>
      <c r="CG196" s="3">
        <f>+IF(AVANCE[[#This Row],[VENTANAS]]=AT$2,100%,AVANCE[[#This Row],[VENTANAS]])</f>
        <v>0</v>
      </c>
      <c r="CH196" s="3">
        <f>+IF(AVANCE[[#This Row],[PUERTAS ACCESO - LOGIA - BANO]]=AU$2,100%,AVANCE[[#This Row],[PUERTAS ACCESO - LOGIA - BANO]])</f>
        <v>0</v>
      </c>
      <c r="CI196" s="3">
        <f>+IF(AVANCE[[#This Row],[CERRADURAS]]=AV$2,100%,AVANCE[[#This Row],[CERRADURAS]])</f>
        <v>0</v>
      </c>
      <c r="CJ196" s="3">
        <f>+IF(AVANCE[[#This Row],[REVESTIMIENTO INTERIOR ZONA SECA]]=AW$2,100%,AVANCE[[#This Row],[REVESTIMIENTO INTERIOR ZONA SECA]])</f>
        <v>0</v>
      </c>
      <c r="CK196" s="3">
        <f>+IF(AVANCE[[#This Row],[REVESTIMIENTO INTERIOR ZONAS HUMEDAS]]=AX$2,100%,AVANCE[[#This Row],[REVESTIMIENTO INTERIOR ZONAS HUMEDAS]])</f>
        <v>0</v>
      </c>
      <c r="CL196" s="3">
        <f>+IF(AVANCE[[#This Row],[MEMBRANA CIELO]]=AY$2,100%,AVANCE[[#This Row],[MEMBRANA CIELO]])</f>
        <v>0</v>
      </c>
      <c r="CM196" s="3">
        <f>+IF(AVANCE[[#This Row],[LIMPIEZA FINAL]]=AZ$2,100%,AVANCE[[#This Row],[LIMPIEZA FINAL]])</f>
        <v>0</v>
      </c>
      <c r="CN196" s="3">
        <f>+IF(AVANCE[[#This Row],[PUERTAS DORMITORIO]]=BA$2,100%,AVANCE[[#This Row],[PUERTAS DORMITORIO]])</f>
        <v>0</v>
      </c>
      <c r="CO196" s="3">
        <f>+IF(AVANCE[[#This Row],[REVESTIMIENTO INTERIOR BANO]]=BB$2,100%,AVANCE[[#This Row],[REVESTIMIENTO INTERIOR BANO]])</f>
        <v>0</v>
      </c>
      <c r="CP196" s="3">
        <f>+IF(AVANCE[[#This Row],[MUEBLE LAVAPLATOS]]=BC$2,100%,AVANCE[[#This Row],[MUEBLE LAVAPLATOS]])</f>
        <v>0</v>
      </c>
      <c r="CQ196" s="3">
        <f>+IF(AVANCE[[#This Row],[IMPERMEABILIZACION BANO - COCINA LOGIA]]=BD$2,100%,AVANCE[[#This Row],[IMPERMEABILIZACION BANO - COCINA LOGIA]])</f>
        <v>0</v>
      </c>
      <c r="CR196" s="40">
        <f ca="1">+IF(AVANCE[[#This Row],[ESTADO MODULO]]="PENDIENTE",(TODAY()-AVANCE[[#This Row],[FECHA TERMINO  PLANIFICADO]]),0)</f>
        <v>0</v>
      </c>
      <c r="CS196" s="42" t="str" cm="1">
        <f t="array" ref="CS196">_xlfn.TEXTJOIN(" | ",TRUE,IF(SUMPRODUCT((BF196:CQ196&lt;1)*(PARTIDAS!$I$2:$AT$2="OBRA GRUESA"))&gt;0,"OBRA GRUESA: "&amp;_xlfn.TEXTJOIN(", ",TRUE,IF((BF196:CQ196&lt;1)*(PARTIDAS!$I$2:$AT$2="OBRA GRUESA"),PARTIDAS!$I$1:$AT$1,"")),""),IF(SUMPRODUCT((BF196:CQ196&lt;1)*(PARTIDAS!$I$2:$AT$2="SANITARIOS"))&gt;0,"SANITARIOS: "&amp;_xlfn.TEXTJOIN(", ",TRUE,IF((BF196:CQ196&lt;1)*(PARTIDAS!$I$2:$AT$2="SANITARIOS"),PARTIDAS!$I$1:$AT$1,"")),""),IF(SUMPRODUCT((BF196:CQ196&lt;1)*(PARTIDAS!$I$2:$AT$2="ELÉCTRICO"))&gt;0,"ELÉCTRICO: "&amp;_xlfn.TEXTJOIN(", ",TRUE,IF((BF196:CQ196&lt;1)*(PARTIDAS!$I$2:$AT$2="ELÉCTRICO"),PARTIDAS!$I$1:$AT$1,"")),""),IF(SUMPRODUCT((BF196:CQ196&lt;1)*(PARTIDAS!$I$2:$AT$2="TERMINACIONES"))&gt;0,"TERMINACIONES: "&amp;_xlfn.TEXTJOIN(", ",TRUE,IF((BF196:CQ196&lt;1)*(PARTIDAS!$I$2:$AT$2="TERMINACIONES"),PARTIDAS!$I$1:$AT$1,"")),""))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6" s="45" t="str" cm="1">
        <f t="array" ref="CT196">_xlfn.TEXTJOIN(", ",TRUE,IF(SUMPRODUCT((BF196:CQ196&lt;1)*(PARTIDAS!$I$2:$AT$2="OBRA GRUESA"))&gt;0,"OBRA GRUESA",""),IF(SUMPRODUCT((BF196:CQ196&lt;1)*(PARTIDAS!$I$2:$AT$2="SANITARIOS"))&gt;0,"SANITARIOS",""),IF(SUMPRODUCT((BF196:CQ196&lt;1)*(PARTIDAS!$I$2:$AT$2="ELÉCTRICO"))&gt;0,"ELÉCTRICO",""),IF(SUMPRODUCT((BF196:CQ196&lt;1)*(PARTIDAS!$I$2:$AT$2="TERMINACIONES"))&gt;0,"TERMINACIONES",""))</f>
        <v>OBRA GRUESA, SANITARIOS, ELÉCTRICO, TERMINACIONES</v>
      </c>
      <c r="CU196" s="46" cm="1">
        <f t="array" ref="CU196">SUMPRODUCT(--(BF196:CQ196&lt;1))</f>
        <v>38</v>
      </c>
    </row>
    <row r="197" spans="1:99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46181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 t="str">
        <f>+IF(AVANCE[[#This Row],[% AVANCE]]=100%,"MODULO TERMINADO",IF(AVANCE[[#This Row],[FECHA INICIO REAL]]="","MODULO NO INICIADO","PENDIENTE"))</f>
        <v>MODULO NO INICIADO</v>
      </c>
      <c r="BF197" s="3">
        <f>+IF(AVANCE[[#This Row],[VENTANAS]]=8.10810810810811%,100%,AVANCE[[#This Row],[VENTANAS]])</f>
        <v>0</v>
      </c>
      <c r="BG197" s="3">
        <f>+IF(AVANCE[[#This Row],[PISO]]=N$2,100%,AVANCE[[#This Row],[PISO]])</f>
        <v>0</v>
      </c>
      <c r="BH197" s="3">
        <f>+IF(AVANCE[[#This Row],[TABIQUES]]=O$2,100%,AVANCE[[#This Row],[TABIQUES]])</f>
        <v>0</v>
      </c>
      <c r="BI197" s="3">
        <f>+IF(AVANCE[[#This Row],[MUROS]]=P$2,100%,AVANCE[[#This Row],[MUROS]])</f>
        <v>0</v>
      </c>
      <c r="BJ197" s="3">
        <f>+IF(AVANCE[[#This Row],[CIELO]]=Q$2,100%,AVANCE[[#This Row],[CIELO]])</f>
        <v>0</v>
      </c>
      <c r="BK197" s="3">
        <f>+IF(AVANCE[[#This Row],[BALCÓN]]=R$2,100%,AVANCE[[#This Row],[BALCÓN]])</f>
        <v>0</v>
      </c>
      <c r="BL197" s="3">
        <f>+IF(AVANCE[[#This Row],[RED ALCANTARILLADO]]=U$2,100%,AVANCE[[#This Row],[RED ALCANTARILLADO]])</f>
        <v>0</v>
      </c>
      <c r="BM197" s="3">
        <f>+IF(AVANCE[[#This Row],[RED DE AGUA]]=V$2,100%,AVANCE[[#This Row],[RED DE AGUA]])</f>
        <v>0</v>
      </c>
      <c r="BN197" s="3">
        <f>+IF(AVANCE[[#This Row],[VENTILACIONES]]=W$2,100%,AVANCE[[#This Row],[VENTILACIONES]])</f>
        <v>0</v>
      </c>
      <c r="BO197" s="3">
        <f>+IF(AVANCE[[#This Row],[TINA]]=X$2,100%,AVANCE[[#This Row],[TINA]])</f>
        <v>0</v>
      </c>
      <c r="BP197" s="3">
        <f>+IF(AVANCE[[#This Row],[WC]]=Y$2,100%,AVANCE[[#This Row],[WC]])</f>
        <v>0</v>
      </c>
      <c r="BQ197" s="3">
        <f>+IF(AVANCE[[#This Row],[LAVAMANOS / LAVAPLATOS / LAVADERO]]=Z$2,100%,AVANCE[[#This Row],[LAVAMANOS / LAVAPLATOS / LAVADERO]])</f>
        <v>0</v>
      </c>
      <c r="BR197" s="3">
        <f>+IF(AVANCE[[#This Row],[CANALIZACIÓN]]=AC$2,100%,AVANCE[[#This Row],[CANALIZACIÓN]])</f>
        <v>0</v>
      </c>
      <c r="BS197" s="3">
        <f>+IF(AVANCE[[#This Row],[CABLEADO]]=AD$2,100%,AVANCE[[#This Row],[CABLEADO]])</f>
        <v>0</v>
      </c>
      <c r="BT197" s="3">
        <f>+IF(AVANCE[[#This Row],[ARTEFACTOS]]=AE$2,100%,AVANCE[[#This Row],[ARTEFACTOS]])</f>
        <v>0</v>
      </c>
      <c r="BU197" s="3">
        <f>+IF(AVANCE[[#This Row],[TABLERO]]=AF$2,100%,AVANCE[[#This Row],[TABLERO]])</f>
        <v>0</v>
      </c>
      <c r="BV197" s="3">
        <f>+IF(AVANCE[[#This Row],[CAJA PAU]]=AG$2,100%,AVANCE[[#This Row],[CAJA PAU]])</f>
        <v>0</v>
      </c>
      <c r="BW197" s="3">
        <f>+IF(AVANCE[[#This Row],[INSTALACION VINILICO]]=AJ$2,100%,AVANCE[[#This Row],[INSTALACION VINILICO]])</f>
        <v>0</v>
      </c>
      <c r="BX197" s="3">
        <f>+IF(AVANCE[[#This Row],[OSB CUBIERTA]]=AK$2,100%,AVANCE[[#This Row],[OSB CUBIERTA]])</f>
        <v>0</v>
      </c>
      <c r="BY197" s="3">
        <f>+IF(AVANCE[[#This Row],[BARANDA BALCON]]=AL$2,100%,AVANCE[[#This Row],[BARANDA BALCON]])</f>
        <v>0</v>
      </c>
      <c r="BZ197" s="3">
        <f>+IF(AVANCE[[#This Row],[OSB EXTERIOR]]=AM$2,100%,AVANCE[[#This Row],[OSB EXTERIOR]])</f>
        <v>0</v>
      </c>
      <c r="CA197" s="3">
        <f>+IF(AVANCE[[#This Row],[SMART PANEL]]=AN$2,100%,AVANCE[[#This Row],[SMART PANEL]])</f>
        <v>0</v>
      </c>
      <c r="CB197" s="3">
        <f>+IF(AVANCE[[#This Row],[PINTURA EXTERIOR]]=AO$2,100%,AVANCE[[#This Row],[PINTURA EXTERIOR]])</f>
        <v>0</v>
      </c>
      <c r="CC197" s="3">
        <f>+IF(AVANCE[[#This Row],[ZOCALOS LOGIA]]=AP$2,100%,AVANCE[[#This Row],[ZOCALOS LOGIA]])</f>
        <v>0</v>
      </c>
      <c r="CD197" s="3">
        <f>+IF(AVANCE[[#This Row],[MOLDURAS]]=AQ$2,100%,AVANCE[[#This Row],[MOLDURAS]])</f>
        <v>0</v>
      </c>
      <c r="CE197" s="3">
        <f>+IF(AVANCE[[#This Row],[PILASTREO]]=AR$2,100%,AVANCE[[#This Row],[PILASTREO]])</f>
        <v>0</v>
      </c>
      <c r="CF197" s="3">
        <f>+IF(AVANCE[[#This Row],[CELOSIAS]]=AS$2,100%,AVANCE[[#This Row],[CELOSIAS]])</f>
        <v>0</v>
      </c>
      <c r="CG197" s="3">
        <f>+IF(AVANCE[[#This Row],[VENTANAS]]=AT$2,100%,AVANCE[[#This Row],[VENTANAS]])</f>
        <v>0</v>
      </c>
      <c r="CH197" s="3">
        <f>+IF(AVANCE[[#This Row],[PUERTAS ACCESO - LOGIA - BANO]]=AU$2,100%,AVANCE[[#This Row],[PUERTAS ACCESO - LOGIA - BANO]])</f>
        <v>0</v>
      </c>
      <c r="CI197" s="3">
        <f>+IF(AVANCE[[#This Row],[CERRADURAS]]=AV$2,100%,AVANCE[[#This Row],[CERRADURAS]])</f>
        <v>0</v>
      </c>
      <c r="CJ197" s="3">
        <f>+IF(AVANCE[[#This Row],[REVESTIMIENTO INTERIOR ZONA SECA]]=AW$2,100%,AVANCE[[#This Row],[REVESTIMIENTO INTERIOR ZONA SECA]])</f>
        <v>0</v>
      </c>
      <c r="CK197" s="3">
        <f>+IF(AVANCE[[#This Row],[REVESTIMIENTO INTERIOR ZONAS HUMEDAS]]=AX$2,100%,AVANCE[[#This Row],[REVESTIMIENTO INTERIOR ZONAS HUMEDAS]])</f>
        <v>0</v>
      </c>
      <c r="CL197" s="3">
        <f>+IF(AVANCE[[#This Row],[MEMBRANA CIELO]]=AY$2,100%,AVANCE[[#This Row],[MEMBRANA CIELO]])</f>
        <v>0</v>
      </c>
      <c r="CM197" s="3">
        <f>+IF(AVANCE[[#This Row],[LIMPIEZA FINAL]]=AZ$2,100%,AVANCE[[#This Row],[LIMPIEZA FINAL]])</f>
        <v>0</v>
      </c>
      <c r="CN197" s="3">
        <f>+IF(AVANCE[[#This Row],[PUERTAS DORMITORIO]]=BA$2,100%,AVANCE[[#This Row],[PUERTAS DORMITORIO]])</f>
        <v>0</v>
      </c>
      <c r="CO197" s="3">
        <f>+IF(AVANCE[[#This Row],[REVESTIMIENTO INTERIOR BANO]]=BB$2,100%,AVANCE[[#This Row],[REVESTIMIENTO INTERIOR BANO]])</f>
        <v>0</v>
      </c>
      <c r="CP197" s="3">
        <f>+IF(AVANCE[[#This Row],[MUEBLE LAVAPLATOS]]=BC$2,100%,AVANCE[[#This Row],[MUEBLE LAVAPLATOS]])</f>
        <v>0</v>
      </c>
      <c r="CQ197" s="3">
        <f>+IF(AVANCE[[#This Row],[IMPERMEABILIZACION BANO - COCINA LOGIA]]=BD$2,100%,AVANCE[[#This Row],[IMPERMEABILIZACION BANO - COCINA LOGIA]])</f>
        <v>0</v>
      </c>
      <c r="CR197" s="40">
        <f ca="1">+IF(AVANCE[[#This Row],[ESTADO MODULO]]="PENDIENTE",(TODAY()-AVANCE[[#This Row],[FECHA TERMINO  PLANIFICADO]]),0)</f>
        <v>0</v>
      </c>
      <c r="CS197" s="42" t="str" cm="1">
        <f t="array" ref="CS197">_xlfn.TEXTJOIN(" | ",TRUE,IF(SUMPRODUCT((BF197:CQ197&lt;1)*(PARTIDAS!$I$2:$AT$2="OBRA GRUESA"))&gt;0,"OBRA GRUESA: "&amp;_xlfn.TEXTJOIN(", ",TRUE,IF((BF197:CQ197&lt;1)*(PARTIDAS!$I$2:$AT$2="OBRA GRUESA"),PARTIDAS!$I$1:$AT$1,"")),""),IF(SUMPRODUCT((BF197:CQ197&lt;1)*(PARTIDAS!$I$2:$AT$2="SANITARIOS"))&gt;0,"SANITARIOS: "&amp;_xlfn.TEXTJOIN(", ",TRUE,IF((BF197:CQ197&lt;1)*(PARTIDAS!$I$2:$AT$2="SANITARIOS"),PARTIDAS!$I$1:$AT$1,"")),""),IF(SUMPRODUCT((BF197:CQ197&lt;1)*(PARTIDAS!$I$2:$AT$2="ELÉCTRICO"))&gt;0,"ELÉCTRICO: "&amp;_xlfn.TEXTJOIN(", ",TRUE,IF((BF197:CQ197&lt;1)*(PARTIDAS!$I$2:$AT$2="ELÉCTRICO"),PARTIDAS!$I$1:$AT$1,"")),""),IF(SUMPRODUCT((BF197:CQ197&lt;1)*(PARTIDAS!$I$2:$AT$2="TERMINACIONES"))&gt;0,"TERMINACIONES: "&amp;_xlfn.TEXTJOIN(", ",TRUE,IF((BF197:CQ197&lt;1)*(PARTIDAS!$I$2:$AT$2="TERMINACIONES"),PARTIDAS!$I$1:$AT$1,"")),""))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7" s="45" t="str" cm="1">
        <f t="array" ref="CT197">_xlfn.TEXTJOIN(", ",TRUE,IF(SUMPRODUCT((BF197:CQ197&lt;1)*(PARTIDAS!$I$2:$AT$2="OBRA GRUESA"))&gt;0,"OBRA GRUESA",""),IF(SUMPRODUCT((BF197:CQ197&lt;1)*(PARTIDAS!$I$2:$AT$2="SANITARIOS"))&gt;0,"SANITARIOS",""),IF(SUMPRODUCT((BF197:CQ197&lt;1)*(PARTIDAS!$I$2:$AT$2="ELÉCTRICO"))&gt;0,"ELÉCTRICO",""),IF(SUMPRODUCT((BF197:CQ197&lt;1)*(PARTIDAS!$I$2:$AT$2="TERMINACIONES"))&gt;0,"TERMINACIONES",""))</f>
        <v>OBRA GRUESA, SANITARIOS, ELÉCTRICO, TERMINACIONES</v>
      </c>
      <c r="CU197" s="46" cm="1">
        <f t="array" ref="CU197">SUMPRODUCT(--(BF197:CQ197&lt;1))</f>
        <v>38</v>
      </c>
    </row>
    <row r="198" spans="1:99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46181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 t="str">
        <f>+IF(AVANCE[[#This Row],[% AVANCE]]=100%,"MODULO TERMINADO",IF(AVANCE[[#This Row],[FECHA INICIO REAL]]="","MODULO NO INICIADO","PENDIENTE"))</f>
        <v>MODULO NO INICIADO</v>
      </c>
      <c r="BF198" s="3">
        <f>+IF(AVANCE[[#This Row],[VENTANAS]]=8.10810810810811%,100%,AVANCE[[#This Row],[VENTANAS]])</f>
        <v>0</v>
      </c>
      <c r="BG198" s="3">
        <f>+IF(AVANCE[[#This Row],[PISO]]=N$2,100%,AVANCE[[#This Row],[PISO]])</f>
        <v>0</v>
      </c>
      <c r="BH198" s="3">
        <f>+IF(AVANCE[[#This Row],[TABIQUES]]=O$2,100%,AVANCE[[#This Row],[TABIQUES]])</f>
        <v>0</v>
      </c>
      <c r="BI198" s="3">
        <f>+IF(AVANCE[[#This Row],[MUROS]]=P$2,100%,AVANCE[[#This Row],[MUROS]])</f>
        <v>0</v>
      </c>
      <c r="BJ198" s="3">
        <f>+IF(AVANCE[[#This Row],[CIELO]]=Q$2,100%,AVANCE[[#This Row],[CIELO]])</f>
        <v>0</v>
      </c>
      <c r="BK198" s="3">
        <f>+IF(AVANCE[[#This Row],[BALCÓN]]=R$2,100%,AVANCE[[#This Row],[BALCÓN]])</f>
        <v>0</v>
      </c>
      <c r="BL198" s="3">
        <f>+IF(AVANCE[[#This Row],[RED ALCANTARILLADO]]=U$2,100%,AVANCE[[#This Row],[RED ALCANTARILLADO]])</f>
        <v>0</v>
      </c>
      <c r="BM198" s="3">
        <f>+IF(AVANCE[[#This Row],[RED DE AGUA]]=V$2,100%,AVANCE[[#This Row],[RED DE AGUA]])</f>
        <v>0</v>
      </c>
      <c r="BN198" s="3">
        <f>+IF(AVANCE[[#This Row],[VENTILACIONES]]=W$2,100%,AVANCE[[#This Row],[VENTILACIONES]])</f>
        <v>0</v>
      </c>
      <c r="BO198" s="3">
        <f>+IF(AVANCE[[#This Row],[TINA]]=X$2,100%,AVANCE[[#This Row],[TINA]])</f>
        <v>0</v>
      </c>
      <c r="BP198" s="3">
        <f>+IF(AVANCE[[#This Row],[WC]]=Y$2,100%,AVANCE[[#This Row],[WC]])</f>
        <v>0</v>
      </c>
      <c r="BQ198" s="3">
        <f>+IF(AVANCE[[#This Row],[LAVAMANOS / LAVAPLATOS / LAVADERO]]=Z$2,100%,AVANCE[[#This Row],[LAVAMANOS / LAVAPLATOS / LAVADERO]])</f>
        <v>0</v>
      </c>
      <c r="BR198" s="3">
        <f>+IF(AVANCE[[#This Row],[CANALIZACIÓN]]=AC$2,100%,AVANCE[[#This Row],[CANALIZACIÓN]])</f>
        <v>0</v>
      </c>
      <c r="BS198" s="3">
        <f>+IF(AVANCE[[#This Row],[CABLEADO]]=AD$2,100%,AVANCE[[#This Row],[CABLEADO]])</f>
        <v>0</v>
      </c>
      <c r="BT198" s="3">
        <f>+IF(AVANCE[[#This Row],[ARTEFACTOS]]=AE$2,100%,AVANCE[[#This Row],[ARTEFACTOS]])</f>
        <v>0</v>
      </c>
      <c r="BU198" s="3">
        <f>+IF(AVANCE[[#This Row],[TABLERO]]=AF$2,100%,AVANCE[[#This Row],[TABLERO]])</f>
        <v>0</v>
      </c>
      <c r="BV198" s="3">
        <f>+IF(AVANCE[[#This Row],[CAJA PAU]]=AG$2,100%,AVANCE[[#This Row],[CAJA PAU]])</f>
        <v>0</v>
      </c>
      <c r="BW198" s="3">
        <f>+IF(AVANCE[[#This Row],[INSTALACION VINILICO]]=AJ$2,100%,AVANCE[[#This Row],[INSTALACION VINILICO]])</f>
        <v>0</v>
      </c>
      <c r="BX198" s="3">
        <f>+IF(AVANCE[[#This Row],[OSB CUBIERTA]]=AK$2,100%,AVANCE[[#This Row],[OSB CUBIERTA]])</f>
        <v>0</v>
      </c>
      <c r="BY198" s="3">
        <f>+IF(AVANCE[[#This Row],[BARANDA BALCON]]=AL$2,100%,AVANCE[[#This Row],[BARANDA BALCON]])</f>
        <v>0</v>
      </c>
      <c r="BZ198" s="3">
        <f>+IF(AVANCE[[#This Row],[OSB EXTERIOR]]=AM$2,100%,AVANCE[[#This Row],[OSB EXTERIOR]])</f>
        <v>0</v>
      </c>
      <c r="CA198" s="3">
        <f>+IF(AVANCE[[#This Row],[SMART PANEL]]=AN$2,100%,AVANCE[[#This Row],[SMART PANEL]])</f>
        <v>0</v>
      </c>
      <c r="CB198" s="3">
        <f>+IF(AVANCE[[#This Row],[PINTURA EXTERIOR]]=AO$2,100%,AVANCE[[#This Row],[PINTURA EXTERIOR]])</f>
        <v>0</v>
      </c>
      <c r="CC198" s="3">
        <f>+IF(AVANCE[[#This Row],[ZOCALOS LOGIA]]=AP$2,100%,AVANCE[[#This Row],[ZOCALOS LOGIA]])</f>
        <v>0</v>
      </c>
      <c r="CD198" s="3">
        <f>+IF(AVANCE[[#This Row],[MOLDURAS]]=AQ$2,100%,AVANCE[[#This Row],[MOLDURAS]])</f>
        <v>0</v>
      </c>
      <c r="CE198" s="3">
        <f>+IF(AVANCE[[#This Row],[PILASTREO]]=AR$2,100%,AVANCE[[#This Row],[PILASTREO]])</f>
        <v>0</v>
      </c>
      <c r="CF198" s="3">
        <f>+IF(AVANCE[[#This Row],[CELOSIAS]]=AS$2,100%,AVANCE[[#This Row],[CELOSIAS]])</f>
        <v>0</v>
      </c>
      <c r="CG198" s="3">
        <f>+IF(AVANCE[[#This Row],[VENTANAS]]=AT$2,100%,AVANCE[[#This Row],[VENTANAS]])</f>
        <v>0</v>
      </c>
      <c r="CH198" s="3">
        <f>+IF(AVANCE[[#This Row],[PUERTAS ACCESO - LOGIA - BANO]]=AU$2,100%,AVANCE[[#This Row],[PUERTAS ACCESO - LOGIA - BANO]])</f>
        <v>0</v>
      </c>
      <c r="CI198" s="3">
        <f>+IF(AVANCE[[#This Row],[CERRADURAS]]=AV$2,100%,AVANCE[[#This Row],[CERRADURAS]])</f>
        <v>0</v>
      </c>
      <c r="CJ198" s="3">
        <f>+IF(AVANCE[[#This Row],[REVESTIMIENTO INTERIOR ZONA SECA]]=AW$2,100%,AVANCE[[#This Row],[REVESTIMIENTO INTERIOR ZONA SECA]])</f>
        <v>0</v>
      </c>
      <c r="CK198" s="3">
        <f>+IF(AVANCE[[#This Row],[REVESTIMIENTO INTERIOR ZONAS HUMEDAS]]=AX$2,100%,AVANCE[[#This Row],[REVESTIMIENTO INTERIOR ZONAS HUMEDAS]])</f>
        <v>0</v>
      </c>
      <c r="CL198" s="3">
        <f>+IF(AVANCE[[#This Row],[MEMBRANA CIELO]]=AY$2,100%,AVANCE[[#This Row],[MEMBRANA CIELO]])</f>
        <v>0</v>
      </c>
      <c r="CM198" s="3">
        <f>+IF(AVANCE[[#This Row],[LIMPIEZA FINAL]]=AZ$2,100%,AVANCE[[#This Row],[LIMPIEZA FINAL]])</f>
        <v>0</v>
      </c>
      <c r="CN198" s="3">
        <f>+IF(AVANCE[[#This Row],[PUERTAS DORMITORIO]]=BA$2,100%,AVANCE[[#This Row],[PUERTAS DORMITORIO]])</f>
        <v>0</v>
      </c>
      <c r="CO198" s="3">
        <f>+IF(AVANCE[[#This Row],[REVESTIMIENTO INTERIOR BANO]]=BB$2,100%,AVANCE[[#This Row],[REVESTIMIENTO INTERIOR BANO]])</f>
        <v>0</v>
      </c>
      <c r="CP198" s="3">
        <f>+IF(AVANCE[[#This Row],[MUEBLE LAVAPLATOS]]=BC$2,100%,AVANCE[[#This Row],[MUEBLE LAVAPLATOS]])</f>
        <v>0</v>
      </c>
      <c r="CQ198" s="3">
        <f>+IF(AVANCE[[#This Row],[IMPERMEABILIZACION BANO - COCINA LOGIA]]=BD$2,100%,AVANCE[[#This Row],[IMPERMEABILIZACION BANO - COCINA LOGIA]])</f>
        <v>0</v>
      </c>
      <c r="CR198" s="40">
        <f ca="1">+IF(AVANCE[[#This Row],[ESTADO MODULO]]="PENDIENTE",(TODAY()-AVANCE[[#This Row],[FECHA TERMINO  PLANIFICADO]]),0)</f>
        <v>0</v>
      </c>
      <c r="CS198" s="42" t="str" cm="1">
        <f t="array" ref="CS198">_xlfn.TEXTJOIN(" | ",TRUE,IF(SUMPRODUCT((BF198:CQ198&lt;1)*(PARTIDAS!$I$2:$AT$2="OBRA GRUESA"))&gt;0,"OBRA GRUESA: "&amp;_xlfn.TEXTJOIN(", ",TRUE,IF((BF198:CQ198&lt;1)*(PARTIDAS!$I$2:$AT$2="OBRA GRUESA"),PARTIDAS!$I$1:$AT$1,"")),""),IF(SUMPRODUCT((BF198:CQ198&lt;1)*(PARTIDAS!$I$2:$AT$2="SANITARIOS"))&gt;0,"SANITARIOS: "&amp;_xlfn.TEXTJOIN(", ",TRUE,IF((BF198:CQ198&lt;1)*(PARTIDAS!$I$2:$AT$2="SANITARIOS"),PARTIDAS!$I$1:$AT$1,"")),""),IF(SUMPRODUCT((BF198:CQ198&lt;1)*(PARTIDAS!$I$2:$AT$2="ELÉCTRICO"))&gt;0,"ELÉCTRICO: "&amp;_xlfn.TEXTJOIN(", ",TRUE,IF((BF198:CQ198&lt;1)*(PARTIDAS!$I$2:$AT$2="ELÉCTRICO"),PARTIDAS!$I$1:$AT$1,"")),""),IF(SUMPRODUCT((BF198:CQ198&lt;1)*(PARTIDAS!$I$2:$AT$2="TERMINACIONES"))&gt;0,"TERMINACIONES: "&amp;_xlfn.TEXTJOIN(", ",TRUE,IF((BF198:CQ198&lt;1)*(PARTIDAS!$I$2:$AT$2="TERMINACIONES"),PARTIDAS!$I$1:$AT$1,"")),""))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8" s="45" t="str" cm="1">
        <f t="array" ref="CT198">_xlfn.TEXTJOIN(", ",TRUE,IF(SUMPRODUCT((BF198:CQ198&lt;1)*(PARTIDAS!$I$2:$AT$2="OBRA GRUESA"))&gt;0,"OBRA GRUESA",""),IF(SUMPRODUCT((BF198:CQ198&lt;1)*(PARTIDAS!$I$2:$AT$2="SANITARIOS"))&gt;0,"SANITARIOS",""),IF(SUMPRODUCT((BF198:CQ198&lt;1)*(PARTIDAS!$I$2:$AT$2="ELÉCTRICO"))&gt;0,"ELÉCTRICO",""),IF(SUMPRODUCT((BF198:CQ198&lt;1)*(PARTIDAS!$I$2:$AT$2="TERMINACIONES"))&gt;0,"TERMINACIONES",""))</f>
        <v>OBRA GRUESA, SANITARIOS, ELÉCTRICO, TERMINACIONES</v>
      </c>
      <c r="CU198" s="46" cm="1">
        <f t="array" ref="CU198">SUMPRODUCT(--(BF198:CQ198&lt;1))</f>
        <v>38</v>
      </c>
    </row>
    <row r="199" spans="1:99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46181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 t="str">
        <f>+IF(AVANCE[[#This Row],[% AVANCE]]=100%,"MODULO TERMINADO",IF(AVANCE[[#This Row],[FECHA INICIO REAL]]="","MODULO NO INICIADO","PENDIENTE"))</f>
        <v>MODULO NO INICIADO</v>
      </c>
      <c r="BF199" s="3">
        <f>+IF(AVANCE[[#This Row],[VENTANAS]]=8.10810810810811%,100%,AVANCE[[#This Row],[VENTANAS]])</f>
        <v>0</v>
      </c>
      <c r="BG199" s="3">
        <f>+IF(AVANCE[[#This Row],[PISO]]=N$2,100%,AVANCE[[#This Row],[PISO]])</f>
        <v>0</v>
      </c>
      <c r="BH199" s="3">
        <f>+IF(AVANCE[[#This Row],[TABIQUES]]=O$2,100%,AVANCE[[#This Row],[TABIQUES]])</f>
        <v>0</v>
      </c>
      <c r="BI199" s="3">
        <f>+IF(AVANCE[[#This Row],[MUROS]]=P$2,100%,AVANCE[[#This Row],[MUROS]])</f>
        <v>0</v>
      </c>
      <c r="BJ199" s="3">
        <f>+IF(AVANCE[[#This Row],[CIELO]]=Q$2,100%,AVANCE[[#This Row],[CIELO]])</f>
        <v>0</v>
      </c>
      <c r="BK199" s="3">
        <f>+IF(AVANCE[[#This Row],[BALCÓN]]=R$2,100%,AVANCE[[#This Row],[BALCÓN]])</f>
        <v>0</v>
      </c>
      <c r="BL199" s="3">
        <f>+IF(AVANCE[[#This Row],[RED ALCANTARILLADO]]=U$2,100%,AVANCE[[#This Row],[RED ALCANTARILLADO]])</f>
        <v>0</v>
      </c>
      <c r="BM199" s="3">
        <f>+IF(AVANCE[[#This Row],[RED DE AGUA]]=V$2,100%,AVANCE[[#This Row],[RED DE AGUA]])</f>
        <v>0</v>
      </c>
      <c r="BN199" s="3">
        <f>+IF(AVANCE[[#This Row],[VENTILACIONES]]=W$2,100%,AVANCE[[#This Row],[VENTILACIONES]])</f>
        <v>0</v>
      </c>
      <c r="BO199" s="3">
        <f>+IF(AVANCE[[#This Row],[TINA]]=X$2,100%,AVANCE[[#This Row],[TINA]])</f>
        <v>0</v>
      </c>
      <c r="BP199" s="3">
        <f>+IF(AVANCE[[#This Row],[WC]]=Y$2,100%,AVANCE[[#This Row],[WC]])</f>
        <v>0</v>
      </c>
      <c r="BQ199" s="3">
        <f>+IF(AVANCE[[#This Row],[LAVAMANOS / LAVAPLATOS / LAVADERO]]=Z$2,100%,AVANCE[[#This Row],[LAVAMANOS / LAVAPLATOS / LAVADERO]])</f>
        <v>0</v>
      </c>
      <c r="BR199" s="3">
        <f>+IF(AVANCE[[#This Row],[CANALIZACIÓN]]=AC$2,100%,AVANCE[[#This Row],[CANALIZACIÓN]])</f>
        <v>0</v>
      </c>
      <c r="BS199" s="3">
        <f>+IF(AVANCE[[#This Row],[CABLEADO]]=AD$2,100%,AVANCE[[#This Row],[CABLEADO]])</f>
        <v>0</v>
      </c>
      <c r="BT199" s="3">
        <f>+IF(AVANCE[[#This Row],[ARTEFACTOS]]=AE$2,100%,AVANCE[[#This Row],[ARTEFACTOS]])</f>
        <v>0</v>
      </c>
      <c r="BU199" s="3">
        <f>+IF(AVANCE[[#This Row],[TABLERO]]=AF$2,100%,AVANCE[[#This Row],[TABLERO]])</f>
        <v>0</v>
      </c>
      <c r="BV199" s="3">
        <f>+IF(AVANCE[[#This Row],[CAJA PAU]]=AG$2,100%,AVANCE[[#This Row],[CAJA PAU]])</f>
        <v>0</v>
      </c>
      <c r="BW199" s="3">
        <f>+IF(AVANCE[[#This Row],[INSTALACION VINILICO]]=AJ$2,100%,AVANCE[[#This Row],[INSTALACION VINILICO]])</f>
        <v>0</v>
      </c>
      <c r="BX199" s="3">
        <f>+IF(AVANCE[[#This Row],[OSB CUBIERTA]]=AK$2,100%,AVANCE[[#This Row],[OSB CUBIERTA]])</f>
        <v>0</v>
      </c>
      <c r="BY199" s="3">
        <f>+IF(AVANCE[[#This Row],[BARANDA BALCON]]=AL$2,100%,AVANCE[[#This Row],[BARANDA BALCON]])</f>
        <v>0</v>
      </c>
      <c r="BZ199" s="3">
        <f>+IF(AVANCE[[#This Row],[OSB EXTERIOR]]=AM$2,100%,AVANCE[[#This Row],[OSB EXTERIOR]])</f>
        <v>0</v>
      </c>
      <c r="CA199" s="3">
        <f>+IF(AVANCE[[#This Row],[SMART PANEL]]=AN$2,100%,AVANCE[[#This Row],[SMART PANEL]])</f>
        <v>0</v>
      </c>
      <c r="CB199" s="3">
        <f>+IF(AVANCE[[#This Row],[PINTURA EXTERIOR]]=AO$2,100%,AVANCE[[#This Row],[PINTURA EXTERIOR]])</f>
        <v>0</v>
      </c>
      <c r="CC199" s="3">
        <f>+IF(AVANCE[[#This Row],[ZOCALOS LOGIA]]=AP$2,100%,AVANCE[[#This Row],[ZOCALOS LOGIA]])</f>
        <v>0</v>
      </c>
      <c r="CD199" s="3">
        <f>+IF(AVANCE[[#This Row],[MOLDURAS]]=AQ$2,100%,AVANCE[[#This Row],[MOLDURAS]])</f>
        <v>0</v>
      </c>
      <c r="CE199" s="3">
        <f>+IF(AVANCE[[#This Row],[PILASTREO]]=AR$2,100%,AVANCE[[#This Row],[PILASTREO]])</f>
        <v>0</v>
      </c>
      <c r="CF199" s="3">
        <f>+IF(AVANCE[[#This Row],[CELOSIAS]]=AS$2,100%,AVANCE[[#This Row],[CELOSIAS]])</f>
        <v>0</v>
      </c>
      <c r="CG199" s="3">
        <f>+IF(AVANCE[[#This Row],[VENTANAS]]=AT$2,100%,AVANCE[[#This Row],[VENTANAS]])</f>
        <v>0</v>
      </c>
      <c r="CH199" s="3">
        <f>+IF(AVANCE[[#This Row],[PUERTAS ACCESO - LOGIA - BANO]]=AU$2,100%,AVANCE[[#This Row],[PUERTAS ACCESO - LOGIA - BANO]])</f>
        <v>0</v>
      </c>
      <c r="CI199" s="3">
        <f>+IF(AVANCE[[#This Row],[CERRADURAS]]=AV$2,100%,AVANCE[[#This Row],[CERRADURAS]])</f>
        <v>0</v>
      </c>
      <c r="CJ199" s="3">
        <f>+IF(AVANCE[[#This Row],[REVESTIMIENTO INTERIOR ZONA SECA]]=AW$2,100%,AVANCE[[#This Row],[REVESTIMIENTO INTERIOR ZONA SECA]])</f>
        <v>0</v>
      </c>
      <c r="CK199" s="3">
        <f>+IF(AVANCE[[#This Row],[REVESTIMIENTO INTERIOR ZONAS HUMEDAS]]=AX$2,100%,AVANCE[[#This Row],[REVESTIMIENTO INTERIOR ZONAS HUMEDAS]])</f>
        <v>0</v>
      </c>
      <c r="CL199" s="3">
        <f>+IF(AVANCE[[#This Row],[MEMBRANA CIELO]]=AY$2,100%,AVANCE[[#This Row],[MEMBRANA CIELO]])</f>
        <v>0</v>
      </c>
      <c r="CM199" s="3">
        <f>+IF(AVANCE[[#This Row],[LIMPIEZA FINAL]]=AZ$2,100%,AVANCE[[#This Row],[LIMPIEZA FINAL]])</f>
        <v>0</v>
      </c>
      <c r="CN199" s="3">
        <f>+IF(AVANCE[[#This Row],[PUERTAS DORMITORIO]]=BA$2,100%,AVANCE[[#This Row],[PUERTAS DORMITORIO]])</f>
        <v>0</v>
      </c>
      <c r="CO199" s="3">
        <f>+IF(AVANCE[[#This Row],[REVESTIMIENTO INTERIOR BANO]]=BB$2,100%,AVANCE[[#This Row],[REVESTIMIENTO INTERIOR BANO]])</f>
        <v>0</v>
      </c>
      <c r="CP199" s="3">
        <f>+IF(AVANCE[[#This Row],[MUEBLE LAVAPLATOS]]=BC$2,100%,AVANCE[[#This Row],[MUEBLE LAVAPLATOS]])</f>
        <v>0</v>
      </c>
      <c r="CQ199" s="3">
        <f>+IF(AVANCE[[#This Row],[IMPERMEABILIZACION BANO - COCINA LOGIA]]=BD$2,100%,AVANCE[[#This Row],[IMPERMEABILIZACION BANO - COCINA LOGIA]])</f>
        <v>0</v>
      </c>
      <c r="CR199" s="40">
        <f ca="1">+IF(AVANCE[[#This Row],[ESTADO MODULO]]="PENDIENTE",(TODAY()-AVANCE[[#This Row],[FECHA TERMINO  PLANIFICADO]]),0)</f>
        <v>0</v>
      </c>
      <c r="CS199" s="42" t="str" cm="1">
        <f t="array" ref="CS199">_xlfn.TEXTJOIN(" | ",TRUE,IF(SUMPRODUCT((BF199:CQ199&lt;1)*(PARTIDAS!$I$2:$AT$2="OBRA GRUESA"))&gt;0,"OBRA GRUESA: "&amp;_xlfn.TEXTJOIN(", ",TRUE,IF((BF199:CQ199&lt;1)*(PARTIDAS!$I$2:$AT$2="OBRA GRUESA"),PARTIDAS!$I$1:$AT$1,"")),""),IF(SUMPRODUCT((BF199:CQ199&lt;1)*(PARTIDAS!$I$2:$AT$2="SANITARIOS"))&gt;0,"SANITARIOS: "&amp;_xlfn.TEXTJOIN(", ",TRUE,IF((BF199:CQ199&lt;1)*(PARTIDAS!$I$2:$AT$2="SANITARIOS"),PARTIDAS!$I$1:$AT$1,"")),""),IF(SUMPRODUCT((BF199:CQ199&lt;1)*(PARTIDAS!$I$2:$AT$2="ELÉCTRICO"))&gt;0,"ELÉCTRICO: "&amp;_xlfn.TEXTJOIN(", ",TRUE,IF((BF199:CQ199&lt;1)*(PARTIDAS!$I$2:$AT$2="ELÉCTRICO"),PARTIDAS!$I$1:$AT$1,"")),""),IF(SUMPRODUCT((BF199:CQ199&lt;1)*(PARTIDAS!$I$2:$AT$2="TERMINACIONES"))&gt;0,"TERMINACIONES: "&amp;_xlfn.TEXTJOIN(", ",TRUE,IF((BF199:CQ199&lt;1)*(PARTIDAS!$I$2:$AT$2="TERMINACIONES"),PARTIDAS!$I$1:$AT$1,"")),""))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199" s="45" t="str" cm="1">
        <f t="array" ref="CT199">_xlfn.TEXTJOIN(", ",TRUE,IF(SUMPRODUCT((BF199:CQ199&lt;1)*(PARTIDAS!$I$2:$AT$2="OBRA GRUESA"))&gt;0,"OBRA GRUESA",""),IF(SUMPRODUCT((BF199:CQ199&lt;1)*(PARTIDAS!$I$2:$AT$2="SANITARIOS"))&gt;0,"SANITARIOS",""),IF(SUMPRODUCT((BF199:CQ199&lt;1)*(PARTIDAS!$I$2:$AT$2="ELÉCTRICO"))&gt;0,"ELÉCTRICO",""),IF(SUMPRODUCT((BF199:CQ199&lt;1)*(PARTIDAS!$I$2:$AT$2="TERMINACIONES"))&gt;0,"TERMINACIONES",""))</f>
        <v>OBRA GRUESA, SANITARIOS, ELÉCTRICO, TERMINACIONES</v>
      </c>
      <c r="CU199" s="46" cm="1">
        <f t="array" ref="CU199">SUMPRODUCT(--(BF199:CQ199&lt;1))</f>
        <v>38</v>
      </c>
    </row>
    <row r="200" spans="1:99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46181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 t="str">
        <f>+IF(AVANCE[[#This Row],[% AVANCE]]=100%,"MODULO TERMINADO",IF(AVANCE[[#This Row],[FECHA INICIO REAL]]="","MODULO NO INICIADO","PENDIENTE"))</f>
        <v>MODULO NO INICIADO</v>
      </c>
      <c r="BF200" s="3">
        <f>+IF(AVANCE[[#This Row],[VENTANAS]]=8.10810810810811%,100%,AVANCE[[#This Row],[VENTANAS]])</f>
        <v>0</v>
      </c>
      <c r="BG200" s="3">
        <f>+IF(AVANCE[[#This Row],[PISO]]=N$2,100%,AVANCE[[#This Row],[PISO]])</f>
        <v>0</v>
      </c>
      <c r="BH200" s="3">
        <f>+IF(AVANCE[[#This Row],[TABIQUES]]=O$2,100%,AVANCE[[#This Row],[TABIQUES]])</f>
        <v>0</v>
      </c>
      <c r="BI200" s="3">
        <f>+IF(AVANCE[[#This Row],[MUROS]]=P$2,100%,AVANCE[[#This Row],[MUROS]])</f>
        <v>0</v>
      </c>
      <c r="BJ200" s="3">
        <f>+IF(AVANCE[[#This Row],[CIELO]]=Q$2,100%,AVANCE[[#This Row],[CIELO]])</f>
        <v>0</v>
      </c>
      <c r="BK200" s="3">
        <f>+IF(AVANCE[[#This Row],[BALCÓN]]=R$2,100%,AVANCE[[#This Row],[BALCÓN]])</f>
        <v>0</v>
      </c>
      <c r="BL200" s="3">
        <f>+IF(AVANCE[[#This Row],[RED ALCANTARILLADO]]=U$2,100%,AVANCE[[#This Row],[RED ALCANTARILLADO]])</f>
        <v>0</v>
      </c>
      <c r="BM200" s="3">
        <f>+IF(AVANCE[[#This Row],[RED DE AGUA]]=V$2,100%,AVANCE[[#This Row],[RED DE AGUA]])</f>
        <v>0</v>
      </c>
      <c r="BN200" s="3">
        <f>+IF(AVANCE[[#This Row],[VENTILACIONES]]=W$2,100%,AVANCE[[#This Row],[VENTILACIONES]])</f>
        <v>0</v>
      </c>
      <c r="BO200" s="3">
        <f>+IF(AVANCE[[#This Row],[TINA]]=X$2,100%,AVANCE[[#This Row],[TINA]])</f>
        <v>0</v>
      </c>
      <c r="BP200" s="3">
        <f>+IF(AVANCE[[#This Row],[WC]]=Y$2,100%,AVANCE[[#This Row],[WC]])</f>
        <v>0</v>
      </c>
      <c r="BQ200" s="3">
        <f>+IF(AVANCE[[#This Row],[LAVAMANOS / LAVAPLATOS / LAVADERO]]=Z$2,100%,AVANCE[[#This Row],[LAVAMANOS / LAVAPLATOS / LAVADERO]])</f>
        <v>0</v>
      </c>
      <c r="BR200" s="3">
        <f>+IF(AVANCE[[#This Row],[CANALIZACIÓN]]=AC$2,100%,AVANCE[[#This Row],[CANALIZACIÓN]])</f>
        <v>0</v>
      </c>
      <c r="BS200" s="3">
        <f>+IF(AVANCE[[#This Row],[CABLEADO]]=AD$2,100%,AVANCE[[#This Row],[CABLEADO]])</f>
        <v>0</v>
      </c>
      <c r="BT200" s="3">
        <f>+IF(AVANCE[[#This Row],[ARTEFACTOS]]=AE$2,100%,AVANCE[[#This Row],[ARTEFACTOS]])</f>
        <v>0</v>
      </c>
      <c r="BU200" s="3">
        <f>+IF(AVANCE[[#This Row],[TABLERO]]=AF$2,100%,AVANCE[[#This Row],[TABLERO]])</f>
        <v>0</v>
      </c>
      <c r="BV200" s="3">
        <f>+IF(AVANCE[[#This Row],[CAJA PAU]]=AG$2,100%,AVANCE[[#This Row],[CAJA PAU]])</f>
        <v>0</v>
      </c>
      <c r="BW200" s="3">
        <f>+IF(AVANCE[[#This Row],[INSTALACION VINILICO]]=AJ$2,100%,AVANCE[[#This Row],[INSTALACION VINILICO]])</f>
        <v>0</v>
      </c>
      <c r="BX200" s="3">
        <f>+IF(AVANCE[[#This Row],[OSB CUBIERTA]]=AK$2,100%,AVANCE[[#This Row],[OSB CUBIERTA]])</f>
        <v>0</v>
      </c>
      <c r="BY200" s="3">
        <f>+IF(AVANCE[[#This Row],[BARANDA BALCON]]=AL$2,100%,AVANCE[[#This Row],[BARANDA BALCON]])</f>
        <v>0</v>
      </c>
      <c r="BZ200" s="3">
        <f>+IF(AVANCE[[#This Row],[OSB EXTERIOR]]=AM$2,100%,AVANCE[[#This Row],[OSB EXTERIOR]])</f>
        <v>0</v>
      </c>
      <c r="CA200" s="3">
        <f>+IF(AVANCE[[#This Row],[SMART PANEL]]=AN$2,100%,AVANCE[[#This Row],[SMART PANEL]])</f>
        <v>0</v>
      </c>
      <c r="CB200" s="3">
        <f>+IF(AVANCE[[#This Row],[PINTURA EXTERIOR]]=AO$2,100%,AVANCE[[#This Row],[PINTURA EXTERIOR]])</f>
        <v>0</v>
      </c>
      <c r="CC200" s="3">
        <f>+IF(AVANCE[[#This Row],[ZOCALOS LOGIA]]=AP$2,100%,AVANCE[[#This Row],[ZOCALOS LOGIA]])</f>
        <v>0</v>
      </c>
      <c r="CD200" s="3">
        <f>+IF(AVANCE[[#This Row],[MOLDURAS]]=AQ$2,100%,AVANCE[[#This Row],[MOLDURAS]])</f>
        <v>0</v>
      </c>
      <c r="CE200" s="3">
        <f>+IF(AVANCE[[#This Row],[PILASTREO]]=AR$2,100%,AVANCE[[#This Row],[PILASTREO]])</f>
        <v>0</v>
      </c>
      <c r="CF200" s="3">
        <f>+IF(AVANCE[[#This Row],[CELOSIAS]]=AS$2,100%,AVANCE[[#This Row],[CELOSIAS]])</f>
        <v>0</v>
      </c>
      <c r="CG200" s="3">
        <f>+IF(AVANCE[[#This Row],[VENTANAS]]=AT$2,100%,AVANCE[[#This Row],[VENTANAS]])</f>
        <v>0</v>
      </c>
      <c r="CH200" s="3">
        <f>+IF(AVANCE[[#This Row],[PUERTAS ACCESO - LOGIA - BANO]]=AU$2,100%,AVANCE[[#This Row],[PUERTAS ACCESO - LOGIA - BANO]])</f>
        <v>0</v>
      </c>
      <c r="CI200" s="3">
        <f>+IF(AVANCE[[#This Row],[CERRADURAS]]=AV$2,100%,AVANCE[[#This Row],[CERRADURAS]])</f>
        <v>0</v>
      </c>
      <c r="CJ200" s="3">
        <f>+IF(AVANCE[[#This Row],[REVESTIMIENTO INTERIOR ZONA SECA]]=AW$2,100%,AVANCE[[#This Row],[REVESTIMIENTO INTERIOR ZONA SECA]])</f>
        <v>0</v>
      </c>
      <c r="CK200" s="3">
        <f>+IF(AVANCE[[#This Row],[REVESTIMIENTO INTERIOR ZONAS HUMEDAS]]=AX$2,100%,AVANCE[[#This Row],[REVESTIMIENTO INTERIOR ZONAS HUMEDAS]])</f>
        <v>0</v>
      </c>
      <c r="CL200" s="3">
        <f>+IF(AVANCE[[#This Row],[MEMBRANA CIELO]]=AY$2,100%,AVANCE[[#This Row],[MEMBRANA CIELO]])</f>
        <v>0</v>
      </c>
      <c r="CM200" s="3">
        <f>+IF(AVANCE[[#This Row],[LIMPIEZA FINAL]]=AZ$2,100%,AVANCE[[#This Row],[LIMPIEZA FINAL]])</f>
        <v>0</v>
      </c>
      <c r="CN200" s="3">
        <f>+IF(AVANCE[[#This Row],[PUERTAS DORMITORIO]]=BA$2,100%,AVANCE[[#This Row],[PUERTAS DORMITORIO]])</f>
        <v>0</v>
      </c>
      <c r="CO200" s="3">
        <f>+IF(AVANCE[[#This Row],[REVESTIMIENTO INTERIOR BANO]]=BB$2,100%,AVANCE[[#This Row],[REVESTIMIENTO INTERIOR BANO]])</f>
        <v>0</v>
      </c>
      <c r="CP200" s="3">
        <f>+IF(AVANCE[[#This Row],[MUEBLE LAVAPLATOS]]=BC$2,100%,AVANCE[[#This Row],[MUEBLE LAVAPLATOS]])</f>
        <v>0</v>
      </c>
      <c r="CQ200" s="3">
        <f>+IF(AVANCE[[#This Row],[IMPERMEABILIZACION BANO - COCINA LOGIA]]=BD$2,100%,AVANCE[[#This Row],[IMPERMEABILIZACION BANO - COCINA LOGIA]])</f>
        <v>0</v>
      </c>
      <c r="CR200" s="40">
        <f ca="1">+IF(AVANCE[[#This Row],[ESTADO MODULO]]="PENDIENTE",(TODAY()-AVANCE[[#This Row],[FECHA TERMINO  PLANIFICADO]]),0)</f>
        <v>0</v>
      </c>
      <c r="CS200" s="42" t="str" cm="1">
        <f t="array" ref="CS200">_xlfn.TEXTJOIN(" | ",TRUE,IF(SUMPRODUCT((BF200:CQ200&lt;1)*(PARTIDAS!$I$2:$AT$2="OBRA GRUESA"))&gt;0,"OBRA GRUESA: "&amp;_xlfn.TEXTJOIN(", ",TRUE,IF((BF200:CQ200&lt;1)*(PARTIDAS!$I$2:$AT$2="OBRA GRUESA"),PARTIDAS!$I$1:$AT$1,"")),""),IF(SUMPRODUCT((BF200:CQ200&lt;1)*(PARTIDAS!$I$2:$AT$2="SANITARIOS"))&gt;0,"SANITARIOS: "&amp;_xlfn.TEXTJOIN(", ",TRUE,IF((BF200:CQ200&lt;1)*(PARTIDAS!$I$2:$AT$2="SANITARIOS"),PARTIDAS!$I$1:$AT$1,"")),""),IF(SUMPRODUCT((BF200:CQ200&lt;1)*(PARTIDAS!$I$2:$AT$2="ELÉCTRICO"))&gt;0,"ELÉCTRICO: "&amp;_xlfn.TEXTJOIN(", ",TRUE,IF((BF200:CQ200&lt;1)*(PARTIDAS!$I$2:$AT$2="ELÉCTRICO"),PARTIDAS!$I$1:$AT$1,"")),""),IF(SUMPRODUCT((BF200:CQ200&lt;1)*(PARTIDAS!$I$2:$AT$2="TERMINACIONES"))&gt;0,"TERMINACIONES: "&amp;_xlfn.TEXTJOIN(", ",TRUE,IF((BF200:CQ200&lt;1)*(PARTIDAS!$I$2:$AT$2="TERMINACIONES"),PARTIDAS!$I$1:$AT$1,"")),""))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0" s="45" t="str" cm="1">
        <f t="array" ref="CT200">_xlfn.TEXTJOIN(", ",TRUE,IF(SUMPRODUCT((BF200:CQ200&lt;1)*(PARTIDAS!$I$2:$AT$2="OBRA GRUESA"))&gt;0,"OBRA GRUESA",""),IF(SUMPRODUCT((BF200:CQ200&lt;1)*(PARTIDAS!$I$2:$AT$2="SANITARIOS"))&gt;0,"SANITARIOS",""),IF(SUMPRODUCT((BF200:CQ200&lt;1)*(PARTIDAS!$I$2:$AT$2="ELÉCTRICO"))&gt;0,"ELÉCTRICO",""),IF(SUMPRODUCT((BF200:CQ200&lt;1)*(PARTIDAS!$I$2:$AT$2="TERMINACIONES"))&gt;0,"TERMINACIONES",""))</f>
        <v>OBRA GRUESA, SANITARIOS, ELÉCTRICO, TERMINACIONES</v>
      </c>
      <c r="CU200" s="46" cm="1">
        <f t="array" ref="CU200">SUMPRODUCT(--(BF200:CQ200&lt;1))</f>
        <v>38</v>
      </c>
    </row>
    <row r="201" spans="1:99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46181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 t="str">
        <f>+IF(AVANCE[[#This Row],[% AVANCE]]=100%,"MODULO TERMINADO",IF(AVANCE[[#This Row],[FECHA INICIO REAL]]="","MODULO NO INICIADO","PENDIENTE"))</f>
        <v>MODULO NO INICIADO</v>
      </c>
      <c r="BF201" s="3">
        <f>+IF(AVANCE[[#This Row],[VENTANAS]]=8.10810810810811%,100%,AVANCE[[#This Row],[VENTANAS]])</f>
        <v>0</v>
      </c>
      <c r="BG201" s="3">
        <f>+IF(AVANCE[[#This Row],[PISO]]=N$2,100%,AVANCE[[#This Row],[PISO]])</f>
        <v>0</v>
      </c>
      <c r="BH201" s="3">
        <f>+IF(AVANCE[[#This Row],[TABIQUES]]=O$2,100%,AVANCE[[#This Row],[TABIQUES]])</f>
        <v>0</v>
      </c>
      <c r="BI201" s="3">
        <f>+IF(AVANCE[[#This Row],[MUROS]]=P$2,100%,AVANCE[[#This Row],[MUROS]])</f>
        <v>0</v>
      </c>
      <c r="BJ201" s="3">
        <f>+IF(AVANCE[[#This Row],[CIELO]]=Q$2,100%,AVANCE[[#This Row],[CIELO]])</f>
        <v>0</v>
      </c>
      <c r="BK201" s="3">
        <f>+IF(AVANCE[[#This Row],[BALCÓN]]=R$2,100%,AVANCE[[#This Row],[BALCÓN]])</f>
        <v>0</v>
      </c>
      <c r="BL201" s="3">
        <f>+IF(AVANCE[[#This Row],[RED ALCANTARILLADO]]=U$2,100%,AVANCE[[#This Row],[RED ALCANTARILLADO]])</f>
        <v>0</v>
      </c>
      <c r="BM201" s="3">
        <f>+IF(AVANCE[[#This Row],[RED DE AGUA]]=V$2,100%,AVANCE[[#This Row],[RED DE AGUA]])</f>
        <v>0</v>
      </c>
      <c r="BN201" s="3">
        <f>+IF(AVANCE[[#This Row],[VENTILACIONES]]=W$2,100%,AVANCE[[#This Row],[VENTILACIONES]])</f>
        <v>0</v>
      </c>
      <c r="BO201" s="3">
        <f>+IF(AVANCE[[#This Row],[TINA]]=X$2,100%,AVANCE[[#This Row],[TINA]])</f>
        <v>0</v>
      </c>
      <c r="BP201" s="3">
        <f>+IF(AVANCE[[#This Row],[WC]]=Y$2,100%,AVANCE[[#This Row],[WC]])</f>
        <v>0</v>
      </c>
      <c r="BQ201" s="3">
        <f>+IF(AVANCE[[#This Row],[LAVAMANOS / LAVAPLATOS / LAVADERO]]=Z$2,100%,AVANCE[[#This Row],[LAVAMANOS / LAVAPLATOS / LAVADERO]])</f>
        <v>0</v>
      </c>
      <c r="BR201" s="3">
        <f>+IF(AVANCE[[#This Row],[CANALIZACIÓN]]=AC$2,100%,AVANCE[[#This Row],[CANALIZACIÓN]])</f>
        <v>0</v>
      </c>
      <c r="BS201" s="3">
        <f>+IF(AVANCE[[#This Row],[CABLEADO]]=AD$2,100%,AVANCE[[#This Row],[CABLEADO]])</f>
        <v>0</v>
      </c>
      <c r="BT201" s="3">
        <f>+IF(AVANCE[[#This Row],[ARTEFACTOS]]=AE$2,100%,AVANCE[[#This Row],[ARTEFACTOS]])</f>
        <v>0</v>
      </c>
      <c r="BU201" s="3">
        <f>+IF(AVANCE[[#This Row],[TABLERO]]=AF$2,100%,AVANCE[[#This Row],[TABLERO]])</f>
        <v>0</v>
      </c>
      <c r="BV201" s="3">
        <f>+IF(AVANCE[[#This Row],[CAJA PAU]]=AG$2,100%,AVANCE[[#This Row],[CAJA PAU]])</f>
        <v>0</v>
      </c>
      <c r="BW201" s="3">
        <f>+IF(AVANCE[[#This Row],[INSTALACION VINILICO]]=AJ$2,100%,AVANCE[[#This Row],[INSTALACION VINILICO]])</f>
        <v>0</v>
      </c>
      <c r="BX201" s="3">
        <f>+IF(AVANCE[[#This Row],[OSB CUBIERTA]]=AK$2,100%,AVANCE[[#This Row],[OSB CUBIERTA]])</f>
        <v>0</v>
      </c>
      <c r="BY201" s="3">
        <f>+IF(AVANCE[[#This Row],[BARANDA BALCON]]=AL$2,100%,AVANCE[[#This Row],[BARANDA BALCON]])</f>
        <v>0</v>
      </c>
      <c r="BZ201" s="3">
        <f>+IF(AVANCE[[#This Row],[OSB EXTERIOR]]=AM$2,100%,AVANCE[[#This Row],[OSB EXTERIOR]])</f>
        <v>0</v>
      </c>
      <c r="CA201" s="3">
        <f>+IF(AVANCE[[#This Row],[SMART PANEL]]=AN$2,100%,AVANCE[[#This Row],[SMART PANEL]])</f>
        <v>0</v>
      </c>
      <c r="CB201" s="3">
        <f>+IF(AVANCE[[#This Row],[PINTURA EXTERIOR]]=AO$2,100%,AVANCE[[#This Row],[PINTURA EXTERIOR]])</f>
        <v>0</v>
      </c>
      <c r="CC201" s="3">
        <f>+IF(AVANCE[[#This Row],[ZOCALOS LOGIA]]=AP$2,100%,AVANCE[[#This Row],[ZOCALOS LOGIA]])</f>
        <v>0</v>
      </c>
      <c r="CD201" s="3">
        <f>+IF(AVANCE[[#This Row],[MOLDURAS]]=AQ$2,100%,AVANCE[[#This Row],[MOLDURAS]])</f>
        <v>0</v>
      </c>
      <c r="CE201" s="3">
        <f>+IF(AVANCE[[#This Row],[PILASTREO]]=AR$2,100%,AVANCE[[#This Row],[PILASTREO]])</f>
        <v>0</v>
      </c>
      <c r="CF201" s="3">
        <f>+IF(AVANCE[[#This Row],[CELOSIAS]]=AS$2,100%,AVANCE[[#This Row],[CELOSIAS]])</f>
        <v>0</v>
      </c>
      <c r="CG201" s="3">
        <f>+IF(AVANCE[[#This Row],[VENTANAS]]=AT$2,100%,AVANCE[[#This Row],[VENTANAS]])</f>
        <v>0</v>
      </c>
      <c r="CH201" s="3">
        <f>+IF(AVANCE[[#This Row],[PUERTAS ACCESO - LOGIA - BANO]]=AU$2,100%,AVANCE[[#This Row],[PUERTAS ACCESO - LOGIA - BANO]])</f>
        <v>0</v>
      </c>
      <c r="CI201" s="3">
        <f>+IF(AVANCE[[#This Row],[CERRADURAS]]=AV$2,100%,AVANCE[[#This Row],[CERRADURAS]])</f>
        <v>0</v>
      </c>
      <c r="CJ201" s="3">
        <f>+IF(AVANCE[[#This Row],[REVESTIMIENTO INTERIOR ZONA SECA]]=AW$2,100%,AVANCE[[#This Row],[REVESTIMIENTO INTERIOR ZONA SECA]])</f>
        <v>0</v>
      </c>
      <c r="CK201" s="3">
        <f>+IF(AVANCE[[#This Row],[REVESTIMIENTO INTERIOR ZONAS HUMEDAS]]=AX$2,100%,AVANCE[[#This Row],[REVESTIMIENTO INTERIOR ZONAS HUMEDAS]])</f>
        <v>0</v>
      </c>
      <c r="CL201" s="3">
        <f>+IF(AVANCE[[#This Row],[MEMBRANA CIELO]]=AY$2,100%,AVANCE[[#This Row],[MEMBRANA CIELO]])</f>
        <v>0</v>
      </c>
      <c r="CM201" s="3">
        <f>+IF(AVANCE[[#This Row],[LIMPIEZA FINAL]]=AZ$2,100%,AVANCE[[#This Row],[LIMPIEZA FINAL]])</f>
        <v>0</v>
      </c>
      <c r="CN201" s="3">
        <f>+IF(AVANCE[[#This Row],[PUERTAS DORMITORIO]]=BA$2,100%,AVANCE[[#This Row],[PUERTAS DORMITORIO]])</f>
        <v>0</v>
      </c>
      <c r="CO201" s="3">
        <f>+IF(AVANCE[[#This Row],[REVESTIMIENTO INTERIOR BANO]]=BB$2,100%,AVANCE[[#This Row],[REVESTIMIENTO INTERIOR BANO]])</f>
        <v>0</v>
      </c>
      <c r="CP201" s="3">
        <f>+IF(AVANCE[[#This Row],[MUEBLE LAVAPLATOS]]=BC$2,100%,AVANCE[[#This Row],[MUEBLE LAVAPLATOS]])</f>
        <v>0</v>
      </c>
      <c r="CQ201" s="3">
        <f>+IF(AVANCE[[#This Row],[IMPERMEABILIZACION BANO - COCINA LOGIA]]=BD$2,100%,AVANCE[[#This Row],[IMPERMEABILIZACION BANO - COCINA LOGIA]])</f>
        <v>0</v>
      </c>
      <c r="CR201" s="40">
        <f ca="1">+IF(AVANCE[[#This Row],[ESTADO MODULO]]="PENDIENTE",(TODAY()-AVANCE[[#This Row],[FECHA TERMINO  PLANIFICADO]]),0)</f>
        <v>0</v>
      </c>
      <c r="CS201" s="42" t="str" cm="1">
        <f t="array" ref="CS201">_xlfn.TEXTJOIN(" | ",TRUE,IF(SUMPRODUCT((BF201:CQ201&lt;1)*(PARTIDAS!$I$2:$AT$2="OBRA GRUESA"))&gt;0,"OBRA GRUESA: "&amp;_xlfn.TEXTJOIN(", ",TRUE,IF((BF201:CQ201&lt;1)*(PARTIDAS!$I$2:$AT$2="OBRA GRUESA"),PARTIDAS!$I$1:$AT$1,"")),""),IF(SUMPRODUCT((BF201:CQ201&lt;1)*(PARTIDAS!$I$2:$AT$2="SANITARIOS"))&gt;0,"SANITARIOS: "&amp;_xlfn.TEXTJOIN(", ",TRUE,IF((BF201:CQ201&lt;1)*(PARTIDAS!$I$2:$AT$2="SANITARIOS"),PARTIDAS!$I$1:$AT$1,"")),""),IF(SUMPRODUCT((BF201:CQ201&lt;1)*(PARTIDAS!$I$2:$AT$2="ELÉCTRICO"))&gt;0,"ELÉCTRICO: "&amp;_xlfn.TEXTJOIN(", ",TRUE,IF((BF201:CQ201&lt;1)*(PARTIDAS!$I$2:$AT$2="ELÉCTRICO"),PARTIDAS!$I$1:$AT$1,"")),""),IF(SUMPRODUCT((BF201:CQ201&lt;1)*(PARTIDAS!$I$2:$AT$2="TERMINACIONES"))&gt;0,"TERMINACIONES: "&amp;_xlfn.TEXTJOIN(", ",TRUE,IF((BF201:CQ201&lt;1)*(PARTIDAS!$I$2:$AT$2="TERMINACIONES"),PARTIDAS!$I$1:$AT$1,"")),""))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1" s="45" t="str" cm="1">
        <f t="array" ref="CT201">_xlfn.TEXTJOIN(", ",TRUE,IF(SUMPRODUCT((BF201:CQ201&lt;1)*(PARTIDAS!$I$2:$AT$2="OBRA GRUESA"))&gt;0,"OBRA GRUESA",""),IF(SUMPRODUCT((BF201:CQ201&lt;1)*(PARTIDAS!$I$2:$AT$2="SANITARIOS"))&gt;0,"SANITARIOS",""),IF(SUMPRODUCT((BF201:CQ201&lt;1)*(PARTIDAS!$I$2:$AT$2="ELÉCTRICO"))&gt;0,"ELÉCTRICO",""),IF(SUMPRODUCT((BF201:CQ201&lt;1)*(PARTIDAS!$I$2:$AT$2="TERMINACIONES"))&gt;0,"TERMINACIONES",""))</f>
        <v>OBRA GRUESA, SANITARIOS, ELÉCTRICO, TERMINACIONES</v>
      </c>
      <c r="CU201" s="46" cm="1">
        <f t="array" ref="CU201">SUMPRODUCT(--(BF201:CQ201&lt;1))</f>
        <v>38</v>
      </c>
    </row>
    <row r="202" spans="1:99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46181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 t="str">
        <f>+IF(AVANCE[[#This Row],[% AVANCE]]=100%,"MODULO TERMINADO",IF(AVANCE[[#This Row],[FECHA INICIO REAL]]="","MODULO NO INICIADO","PENDIENTE"))</f>
        <v>MODULO NO INICIADO</v>
      </c>
      <c r="BF202" s="3">
        <f>+IF(AVANCE[[#This Row],[VENTANAS]]=8.10810810810811%,100%,AVANCE[[#This Row],[VENTANAS]])</f>
        <v>0</v>
      </c>
      <c r="BG202" s="3">
        <f>+IF(AVANCE[[#This Row],[PISO]]=N$2,100%,AVANCE[[#This Row],[PISO]])</f>
        <v>0</v>
      </c>
      <c r="BH202" s="3">
        <f>+IF(AVANCE[[#This Row],[TABIQUES]]=O$2,100%,AVANCE[[#This Row],[TABIQUES]])</f>
        <v>0</v>
      </c>
      <c r="BI202" s="3">
        <f>+IF(AVANCE[[#This Row],[MUROS]]=P$2,100%,AVANCE[[#This Row],[MUROS]])</f>
        <v>0</v>
      </c>
      <c r="BJ202" s="3">
        <f>+IF(AVANCE[[#This Row],[CIELO]]=Q$2,100%,AVANCE[[#This Row],[CIELO]])</f>
        <v>0</v>
      </c>
      <c r="BK202" s="3">
        <f>+IF(AVANCE[[#This Row],[BALCÓN]]=R$2,100%,AVANCE[[#This Row],[BALCÓN]])</f>
        <v>0</v>
      </c>
      <c r="BL202" s="3">
        <f>+IF(AVANCE[[#This Row],[RED ALCANTARILLADO]]=U$2,100%,AVANCE[[#This Row],[RED ALCANTARILLADO]])</f>
        <v>0</v>
      </c>
      <c r="BM202" s="3">
        <f>+IF(AVANCE[[#This Row],[RED DE AGUA]]=V$2,100%,AVANCE[[#This Row],[RED DE AGUA]])</f>
        <v>0</v>
      </c>
      <c r="BN202" s="3">
        <f>+IF(AVANCE[[#This Row],[VENTILACIONES]]=W$2,100%,AVANCE[[#This Row],[VENTILACIONES]])</f>
        <v>0</v>
      </c>
      <c r="BO202" s="3">
        <f>+IF(AVANCE[[#This Row],[TINA]]=X$2,100%,AVANCE[[#This Row],[TINA]])</f>
        <v>0</v>
      </c>
      <c r="BP202" s="3">
        <f>+IF(AVANCE[[#This Row],[WC]]=Y$2,100%,AVANCE[[#This Row],[WC]])</f>
        <v>0</v>
      </c>
      <c r="BQ202" s="3">
        <f>+IF(AVANCE[[#This Row],[LAVAMANOS / LAVAPLATOS / LAVADERO]]=Z$2,100%,AVANCE[[#This Row],[LAVAMANOS / LAVAPLATOS / LAVADERO]])</f>
        <v>0</v>
      </c>
      <c r="BR202" s="3">
        <f>+IF(AVANCE[[#This Row],[CANALIZACIÓN]]=AC$2,100%,AVANCE[[#This Row],[CANALIZACIÓN]])</f>
        <v>0</v>
      </c>
      <c r="BS202" s="3">
        <f>+IF(AVANCE[[#This Row],[CABLEADO]]=AD$2,100%,AVANCE[[#This Row],[CABLEADO]])</f>
        <v>0</v>
      </c>
      <c r="BT202" s="3">
        <f>+IF(AVANCE[[#This Row],[ARTEFACTOS]]=AE$2,100%,AVANCE[[#This Row],[ARTEFACTOS]])</f>
        <v>0</v>
      </c>
      <c r="BU202" s="3">
        <f>+IF(AVANCE[[#This Row],[TABLERO]]=AF$2,100%,AVANCE[[#This Row],[TABLERO]])</f>
        <v>0</v>
      </c>
      <c r="BV202" s="3">
        <f>+IF(AVANCE[[#This Row],[CAJA PAU]]=AG$2,100%,AVANCE[[#This Row],[CAJA PAU]])</f>
        <v>0</v>
      </c>
      <c r="BW202" s="3">
        <f>+IF(AVANCE[[#This Row],[INSTALACION VINILICO]]=AJ$2,100%,AVANCE[[#This Row],[INSTALACION VINILICO]])</f>
        <v>0</v>
      </c>
      <c r="BX202" s="3">
        <f>+IF(AVANCE[[#This Row],[OSB CUBIERTA]]=AK$2,100%,AVANCE[[#This Row],[OSB CUBIERTA]])</f>
        <v>0</v>
      </c>
      <c r="BY202" s="3">
        <f>+IF(AVANCE[[#This Row],[BARANDA BALCON]]=AL$2,100%,AVANCE[[#This Row],[BARANDA BALCON]])</f>
        <v>0</v>
      </c>
      <c r="BZ202" s="3">
        <f>+IF(AVANCE[[#This Row],[OSB EXTERIOR]]=AM$2,100%,AVANCE[[#This Row],[OSB EXTERIOR]])</f>
        <v>0</v>
      </c>
      <c r="CA202" s="3">
        <f>+IF(AVANCE[[#This Row],[SMART PANEL]]=AN$2,100%,AVANCE[[#This Row],[SMART PANEL]])</f>
        <v>0</v>
      </c>
      <c r="CB202" s="3">
        <f>+IF(AVANCE[[#This Row],[PINTURA EXTERIOR]]=AO$2,100%,AVANCE[[#This Row],[PINTURA EXTERIOR]])</f>
        <v>0</v>
      </c>
      <c r="CC202" s="3">
        <f>+IF(AVANCE[[#This Row],[ZOCALOS LOGIA]]=AP$2,100%,AVANCE[[#This Row],[ZOCALOS LOGIA]])</f>
        <v>0</v>
      </c>
      <c r="CD202" s="3">
        <f>+IF(AVANCE[[#This Row],[MOLDURAS]]=AQ$2,100%,AVANCE[[#This Row],[MOLDURAS]])</f>
        <v>0</v>
      </c>
      <c r="CE202" s="3">
        <f>+IF(AVANCE[[#This Row],[PILASTREO]]=AR$2,100%,AVANCE[[#This Row],[PILASTREO]])</f>
        <v>0</v>
      </c>
      <c r="CF202" s="3">
        <f>+IF(AVANCE[[#This Row],[CELOSIAS]]=AS$2,100%,AVANCE[[#This Row],[CELOSIAS]])</f>
        <v>0</v>
      </c>
      <c r="CG202" s="3">
        <f>+IF(AVANCE[[#This Row],[VENTANAS]]=AT$2,100%,AVANCE[[#This Row],[VENTANAS]])</f>
        <v>0</v>
      </c>
      <c r="CH202" s="3">
        <f>+IF(AVANCE[[#This Row],[PUERTAS ACCESO - LOGIA - BANO]]=AU$2,100%,AVANCE[[#This Row],[PUERTAS ACCESO - LOGIA - BANO]])</f>
        <v>0</v>
      </c>
      <c r="CI202" s="3">
        <f>+IF(AVANCE[[#This Row],[CERRADURAS]]=AV$2,100%,AVANCE[[#This Row],[CERRADURAS]])</f>
        <v>0</v>
      </c>
      <c r="CJ202" s="3">
        <f>+IF(AVANCE[[#This Row],[REVESTIMIENTO INTERIOR ZONA SECA]]=AW$2,100%,AVANCE[[#This Row],[REVESTIMIENTO INTERIOR ZONA SECA]])</f>
        <v>0</v>
      </c>
      <c r="CK202" s="3">
        <f>+IF(AVANCE[[#This Row],[REVESTIMIENTO INTERIOR ZONAS HUMEDAS]]=AX$2,100%,AVANCE[[#This Row],[REVESTIMIENTO INTERIOR ZONAS HUMEDAS]])</f>
        <v>0</v>
      </c>
      <c r="CL202" s="3">
        <f>+IF(AVANCE[[#This Row],[MEMBRANA CIELO]]=AY$2,100%,AVANCE[[#This Row],[MEMBRANA CIELO]])</f>
        <v>0</v>
      </c>
      <c r="CM202" s="3">
        <f>+IF(AVANCE[[#This Row],[LIMPIEZA FINAL]]=AZ$2,100%,AVANCE[[#This Row],[LIMPIEZA FINAL]])</f>
        <v>0</v>
      </c>
      <c r="CN202" s="3">
        <f>+IF(AVANCE[[#This Row],[PUERTAS DORMITORIO]]=BA$2,100%,AVANCE[[#This Row],[PUERTAS DORMITORIO]])</f>
        <v>0</v>
      </c>
      <c r="CO202" s="3">
        <f>+IF(AVANCE[[#This Row],[REVESTIMIENTO INTERIOR BANO]]=BB$2,100%,AVANCE[[#This Row],[REVESTIMIENTO INTERIOR BANO]])</f>
        <v>0</v>
      </c>
      <c r="CP202" s="3">
        <f>+IF(AVANCE[[#This Row],[MUEBLE LAVAPLATOS]]=BC$2,100%,AVANCE[[#This Row],[MUEBLE LAVAPLATOS]])</f>
        <v>0</v>
      </c>
      <c r="CQ202" s="3">
        <f>+IF(AVANCE[[#This Row],[IMPERMEABILIZACION BANO - COCINA LOGIA]]=BD$2,100%,AVANCE[[#This Row],[IMPERMEABILIZACION BANO - COCINA LOGIA]])</f>
        <v>0</v>
      </c>
      <c r="CR202" s="40">
        <f ca="1">+IF(AVANCE[[#This Row],[ESTADO MODULO]]="PENDIENTE",(TODAY()-AVANCE[[#This Row],[FECHA TERMINO  PLANIFICADO]]),0)</f>
        <v>0</v>
      </c>
      <c r="CS202" s="42" t="str" cm="1">
        <f t="array" ref="CS202">_xlfn.TEXTJOIN(" | ",TRUE,IF(SUMPRODUCT((BF202:CQ202&lt;1)*(PARTIDAS!$I$2:$AT$2="OBRA GRUESA"))&gt;0,"OBRA GRUESA: "&amp;_xlfn.TEXTJOIN(", ",TRUE,IF((BF202:CQ202&lt;1)*(PARTIDAS!$I$2:$AT$2="OBRA GRUESA"),PARTIDAS!$I$1:$AT$1,"")),""),IF(SUMPRODUCT((BF202:CQ202&lt;1)*(PARTIDAS!$I$2:$AT$2="SANITARIOS"))&gt;0,"SANITARIOS: "&amp;_xlfn.TEXTJOIN(", ",TRUE,IF((BF202:CQ202&lt;1)*(PARTIDAS!$I$2:$AT$2="SANITARIOS"),PARTIDAS!$I$1:$AT$1,"")),""),IF(SUMPRODUCT((BF202:CQ202&lt;1)*(PARTIDAS!$I$2:$AT$2="ELÉCTRICO"))&gt;0,"ELÉCTRICO: "&amp;_xlfn.TEXTJOIN(", ",TRUE,IF((BF202:CQ202&lt;1)*(PARTIDAS!$I$2:$AT$2="ELÉCTRICO"),PARTIDAS!$I$1:$AT$1,"")),""),IF(SUMPRODUCT((BF202:CQ202&lt;1)*(PARTIDAS!$I$2:$AT$2="TERMINACIONES"))&gt;0,"TERMINACIONES: "&amp;_xlfn.TEXTJOIN(", ",TRUE,IF((BF202:CQ202&lt;1)*(PARTIDAS!$I$2:$AT$2="TERMINACIONES"),PARTIDAS!$I$1:$AT$1,"")),""))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2" s="45" t="str" cm="1">
        <f t="array" ref="CT202">_xlfn.TEXTJOIN(", ",TRUE,IF(SUMPRODUCT((BF202:CQ202&lt;1)*(PARTIDAS!$I$2:$AT$2="OBRA GRUESA"))&gt;0,"OBRA GRUESA",""),IF(SUMPRODUCT((BF202:CQ202&lt;1)*(PARTIDAS!$I$2:$AT$2="SANITARIOS"))&gt;0,"SANITARIOS",""),IF(SUMPRODUCT((BF202:CQ202&lt;1)*(PARTIDAS!$I$2:$AT$2="ELÉCTRICO"))&gt;0,"ELÉCTRICO",""),IF(SUMPRODUCT((BF202:CQ202&lt;1)*(PARTIDAS!$I$2:$AT$2="TERMINACIONES"))&gt;0,"TERMINACIONES",""))</f>
        <v>OBRA GRUESA, SANITARIOS, ELÉCTRICO, TERMINACIONES</v>
      </c>
      <c r="CU202" s="46" cm="1">
        <f t="array" ref="CU202">SUMPRODUCT(--(BF202:CQ202&lt;1))</f>
        <v>38</v>
      </c>
    </row>
    <row r="203" spans="1:99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46181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 t="str">
        <f>+IF(AVANCE[[#This Row],[% AVANCE]]=100%,"MODULO TERMINADO",IF(AVANCE[[#This Row],[FECHA INICIO REAL]]="","MODULO NO INICIADO","PENDIENTE"))</f>
        <v>MODULO NO INICIADO</v>
      </c>
      <c r="BF203" s="3">
        <f>+IF(AVANCE[[#This Row],[VENTANAS]]=8.10810810810811%,100%,AVANCE[[#This Row],[VENTANAS]])</f>
        <v>0</v>
      </c>
      <c r="BG203" s="3">
        <f>+IF(AVANCE[[#This Row],[PISO]]=N$2,100%,AVANCE[[#This Row],[PISO]])</f>
        <v>0</v>
      </c>
      <c r="BH203" s="3">
        <f>+IF(AVANCE[[#This Row],[TABIQUES]]=O$2,100%,AVANCE[[#This Row],[TABIQUES]])</f>
        <v>0</v>
      </c>
      <c r="BI203" s="3">
        <f>+IF(AVANCE[[#This Row],[MUROS]]=P$2,100%,AVANCE[[#This Row],[MUROS]])</f>
        <v>0</v>
      </c>
      <c r="BJ203" s="3">
        <f>+IF(AVANCE[[#This Row],[CIELO]]=Q$2,100%,AVANCE[[#This Row],[CIELO]])</f>
        <v>0</v>
      </c>
      <c r="BK203" s="3">
        <f>+IF(AVANCE[[#This Row],[BALCÓN]]=R$2,100%,AVANCE[[#This Row],[BALCÓN]])</f>
        <v>0</v>
      </c>
      <c r="BL203" s="3">
        <f>+IF(AVANCE[[#This Row],[RED ALCANTARILLADO]]=U$2,100%,AVANCE[[#This Row],[RED ALCANTARILLADO]])</f>
        <v>0</v>
      </c>
      <c r="BM203" s="3">
        <f>+IF(AVANCE[[#This Row],[RED DE AGUA]]=V$2,100%,AVANCE[[#This Row],[RED DE AGUA]])</f>
        <v>0</v>
      </c>
      <c r="BN203" s="3">
        <f>+IF(AVANCE[[#This Row],[VENTILACIONES]]=W$2,100%,AVANCE[[#This Row],[VENTILACIONES]])</f>
        <v>0</v>
      </c>
      <c r="BO203" s="3">
        <f>+IF(AVANCE[[#This Row],[TINA]]=X$2,100%,AVANCE[[#This Row],[TINA]])</f>
        <v>0</v>
      </c>
      <c r="BP203" s="3">
        <f>+IF(AVANCE[[#This Row],[WC]]=Y$2,100%,AVANCE[[#This Row],[WC]])</f>
        <v>0</v>
      </c>
      <c r="BQ203" s="3">
        <f>+IF(AVANCE[[#This Row],[LAVAMANOS / LAVAPLATOS / LAVADERO]]=Z$2,100%,AVANCE[[#This Row],[LAVAMANOS / LAVAPLATOS / LAVADERO]])</f>
        <v>0</v>
      </c>
      <c r="BR203" s="3">
        <f>+IF(AVANCE[[#This Row],[CANALIZACIÓN]]=AC$2,100%,AVANCE[[#This Row],[CANALIZACIÓN]])</f>
        <v>0</v>
      </c>
      <c r="BS203" s="3">
        <f>+IF(AVANCE[[#This Row],[CABLEADO]]=AD$2,100%,AVANCE[[#This Row],[CABLEADO]])</f>
        <v>0</v>
      </c>
      <c r="BT203" s="3">
        <f>+IF(AVANCE[[#This Row],[ARTEFACTOS]]=AE$2,100%,AVANCE[[#This Row],[ARTEFACTOS]])</f>
        <v>0</v>
      </c>
      <c r="BU203" s="3">
        <f>+IF(AVANCE[[#This Row],[TABLERO]]=AF$2,100%,AVANCE[[#This Row],[TABLERO]])</f>
        <v>0</v>
      </c>
      <c r="BV203" s="3">
        <f>+IF(AVANCE[[#This Row],[CAJA PAU]]=AG$2,100%,AVANCE[[#This Row],[CAJA PAU]])</f>
        <v>0</v>
      </c>
      <c r="BW203" s="3">
        <f>+IF(AVANCE[[#This Row],[INSTALACION VINILICO]]=AJ$2,100%,AVANCE[[#This Row],[INSTALACION VINILICO]])</f>
        <v>0</v>
      </c>
      <c r="BX203" s="3">
        <f>+IF(AVANCE[[#This Row],[OSB CUBIERTA]]=AK$2,100%,AVANCE[[#This Row],[OSB CUBIERTA]])</f>
        <v>0</v>
      </c>
      <c r="BY203" s="3">
        <f>+IF(AVANCE[[#This Row],[BARANDA BALCON]]=AL$2,100%,AVANCE[[#This Row],[BARANDA BALCON]])</f>
        <v>0</v>
      </c>
      <c r="BZ203" s="3">
        <f>+IF(AVANCE[[#This Row],[OSB EXTERIOR]]=AM$2,100%,AVANCE[[#This Row],[OSB EXTERIOR]])</f>
        <v>0</v>
      </c>
      <c r="CA203" s="3">
        <f>+IF(AVANCE[[#This Row],[SMART PANEL]]=AN$2,100%,AVANCE[[#This Row],[SMART PANEL]])</f>
        <v>0</v>
      </c>
      <c r="CB203" s="3">
        <f>+IF(AVANCE[[#This Row],[PINTURA EXTERIOR]]=AO$2,100%,AVANCE[[#This Row],[PINTURA EXTERIOR]])</f>
        <v>0</v>
      </c>
      <c r="CC203" s="3">
        <f>+IF(AVANCE[[#This Row],[ZOCALOS LOGIA]]=AP$2,100%,AVANCE[[#This Row],[ZOCALOS LOGIA]])</f>
        <v>0</v>
      </c>
      <c r="CD203" s="3">
        <f>+IF(AVANCE[[#This Row],[MOLDURAS]]=AQ$2,100%,AVANCE[[#This Row],[MOLDURAS]])</f>
        <v>0</v>
      </c>
      <c r="CE203" s="3">
        <f>+IF(AVANCE[[#This Row],[PILASTREO]]=AR$2,100%,AVANCE[[#This Row],[PILASTREO]])</f>
        <v>0</v>
      </c>
      <c r="CF203" s="3">
        <f>+IF(AVANCE[[#This Row],[CELOSIAS]]=AS$2,100%,AVANCE[[#This Row],[CELOSIAS]])</f>
        <v>0</v>
      </c>
      <c r="CG203" s="3">
        <f>+IF(AVANCE[[#This Row],[VENTANAS]]=AT$2,100%,AVANCE[[#This Row],[VENTANAS]])</f>
        <v>0</v>
      </c>
      <c r="CH203" s="3">
        <f>+IF(AVANCE[[#This Row],[PUERTAS ACCESO - LOGIA - BANO]]=AU$2,100%,AVANCE[[#This Row],[PUERTAS ACCESO - LOGIA - BANO]])</f>
        <v>0</v>
      </c>
      <c r="CI203" s="3">
        <f>+IF(AVANCE[[#This Row],[CERRADURAS]]=AV$2,100%,AVANCE[[#This Row],[CERRADURAS]])</f>
        <v>0</v>
      </c>
      <c r="CJ203" s="3">
        <f>+IF(AVANCE[[#This Row],[REVESTIMIENTO INTERIOR ZONA SECA]]=AW$2,100%,AVANCE[[#This Row],[REVESTIMIENTO INTERIOR ZONA SECA]])</f>
        <v>0</v>
      </c>
      <c r="CK203" s="3">
        <f>+IF(AVANCE[[#This Row],[REVESTIMIENTO INTERIOR ZONAS HUMEDAS]]=AX$2,100%,AVANCE[[#This Row],[REVESTIMIENTO INTERIOR ZONAS HUMEDAS]])</f>
        <v>0</v>
      </c>
      <c r="CL203" s="3">
        <f>+IF(AVANCE[[#This Row],[MEMBRANA CIELO]]=AY$2,100%,AVANCE[[#This Row],[MEMBRANA CIELO]])</f>
        <v>0</v>
      </c>
      <c r="CM203" s="3">
        <f>+IF(AVANCE[[#This Row],[LIMPIEZA FINAL]]=AZ$2,100%,AVANCE[[#This Row],[LIMPIEZA FINAL]])</f>
        <v>0</v>
      </c>
      <c r="CN203" s="3">
        <f>+IF(AVANCE[[#This Row],[PUERTAS DORMITORIO]]=BA$2,100%,AVANCE[[#This Row],[PUERTAS DORMITORIO]])</f>
        <v>0</v>
      </c>
      <c r="CO203" s="3">
        <f>+IF(AVANCE[[#This Row],[REVESTIMIENTO INTERIOR BANO]]=BB$2,100%,AVANCE[[#This Row],[REVESTIMIENTO INTERIOR BANO]])</f>
        <v>0</v>
      </c>
      <c r="CP203" s="3">
        <f>+IF(AVANCE[[#This Row],[MUEBLE LAVAPLATOS]]=BC$2,100%,AVANCE[[#This Row],[MUEBLE LAVAPLATOS]])</f>
        <v>0</v>
      </c>
      <c r="CQ203" s="3">
        <f>+IF(AVANCE[[#This Row],[IMPERMEABILIZACION BANO - COCINA LOGIA]]=BD$2,100%,AVANCE[[#This Row],[IMPERMEABILIZACION BANO - COCINA LOGIA]])</f>
        <v>0</v>
      </c>
      <c r="CR203" s="40">
        <f ca="1">+IF(AVANCE[[#This Row],[ESTADO MODULO]]="PENDIENTE",(TODAY()-AVANCE[[#This Row],[FECHA TERMINO  PLANIFICADO]]),0)</f>
        <v>0</v>
      </c>
      <c r="CS203" s="42" t="str" cm="1">
        <f t="array" ref="CS203">_xlfn.TEXTJOIN(" | ",TRUE,IF(SUMPRODUCT((BF203:CQ203&lt;1)*(PARTIDAS!$I$2:$AT$2="OBRA GRUESA"))&gt;0,"OBRA GRUESA: "&amp;_xlfn.TEXTJOIN(", ",TRUE,IF((BF203:CQ203&lt;1)*(PARTIDAS!$I$2:$AT$2="OBRA GRUESA"),PARTIDAS!$I$1:$AT$1,"")),""),IF(SUMPRODUCT((BF203:CQ203&lt;1)*(PARTIDAS!$I$2:$AT$2="SANITARIOS"))&gt;0,"SANITARIOS: "&amp;_xlfn.TEXTJOIN(", ",TRUE,IF((BF203:CQ203&lt;1)*(PARTIDAS!$I$2:$AT$2="SANITARIOS"),PARTIDAS!$I$1:$AT$1,"")),""),IF(SUMPRODUCT((BF203:CQ203&lt;1)*(PARTIDAS!$I$2:$AT$2="ELÉCTRICO"))&gt;0,"ELÉCTRICO: "&amp;_xlfn.TEXTJOIN(", ",TRUE,IF((BF203:CQ203&lt;1)*(PARTIDAS!$I$2:$AT$2="ELÉCTRICO"),PARTIDAS!$I$1:$AT$1,"")),""),IF(SUMPRODUCT((BF203:CQ203&lt;1)*(PARTIDAS!$I$2:$AT$2="TERMINACIONES"))&gt;0,"TERMINACIONES: "&amp;_xlfn.TEXTJOIN(", ",TRUE,IF((BF203:CQ203&lt;1)*(PARTIDAS!$I$2:$AT$2="TERMINACIONES"),PARTIDAS!$I$1:$AT$1,"")),""))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3" s="45" t="str" cm="1">
        <f t="array" ref="CT203">_xlfn.TEXTJOIN(", ",TRUE,IF(SUMPRODUCT((BF203:CQ203&lt;1)*(PARTIDAS!$I$2:$AT$2="OBRA GRUESA"))&gt;0,"OBRA GRUESA",""),IF(SUMPRODUCT((BF203:CQ203&lt;1)*(PARTIDAS!$I$2:$AT$2="SANITARIOS"))&gt;0,"SANITARIOS",""),IF(SUMPRODUCT((BF203:CQ203&lt;1)*(PARTIDAS!$I$2:$AT$2="ELÉCTRICO"))&gt;0,"ELÉCTRICO",""),IF(SUMPRODUCT((BF203:CQ203&lt;1)*(PARTIDAS!$I$2:$AT$2="TERMINACIONES"))&gt;0,"TERMINACIONES",""))</f>
        <v>OBRA GRUESA, SANITARIOS, ELÉCTRICO, TERMINACIONES</v>
      </c>
      <c r="CU203" s="46" cm="1">
        <f t="array" ref="CU203">SUMPRODUCT(--(BF203:CQ203&lt;1))</f>
        <v>38</v>
      </c>
    </row>
    <row r="204" spans="1:99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46181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 t="str">
        <f>+IF(AVANCE[[#This Row],[% AVANCE]]=100%,"MODULO TERMINADO",IF(AVANCE[[#This Row],[FECHA INICIO REAL]]="","MODULO NO INICIADO","PENDIENTE"))</f>
        <v>MODULO NO INICIADO</v>
      </c>
      <c r="BF204" s="3">
        <f>+IF(AVANCE[[#This Row],[VENTANAS]]=8.10810810810811%,100%,AVANCE[[#This Row],[VENTANAS]])</f>
        <v>0</v>
      </c>
      <c r="BG204" s="3">
        <f>+IF(AVANCE[[#This Row],[PISO]]=N$2,100%,AVANCE[[#This Row],[PISO]])</f>
        <v>0</v>
      </c>
      <c r="BH204" s="3">
        <f>+IF(AVANCE[[#This Row],[TABIQUES]]=O$2,100%,AVANCE[[#This Row],[TABIQUES]])</f>
        <v>0</v>
      </c>
      <c r="BI204" s="3">
        <f>+IF(AVANCE[[#This Row],[MUROS]]=P$2,100%,AVANCE[[#This Row],[MUROS]])</f>
        <v>0</v>
      </c>
      <c r="BJ204" s="3">
        <f>+IF(AVANCE[[#This Row],[CIELO]]=Q$2,100%,AVANCE[[#This Row],[CIELO]])</f>
        <v>0</v>
      </c>
      <c r="BK204" s="3">
        <f>+IF(AVANCE[[#This Row],[BALCÓN]]=R$2,100%,AVANCE[[#This Row],[BALCÓN]])</f>
        <v>0</v>
      </c>
      <c r="BL204" s="3">
        <f>+IF(AVANCE[[#This Row],[RED ALCANTARILLADO]]=U$2,100%,AVANCE[[#This Row],[RED ALCANTARILLADO]])</f>
        <v>0</v>
      </c>
      <c r="BM204" s="3">
        <f>+IF(AVANCE[[#This Row],[RED DE AGUA]]=V$2,100%,AVANCE[[#This Row],[RED DE AGUA]])</f>
        <v>0</v>
      </c>
      <c r="BN204" s="3">
        <f>+IF(AVANCE[[#This Row],[VENTILACIONES]]=W$2,100%,AVANCE[[#This Row],[VENTILACIONES]])</f>
        <v>0</v>
      </c>
      <c r="BO204" s="3">
        <f>+IF(AVANCE[[#This Row],[TINA]]=X$2,100%,AVANCE[[#This Row],[TINA]])</f>
        <v>0</v>
      </c>
      <c r="BP204" s="3">
        <f>+IF(AVANCE[[#This Row],[WC]]=Y$2,100%,AVANCE[[#This Row],[WC]])</f>
        <v>0</v>
      </c>
      <c r="BQ204" s="3">
        <f>+IF(AVANCE[[#This Row],[LAVAMANOS / LAVAPLATOS / LAVADERO]]=Z$2,100%,AVANCE[[#This Row],[LAVAMANOS / LAVAPLATOS / LAVADERO]])</f>
        <v>0</v>
      </c>
      <c r="BR204" s="3">
        <f>+IF(AVANCE[[#This Row],[CANALIZACIÓN]]=AC$2,100%,AVANCE[[#This Row],[CANALIZACIÓN]])</f>
        <v>0</v>
      </c>
      <c r="BS204" s="3">
        <f>+IF(AVANCE[[#This Row],[CABLEADO]]=AD$2,100%,AVANCE[[#This Row],[CABLEADO]])</f>
        <v>0</v>
      </c>
      <c r="BT204" s="3">
        <f>+IF(AVANCE[[#This Row],[ARTEFACTOS]]=AE$2,100%,AVANCE[[#This Row],[ARTEFACTOS]])</f>
        <v>0</v>
      </c>
      <c r="BU204" s="3">
        <f>+IF(AVANCE[[#This Row],[TABLERO]]=AF$2,100%,AVANCE[[#This Row],[TABLERO]])</f>
        <v>0</v>
      </c>
      <c r="BV204" s="3">
        <f>+IF(AVANCE[[#This Row],[CAJA PAU]]=AG$2,100%,AVANCE[[#This Row],[CAJA PAU]])</f>
        <v>0</v>
      </c>
      <c r="BW204" s="3">
        <f>+IF(AVANCE[[#This Row],[INSTALACION VINILICO]]=AJ$2,100%,AVANCE[[#This Row],[INSTALACION VINILICO]])</f>
        <v>0</v>
      </c>
      <c r="BX204" s="3">
        <f>+IF(AVANCE[[#This Row],[OSB CUBIERTA]]=AK$2,100%,AVANCE[[#This Row],[OSB CUBIERTA]])</f>
        <v>0</v>
      </c>
      <c r="BY204" s="3">
        <f>+IF(AVANCE[[#This Row],[BARANDA BALCON]]=AL$2,100%,AVANCE[[#This Row],[BARANDA BALCON]])</f>
        <v>0</v>
      </c>
      <c r="BZ204" s="3">
        <f>+IF(AVANCE[[#This Row],[OSB EXTERIOR]]=AM$2,100%,AVANCE[[#This Row],[OSB EXTERIOR]])</f>
        <v>0</v>
      </c>
      <c r="CA204" s="3">
        <f>+IF(AVANCE[[#This Row],[SMART PANEL]]=AN$2,100%,AVANCE[[#This Row],[SMART PANEL]])</f>
        <v>0</v>
      </c>
      <c r="CB204" s="3">
        <f>+IF(AVANCE[[#This Row],[PINTURA EXTERIOR]]=AO$2,100%,AVANCE[[#This Row],[PINTURA EXTERIOR]])</f>
        <v>0</v>
      </c>
      <c r="CC204" s="3">
        <f>+IF(AVANCE[[#This Row],[ZOCALOS LOGIA]]=AP$2,100%,AVANCE[[#This Row],[ZOCALOS LOGIA]])</f>
        <v>0</v>
      </c>
      <c r="CD204" s="3">
        <f>+IF(AVANCE[[#This Row],[MOLDURAS]]=AQ$2,100%,AVANCE[[#This Row],[MOLDURAS]])</f>
        <v>0</v>
      </c>
      <c r="CE204" s="3">
        <f>+IF(AVANCE[[#This Row],[PILASTREO]]=AR$2,100%,AVANCE[[#This Row],[PILASTREO]])</f>
        <v>0</v>
      </c>
      <c r="CF204" s="3">
        <f>+IF(AVANCE[[#This Row],[CELOSIAS]]=AS$2,100%,AVANCE[[#This Row],[CELOSIAS]])</f>
        <v>0</v>
      </c>
      <c r="CG204" s="3">
        <f>+IF(AVANCE[[#This Row],[VENTANAS]]=AT$2,100%,AVANCE[[#This Row],[VENTANAS]])</f>
        <v>0</v>
      </c>
      <c r="CH204" s="3">
        <f>+IF(AVANCE[[#This Row],[PUERTAS ACCESO - LOGIA - BANO]]=AU$2,100%,AVANCE[[#This Row],[PUERTAS ACCESO - LOGIA - BANO]])</f>
        <v>0</v>
      </c>
      <c r="CI204" s="3">
        <f>+IF(AVANCE[[#This Row],[CERRADURAS]]=AV$2,100%,AVANCE[[#This Row],[CERRADURAS]])</f>
        <v>0</v>
      </c>
      <c r="CJ204" s="3">
        <f>+IF(AVANCE[[#This Row],[REVESTIMIENTO INTERIOR ZONA SECA]]=AW$2,100%,AVANCE[[#This Row],[REVESTIMIENTO INTERIOR ZONA SECA]])</f>
        <v>0</v>
      </c>
      <c r="CK204" s="3">
        <f>+IF(AVANCE[[#This Row],[REVESTIMIENTO INTERIOR ZONAS HUMEDAS]]=AX$2,100%,AVANCE[[#This Row],[REVESTIMIENTO INTERIOR ZONAS HUMEDAS]])</f>
        <v>0</v>
      </c>
      <c r="CL204" s="3">
        <f>+IF(AVANCE[[#This Row],[MEMBRANA CIELO]]=AY$2,100%,AVANCE[[#This Row],[MEMBRANA CIELO]])</f>
        <v>0</v>
      </c>
      <c r="CM204" s="3">
        <f>+IF(AVANCE[[#This Row],[LIMPIEZA FINAL]]=AZ$2,100%,AVANCE[[#This Row],[LIMPIEZA FINAL]])</f>
        <v>0</v>
      </c>
      <c r="CN204" s="3">
        <f>+IF(AVANCE[[#This Row],[PUERTAS DORMITORIO]]=BA$2,100%,AVANCE[[#This Row],[PUERTAS DORMITORIO]])</f>
        <v>0</v>
      </c>
      <c r="CO204" s="3">
        <f>+IF(AVANCE[[#This Row],[REVESTIMIENTO INTERIOR BANO]]=BB$2,100%,AVANCE[[#This Row],[REVESTIMIENTO INTERIOR BANO]])</f>
        <v>0</v>
      </c>
      <c r="CP204" s="3">
        <f>+IF(AVANCE[[#This Row],[MUEBLE LAVAPLATOS]]=BC$2,100%,AVANCE[[#This Row],[MUEBLE LAVAPLATOS]])</f>
        <v>0</v>
      </c>
      <c r="CQ204" s="3">
        <f>+IF(AVANCE[[#This Row],[IMPERMEABILIZACION BANO - COCINA LOGIA]]=BD$2,100%,AVANCE[[#This Row],[IMPERMEABILIZACION BANO - COCINA LOGIA]])</f>
        <v>0</v>
      </c>
      <c r="CR204" s="40">
        <f ca="1">+IF(AVANCE[[#This Row],[ESTADO MODULO]]="PENDIENTE",(TODAY()-AVANCE[[#This Row],[FECHA TERMINO  PLANIFICADO]]),0)</f>
        <v>0</v>
      </c>
      <c r="CS204" s="42" t="str" cm="1">
        <f t="array" ref="CS204">_xlfn.TEXTJOIN(" | ",TRUE,IF(SUMPRODUCT((BF204:CQ204&lt;1)*(PARTIDAS!$I$2:$AT$2="OBRA GRUESA"))&gt;0,"OBRA GRUESA: "&amp;_xlfn.TEXTJOIN(", ",TRUE,IF((BF204:CQ204&lt;1)*(PARTIDAS!$I$2:$AT$2="OBRA GRUESA"),PARTIDAS!$I$1:$AT$1,"")),""),IF(SUMPRODUCT((BF204:CQ204&lt;1)*(PARTIDAS!$I$2:$AT$2="SANITARIOS"))&gt;0,"SANITARIOS: "&amp;_xlfn.TEXTJOIN(", ",TRUE,IF((BF204:CQ204&lt;1)*(PARTIDAS!$I$2:$AT$2="SANITARIOS"),PARTIDAS!$I$1:$AT$1,"")),""),IF(SUMPRODUCT((BF204:CQ204&lt;1)*(PARTIDAS!$I$2:$AT$2="ELÉCTRICO"))&gt;0,"ELÉCTRICO: "&amp;_xlfn.TEXTJOIN(", ",TRUE,IF((BF204:CQ204&lt;1)*(PARTIDAS!$I$2:$AT$2="ELÉCTRICO"),PARTIDAS!$I$1:$AT$1,"")),""),IF(SUMPRODUCT((BF204:CQ204&lt;1)*(PARTIDAS!$I$2:$AT$2="TERMINACIONES"))&gt;0,"TERMINACIONES: "&amp;_xlfn.TEXTJOIN(", ",TRUE,IF((BF204:CQ204&lt;1)*(PARTIDAS!$I$2:$AT$2="TERMINACIONES"),PARTIDAS!$I$1:$AT$1,"")),""))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4" s="45" t="str" cm="1">
        <f t="array" ref="CT204">_xlfn.TEXTJOIN(", ",TRUE,IF(SUMPRODUCT((BF204:CQ204&lt;1)*(PARTIDAS!$I$2:$AT$2="OBRA GRUESA"))&gt;0,"OBRA GRUESA",""),IF(SUMPRODUCT((BF204:CQ204&lt;1)*(PARTIDAS!$I$2:$AT$2="SANITARIOS"))&gt;0,"SANITARIOS",""),IF(SUMPRODUCT((BF204:CQ204&lt;1)*(PARTIDAS!$I$2:$AT$2="ELÉCTRICO"))&gt;0,"ELÉCTRICO",""),IF(SUMPRODUCT((BF204:CQ204&lt;1)*(PARTIDAS!$I$2:$AT$2="TERMINACIONES"))&gt;0,"TERMINACIONES",""))</f>
        <v>OBRA GRUESA, SANITARIOS, ELÉCTRICO, TERMINACIONES</v>
      </c>
      <c r="CU204" s="46" cm="1">
        <f t="array" ref="CU204">SUMPRODUCT(--(BF204:CQ204&lt;1))</f>
        <v>38</v>
      </c>
    </row>
    <row r="205" spans="1:99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46181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 t="str">
        <f>+IF(AVANCE[[#This Row],[% AVANCE]]=100%,"MODULO TERMINADO",IF(AVANCE[[#This Row],[FECHA INICIO REAL]]="","MODULO NO INICIADO","PENDIENTE"))</f>
        <v>MODULO NO INICIADO</v>
      </c>
      <c r="BF205" s="3">
        <f>+IF(AVANCE[[#This Row],[VENTANAS]]=8.10810810810811%,100%,AVANCE[[#This Row],[VENTANAS]])</f>
        <v>0</v>
      </c>
      <c r="BG205" s="3">
        <f>+IF(AVANCE[[#This Row],[PISO]]=N$2,100%,AVANCE[[#This Row],[PISO]])</f>
        <v>0</v>
      </c>
      <c r="BH205" s="3">
        <f>+IF(AVANCE[[#This Row],[TABIQUES]]=O$2,100%,AVANCE[[#This Row],[TABIQUES]])</f>
        <v>0</v>
      </c>
      <c r="BI205" s="3">
        <f>+IF(AVANCE[[#This Row],[MUROS]]=P$2,100%,AVANCE[[#This Row],[MUROS]])</f>
        <v>0</v>
      </c>
      <c r="BJ205" s="3">
        <f>+IF(AVANCE[[#This Row],[CIELO]]=Q$2,100%,AVANCE[[#This Row],[CIELO]])</f>
        <v>0</v>
      </c>
      <c r="BK205" s="3">
        <f>+IF(AVANCE[[#This Row],[BALCÓN]]=R$2,100%,AVANCE[[#This Row],[BALCÓN]])</f>
        <v>0</v>
      </c>
      <c r="BL205" s="3">
        <f>+IF(AVANCE[[#This Row],[RED ALCANTARILLADO]]=U$2,100%,AVANCE[[#This Row],[RED ALCANTARILLADO]])</f>
        <v>0</v>
      </c>
      <c r="BM205" s="3">
        <f>+IF(AVANCE[[#This Row],[RED DE AGUA]]=V$2,100%,AVANCE[[#This Row],[RED DE AGUA]])</f>
        <v>0</v>
      </c>
      <c r="BN205" s="3">
        <f>+IF(AVANCE[[#This Row],[VENTILACIONES]]=W$2,100%,AVANCE[[#This Row],[VENTILACIONES]])</f>
        <v>0</v>
      </c>
      <c r="BO205" s="3">
        <f>+IF(AVANCE[[#This Row],[TINA]]=X$2,100%,AVANCE[[#This Row],[TINA]])</f>
        <v>0</v>
      </c>
      <c r="BP205" s="3">
        <f>+IF(AVANCE[[#This Row],[WC]]=Y$2,100%,AVANCE[[#This Row],[WC]])</f>
        <v>0</v>
      </c>
      <c r="BQ205" s="3">
        <f>+IF(AVANCE[[#This Row],[LAVAMANOS / LAVAPLATOS / LAVADERO]]=Z$2,100%,AVANCE[[#This Row],[LAVAMANOS / LAVAPLATOS / LAVADERO]])</f>
        <v>0</v>
      </c>
      <c r="BR205" s="3">
        <f>+IF(AVANCE[[#This Row],[CANALIZACIÓN]]=AC$2,100%,AVANCE[[#This Row],[CANALIZACIÓN]])</f>
        <v>0</v>
      </c>
      <c r="BS205" s="3">
        <f>+IF(AVANCE[[#This Row],[CABLEADO]]=AD$2,100%,AVANCE[[#This Row],[CABLEADO]])</f>
        <v>0</v>
      </c>
      <c r="BT205" s="3">
        <f>+IF(AVANCE[[#This Row],[ARTEFACTOS]]=AE$2,100%,AVANCE[[#This Row],[ARTEFACTOS]])</f>
        <v>0</v>
      </c>
      <c r="BU205" s="3">
        <f>+IF(AVANCE[[#This Row],[TABLERO]]=AF$2,100%,AVANCE[[#This Row],[TABLERO]])</f>
        <v>0</v>
      </c>
      <c r="BV205" s="3">
        <f>+IF(AVANCE[[#This Row],[CAJA PAU]]=AG$2,100%,AVANCE[[#This Row],[CAJA PAU]])</f>
        <v>0</v>
      </c>
      <c r="BW205" s="3">
        <f>+IF(AVANCE[[#This Row],[INSTALACION VINILICO]]=AJ$2,100%,AVANCE[[#This Row],[INSTALACION VINILICO]])</f>
        <v>0</v>
      </c>
      <c r="BX205" s="3">
        <f>+IF(AVANCE[[#This Row],[OSB CUBIERTA]]=AK$2,100%,AVANCE[[#This Row],[OSB CUBIERTA]])</f>
        <v>0</v>
      </c>
      <c r="BY205" s="3">
        <f>+IF(AVANCE[[#This Row],[BARANDA BALCON]]=AL$2,100%,AVANCE[[#This Row],[BARANDA BALCON]])</f>
        <v>0</v>
      </c>
      <c r="BZ205" s="3">
        <f>+IF(AVANCE[[#This Row],[OSB EXTERIOR]]=AM$2,100%,AVANCE[[#This Row],[OSB EXTERIOR]])</f>
        <v>0</v>
      </c>
      <c r="CA205" s="3">
        <f>+IF(AVANCE[[#This Row],[SMART PANEL]]=AN$2,100%,AVANCE[[#This Row],[SMART PANEL]])</f>
        <v>0</v>
      </c>
      <c r="CB205" s="3">
        <f>+IF(AVANCE[[#This Row],[PINTURA EXTERIOR]]=AO$2,100%,AVANCE[[#This Row],[PINTURA EXTERIOR]])</f>
        <v>0</v>
      </c>
      <c r="CC205" s="3">
        <f>+IF(AVANCE[[#This Row],[ZOCALOS LOGIA]]=AP$2,100%,AVANCE[[#This Row],[ZOCALOS LOGIA]])</f>
        <v>0</v>
      </c>
      <c r="CD205" s="3">
        <f>+IF(AVANCE[[#This Row],[MOLDURAS]]=AQ$2,100%,AVANCE[[#This Row],[MOLDURAS]])</f>
        <v>0</v>
      </c>
      <c r="CE205" s="3">
        <f>+IF(AVANCE[[#This Row],[PILASTREO]]=AR$2,100%,AVANCE[[#This Row],[PILASTREO]])</f>
        <v>0</v>
      </c>
      <c r="CF205" s="3">
        <f>+IF(AVANCE[[#This Row],[CELOSIAS]]=AS$2,100%,AVANCE[[#This Row],[CELOSIAS]])</f>
        <v>0</v>
      </c>
      <c r="CG205" s="3">
        <f>+IF(AVANCE[[#This Row],[VENTANAS]]=AT$2,100%,AVANCE[[#This Row],[VENTANAS]])</f>
        <v>0</v>
      </c>
      <c r="CH205" s="3">
        <f>+IF(AVANCE[[#This Row],[PUERTAS ACCESO - LOGIA - BANO]]=AU$2,100%,AVANCE[[#This Row],[PUERTAS ACCESO - LOGIA - BANO]])</f>
        <v>0</v>
      </c>
      <c r="CI205" s="3">
        <f>+IF(AVANCE[[#This Row],[CERRADURAS]]=AV$2,100%,AVANCE[[#This Row],[CERRADURAS]])</f>
        <v>0</v>
      </c>
      <c r="CJ205" s="3">
        <f>+IF(AVANCE[[#This Row],[REVESTIMIENTO INTERIOR ZONA SECA]]=AW$2,100%,AVANCE[[#This Row],[REVESTIMIENTO INTERIOR ZONA SECA]])</f>
        <v>0</v>
      </c>
      <c r="CK205" s="3">
        <f>+IF(AVANCE[[#This Row],[REVESTIMIENTO INTERIOR ZONAS HUMEDAS]]=AX$2,100%,AVANCE[[#This Row],[REVESTIMIENTO INTERIOR ZONAS HUMEDAS]])</f>
        <v>0</v>
      </c>
      <c r="CL205" s="3">
        <f>+IF(AVANCE[[#This Row],[MEMBRANA CIELO]]=AY$2,100%,AVANCE[[#This Row],[MEMBRANA CIELO]])</f>
        <v>0</v>
      </c>
      <c r="CM205" s="3">
        <f>+IF(AVANCE[[#This Row],[LIMPIEZA FINAL]]=AZ$2,100%,AVANCE[[#This Row],[LIMPIEZA FINAL]])</f>
        <v>0</v>
      </c>
      <c r="CN205" s="3">
        <f>+IF(AVANCE[[#This Row],[PUERTAS DORMITORIO]]=BA$2,100%,AVANCE[[#This Row],[PUERTAS DORMITORIO]])</f>
        <v>0</v>
      </c>
      <c r="CO205" s="3">
        <f>+IF(AVANCE[[#This Row],[REVESTIMIENTO INTERIOR BANO]]=BB$2,100%,AVANCE[[#This Row],[REVESTIMIENTO INTERIOR BANO]])</f>
        <v>0</v>
      </c>
      <c r="CP205" s="3">
        <f>+IF(AVANCE[[#This Row],[MUEBLE LAVAPLATOS]]=BC$2,100%,AVANCE[[#This Row],[MUEBLE LAVAPLATOS]])</f>
        <v>0</v>
      </c>
      <c r="CQ205" s="3">
        <f>+IF(AVANCE[[#This Row],[IMPERMEABILIZACION BANO - COCINA LOGIA]]=BD$2,100%,AVANCE[[#This Row],[IMPERMEABILIZACION BANO - COCINA LOGIA]])</f>
        <v>0</v>
      </c>
      <c r="CR205" s="40">
        <f ca="1">+IF(AVANCE[[#This Row],[ESTADO MODULO]]="PENDIENTE",(TODAY()-AVANCE[[#This Row],[FECHA TERMINO  PLANIFICADO]]),0)</f>
        <v>0</v>
      </c>
      <c r="CS205" s="42" t="str" cm="1">
        <f t="array" ref="CS205">_xlfn.TEXTJOIN(" | ",TRUE,IF(SUMPRODUCT((BF205:CQ205&lt;1)*(PARTIDAS!$I$2:$AT$2="OBRA GRUESA"))&gt;0,"OBRA GRUESA: "&amp;_xlfn.TEXTJOIN(", ",TRUE,IF((BF205:CQ205&lt;1)*(PARTIDAS!$I$2:$AT$2="OBRA GRUESA"),PARTIDAS!$I$1:$AT$1,"")),""),IF(SUMPRODUCT((BF205:CQ205&lt;1)*(PARTIDAS!$I$2:$AT$2="SANITARIOS"))&gt;0,"SANITARIOS: "&amp;_xlfn.TEXTJOIN(", ",TRUE,IF((BF205:CQ205&lt;1)*(PARTIDAS!$I$2:$AT$2="SANITARIOS"),PARTIDAS!$I$1:$AT$1,"")),""),IF(SUMPRODUCT((BF205:CQ205&lt;1)*(PARTIDAS!$I$2:$AT$2="ELÉCTRICO"))&gt;0,"ELÉCTRICO: "&amp;_xlfn.TEXTJOIN(", ",TRUE,IF((BF205:CQ205&lt;1)*(PARTIDAS!$I$2:$AT$2="ELÉCTRICO"),PARTIDAS!$I$1:$AT$1,"")),""),IF(SUMPRODUCT((BF205:CQ205&lt;1)*(PARTIDAS!$I$2:$AT$2="TERMINACIONES"))&gt;0,"TERMINACIONES: "&amp;_xlfn.TEXTJOIN(", ",TRUE,IF((BF205:CQ205&lt;1)*(PARTIDAS!$I$2:$AT$2="TERMINACIONES"),PARTIDAS!$I$1:$AT$1,"")),""))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5" s="45" t="str" cm="1">
        <f t="array" ref="CT205">_xlfn.TEXTJOIN(", ",TRUE,IF(SUMPRODUCT((BF205:CQ205&lt;1)*(PARTIDAS!$I$2:$AT$2="OBRA GRUESA"))&gt;0,"OBRA GRUESA",""),IF(SUMPRODUCT((BF205:CQ205&lt;1)*(PARTIDAS!$I$2:$AT$2="SANITARIOS"))&gt;0,"SANITARIOS",""),IF(SUMPRODUCT((BF205:CQ205&lt;1)*(PARTIDAS!$I$2:$AT$2="ELÉCTRICO"))&gt;0,"ELÉCTRICO",""),IF(SUMPRODUCT((BF205:CQ205&lt;1)*(PARTIDAS!$I$2:$AT$2="TERMINACIONES"))&gt;0,"TERMINACIONES",""))</f>
        <v>OBRA GRUESA, SANITARIOS, ELÉCTRICO, TERMINACIONES</v>
      </c>
      <c r="CU205" s="46" cm="1">
        <f t="array" ref="CU205">SUMPRODUCT(--(BF205:CQ205&lt;1))</f>
        <v>38</v>
      </c>
    </row>
    <row r="206" spans="1:99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46181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 t="str">
        <f>+IF(AVANCE[[#This Row],[% AVANCE]]=100%,"MODULO TERMINADO",IF(AVANCE[[#This Row],[FECHA INICIO REAL]]="","MODULO NO INICIADO","PENDIENTE"))</f>
        <v>MODULO NO INICIADO</v>
      </c>
      <c r="BF206" s="3">
        <f>+IF(AVANCE[[#This Row],[VENTANAS]]=8.10810810810811%,100%,AVANCE[[#This Row],[VENTANAS]])</f>
        <v>0</v>
      </c>
      <c r="BG206" s="3">
        <f>+IF(AVANCE[[#This Row],[PISO]]=N$2,100%,AVANCE[[#This Row],[PISO]])</f>
        <v>0</v>
      </c>
      <c r="BH206" s="3">
        <f>+IF(AVANCE[[#This Row],[TABIQUES]]=O$2,100%,AVANCE[[#This Row],[TABIQUES]])</f>
        <v>0</v>
      </c>
      <c r="BI206" s="3">
        <f>+IF(AVANCE[[#This Row],[MUROS]]=P$2,100%,AVANCE[[#This Row],[MUROS]])</f>
        <v>0</v>
      </c>
      <c r="BJ206" s="3">
        <f>+IF(AVANCE[[#This Row],[CIELO]]=Q$2,100%,AVANCE[[#This Row],[CIELO]])</f>
        <v>0</v>
      </c>
      <c r="BK206" s="3">
        <f>+IF(AVANCE[[#This Row],[BALCÓN]]=R$2,100%,AVANCE[[#This Row],[BALCÓN]])</f>
        <v>0</v>
      </c>
      <c r="BL206" s="3">
        <f>+IF(AVANCE[[#This Row],[RED ALCANTARILLADO]]=U$2,100%,AVANCE[[#This Row],[RED ALCANTARILLADO]])</f>
        <v>0</v>
      </c>
      <c r="BM206" s="3">
        <f>+IF(AVANCE[[#This Row],[RED DE AGUA]]=V$2,100%,AVANCE[[#This Row],[RED DE AGUA]])</f>
        <v>0</v>
      </c>
      <c r="BN206" s="3">
        <f>+IF(AVANCE[[#This Row],[VENTILACIONES]]=W$2,100%,AVANCE[[#This Row],[VENTILACIONES]])</f>
        <v>0</v>
      </c>
      <c r="BO206" s="3">
        <f>+IF(AVANCE[[#This Row],[TINA]]=X$2,100%,AVANCE[[#This Row],[TINA]])</f>
        <v>0</v>
      </c>
      <c r="BP206" s="3">
        <f>+IF(AVANCE[[#This Row],[WC]]=Y$2,100%,AVANCE[[#This Row],[WC]])</f>
        <v>0</v>
      </c>
      <c r="BQ206" s="3">
        <f>+IF(AVANCE[[#This Row],[LAVAMANOS / LAVAPLATOS / LAVADERO]]=Z$2,100%,AVANCE[[#This Row],[LAVAMANOS / LAVAPLATOS / LAVADERO]])</f>
        <v>0</v>
      </c>
      <c r="BR206" s="3">
        <f>+IF(AVANCE[[#This Row],[CANALIZACIÓN]]=AC$2,100%,AVANCE[[#This Row],[CANALIZACIÓN]])</f>
        <v>0</v>
      </c>
      <c r="BS206" s="3">
        <f>+IF(AVANCE[[#This Row],[CABLEADO]]=AD$2,100%,AVANCE[[#This Row],[CABLEADO]])</f>
        <v>0</v>
      </c>
      <c r="BT206" s="3">
        <f>+IF(AVANCE[[#This Row],[ARTEFACTOS]]=AE$2,100%,AVANCE[[#This Row],[ARTEFACTOS]])</f>
        <v>0</v>
      </c>
      <c r="BU206" s="3">
        <f>+IF(AVANCE[[#This Row],[TABLERO]]=AF$2,100%,AVANCE[[#This Row],[TABLERO]])</f>
        <v>0</v>
      </c>
      <c r="BV206" s="3">
        <f>+IF(AVANCE[[#This Row],[CAJA PAU]]=AG$2,100%,AVANCE[[#This Row],[CAJA PAU]])</f>
        <v>0</v>
      </c>
      <c r="BW206" s="3">
        <f>+IF(AVANCE[[#This Row],[INSTALACION VINILICO]]=AJ$2,100%,AVANCE[[#This Row],[INSTALACION VINILICO]])</f>
        <v>0</v>
      </c>
      <c r="BX206" s="3">
        <f>+IF(AVANCE[[#This Row],[OSB CUBIERTA]]=AK$2,100%,AVANCE[[#This Row],[OSB CUBIERTA]])</f>
        <v>0</v>
      </c>
      <c r="BY206" s="3">
        <f>+IF(AVANCE[[#This Row],[BARANDA BALCON]]=AL$2,100%,AVANCE[[#This Row],[BARANDA BALCON]])</f>
        <v>0</v>
      </c>
      <c r="BZ206" s="3">
        <f>+IF(AVANCE[[#This Row],[OSB EXTERIOR]]=AM$2,100%,AVANCE[[#This Row],[OSB EXTERIOR]])</f>
        <v>0</v>
      </c>
      <c r="CA206" s="3">
        <f>+IF(AVANCE[[#This Row],[SMART PANEL]]=AN$2,100%,AVANCE[[#This Row],[SMART PANEL]])</f>
        <v>0</v>
      </c>
      <c r="CB206" s="3">
        <f>+IF(AVANCE[[#This Row],[PINTURA EXTERIOR]]=AO$2,100%,AVANCE[[#This Row],[PINTURA EXTERIOR]])</f>
        <v>0</v>
      </c>
      <c r="CC206" s="3">
        <f>+IF(AVANCE[[#This Row],[ZOCALOS LOGIA]]=AP$2,100%,AVANCE[[#This Row],[ZOCALOS LOGIA]])</f>
        <v>0</v>
      </c>
      <c r="CD206" s="3">
        <f>+IF(AVANCE[[#This Row],[MOLDURAS]]=AQ$2,100%,AVANCE[[#This Row],[MOLDURAS]])</f>
        <v>0</v>
      </c>
      <c r="CE206" s="3">
        <f>+IF(AVANCE[[#This Row],[PILASTREO]]=AR$2,100%,AVANCE[[#This Row],[PILASTREO]])</f>
        <v>0</v>
      </c>
      <c r="CF206" s="3">
        <f>+IF(AVANCE[[#This Row],[CELOSIAS]]=AS$2,100%,AVANCE[[#This Row],[CELOSIAS]])</f>
        <v>0</v>
      </c>
      <c r="CG206" s="3">
        <f>+IF(AVANCE[[#This Row],[VENTANAS]]=AT$2,100%,AVANCE[[#This Row],[VENTANAS]])</f>
        <v>0</v>
      </c>
      <c r="CH206" s="3">
        <f>+IF(AVANCE[[#This Row],[PUERTAS ACCESO - LOGIA - BANO]]=AU$2,100%,AVANCE[[#This Row],[PUERTAS ACCESO - LOGIA - BANO]])</f>
        <v>0</v>
      </c>
      <c r="CI206" s="3">
        <f>+IF(AVANCE[[#This Row],[CERRADURAS]]=AV$2,100%,AVANCE[[#This Row],[CERRADURAS]])</f>
        <v>0</v>
      </c>
      <c r="CJ206" s="3">
        <f>+IF(AVANCE[[#This Row],[REVESTIMIENTO INTERIOR ZONA SECA]]=AW$2,100%,AVANCE[[#This Row],[REVESTIMIENTO INTERIOR ZONA SECA]])</f>
        <v>0</v>
      </c>
      <c r="CK206" s="3">
        <f>+IF(AVANCE[[#This Row],[REVESTIMIENTO INTERIOR ZONAS HUMEDAS]]=AX$2,100%,AVANCE[[#This Row],[REVESTIMIENTO INTERIOR ZONAS HUMEDAS]])</f>
        <v>0</v>
      </c>
      <c r="CL206" s="3">
        <f>+IF(AVANCE[[#This Row],[MEMBRANA CIELO]]=AY$2,100%,AVANCE[[#This Row],[MEMBRANA CIELO]])</f>
        <v>0</v>
      </c>
      <c r="CM206" s="3">
        <f>+IF(AVANCE[[#This Row],[LIMPIEZA FINAL]]=AZ$2,100%,AVANCE[[#This Row],[LIMPIEZA FINAL]])</f>
        <v>0</v>
      </c>
      <c r="CN206" s="3">
        <f>+IF(AVANCE[[#This Row],[PUERTAS DORMITORIO]]=BA$2,100%,AVANCE[[#This Row],[PUERTAS DORMITORIO]])</f>
        <v>0</v>
      </c>
      <c r="CO206" s="3">
        <f>+IF(AVANCE[[#This Row],[REVESTIMIENTO INTERIOR BANO]]=BB$2,100%,AVANCE[[#This Row],[REVESTIMIENTO INTERIOR BANO]])</f>
        <v>0</v>
      </c>
      <c r="CP206" s="3">
        <f>+IF(AVANCE[[#This Row],[MUEBLE LAVAPLATOS]]=BC$2,100%,AVANCE[[#This Row],[MUEBLE LAVAPLATOS]])</f>
        <v>0</v>
      </c>
      <c r="CQ206" s="3">
        <f>+IF(AVANCE[[#This Row],[IMPERMEABILIZACION BANO - COCINA LOGIA]]=BD$2,100%,AVANCE[[#This Row],[IMPERMEABILIZACION BANO - COCINA LOGIA]])</f>
        <v>0</v>
      </c>
      <c r="CR206" s="40">
        <f ca="1">+IF(AVANCE[[#This Row],[ESTADO MODULO]]="PENDIENTE",(TODAY()-AVANCE[[#This Row],[FECHA TERMINO  PLANIFICADO]]),0)</f>
        <v>0</v>
      </c>
      <c r="CS206" s="42" t="str" cm="1">
        <f t="array" ref="CS206">_xlfn.TEXTJOIN(" | ",TRUE,IF(SUMPRODUCT((BF206:CQ206&lt;1)*(PARTIDAS!$I$2:$AT$2="OBRA GRUESA"))&gt;0,"OBRA GRUESA: "&amp;_xlfn.TEXTJOIN(", ",TRUE,IF((BF206:CQ206&lt;1)*(PARTIDAS!$I$2:$AT$2="OBRA GRUESA"),PARTIDAS!$I$1:$AT$1,"")),""),IF(SUMPRODUCT((BF206:CQ206&lt;1)*(PARTIDAS!$I$2:$AT$2="SANITARIOS"))&gt;0,"SANITARIOS: "&amp;_xlfn.TEXTJOIN(", ",TRUE,IF((BF206:CQ206&lt;1)*(PARTIDAS!$I$2:$AT$2="SANITARIOS"),PARTIDAS!$I$1:$AT$1,"")),""),IF(SUMPRODUCT((BF206:CQ206&lt;1)*(PARTIDAS!$I$2:$AT$2="ELÉCTRICO"))&gt;0,"ELÉCTRICO: "&amp;_xlfn.TEXTJOIN(", ",TRUE,IF((BF206:CQ206&lt;1)*(PARTIDAS!$I$2:$AT$2="ELÉCTRICO"),PARTIDAS!$I$1:$AT$1,"")),""),IF(SUMPRODUCT((BF206:CQ206&lt;1)*(PARTIDAS!$I$2:$AT$2="TERMINACIONES"))&gt;0,"TERMINACIONES: "&amp;_xlfn.TEXTJOIN(", ",TRUE,IF((BF206:CQ206&lt;1)*(PARTIDAS!$I$2:$AT$2="TERMINACIONES"),PARTIDAS!$I$1:$AT$1,"")),""))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6" s="45" t="str" cm="1">
        <f t="array" ref="CT206">_xlfn.TEXTJOIN(", ",TRUE,IF(SUMPRODUCT((BF206:CQ206&lt;1)*(PARTIDAS!$I$2:$AT$2="OBRA GRUESA"))&gt;0,"OBRA GRUESA",""),IF(SUMPRODUCT((BF206:CQ206&lt;1)*(PARTIDAS!$I$2:$AT$2="SANITARIOS"))&gt;0,"SANITARIOS",""),IF(SUMPRODUCT((BF206:CQ206&lt;1)*(PARTIDAS!$I$2:$AT$2="ELÉCTRICO"))&gt;0,"ELÉCTRICO",""),IF(SUMPRODUCT((BF206:CQ206&lt;1)*(PARTIDAS!$I$2:$AT$2="TERMINACIONES"))&gt;0,"TERMINACIONES",""))</f>
        <v>OBRA GRUESA, SANITARIOS, ELÉCTRICO, TERMINACIONES</v>
      </c>
      <c r="CU206" s="46" cm="1">
        <f t="array" ref="CU206">SUMPRODUCT(--(BF206:CQ206&lt;1))</f>
        <v>38</v>
      </c>
    </row>
    <row r="207" spans="1:99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46181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 t="str">
        <f>+IF(AVANCE[[#This Row],[% AVANCE]]=100%,"MODULO TERMINADO",IF(AVANCE[[#This Row],[FECHA INICIO REAL]]="","MODULO NO INICIADO","PENDIENTE"))</f>
        <v>MODULO NO INICIADO</v>
      </c>
      <c r="BF207" s="3">
        <f>+IF(AVANCE[[#This Row],[VENTANAS]]=8.10810810810811%,100%,AVANCE[[#This Row],[VENTANAS]])</f>
        <v>0</v>
      </c>
      <c r="BG207" s="3">
        <f>+IF(AVANCE[[#This Row],[PISO]]=N$2,100%,AVANCE[[#This Row],[PISO]])</f>
        <v>0</v>
      </c>
      <c r="BH207" s="3">
        <f>+IF(AVANCE[[#This Row],[TABIQUES]]=O$2,100%,AVANCE[[#This Row],[TABIQUES]])</f>
        <v>0</v>
      </c>
      <c r="BI207" s="3">
        <f>+IF(AVANCE[[#This Row],[MUROS]]=P$2,100%,AVANCE[[#This Row],[MUROS]])</f>
        <v>0</v>
      </c>
      <c r="BJ207" s="3">
        <f>+IF(AVANCE[[#This Row],[CIELO]]=Q$2,100%,AVANCE[[#This Row],[CIELO]])</f>
        <v>0</v>
      </c>
      <c r="BK207" s="3">
        <f>+IF(AVANCE[[#This Row],[BALCÓN]]=R$2,100%,AVANCE[[#This Row],[BALCÓN]])</f>
        <v>0</v>
      </c>
      <c r="BL207" s="3">
        <f>+IF(AVANCE[[#This Row],[RED ALCANTARILLADO]]=U$2,100%,AVANCE[[#This Row],[RED ALCANTARILLADO]])</f>
        <v>0</v>
      </c>
      <c r="BM207" s="3">
        <f>+IF(AVANCE[[#This Row],[RED DE AGUA]]=V$2,100%,AVANCE[[#This Row],[RED DE AGUA]])</f>
        <v>0</v>
      </c>
      <c r="BN207" s="3">
        <f>+IF(AVANCE[[#This Row],[VENTILACIONES]]=W$2,100%,AVANCE[[#This Row],[VENTILACIONES]])</f>
        <v>0</v>
      </c>
      <c r="BO207" s="3">
        <f>+IF(AVANCE[[#This Row],[TINA]]=X$2,100%,AVANCE[[#This Row],[TINA]])</f>
        <v>0</v>
      </c>
      <c r="BP207" s="3">
        <f>+IF(AVANCE[[#This Row],[WC]]=Y$2,100%,AVANCE[[#This Row],[WC]])</f>
        <v>0</v>
      </c>
      <c r="BQ207" s="3">
        <f>+IF(AVANCE[[#This Row],[LAVAMANOS / LAVAPLATOS / LAVADERO]]=Z$2,100%,AVANCE[[#This Row],[LAVAMANOS / LAVAPLATOS / LAVADERO]])</f>
        <v>0</v>
      </c>
      <c r="BR207" s="3">
        <f>+IF(AVANCE[[#This Row],[CANALIZACIÓN]]=AC$2,100%,AVANCE[[#This Row],[CANALIZACIÓN]])</f>
        <v>0</v>
      </c>
      <c r="BS207" s="3">
        <f>+IF(AVANCE[[#This Row],[CABLEADO]]=AD$2,100%,AVANCE[[#This Row],[CABLEADO]])</f>
        <v>0</v>
      </c>
      <c r="BT207" s="3">
        <f>+IF(AVANCE[[#This Row],[ARTEFACTOS]]=AE$2,100%,AVANCE[[#This Row],[ARTEFACTOS]])</f>
        <v>0</v>
      </c>
      <c r="BU207" s="3">
        <f>+IF(AVANCE[[#This Row],[TABLERO]]=AF$2,100%,AVANCE[[#This Row],[TABLERO]])</f>
        <v>0</v>
      </c>
      <c r="BV207" s="3">
        <f>+IF(AVANCE[[#This Row],[CAJA PAU]]=AG$2,100%,AVANCE[[#This Row],[CAJA PAU]])</f>
        <v>0</v>
      </c>
      <c r="BW207" s="3">
        <f>+IF(AVANCE[[#This Row],[INSTALACION VINILICO]]=AJ$2,100%,AVANCE[[#This Row],[INSTALACION VINILICO]])</f>
        <v>0</v>
      </c>
      <c r="BX207" s="3">
        <f>+IF(AVANCE[[#This Row],[OSB CUBIERTA]]=AK$2,100%,AVANCE[[#This Row],[OSB CUBIERTA]])</f>
        <v>0</v>
      </c>
      <c r="BY207" s="3">
        <f>+IF(AVANCE[[#This Row],[BARANDA BALCON]]=AL$2,100%,AVANCE[[#This Row],[BARANDA BALCON]])</f>
        <v>0</v>
      </c>
      <c r="BZ207" s="3">
        <f>+IF(AVANCE[[#This Row],[OSB EXTERIOR]]=AM$2,100%,AVANCE[[#This Row],[OSB EXTERIOR]])</f>
        <v>0</v>
      </c>
      <c r="CA207" s="3">
        <f>+IF(AVANCE[[#This Row],[SMART PANEL]]=AN$2,100%,AVANCE[[#This Row],[SMART PANEL]])</f>
        <v>0</v>
      </c>
      <c r="CB207" s="3">
        <f>+IF(AVANCE[[#This Row],[PINTURA EXTERIOR]]=AO$2,100%,AVANCE[[#This Row],[PINTURA EXTERIOR]])</f>
        <v>0</v>
      </c>
      <c r="CC207" s="3">
        <f>+IF(AVANCE[[#This Row],[ZOCALOS LOGIA]]=AP$2,100%,AVANCE[[#This Row],[ZOCALOS LOGIA]])</f>
        <v>0</v>
      </c>
      <c r="CD207" s="3">
        <f>+IF(AVANCE[[#This Row],[MOLDURAS]]=AQ$2,100%,AVANCE[[#This Row],[MOLDURAS]])</f>
        <v>0</v>
      </c>
      <c r="CE207" s="3">
        <f>+IF(AVANCE[[#This Row],[PILASTREO]]=AR$2,100%,AVANCE[[#This Row],[PILASTREO]])</f>
        <v>0</v>
      </c>
      <c r="CF207" s="3">
        <f>+IF(AVANCE[[#This Row],[CELOSIAS]]=AS$2,100%,AVANCE[[#This Row],[CELOSIAS]])</f>
        <v>0</v>
      </c>
      <c r="CG207" s="3">
        <f>+IF(AVANCE[[#This Row],[VENTANAS]]=AT$2,100%,AVANCE[[#This Row],[VENTANAS]])</f>
        <v>0</v>
      </c>
      <c r="CH207" s="3">
        <f>+IF(AVANCE[[#This Row],[PUERTAS ACCESO - LOGIA - BANO]]=AU$2,100%,AVANCE[[#This Row],[PUERTAS ACCESO - LOGIA - BANO]])</f>
        <v>0</v>
      </c>
      <c r="CI207" s="3">
        <f>+IF(AVANCE[[#This Row],[CERRADURAS]]=AV$2,100%,AVANCE[[#This Row],[CERRADURAS]])</f>
        <v>0</v>
      </c>
      <c r="CJ207" s="3">
        <f>+IF(AVANCE[[#This Row],[REVESTIMIENTO INTERIOR ZONA SECA]]=AW$2,100%,AVANCE[[#This Row],[REVESTIMIENTO INTERIOR ZONA SECA]])</f>
        <v>0</v>
      </c>
      <c r="CK207" s="3">
        <f>+IF(AVANCE[[#This Row],[REVESTIMIENTO INTERIOR ZONAS HUMEDAS]]=AX$2,100%,AVANCE[[#This Row],[REVESTIMIENTO INTERIOR ZONAS HUMEDAS]])</f>
        <v>0</v>
      </c>
      <c r="CL207" s="3">
        <f>+IF(AVANCE[[#This Row],[MEMBRANA CIELO]]=AY$2,100%,AVANCE[[#This Row],[MEMBRANA CIELO]])</f>
        <v>0</v>
      </c>
      <c r="CM207" s="3">
        <f>+IF(AVANCE[[#This Row],[LIMPIEZA FINAL]]=AZ$2,100%,AVANCE[[#This Row],[LIMPIEZA FINAL]])</f>
        <v>0</v>
      </c>
      <c r="CN207" s="3">
        <f>+IF(AVANCE[[#This Row],[PUERTAS DORMITORIO]]=BA$2,100%,AVANCE[[#This Row],[PUERTAS DORMITORIO]])</f>
        <v>0</v>
      </c>
      <c r="CO207" s="3">
        <f>+IF(AVANCE[[#This Row],[REVESTIMIENTO INTERIOR BANO]]=BB$2,100%,AVANCE[[#This Row],[REVESTIMIENTO INTERIOR BANO]])</f>
        <v>0</v>
      </c>
      <c r="CP207" s="3">
        <f>+IF(AVANCE[[#This Row],[MUEBLE LAVAPLATOS]]=BC$2,100%,AVANCE[[#This Row],[MUEBLE LAVAPLATOS]])</f>
        <v>0</v>
      </c>
      <c r="CQ207" s="3">
        <f>+IF(AVANCE[[#This Row],[IMPERMEABILIZACION BANO - COCINA LOGIA]]=BD$2,100%,AVANCE[[#This Row],[IMPERMEABILIZACION BANO - COCINA LOGIA]])</f>
        <v>0</v>
      </c>
      <c r="CR207" s="40">
        <f ca="1">+IF(AVANCE[[#This Row],[ESTADO MODULO]]="PENDIENTE",(TODAY()-AVANCE[[#This Row],[FECHA TERMINO  PLANIFICADO]]),0)</f>
        <v>0</v>
      </c>
      <c r="CS207" s="42" t="str" cm="1">
        <f t="array" ref="CS207">_xlfn.TEXTJOIN(" | ",TRUE,IF(SUMPRODUCT((BF207:CQ207&lt;1)*(PARTIDAS!$I$2:$AT$2="OBRA GRUESA"))&gt;0,"OBRA GRUESA: "&amp;_xlfn.TEXTJOIN(", ",TRUE,IF((BF207:CQ207&lt;1)*(PARTIDAS!$I$2:$AT$2="OBRA GRUESA"),PARTIDAS!$I$1:$AT$1,"")),""),IF(SUMPRODUCT((BF207:CQ207&lt;1)*(PARTIDAS!$I$2:$AT$2="SANITARIOS"))&gt;0,"SANITARIOS: "&amp;_xlfn.TEXTJOIN(", ",TRUE,IF((BF207:CQ207&lt;1)*(PARTIDAS!$I$2:$AT$2="SANITARIOS"),PARTIDAS!$I$1:$AT$1,"")),""),IF(SUMPRODUCT((BF207:CQ207&lt;1)*(PARTIDAS!$I$2:$AT$2="ELÉCTRICO"))&gt;0,"ELÉCTRICO: "&amp;_xlfn.TEXTJOIN(", ",TRUE,IF((BF207:CQ207&lt;1)*(PARTIDAS!$I$2:$AT$2="ELÉCTRICO"),PARTIDAS!$I$1:$AT$1,"")),""),IF(SUMPRODUCT((BF207:CQ207&lt;1)*(PARTIDAS!$I$2:$AT$2="TERMINACIONES"))&gt;0,"TERMINACIONES: "&amp;_xlfn.TEXTJOIN(", ",TRUE,IF((BF207:CQ207&lt;1)*(PARTIDAS!$I$2:$AT$2="TERMINACIONES"),PARTIDAS!$I$1:$AT$1,"")),""))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7" s="45" t="str" cm="1">
        <f t="array" ref="CT207">_xlfn.TEXTJOIN(", ",TRUE,IF(SUMPRODUCT((BF207:CQ207&lt;1)*(PARTIDAS!$I$2:$AT$2="OBRA GRUESA"))&gt;0,"OBRA GRUESA",""),IF(SUMPRODUCT((BF207:CQ207&lt;1)*(PARTIDAS!$I$2:$AT$2="SANITARIOS"))&gt;0,"SANITARIOS",""),IF(SUMPRODUCT((BF207:CQ207&lt;1)*(PARTIDAS!$I$2:$AT$2="ELÉCTRICO"))&gt;0,"ELÉCTRICO",""),IF(SUMPRODUCT((BF207:CQ207&lt;1)*(PARTIDAS!$I$2:$AT$2="TERMINACIONES"))&gt;0,"TERMINACIONES",""))</f>
        <v>OBRA GRUESA, SANITARIOS, ELÉCTRICO, TERMINACIONES</v>
      </c>
      <c r="CU207" s="46" cm="1">
        <f t="array" ref="CU207">SUMPRODUCT(--(BF207:CQ207&lt;1))</f>
        <v>38</v>
      </c>
    </row>
    <row r="208" spans="1:99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46181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 t="str">
        <f>+IF(AVANCE[[#This Row],[% AVANCE]]=100%,"MODULO TERMINADO",IF(AVANCE[[#This Row],[FECHA INICIO REAL]]="","MODULO NO INICIADO","PENDIENTE"))</f>
        <v>MODULO NO INICIADO</v>
      </c>
      <c r="BF208" s="3">
        <f>+IF(AVANCE[[#This Row],[VENTANAS]]=8.10810810810811%,100%,AVANCE[[#This Row],[VENTANAS]])</f>
        <v>0</v>
      </c>
      <c r="BG208" s="3">
        <f>+IF(AVANCE[[#This Row],[PISO]]=N$2,100%,AVANCE[[#This Row],[PISO]])</f>
        <v>0</v>
      </c>
      <c r="BH208" s="3">
        <f>+IF(AVANCE[[#This Row],[TABIQUES]]=O$2,100%,AVANCE[[#This Row],[TABIQUES]])</f>
        <v>0</v>
      </c>
      <c r="BI208" s="3">
        <f>+IF(AVANCE[[#This Row],[MUROS]]=P$2,100%,AVANCE[[#This Row],[MUROS]])</f>
        <v>0</v>
      </c>
      <c r="BJ208" s="3">
        <f>+IF(AVANCE[[#This Row],[CIELO]]=Q$2,100%,AVANCE[[#This Row],[CIELO]])</f>
        <v>0</v>
      </c>
      <c r="BK208" s="3">
        <f>+IF(AVANCE[[#This Row],[BALCÓN]]=R$2,100%,AVANCE[[#This Row],[BALCÓN]])</f>
        <v>0</v>
      </c>
      <c r="BL208" s="3">
        <f>+IF(AVANCE[[#This Row],[RED ALCANTARILLADO]]=U$2,100%,AVANCE[[#This Row],[RED ALCANTARILLADO]])</f>
        <v>0</v>
      </c>
      <c r="BM208" s="3">
        <f>+IF(AVANCE[[#This Row],[RED DE AGUA]]=V$2,100%,AVANCE[[#This Row],[RED DE AGUA]])</f>
        <v>0</v>
      </c>
      <c r="BN208" s="3">
        <f>+IF(AVANCE[[#This Row],[VENTILACIONES]]=W$2,100%,AVANCE[[#This Row],[VENTILACIONES]])</f>
        <v>0</v>
      </c>
      <c r="BO208" s="3">
        <f>+IF(AVANCE[[#This Row],[TINA]]=X$2,100%,AVANCE[[#This Row],[TINA]])</f>
        <v>0</v>
      </c>
      <c r="BP208" s="3">
        <f>+IF(AVANCE[[#This Row],[WC]]=Y$2,100%,AVANCE[[#This Row],[WC]])</f>
        <v>0</v>
      </c>
      <c r="BQ208" s="3">
        <f>+IF(AVANCE[[#This Row],[LAVAMANOS / LAVAPLATOS / LAVADERO]]=Z$2,100%,AVANCE[[#This Row],[LAVAMANOS / LAVAPLATOS / LAVADERO]])</f>
        <v>0</v>
      </c>
      <c r="BR208" s="3">
        <f>+IF(AVANCE[[#This Row],[CANALIZACIÓN]]=AC$2,100%,AVANCE[[#This Row],[CANALIZACIÓN]])</f>
        <v>0</v>
      </c>
      <c r="BS208" s="3">
        <f>+IF(AVANCE[[#This Row],[CABLEADO]]=AD$2,100%,AVANCE[[#This Row],[CABLEADO]])</f>
        <v>0</v>
      </c>
      <c r="BT208" s="3">
        <f>+IF(AVANCE[[#This Row],[ARTEFACTOS]]=AE$2,100%,AVANCE[[#This Row],[ARTEFACTOS]])</f>
        <v>0</v>
      </c>
      <c r="BU208" s="3">
        <f>+IF(AVANCE[[#This Row],[TABLERO]]=AF$2,100%,AVANCE[[#This Row],[TABLERO]])</f>
        <v>0</v>
      </c>
      <c r="BV208" s="3">
        <f>+IF(AVANCE[[#This Row],[CAJA PAU]]=AG$2,100%,AVANCE[[#This Row],[CAJA PAU]])</f>
        <v>0</v>
      </c>
      <c r="BW208" s="3">
        <f>+IF(AVANCE[[#This Row],[INSTALACION VINILICO]]=AJ$2,100%,AVANCE[[#This Row],[INSTALACION VINILICO]])</f>
        <v>0</v>
      </c>
      <c r="BX208" s="3">
        <f>+IF(AVANCE[[#This Row],[OSB CUBIERTA]]=AK$2,100%,AVANCE[[#This Row],[OSB CUBIERTA]])</f>
        <v>0</v>
      </c>
      <c r="BY208" s="3">
        <f>+IF(AVANCE[[#This Row],[BARANDA BALCON]]=AL$2,100%,AVANCE[[#This Row],[BARANDA BALCON]])</f>
        <v>0</v>
      </c>
      <c r="BZ208" s="3">
        <f>+IF(AVANCE[[#This Row],[OSB EXTERIOR]]=AM$2,100%,AVANCE[[#This Row],[OSB EXTERIOR]])</f>
        <v>0</v>
      </c>
      <c r="CA208" s="3">
        <f>+IF(AVANCE[[#This Row],[SMART PANEL]]=AN$2,100%,AVANCE[[#This Row],[SMART PANEL]])</f>
        <v>0</v>
      </c>
      <c r="CB208" s="3">
        <f>+IF(AVANCE[[#This Row],[PINTURA EXTERIOR]]=AO$2,100%,AVANCE[[#This Row],[PINTURA EXTERIOR]])</f>
        <v>0</v>
      </c>
      <c r="CC208" s="3">
        <f>+IF(AVANCE[[#This Row],[ZOCALOS LOGIA]]=AP$2,100%,AVANCE[[#This Row],[ZOCALOS LOGIA]])</f>
        <v>0</v>
      </c>
      <c r="CD208" s="3">
        <f>+IF(AVANCE[[#This Row],[MOLDURAS]]=AQ$2,100%,AVANCE[[#This Row],[MOLDURAS]])</f>
        <v>0</v>
      </c>
      <c r="CE208" s="3">
        <f>+IF(AVANCE[[#This Row],[PILASTREO]]=AR$2,100%,AVANCE[[#This Row],[PILASTREO]])</f>
        <v>0</v>
      </c>
      <c r="CF208" s="3">
        <f>+IF(AVANCE[[#This Row],[CELOSIAS]]=AS$2,100%,AVANCE[[#This Row],[CELOSIAS]])</f>
        <v>0</v>
      </c>
      <c r="CG208" s="3">
        <f>+IF(AVANCE[[#This Row],[VENTANAS]]=AT$2,100%,AVANCE[[#This Row],[VENTANAS]])</f>
        <v>0</v>
      </c>
      <c r="CH208" s="3">
        <f>+IF(AVANCE[[#This Row],[PUERTAS ACCESO - LOGIA - BANO]]=AU$2,100%,AVANCE[[#This Row],[PUERTAS ACCESO - LOGIA - BANO]])</f>
        <v>0</v>
      </c>
      <c r="CI208" s="3">
        <f>+IF(AVANCE[[#This Row],[CERRADURAS]]=AV$2,100%,AVANCE[[#This Row],[CERRADURAS]])</f>
        <v>0</v>
      </c>
      <c r="CJ208" s="3">
        <f>+IF(AVANCE[[#This Row],[REVESTIMIENTO INTERIOR ZONA SECA]]=AW$2,100%,AVANCE[[#This Row],[REVESTIMIENTO INTERIOR ZONA SECA]])</f>
        <v>0</v>
      </c>
      <c r="CK208" s="3">
        <f>+IF(AVANCE[[#This Row],[REVESTIMIENTO INTERIOR ZONAS HUMEDAS]]=AX$2,100%,AVANCE[[#This Row],[REVESTIMIENTO INTERIOR ZONAS HUMEDAS]])</f>
        <v>0</v>
      </c>
      <c r="CL208" s="3">
        <f>+IF(AVANCE[[#This Row],[MEMBRANA CIELO]]=AY$2,100%,AVANCE[[#This Row],[MEMBRANA CIELO]])</f>
        <v>0</v>
      </c>
      <c r="CM208" s="3">
        <f>+IF(AVANCE[[#This Row],[LIMPIEZA FINAL]]=AZ$2,100%,AVANCE[[#This Row],[LIMPIEZA FINAL]])</f>
        <v>0</v>
      </c>
      <c r="CN208" s="3">
        <f>+IF(AVANCE[[#This Row],[PUERTAS DORMITORIO]]=BA$2,100%,AVANCE[[#This Row],[PUERTAS DORMITORIO]])</f>
        <v>0</v>
      </c>
      <c r="CO208" s="3">
        <f>+IF(AVANCE[[#This Row],[REVESTIMIENTO INTERIOR BANO]]=BB$2,100%,AVANCE[[#This Row],[REVESTIMIENTO INTERIOR BANO]])</f>
        <v>0</v>
      </c>
      <c r="CP208" s="3">
        <f>+IF(AVANCE[[#This Row],[MUEBLE LAVAPLATOS]]=BC$2,100%,AVANCE[[#This Row],[MUEBLE LAVAPLATOS]])</f>
        <v>0</v>
      </c>
      <c r="CQ208" s="3">
        <f>+IF(AVANCE[[#This Row],[IMPERMEABILIZACION BANO - COCINA LOGIA]]=BD$2,100%,AVANCE[[#This Row],[IMPERMEABILIZACION BANO - COCINA LOGIA]])</f>
        <v>0</v>
      </c>
      <c r="CR208" s="40">
        <f ca="1">+IF(AVANCE[[#This Row],[ESTADO MODULO]]="PENDIENTE",(TODAY()-AVANCE[[#This Row],[FECHA TERMINO  PLANIFICADO]]),0)</f>
        <v>0</v>
      </c>
      <c r="CS208" s="42" t="str" cm="1">
        <f t="array" ref="CS208">_xlfn.TEXTJOIN(" | ",TRUE,IF(SUMPRODUCT((BF208:CQ208&lt;1)*(PARTIDAS!$I$2:$AT$2="OBRA GRUESA"))&gt;0,"OBRA GRUESA: "&amp;_xlfn.TEXTJOIN(", ",TRUE,IF((BF208:CQ208&lt;1)*(PARTIDAS!$I$2:$AT$2="OBRA GRUESA"),PARTIDAS!$I$1:$AT$1,"")),""),IF(SUMPRODUCT((BF208:CQ208&lt;1)*(PARTIDAS!$I$2:$AT$2="SANITARIOS"))&gt;0,"SANITARIOS: "&amp;_xlfn.TEXTJOIN(", ",TRUE,IF((BF208:CQ208&lt;1)*(PARTIDAS!$I$2:$AT$2="SANITARIOS"),PARTIDAS!$I$1:$AT$1,"")),""),IF(SUMPRODUCT((BF208:CQ208&lt;1)*(PARTIDAS!$I$2:$AT$2="ELÉCTRICO"))&gt;0,"ELÉCTRICO: "&amp;_xlfn.TEXTJOIN(", ",TRUE,IF((BF208:CQ208&lt;1)*(PARTIDAS!$I$2:$AT$2="ELÉCTRICO"),PARTIDAS!$I$1:$AT$1,"")),""),IF(SUMPRODUCT((BF208:CQ208&lt;1)*(PARTIDAS!$I$2:$AT$2="TERMINACIONES"))&gt;0,"TERMINACIONES: "&amp;_xlfn.TEXTJOIN(", ",TRUE,IF((BF208:CQ208&lt;1)*(PARTIDAS!$I$2:$AT$2="TERMINACIONES"),PARTIDAS!$I$1:$AT$1,"")),""))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8" s="45" t="str" cm="1">
        <f t="array" ref="CT208">_xlfn.TEXTJOIN(", ",TRUE,IF(SUMPRODUCT((BF208:CQ208&lt;1)*(PARTIDAS!$I$2:$AT$2="OBRA GRUESA"))&gt;0,"OBRA GRUESA",""),IF(SUMPRODUCT((BF208:CQ208&lt;1)*(PARTIDAS!$I$2:$AT$2="SANITARIOS"))&gt;0,"SANITARIOS",""),IF(SUMPRODUCT((BF208:CQ208&lt;1)*(PARTIDAS!$I$2:$AT$2="ELÉCTRICO"))&gt;0,"ELÉCTRICO",""),IF(SUMPRODUCT((BF208:CQ208&lt;1)*(PARTIDAS!$I$2:$AT$2="TERMINACIONES"))&gt;0,"TERMINACIONES",""))</f>
        <v>OBRA GRUESA, SANITARIOS, ELÉCTRICO, TERMINACIONES</v>
      </c>
      <c r="CU208" s="46" cm="1">
        <f t="array" ref="CU208">SUMPRODUCT(--(BF208:CQ208&lt;1))</f>
        <v>38</v>
      </c>
    </row>
    <row r="209" spans="1:99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46181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 t="str">
        <f>+IF(AVANCE[[#This Row],[% AVANCE]]=100%,"MODULO TERMINADO",IF(AVANCE[[#This Row],[FECHA INICIO REAL]]="","MODULO NO INICIADO","PENDIENTE"))</f>
        <v>MODULO NO INICIADO</v>
      </c>
      <c r="BF209" s="3">
        <f>+IF(AVANCE[[#This Row],[VENTANAS]]=8.10810810810811%,100%,AVANCE[[#This Row],[VENTANAS]])</f>
        <v>0</v>
      </c>
      <c r="BG209" s="3">
        <f>+IF(AVANCE[[#This Row],[PISO]]=N$2,100%,AVANCE[[#This Row],[PISO]])</f>
        <v>0</v>
      </c>
      <c r="BH209" s="3">
        <f>+IF(AVANCE[[#This Row],[TABIQUES]]=O$2,100%,AVANCE[[#This Row],[TABIQUES]])</f>
        <v>0</v>
      </c>
      <c r="BI209" s="3">
        <f>+IF(AVANCE[[#This Row],[MUROS]]=P$2,100%,AVANCE[[#This Row],[MUROS]])</f>
        <v>0</v>
      </c>
      <c r="BJ209" s="3">
        <f>+IF(AVANCE[[#This Row],[CIELO]]=Q$2,100%,AVANCE[[#This Row],[CIELO]])</f>
        <v>0</v>
      </c>
      <c r="BK209" s="3">
        <f>+IF(AVANCE[[#This Row],[BALCÓN]]=R$2,100%,AVANCE[[#This Row],[BALCÓN]])</f>
        <v>0</v>
      </c>
      <c r="BL209" s="3">
        <f>+IF(AVANCE[[#This Row],[RED ALCANTARILLADO]]=U$2,100%,AVANCE[[#This Row],[RED ALCANTARILLADO]])</f>
        <v>0</v>
      </c>
      <c r="BM209" s="3">
        <f>+IF(AVANCE[[#This Row],[RED DE AGUA]]=V$2,100%,AVANCE[[#This Row],[RED DE AGUA]])</f>
        <v>0</v>
      </c>
      <c r="BN209" s="3">
        <f>+IF(AVANCE[[#This Row],[VENTILACIONES]]=W$2,100%,AVANCE[[#This Row],[VENTILACIONES]])</f>
        <v>0</v>
      </c>
      <c r="BO209" s="3">
        <f>+IF(AVANCE[[#This Row],[TINA]]=X$2,100%,AVANCE[[#This Row],[TINA]])</f>
        <v>0</v>
      </c>
      <c r="BP209" s="3">
        <f>+IF(AVANCE[[#This Row],[WC]]=Y$2,100%,AVANCE[[#This Row],[WC]])</f>
        <v>0</v>
      </c>
      <c r="BQ209" s="3">
        <f>+IF(AVANCE[[#This Row],[LAVAMANOS / LAVAPLATOS / LAVADERO]]=Z$2,100%,AVANCE[[#This Row],[LAVAMANOS / LAVAPLATOS / LAVADERO]])</f>
        <v>0</v>
      </c>
      <c r="BR209" s="3">
        <f>+IF(AVANCE[[#This Row],[CANALIZACIÓN]]=AC$2,100%,AVANCE[[#This Row],[CANALIZACIÓN]])</f>
        <v>0</v>
      </c>
      <c r="BS209" s="3">
        <f>+IF(AVANCE[[#This Row],[CABLEADO]]=AD$2,100%,AVANCE[[#This Row],[CABLEADO]])</f>
        <v>0</v>
      </c>
      <c r="BT209" s="3">
        <f>+IF(AVANCE[[#This Row],[ARTEFACTOS]]=AE$2,100%,AVANCE[[#This Row],[ARTEFACTOS]])</f>
        <v>0</v>
      </c>
      <c r="BU209" s="3">
        <f>+IF(AVANCE[[#This Row],[TABLERO]]=AF$2,100%,AVANCE[[#This Row],[TABLERO]])</f>
        <v>0</v>
      </c>
      <c r="BV209" s="3">
        <f>+IF(AVANCE[[#This Row],[CAJA PAU]]=AG$2,100%,AVANCE[[#This Row],[CAJA PAU]])</f>
        <v>0</v>
      </c>
      <c r="BW209" s="3">
        <f>+IF(AVANCE[[#This Row],[INSTALACION VINILICO]]=AJ$2,100%,AVANCE[[#This Row],[INSTALACION VINILICO]])</f>
        <v>0</v>
      </c>
      <c r="BX209" s="3">
        <f>+IF(AVANCE[[#This Row],[OSB CUBIERTA]]=AK$2,100%,AVANCE[[#This Row],[OSB CUBIERTA]])</f>
        <v>0</v>
      </c>
      <c r="BY209" s="3">
        <f>+IF(AVANCE[[#This Row],[BARANDA BALCON]]=AL$2,100%,AVANCE[[#This Row],[BARANDA BALCON]])</f>
        <v>0</v>
      </c>
      <c r="BZ209" s="3">
        <f>+IF(AVANCE[[#This Row],[OSB EXTERIOR]]=AM$2,100%,AVANCE[[#This Row],[OSB EXTERIOR]])</f>
        <v>0</v>
      </c>
      <c r="CA209" s="3">
        <f>+IF(AVANCE[[#This Row],[SMART PANEL]]=AN$2,100%,AVANCE[[#This Row],[SMART PANEL]])</f>
        <v>0</v>
      </c>
      <c r="CB209" s="3">
        <f>+IF(AVANCE[[#This Row],[PINTURA EXTERIOR]]=AO$2,100%,AVANCE[[#This Row],[PINTURA EXTERIOR]])</f>
        <v>0</v>
      </c>
      <c r="CC209" s="3">
        <f>+IF(AVANCE[[#This Row],[ZOCALOS LOGIA]]=AP$2,100%,AVANCE[[#This Row],[ZOCALOS LOGIA]])</f>
        <v>0</v>
      </c>
      <c r="CD209" s="3">
        <f>+IF(AVANCE[[#This Row],[MOLDURAS]]=AQ$2,100%,AVANCE[[#This Row],[MOLDURAS]])</f>
        <v>0</v>
      </c>
      <c r="CE209" s="3">
        <f>+IF(AVANCE[[#This Row],[PILASTREO]]=AR$2,100%,AVANCE[[#This Row],[PILASTREO]])</f>
        <v>0</v>
      </c>
      <c r="CF209" s="3">
        <f>+IF(AVANCE[[#This Row],[CELOSIAS]]=AS$2,100%,AVANCE[[#This Row],[CELOSIAS]])</f>
        <v>0</v>
      </c>
      <c r="CG209" s="3">
        <f>+IF(AVANCE[[#This Row],[VENTANAS]]=AT$2,100%,AVANCE[[#This Row],[VENTANAS]])</f>
        <v>0</v>
      </c>
      <c r="CH209" s="3">
        <f>+IF(AVANCE[[#This Row],[PUERTAS ACCESO - LOGIA - BANO]]=AU$2,100%,AVANCE[[#This Row],[PUERTAS ACCESO - LOGIA - BANO]])</f>
        <v>0</v>
      </c>
      <c r="CI209" s="3">
        <f>+IF(AVANCE[[#This Row],[CERRADURAS]]=AV$2,100%,AVANCE[[#This Row],[CERRADURAS]])</f>
        <v>0</v>
      </c>
      <c r="CJ209" s="3">
        <f>+IF(AVANCE[[#This Row],[REVESTIMIENTO INTERIOR ZONA SECA]]=AW$2,100%,AVANCE[[#This Row],[REVESTIMIENTO INTERIOR ZONA SECA]])</f>
        <v>0</v>
      </c>
      <c r="CK209" s="3">
        <f>+IF(AVANCE[[#This Row],[REVESTIMIENTO INTERIOR ZONAS HUMEDAS]]=AX$2,100%,AVANCE[[#This Row],[REVESTIMIENTO INTERIOR ZONAS HUMEDAS]])</f>
        <v>0</v>
      </c>
      <c r="CL209" s="3">
        <f>+IF(AVANCE[[#This Row],[MEMBRANA CIELO]]=AY$2,100%,AVANCE[[#This Row],[MEMBRANA CIELO]])</f>
        <v>0</v>
      </c>
      <c r="CM209" s="3">
        <f>+IF(AVANCE[[#This Row],[LIMPIEZA FINAL]]=AZ$2,100%,AVANCE[[#This Row],[LIMPIEZA FINAL]])</f>
        <v>0</v>
      </c>
      <c r="CN209" s="3">
        <f>+IF(AVANCE[[#This Row],[PUERTAS DORMITORIO]]=BA$2,100%,AVANCE[[#This Row],[PUERTAS DORMITORIO]])</f>
        <v>0</v>
      </c>
      <c r="CO209" s="3">
        <f>+IF(AVANCE[[#This Row],[REVESTIMIENTO INTERIOR BANO]]=BB$2,100%,AVANCE[[#This Row],[REVESTIMIENTO INTERIOR BANO]])</f>
        <v>0</v>
      </c>
      <c r="CP209" s="3">
        <f>+IF(AVANCE[[#This Row],[MUEBLE LAVAPLATOS]]=BC$2,100%,AVANCE[[#This Row],[MUEBLE LAVAPLATOS]])</f>
        <v>0</v>
      </c>
      <c r="CQ209" s="3">
        <f>+IF(AVANCE[[#This Row],[IMPERMEABILIZACION BANO - COCINA LOGIA]]=BD$2,100%,AVANCE[[#This Row],[IMPERMEABILIZACION BANO - COCINA LOGIA]])</f>
        <v>0</v>
      </c>
      <c r="CR209" s="40">
        <f ca="1">+IF(AVANCE[[#This Row],[ESTADO MODULO]]="PENDIENTE",(TODAY()-AVANCE[[#This Row],[FECHA TERMINO  PLANIFICADO]]),0)</f>
        <v>0</v>
      </c>
      <c r="CS209" s="42" t="str" cm="1">
        <f t="array" ref="CS209">_xlfn.TEXTJOIN(" | ",TRUE,IF(SUMPRODUCT((BF209:CQ209&lt;1)*(PARTIDAS!$I$2:$AT$2="OBRA GRUESA"))&gt;0,"OBRA GRUESA: "&amp;_xlfn.TEXTJOIN(", ",TRUE,IF((BF209:CQ209&lt;1)*(PARTIDAS!$I$2:$AT$2="OBRA GRUESA"),PARTIDAS!$I$1:$AT$1,"")),""),IF(SUMPRODUCT((BF209:CQ209&lt;1)*(PARTIDAS!$I$2:$AT$2="SANITARIOS"))&gt;0,"SANITARIOS: "&amp;_xlfn.TEXTJOIN(", ",TRUE,IF((BF209:CQ209&lt;1)*(PARTIDAS!$I$2:$AT$2="SANITARIOS"),PARTIDAS!$I$1:$AT$1,"")),""),IF(SUMPRODUCT((BF209:CQ209&lt;1)*(PARTIDAS!$I$2:$AT$2="ELÉCTRICO"))&gt;0,"ELÉCTRICO: "&amp;_xlfn.TEXTJOIN(", ",TRUE,IF((BF209:CQ209&lt;1)*(PARTIDAS!$I$2:$AT$2="ELÉCTRICO"),PARTIDAS!$I$1:$AT$1,"")),""),IF(SUMPRODUCT((BF209:CQ209&lt;1)*(PARTIDAS!$I$2:$AT$2="TERMINACIONES"))&gt;0,"TERMINACIONES: "&amp;_xlfn.TEXTJOIN(", ",TRUE,IF((BF209:CQ209&lt;1)*(PARTIDAS!$I$2:$AT$2="TERMINACIONES"),PARTIDAS!$I$1:$AT$1,"")),""))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09" s="45" t="str" cm="1">
        <f t="array" ref="CT209">_xlfn.TEXTJOIN(", ",TRUE,IF(SUMPRODUCT((BF209:CQ209&lt;1)*(PARTIDAS!$I$2:$AT$2="OBRA GRUESA"))&gt;0,"OBRA GRUESA",""),IF(SUMPRODUCT((BF209:CQ209&lt;1)*(PARTIDAS!$I$2:$AT$2="SANITARIOS"))&gt;0,"SANITARIOS",""),IF(SUMPRODUCT((BF209:CQ209&lt;1)*(PARTIDAS!$I$2:$AT$2="ELÉCTRICO"))&gt;0,"ELÉCTRICO",""),IF(SUMPRODUCT((BF209:CQ209&lt;1)*(PARTIDAS!$I$2:$AT$2="TERMINACIONES"))&gt;0,"TERMINACIONES",""))</f>
        <v>OBRA GRUESA, SANITARIOS, ELÉCTRICO, TERMINACIONES</v>
      </c>
      <c r="CU209" s="46" cm="1">
        <f t="array" ref="CU209">SUMPRODUCT(--(BF209:CQ209&lt;1))</f>
        <v>38</v>
      </c>
    </row>
    <row r="210" spans="1:99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46181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 t="str">
        <f>+IF(AVANCE[[#This Row],[% AVANCE]]=100%,"MODULO TERMINADO",IF(AVANCE[[#This Row],[FECHA INICIO REAL]]="","MODULO NO INICIADO","PENDIENTE"))</f>
        <v>MODULO NO INICIADO</v>
      </c>
      <c r="BF210" s="3">
        <f>+IF(AVANCE[[#This Row],[VENTANAS]]=8.10810810810811%,100%,AVANCE[[#This Row],[VENTANAS]])</f>
        <v>0</v>
      </c>
      <c r="BG210" s="3">
        <f>+IF(AVANCE[[#This Row],[PISO]]=N$2,100%,AVANCE[[#This Row],[PISO]])</f>
        <v>0</v>
      </c>
      <c r="BH210" s="3">
        <f>+IF(AVANCE[[#This Row],[TABIQUES]]=O$2,100%,AVANCE[[#This Row],[TABIQUES]])</f>
        <v>0</v>
      </c>
      <c r="BI210" s="3">
        <f>+IF(AVANCE[[#This Row],[MUROS]]=P$2,100%,AVANCE[[#This Row],[MUROS]])</f>
        <v>0</v>
      </c>
      <c r="BJ210" s="3">
        <f>+IF(AVANCE[[#This Row],[CIELO]]=Q$2,100%,AVANCE[[#This Row],[CIELO]])</f>
        <v>0</v>
      </c>
      <c r="BK210" s="3">
        <f>+IF(AVANCE[[#This Row],[BALCÓN]]=R$2,100%,AVANCE[[#This Row],[BALCÓN]])</f>
        <v>0</v>
      </c>
      <c r="BL210" s="3">
        <f>+IF(AVANCE[[#This Row],[RED ALCANTARILLADO]]=U$2,100%,AVANCE[[#This Row],[RED ALCANTARILLADO]])</f>
        <v>0</v>
      </c>
      <c r="BM210" s="3">
        <f>+IF(AVANCE[[#This Row],[RED DE AGUA]]=V$2,100%,AVANCE[[#This Row],[RED DE AGUA]])</f>
        <v>0</v>
      </c>
      <c r="BN210" s="3">
        <f>+IF(AVANCE[[#This Row],[VENTILACIONES]]=W$2,100%,AVANCE[[#This Row],[VENTILACIONES]])</f>
        <v>0</v>
      </c>
      <c r="BO210" s="3">
        <f>+IF(AVANCE[[#This Row],[TINA]]=X$2,100%,AVANCE[[#This Row],[TINA]])</f>
        <v>0</v>
      </c>
      <c r="BP210" s="3">
        <f>+IF(AVANCE[[#This Row],[WC]]=Y$2,100%,AVANCE[[#This Row],[WC]])</f>
        <v>0</v>
      </c>
      <c r="BQ210" s="3">
        <f>+IF(AVANCE[[#This Row],[LAVAMANOS / LAVAPLATOS / LAVADERO]]=Z$2,100%,AVANCE[[#This Row],[LAVAMANOS / LAVAPLATOS / LAVADERO]])</f>
        <v>0</v>
      </c>
      <c r="BR210" s="3">
        <f>+IF(AVANCE[[#This Row],[CANALIZACIÓN]]=AC$2,100%,AVANCE[[#This Row],[CANALIZACIÓN]])</f>
        <v>0</v>
      </c>
      <c r="BS210" s="3">
        <f>+IF(AVANCE[[#This Row],[CABLEADO]]=AD$2,100%,AVANCE[[#This Row],[CABLEADO]])</f>
        <v>0</v>
      </c>
      <c r="BT210" s="3">
        <f>+IF(AVANCE[[#This Row],[ARTEFACTOS]]=AE$2,100%,AVANCE[[#This Row],[ARTEFACTOS]])</f>
        <v>0</v>
      </c>
      <c r="BU210" s="3">
        <f>+IF(AVANCE[[#This Row],[TABLERO]]=AF$2,100%,AVANCE[[#This Row],[TABLERO]])</f>
        <v>0</v>
      </c>
      <c r="BV210" s="3">
        <f>+IF(AVANCE[[#This Row],[CAJA PAU]]=AG$2,100%,AVANCE[[#This Row],[CAJA PAU]])</f>
        <v>0</v>
      </c>
      <c r="BW210" s="3">
        <f>+IF(AVANCE[[#This Row],[INSTALACION VINILICO]]=AJ$2,100%,AVANCE[[#This Row],[INSTALACION VINILICO]])</f>
        <v>0</v>
      </c>
      <c r="BX210" s="3">
        <f>+IF(AVANCE[[#This Row],[OSB CUBIERTA]]=AK$2,100%,AVANCE[[#This Row],[OSB CUBIERTA]])</f>
        <v>0</v>
      </c>
      <c r="BY210" s="3">
        <f>+IF(AVANCE[[#This Row],[BARANDA BALCON]]=AL$2,100%,AVANCE[[#This Row],[BARANDA BALCON]])</f>
        <v>0</v>
      </c>
      <c r="BZ210" s="3">
        <f>+IF(AVANCE[[#This Row],[OSB EXTERIOR]]=AM$2,100%,AVANCE[[#This Row],[OSB EXTERIOR]])</f>
        <v>0</v>
      </c>
      <c r="CA210" s="3">
        <f>+IF(AVANCE[[#This Row],[SMART PANEL]]=AN$2,100%,AVANCE[[#This Row],[SMART PANEL]])</f>
        <v>0</v>
      </c>
      <c r="CB210" s="3">
        <f>+IF(AVANCE[[#This Row],[PINTURA EXTERIOR]]=AO$2,100%,AVANCE[[#This Row],[PINTURA EXTERIOR]])</f>
        <v>0</v>
      </c>
      <c r="CC210" s="3">
        <f>+IF(AVANCE[[#This Row],[ZOCALOS LOGIA]]=AP$2,100%,AVANCE[[#This Row],[ZOCALOS LOGIA]])</f>
        <v>0</v>
      </c>
      <c r="CD210" s="3">
        <f>+IF(AVANCE[[#This Row],[MOLDURAS]]=AQ$2,100%,AVANCE[[#This Row],[MOLDURAS]])</f>
        <v>0</v>
      </c>
      <c r="CE210" s="3">
        <f>+IF(AVANCE[[#This Row],[PILASTREO]]=AR$2,100%,AVANCE[[#This Row],[PILASTREO]])</f>
        <v>0</v>
      </c>
      <c r="CF210" s="3">
        <f>+IF(AVANCE[[#This Row],[CELOSIAS]]=AS$2,100%,AVANCE[[#This Row],[CELOSIAS]])</f>
        <v>0</v>
      </c>
      <c r="CG210" s="3">
        <f>+IF(AVANCE[[#This Row],[VENTANAS]]=AT$2,100%,AVANCE[[#This Row],[VENTANAS]])</f>
        <v>0</v>
      </c>
      <c r="CH210" s="3">
        <f>+IF(AVANCE[[#This Row],[PUERTAS ACCESO - LOGIA - BANO]]=AU$2,100%,AVANCE[[#This Row],[PUERTAS ACCESO - LOGIA - BANO]])</f>
        <v>0</v>
      </c>
      <c r="CI210" s="3">
        <f>+IF(AVANCE[[#This Row],[CERRADURAS]]=AV$2,100%,AVANCE[[#This Row],[CERRADURAS]])</f>
        <v>0</v>
      </c>
      <c r="CJ210" s="3">
        <f>+IF(AVANCE[[#This Row],[REVESTIMIENTO INTERIOR ZONA SECA]]=AW$2,100%,AVANCE[[#This Row],[REVESTIMIENTO INTERIOR ZONA SECA]])</f>
        <v>0</v>
      </c>
      <c r="CK210" s="3">
        <f>+IF(AVANCE[[#This Row],[REVESTIMIENTO INTERIOR ZONAS HUMEDAS]]=AX$2,100%,AVANCE[[#This Row],[REVESTIMIENTO INTERIOR ZONAS HUMEDAS]])</f>
        <v>0</v>
      </c>
      <c r="CL210" s="3">
        <f>+IF(AVANCE[[#This Row],[MEMBRANA CIELO]]=AY$2,100%,AVANCE[[#This Row],[MEMBRANA CIELO]])</f>
        <v>0</v>
      </c>
      <c r="CM210" s="3">
        <f>+IF(AVANCE[[#This Row],[LIMPIEZA FINAL]]=AZ$2,100%,AVANCE[[#This Row],[LIMPIEZA FINAL]])</f>
        <v>0</v>
      </c>
      <c r="CN210" s="3">
        <f>+IF(AVANCE[[#This Row],[PUERTAS DORMITORIO]]=BA$2,100%,AVANCE[[#This Row],[PUERTAS DORMITORIO]])</f>
        <v>0</v>
      </c>
      <c r="CO210" s="3">
        <f>+IF(AVANCE[[#This Row],[REVESTIMIENTO INTERIOR BANO]]=BB$2,100%,AVANCE[[#This Row],[REVESTIMIENTO INTERIOR BANO]])</f>
        <v>0</v>
      </c>
      <c r="CP210" s="3">
        <f>+IF(AVANCE[[#This Row],[MUEBLE LAVAPLATOS]]=BC$2,100%,AVANCE[[#This Row],[MUEBLE LAVAPLATOS]])</f>
        <v>0</v>
      </c>
      <c r="CQ210" s="3">
        <f>+IF(AVANCE[[#This Row],[IMPERMEABILIZACION BANO - COCINA LOGIA]]=BD$2,100%,AVANCE[[#This Row],[IMPERMEABILIZACION BANO - COCINA LOGIA]])</f>
        <v>0</v>
      </c>
      <c r="CR210" s="40">
        <f ca="1">+IF(AVANCE[[#This Row],[ESTADO MODULO]]="PENDIENTE",(TODAY()-AVANCE[[#This Row],[FECHA TERMINO  PLANIFICADO]]),0)</f>
        <v>0</v>
      </c>
      <c r="CS210" s="42" t="str" cm="1">
        <f t="array" ref="CS210">_xlfn.TEXTJOIN(" | ",TRUE,IF(SUMPRODUCT((BF210:CQ210&lt;1)*(PARTIDAS!$I$2:$AT$2="OBRA GRUESA"))&gt;0,"OBRA GRUESA: "&amp;_xlfn.TEXTJOIN(", ",TRUE,IF((BF210:CQ210&lt;1)*(PARTIDAS!$I$2:$AT$2="OBRA GRUESA"),PARTIDAS!$I$1:$AT$1,"")),""),IF(SUMPRODUCT((BF210:CQ210&lt;1)*(PARTIDAS!$I$2:$AT$2="SANITARIOS"))&gt;0,"SANITARIOS: "&amp;_xlfn.TEXTJOIN(", ",TRUE,IF((BF210:CQ210&lt;1)*(PARTIDAS!$I$2:$AT$2="SANITARIOS"),PARTIDAS!$I$1:$AT$1,"")),""),IF(SUMPRODUCT((BF210:CQ210&lt;1)*(PARTIDAS!$I$2:$AT$2="ELÉCTRICO"))&gt;0,"ELÉCTRICO: "&amp;_xlfn.TEXTJOIN(", ",TRUE,IF((BF210:CQ210&lt;1)*(PARTIDAS!$I$2:$AT$2="ELÉCTRICO"),PARTIDAS!$I$1:$AT$1,"")),""),IF(SUMPRODUCT((BF210:CQ210&lt;1)*(PARTIDAS!$I$2:$AT$2="TERMINACIONES"))&gt;0,"TERMINACIONES: "&amp;_xlfn.TEXTJOIN(", ",TRUE,IF((BF210:CQ210&lt;1)*(PARTIDAS!$I$2:$AT$2="TERMINACIONES"),PARTIDAS!$I$1:$AT$1,"")),""))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0" s="45" t="str" cm="1">
        <f t="array" ref="CT210">_xlfn.TEXTJOIN(", ",TRUE,IF(SUMPRODUCT((BF210:CQ210&lt;1)*(PARTIDAS!$I$2:$AT$2="OBRA GRUESA"))&gt;0,"OBRA GRUESA",""),IF(SUMPRODUCT((BF210:CQ210&lt;1)*(PARTIDAS!$I$2:$AT$2="SANITARIOS"))&gt;0,"SANITARIOS",""),IF(SUMPRODUCT((BF210:CQ210&lt;1)*(PARTIDAS!$I$2:$AT$2="ELÉCTRICO"))&gt;0,"ELÉCTRICO",""),IF(SUMPRODUCT((BF210:CQ210&lt;1)*(PARTIDAS!$I$2:$AT$2="TERMINACIONES"))&gt;0,"TERMINACIONES",""))</f>
        <v>OBRA GRUESA, SANITARIOS, ELÉCTRICO, TERMINACIONES</v>
      </c>
      <c r="CU210" s="46" cm="1">
        <f t="array" ref="CU210">SUMPRODUCT(--(BF210:CQ210&lt;1))</f>
        <v>38</v>
      </c>
    </row>
    <row r="211" spans="1:99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46181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 t="str">
        <f>+IF(AVANCE[[#This Row],[% AVANCE]]=100%,"MODULO TERMINADO",IF(AVANCE[[#This Row],[FECHA INICIO REAL]]="","MODULO NO INICIADO","PENDIENTE"))</f>
        <v>MODULO NO INICIADO</v>
      </c>
      <c r="BF211" s="3">
        <f>+IF(AVANCE[[#This Row],[VENTANAS]]=8.10810810810811%,100%,AVANCE[[#This Row],[VENTANAS]])</f>
        <v>0</v>
      </c>
      <c r="BG211" s="3">
        <f>+IF(AVANCE[[#This Row],[PISO]]=N$2,100%,AVANCE[[#This Row],[PISO]])</f>
        <v>0</v>
      </c>
      <c r="BH211" s="3">
        <f>+IF(AVANCE[[#This Row],[TABIQUES]]=O$2,100%,AVANCE[[#This Row],[TABIQUES]])</f>
        <v>0</v>
      </c>
      <c r="BI211" s="3">
        <f>+IF(AVANCE[[#This Row],[MUROS]]=P$2,100%,AVANCE[[#This Row],[MUROS]])</f>
        <v>0</v>
      </c>
      <c r="BJ211" s="3">
        <f>+IF(AVANCE[[#This Row],[CIELO]]=Q$2,100%,AVANCE[[#This Row],[CIELO]])</f>
        <v>0</v>
      </c>
      <c r="BK211" s="3">
        <f>+IF(AVANCE[[#This Row],[BALCÓN]]=R$2,100%,AVANCE[[#This Row],[BALCÓN]])</f>
        <v>0</v>
      </c>
      <c r="BL211" s="3">
        <f>+IF(AVANCE[[#This Row],[RED ALCANTARILLADO]]=U$2,100%,AVANCE[[#This Row],[RED ALCANTARILLADO]])</f>
        <v>0</v>
      </c>
      <c r="BM211" s="3">
        <f>+IF(AVANCE[[#This Row],[RED DE AGUA]]=V$2,100%,AVANCE[[#This Row],[RED DE AGUA]])</f>
        <v>0</v>
      </c>
      <c r="BN211" s="3">
        <f>+IF(AVANCE[[#This Row],[VENTILACIONES]]=W$2,100%,AVANCE[[#This Row],[VENTILACIONES]])</f>
        <v>0</v>
      </c>
      <c r="BO211" s="3">
        <f>+IF(AVANCE[[#This Row],[TINA]]=X$2,100%,AVANCE[[#This Row],[TINA]])</f>
        <v>0</v>
      </c>
      <c r="BP211" s="3">
        <f>+IF(AVANCE[[#This Row],[WC]]=Y$2,100%,AVANCE[[#This Row],[WC]])</f>
        <v>0</v>
      </c>
      <c r="BQ211" s="3">
        <f>+IF(AVANCE[[#This Row],[LAVAMANOS / LAVAPLATOS / LAVADERO]]=Z$2,100%,AVANCE[[#This Row],[LAVAMANOS / LAVAPLATOS / LAVADERO]])</f>
        <v>0</v>
      </c>
      <c r="BR211" s="3">
        <f>+IF(AVANCE[[#This Row],[CANALIZACIÓN]]=AC$2,100%,AVANCE[[#This Row],[CANALIZACIÓN]])</f>
        <v>0</v>
      </c>
      <c r="BS211" s="3">
        <f>+IF(AVANCE[[#This Row],[CABLEADO]]=AD$2,100%,AVANCE[[#This Row],[CABLEADO]])</f>
        <v>0</v>
      </c>
      <c r="BT211" s="3">
        <f>+IF(AVANCE[[#This Row],[ARTEFACTOS]]=AE$2,100%,AVANCE[[#This Row],[ARTEFACTOS]])</f>
        <v>0</v>
      </c>
      <c r="BU211" s="3">
        <f>+IF(AVANCE[[#This Row],[TABLERO]]=AF$2,100%,AVANCE[[#This Row],[TABLERO]])</f>
        <v>0</v>
      </c>
      <c r="BV211" s="3">
        <f>+IF(AVANCE[[#This Row],[CAJA PAU]]=AG$2,100%,AVANCE[[#This Row],[CAJA PAU]])</f>
        <v>0</v>
      </c>
      <c r="BW211" s="3">
        <f>+IF(AVANCE[[#This Row],[INSTALACION VINILICO]]=AJ$2,100%,AVANCE[[#This Row],[INSTALACION VINILICO]])</f>
        <v>0</v>
      </c>
      <c r="BX211" s="3">
        <f>+IF(AVANCE[[#This Row],[OSB CUBIERTA]]=AK$2,100%,AVANCE[[#This Row],[OSB CUBIERTA]])</f>
        <v>0</v>
      </c>
      <c r="BY211" s="3">
        <f>+IF(AVANCE[[#This Row],[BARANDA BALCON]]=AL$2,100%,AVANCE[[#This Row],[BARANDA BALCON]])</f>
        <v>0</v>
      </c>
      <c r="BZ211" s="3">
        <f>+IF(AVANCE[[#This Row],[OSB EXTERIOR]]=AM$2,100%,AVANCE[[#This Row],[OSB EXTERIOR]])</f>
        <v>0</v>
      </c>
      <c r="CA211" s="3">
        <f>+IF(AVANCE[[#This Row],[SMART PANEL]]=AN$2,100%,AVANCE[[#This Row],[SMART PANEL]])</f>
        <v>0</v>
      </c>
      <c r="CB211" s="3">
        <f>+IF(AVANCE[[#This Row],[PINTURA EXTERIOR]]=AO$2,100%,AVANCE[[#This Row],[PINTURA EXTERIOR]])</f>
        <v>0</v>
      </c>
      <c r="CC211" s="3">
        <f>+IF(AVANCE[[#This Row],[ZOCALOS LOGIA]]=AP$2,100%,AVANCE[[#This Row],[ZOCALOS LOGIA]])</f>
        <v>0</v>
      </c>
      <c r="CD211" s="3">
        <f>+IF(AVANCE[[#This Row],[MOLDURAS]]=AQ$2,100%,AVANCE[[#This Row],[MOLDURAS]])</f>
        <v>0</v>
      </c>
      <c r="CE211" s="3">
        <f>+IF(AVANCE[[#This Row],[PILASTREO]]=AR$2,100%,AVANCE[[#This Row],[PILASTREO]])</f>
        <v>0</v>
      </c>
      <c r="CF211" s="3">
        <f>+IF(AVANCE[[#This Row],[CELOSIAS]]=AS$2,100%,AVANCE[[#This Row],[CELOSIAS]])</f>
        <v>0</v>
      </c>
      <c r="CG211" s="3">
        <f>+IF(AVANCE[[#This Row],[VENTANAS]]=AT$2,100%,AVANCE[[#This Row],[VENTANAS]])</f>
        <v>0</v>
      </c>
      <c r="CH211" s="3">
        <f>+IF(AVANCE[[#This Row],[PUERTAS ACCESO - LOGIA - BANO]]=AU$2,100%,AVANCE[[#This Row],[PUERTAS ACCESO - LOGIA - BANO]])</f>
        <v>0</v>
      </c>
      <c r="CI211" s="3">
        <f>+IF(AVANCE[[#This Row],[CERRADURAS]]=AV$2,100%,AVANCE[[#This Row],[CERRADURAS]])</f>
        <v>0</v>
      </c>
      <c r="CJ211" s="3">
        <f>+IF(AVANCE[[#This Row],[REVESTIMIENTO INTERIOR ZONA SECA]]=AW$2,100%,AVANCE[[#This Row],[REVESTIMIENTO INTERIOR ZONA SECA]])</f>
        <v>0</v>
      </c>
      <c r="CK211" s="3">
        <f>+IF(AVANCE[[#This Row],[REVESTIMIENTO INTERIOR ZONAS HUMEDAS]]=AX$2,100%,AVANCE[[#This Row],[REVESTIMIENTO INTERIOR ZONAS HUMEDAS]])</f>
        <v>0</v>
      </c>
      <c r="CL211" s="3">
        <f>+IF(AVANCE[[#This Row],[MEMBRANA CIELO]]=AY$2,100%,AVANCE[[#This Row],[MEMBRANA CIELO]])</f>
        <v>0</v>
      </c>
      <c r="CM211" s="3">
        <f>+IF(AVANCE[[#This Row],[LIMPIEZA FINAL]]=AZ$2,100%,AVANCE[[#This Row],[LIMPIEZA FINAL]])</f>
        <v>0</v>
      </c>
      <c r="CN211" s="3">
        <f>+IF(AVANCE[[#This Row],[PUERTAS DORMITORIO]]=BA$2,100%,AVANCE[[#This Row],[PUERTAS DORMITORIO]])</f>
        <v>0</v>
      </c>
      <c r="CO211" s="3">
        <f>+IF(AVANCE[[#This Row],[REVESTIMIENTO INTERIOR BANO]]=BB$2,100%,AVANCE[[#This Row],[REVESTIMIENTO INTERIOR BANO]])</f>
        <v>0</v>
      </c>
      <c r="CP211" s="3">
        <f>+IF(AVANCE[[#This Row],[MUEBLE LAVAPLATOS]]=BC$2,100%,AVANCE[[#This Row],[MUEBLE LAVAPLATOS]])</f>
        <v>0</v>
      </c>
      <c r="CQ211" s="3">
        <f>+IF(AVANCE[[#This Row],[IMPERMEABILIZACION BANO - COCINA LOGIA]]=BD$2,100%,AVANCE[[#This Row],[IMPERMEABILIZACION BANO - COCINA LOGIA]])</f>
        <v>0</v>
      </c>
      <c r="CR211" s="40">
        <f ca="1">+IF(AVANCE[[#This Row],[ESTADO MODULO]]="PENDIENTE",(TODAY()-AVANCE[[#This Row],[FECHA TERMINO  PLANIFICADO]]),0)</f>
        <v>0</v>
      </c>
      <c r="CS211" s="42" t="str" cm="1">
        <f t="array" ref="CS211">_xlfn.TEXTJOIN(" | ",TRUE,IF(SUMPRODUCT((BF211:CQ211&lt;1)*(PARTIDAS!$I$2:$AT$2="OBRA GRUESA"))&gt;0,"OBRA GRUESA: "&amp;_xlfn.TEXTJOIN(", ",TRUE,IF((BF211:CQ211&lt;1)*(PARTIDAS!$I$2:$AT$2="OBRA GRUESA"),PARTIDAS!$I$1:$AT$1,"")),""),IF(SUMPRODUCT((BF211:CQ211&lt;1)*(PARTIDAS!$I$2:$AT$2="SANITARIOS"))&gt;0,"SANITARIOS: "&amp;_xlfn.TEXTJOIN(", ",TRUE,IF((BF211:CQ211&lt;1)*(PARTIDAS!$I$2:$AT$2="SANITARIOS"),PARTIDAS!$I$1:$AT$1,"")),""),IF(SUMPRODUCT((BF211:CQ211&lt;1)*(PARTIDAS!$I$2:$AT$2="ELÉCTRICO"))&gt;0,"ELÉCTRICO: "&amp;_xlfn.TEXTJOIN(", ",TRUE,IF((BF211:CQ211&lt;1)*(PARTIDAS!$I$2:$AT$2="ELÉCTRICO"),PARTIDAS!$I$1:$AT$1,"")),""),IF(SUMPRODUCT((BF211:CQ211&lt;1)*(PARTIDAS!$I$2:$AT$2="TERMINACIONES"))&gt;0,"TERMINACIONES: "&amp;_xlfn.TEXTJOIN(", ",TRUE,IF((BF211:CQ211&lt;1)*(PARTIDAS!$I$2:$AT$2="TERMINACIONES"),PARTIDAS!$I$1:$AT$1,"")),""))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1" s="45" t="str" cm="1">
        <f t="array" ref="CT211">_xlfn.TEXTJOIN(", ",TRUE,IF(SUMPRODUCT((BF211:CQ211&lt;1)*(PARTIDAS!$I$2:$AT$2="OBRA GRUESA"))&gt;0,"OBRA GRUESA",""),IF(SUMPRODUCT((BF211:CQ211&lt;1)*(PARTIDAS!$I$2:$AT$2="SANITARIOS"))&gt;0,"SANITARIOS",""),IF(SUMPRODUCT((BF211:CQ211&lt;1)*(PARTIDAS!$I$2:$AT$2="ELÉCTRICO"))&gt;0,"ELÉCTRICO",""),IF(SUMPRODUCT((BF211:CQ211&lt;1)*(PARTIDAS!$I$2:$AT$2="TERMINACIONES"))&gt;0,"TERMINACIONES",""))</f>
        <v>OBRA GRUESA, SANITARIOS, ELÉCTRICO, TERMINACIONES</v>
      </c>
      <c r="CU211" s="46" cm="1">
        <f t="array" ref="CU211">SUMPRODUCT(--(BF211:CQ211&lt;1))</f>
        <v>38</v>
      </c>
    </row>
    <row r="212" spans="1:99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46181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 t="str">
        <f>+IF(AVANCE[[#This Row],[% AVANCE]]=100%,"MODULO TERMINADO",IF(AVANCE[[#This Row],[FECHA INICIO REAL]]="","MODULO NO INICIADO","PENDIENTE"))</f>
        <v>MODULO NO INICIADO</v>
      </c>
      <c r="BF212" s="3">
        <f>+IF(AVANCE[[#This Row],[VENTANAS]]=8.10810810810811%,100%,AVANCE[[#This Row],[VENTANAS]])</f>
        <v>0</v>
      </c>
      <c r="BG212" s="3">
        <f>+IF(AVANCE[[#This Row],[PISO]]=N$2,100%,AVANCE[[#This Row],[PISO]])</f>
        <v>0</v>
      </c>
      <c r="BH212" s="3">
        <f>+IF(AVANCE[[#This Row],[TABIQUES]]=O$2,100%,AVANCE[[#This Row],[TABIQUES]])</f>
        <v>0</v>
      </c>
      <c r="BI212" s="3">
        <f>+IF(AVANCE[[#This Row],[MUROS]]=P$2,100%,AVANCE[[#This Row],[MUROS]])</f>
        <v>0</v>
      </c>
      <c r="BJ212" s="3">
        <f>+IF(AVANCE[[#This Row],[CIELO]]=Q$2,100%,AVANCE[[#This Row],[CIELO]])</f>
        <v>0</v>
      </c>
      <c r="BK212" s="3">
        <f>+IF(AVANCE[[#This Row],[BALCÓN]]=R$2,100%,AVANCE[[#This Row],[BALCÓN]])</f>
        <v>0</v>
      </c>
      <c r="BL212" s="3">
        <f>+IF(AVANCE[[#This Row],[RED ALCANTARILLADO]]=U$2,100%,AVANCE[[#This Row],[RED ALCANTARILLADO]])</f>
        <v>0</v>
      </c>
      <c r="BM212" s="3">
        <f>+IF(AVANCE[[#This Row],[RED DE AGUA]]=V$2,100%,AVANCE[[#This Row],[RED DE AGUA]])</f>
        <v>0</v>
      </c>
      <c r="BN212" s="3">
        <f>+IF(AVANCE[[#This Row],[VENTILACIONES]]=W$2,100%,AVANCE[[#This Row],[VENTILACIONES]])</f>
        <v>0</v>
      </c>
      <c r="BO212" s="3">
        <f>+IF(AVANCE[[#This Row],[TINA]]=X$2,100%,AVANCE[[#This Row],[TINA]])</f>
        <v>0</v>
      </c>
      <c r="BP212" s="3">
        <f>+IF(AVANCE[[#This Row],[WC]]=Y$2,100%,AVANCE[[#This Row],[WC]])</f>
        <v>0</v>
      </c>
      <c r="BQ212" s="3">
        <f>+IF(AVANCE[[#This Row],[LAVAMANOS / LAVAPLATOS / LAVADERO]]=Z$2,100%,AVANCE[[#This Row],[LAVAMANOS / LAVAPLATOS / LAVADERO]])</f>
        <v>0</v>
      </c>
      <c r="BR212" s="3">
        <f>+IF(AVANCE[[#This Row],[CANALIZACIÓN]]=AC$2,100%,AVANCE[[#This Row],[CANALIZACIÓN]])</f>
        <v>0</v>
      </c>
      <c r="BS212" s="3">
        <f>+IF(AVANCE[[#This Row],[CABLEADO]]=AD$2,100%,AVANCE[[#This Row],[CABLEADO]])</f>
        <v>0</v>
      </c>
      <c r="BT212" s="3">
        <f>+IF(AVANCE[[#This Row],[ARTEFACTOS]]=AE$2,100%,AVANCE[[#This Row],[ARTEFACTOS]])</f>
        <v>0</v>
      </c>
      <c r="BU212" s="3">
        <f>+IF(AVANCE[[#This Row],[TABLERO]]=AF$2,100%,AVANCE[[#This Row],[TABLERO]])</f>
        <v>0</v>
      </c>
      <c r="BV212" s="3">
        <f>+IF(AVANCE[[#This Row],[CAJA PAU]]=AG$2,100%,AVANCE[[#This Row],[CAJA PAU]])</f>
        <v>0</v>
      </c>
      <c r="BW212" s="3">
        <f>+IF(AVANCE[[#This Row],[INSTALACION VINILICO]]=AJ$2,100%,AVANCE[[#This Row],[INSTALACION VINILICO]])</f>
        <v>0</v>
      </c>
      <c r="BX212" s="3">
        <f>+IF(AVANCE[[#This Row],[OSB CUBIERTA]]=AK$2,100%,AVANCE[[#This Row],[OSB CUBIERTA]])</f>
        <v>0</v>
      </c>
      <c r="BY212" s="3">
        <f>+IF(AVANCE[[#This Row],[BARANDA BALCON]]=AL$2,100%,AVANCE[[#This Row],[BARANDA BALCON]])</f>
        <v>0</v>
      </c>
      <c r="BZ212" s="3">
        <f>+IF(AVANCE[[#This Row],[OSB EXTERIOR]]=AM$2,100%,AVANCE[[#This Row],[OSB EXTERIOR]])</f>
        <v>0</v>
      </c>
      <c r="CA212" s="3">
        <f>+IF(AVANCE[[#This Row],[SMART PANEL]]=AN$2,100%,AVANCE[[#This Row],[SMART PANEL]])</f>
        <v>0</v>
      </c>
      <c r="CB212" s="3">
        <f>+IF(AVANCE[[#This Row],[PINTURA EXTERIOR]]=AO$2,100%,AVANCE[[#This Row],[PINTURA EXTERIOR]])</f>
        <v>0</v>
      </c>
      <c r="CC212" s="3">
        <f>+IF(AVANCE[[#This Row],[ZOCALOS LOGIA]]=AP$2,100%,AVANCE[[#This Row],[ZOCALOS LOGIA]])</f>
        <v>0</v>
      </c>
      <c r="CD212" s="3">
        <f>+IF(AVANCE[[#This Row],[MOLDURAS]]=AQ$2,100%,AVANCE[[#This Row],[MOLDURAS]])</f>
        <v>0</v>
      </c>
      <c r="CE212" s="3">
        <f>+IF(AVANCE[[#This Row],[PILASTREO]]=AR$2,100%,AVANCE[[#This Row],[PILASTREO]])</f>
        <v>0</v>
      </c>
      <c r="CF212" s="3">
        <f>+IF(AVANCE[[#This Row],[CELOSIAS]]=AS$2,100%,AVANCE[[#This Row],[CELOSIAS]])</f>
        <v>0</v>
      </c>
      <c r="CG212" s="3">
        <f>+IF(AVANCE[[#This Row],[VENTANAS]]=AT$2,100%,AVANCE[[#This Row],[VENTANAS]])</f>
        <v>0</v>
      </c>
      <c r="CH212" s="3">
        <f>+IF(AVANCE[[#This Row],[PUERTAS ACCESO - LOGIA - BANO]]=AU$2,100%,AVANCE[[#This Row],[PUERTAS ACCESO - LOGIA - BANO]])</f>
        <v>0</v>
      </c>
      <c r="CI212" s="3">
        <f>+IF(AVANCE[[#This Row],[CERRADURAS]]=AV$2,100%,AVANCE[[#This Row],[CERRADURAS]])</f>
        <v>0</v>
      </c>
      <c r="CJ212" s="3">
        <f>+IF(AVANCE[[#This Row],[REVESTIMIENTO INTERIOR ZONA SECA]]=AW$2,100%,AVANCE[[#This Row],[REVESTIMIENTO INTERIOR ZONA SECA]])</f>
        <v>0</v>
      </c>
      <c r="CK212" s="3">
        <f>+IF(AVANCE[[#This Row],[REVESTIMIENTO INTERIOR ZONAS HUMEDAS]]=AX$2,100%,AVANCE[[#This Row],[REVESTIMIENTO INTERIOR ZONAS HUMEDAS]])</f>
        <v>0</v>
      </c>
      <c r="CL212" s="3">
        <f>+IF(AVANCE[[#This Row],[MEMBRANA CIELO]]=AY$2,100%,AVANCE[[#This Row],[MEMBRANA CIELO]])</f>
        <v>0</v>
      </c>
      <c r="CM212" s="3">
        <f>+IF(AVANCE[[#This Row],[LIMPIEZA FINAL]]=AZ$2,100%,AVANCE[[#This Row],[LIMPIEZA FINAL]])</f>
        <v>0</v>
      </c>
      <c r="CN212" s="3">
        <f>+IF(AVANCE[[#This Row],[PUERTAS DORMITORIO]]=BA$2,100%,AVANCE[[#This Row],[PUERTAS DORMITORIO]])</f>
        <v>0</v>
      </c>
      <c r="CO212" s="3">
        <f>+IF(AVANCE[[#This Row],[REVESTIMIENTO INTERIOR BANO]]=BB$2,100%,AVANCE[[#This Row],[REVESTIMIENTO INTERIOR BANO]])</f>
        <v>0</v>
      </c>
      <c r="CP212" s="3">
        <f>+IF(AVANCE[[#This Row],[MUEBLE LAVAPLATOS]]=BC$2,100%,AVANCE[[#This Row],[MUEBLE LAVAPLATOS]])</f>
        <v>0</v>
      </c>
      <c r="CQ212" s="3">
        <f>+IF(AVANCE[[#This Row],[IMPERMEABILIZACION BANO - COCINA LOGIA]]=BD$2,100%,AVANCE[[#This Row],[IMPERMEABILIZACION BANO - COCINA LOGIA]])</f>
        <v>0</v>
      </c>
      <c r="CR212" s="40">
        <f ca="1">+IF(AVANCE[[#This Row],[ESTADO MODULO]]="PENDIENTE",(TODAY()-AVANCE[[#This Row],[FECHA TERMINO  PLANIFICADO]]),0)</f>
        <v>0</v>
      </c>
      <c r="CS212" s="42" t="str" cm="1">
        <f t="array" ref="CS212">_xlfn.TEXTJOIN(" | ",TRUE,IF(SUMPRODUCT((BF212:CQ212&lt;1)*(PARTIDAS!$I$2:$AT$2="OBRA GRUESA"))&gt;0,"OBRA GRUESA: "&amp;_xlfn.TEXTJOIN(", ",TRUE,IF((BF212:CQ212&lt;1)*(PARTIDAS!$I$2:$AT$2="OBRA GRUESA"),PARTIDAS!$I$1:$AT$1,"")),""),IF(SUMPRODUCT((BF212:CQ212&lt;1)*(PARTIDAS!$I$2:$AT$2="SANITARIOS"))&gt;0,"SANITARIOS: "&amp;_xlfn.TEXTJOIN(", ",TRUE,IF((BF212:CQ212&lt;1)*(PARTIDAS!$I$2:$AT$2="SANITARIOS"),PARTIDAS!$I$1:$AT$1,"")),""),IF(SUMPRODUCT((BF212:CQ212&lt;1)*(PARTIDAS!$I$2:$AT$2="ELÉCTRICO"))&gt;0,"ELÉCTRICO: "&amp;_xlfn.TEXTJOIN(", ",TRUE,IF((BF212:CQ212&lt;1)*(PARTIDAS!$I$2:$AT$2="ELÉCTRICO"),PARTIDAS!$I$1:$AT$1,"")),""),IF(SUMPRODUCT((BF212:CQ212&lt;1)*(PARTIDAS!$I$2:$AT$2="TERMINACIONES"))&gt;0,"TERMINACIONES: "&amp;_xlfn.TEXTJOIN(", ",TRUE,IF((BF212:CQ212&lt;1)*(PARTIDAS!$I$2:$AT$2="TERMINACIONES"),PARTIDAS!$I$1:$AT$1,"")),""))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2" s="45" t="str" cm="1">
        <f t="array" ref="CT212">_xlfn.TEXTJOIN(", ",TRUE,IF(SUMPRODUCT((BF212:CQ212&lt;1)*(PARTIDAS!$I$2:$AT$2="OBRA GRUESA"))&gt;0,"OBRA GRUESA",""),IF(SUMPRODUCT((BF212:CQ212&lt;1)*(PARTIDAS!$I$2:$AT$2="SANITARIOS"))&gt;0,"SANITARIOS",""),IF(SUMPRODUCT((BF212:CQ212&lt;1)*(PARTIDAS!$I$2:$AT$2="ELÉCTRICO"))&gt;0,"ELÉCTRICO",""),IF(SUMPRODUCT((BF212:CQ212&lt;1)*(PARTIDAS!$I$2:$AT$2="TERMINACIONES"))&gt;0,"TERMINACIONES",""))</f>
        <v>OBRA GRUESA, SANITARIOS, ELÉCTRICO, TERMINACIONES</v>
      </c>
      <c r="CU212" s="46" cm="1">
        <f t="array" ref="CU212">SUMPRODUCT(--(BF212:CQ212&lt;1))</f>
        <v>38</v>
      </c>
    </row>
    <row r="213" spans="1:99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46181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 t="str">
        <f>+IF(AVANCE[[#This Row],[% AVANCE]]=100%,"MODULO TERMINADO",IF(AVANCE[[#This Row],[FECHA INICIO REAL]]="","MODULO NO INICIADO","PENDIENTE"))</f>
        <v>MODULO NO INICIADO</v>
      </c>
      <c r="BF213" s="3">
        <f>+IF(AVANCE[[#This Row],[VENTANAS]]=8.10810810810811%,100%,AVANCE[[#This Row],[VENTANAS]])</f>
        <v>0</v>
      </c>
      <c r="BG213" s="3">
        <f>+IF(AVANCE[[#This Row],[PISO]]=N$2,100%,AVANCE[[#This Row],[PISO]])</f>
        <v>0</v>
      </c>
      <c r="BH213" s="3">
        <f>+IF(AVANCE[[#This Row],[TABIQUES]]=O$2,100%,AVANCE[[#This Row],[TABIQUES]])</f>
        <v>0</v>
      </c>
      <c r="BI213" s="3">
        <f>+IF(AVANCE[[#This Row],[MUROS]]=P$2,100%,AVANCE[[#This Row],[MUROS]])</f>
        <v>0</v>
      </c>
      <c r="BJ213" s="3">
        <f>+IF(AVANCE[[#This Row],[CIELO]]=Q$2,100%,AVANCE[[#This Row],[CIELO]])</f>
        <v>0</v>
      </c>
      <c r="BK213" s="3">
        <f>+IF(AVANCE[[#This Row],[BALCÓN]]=R$2,100%,AVANCE[[#This Row],[BALCÓN]])</f>
        <v>0</v>
      </c>
      <c r="BL213" s="3">
        <f>+IF(AVANCE[[#This Row],[RED ALCANTARILLADO]]=U$2,100%,AVANCE[[#This Row],[RED ALCANTARILLADO]])</f>
        <v>0</v>
      </c>
      <c r="BM213" s="3">
        <f>+IF(AVANCE[[#This Row],[RED DE AGUA]]=V$2,100%,AVANCE[[#This Row],[RED DE AGUA]])</f>
        <v>0</v>
      </c>
      <c r="BN213" s="3">
        <f>+IF(AVANCE[[#This Row],[VENTILACIONES]]=W$2,100%,AVANCE[[#This Row],[VENTILACIONES]])</f>
        <v>0</v>
      </c>
      <c r="BO213" s="3">
        <f>+IF(AVANCE[[#This Row],[TINA]]=X$2,100%,AVANCE[[#This Row],[TINA]])</f>
        <v>0</v>
      </c>
      <c r="BP213" s="3">
        <f>+IF(AVANCE[[#This Row],[WC]]=Y$2,100%,AVANCE[[#This Row],[WC]])</f>
        <v>0</v>
      </c>
      <c r="BQ213" s="3">
        <f>+IF(AVANCE[[#This Row],[LAVAMANOS / LAVAPLATOS / LAVADERO]]=Z$2,100%,AVANCE[[#This Row],[LAVAMANOS / LAVAPLATOS / LAVADERO]])</f>
        <v>0</v>
      </c>
      <c r="BR213" s="3">
        <f>+IF(AVANCE[[#This Row],[CANALIZACIÓN]]=AC$2,100%,AVANCE[[#This Row],[CANALIZACIÓN]])</f>
        <v>0</v>
      </c>
      <c r="BS213" s="3">
        <f>+IF(AVANCE[[#This Row],[CABLEADO]]=AD$2,100%,AVANCE[[#This Row],[CABLEADO]])</f>
        <v>0</v>
      </c>
      <c r="BT213" s="3">
        <f>+IF(AVANCE[[#This Row],[ARTEFACTOS]]=AE$2,100%,AVANCE[[#This Row],[ARTEFACTOS]])</f>
        <v>0</v>
      </c>
      <c r="BU213" s="3">
        <f>+IF(AVANCE[[#This Row],[TABLERO]]=AF$2,100%,AVANCE[[#This Row],[TABLERO]])</f>
        <v>0</v>
      </c>
      <c r="BV213" s="3">
        <f>+IF(AVANCE[[#This Row],[CAJA PAU]]=AG$2,100%,AVANCE[[#This Row],[CAJA PAU]])</f>
        <v>0</v>
      </c>
      <c r="BW213" s="3">
        <f>+IF(AVANCE[[#This Row],[INSTALACION VINILICO]]=AJ$2,100%,AVANCE[[#This Row],[INSTALACION VINILICO]])</f>
        <v>0</v>
      </c>
      <c r="BX213" s="3">
        <f>+IF(AVANCE[[#This Row],[OSB CUBIERTA]]=AK$2,100%,AVANCE[[#This Row],[OSB CUBIERTA]])</f>
        <v>0</v>
      </c>
      <c r="BY213" s="3">
        <f>+IF(AVANCE[[#This Row],[BARANDA BALCON]]=AL$2,100%,AVANCE[[#This Row],[BARANDA BALCON]])</f>
        <v>0</v>
      </c>
      <c r="BZ213" s="3">
        <f>+IF(AVANCE[[#This Row],[OSB EXTERIOR]]=AM$2,100%,AVANCE[[#This Row],[OSB EXTERIOR]])</f>
        <v>0</v>
      </c>
      <c r="CA213" s="3">
        <f>+IF(AVANCE[[#This Row],[SMART PANEL]]=AN$2,100%,AVANCE[[#This Row],[SMART PANEL]])</f>
        <v>0</v>
      </c>
      <c r="CB213" s="3">
        <f>+IF(AVANCE[[#This Row],[PINTURA EXTERIOR]]=AO$2,100%,AVANCE[[#This Row],[PINTURA EXTERIOR]])</f>
        <v>0</v>
      </c>
      <c r="CC213" s="3">
        <f>+IF(AVANCE[[#This Row],[ZOCALOS LOGIA]]=AP$2,100%,AVANCE[[#This Row],[ZOCALOS LOGIA]])</f>
        <v>0</v>
      </c>
      <c r="CD213" s="3">
        <f>+IF(AVANCE[[#This Row],[MOLDURAS]]=AQ$2,100%,AVANCE[[#This Row],[MOLDURAS]])</f>
        <v>0</v>
      </c>
      <c r="CE213" s="3">
        <f>+IF(AVANCE[[#This Row],[PILASTREO]]=AR$2,100%,AVANCE[[#This Row],[PILASTREO]])</f>
        <v>0</v>
      </c>
      <c r="CF213" s="3">
        <f>+IF(AVANCE[[#This Row],[CELOSIAS]]=AS$2,100%,AVANCE[[#This Row],[CELOSIAS]])</f>
        <v>0</v>
      </c>
      <c r="CG213" s="3">
        <f>+IF(AVANCE[[#This Row],[VENTANAS]]=AT$2,100%,AVANCE[[#This Row],[VENTANAS]])</f>
        <v>0</v>
      </c>
      <c r="CH213" s="3">
        <f>+IF(AVANCE[[#This Row],[PUERTAS ACCESO - LOGIA - BANO]]=AU$2,100%,AVANCE[[#This Row],[PUERTAS ACCESO - LOGIA - BANO]])</f>
        <v>0</v>
      </c>
      <c r="CI213" s="3">
        <f>+IF(AVANCE[[#This Row],[CERRADURAS]]=AV$2,100%,AVANCE[[#This Row],[CERRADURAS]])</f>
        <v>0</v>
      </c>
      <c r="CJ213" s="3">
        <f>+IF(AVANCE[[#This Row],[REVESTIMIENTO INTERIOR ZONA SECA]]=AW$2,100%,AVANCE[[#This Row],[REVESTIMIENTO INTERIOR ZONA SECA]])</f>
        <v>0</v>
      </c>
      <c r="CK213" s="3">
        <f>+IF(AVANCE[[#This Row],[REVESTIMIENTO INTERIOR ZONAS HUMEDAS]]=AX$2,100%,AVANCE[[#This Row],[REVESTIMIENTO INTERIOR ZONAS HUMEDAS]])</f>
        <v>0</v>
      </c>
      <c r="CL213" s="3">
        <f>+IF(AVANCE[[#This Row],[MEMBRANA CIELO]]=AY$2,100%,AVANCE[[#This Row],[MEMBRANA CIELO]])</f>
        <v>0</v>
      </c>
      <c r="CM213" s="3">
        <f>+IF(AVANCE[[#This Row],[LIMPIEZA FINAL]]=AZ$2,100%,AVANCE[[#This Row],[LIMPIEZA FINAL]])</f>
        <v>0</v>
      </c>
      <c r="CN213" s="3">
        <f>+IF(AVANCE[[#This Row],[PUERTAS DORMITORIO]]=BA$2,100%,AVANCE[[#This Row],[PUERTAS DORMITORIO]])</f>
        <v>0</v>
      </c>
      <c r="CO213" s="3">
        <f>+IF(AVANCE[[#This Row],[REVESTIMIENTO INTERIOR BANO]]=BB$2,100%,AVANCE[[#This Row],[REVESTIMIENTO INTERIOR BANO]])</f>
        <v>0</v>
      </c>
      <c r="CP213" s="3">
        <f>+IF(AVANCE[[#This Row],[MUEBLE LAVAPLATOS]]=BC$2,100%,AVANCE[[#This Row],[MUEBLE LAVAPLATOS]])</f>
        <v>0</v>
      </c>
      <c r="CQ213" s="3">
        <f>+IF(AVANCE[[#This Row],[IMPERMEABILIZACION BANO - COCINA LOGIA]]=BD$2,100%,AVANCE[[#This Row],[IMPERMEABILIZACION BANO - COCINA LOGIA]])</f>
        <v>0</v>
      </c>
      <c r="CR213" s="40">
        <f ca="1">+IF(AVANCE[[#This Row],[ESTADO MODULO]]="PENDIENTE",(TODAY()-AVANCE[[#This Row],[FECHA TERMINO  PLANIFICADO]]),0)</f>
        <v>0</v>
      </c>
      <c r="CS213" s="42" t="str" cm="1">
        <f t="array" ref="CS213">_xlfn.TEXTJOIN(" | ",TRUE,IF(SUMPRODUCT((BF213:CQ213&lt;1)*(PARTIDAS!$I$2:$AT$2="OBRA GRUESA"))&gt;0,"OBRA GRUESA: "&amp;_xlfn.TEXTJOIN(", ",TRUE,IF((BF213:CQ213&lt;1)*(PARTIDAS!$I$2:$AT$2="OBRA GRUESA"),PARTIDAS!$I$1:$AT$1,"")),""),IF(SUMPRODUCT((BF213:CQ213&lt;1)*(PARTIDAS!$I$2:$AT$2="SANITARIOS"))&gt;0,"SANITARIOS: "&amp;_xlfn.TEXTJOIN(", ",TRUE,IF((BF213:CQ213&lt;1)*(PARTIDAS!$I$2:$AT$2="SANITARIOS"),PARTIDAS!$I$1:$AT$1,"")),""),IF(SUMPRODUCT((BF213:CQ213&lt;1)*(PARTIDAS!$I$2:$AT$2="ELÉCTRICO"))&gt;0,"ELÉCTRICO: "&amp;_xlfn.TEXTJOIN(", ",TRUE,IF((BF213:CQ213&lt;1)*(PARTIDAS!$I$2:$AT$2="ELÉCTRICO"),PARTIDAS!$I$1:$AT$1,"")),""),IF(SUMPRODUCT((BF213:CQ213&lt;1)*(PARTIDAS!$I$2:$AT$2="TERMINACIONES"))&gt;0,"TERMINACIONES: "&amp;_xlfn.TEXTJOIN(", ",TRUE,IF((BF213:CQ213&lt;1)*(PARTIDAS!$I$2:$AT$2="TERMINACIONES"),PARTIDAS!$I$1:$AT$1,"")),""))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3" s="45" t="str" cm="1">
        <f t="array" ref="CT213">_xlfn.TEXTJOIN(", ",TRUE,IF(SUMPRODUCT((BF213:CQ213&lt;1)*(PARTIDAS!$I$2:$AT$2="OBRA GRUESA"))&gt;0,"OBRA GRUESA",""),IF(SUMPRODUCT((BF213:CQ213&lt;1)*(PARTIDAS!$I$2:$AT$2="SANITARIOS"))&gt;0,"SANITARIOS",""),IF(SUMPRODUCT((BF213:CQ213&lt;1)*(PARTIDAS!$I$2:$AT$2="ELÉCTRICO"))&gt;0,"ELÉCTRICO",""),IF(SUMPRODUCT((BF213:CQ213&lt;1)*(PARTIDAS!$I$2:$AT$2="TERMINACIONES"))&gt;0,"TERMINACIONES",""))</f>
        <v>OBRA GRUESA, SANITARIOS, ELÉCTRICO, TERMINACIONES</v>
      </c>
      <c r="CU213" s="46" cm="1">
        <f t="array" ref="CU213">SUMPRODUCT(--(BF213:CQ213&lt;1))</f>
        <v>38</v>
      </c>
    </row>
    <row r="214" spans="1:99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46181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 t="str">
        <f>+IF(AVANCE[[#This Row],[% AVANCE]]=100%,"MODULO TERMINADO",IF(AVANCE[[#This Row],[FECHA INICIO REAL]]="","MODULO NO INICIADO","PENDIENTE"))</f>
        <v>MODULO NO INICIADO</v>
      </c>
      <c r="BF214" s="3">
        <f>+IF(AVANCE[[#This Row],[VENTANAS]]=8.10810810810811%,100%,AVANCE[[#This Row],[VENTANAS]])</f>
        <v>0</v>
      </c>
      <c r="BG214" s="3">
        <f>+IF(AVANCE[[#This Row],[PISO]]=N$2,100%,AVANCE[[#This Row],[PISO]])</f>
        <v>0</v>
      </c>
      <c r="BH214" s="3">
        <f>+IF(AVANCE[[#This Row],[TABIQUES]]=O$2,100%,AVANCE[[#This Row],[TABIQUES]])</f>
        <v>0</v>
      </c>
      <c r="BI214" s="3">
        <f>+IF(AVANCE[[#This Row],[MUROS]]=P$2,100%,AVANCE[[#This Row],[MUROS]])</f>
        <v>0</v>
      </c>
      <c r="BJ214" s="3">
        <f>+IF(AVANCE[[#This Row],[CIELO]]=Q$2,100%,AVANCE[[#This Row],[CIELO]])</f>
        <v>0</v>
      </c>
      <c r="BK214" s="3">
        <f>+IF(AVANCE[[#This Row],[BALCÓN]]=R$2,100%,AVANCE[[#This Row],[BALCÓN]])</f>
        <v>0</v>
      </c>
      <c r="BL214" s="3">
        <f>+IF(AVANCE[[#This Row],[RED ALCANTARILLADO]]=U$2,100%,AVANCE[[#This Row],[RED ALCANTARILLADO]])</f>
        <v>0</v>
      </c>
      <c r="BM214" s="3">
        <f>+IF(AVANCE[[#This Row],[RED DE AGUA]]=V$2,100%,AVANCE[[#This Row],[RED DE AGUA]])</f>
        <v>0</v>
      </c>
      <c r="BN214" s="3">
        <f>+IF(AVANCE[[#This Row],[VENTILACIONES]]=W$2,100%,AVANCE[[#This Row],[VENTILACIONES]])</f>
        <v>0</v>
      </c>
      <c r="BO214" s="3">
        <f>+IF(AVANCE[[#This Row],[TINA]]=X$2,100%,AVANCE[[#This Row],[TINA]])</f>
        <v>0</v>
      </c>
      <c r="BP214" s="3">
        <f>+IF(AVANCE[[#This Row],[WC]]=Y$2,100%,AVANCE[[#This Row],[WC]])</f>
        <v>0</v>
      </c>
      <c r="BQ214" s="3">
        <f>+IF(AVANCE[[#This Row],[LAVAMANOS / LAVAPLATOS / LAVADERO]]=Z$2,100%,AVANCE[[#This Row],[LAVAMANOS / LAVAPLATOS / LAVADERO]])</f>
        <v>0</v>
      </c>
      <c r="BR214" s="3">
        <f>+IF(AVANCE[[#This Row],[CANALIZACIÓN]]=AC$2,100%,AVANCE[[#This Row],[CANALIZACIÓN]])</f>
        <v>0</v>
      </c>
      <c r="BS214" s="3">
        <f>+IF(AVANCE[[#This Row],[CABLEADO]]=AD$2,100%,AVANCE[[#This Row],[CABLEADO]])</f>
        <v>0</v>
      </c>
      <c r="BT214" s="3">
        <f>+IF(AVANCE[[#This Row],[ARTEFACTOS]]=AE$2,100%,AVANCE[[#This Row],[ARTEFACTOS]])</f>
        <v>0</v>
      </c>
      <c r="BU214" s="3">
        <f>+IF(AVANCE[[#This Row],[TABLERO]]=AF$2,100%,AVANCE[[#This Row],[TABLERO]])</f>
        <v>0</v>
      </c>
      <c r="BV214" s="3">
        <f>+IF(AVANCE[[#This Row],[CAJA PAU]]=AG$2,100%,AVANCE[[#This Row],[CAJA PAU]])</f>
        <v>0</v>
      </c>
      <c r="BW214" s="3">
        <f>+IF(AVANCE[[#This Row],[INSTALACION VINILICO]]=AJ$2,100%,AVANCE[[#This Row],[INSTALACION VINILICO]])</f>
        <v>0</v>
      </c>
      <c r="BX214" s="3">
        <f>+IF(AVANCE[[#This Row],[OSB CUBIERTA]]=AK$2,100%,AVANCE[[#This Row],[OSB CUBIERTA]])</f>
        <v>0</v>
      </c>
      <c r="BY214" s="3">
        <f>+IF(AVANCE[[#This Row],[BARANDA BALCON]]=AL$2,100%,AVANCE[[#This Row],[BARANDA BALCON]])</f>
        <v>0</v>
      </c>
      <c r="BZ214" s="3">
        <f>+IF(AVANCE[[#This Row],[OSB EXTERIOR]]=AM$2,100%,AVANCE[[#This Row],[OSB EXTERIOR]])</f>
        <v>0</v>
      </c>
      <c r="CA214" s="3">
        <f>+IF(AVANCE[[#This Row],[SMART PANEL]]=AN$2,100%,AVANCE[[#This Row],[SMART PANEL]])</f>
        <v>0</v>
      </c>
      <c r="CB214" s="3">
        <f>+IF(AVANCE[[#This Row],[PINTURA EXTERIOR]]=AO$2,100%,AVANCE[[#This Row],[PINTURA EXTERIOR]])</f>
        <v>0</v>
      </c>
      <c r="CC214" s="3">
        <f>+IF(AVANCE[[#This Row],[ZOCALOS LOGIA]]=AP$2,100%,AVANCE[[#This Row],[ZOCALOS LOGIA]])</f>
        <v>0</v>
      </c>
      <c r="CD214" s="3">
        <f>+IF(AVANCE[[#This Row],[MOLDURAS]]=AQ$2,100%,AVANCE[[#This Row],[MOLDURAS]])</f>
        <v>0</v>
      </c>
      <c r="CE214" s="3">
        <f>+IF(AVANCE[[#This Row],[PILASTREO]]=AR$2,100%,AVANCE[[#This Row],[PILASTREO]])</f>
        <v>0</v>
      </c>
      <c r="CF214" s="3">
        <f>+IF(AVANCE[[#This Row],[CELOSIAS]]=AS$2,100%,AVANCE[[#This Row],[CELOSIAS]])</f>
        <v>0</v>
      </c>
      <c r="CG214" s="3">
        <f>+IF(AVANCE[[#This Row],[VENTANAS]]=AT$2,100%,AVANCE[[#This Row],[VENTANAS]])</f>
        <v>0</v>
      </c>
      <c r="CH214" s="3">
        <f>+IF(AVANCE[[#This Row],[PUERTAS ACCESO - LOGIA - BANO]]=AU$2,100%,AVANCE[[#This Row],[PUERTAS ACCESO - LOGIA - BANO]])</f>
        <v>0</v>
      </c>
      <c r="CI214" s="3">
        <f>+IF(AVANCE[[#This Row],[CERRADURAS]]=AV$2,100%,AVANCE[[#This Row],[CERRADURAS]])</f>
        <v>0</v>
      </c>
      <c r="CJ214" s="3">
        <f>+IF(AVANCE[[#This Row],[REVESTIMIENTO INTERIOR ZONA SECA]]=AW$2,100%,AVANCE[[#This Row],[REVESTIMIENTO INTERIOR ZONA SECA]])</f>
        <v>0</v>
      </c>
      <c r="CK214" s="3">
        <f>+IF(AVANCE[[#This Row],[REVESTIMIENTO INTERIOR ZONAS HUMEDAS]]=AX$2,100%,AVANCE[[#This Row],[REVESTIMIENTO INTERIOR ZONAS HUMEDAS]])</f>
        <v>0</v>
      </c>
      <c r="CL214" s="3">
        <f>+IF(AVANCE[[#This Row],[MEMBRANA CIELO]]=AY$2,100%,AVANCE[[#This Row],[MEMBRANA CIELO]])</f>
        <v>0</v>
      </c>
      <c r="CM214" s="3">
        <f>+IF(AVANCE[[#This Row],[LIMPIEZA FINAL]]=AZ$2,100%,AVANCE[[#This Row],[LIMPIEZA FINAL]])</f>
        <v>0</v>
      </c>
      <c r="CN214" s="3">
        <f>+IF(AVANCE[[#This Row],[PUERTAS DORMITORIO]]=BA$2,100%,AVANCE[[#This Row],[PUERTAS DORMITORIO]])</f>
        <v>0</v>
      </c>
      <c r="CO214" s="3">
        <f>+IF(AVANCE[[#This Row],[REVESTIMIENTO INTERIOR BANO]]=BB$2,100%,AVANCE[[#This Row],[REVESTIMIENTO INTERIOR BANO]])</f>
        <v>0</v>
      </c>
      <c r="CP214" s="3">
        <f>+IF(AVANCE[[#This Row],[MUEBLE LAVAPLATOS]]=BC$2,100%,AVANCE[[#This Row],[MUEBLE LAVAPLATOS]])</f>
        <v>0</v>
      </c>
      <c r="CQ214" s="3">
        <f>+IF(AVANCE[[#This Row],[IMPERMEABILIZACION BANO - COCINA LOGIA]]=BD$2,100%,AVANCE[[#This Row],[IMPERMEABILIZACION BANO - COCINA LOGIA]])</f>
        <v>0</v>
      </c>
      <c r="CR214" s="40">
        <f ca="1">+IF(AVANCE[[#This Row],[ESTADO MODULO]]="PENDIENTE",(TODAY()-AVANCE[[#This Row],[FECHA TERMINO  PLANIFICADO]]),0)</f>
        <v>0</v>
      </c>
      <c r="CS214" s="42" t="str" cm="1">
        <f t="array" ref="CS214">_xlfn.TEXTJOIN(" | ",TRUE,IF(SUMPRODUCT((BF214:CQ214&lt;1)*(PARTIDAS!$I$2:$AT$2="OBRA GRUESA"))&gt;0,"OBRA GRUESA: "&amp;_xlfn.TEXTJOIN(", ",TRUE,IF((BF214:CQ214&lt;1)*(PARTIDAS!$I$2:$AT$2="OBRA GRUESA"),PARTIDAS!$I$1:$AT$1,"")),""),IF(SUMPRODUCT((BF214:CQ214&lt;1)*(PARTIDAS!$I$2:$AT$2="SANITARIOS"))&gt;0,"SANITARIOS: "&amp;_xlfn.TEXTJOIN(", ",TRUE,IF((BF214:CQ214&lt;1)*(PARTIDAS!$I$2:$AT$2="SANITARIOS"),PARTIDAS!$I$1:$AT$1,"")),""),IF(SUMPRODUCT((BF214:CQ214&lt;1)*(PARTIDAS!$I$2:$AT$2="ELÉCTRICO"))&gt;0,"ELÉCTRICO: "&amp;_xlfn.TEXTJOIN(", ",TRUE,IF((BF214:CQ214&lt;1)*(PARTIDAS!$I$2:$AT$2="ELÉCTRICO"),PARTIDAS!$I$1:$AT$1,"")),""),IF(SUMPRODUCT((BF214:CQ214&lt;1)*(PARTIDAS!$I$2:$AT$2="TERMINACIONES"))&gt;0,"TERMINACIONES: "&amp;_xlfn.TEXTJOIN(", ",TRUE,IF((BF214:CQ214&lt;1)*(PARTIDAS!$I$2:$AT$2="TERMINACIONES"),PARTIDAS!$I$1:$AT$1,"")),""))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4" s="45" t="str" cm="1">
        <f t="array" ref="CT214">_xlfn.TEXTJOIN(", ",TRUE,IF(SUMPRODUCT((BF214:CQ214&lt;1)*(PARTIDAS!$I$2:$AT$2="OBRA GRUESA"))&gt;0,"OBRA GRUESA",""),IF(SUMPRODUCT((BF214:CQ214&lt;1)*(PARTIDAS!$I$2:$AT$2="SANITARIOS"))&gt;0,"SANITARIOS",""),IF(SUMPRODUCT((BF214:CQ214&lt;1)*(PARTIDAS!$I$2:$AT$2="ELÉCTRICO"))&gt;0,"ELÉCTRICO",""),IF(SUMPRODUCT((BF214:CQ214&lt;1)*(PARTIDAS!$I$2:$AT$2="TERMINACIONES"))&gt;0,"TERMINACIONES",""))</f>
        <v>OBRA GRUESA, SANITARIOS, ELÉCTRICO, TERMINACIONES</v>
      </c>
      <c r="CU214" s="46" cm="1">
        <f t="array" ref="CU214">SUMPRODUCT(--(BF214:CQ214&lt;1))</f>
        <v>38</v>
      </c>
    </row>
    <row r="215" spans="1:99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46181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 t="str">
        <f>+IF(AVANCE[[#This Row],[% AVANCE]]=100%,"MODULO TERMINADO",IF(AVANCE[[#This Row],[FECHA INICIO REAL]]="","MODULO NO INICIADO","PENDIENTE"))</f>
        <v>MODULO NO INICIADO</v>
      </c>
      <c r="BF215" s="3">
        <f>+IF(AVANCE[[#This Row],[VENTANAS]]=8.10810810810811%,100%,AVANCE[[#This Row],[VENTANAS]])</f>
        <v>0</v>
      </c>
      <c r="BG215" s="3">
        <f>+IF(AVANCE[[#This Row],[PISO]]=N$2,100%,AVANCE[[#This Row],[PISO]])</f>
        <v>0</v>
      </c>
      <c r="BH215" s="3">
        <f>+IF(AVANCE[[#This Row],[TABIQUES]]=O$2,100%,AVANCE[[#This Row],[TABIQUES]])</f>
        <v>0</v>
      </c>
      <c r="BI215" s="3">
        <f>+IF(AVANCE[[#This Row],[MUROS]]=P$2,100%,AVANCE[[#This Row],[MUROS]])</f>
        <v>0</v>
      </c>
      <c r="BJ215" s="3">
        <f>+IF(AVANCE[[#This Row],[CIELO]]=Q$2,100%,AVANCE[[#This Row],[CIELO]])</f>
        <v>0</v>
      </c>
      <c r="BK215" s="3">
        <f>+IF(AVANCE[[#This Row],[BALCÓN]]=R$2,100%,AVANCE[[#This Row],[BALCÓN]])</f>
        <v>0</v>
      </c>
      <c r="BL215" s="3">
        <f>+IF(AVANCE[[#This Row],[RED ALCANTARILLADO]]=U$2,100%,AVANCE[[#This Row],[RED ALCANTARILLADO]])</f>
        <v>0</v>
      </c>
      <c r="BM215" s="3">
        <f>+IF(AVANCE[[#This Row],[RED DE AGUA]]=V$2,100%,AVANCE[[#This Row],[RED DE AGUA]])</f>
        <v>0</v>
      </c>
      <c r="BN215" s="3">
        <f>+IF(AVANCE[[#This Row],[VENTILACIONES]]=W$2,100%,AVANCE[[#This Row],[VENTILACIONES]])</f>
        <v>0</v>
      </c>
      <c r="BO215" s="3">
        <f>+IF(AVANCE[[#This Row],[TINA]]=X$2,100%,AVANCE[[#This Row],[TINA]])</f>
        <v>0</v>
      </c>
      <c r="BP215" s="3">
        <f>+IF(AVANCE[[#This Row],[WC]]=Y$2,100%,AVANCE[[#This Row],[WC]])</f>
        <v>0</v>
      </c>
      <c r="BQ215" s="3">
        <f>+IF(AVANCE[[#This Row],[LAVAMANOS / LAVAPLATOS / LAVADERO]]=Z$2,100%,AVANCE[[#This Row],[LAVAMANOS / LAVAPLATOS / LAVADERO]])</f>
        <v>0</v>
      </c>
      <c r="BR215" s="3">
        <f>+IF(AVANCE[[#This Row],[CANALIZACIÓN]]=AC$2,100%,AVANCE[[#This Row],[CANALIZACIÓN]])</f>
        <v>0</v>
      </c>
      <c r="BS215" s="3">
        <f>+IF(AVANCE[[#This Row],[CABLEADO]]=AD$2,100%,AVANCE[[#This Row],[CABLEADO]])</f>
        <v>0</v>
      </c>
      <c r="BT215" s="3">
        <f>+IF(AVANCE[[#This Row],[ARTEFACTOS]]=AE$2,100%,AVANCE[[#This Row],[ARTEFACTOS]])</f>
        <v>0</v>
      </c>
      <c r="BU215" s="3">
        <f>+IF(AVANCE[[#This Row],[TABLERO]]=AF$2,100%,AVANCE[[#This Row],[TABLERO]])</f>
        <v>0</v>
      </c>
      <c r="BV215" s="3">
        <f>+IF(AVANCE[[#This Row],[CAJA PAU]]=AG$2,100%,AVANCE[[#This Row],[CAJA PAU]])</f>
        <v>0</v>
      </c>
      <c r="BW215" s="3">
        <f>+IF(AVANCE[[#This Row],[INSTALACION VINILICO]]=AJ$2,100%,AVANCE[[#This Row],[INSTALACION VINILICO]])</f>
        <v>0</v>
      </c>
      <c r="BX215" s="3">
        <f>+IF(AVANCE[[#This Row],[OSB CUBIERTA]]=AK$2,100%,AVANCE[[#This Row],[OSB CUBIERTA]])</f>
        <v>0</v>
      </c>
      <c r="BY215" s="3">
        <f>+IF(AVANCE[[#This Row],[BARANDA BALCON]]=AL$2,100%,AVANCE[[#This Row],[BARANDA BALCON]])</f>
        <v>0</v>
      </c>
      <c r="BZ215" s="3">
        <f>+IF(AVANCE[[#This Row],[OSB EXTERIOR]]=AM$2,100%,AVANCE[[#This Row],[OSB EXTERIOR]])</f>
        <v>0</v>
      </c>
      <c r="CA215" s="3">
        <f>+IF(AVANCE[[#This Row],[SMART PANEL]]=AN$2,100%,AVANCE[[#This Row],[SMART PANEL]])</f>
        <v>0</v>
      </c>
      <c r="CB215" s="3">
        <f>+IF(AVANCE[[#This Row],[PINTURA EXTERIOR]]=AO$2,100%,AVANCE[[#This Row],[PINTURA EXTERIOR]])</f>
        <v>0</v>
      </c>
      <c r="CC215" s="3">
        <f>+IF(AVANCE[[#This Row],[ZOCALOS LOGIA]]=AP$2,100%,AVANCE[[#This Row],[ZOCALOS LOGIA]])</f>
        <v>0</v>
      </c>
      <c r="CD215" s="3">
        <f>+IF(AVANCE[[#This Row],[MOLDURAS]]=AQ$2,100%,AVANCE[[#This Row],[MOLDURAS]])</f>
        <v>0</v>
      </c>
      <c r="CE215" s="3">
        <f>+IF(AVANCE[[#This Row],[PILASTREO]]=AR$2,100%,AVANCE[[#This Row],[PILASTREO]])</f>
        <v>0</v>
      </c>
      <c r="CF215" s="3">
        <f>+IF(AVANCE[[#This Row],[CELOSIAS]]=AS$2,100%,AVANCE[[#This Row],[CELOSIAS]])</f>
        <v>0</v>
      </c>
      <c r="CG215" s="3">
        <f>+IF(AVANCE[[#This Row],[VENTANAS]]=AT$2,100%,AVANCE[[#This Row],[VENTANAS]])</f>
        <v>0</v>
      </c>
      <c r="CH215" s="3">
        <f>+IF(AVANCE[[#This Row],[PUERTAS ACCESO - LOGIA - BANO]]=AU$2,100%,AVANCE[[#This Row],[PUERTAS ACCESO - LOGIA - BANO]])</f>
        <v>0</v>
      </c>
      <c r="CI215" s="3">
        <f>+IF(AVANCE[[#This Row],[CERRADURAS]]=AV$2,100%,AVANCE[[#This Row],[CERRADURAS]])</f>
        <v>0</v>
      </c>
      <c r="CJ215" s="3">
        <f>+IF(AVANCE[[#This Row],[REVESTIMIENTO INTERIOR ZONA SECA]]=AW$2,100%,AVANCE[[#This Row],[REVESTIMIENTO INTERIOR ZONA SECA]])</f>
        <v>0</v>
      </c>
      <c r="CK215" s="3">
        <f>+IF(AVANCE[[#This Row],[REVESTIMIENTO INTERIOR ZONAS HUMEDAS]]=AX$2,100%,AVANCE[[#This Row],[REVESTIMIENTO INTERIOR ZONAS HUMEDAS]])</f>
        <v>0</v>
      </c>
      <c r="CL215" s="3">
        <f>+IF(AVANCE[[#This Row],[MEMBRANA CIELO]]=AY$2,100%,AVANCE[[#This Row],[MEMBRANA CIELO]])</f>
        <v>0</v>
      </c>
      <c r="CM215" s="3">
        <f>+IF(AVANCE[[#This Row],[LIMPIEZA FINAL]]=AZ$2,100%,AVANCE[[#This Row],[LIMPIEZA FINAL]])</f>
        <v>0</v>
      </c>
      <c r="CN215" s="3">
        <f>+IF(AVANCE[[#This Row],[PUERTAS DORMITORIO]]=BA$2,100%,AVANCE[[#This Row],[PUERTAS DORMITORIO]])</f>
        <v>0</v>
      </c>
      <c r="CO215" s="3">
        <f>+IF(AVANCE[[#This Row],[REVESTIMIENTO INTERIOR BANO]]=BB$2,100%,AVANCE[[#This Row],[REVESTIMIENTO INTERIOR BANO]])</f>
        <v>0</v>
      </c>
      <c r="CP215" s="3">
        <f>+IF(AVANCE[[#This Row],[MUEBLE LAVAPLATOS]]=BC$2,100%,AVANCE[[#This Row],[MUEBLE LAVAPLATOS]])</f>
        <v>0</v>
      </c>
      <c r="CQ215" s="3">
        <f>+IF(AVANCE[[#This Row],[IMPERMEABILIZACION BANO - COCINA LOGIA]]=BD$2,100%,AVANCE[[#This Row],[IMPERMEABILIZACION BANO - COCINA LOGIA]])</f>
        <v>0</v>
      </c>
      <c r="CR215" s="40">
        <f ca="1">+IF(AVANCE[[#This Row],[ESTADO MODULO]]="PENDIENTE",(TODAY()-AVANCE[[#This Row],[FECHA TERMINO  PLANIFICADO]]),0)</f>
        <v>0</v>
      </c>
      <c r="CS215" s="42" t="str" cm="1">
        <f t="array" ref="CS215">_xlfn.TEXTJOIN(" | ",TRUE,IF(SUMPRODUCT((BF215:CQ215&lt;1)*(PARTIDAS!$I$2:$AT$2="OBRA GRUESA"))&gt;0,"OBRA GRUESA: "&amp;_xlfn.TEXTJOIN(", ",TRUE,IF((BF215:CQ215&lt;1)*(PARTIDAS!$I$2:$AT$2="OBRA GRUESA"),PARTIDAS!$I$1:$AT$1,"")),""),IF(SUMPRODUCT((BF215:CQ215&lt;1)*(PARTIDAS!$I$2:$AT$2="SANITARIOS"))&gt;0,"SANITARIOS: "&amp;_xlfn.TEXTJOIN(", ",TRUE,IF((BF215:CQ215&lt;1)*(PARTIDAS!$I$2:$AT$2="SANITARIOS"),PARTIDAS!$I$1:$AT$1,"")),""),IF(SUMPRODUCT((BF215:CQ215&lt;1)*(PARTIDAS!$I$2:$AT$2="ELÉCTRICO"))&gt;0,"ELÉCTRICO: "&amp;_xlfn.TEXTJOIN(", ",TRUE,IF((BF215:CQ215&lt;1)*(PARTIDAS!$I$2:$AT$2="ELÉCTRICO"),PARTIDAS!$I$1:$AT$1,"")),""),IF(SUMPRODUCT((BF215:CQ215&lt;1)*(PARTIDAS!$I$2:$AT$2="TERMINACIONES"))&gt;0,"TERMINACIONES: "&amp;_xlfn.TEXTJOIN(", ",TRUE,IF((BF215:CQ215&lt;1)*(PARTIDAS!$I$2:$AT$2="TERMINACIONES"),PARTIDAS!$I$1:$AT$1,"")),""))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5" s="45" t="str" cm="1">
        <f t="array" ref="CT215">_xlfn.TEXTJOIN(", ",TRUE,IF(SUMPRODUCT((BF215:CQ215&lt;1)*(PARTIDAS!$I$2:$AT$2="OBRA GRUESA"))&gt;0,"OBRA GRUESA",""),IF(SUMPRODUCT((BF215:CQ215&lt;1)*(PARTIDAS!$I$2:$AT$2="SANITARIOS"))&gt;0,"SANITARIOS",""),IF(SUMPRODUCT((BF215:CQ215&lt;1)*(PARTIDAS!$I$2:$AT$2="ELÉCTRICO"))&gt;0,"ELÉCTRICO",""),IF(SUMPRODUCT((BF215:CQ215&lt;1)*(PARTIDAS!$I$2:$AT$2="TERMINACIONES"))&gt;0,"TERMINACIONES",""))</f>
        <v>OBRA GRUESA, SANITARIOS, ELÉCTRICO, TERMINACIONES</v>
      </c>
      <c r="CU215" s="46" cm="1">
        <f t="array" ref="CU215">SUMPRODUCT(--(BF215:CQ215&lt;1))</f>
        <v>38</v>
      </c>
    </row>
    <row r="216" spans="1:99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46181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 t="str">
        <f>+IF(AVANCE[[#This Row],[% AVANCE]]=100%,"MODULO TERMINADO",IF(AVANCE[[#This Row],[FECHA INICIO REAL]]="","MODULO NO INICIADO","PENDIENTE"))</f>
        <v>MODULO NO INICIADO</v>
      </c>
      <c r="BF216" s="3">
        <f>+IF(AVANCE[[#This Row],[VENTANAS]]=8.10810810810811%,100%,AVANCE[[#This Row],[VENTANAS]])</f>
        <v>0</v>
      </c>
      <c r="BG216" s="3">
        <f>+IF(AVANCE[[#This Row],[PISO]]=N$2,100%,AVANCE[[#This Row],[PISO]])</f>
        <v>0</v>
      </c>
      <c r="BH216" s="3">
        <f>+IF(AVANCE[[#This Row],[TABIQUES]]=O$2,100%,AVANCE[[#This Row],[TABIQUES]])</f>
        <v>0</v>
      </c>
      <c r="BI216" s="3">
        <f>+IF(AVANCE[[#This Row],[MUROS]]=P$2,100%,AVANCE[[#This Row],[MUROS]])</f>
        <v>0</v>
      </c>
      <c r="BJ216" s="3">
        <f>+IF(AVANCE[[#This Row],[CIELO]]=Q$2,100%,AVANCE[[#This Row],[CIELO]])</f>
        <v>0</v>
      </c>
      <c r="BK216" s="3">
        <f>+IF(AVANCE[[#This Row],[BALCÓN]]=R$2,100%,AVANCE[[#This Row],[BALCÓN]])</f>
        <v>0</v>
      </c>
      <c r="BL216" s="3">
        <f>+IF(AVANCE[[#This Row],[RED ALCANTARILLADO]]=U$2,100%,AVANCE[[#This Row],[RED ALCANTARILLADO]])</f>
        <v>0</v>
      </c>
      <c r="BM216" s="3">
        <f>+IF(AVANCE[[#This Row],[RED DE AGUA]]=V$2,100%,AVANCE[[#This Row],[RED DE AGUA]])</f>
        <v>0</v>
      </c>
      <c r="BN216" s="3">
        <f>+IF(AVANCE[[#This Row],[VENTILACIONES]]=W$2,100%,AVANCE[[#This Row],[VENTILACIONES]])</f>
        <v>0</v>
      </c>
      <c r="BO216" s="3">
        <f>+IF(AVANCE[[#This Row],[TINA]]=X$2,100%,AVANCE[[#This Row],[TINA]])</f>
        <v>0</v>
      </c>
      <c r="BP216" s="3">
        <f>+IF(AVANCE[[#This Row],[WC]]=Y$2,100%,AVANCE[[#This Row],[WC]])</f>
        <v>0</v>
      </c>
      <c r="BQ216" s="3">
        <f>+IF(AVANCE[[#This Row],[LAVAMANOS / LAVAPLATOS / LAVADERO]]=Z$2,100%,AVANCE[[#This Row],[LAVAMANOS / LAVAPLATOS / LAVADERO]])</f>
        <v>0</v>
      </c>
      <c r="BR216" s="3">
        <f>+IF(AVANCE[[#This Row],[CANALIZACIÓN]]=AC$2,100%,AVANCE[[#This Row],[CANALIZACIÓN]])</f>
        <v>0</v>
      </c>
      <c r="BS216" s="3">
        <f>+IF(AVANCE[[#This Row],[CABLEADO]]=AD$2,100%,AVANCE[[#This Row],[CABLEADO]])</f>
        <v>0</v>
      </c>
      <c r="BT216" s="3">
        <f>+IF(AVANCE[[#This Row],[ARTEFACTOS]]=AE$2,100%,AVANCE[[#This Row],[ARTEFACTOS]])</f>
        <v>0</v>
      </c>
      <c r="BU216" s="3">
        <f>+IF(AVANCE[[#This Row],[TABLERO]]=AF$2,100%,AVANCE[[#This Row],[TABLERO]])</f>
        <v>0</v>
      </c>
      <c r="BV216" s="3">
        <f>+IF(AVANCE[[#This Row],[CAJA PAU]]=AG$2,100%,AVANCE[[#This Row],[CAJA PAU]])</f>
        <v>0</v>
      </c>
      <c r="BW216" s="3">
        <f>+IF(AVANCE[[#This Row],[INSTALACION VINILICO]]=AJ$2,100%,AVANCE[[#This Row],[INSTALACION VINILICO]])</f>
        <v>0</v>
      </c>
      <c r="BX216" s="3">
        <f>+IF(AVANCE[[#This Row],[OSB CUBIERTA]]=AK$2,100%,AVANCE[[#This Row],[OSB CUBIERTA]])</f>
        <v>0</v>
      </c>
      <c r="BY216" s="3">
        <f>+IF(AVANCE[[#This Row],[BARANDA BALCON]]=AL$2,100%,AVANCE[[#This Row],[BARANDA BALCON]])</f>
        <v>0</v>
      </c>
      <c r="BZ216" s="3">
        <f>+IF(AVANCE[[#This Row],[OSB EXTERIOR]]=AM$2,100%,AVANCE[[#This Row],[OSB EXTERIOR]])</f>
        <v>0</v>
      </c>
      <c r="CA216" s="3">
        <f>+IF(AVANCE[[#This Row],[SMART PANEL]]=AN$2,100%,AVANCE[[#This Row],[SMART PANEL]])</f>
        <v>0</v>
      </c>
      <c r="CB216" s="3">
        <f>+IF(AVANCE[[#This Row],[PINTURA EXTERIOR]]=AO$2,100%,AVANCE[[#This Row],[PINTURA EXTERIOR]])</f>
        <v>0</v>
      </c>
      <c r="CC216" s="3">
        <f>+IF(AVANCE[[#This Row],[ZOCALOS LOGIA]]=AP$2,100%,AVANCE[[#This Row],[ZOCALOS LOGIA]])</f>
        <v>0</v>
      </c>
      <c r="CD216" s="3">
        <f>+IF(AVANCE[[#This Row],[MOLDURAS]]=AQ$2,100%,AVANCE[[#This Row],[MOLDURAS]])</f>
        <v>0</v>
      </c>
      <c r="CE216" s="3">
        <f>+IF(AVANCE[[#This Row],[PILASTREO]]=AR$2,100%,AVANCE[[#This Row],[PILASTREO]])</f>
        <v>0</v>
      </c>
      <c r="CF216" s="3">
        <f>+IF(AVANCE[[#This Row],[CELOSIAS]]=AS$2,100%,AVANCE[[#This Row],[CELOSIAS]])</f>
        <v>0</v>
      </c>
      <c r="CG216" s="3">
        <f>+IF(AVANCE[[#This Row],[VENTANAS]]=AT$2,100%,AVANCE[[#This Row],[VENTANAS]])</f>
        <v>0</v>
      </c>
      <c r="CH216" s="3">
        <f>+IF(AVANCE[[#This Row],[PUERTAS ACCESO - LOGIA - BANO]]=AU$2,100%,AVANCE[[#This Row],[PUERTAS ACCESO - LOGIA - BANO]])</f>
        <v>0</v>
      </c>
      <c r="CI216" s="3">
        <f>+IF(AVANCE[[#This Row],[CERRADURAS]]=AV$2,100%,AVANCE[[#This Row],[CERRADURAS]])</f>
        <v>0</v>
      </c>
      <c r="CJ216" s="3">
        <f>+IF(AVANCE[[#This Row],[REVESTIMIENTO INTERIOR ZONA SECA]]=AW$2,100%,AVANCE[[#This Row],[REVESTIMIENTO INTERIOR ZONA SECA]])</f>
        <v>0</v>
      </c>
      <c r="CK216" s="3">
        <f>+IF(AVANCE[[#This Row],[REVESTIMIENTO INTERIOR ZONAS HUMEDAS]]=AX$2,100%,AVANCE[[#This Row],[REVESTIMIENTO INTERIOR ZONAS HUMEDAS]])</f>
        <v>0</v>
      </c>
      <c r="CL216" s="3">
        <f>+IF(AVANCE[[#This Row],[MEMBRANA CIELO]]=AY$2,100%,AVANCE[[#This Row],[MEMBRANA CIELO]])</f>
        <v>0</v>
      </c>
      <c r="CM216" s="3">
        <f>+IF(AVANCE[[#This Row],[LIMPIEZA FINAL]]=AZ$2,100%,AVANCE[[#This Row],[LIMPIEZA FINAL]])</f>
        <v>0</v>
      </c>
      <c r="CN216" s="3">
        <f>+IF(AVANCE[[#This Row],[PUERTAS DORMITORIO]]=BA$2,100%,AVANCE[[#This Row],[PUERTAS DORMITORIO]])</f>
        <v>0</v>
      </c>
      <c r="CO216" s="3">
        <f>+IF(AVANCE[[#This Row],[REVESTIMIENTO INTERIOR BANO]]=BB$2,100%,AVANCE[[#This Row],[REVESTIMIENTO INTERIOR BANO]])</f>
        <v>0</v>
      </c>
      <c r="CP216" s="3">
        <f>+IF(AVANCE[[#This Row],[MUEBLE LAVAPLATOS]]=BC$2,100%,AVANCE[[#This Row],[MUEBLE LAVAPLATOS]])</f>
        <v>0</v>
      </c>
      <c r="CQ216" s="3">
        <f>+IF(AVANCE[[#This Row],[IMPERMEABILIZACION BANO - COCINA LOGIA]]=BD$2,100%,AVANCE[[#This Row],[IMPERMEABILIZACION BANO - COCINA LOGIA]])</f>
        <v>0</v>
      </c>
      <c r="CR216" s="40">
        <f ca="1">+IF(AVANCE[[#This Row],[ESTADO MODULO]]="PENDIENTE",(TODAY()-AVANCE[[#This Row],[FECHA TERMINO  PLANIFICADO]]),0)</f>
        <v>0</v>
      </c>
      <c r="CS216" s="42" t="str" cm="1">
        <f t="array" ref="CS216">_xlfn.TEXTJOIN(" | ",TRUE,IF(SUMPRODUCT((BF216:CQ216&lt;1)*(PARTIDAS!$I$2:$AT$2="OBRA GRUESA"))&gt;0,"OBRA GRUESA: "&amp;_xlfn.TEXTJOIN(", ",TRUE,IF((BF216:CQ216&lt;1)*(PARTIDAS!$I$2:$AT$2="OBRA GRUESA"),PARTIDAS!$I$1:$AT$1,"")),""),IF(SUMPRODUCT((BF216:CQ216&lt;1)*(PARTIDAS!$I$2:$AT$2="SANITARIOS"))&gt;0,"SANITARIOS: "&amp;_xlfn.TEXTJOIN(", ",TRUE,IF((BF216:CQ216&lt;1)*(PARTIDAS!$I$2:$AT$2="SANITARIOS"),PARTIDAS!$I$1:$AT$1,"")),""),IF(SUMPRODUCT((BF216:CQ216&lt;1)*(PARTIDAS!$I$2:$AT$2="ELÉCTRICO"))&gt;0,"ELÉCTRICO: "&amp;_xlfn.TEXTJOIN(", ",TRUE,IF((BF216:CQ216&lt;1)*(PARTIDAS!$I$2:$AT$2="ELÉCTRICO"),PARTIDAS!$I$1:$AT$1,"")),""),IF(SUMPRODUCT((BF216:CQ216&lt;1)*(PARTIDAS!$I$2:$AT$2="TERMINACIONES"))&gt;0,"TERMINACIONES: "&amp;_xlfn.TEXTJOIN(", ",TRUE,IF((BF216:CQ216&lt;1)*(PARTIDAS!$I$2:$AT$2="TERMINACIONES"),PARTIDAS!$I$1:$AT$1,"")),""))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6" s="45" t="str" cm="1">
        <f t="array" ref="CT216">_xlfn.TEXTJOIN(", ",TRUE,IF(SUMPRODUCT((BF216:CQ216&lt;1)*(PARTIDAS!$I$2:$AT$2="OBRA GRUESA"))&gt;0,"OBRA GRUESA",""),IF(SUMPRODUCT((BF216:CQ216&lt;1)*(PARTIDAS!$I$2:$AT$2="SANITARIOS"))&gt;0,"SANITARIOS",""),IF(SUMPRODUCT((BF216:CQ216&lt;1)*(PARTIDAS!$I$2:$AT$2="ELÉCTRICO"))&gt;0,"ELÉCTRICO",""),IF(SUMPRODUCT((BF216:CQ216&lt;1)*(PARTIDAS!$I$2:$AT$2="TERMINACIONES"))&gt;0,"TERMINACIONES",""))</f>
        <v>OBRA GRUESA, SANITARIOS, ELÉCTRICO, TERMINACIONES</v>
      </c>
      <c r="CU216" s="46" cm="1">
        <f t="array" ref="CU216">SUMPRODUCT(--(BF216:CQ216&lt;1))</f>
        <v>38</v>
      </c>
    </row>
    <row r="217" spans="1:99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46181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 t="str">
        <f>+IF(AVANCE[[#This Row],[% AVANCE]]=100%,"MODULO TERMINADO",IF(AVANCE[[#This Row],[FECHA INICIO REAL]]="","MODULO NO INICIADO","PENDIENTE"))</f>
        <v>MODULO NO INICIADO</v>
      </c>
      <c r="BF217" s="3">
        <f>+IF(AVANCE[[#This Row],[VENTANAS]]=8.10810810810811%,100%,AVANCE[[#This Row],[VENTANAS]])</f>
        <v>0</v>
      </c>
      <c r="BG217" s="3">
        <f>+IF(AVANCE[[#This Row],[PISO]]=N$2,100%,AVANCE[[#This Row],[PISO]])</f>
        <v>0</v>
      </c>
      <c r="BH217" s="3">
        <f>+IF(AVANCE[[#This Row],[TABIQUES]]=O$2,100%,AVANCE[[#This Row],[TABIQUES]])</f>
        <v>0</v>
      </c>
      <c r="BI217" s="3">
        <f>+IF(AVANCE[[#This Row],[MUROS]]=P$2,100%,AVANCE[[#This Row],[MUROS]])</f>
        <v>0</v>
      </c>
      <c r="BJ217" s="3">
        <f>+IF(AVANCE[[#This Row],[CIELO]]=Q$2,100%,AVANCE[[#This Row],[CIELO]])</f>
        <v>0</v>
      </c>
      <c r="BK217" s="3">
        <f>+IF(AVANCE[[#This Row],[BALCÓN]]=R$2,100%,AVANCE[[#This Row],[BALCÓN]])</f>
        <v>0</v>
      </c>
      <c r="BL217" s="3">
        <f>+IF(AVANCE[[#This Row],[RED ALCANTARILLADO]]=U$2,100%,AVANCE[[#This Row],[RED ALCANTARILLADO]])</f>
        <v>0</v>
      </c>
      <c r="BM217" s="3">
        <f>+IF(AVANCE[[#This Row],[RED DE AGUA]]=V$2,100%,AVANCE[[#This Row],[RED DE AGUA]])</f>
        <v>0</v>
      </c>
      <c r="BN217" s="3">
        <f>+IF(AVANCE[[#This Row],[VENTILACIONES]]=W$2,100%,AVANCE[[#This Row],[VENTILACIONES]])</f>
        <v>0</v>
      </c>
      <c r="BO217" s="3">
        <f>+IF(AVANCE[[#This Row],[TINA]]=X$2,100%,AVANCE[[#This Row],[TINA]])</f>
        <v>0</v>
      </c>
      <c r="BP217" s="3">
        <f>+IF(AVANCE[[#This Row],[WC]]=Y$2,100%,AVANCE[[#This Row],[WC]])</f>
        <v>0</v>
      </c>
      <c r="BQ217" s="3">
        <f>+IF(AVANCE[[#This Row],[LAVAMANOS / LAVAPLATOS / LAVADERO]]=Z$2,100%,AVANCE[[#This Row],[LAVAMANOS / LAVAPLATOS / LAVADERO]])</f>
        <v>0</v>
      </c>
      <c r="BR217" s="3">
        <f>+IF(AVANCE[[#This Row],[CANALIZACIÓN]]=AC$2,100%,AVANCE[[#This Row],[CANALIZACIÓN]])</f>
        <v>0</v>
      </c>
      <c r="BS217" s="3">
        <f>+IF(AVANCE[[#This Row],[CABLEADO]]=AD$2,100%,AVANCE[[#This Row],[CABLEADO]])</f>
        <v>0</v>
      </c>
      <c r="BT217" s="3">
        <f>+IF(AVANCE[[#This Row],[ARTEFACTOS]]=AE$2,100%,AVANCE[[#This Row],[ARTEFACTOS]])</f>
        <v>0</v>
      </c>
      <c r="BU217" s="3">
        <f>+IF(AVANCE[[#This Row],[TABLERO]]=AF$2,100%,AVANCE[[#This Row],[TABLERO]])</f>
        <v>0</v>
      </c>
      <c r="BV217" s="3">
        <f>+IF(AVANCE[[#This Row],[CAJA PAU]]=AG$2,100%,AVANCE[[#This Row],[CAJA PAU]])</f>
        <v>0</v>
      </c>
      <c r="BW217" s="3">
        <f>+IF(AVANCE[[#This Row],[INSTALACION VINILICO]]=AJ$2,100%,AVANCE[[#This Row],[INSTALACION VINILICO]])</f>
        <v>0</v>
      </c>
      <c r="BX217" s="3">
        <f>+IF(AVANCE[[#This Row],[OSB CUBIERTA]]=AK$2,100%,AVANCE[[#This Row],[OSB CUBIERTA]])</f>
        <v>0</v>
      </c>
      <c r="BY217" s="3">
        <f>+IF(AVANCE[[#This Row],[BARANDA BALCON]]=AL$2,100%,AVANCE[[#This Row],[BARANDA BALCON]])</f>
        <v>0</v>
      </c>
      <c r="BZ217" s="3">
        <f>+IF(AVANCE[[#This Row],[OSB EXTERIOR]]=AM$2,100%,AVANCE[[#This Row],[OSB EXTERIOR]])</f>
        <v>0</v>
      </c>
      <c r="CA217" s="3">
        <f>+IF(AVANCE[[#This Row],[SMART PANEL]]=AN$2,100%,AVANCE[[#This Row],[SMART PANEL]])</f>
        <v>0</v>
      </c>
      <c r="CB217" s="3">
        <f>+IF(AVANCE[[#This Row],[PINTURA EXTERIOR]]=AO$2,100%,AVANCE[[#This Row],[PINTURA EXTERIOR]])</f>
        <v>0</v>
      </c>
      <c r="CC217" s="3">
        <f>+IF(AVANCE[[#This Row],[ZOCALOS LOGIA]]=AP$2,100%,AVANCE[[#This Row],[ZOCALOS LOGIA]])</f>
        <v>0</v>
      </c>
      <c r="CD217" s="3">
        <f>+IF(AVANCE[[#This Row],[MOLDURAS]]=AQ$2,100%,AVANCE[[#This Row],[MOLDURAS]])</f>
        <v>0</v>
      </c>
      <c r="CE217" s="3">
        <f>+IF(AVANCE[[#This Row],[PILASTREO]]=AR$2,100%,AVANCE[[#This Row],[PILASTREO]])</f>
        <v>0</v>
      </c>
      <c r="CF217" s="3">
        <f>+IF(AVANCE[[#This Row],[CELOSIAS]]=AS$2,100%,AVANCE[[#This Row],[CELOSIAS]])</f>
        <v>0</v>
      </c>
      <c r="CG217" s="3">
        <f>+IF(AVANCE[[#This Row],[VENTANAS]]=AT$2,100%,AVANCE[[#This Row],[VENTANAS]])</f>
        <v>0</v>
      </c>
      <c r="CH217" s="3">
        <f>+IF(AVANCE[[#This Row],[PUERTAS ACCESO - LOGIA - BANO]]=AU$2,100%,AVANCE[[#This Row],[PUERTAS ACCESO - LOGIA - BANO]])</f>
        <v>0</v>
      </c>
      <c r="CI217" s="3">
        <f>+IF(AVANCE[[#This Row],[CERRADURAS]]=AV$2,100%,AVANCE[[#This Row],[CERRADURAS]])</f>
        <v>0</v>
      </c>
      <c r="CJ217" s="3">
        <f>+IF(AVANCE[[#This Row],[REVESTIMIENTO INTERIOR ZONA SECA]]=AW$2,100%,AVANCE[[#This Row],[REVESTIMIENTO INTERIOR ZONA SECA]])</f>
        <v>0</v>
      </c>
      <c r="CK217" s="3">
        <f>+IF(AVANCE[[#This Row],[REVESTIMIENTO INTERIOR ZONAS HUMEDAS]]=AX$2,100%,AVANCE[[#This Row],[REVESTIMIENTO INTERIOR ZONAS HUMEDAS]])</f>
        <v>0</v>
      </c>
      <c r="CL217" s="3">
        <f>+IF(AVANCE[[#This Row],[MEMBRANA CIELO]]=AY$2,100%,AVANCE[[#This Row],[MEMBRANA CIELO]])</f>
        <v>0</v>
      </c>
      <c r="CM217" s="3">
        <f>+IF(AVANCE[[#This Row],[LIMPIEZA FINAL]]=AZ$2,100%,AVANCE[[#This Row],[LIMPIEZA FINAL]])</f>
        <v>0</v>
      </c>
      <c r="CN217" s="3">
        <f>+IF(AVANCE[[#This Row],[PUERTAS DORMITORIO]]=BA$2,100%,AVANCE[[#This Row],[PUERTAS DORMITORIO]])</f>
        <v>0</v>
      </c>
      <c r="CO217" s="3">
        <f>+IF(AVANCE[[#This Row],[REVESTIMIENTO INTERIOR BANO]]=BB$2,100%,AVANCE[[#This Row],[REVESTIMIENTO INTERIOR BANO]])</f>
        <v>0</v>
      </c>
      <c r="CP217" s="3">
        <f>+IF(AVANCE[[#This Row],[MUEBLE LAVAPLATOS]]=BC$2,100%,AVANCE[[#This Row],[MUEBLE LAVAPLATOS]])</f>
        <v>0</v>
      </c>
      <c r="CQ217" s="3">
        <f>+IF(AVANCE[[#This Row],[IMPERMEABILIZACION BANO - COCINA LOGIA]]=BD$2,100%,AVANCE[[#This Row],[IMPERMEABILIZACION BANO - COCINA LOGIA]])</f>
        <v>0</v>
      </c>
      <c r="CR217" s="40">
        <f ca="1">+IF(AVANCE[[#This Row],[ESTADO MODULO]]="PENDIENTE",(TODAY()-AVANCE[[#This Row],[FECHA TERMINO  PLANIFICADO]]),0)</f>
        <v>0</v>
      </c>
      <c r="CS217" s="42" t="str" cm="1">
        <f t="array" ref="CS217">_xlfn.TEXTJOIN(" | ",TRUE,IF(SUMPRODUCT((BF217:CQ217&lt;1)*(PARTIDAS!$I$2:$AT$2="OBRA GRUESA"))&gt;0,"OBRA GRUESA: "&amp;_xlfn.TEXTJOIN(", ",TRUE,IF((BF217:CQ217&lt;1)*(PARTIDAS!$I$2:$AT$2="OBRA GRUESA"),PARTIDAS!$I$1:$AT$1,"")),""),IF(SUMPRODUCT((BF217:CQ217&lt;1)*(PARTIDAS!$I$2:$AT$2="SANITARIOS"))&gt;0,"SANITARIOS: "&amp;_xlfn.TEXTJOIN(", ",TRUE,IF((BF217:CQ217&lt;1)*(PARTIDAS!$I$2:$AT$2="SANITARIOS"),PARTIDAS!$I$1:$AT$1,"")),""),IF(SUMPRODUCT((BF217:CQ217&lt;1)*(PARTIDAS!$I$2:$AT$2="ELÉCTRICO"))&gt;0,"ELÉCTRICO: "&amp;_xlfn.TEXTJOIN(", ",TRUE,IF((BF217:CQ217&lt;1)*(PARTIDAS!$I$2:$AT$2="ELÉCTRICO"),PARTIDAS!$I$1:$AT$1,"")),""),IF(SUMPRODUCT((BF217:CQ217&lt;1)*(PARTIDAS!$I$2:$AT$2="TERMINACIONES"))&gt;0,"TERMINACIONES: "&amp;_xlfn.TEXTJOIN(", ",TRUE,IF((BF217:CQ217&lt;1)*(PARTIDAS!$I$2:$AT$2="TERMINACIONES"),PARTIDAS!$I$1:$AT$1,"")),""))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7" s="45" t="str" cm="1">
        <f t="array" ref="CT217">_xlfn.TEXTJOIN(", ",TRUE,IF(SUMPRODUCT((BF217:CQ217&lt;1)*(PARTIDAS!$I$2:$AT$2="OBRA GRUESA"))&gt;0,"OBRA GRUESA",""),IF(SUMPRODUCT((BF217:CQ217&lt;1)*(PARTIDAS!$I$2:$AT$2="SANITARIOS"))&gt;0,"SANITARIOS",""),IF(SUMPRODUCT((BF217:CQ217&lt;1)*(PARTIDAS!$I$2:$AT$2="ELÉCTRICO"))&gt;0,"ELÉCTRICO",""),IF(SUMPRODUCT((BF217:CQ217&lt;1)*(PARTIDAS!$I$2:$AT$2="TERMINACIONES"))&gt;0,"TERMINACIONES",""))</f>
        <v>OBRA GRUESA, SANITARIOS, ELÉCTRICO, TERMINACIONES</v>
      </c>
      <c r="CU217" s="46" cm="1">
        <f t="array" ref="CU217">SUMPRODUCT(--(BF217:CQ217&lt;1))</f>
        <v>38</v>
      </c>
    </row>
    <row r="218" spans="1:99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46181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 t="str">
        <f>+IF(AVANCE[[#This Row],[% AVANCE]]=100%,"MODULO TERMINADO",IF(AVANCE[[#This Row],[FECHA INICIO REAL]]="","MODULO NO INICIADO","PENDIENTE"))</f>
        <v>MODULO NO INICIADO</v>
      </c>
      <c r="BF218" s="3">
        <f>+IF(AVANCE[[#This Row],[VENTANAS]]=8.10810810810811%,100%,AVANCE[[#This Row],[VENTANAS]])</f>
        <v>0</v>
      </c>
      <c r="BG218" s="3">
        <f>+IF(AVANCE[[#This Row],[PISO]]=N$2,100%,AVANCE[[#This Row],[PISO]])</f>
        <v>0</v>
      </c>
      <c r="BH218" s="3">
        <f>+IF(AVANCE[[#This Row],[TABIQUES]]=O$2,100%,AVANCE[[#This Row],[TABIQUES]])</f>
        <v>0</v>
      </c>
      <c r="BI218" s="3">
        <f>+IF(AVANCE[[#This Row],[MUROS]]=P$2,100%,AVANCE[[#This Row],[MUROS]])</f>
        <v>0</v>
      </c>
      <c r="BJ218" s="3">
        <f>+IF(AVANCE[[#This Row],[CIELO]]=Q$2,100%,AVANCE[[#This Row],[CIELO]])</f>
        <v>0</v>
      </c>
      <c r="BK218" s="3">
        <f>+IF(AVANCE[[#This Row],[BALCÓN]]=R$2,100%,AVANCE[[#This Row],[BALCÓN]])</f>
        <v>0</v>
      </c>
      <c r="BL218" s="3">
        <f>+IF(AVANCE[[#This Row],[RED ALCANTARILLADO]]=U$2,100%,AVANCE[[#This Row],[RED ALCANTARILLADO]])</f>
        <v>0</v>
      </c>
      <c r="BM218" s="3">
        <f>+IF(AVANCE[[#This Row],[RED DE AGUA]]=V$2,100%,AVANCE[[#This Row],[RED DE AGUA]])</f>
        <v>0</v>
      </c>
      <c r="BN218" s="3">
        <f>+IF(AVANCE[[#This Row],[VENTILACIONES]]=W$2,100%,AVANCE[[#This Row],[VENTILACIONES]])</f>
        <v>0</v>
      </c>
      <c r="BO218" s="3">
        <f>+IF(AVANCE[[#This Row],[TINA]]=X$2,100%,AVANCE[[#This Row],[TINA]])</f>
        <v>0</v>
      </c>
      <c r="BP218" s="3">
        <f>+IF(AVANCE[[#This Row],[WC]]=Y$2,100%,AVANCE[[#This Row],[WC]])</f>
        <v>0</v>
      </c>
      <c r="BQ218" s="3">
        <f>+IF(AVANCE[[#This Row],[LAVAMANOS / LAVAPLATOS / LAVADERO]]=Z$2,100%,AVANCE[[#This Row],[LAVAMANOS / LAVAPLATOS / LAVADERO]])</f>
        <v>0</v>
      </c>
      <c r="BR218" s="3">
        <f>+IF(AVANCE[[#This Row],[CANALIZACIÓN]]=AC$2,100%,AVANCE[[#This Row],[CANALIZACIÓN]])</f>
        <v>0</v>
      </c>
      <c r="BS218" s="3">
        <f>+IF(AVANCE[[#This Row],[CABLEADO]]=AD$2,100%,AVANCE[[#This Row],[CABLEADO]])</f>
        <v>0</v>
      </c>
      <c r="BT218" s="3">
        <f>+IF(AVANCE[[#This Row],[ARTEFACTOS]]=AE$2,100%,AVANCE[[#This Row],[ARTEFACTOS]])</f>
        <v>0</v>
      </c>
      <c r="BU218" s="3">
        <f>+IF(AVANCE[[#This Row],[TABLERO]]=AF$2,100%,AVANCE[[#This Row],[TABLERO]])</f>
        <v>0</v>
      </c>
      <c r="BV218" s="3">
        <f>+IF(AVANCE[[#This Row],[CAJA PAU]]=AG$2,100%,AVANCE[[#This Row],[CAJA PAU]])</f>
        <v>0</v>
      </c>
      <c r="BW218" s="3">
        <f>+IF(AVANCE[[#This Row],[INSTALACION VINILICO]]=AJ$2,100%,AVANCE[[#This Row],[INSTALACION VINILICO]])</f>
        <v>0</v>
      </c>
      <c r="BX218" s="3">
        <f>+IF(AVANCE[[#This Row],[OSB CUBIERTA]]=AK$2,100%,AVANCE[[#This Row],[OSB CUBIERTA]])</f>
        <v>0</v>
      </c>
      <c r="BY218" s="3">
        <f>+IF(AVANCE[[#This Row],[BARANDA BALCON]]=AL$2,100%,AVANCE[[#This Row],[BARANDA BALCON]])</f>
        <v>0</v>
      </c>
      <c r="BZ218" s="3">
        <f>+IF(AVANCE[[#This Row],[OSB EXTERIOR]]=AM$2,100%,AVANCE[[#This Row],[OSB EXTERIOR]])</f>
        <v>0</v>
      </c>
      <c r="CA218" s="3">
        <f>+IF(AVANCE[[#This Row],[SMART PANEL]]=AN$2,100%,AVANCE[[#This Row],[SMART PANEL]])</f>
        <v>0</v>
      </c>
      <c r="CB218" s="3">
        <f>+IF(AVANCE[[#This Row],[PINTURA EXTERIOR]]=AO$2,100%,AVANCE[[#This Row],[PINTURA EXTERIOR]])</f>
        <v>0</v>
      </c>
      <c r="CC218" s="3">
        <f>+IF(AVANCE[[#This Row],[ZOCALOS LOGIA]]=AP$2,100%,AVANCE[[#This Row],[ZOCALOS LOGIA]])</f>
        <v>0</v>
      </c>
      <c r="CD218" s="3">
        <f>+IF(AVANCE[[#This Row],[MOLDURAS]]=AQ$2,100%,AVANCE[[#This Row],[MOLDURAS]])</f>
        <v>0</v>
      </c>
      <c r="CE218" s="3">
        <f>+IF(AVANCE[[#This Row],[PILASTREO]]=AR$2,100%,AVANCE[[#This Row],[PILASTREO]])</f>
        <v>0</v>
      </c>
      <c r="CF218" s="3">
        <f>+IF(AVANCE[[#This Row],[CELOSIAS]]=AS$2,100%,AVANCE[[#This Row],[CELOSIAS]])</f>
        <v>0</v>
      </c>
      <c r="CG218" s="3">
        <f>+IF(AVANCE[[#This Row],[VENTANAS]]=AT$2,100%,AVANCE[[#This Row],[VENTANAS]])</f>
        <v>0</v>
      </c>
      <c r="CH218" s="3">
        <f>+IF(AVANCE[[#This Row],[PUERTAS ACCESO - LOGIA - BANO]]=AU$2,100%,AVANCE[[#This Row],[PUERTAS ACCESO - LOGIA - BANO]])</f>
        <v>0</v>
      </c>
      <c r="CI218" s="3">
        <f>+IF(AVANCE[[#This Row],[CERRADURAS]]=AV$2,100%,AVANCE[[#This Row],[CERRADURAS]])</f>
        <v>0</v>
      </c>
      <c r="CJ218" s="3">
        <f>+IF(AVANCE[[#This Row],[REVESTIMIENTO INTERIOR ZONA SECA]]=AW$2,100%,AVANCE[[#This Row],[REVESTIMIENTO INTERIOR ZONA SECA]])</f>
        <v>0</v>
      </c>
      <c r="CK218" s="3">
        <f>+IF(AVANCE[[#This Row],[REVESTIMIENTO INTERIOR ZONAS HUMEDAS]]=AX$2,100%,AVANCE[[#This Row],[REVESTIMIENTO INTERIOR ZONAS HUMEDAS]])</f>
        <v>0</v>
      </c>
      <c r="CL218" s="3">
        <f>+IF(AVANCE[[#This Row],[MEMBRANA CIELO]]=AY$2,100%,AVANCE[[#This Row],[MEMBRANA CIELO]])</f>
        <v>0</v>
      </c>
      <c r="CM218" s="3">
        <f>+IF(AVANCE[[#This Row],[LIMPIEZA FINAL]]=AZ$2,100%,AVANCE[[#This Row],[LIMPIEZA FINAL]])</f>
        <v>0</v>
      </c>
      <c r="CN218" s="3">
        <f>+IF(AVANCE[[#This Row],[PUERTAS DORMITORIO]]=BA$2,100%,AVANCE[[#This Row],[PUERTAS DORMITORIO]])</f>
        <v>0</v>
      </c>
      <c r="CO218" s="3">
        <f>+IF(AVANCE[[#This Row],[REVESTIMIENTO INTERIOR BANO]]=BB$2,100%,AVANCE[[#This Row],[REVESTIMIENTO INTERIOR BANO]])</f>
        <v>0</v>
      </c>
      <c r="CP218" s="3">
        <f>+IF(AVANCE[[#This Row],[MUEBLE LAVAPLATOS]]=BC$2,100%,AVANCE[[#This Row],[MUEBLE LAVAPLATOS]])</f>
        <v>0</v>
      </c>
      <c r="CQ218" s="3">
        <f>+IF(AVANCE[[#This Row],[IMPERMEABILIZACION BANO - COCINA LOGIA]]=BD$2,100%,AVANCE[[#This Row],[IMPERMEABILIZACION BANO - COCINA LOGIA]])</f>
        <v>0</v>
      </c>
      <c r="CR218" s="40">
        <f ca="1">+IF(AVANCE[[#This Row],[ESTADO MODULO]]="PENDIENTE",(TODAY()-AVANCE[[#This Row],[FECHA TERMINO  PLANIFICADO]]),0)</f>
        <v>0</v>
      </c>
      <c r="CS218" s="42" t="str" cm="1">
        <f t="array" ref="CS218">_xlfn.TEXTJOIN(" | ",TRUE,IF(SUMPRODUCT((BF218:CQ218&lt;1)*(PARTIDAS!$I$2:$AT$2="OBRA GRUESA"))&gt;0,"OBRA GRUESA: "&amp;_xlfn.TEXTJOIN(", ",TRUE,IF((BF218:CQ218&lt;1)*(PARTIDAS!$I$2:$AT$2="OBRA GRUESA"),PARTIDAS!$I$1:$AT$1,"")),""),IF(SUMPRODUCT((BF218:CQ218&lt;1)*(PARTIDAS!$I$2:$AT$2="SANITARIOS"))&gt;0,"SANITARIOS: "&amp;_xlfn.TEXTJOIN(", ",TRUE,IF((BF218:CQ218&lt;1)*(PARTIDAS!$I$2:$AT$2="SANITARIOS"),PARTIDAS!$I$1:$AT$1,"")),""),IF(SUMPRODUCT((BF218:CQ218&lt;1)*(PARTIDAS!$I$2:$AT$2="ELÉCTRICO"))&gt;0,"ELÉCTRICO: "&amp;_xlfn.TEXTJOIN(", ",TRUE,IF((BF218:CQ218&lt;1)*(PARTIDAS!$I$2:$AT$2="ELÉCTRICO"),PARTIDAS!$I$1:$AT$1,"")),""),IF(SUMPRODUCT((BF218:CQ218&lt;1)*(PARTIDAS!$I$2:$AT$2="TERMINACIONES"))&gt;0,"TERMINACIONES: "&amp;_xlfn.TEXTJOIN(", ",TRUE,IF((BF218:CQ218&lt;1)*(PARTIDAS!$I$2:$AT$2="TERMINACIONES"),PARTIDAS!$I$1:$AT$1,"")),""))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8" s="45" t="str" cm="1">
        <f t="array" ref="CT218">_xlfn.TEXTJOIN(", ",TRUE,IF(SUMPRODUCT((BF218:CQ218&lt;1)*(PARTIDAS!$I$2:$AT$2="OBRA GRUESA"))&gt;0,"OBRA GRUESA",""),IF(SUMPRODUCT((BF218:CQ218&lt;1)*(PARTIDAS!$I$2:$AT$2="SANITARIOS"))&gt;0,"SANITARIOS",""),IF(SUMPRODUCT((BF218:CQ218&lt;1)*(PARTIDAS!$I$2:$AT$2="ELÉCTRICO"))&gt;0,"ELÉCTRICO",""),IF(SUMPRODUCT((BF218:CQ218&lt;1)*(PARTIDAS!$I$2:$AT$2="TERMINACIONES"))&gt;0,"TERMINACIONES",""))</f>
        <v>OBRA GRUESA, SANITARIOS, ELÉCTRICO, TERMINACIONES</v>
      </c>
      <c r="CU218" s="46" cm="1">
        <f t="array" ref="CU218">SUMPRODUCT(--(BF218:CQ218&lt;1))</f>
        <v>38</v>
      </c>
    </row>
    <row r="219" spans="1:99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46181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 t="str">
        <f>+IF(AVANCE[[#This Row],[% AVANCE]]=100%,"MODULO TERMINADO",IF(AVANCE[[#This Row],[FECHA INICIO REAL]]="","MODULO NO INICIADO","PENDIENTE"))</f>
        <v>MODULO NO INICIADO</v>
      </c>
      <c r="BF219" s="3">
        <f>+IF(AVANCE[[#This Row],[VENTANAS]]=8.10810810810811%,100%,AVANCE[[#This Row],[VENTANAS]])</f>
        <v>0</v>
      </c>
      <c r="BG219" s="3">
        <f>+IF(AVANCE[[#This Row],[PISO]]=N$2,100%,AVANCE[[#This Row],[PISO]])</f>
        <v>0</v>
      </c>
      <c r="BH219" s="3">
        <f>+IF(AVANCE[[#This Row],[TABIQUES]]=O$2,100%,AVANCE[[#This Row],[TABIQUES]])</f>
        <v>0</v>
      </c>
      <c r="BI219" s="3">
        <f>+IF(AVANCE[[#This Row],[MUROS]]=P$2,100%,AVANCE[[#This Row],[MUROS]])</f>
        <v>0</v>
      </c>
      <c r="BJ219" s="3">
        <f>+IF(AVANCE[[#This Row],[CIELO]]=Q$2,100%,AVANCE[[#This Row],[CIELO]])</f>
        <v>0</v>
      </c>
      <c r="BK219" s="3">
        <f>+IF(AVANCE[[#This Row],[BALCÓN]]=R$2,100%,AVANCE[[#This Row],[BALCÓN]])</f>
        <v>0</v>
      </c>
      <c r="BL219" s="3">
        <f>+IF(AVANCE[[#This Row],[RED ALCANTARILLADO]]=U$2,100%,AVANCE[[#This Row],[RED ALCANTARILLADO]])</f>
        <v>0</v>
      </c>
      <c r="BM219" s="3">
        <f>+IF(AVANCE[[#This Row],[RED DE AGUA]]=V$2,100%,AVANCE[[#This Row],[RED DE AGUA]])</f>
        <v>0</v>
      </c>
      <c r="BN219" s="3">
        <f>+IF(AVANCE[[#This Row],[VENTILACIONES]]=W$2,100%,AVANCE[[#This Row],[VENTILACIONES]])</f>
        <v>0</v>
      </c>
      <c r="BO219" s="3">
        <f>+IF(AVANCE[[#This Row],[TINA]]=X$2,100%,AVANCE[[#This Row],[TINA]])</f>
        <v>0</v>
      </c>
      <c r="BP219" s="3">
        <f>+IF(AVANCE[[#This Row],[WC]]=Y$2,100%,AVANCE[[#This Row],[WC]])</f>
        <v>0</v>
      </c>
      <c r="BQ219" s="3">
        <f>+IF(AVANCE[[#This Row],[LAVAMANOS / LAVAPLATOS / LAVADERO]]=Z$2,100%,AVANCE[[#This Row],[LAVAMANOS / LAVAPLATOS / LAVADERO]])</f>
        <v>0</v>
      </c>
      <c r="BR219" s="3">
        <f>+IF(AVANCE[[#This Row],[CANALIZACIÓN]]=AC$2,100%,AVANCE[[#This Row],[CANALIZACIÓN]])</f>
        <v>0</v>
      </c>
      <c r="BS219" s="3">
        <f>+IF(AVANCE[[#This Row],[CABLEADO]]=AD$2,100%,AVANCE[[#This Row],[CABLEADO]])</f>
        <v>0</v>
      </c>
      <c r="BT219" s="3">
        <f>+IF(AVANCE[[#This Row],[ARTEFACTOS]]=AE$2,100%,AVANCE[[#This Row],[ARTEFACTOS]])</f>
        <v>0</v>
      </c>
      <c r="BU219" s="3">
        <f>+IF(AVANCE[[#This Row],[TABLERO]]=AF$2,100%,AVANCE[[#This Row],[TABLERO]])</f>
        <v>0</v>
      </c>
      <c r="BV219" s="3">
        <f>+IF(AVANCE[[#This Row],[CAJA PAU]]=AG$2,100%,AVANCE[[#This Row],[CAJA PAU]])</f>
        <v>0</v>
      </c>
      <c r="BW219" s="3">
        <f>+IF(AVANCE[[#This Row],[INSTALACION VINILICO]]=AJ$2,100%,AVANCE[[#This Row],[INSTALACION VINILICO]])</f>
        <v>0</v>
      </c>
      <c r="BX219" s="3">
        <f>+IF(AVANCE[[#This Row],[OSB CUBIERTA]]=AK$2,100%,AVANCE[[#This Row],[OSB CUBIERTA]])</f>
        <v>0</v>
      </c>
      <c r="BY219" s="3">
        <f>+IF(AVANCE[[#This Row],[BARANDA BALCON]]=AL$2,100%,AVANCE[[#This Row],[BARANDA BALCON]])</f>
        <v>0</v>
      </c>
      <c r="BZ219" s="3">
        <f>+IF(AVANCE[[#This Row],[OSB EXTERIOR]]=AM$2,100%,AVANCE[[#This Row],[OSB EXTERIOR]])</f>
        <v>0</v>
      </c>
      <c r="CA219" s="3">
        <f>+IF(AVANCE[[#This Row],[SMART PANEL]]=AN$2,100%,AVANCE[[#This Row],[SMART PANEL]])</f>
        <v>0</v>
      </c>
      <c r="CB219" s="3">
        <f>+IF(AVANCE[[#This Row],[PINTURA EXTERIOR]]=AO$2,100%,AVANCE[[#This Row],[PINTURA EXTERIOR]])</f>
        <v>0</v>
      </c>
      <c r="CC219" s="3">
        <f>+IF(AVANCE[[#This Row],[ZOCALOS LOGIA]]=AP$2,100%,AVANCE[[#This Row],[ZOCALOS LOGIA]])</f>
        <v>0</v>
      </c>
      <c r="CD219" s="3">
        <f>+IF(AVANCE[[#This Row],[MOLDURAS]]=AQ$2,100%,AVANCE[[#This Row],[MOLDURAS]])</f>
        <v>0</v>
      </c>
      <c r="CE219" s="3">
        <f>+IF(AVANCE[[#This Row],[PILASTREO]]=AR$2,100%,AVANCE[[#This Row],[PILASTREO]])</f>
        <v>0</v>
      </c>
      <c r="CF219" s="3">
        <f>+IF(AVANCE[[#This Row],[CELOSIAS]]=AS$2,100%,AVANCE[[#This Row],[CELOSIAS]])</f>
        <v>0</v>
      </c>
      <c r="CG219" s="3">
        <f>+IF(AVANCE[[#This Row],[VENTANAS]]=AT$2,100%,AVANCE[[#This Row],[VENTANAS]])</f>
        <v>0</v>
      </c>
      <c r="CH219" s="3">
        <f>+IF(AVANCE[[#This Row],[PUERTAS ACCESO - LOGIA - BANO]]=AU$2,100%,AVANCE[[#This Row],[PUERTAS ACCESO - LOGIA - BANO]])</f>
        <v>0</v>
      </c>
      <c r="CI219" s="3">
        <f>+IF(AVANCE[[#This Row],[CERRADURAS]]=AV$2,100%,AVANCE[[#This Row],[CERRADURAS]])</f>
        <v>0</v>
      </c>
      <c r="CJ219" s="3">
        <f>+IF(AVANCE[[#This Row],[REVESTIMIENTO INTERIOR ZONA SECA]]=AW$2,100%,AVANCE[[#This Row],[REVESTIMIENTO INTERIOR ZONA SECA]])</f>
        <v>0</v>
      </c>
      <c r="CK219" s="3">
        <f>+IF(AVANCE[[#This Row],[REVESTIMIENTO INTERIOR ZONAS HUMEDAS]]=AX$2,100%,AVANCE[[#This Row],[REVESTIMIENTO INTERIOR ZONAS HUMEDAS]])</f>
        <v>0</v>
      </c>
      <c r="CL219" s="3">
        <f>+IF(AVANCE[[#This Row],[MEMBRANA CIELO]]=AY$2,100%,AVANCE[[#This Row],[MEMBRANA CIELO]])</f>
        <v>0</v>
      </c>
      <c r="CM219" s="3">
        <f>+IF(AVANCE[[#This Row],[LIMPIEZA FINAL]]=AZ$2,100%,AVANCE[[#This Row],[LIMPIEZA FINAL]])</f>
        <v>0</v>
      </c>
      <c r="CN219" s="3">
        <f>+IF(AVANCE[[#This Row],[PUERTAS DORMITORIO]]=BA$2,100%,AVANCE[[#This Row],[PUERTAS DORMITORIO]])</f>
        <v>0</v>
      </c>
      <c r="CO219" s="3">
        <f>+IF(AVANCE[[#This Row],[REVESTIMIENTO INTERIOR BANO]]=BB$2,100%,AVANCE[[#This Row],[REVESTIMIENTO INTERIOR BANO]])</f>
        <v>0</v>
      </c>
      <c r="CP219" s="3">
        <f>+IF(AVANCE[[#This Row],[MUEBLE LAVAPLATOS]]=BC$2,100%,AVANCE[[#This Row],[MUEBLE LAVAPLATOS]])</f>
        <v>0</v>
      </c>
      <c r="CQ219" s="3">
        <f>+IF(AVANCE[[#This Row],[IMPERMEABILIZACION BANO - COCINA LOGIA]]=BD$2,100%,AVANCE[[#This Row],[IMPERMEABILIZACION BANO - COCINA LOGIA]])</f>
        <v>0</v>
      </c>
      <c r="CR219" s="40">
        <f ca="1">+IF(AVANCE[[#This Row],[ESTADO MODULO]]="PENDIENTE",(TODAY()-AVANCE[[#This Row],[FECHA TERMINO  PLANIFICADO]]),0)</f>
        <v>0</v>
      </c>
      <c r="CS219" s="42" t="str" cm="1">
        <f t="array" ref="CS219">_xlfn.TEXTJOIN(" | ",TRUE,IF(SUMPRODUCT((BF219:CQ219&lt;1)*(PARTIDAS!$I$2:$AT$2="OBRA GRUESA"))&gt;0,"OBRA GRUESA: "&amp;_xlfn.TEXTJOIN(", ",TRUE,IF((BF219:CQ219&lt;1)*(PARTIDAS!$I$2:$AT$2="OBRA GRUESA"),PARTIDAS!$I$1:$AT$1,"")),""),IF(SUMPRODUCT((BF219:CQ219&lt;1)*(PARTIDAS!$I$2:$AT$2="SANITARIOS"))&gt;0,"SANITARIOS: "&amp;_xlfn.TEXTJOIN(", ",TRUE,IF((BF219:CQ219&lt;1)*(PARTIDAS!$I$2:$AT$2="SANITARIOS"),PARTIDAS!$I$1:$AT$1,"")),""),IF(SUMPRODUCT((BF219:CQ219&lt;1)*(PARTIDAS!$I$2:$AT$2="ELÉCTRICO"))&gt;0,"ELÉCTRICO: "&amp;_xlfn.TEXTJOIN(", ",TRUE,IF((BF219:CQ219&lt;1)*(PARTIDAS!$I$2:$AT$2="ELÉCTRICO"),PARTIDAS!$I$1:$AT$1,"")),""),IF(SUMPRODUCT((BF219:CQ219&lt;1)*(PARTIDAS!$I$2:$AT$2="TERMINACIONES"))&gt;0,"TERMINACIONES: "&amp;_xlfn.TEXTJOIN(", ",TRUE,IF((BF219:CQ219&lt;1)*(PARTIDAS!$I$2:$AT$2="TERMINACIONES"),PARTIDAS!$I$1:$AT$1,"")),""))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19" s="45" t="str" cm="1">
        <f t="array" ref="CT219">_xlfn.TEXTJOIN(", ",TRUE,IF(SUMPRODUCT((BF219:CQ219&lt;1)*(PARTIDAS!$I$2:$AT$2="OBRA GRUESA"))&gt;0,"OBRA GRUESA",""),IF(SUMPRODUCT((BF219:CQ219&lt;1)*(PARTIDAS!$I$2:$AT$2="SANITARIOS"))&gt;0,"SANITARIOS",""),IF(SUMPRODUCT((BF219:CQ219&lt;1)*(PARTIDAS!$I$2:$AT$2="ELÉCTRICO"))&gt;0,"ELÉCTRICO",""),IF(SUMPRODUCT((BF219:CQ219&lt;1)*(PARTIDAS!$I$2:$AT$2="TERMINACIONES"))&gt;0,"TERMINACIONES",""))</f>
        <v>OBRA GRUESA, SANITARIOS, ELÉCTRICO, TERMINACIONES</v>
      </c>
      <c r="CU219" s="46" cm="1">
        <f t="array" ref="CU219">SUMPRODUCT(--(BF219:CQ219&lt;1))</f>
        <v>38</v>
      </c>
    </row>
    <row r="220" spans="1:99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46181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 t="str">
        <f>+IF(AVANCE[[#This Row],[% AVANCE]]=100%,"MODULO TERMINADO",IF(AVANCE[[#This Row],[FECHA INICIO REAL]]="","MODULO NO INICIADO","PENDIENTE"))</f>
        <v>MODULO NO INICIADO</v>
      </c>
      <c r="BF220" s="3">
        <f>+IF(AVANCE[[#This Row],[VENTANAS]]=8.10810810810811%,100%,AVANCE[[#This Row],[VENTANAS]])</f>
        <v>0</v>
      </c>
      <c r="BG220" s="3">
        <f>+IF(AVANCE[[#This Row],[PISO]]=N$2,100%,AVANCE[[#This Row],[PISO]])</f>
        <v>0</v>
      </c>
      <c r="BH220" s="3">
        <f>+IF(AVANCE[[#This Row],[TABIQUES]]=O$2,100%,AVANCE[[#This Row],[TABIQUES]])</f>
        <v>0</v>
      </c>
      <c r="BI220" s="3">
        <f>+IF(AVANCE[[#This Row],[MUROS]]=P$2,100%,AVANCE[[#This Row],[MUROS]])</f>
        <v>0</v>
      </c>
      <c r="BJ220" s="3">
        <f>+IF(AVANCE[[#This Row],[CIELO]]=Q$2,100%,AVANCE[[#This Row],[CIELO]])</f>
        <v>0</v>
      </c>
      <c r="BK220" s="3">
        <f>+IF(AVANCE[[#This Row],[BALCÓN]]=R$2,100%,AVANCE[[#This Row],[BALCÓN]])</f>
        <v>0</v>
      </c>
      <c r="BL220" s="3">
        <f>+IF(AVANCE[[#This Row],[RED ALCANTARILLADO]]=U$2,100%,AVANCE[[#This Row],[RED ALCANTARILLADO]])</f>
        <v>0</v>
      </c>
      <c r="BM220" s="3">
        <f>+IF(AVANCE[[#This Row],[RED DE AGUA]]=V$2,100%,AVANCE[[#This Row],[RED DE AGUA]])</f>
        <v>0</v>
      </c>
      <c r="BN220" s="3">
        <f>+IF(AVANCE[[#This Row],[VENTILACIONES]]=W$2,100%,AVANCE[[#This Row],[VENTILACIONES]])</f>
        <v>0</v>
      </c>
      <c r="BO220" s="3">
        <f>+IF(AVANCE[[#This Row],[TINA]]=X$2,100%,AVANCE[[#This Row],[TINA]])</f>
        <v>0</v>
      </c>
      <c r="BP220" s="3">
        <f>+IF(AVANCE[[#This Row],[WC]]=Y$2,100%,AVANCE[[#This Row],[WC]])</f>
        <v>0</v>
      </c>
      <c r="BQ220" s="3">
        <f>+IF(AVANCE[[#This Row],[LAVAMANOS / LAVAPLATOS / LAVADERO]]=Z$2,100%,AVANCE[[#This Row],[LAVAMANOS / LAVAPLATOS / LAVADERO]])</f>
        <v>0</v>
      </c>
      <c r="BR220" s="3">
        <f>+IF(AVANCE[[#This Row],[CANALIZACIÓN]]=AC$2,100%,AVANCE[[#This Row],[CANALIZACIÓN]])</f>
        <v>0</v>
      </c>
      <c r="BS220" s="3">
        <f>+IF(AVANCE[[#This Row],[CABLEADO]]=AD$2,100%,AVANCE[[#This Row],[CABLEADO]])</f>
        <v>0</v>
      </c>
      <c r="BT220" s="3">
        <f>+IF(AVANCE[[#This Row],[ARTEFACTOS]]=AE$2,100%,AVANCE[[#This Row],[ARTEFACTOS]])</f>
        <v>0</v>
      </c>
      <c r="BU220" s="3">
        <f>+IF(AVANCE[[#This Row],[TABLERO]]=AF$2,100%,AVANCE[[#This Row],[TABLERO]])</f>
        <v>0</v>
      </c>
      <c r="BV220" s="3">
        <f>+IF(AVANCE[[#This Row],[CAJA PAU]]=AG$2,100%,AVANCE[[#This Row],[CAJA PAU]])</f>
        <v>0</v>
      </c>
      <c r="BW220" s="3">
        <f>+IF(AVANCE[[#This Row],[INSTALACION VINILICO]]=AJ$2,100%,AVANCE[[#This Row],[INSTALACION VINILICO]])</f>
        <v>0</v>
      </c>
      <c r="BX220" s="3">
        <f>+IF(AVANCE[[#This Row],[OSB CUBIERTA]]=AK$2,100%,AVANCE[[#This Row],[OSB CUBIERTA]])</f>
        <v>0</v>
      </c>
      <c r="BY220" s="3">
        <f>+IF(AVANCE[[#This Row],[BARANDA BALCON]]=AL$2,100%,AVANCE[[#This Row],[BARANDA BALCON]])</f>
        <v>0</v>
      </c>
      <c r="BZ220" s="3">
        <f>+IF(AVANCE[[#This Row],[OSB EXTERIOR]]=AM$2,100%,AVANCE[[#This Row],[OSB EXTERIOR]])</f>
        <v>0</v>
      </c>
      <c r="CA220" s="3">
        <f>+IF(AVANCE[[#This Row],[SMART PANEL]]=AN$2,100%,AVANCE[[#This Row],[SMART PANEL]])</f>
        <v>0</v>
      </c>
      <c r="CB220" s="3">
        <f>+IF(AVANCE[[#This Row],[PINTURA EXTERIOR]]=AO$2,100%,AVANCE[[#This Row],[PINTURA EXTERIOR]])</f>
        <v>0</v>
      </c>
      <c r="CC220" s="3">
        <f>+IF(AVANCE[[#This Row],[ZOCALOS LOGIA]]=AP$2,100%,AVANCE[[#This Row],[ZOCALOS LOGIA]])</f>
        <v>0</v>
      </c>
      <c r="CD220" s="3">
        <f>+IF(AVANCE[[#This Row],[MOLDURAS]]=AQ$2,100%,AVANCE[[#This Row],[MOLDURAS]])</f>
        <v>0</v>
      </c>
      <c r="CE220" s="3">
        <f>+IF(AVANCE[[#This Row],[PILASTREO]]=AR$2,100%,AVANCE[[#This Row],[PILASTREO]])</f>
        <v>0</v>
      </c>
      <c r="CF220" s="3">
        <f>+IF(AVANCE[[#This Row],[CELOSIAS]]=AS$2,100%,AVANCE[[#This Row],[CELOSIAS]])</f>
        <v>0</v>
      </c>
      <c r="CG220" s="3">
        <f>+IF(AVANCE[[#This Row],[VENTANAS]]=AT$2,100%,AVANCE[[#This Row],[VENTANAS]])</f>
        <v>0</v>
      </c>
      <c r="CH220" s="3">
        <f>+IF(AVANCE[[#This Row],[PUERTAS ACCESO - LOGIA - BANO]]=AU$2,100%,AVANCE[[#This Row],[PUERTAS ACCESO - LOGIA - BANO]])</f>
        <v>0</v>
      </c>
      <c r="CI220" s="3">
        <f>+IF(AVANCE[[#This Row],[CERRADURAS]]=AV$2,100%,AVANCE[[#This Row],[CERRADURAS]])</f>
        <v>0</v>
      </c>
      <c r="CJ220" s="3">
        <f>+IF(AVANCE[[#This Row],[REVESTIMIENTO INTERIOR ZONA SECA]]=AW$2,100%,AVANCE[[#This Row],[REVESTIMIENTO INTERIOR ZONA SECA]])</f>
        <v>0</v>
      </c>
      <c r="CK220" s="3">
        <f>+IF(AVANCE[[#This Row],[REVESTIMIENTO INTERIOR ZONAS HUMEDAS]]=AX$2,100%,AVANCE[[#This Row],[REVESTIMIENTO INTERIOR ZONAS HUMEDAS]])</f>
        <v>0</v>
      </c>
      <c r="CL220" s="3">
        <f>+IF(AVANCE[[#This Row],[MEMBRANA CIELO]]=AY$2,100%,AVANCE[[#This Row],[MEMBRANA CIELO]])</f>
        <v>0</v>
      </c>
      <c r="CM220" s="3">
        <f>+IF(AVANCE[[#This Row],[LIMPIEZA FINAL]]=AZ$2,100%,AVANCE[[#This Row],[LIMPIEZA FINAL]])</f>
        <v>0</v>
      </c>
      <c r="CN220" s="3">
        <f>+IF(AVANCE[[#This Row],[PUERTAS DORMITORIO]]=BA$2,100%,AVANCE[[#This Row],[PUERTAS DORMITORIO]])</f>
        <v>0</v>
      </c>
      <c r="CO220" s="3">
        <f>+IF(AVANCE[[#This Row],[REVESTIMIENTO INTERIOR BANO]]=BB$2,100%,AVANCE[[#This Row],[REVESTIMIENTO INTERIOR BANO]])</f>
        <v>0</v>
      </c>
      <c r="CP220" s="3">
        <f>+IF(AVANCE[[#This Row],[MUEBLE LAVAPLATOS]]=BC$2,100%,AVANCE[[#This Row],[MUEBLE LAVAPLATOS]])</f>
        <v>0</v>
      </c>
      <c r="CQ220" s="3">
        <f>+IF(AVANCE[[#This Row],[IMPERMEABILIZACION BANO - COCINA LOGIA]]=BD$2,100%,AVANCE[[#This Row],[IMPERMEABILIZACION BANO - COCINA LOGIA]])</f>
        <v>0</v>
      </c>
      <c r="CR220" s="40">
        <f ca="1">+IF(AVANCE[[#This Row],[ESTADO MODULO]]="PENDIENTE",(TODAY()-AVANCE[[#This Row],[FECHA TERMINO  PLANIFICADO]]),0)</f>
        <v>0</v>
      </c>
      <c r="CS220" s="42" t="str" cm="1">
        <f t="array" ref="CS220">_xlfn.TEXTJOIN(" | ",TRUE,IF(SUMPRODUCT((BF220:CQ220&lt;1)*(PARTIDAS!$I$2:$AT$2="OBRA GRUESA"))&gt;0,"OBRA GRUESA: "&amp;_xlfn.TEXTJOIN(", ",TRUE,IF((BF220:CQ220&lt;1)*(PARTIDAS!$I$2:$AT$2="OBRA GRUESA"),PARTIDAS!$I$1:$AT$1,"")),""),IF(SUMPRODUCT((BF220:CQ220&lt;1)*(PARTIDAS!$I$2:$AT$2="SANITARIOS"))&gt;0,"SANITARIOS: "&amp;_xlfn.TEXTJOIN(", ",TRUE,IF((BF220:CQ220&lt;1)*(PARTIDAS!$I$2:$AT$2="SANITARIOS"),PARTIDAS!$I$1:$AT$1,"")),""),IF(SUMPRODUCT((BF220:CQ220&lt;1)*(PARTIDAS!$I$2:$AT$2="ELÉCTRICO"))&gt;0,"ELÉCTRICO: "&amp;_xlfn.TEXTJOIN(", ",TRUE,IF((BF220:CQ220&lt;1)*(PARTIDAS!$I$2:$AT$2="ELÉCTRICO"),PARTIDAS!$I$1:$AT$1,"")),""),IF(SUMPRODUCT((BF220:CQ220&lt;1)*(PARTIDAS!$I$2:$AT$2="TERMINACIONES"))&gt;0,"TERMINACIONES: "&amp;_xlfn.TEXTJOIN(", ",TRUE,IF((BF220:CQ220&lt;1)*(PARTIDAS!$I$2:$AT$2="TERMINACIONES"),PARTIDAS!$I$1:$AT$1,"")),""))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0" s="45" t="str" cm="1">
        <f t="array" ref="CT220">_xlfn.TEXTJOIN(", ",TRUE,IF(SUMPRODUCT((BF220:CQ220&lt;1)*(PARTIDAS!$I$2:$AT$2="OBRA GRUESA"))&gt;0,"OBRA GRUESA",""),IF(SUMPRODUCT((BF220:CQ220&lt;1)*(PARTIDAS!$I$2:$AT$2="SANITARIOS"))&gt;0,"SANITARIOS",""),IF(SUMPRODUCT((BF220:CQ220&lt;1)*(PARTIDAS!$I$2:$AT$2="ELÉCTRICO"))&gt;0,"ELÉCTRICO",""),IF(SUMPRODUCT((BF220:CQ220&lt;1)*(PARTIDAS!$I$2:$AT$2="TERMINACIONES"))&gt;0,"TERMINACIONES",""))</f>
        <v>OBRA GRUESA, SANITARIOS, ELÉCTRICO, TERMINACIONES</v>
      </c>
      <c r="CU220" s="46" cm="1">
        <f t="array" ref="CU220">SUMPRODUCT(--(BF220:CQ220&lt;1))</f>
        <v>38</v>
      </c>
    </row>
    <row r="221" spans="1:99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46181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 t="str">
        <f>+IF(AVANCE[[#This Row],[% AVANCE]]=100%,"MODULO TERMINADO",IF(AVANCE[[#This Row],[FECHA INICIO REAL]]="","MODULO NO INICIADO","PENDIENTE"))</f>
        <v>MODULO NO INICIADO</v>
      </c>
      <c r="BF221" s="3">
        <f>+IF(AVANCE[[#This Row],[VENTANAS]]=8.10810810810811%,100%,AVANCE[[#This Row],[VENTANAS]])</f>
        <v>0</v>
      </c>
      <c r="BG221" s="3">
        <f>+IF(AVANCE[[#This Row],[PISO]]=N$2,100%,AVANCE[[#This Row],[PISO]])</f>
        <v>0</v>
      </c>
      <c r="BH221" s="3">
        <f>+IF(AVANCE[[#This Row],[TABIQUES]]=O$2,100%,AVANCE[[#This Row],[TABIQUES]])</f>
        <v>0</v>
      </c>
      <c r="BI221" s="3">
        <f>+IF(AVANCE[[#This Row],[MUROS]]=P$2,100%,AVANCE[[#This Row],[MUROS]])</f>
        <v>0</v>
      </c>
      <c r="BJ221" s="3">
        <f>+IF(AVANCE[[#This Row],[CIELO]]=Q$2,100%,AVANCE[[#This Row],[CIELO]])</f>
        <v>0</v>
      </c>
      <c r="BK221" s="3">
        <f>+IF(AVANCE[[#This Row],[BALCÓN]]=R$2,100%,AVANCE[[#This Row],[BALCÓN]])</f>
        <v>0</v>
      </c>
      <c r="BL221" s="3">
        <f>+IF(AVANCE[[#This Row],[RED ALCANTARILLADO]]=U$2,100%,AVANCE[[#This Row],[RED ALCANTARILLADO]])</f>
        <v>0</v>
      </c>
      <c r="BM221" s="3">
        <f>+IF(AVANCE[[#This Row],[RED DE AGUA]]=V$2,100%,AVANCE[[#This Row],[RED DE AGUA]])</f>
        <v>0</v>
      </c>
      <c r="BN221" s="3">
        <f>+IF(AVANCE[[#This Row],[VENTILACIONES]]=W$2,100%,AVANCE[[#This Row],[VENTILACIONES]])</f>
        <v>0</v>
      </c>
      <c r="BO221" s="3">
        <f>+IF(AVANCE[[#This Row],[TINA]]=X$2,100%,AVANCE[[#This Row],[TINA]])</f>
        <v>0</v>
      </c>
      <c r="BP221" s="3">
        <f>+IF(AVANCE[[#This Row],[WC]]=Y$2,100%,AVANCE[[#This Row],[WC]])</f>
        <v>0</v>
      </c>
      <c r="BQ221" s="3">
        <f>+IF(AVANCE[[#This Row],[LAVAMANOS / LAVAPLATOS / LAVADERO]]=Z$2,100%,AVANCE[[#This Row],[LAVAMANOS / LAVAPLATOS / LAVADERO]])</f>
        <v>0</v>
      </c>
      <c r="BR221" s="3">
        <f>+IF(AVANCE[[#This Row],[CANALIZACIÓN]]=AC$2,100%,AVANCE[[#This Row],[CANALIZACIÓN]])</f>
        <v>0</v>
      </c>
      <c r="BS221" s="3">
        <f>+IF(AVANCE[[#This Row],[CABLEADO]]=AD$2,100%,AVANCE[[#This Row],[CABLEADO]])</f>
        <v>0</v>
      </c>
      <c r="BT221" s="3">
        <f>+IF(AVANCE[[#This Row],[ARTEFACTOS]]=AE$2,100%,AVANCE[[#This Row],[ARTEFACTOS]])</f>
        <v>0</v>
      </c>
      <c r="BU221" s="3">
        <f>+IF(AVANCE[[#This Row],[TABLERO]]=AF$2,100%,AVANCE[[#This Row],[TABLERO]])</f>
        <v>0</v>
      </c>
      <c r="BV221" s="3">
        <f>+IF(AVANCE[[#This Row],[CAJA PAU]]=AG$2,100%,AVANCE[[#This Row],[CAJA PAU]])</f>
        <v>0</v>
      </c>
      <c r="BW221" s="3">
        <f>+IF(AVANCE[[#This Row],[INSTALACION VINILICO]]=AJ$2,100%,AVANCE[[#This Row],[INSTALACION VINILICO]])</f>
        <v>0</v>
      </c>
      <c r="BX221" s="3">
        <f>+IF(AVANCE[[#This Row],[OSB CUBIERTA]]=AK$2,100%,AVANCE[[#This Row],[OSB CUBIERTA]])</f>
        <v>0</v>
      </c>
      <c r="BY221" s="3">
        <f>+IF(AVANCE[[#This Row],[BARANDA BALCON]]=AL$2,100%,AVANCE[[#This Row],[BARANDA BALCON]])</f>
        <v>0</v>
      </c>
      <c r="BZ221" s="3">
        <f>+IF(AVANCE[[#This Row],[OSB EXTERIOR]]=AM$2,100%,AVANCE[[#This Row],[OSB EXTERIOR]])</f>
        <v>0</v>
      </c>
      <c r="CA221" s="3">
        <f>+IF(AVANCE[[#This Row],[SMART PANEL]]=AN$2,100%,AVANCE[[#This Row],[SMART PANEL]])</f>
        <v>0</v>
      </c>
      <c r="CB221" s="3">
        <f>+IF(AVANCE[[#This Row],[PINTURA EXTERIOR]]=AO$2,100%,AVANCE[[#This Row],[PINTURA EXTERIOR]])</f>
        <v>0</v>
      </c>
      <c r="CC221" s="3">
        <f>+IF(AVANCE[[#This Row],[ZOCALOS LOGIA]]=AP$2,100%,AVANCE[[#This Row],[ZOCALOS LOGIA]])</f>
        <v>0</v>
      </c>
      <c r="CD221" s="3">
        <f>+IF(AVANCE[[#This Row],[MOLDURAS]]=AQ$2,100%,AVANCE[[#This Row],[MOLDURAS]])</f>
        <v>0</v>
      </c>
      <c r="CE221" s="3">
        <f>+IF(AVANCE[[#This Row],[PILASTREO]]=AR$2,100%,AVANCE[[#This Row],[PILASTREO]])</f>
        <v>0</v>
      </c>
      <c r="CF221" s="3">
        <f>+IF(AVANCE[[#This Row],[CELOSIAS]]=AS$2,100%,AVANCE[[#This Row],[CELOSIAS]])</f>
        <v>0</v>
      </c>
      <c r="CG221" s="3">
        <f>+IF(AVANCE[[#This Row],[VENTANAS]]=AT$2,100%,AVANCE[[#This Row],[VENTANAS]])</f>
        <v>0</v>
      </c>
      <c r="CH221" s="3">
        <f>+IF(AVANCE[[#This Row],[PUERTAS ACCESO - LOGIA - BANO]]=AU$2,100%,AVANCE[[#This Row],[PUERTAS ACCESO - LOGIA - BANO]])</f>
        <v>0</v>
      </c>
      <c r="CI221" s="3">
        <f>+IF(AVANCE[[#This Row],[CERRADURAS]]=AV$2,100%,AVANCE[[#This Row],[CERRADURAS]])</f>
        <v>0</v>
      </c>
      <c r="CJ221" s="3">
        <f>+IF(AVANCE[[#This Row],[REVESTIMIENTO INTERIOR ZONA SECA]]=AW$2,100%,AVANCE[[#This Row],[REVESTIMIENTO INTERIOR ZONA SECA]])</f>
        <v>0</v>
      </c>
      <c r="CK221" s="3">
        <f>+IF(AVANCE[[#This Row],[REVESTIMIENTO INTERIOR ZONAS HUMEDAS]]=AX$2,100%,AVANCE[[#This Row],[REVESTIMIENTO INTERIOR ZONAS HUMEDAS]])</f>
        <v>0</v>
      </c>
      <c r="CL221" s="3">
        <f>+IF(AVANCE[[#This Row],[MEMBRANA CIELO]]=AY$2,100%,AVANCE[[#This Row],[MEMBRANA CIELO]])</f>
        <v>0</v>
      </c>
      <c r="CM221" s="3">
        <f>+IF(AVANCE[[#This Row],[LIMPIEZA FINAL]]=AZ$2,100%,AVANCE[[#This Row],[LIMPIEZA FINAL]])</f>
        <v>0</v>
      </c>
      <c r="CN221" s="3">
        <f>+IF(AVANCE[[#This Row],[PUERTAS DORMITORIO]]=BA$2,100%,AVANCE[[#This Row],[PUERTAS DORMITORIO]])</f>
        <v>0</v>
      </c>
      <c r="CO221" s="3">
        <f>+IF(AVANCE[[#This Row],[REVESTIMIENTO INTERIOR BANO]]=BB$2,100%,AVANCE[[#This Row],[REVESTIMIENTO INTERIOR BANO]])</f>
        <v>0</v>
      </c>
      <c r="CP221" s="3">
        <f>+IF(AVANCE[[#This Row],[MUEBLE LAVAPLATOS]]=BC$2,100%,AVANCE[[#This Row],[MUEBLE LAVAPLATOS]])</f>
        <v>0</v>
      </c>
      <c r="CQ221" s="3">
        <f>+IF(AVANCE[[#This Row],[IMPERMEABILIZACION BANO - COCINA LOGIA]]=BD$2,100%,AVANCE[[#This Row],[IMPERMEABILIZACION BANO - COCINA LOGIA]])</f>
        <v>0</v>
      </c>
      <c r="CR221" s="40">
        <f ca="1">+IF(AVANCE[[#This Row],[ESTADO MODULO]]="PENDIENTE",(TODAY()-AVANCE[[#This Row],[FECHA TERMINO  PLANIFICADO]]),0)</f>
        <v>0</v>
      </c>
      <c r="CS221" s="42" t="str" cm="1">
        <f t="array" ref="CS221">_xlfn.TEXTJOIN(" | ",TRUE,IF(SUMPRODUCT((BF221:CQ221&lt;1)*(PARTIDAS!$I$2:$AT$2="OBRA GRUESA"))&gt;0,"OBRA GRUESA: "&amp;_xlfn.TEXTJOIN(", ",TRUE,IF((BF221:CQ221&lt;1)*(PARTIDAS!$I$2:$AT$2="OBRA GRUESA"),PARTIDAS!$I$1:$AT$1,"")),""),IF(SUMPRODUCT((BF221:CQ221&lt;1)*(PARTIDAS!$I$2:$AT$2="SANITARIOS"))&gt;0,"SANITARIOS: "&amp;_xlfn.TEXTJOIN(", ",TRUE,IF((BF221:CQ221&lt;1)*(PARTIDAS!$I$2:$AT$2="SANITARIOS"),PARTIDAS!$I$1:$AT$1,"")),""),IF(SUMPRODUCT((BF221:CQ221&lt;1)*(PARTIDAS!$I$2:$AT$2="ELÉCTRICO"))&gt;0,"ELÉCTRICO: "&amp;_xlfn.TEXTJOIN(", ",TRUE,IF((BF221:CQ221&lt;1)*(PARTIDAS!$I$2:$AT$2="ELÉCTRICO"),PARTIDAS!$I$1:$AT$1,"")),""),IF(SUMPRODUCT((BF221:CQ221&lt;1)*(PARTIDAS!$I$2:$AT$2="TERMINACIONES"))&gt;0,"TERMINACIONES: "&amp;_xlfn.TEXTJOIN(", ",TRUE,IF((BF221:CQ221&lt;1)*(PARTIDAS!$I$2:$AT$2="TERMINACIONES"),PARTIDAS!$I$1:$AT$1,"")),""))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1" s="45" t="str" cm="1">
        <f t="array" ref="CT221">_xlfn.TEXTJOIN(", ",TRUE,IF(SUMPRODUCT((BF221:CQ221&lt;1)*(PARTIDAS!$I$2:$AT$2="OBRA GRUESA"))&gt;0,"OBRA GRUESA",""),IF(SUMPRODUCT((BF221:CQ221&lt;1)*(PARTIDAS!$I$2:$AT$2="SANITARIOS"))&gt;0,"SANITARIOS",""),IF(SUMPRODUCT((BF221:CQ221&lt;1)*(PARTIDAS!$I$2:$AT$2="ELÉCTRICO"))&gt;0,"ELÉCTRICO",""),IF(SUMPRODUCT((BF221:CQ221&lt;1)*(PARTIDAS!$I$2:$AT$2="TERMINACIONES"))&gt;0,"TERMINACIONES",""))</f>
        <v>OBRA GRUESA, SANITARIOS, ELÉCTRICO, TERMINACIONES</v>
      </c>
      <c r="CU221" s="46" cm="1">
        <f t="array" ref="CU221">SUMPRODUCT(--(BF221:CQ221&lt;1))</f>
        <v>38</v>
      </c>
    </row>
    <row r="222" spans="1:99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46181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 t="str">
        <f>+IF(AVANCE[[#This Row],[% AVANCE]]=100%,"MODULO TERMINADO",IF(AVANCE[[#This Row],[FECHA INICIO REAL]]="","MODULO NO INICIADO","PENDIENTE"))</f>
        <v>MODULO NO INICIADO</v>
      </c>
      <c r="BF222" s="3">
        <f>+IF(AVANCE[[#This Row],[VENTANAS]]=8.10810810810811%,100%,AVANCE[[#This Row],[VENTANAS]])</f>
        <v>0</v>
      </c>
      <c r="BG222" s="3">
        <f>+IF(AVANCE[[#This Row],[PISO]]=N$2,100%,AVANCE[[#This Row],[PISO]])</f>
        <v>0</v>
      </c>
      <c r="BH222" s="3">
        <f>+IF(AVANCE[[#This Row],[TABIQUES]]=O$2,100%,AVANCE[[#This Row],[TABIQUES]])</f>
        <v>0</v>
      </c>
      <c r="BI222" s="3">
        <f>+IF(AVANCE[[#This Row],[MUROS]]=P$2,100%,AVANCE[[#This Row],[MUROS]])</f>
        <v>0</v>
      </c>
      <c r="BJ222" s="3">
        <f>+IF(AVANCE[[#This Row],[CIELO]]=Q$2,100%,AVANCE[[#This Row],[CIELO]])</f>
        <v>0</v>
      </c>
      <c r="BK222" s="3">
        <f>+IF(AVANCE[[#This Row],[BALCÓN]]=R$2,100%,AVANCE[[#This Row],[BALCÓN]])</f>
        <v>0</v>
      </c>
      <c r="BL222" s="3">
        <f>+IF(AVANCE[[#This Row],[RED ALCANTARILLADO]]=U$2,100%,AVANCE[[#This Row],[RED ALCANTARILLADO]])</f>
        <v>0</v>
      </c>
      <c r="BM222" s="3">
        <f>+IF(AVANCE[[#This Row],[RED DE AGUA]]=V$2,100%,AVANCE[[#This Row],[RED DE AGUA]])</f>
        <v>0</v>
      </c>
      <c r="BN222" s="3">
        <f>+IF(AVANCE[[#This Row],[VENTILACIONES]]=W$2,100%,AVANCE[[#This Row],[VENTILACIONES]])</f>
        <v>0</v>
      </c>
      <c r="BO222" s="3">
        <f>+IF(AVANCE[[#This Row],[TINA]]=X$2,100%,AVANCE[[#This Row],[TINA]])</f>
        <v>0</v>
      </c>
      <c r="BP222" s="3">
        <f>+IF(AVANCE[[#This Row],[WC]]=Y$2,100%,AVANCE[[#This Row],[WC]])</f>
        <v>0</v>
      </c>
      <c r="BQ222" s="3">
        <f>+IF(AVANCE[[#This Row],[LAVAMANOS / LAVAPLATOS / LAVADERO]]=Z$2,100%,AVANCE[[#This Row],[LAVAMANOS / LAVAPLATOS / LAVADERO]])</f>
        <v>0</v>
      </c>
      <c r="BR222" s="3">
        <f>+IF(AVANCE[[#This Row],[CANALIZACIÓN]]=AC$2,100%,AVANCE[[#This Row],[CANALIZACIÓN]])</f>
        <v>0</v>
      </c>
      <c r="BS222" s="3">
        <f>+IF(AVANCE[[#This Row],[CABLEADO]]=AD$2,100%,AVANCE[[#This Row],[CABLEADO]])</f>
        <v>0</v>
      </c>
      <c r="BT222" s="3">
        <f>+IF(AVANCE[[#This Row],[ARTEFACTOS]]=AE$2,100%,AVANCE[[#This Row],[ARTEFACTOS]])</f>
        <v>0</v>
      </c>
      <c r="BU222" s="3">
        <f>+IF(AVANCE[[#This Row],[TABLERO]]=AF$2,100%,AVANCE[[#This Row],[TABLERO]])</f>
        <v>0</v>
      </c>
      <c r="BV222" s="3">
        <f>+IF(AVANCE[[#This Row],[CAJA PAU]]=AG$2,100%,AVANCE[[#This Row],[CAJA PAU]])</f>
        <v>0</v>
      </c>
      <c r="BW222" s="3">
        <f>+IF(AVANCE[[#This Row],[INSTALACION VINILICO]]=AJ$2,100%,AVANCE[[#This Row],[INSTALACION VINILICO]])</f>
        <v>0</v>
      </c>
      <c r="BX222" s="3">
        <f>+IF(AVANCE[[#This Row],[OSB CUBIERTA]]=AK$2,100%,AVANCE[[#This Row],[OSB CUBIERTA]])</f>
        <v>0</v>
      </c>
      <c r="BY222" s="3">
        <f>+IF(AVANCE[[#This Row],[BARANDA BALCON]]=AL$2,100%,AVANCE[[#This Row],[BARANDA BALCON]])</f>
        <v>0</v>
      </c>
      <c r="BZ222" s="3">
        <f>+IF(AVANCE[[#This Row],[OSB EXTERIOR]]=AM$2,100%,AVANCE[[#This Row],[OSB EXTERIOR]])</f>
        <v>0</v>
      </c>
      <c r="CA222" s="3">
        <f>+IF(AVANCE[[#This Row],[SMART PANEL]]=AN$2,100%,AVANCE[[#This Row],[SMART PANEL]])</f>
        <v>0</v>
      </c>
      <c r="CB222" s="3">
        <f>+IF(AVANCE[[#This Row],[PINTURA EXTERIOR]]=AO$2,100%,AVANCE[[#This Row],[PINTURA EXTERIOR]])</f>
        <v>0</v>
      </c>
      <c r="CC222" s="3">
        <f>+IF(AVANCE[[#This Row],[ZOCALOS LOGIA]]=AP$2,100%,AVANCE[[#This Row],[ZOCALOS LOGIA]])</f>
        <v>0</v>
      </c>
      <c r="CD222" s="3">
        <f>+IF(AVANCE[[#This Row],[MOLDURAS]]=AQ$2,100%,AVANCE[[#This Row],[MOLDURAS]])</f>
        <v>0</v>
      </c>
      <c r="CE222" s="3">
        <f>+IF(AVANCE[[#This Row],[PILASTREO]]=AR$2,100%,AVANCE[[#This Row],[PILASTREO]])</f>
        <v>0</v>
      </c>
      <c r="CF222" s="3">
        <f>+IF(AVANCE[[#This Row],[CELOSIAS]]=AS$2,100%,AVANCE[[#This Row],[CELOSIAS]])</f>
        <v>0</v>
      </c>
      <c r="CG222" s="3">
        <f>+IF(AVANCE[[#This Row],[VENTANAS]]=AT$2,100%,AVANCE[[#This Row],[VENTANAS]])</f>
        <v>0</v>
      </c>
      <c r="CH222" s="3">
        <f>+IF(AVANCE[[#This Row],[PUERTAS ACCESO - LOGIA - BANO]]=AU$2,100%,AVANCE[[#This Row],[PUERTAS ACCESO - LOGIA - BANO]])</f>
        <v>0</v>
      </c>
      <c r="CI222" s="3">
        <f>+IF(AVANCE[[#This Row],[CERRADURAS]]=AV$2,100%,AVANCE[[#This Row],[CERRADURAS]])</f>
        <v>0</v>
      </c>
      <c r="CJ222" s="3">
        <f>+IF(AVANCE[[#This Row],[REVESTIMIENTO INTERIOR ZONA SECA]]=AW$2,100%,AVANCE[[#This Row],[REVESTIMIENTO INTERIOR ZONA SECA]])</f>
        <v>0</v>
      </c>
      <c r="CK222" s="3">
        <f>+IF(AVANCE[[#This Row],[REVESTIMIENTO INTERIOR ZONAS HUMEDAS]]=AX$2,100%,AVANCE[[#This Row],[REVESTIMIENTO INTERIOR ZONAS HUMEDAS]])</f>
        <v>0</v>
      </c>
      <c r="CL222" s="3">
        <f>+IF(AVANCE[[#This Row],[MEMBRANA CIELO]]=AY$2,100%,AVANCE[[#This Row],[MEMBRANA CIELO]])</f>
        <v>0</v>
      </c>
      <c r="CM222" s="3">
        <f>+IF(AVANCE[[#This Row],[LIMPIEZA FINAL]]=AZ$2,100%,AVANCE[[#This Row],[LIMPIEZA FINAL]])</f>
        <v>0</v>
      </c>
      <c r="CN222" s="3">
        <f>+IF(AVANCE[[#This Row],[PUERTAS DORMITORIO]]=BA$2,100%,AVANCE[[#This Row],[PUERTAS DORMITORIO]])</f>
        <v>0</v>
      </c>
      <c r="CO222" s="3">
        <f>+IF(AVANCE[[#This Row],[REVESTIMIENTO INTERIOR BANO]]=BB$2,100%,AVANCE[[#This Row],[REVESTIMIENTO INTERIOR BANO]])</f>
        <v>0</v>
      </c>
      <c r="CP222" s="3">
        <f>+IF(AVANCE[[#This Row],[MUEBLE LAVAPLATOS]]=BC$2,100%,AVANCE[[#This Row],[MUEBLE LAVAPLATOS]])</f>
        <v>0</v>
      </c>
      <c r="CQ222" s="3">
        <f>+IF(AVANCE[[#This Row],[IMPERMEABILIZACION BANO - COCINA LOGIA]]=BD$2,100%,AVANCE[[#This Row],[IMPERMEABILIZACION BANO - COCINA LOGIA]])</f>
        <v>0</v>
      </c>
      <c r="CR222" s="40">
        <f ca="1">+IF(AVANCE[[#This Row],[ESTADO MODULO]]="PENDIENTE",(TODAY()-AVANCE[[#This Row],[FECHA TERMINO  PLANIFICADO]]),0)</f>
        <v>0</v>
      </c>
      <c r="CS222" s="42" t="str" cm="1">
        <f t="array" ref="CS222">_xlfn.TEXTJOIN(" | ",TRUE,IF(SUMPRODUCT((BF222:CQ222&lt;1)*(PARTIDAS!$I$2:$AT$2="OBRA GRUESA"))&gt;0,"OBRA GRUESA: "&amp;_xlfn.TEXTJOIN(", ",TRUE,IF((BF222:CQ222&lt;1)*(PARTIDAS!$I$2:$AT$2="OBRA GRUESA"),PARTIDAS!$I$1:$AT$1,"")),""),IF(SUMPRODUCT((BF222:CQ222&lt;1)*(PARTIDAS!$I$2:$AT$2="SANITARIOS"))&gt;0,"SANITARIOS: "&amp;_xlfn.TEXTJOIN(", ",TRUE,IF((BF222:CQ222&lt;1)*(PARTIDAS!$I$2:$AT$2="SANITARIOS"),PARTIDAS!$I$1:$AT$1,"")),""),IF(SUMPRODUCT((BF222:CQ222&lt;1)*(PARTIDAS!$I$2:$AT$2="ELÉCTRICO"))&gt;0,"ELÉCTRICO: "&amp;_xlfn.TEXTJOIN(", ",TRUE,IF((BF222:CQ222&lt;1)*(PARTIDAS!$I$2:$AT$2="ELÉCTRICO"),PARTIDAS!$I$1:$AT$1,"")),""),IF(SUMPRODUCT((BF222:CQ222&lt;1)*(PARTIDAS!$I$2:$AT$2="TERMINACIONES"))&gt;0,"TERMINACIONES: "&amp;_xlfn.TEXTJOIN(", ",TRUE,IF((BF222:CQ222&lt;1)*(PARTIDAS!$I$2:$AT$2="TERMINACIONES"),PARTIDAS!$I$1:$AT$1,"")),""))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2" s="45" t="str" cm="1">
        <f t="array" ref="CT222">_xlfn.TEXTJOIN(", ",TRUE,IF(SUMPRODUCT((BF222:CQ222&lt;1)*(PARTIDAS!$I$2:$AT$2="OBRA GRUESA"))&gt;0,"OBRA GRUESA",""),IF(SUMPRODUCT((BF222:CQ222&lt;1)*(PARTIDAS!$I$2:$AT$2="SANITARIOS"))&gt;0,"SANITARIOS",""),IF(SUMPRODUCT((BF222:CQ222&lt;1)*(PARTIDAS!$I$2:$AT$2="ELÉCTRICO"))&gt;0,"ELÉCTRICO",""),IF(SUMPRODUCT((BF222:CQ222&lt;1)*(PARTIDAS!$I$2:$AT$2="TERMINACIONES"))&gt;0,"TERMINACIONES",""))</f>
        <v>OBRA GRUESA, SANITARIOS, ELÉCTRICO, TERMINACIONES</v>
      </c>
      <c r="CU222" s="46" cm="1">
        <f t="array" ref="CU222">SUMPRODUCT(--(BF222:CQ222&lt;1))</f>
        <v>38</v>
      </c>
    </row>
    <row r="223" spans="1:99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46181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 t="str">
        <f>+IF(AVANCE[[#This Row],[% AVANCE]]=100%,"MODULO TERMINADO",IF(AVANCE[[#This Row],[FECHA INICIO REAL]]="","MODULO NO INICIADO","PENDIENTE"))</f>
        <v>MODULO NO INICIADO</v>
      </c>
      <c r="BF223" s="3">
        <f>+IF(AVANCE[[#This Row],[VENTANAS]]=8.10810810810811%,100%,AVANCE[[#This Row],[VENTANAS]])</f>
        <v>0</v>
      </c>
      <c r="BG223" s="3">
        <f>+IF(AVANCE[[#This Row],[PISO]]=N$2,100%,AVANCE[[#This Row],[PISO]])</f>
        <v>0</v>
      </c>
      <c r="BH223" s="3">
        <f>+IF(AVANCE[[#This Row],[TABIQUES]]=O$2,100%,AVANCE[[#This Row],[TABIQUES]])</f>
        <v>0</v>
      </c>
      <c r="BI223" s="3">
        <f>+IF(AVANCE[[#This Row],[MUROS]]=P$2,100%,AVANCE[[#This Row],[MUROS]])</f>
        <v>0</v>
      </c>
      <c r="BJ223" s="3">
        <f>+IF(AVANCE[[#This Row],[CIELO]]=Q$2,100%,AVANCE[[#This Row],[CIELO]])</f>
        <v>0</v>
      </c>
      <c r="BK223" s="3">
        <f>+IF(AVANCE[[#This Row],[BALCÓN]]=R$2,100%,AVANCE[[#This Row],[BALCÓN]])</f>
        <v>0</v>
      </c>
      <c r="BL223" s="3">
        <f>+IF(AVANCE[[#This Row],[RED ALCANTARILLADO]]=U$2,100%,AVANCE[[#This Row],[RED ALCANTARILLADO]])</f>
        <v>0</v>
      </c>
      <c r="BM223" s="3">
        <f>+IF(AVANCE[[#This Row],[RED DE AGUA]]=V$2,100%,AVANCE[[#This Row],[RED DE AGUA]])</f>
        <v>0</v>
      </c>
      <c r="BN223" s="3">
        <f>+IF(AVANCE[[#This Row],[VENTILACIONES]]=W$2,100%,AVANCE[[#This Row],[VENTILACIONES]])</f>
        <v>0</v>
      </c>
      <c r="BO223" s="3">
        <f>+IF(AVANCE[[#This Row],[TINA]]=X$2,100%,AVANCE[[#This Row],[TINA]])</f>
        <v>0</v>
      </c>
      <c r="BP223" s="3">
        <f>+IF(AVANCE[[#This Row],[WC]]=Y$2,100%,AVANCE[[#This Row],[WC]])</f>
        <v>0</v>
      </c>
      <c r="BQ223" s="3">
        <f>+IF(AVANCE[[#This Row],[LAVAMANOS / LAVAPLATOS / LAVADERO]]=Z$2,100%,AVANCE[[#This Row],[LAVAMANOS / LAVAPLATOS / LAVADERO]])</f>
        <v>0</v>
      </c>
      <c r="BR223" s="3">
        <f>+IF(AVANCE[[#This Row],[CANALIZACIÓN]]=AC$2,100%,AVANCE[[#This Row],[CANALIZACIÓN]])</f>
        <v>0</v>
      </c>
      <c r="BS223" s="3">
        <f>+IF(AVANCE[[#This Row],[CABLEADO]]=AD$2,100%,AVANCE[[#This Row],[CABLEADO]])</f>
        <v>0</v>
      </c>
      <c r="BT223" s="3">
        <f>+IF(AVANCE[[#This Row],[ARTEFACTOS]]=AE$2,100%,AVANCE[[#This Row],[ARTEFACTOS]])</f>
        <v>0</v>
      </c>
      <c r="BU223" s="3">
        <f>+IF(AVANCE[[#This Row],[TABLERO]]=AF$2,100%,AVANCE[[#This Row],[TABLERO]])</f>
        <v>0</v>
      </c>
      <c r="BV223" s="3">
        <f>+IF(AVANCE[[#This Row],[CAJA PAU]]=AG$2,100%,AVANCE[[#This Row],[CAJA PAU]])</f>
        <v>0</v>
      </c>
      <c r="BW223" s="3">
        <f>+IF(AVANCE[[#This Row],[INSTALACION VINILICO]]=AJ$2,100%,AVANCE[[#This Row],[INSTALACION VINILICO]])</f>
        <v>0</v>
      </c>
      <c r="BX223" s="3">
        <f>+IF(AVANCE[[#This Row],[OSB CUBIERTA]]=AK$2,100%,AVANCE[[#This Row],[OSB CUBIERTA]])</f>
        <v>0</v>
      </c>
      <c r="BY223" s="3">
        <f>+IF(AVANCE[[#This Row],[BARANDA BALCON]]=AL$2,100%,AVANCE[[#This Row],[BARANDA BALCON]])</f>
        <v>0</v>
      </c>
      <c r="BZ223" s="3">
        <f>+IF(AVANCE[[#This Row],[OSB EXTERIOR]]=AM$2,100%,AVANCE[[#This Row],[OSB EXTERIOR]])</f>
        <v>0</v>
      </c>
      <c r="CA223" s="3">
        <f>+IF(AVANCE[[#This Row],[SMART PANEL]]=AN$2,100%,AVANCE[[#This Row],[SMART PANEL]])</f>
        <v>0</v>
      </c>
      <c r="CB223" s="3">
        <f>+IF(AVANCE[[#This Row],[PINTURA EXTERIOR]]=AO$2,100%,AVANCE[[#This Row],[PINTURA EXTERIOR]])</f>
        <v>0</v>
      </c>
      <c r="CC223" s="3">
        <f>+IF(AVANCE[[#This Row],[ZOCALOS LOGIA]]=AP$2,100%,AVANCE[[#This Row],[ZOCALOS LOGIA]])</f>
        <v>0</v>
      </c>
      <c r="CD223" s="3">
        <f>+IF(AVANCE[[#This Row],[MOLDURAS]]=AQ$2,100%,AVANCE[[#This Row],[MOLDURAS]])</f>
        <v>0</v>
      </c>
      <c r="CE223" s="3">
        <f>+IF(AVANCE[[#This Row],[PILASTREO]]=AR$2,100%,AVANCE[[#This Row],[PILASTREO]])</f>
        <v>0</v>
      </c>
      <c r="CF223" s="3">
        <f>+IF(AVANCE[[#This Row],[CELOSIAS]]=AS$2,100%,AVANCE[[#This Row],[CELOSIAS]])</f>
        <v>0</v>
      </c>
      <c r="CG223" s="3">
        <f>+IF(AVANCE[[#This Row],[VENTANAS]]=AT$2,100%,AVANCE[[#This Row],[VENTANAS]])</f>
        <v>0</v>
      </c>
      <c r="CH223" s="3">
        <f>+IF(AVANCE[[#This Row],[PUERTAS ACCESO - LOGIA - BANO]]=AU$2,100%,AVANCE[[#This Row],[PUERTAS ACCESO - LOGIA - BANO]])</f>
        <v>0</v>
      </c>
      <c r="CI223" s="3">
        <f>+IF(AVANCE[[#This Row],[CERRADURAS]]=AV$2,100%,AVANCE[[#This Row],[CERRADURAS]])</f>
        <v>0</v>
      </c>
      <c r="CJ223" s="3">
        <f>+IF(AVANCE[[#This Row],[REVESTIMIENTO INTERIOR ZONA SECA]]=AW$2,100%,AVANCE[[#This Row],[REVESTIMIENTO INTERIOR ZONA SECA]])</f>
        <v>0</v>
      </c>
      <c r="CK223" s="3">
        <f>+IF(AVANCE[[#This Row],[REVESTIMIENTO INTERIOR ZONAS HUMEDAS]]=AX$2,100%,AVANCE[[#This Row],[REVESTIMIENTO INTERIOR ZONAS HUMEDAS]])</f>
        <v>0</v>
      </c>
      <c r="CL223" s="3">
        <f>+IF(AVANCE[[#This Row],[MEMBRANA CIELO]]=AY$2,100%,AVANCE[[#This Row],[MEMBRANA CIELO]])</f>
        <v>0</v>
      </c>
      <c r="CM223" s="3">
        <f>+IF(AVANCE[[#This Row],[LIMPIEZA FINAL]]=AZ$2,100%,AVANCE[[#This Row],[LIMPIEZA FINAL]])</f>
        <v>0</v>
      </c>
      <c r="CN223" s="3">
        <f>+IF(AVANCE[[#This Row],[PUERTAS DORMITORIO]]=BA$2,100%,AVANCE[[#This Row],[PUERTAS DORMITORIO]])</f>
        <v>0</v>
      </c>
      <c r="CO223" s="3">
        <f>+IF(AVANCE[[#This Row],[REVESTIMIENTO INTERIOR BANO]]=BB$2,100%,AVANCE[[#This Row],[REVESTIMIENTO INTERIOR BANO]])</f>
        <v>0</v>
      </c>
      <c r="CP223" s="3">
        <f>+IF(AVANCE[[#This Row],[MUEBLE LAVAPLATOS]]=BC$2,100%,AVANCE[[#This Row],[MUEBLE LAVAPLATOS]])</f>
        <v>0</v>
      </c>
      <c r="CQ223" s="3">
        <f>+IF(AVANCE[[#This Row],[IMPERMEABILIZACION BANO - COCINA LOGIA]]=BD$2,100%,AVANCE[[#This Row],[IMPERMEABILIZACION BANO - COCINA LOGIA]])</f>
        <v>0</v>
      </c>
      <c r="CR223" s="40">
        <f ca="1">+IF(AVANCE[[#This Row],[ESTADO MODULO]]="PENDIENTE",(TODAY()-AVANCE[[#This Row],[FECHA TERMINO  PLANIFICADO]]),0)</f>
        <v>0</v>
      </c>
      <c r="CS223" s="42" t="str" cm="1">
        <f t="array" ref="CS223">_xlfn.TEXTJOIN(" | ",TRUE,IF(SUMPRODUCT((BF223:CQ223&lt;1)*(PARTIDAS!$I$2:$AT$2="OBRA GRUESA"))&gt;0,"OBRA GRUESA: "&amp;_xlfn.TEXTJOIN(", ",TRUE,IF((BF223:CQ223&lt;1)*(PARTIDAS!$I$2:$AT$2="OBRA GRUESA"),PARTIDAS!$I$1:$AT$1,"")),""),IF(SUMPRODUCT((BF223:CQ223&lt;1)*(PARTIDAS!$I$2:$AT$2="SANITARIOS"))&gt;0,"SANITARIOS: "&amp;_xlfn.TEXTJOIN(", ",TRUE,IF((BF223:CQ223&lt;1)*(PARTIDAS!$I$2:$AT$2="SANITARIOS"),PARTIDAS!$I$1:$AT$1,"")),""),IF(SUMPRODUCT((BF223:CQ223&lt;1)*(PARTIDAS!$I$2:$AT$2="ELÉCTRICO"))&gt;0,"ELÉCTRICO: "&amp;_xlfn.TEXTJOIN(", ",TRUE,IF((BF223:CQ223&lt;1)*(PARTIDAS!$I$2:$AT$2="ELÉCTRICO"),PARTIDAS!$I$1:$AT$1,"")),""),IF(SUMPRODUCT((BF223:CQ223&lt;1)*(PARTIDAS!$I$2:$AT$2="TERMINACIONES"))&gt;0,"TERMINACIONES: "&amp;_xlfn.TEXTJOIN(", ",TRUE,IF((BF223:CQ223&lt;1)*(PARTIDAS!$I$2:$AT$2="TERMINACIONES"),PARTIDAS!$I$1:$AT$1,"")),""))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3" s="45" t="str" cm="1">
        <f t="array" ref="CT223">_xlfn.TEXTJOIN(", ",TRUE,IF(SUMPRODUCT((BF223:CQ223&lt;1)*(PARTIDAS!$I$2:$AT$2="OBRA GRUESA"))&gt;0,"OBRA GRUESA",""),IF(SUMPRODUCT((BF223:CQ223&lt;1)*(PARTIDAS!$I$2:$AT$2="SANITARIOS"))&gt;0,"SANITARIOS",""),IF(SUMPRODUCT((BF223:CQ223&lt;1)*(PARTIDAS!$I$2:$AT$2="ELÉCTRICO"))&gt;0,"ELÉCTRICO",""),IF(SUMPRODUCT((BF223:CQ223&lt;1)*(PARTIDAS!$I$2:$AT$2="TERMINACIONES"))&gt;0,"TERMINACIONES",""))</f>
        <v>OBRA GRUESA, SANITARIOS, ELÉCTRICO, TERMINACIONES</v>
      </c>
      <c r="CU223" s="46" cm="1">
        <f t="array" ref="CU223">SUMPRODUCT(--(BF223:CQ223&lt;1))</f>
        <v>38</v>
      </c>
    </row>
    <row r="224" spans="1:99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46181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 t="str">
        <f>+IF(AVANCE[[#This Row],[% AVANCE]]=100%,"MODULO TERMINADO",IF(AVANCE[[#This Row],[FECHA INICIO REAL]]="","MODULO NO INICIADO","PENDIENTE"))</f>
        <v>MODULO NO INICIADO</v>
      </c>
      <c r="BF224" s="3">
        <f>+IF(AVANCE[[#This Row],[VENTANAS]]=8.10810810810811%,100%,AVANCE[[#This Row],[VENTANAS]])</f>
        <v>0</v>
      </c>
      <c r="BG224" s="3">
        <f>+IF(AVANCE[[#This Row],[PISO]]=N$2,100%,AVANCE[[#This Row],[PISO]])</f>
        <v>0</v>
      </c>
      <c r="BH224" s="3">
        <f>+IF(AVANCE[[#This Row],[TABIQUES]]=O$2,100%,AVANCE[[#This Row],[TABIQUES]])</f>
        <v>0</v>
      </c>
      <c r="BI224" s="3">
        <f>+IF(AVANCE[[#This Row],[MUROS]]=P$2,100%,AVANCE[[#This Row],[MUROS]])</f>
        <v>0</v>
      </c>
      <c r="BJ224" s="3">
        <f>+IF(AVANCE[[#This Row],[CIELO]]=Q$2,100%,AVANCE[[#This Row],[CIELO]])</f>
        <v>0</v>
      </c>
      <c r="BK224" s="3">
        <f>+IF(AVANCE[[#This Row],[BALCÓN]]=R$2,100%,AVANCE[[#This Row],[BALCÓN]])</f>
        <v>0</v>
      </c>
      <c r="BL224" s="3">
        <f>+IF(AVANCE[[#This Row],[RED ALCANTARILLADO]]=U$2,100%,AVANCE[[#This Row],[RED ALCANTARILLADO]])</f>
        <v>0</v>
      </c>
      <c r="BM224" s="3">
        <f>+IF(AVANCE[[#This Row],[RED DE AGUA]]=V$2,100%,AVANCE[[#This Row],[RED DE AGUA]])</f>
        <v>0</v>
      </c>
      <c r="BN224" s="3">
        <f>+IF(AVANCE[[#This Row],[VENTILACIONES]]=W$2,100%,AVANCE[[#This Row],[VENTILACIONES]])</f>
        <v>0</v>
      </c>
      <c r="BO224" s="3">
        <f>+IF(AVANCE[[#This Row],[TINA]]=X$2,100%,AVANCE[[#This Row],[TINA]])</f>
        <v>0</v>
      </c>
      <c r="BP224" s="3">
        <f>+IF(AVANCE[[#This Row],[WC]]=Y$2,100%,AVANCE[[#This Row],[WC]])</f>
        <v>0</v>
      </c>
      <c r="BQ224" s="3">
        <f>+IF(AVANCE[[#This Row],[LAVAMANOS / LAVAPLATOS / LAVADERO]]=Z$2,100%,AVANCE[[#This Row],[LAVAMANOS / LAVAPLATOS / LAVADERO]])</f>
        <v>0</v>
      </c>
      <c r="BR224" s="3">
        <f>+IF(AVANCE[[#This Row],[CANALIZACIÓN]]=AC$2,100%,AVANCE[[#This Row],[CANALIZACIÓN]])</f>
        <v>0</v>
      </c>
      <c r="BS224" s="3">
        <f>+IF(AVANCE[[#This Row],[CABLEADO]]=AD$2,100%,AVANCE[[#This Row],[CABLEADO]])</f>
        <v>0</v>
      </c>
      <c r="BT224" s="3">
        <f>+IF(AVANCE[[#This Row],[ARTEFACTOS]]=AE$2,100%,AVANCE[[#This Row],[ARTEFACTOS]])</f>
        <v>0</v>
      </c>
      <c r="BU224" s="3">
        <f>+IF(AVANCE[[#This Row],[TABLERO]]=AF$2,100%,AVANCE[[#This Row],[TABLERO]])</f>
        <v>0</v>
      </c>
      <c r="BV224" s="3">
        <f>+IF(AVANCE[[#This Row],[CAJA PAU]]=AG$2,100%,AVANCE[[#This Row],[CAJA PAU]])</f>
        <v>0</v>
      </c>
      <c r="BW224" s="3">
        <f>+IF(AVANCE[[#This Row],[INSTALACION VINILICO]]=AJ$2,100%,AVANCE[[#This Row],[INSTALACION VINILICO]])</f>
        <v>0</v>
      </c>
      <c r="BX224" s="3">
        <f>+IF(AVANCE[[#This Row],[OSB CUBIERTA]]=AK$2,100%,AVANCE[[#This Row],[OSB CUBIERTA]])</f>
        <v>0</v>
      </c>
      <c r="BY224" s="3">
        <f>+IF(AVANCE[[#This Row],[BARANDA BALCON]]=AL$2,100%,AVANCE[[#This Row],[BARANDA BALCON]])</f>
        <v>0</v>
      </c>
      <c r="BZ224" s="3">
        <f>+IF(AVANCE[[#This Row],[OSB EXTERIOR]]=AM$2,100%,AVANCE[[#This Row],[OSB EXTERIOR]])</f>
        <v>0</v>
      </c>
      <c r="CA224" s="3">
        <f>+IF(AVANCE[[#This Row],[SMART PANEL]]=AN$2,100%,AVANCE[[#This Row],[SMART PANEL]])</f>
        <v>0</v>
      </c>
      <c r="CB224" s="3">
        <f>+IF(AVANCE[[#This Row],[PINTURA EXTERIOR]]=AO$2,100%,AVANCE[[#This Row],[PINTURA EXTERIOR]])</f>
        <v>0</v>
      </c>
      <c r="CC224" s="3">
        <f>+IF(AVANCE[[#This Row],[ZOCALOS LOGIA]]=AP$2,100%,AVANCE[[#This Row],[ZOCALOS LOGIA]])</f>
        <v>0</v>
      </c>
      <c r="CD224" s="3">
        <f>+IF(AVANCE[[#This Row],[MOLDURAS]]=AQ$2,100%,AVANCE[[#This Row],[MOLDURAS]])</f>
        <v>0</v>
      </c>
      <c r="CE224" s="3">
        <f>+IF(AVANCE[[#This Row],[PILASTREO]]=AR$2,100%,AVANCE[[#This Row],[PILASTREO]])</f>
        <v>0</v>
      </c>
      <c r="CF224" s="3">
        <f>+IF(AVANCE[[#This Row],[CELOSIAS]]=AS$2,100%,AVANCE[[#This Row],[CELOSIAS]])</f>
        <v>0</v>
      </c>
      <c r="CG224" s="3">
        <f>+IF(AVANCE[[#This Row],[VENTANAS]]=AT$2,100%,AVANCE[[#This Row],[VENTANAS]])</f>
        <v>0</v>
      </c>
      <c r="CH224" s="3">
        <f>+IF(AVANCE[[#This Row],[PUERTAS ACCESO - LOGIA - BANO]]=AU$2,100%,AVANCE[[#This Row],[PUERTAS ACCESO - LOGIA - BANO]])</f>
        <v>0</v>
      </c>
      <c r="CI224" s="3">
        <f>+IF(AVANCE[[#This Row],[CERRADURAS]]=AV$2,100%,AVANCE[[#This Row],[CERRADURAS]])</f>
        <v>0</v>
      </c>
      <c r="CJ224" s="3">
        <f>+IF(AVANCE[[#This Row],[REVESTIMIENTO INTERIOR ZONA SECA]]=AW$2,100%,AVANCE[[#This Row],[REVESTIMIENTO INTERIOR ZONA SECA]])</f>
        <v>0</v>
      </c>
      <c r="CK224" s="3">
        <f>+IF(AVANCE[[#This Row],[REVESTIMIENTO INTERIOR ZONAS HUMEDAS]]=AX$2,100%,AVANCE[[#This Row],[REVESTIMIENTO INTERIOR ZONAS HUMEDAS]])</f>
        <v>0</v>
      </c>
      <c r="CL224" s="3">
        <f>+IF(AVANCE[[#This Row],[MEMBRANA CIELO]]=AY$2,100%,AVANCE[[#This Row],[MEMBRANA CIELO]])</f>
        <v>0</v>
      </c>
      <c r="CM224" s="3">
        <f>+IF(AVANCE[[#This Row],[LIMPIEZA FINAL]]=AZ$2,100%,AVANCE[[#This Row],[LIMPIEZA FINAL]])</f>
        <v>0</v>
      </c>
      <c r="CN224" s="3">
        <f>+IF(AVANCE[[#This Row],[PUERTAS DORMITORIO]]=BA$2,100%,AVANCE[[#This Row],[PUERTAS DORMITORIO]])</f>
        <v>0</v>
      </c>
      <c r="CO224" s="3">
        <f>+IF(AVANCE[[#This Row],[REVESTIMIENTO INTERIOR BANO]]=BB$2,100%,AVANCE[[#This Row],[REVESTIMIENTO INTERIOR BANO]])</f>
        <v>0</v>
      </c>
      <c r="CP224" s="3">
        <f>+IF(AVANCE[[#This Row],[MUEBLE LAVAPLATOS]]=BC$2,100%,AVANCE[[#This Row],[MUEBLE LAVAPLATOS]])</f>
        <v>0</v>
      </c>
      <c r="CQ224" s="3">
        <f>+IF(AVANCE[[#This Row],[IMPERMEABILIZACION BANO - COCINA LOGIA]]=BD$2,100%,AVANCE[[#This Row],[IMPERMEABILIZACION BANO - COCINA LOGIA]])</f>
        <v>0</v>
      </c>
      <c r="CR224" s="40">
        <f ca="1">+IF(AVANCE[[#This Row],[ESTADO MODULO]]="PENDIENTE",(TODAY()-AVANCE[[#This Row],[FECHA TERMINO  PLANIFICADO]]),0)</f>
        <v>0</v>
      </c>
      <c r="CS224" s="42" t="str" cm="1">
        <f t="array" ref="CS224">_xlfn.TEXTJOIN(" | ",TRUE,IF(SUMPRODUCT((BF224:CQ224&lt;1)*(PARTIDAS!$I$2:$AT$2="OBRA GRUESA"))&gt;0,"OBRA GRUESA: "&amp;_xlfn.TEXTJOIN(", ",TRUE,IF((BF224:CQ224&lt;1)*(PARTIDAS!$I$2:$AT$2="OBRA GRUESA"),PARTIDAS!$I$1:$AT$1,"")),""),IF(SUMPRODUCT((BF224:CQ224&lt;1)*(PARTIDAS!$I$2:$AT$2="SANITARIOS"))&gt;0,"SANITARIOS: "&amp;_xlfn.TEXTJOIN(", ",TRUE,IF((BF224:CQ224&lt;1)*(PARTIDAS!$I$2:$AT$2="SANITARIOS"),PARTIDAS!$I$1:$AT$1,"")),""),IF(SUMPRODUCT((BF224:CQ224&lt;1)*(PARTIDAS!$I$2:$AT$2="ELÉCTRICO"))&gt;0,"ELÉCTRICO: "&amp;_xlfn.TEXTJOIN(", ",TRUE,IF((BF224:CQ224&lt;1)*(PARTIDAS!$I$2:$AT$2="ELÉCTRICO"),PARTIDAS!$I$1:$AT$1,"")),""),IF(SUMPRODUCT((BF224:CQ224&lt;1)*(PARTIDAS!$I$2:$AT$2="TERMINACIONES"))&gt;0,"TERMINACIONES: "&amp;_xlfn.TEXTJOIN(", ",TRUE,IF((BF224:CQ224&lt;1)*(PARTIDAS!$I$2:$AT$2="TERMINACIONES"),PARTIDAS!$I$1:$AT$1,"")),""))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4" s="45" t="str" cm="1">
        <f t="array" ref="CT224">_xlfn.TEXTJOIN(", ",TRUE,IF(SUMPRODUCT((BF224:CQ224&lt;1)*(PARTIDAS!$I$2:$AT$2="OBRA GRUESA"))&gt;0,"OBRA GRUESA",""),IF(SUMPRODUCT((BF224:CQ224&lt;1)*(PARTIDAS!$I$2:$AT$2="SANITARIOS"))&gt;0,"SANITARIOS",""),IF(SUMPRODUCT((BF224:CQ224&lt;1)*(PARTIDAS!$I$2:$AT$2="ELÉCTRICO"))&gt;0,"ELÉCTRICO",""),IF(SUMPRODUCT((BF224:CQ224&lt;1)*(PARTIDAS!$I$2:$AT$2="TERMINACIONES"))&gt;0,"TERMINACIONES",""))</f>
        <v>OBRA GRUESA, SANITARIOS, ELÉCTRICO, TERMINACIONES</v>
      </c>
      <c r="CU224" s="46" cm="1">
        <f t="array" ref="CU224">SUMPRODUCT(--(BF224:CQ224&lt;1))</f>
        <v>38</v>
      </c>
    </row>
    <row r="225" spans="1:99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46181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 t="str">
        <f>+IF(AVANCE[[#This Row],[% AVANCE]]=100%,"MODULO TERMINADO",IF(AVANCE[[#This Row],[FECHA INICIO REAL]]="","MODULO NO INICIADO","PENDIENTE"))</f>
        <v>MODULO NO INICIADO</v>
      </c>
      <c r="BF225" s="3">
        <f>+IF(AVANCE[[#This Row],[VENTANAS]]=8.10810810810811%,100%,AVANCE[[#This Row],[VENTANAS]])</f>
        <v>0</v>
      </c>
      <c r="BG225" s="3">
        <f>+IF(AVANCE[[#This Row],[PISO]]=N$2,100%,AVANCE[[#This Row],[PISO]])</f>
        <v>0</v>
      </c>
      <c r="BH225" s="3">
        <f>+IF(AVANCE[[#This Row],[TABIQUES]]=O$2,100%,AVANCE[[#This Row],[TABIQUES]])</f>
        <v>0</v>
      </c>
      <c r="BI225" s="3">
        <f>+IF(AVANCE[[#This Row],[MUROS]]=P$2,100%,AVANCE[[#This Row],[MUROS]])</f>
        <v>0</v>
      </c>
      <c r="BJ225" s="3">
        <f>+IF(AVANCE[[#This Row],[CIELO]]=Q$2,100%,AVANCE[[#This Row],[CIELO]])</f>
        <v>0</v>
      </c>
      <c r="BK225" s="3">
        <f>+IF(AVANCE[[#This Row],[BALCÓN]]=R$2,100%,AVANCE[[#This Row],[BALCÓN]])</f>
        <v>0</v>
      </c>
      <c r="BL225" s="3">
        <f>+IF(AVANCE[[#This Row],[RED ALCANTARILLADO]]=U$2,100%,AVANCE[[#This Row],[RED ALCANTARILLADO]])</f>
        <v>0</v>
      </c>
      <c r="BM225" s="3">
        <f>+IF(AVANCE[[#This Row],[RED DE AGUA]]=V$2,100%,AVANCE[[#This Row],[RED DE AGUA]])</f>
        <v>0</v>
      </c>
      <c r="BN225" s="3">
        <f>+IF(AVANCE[[#This Row],[VENTILACIONES]]=W$2,100%,AVANCE[[#This Row],[VENTILACIONES]])</f>
        <v>0</v>
      </c>
      <c r="BO225" s="3">
        <f>+IF(AVANCE[[#This Row],[TINA]]=X$2,100%,AVANCE[[#This Row],[TINA]])</f>
        <v>0</v>
      </c>
      <c r="BP225" s="3">
        <f>+IF(AVANCE[[#This Row],[WC]]=Y$2,100%,AVANCE[[#This Row],[WC]])</f>
        <v>0</v>
      </c>
      <c r="BQ225" s="3">
        <f>+IF(AVANCE[[#This Row],[LAVAMANOS / LAVAPLATOS / LAVADERO]]=Z$2,100%,AVANCE[[#This Row],[LAVAMANOS / LAVAPLATOS / LAVADERO]])</f>
        <v>0</v>
      </c>
      <c r="BR225" s="3">
        <f>+IF(AVANCE[[#This Row],[CANALIZACIÓN]]=AC$2,100%,AVANCE[[#This Row],[CANALIZACIÓN]])</f>
        <v>0</v>
      </c>
      <c r="BS225" s="3">
        <f>+IF(AVANCE[[#This Row],[CABLEADO]]=AD$2,100%,AVANCE[[#This Row],[CABLEADO]])</f>
        <v>0</v>
      </c>
      <c r="BT225" s="3">
        <f>+IF(AVANCE[[#This Row],[ARTEFACTOS]]=AE$2,100%,AVANCE[[#This Row],[ARTEFACTOS]])</f>
        <v>0</v>
      </c>
      <c r="BU225" s="3">
        <f>+IF(AVANCE[[#This Row],[TABLERO]]=AF$2,100%,AVANCE[[#This Row],[TABLERO]])</f>
        <v>0</v>
      </c>
      <c r="BV225" s="3">
        <f>+IF(AVANCE[[#This Row],[CAJA PAU]]=AG$2,100%,AVANCE[[#This Row],[CAJA PAU]])</f>
        <v>0</v>
      </c>
      <c r="BW225" s="3">
        <f>+IF(AVANCE[[#This Row],[INSTALACION VINILICO]]=AJ$2,100%,AVANCE[[#This Row],[INSTALACION VINILICO]])</f>
        <v>0</v>
      </c>
      <c r="BX225" s="3">
        <f>+IF(AVANCE[[#This Row],[OSB CUBIERTA]]=AK$2,100%,AVANCE[[#This Row],[OSB CUBIERTA]])</f>
        <v>0</v>
      </c>
      <c r="BY225" s="3">
        <f>+IF(AVANCE[[#This Row],[BARANDA BALCON]]=AL$2,100%,AVANCE[[#This Row],[BARANDA BALCON]])</f>
        <v>0</v>
      </c>
      <c r="BZ225" s="3">
        <f>+IF(AVANCE[[#This Row],[OSB EXTERIOR]]=AM$2,100%,AVANCE[[#This Row],[OSB EXTERIOR]])</f>
        <v>0</v>
      </c>
      <c r="CA225" s="3">
        <f>+IF(AVANCE[[#This Row],[SMART PANEL]]=AN$2,100%,AVANCE[[#This Row],[SMART PANEL]])</f>
        <v>0</v>
      </c>
      <c r="CB225" s="3">
        <f>+IF(AVANCE[[#This Row],[PINTURA EXTERIOR]]=AO$2,100%,AVANCE[[#This Row],[PINTURA EXTERIOR]])</f>
        <v>0</v>
      </c>
      <c r="CC225" s="3">
        <f>+IF(AVANCE[[#This Row],[ZOCALOS LOGIA]]=AP$2,100%,AVANCE[[#This Row],[ZOCALOS LOGIA]])</f>
        <v>0</v>
      </c>
      <c r="CD225" s="3">
        <f>+IF(AVANCE[[#This Row],[MOLDURAS]]=AQ$2,100%,AVANCE[[#This Row],[MOLDURAS]])</f>
        <v>0</v>
      </c>
      <c r="CE225" s="3">
        <f>+IF(AVANCE[[#This Row],[PILASTREO]]=AR$2,100%,AVANCE[[#This Row],[PILASTREO]])</f>
        <v>0</v>
      </c>
      <c r="CF225" s="3">
        <f>+IF(AVANCE[[#This Row],[CELOSIAS]]=AS$2,100%,AVANCE[[#This Row],[CELOSIAS]])</f>
        <v>0</v>
      </c>
      <c r="CG225" s="3">
        <f>+IF(AVANCE[[#This Row],[VENTANAS]]=AT$2,100%,AVANCE[[#This Row],[VENTANAS]])</f>
        <v>0</v>
      </c>
      <c r="CH225" s="3">
        <f>+IF(AVANCE[[#This Row],[PUERTAS ACCESO - LOGIA - BANO]]=AU$2,100%,AVANCE[[#This Row],[PUERTAS ACCESO - LOGIA - BANO]])</f>
        <v>0</v>
      </c>
      <c r="CI225" s="3">
        <f>+IF(AVANCE[[#This Row],[CERRADURAS]]=AV$2,100%,AVANCE[[#This Row],[CERRADURAS]])</f>
        <v>0</v>
      </c>
      <c r="CJ225" s="3">
        <f>+IF(AVANCE[[#This Row],[REVESTIMIENTO INTERIOR ZONA SECA]]=AW$2,100%,AVANCE[[#This Row],[REVESTIMIENTO INTERIOR ZONA SECA]])</f>
        <v>0</v>
      </c>
      <c r="CK225" s="3">
        <f>+IF(AVANCE[[#This Row],[REVESTIMIENTO INTERIOR ZONAS HUMEDAS]]=AX$2,100%,AVANCE[[#This Row],[REVESTIMIENTO INTERIOR ZONAS HUMEDAS]])</f>
        <v>0</v>
      </c>
      <c r="CL225" s="3">
        <f>+IF(AVANCE[[#This Row],[MEMBRANA CIELO]]=AY$2,100%,AVANCE[[#This Row],[MEMBRANA CIELO]])</f>
        <v>0</v>
      </c>
      <c r="CM225" s="3">
        <f>+IF(AVANCE[[#This Row],[LIMPIEZA FINAL]]=AZ$2,100%,AVANCE[[#This Row],[LIMPIEZA FINAL]])</f>
        <v>0</v>
      </c>
      <c r="CN225" s="3">
        <f>+IF(AVANCE[[#This Row],[PUERTAS DORMITORIO]]=BA$2,100%,AVANCE[[#This Row],[PUERTAS DORMITORIO]])</f>
        <v>0</v>
      </c>
      <c r="CO225" s="3">
        <f>+IF(AVANCE[[#This Row],[REVESTIMIENTO INTERIOR BANO]]=BB$2,100%,AVANCE[[#This Row],[REVESTIMIENTO INTERIOR BANO]])</f>
        <v>0</v>
      </c>
      <c r="CP225" s="3">
        <f>+IF(AVANCE[[#This Row],[MUEBLE LAVAPLATOS]]=BC$2,100%,AVANCE[[#This Row],[MUEBLE LAVAPLATOS]])</f>
        <v>0</v>
      </c>
      <c r="CQ225" s="3">
        <f>+IF(AVANCE[[#This Row],[IMPERMEABILIZACION BANO - COCINA LOGIA]]=BD$2,100%,AVANCE[[#This Row],[IMPERMEABILIZACION BANO - COCINA LOGIA]])</f>
        <v>0</v>
      </c>
      <c r="CR225" s="40">
        <f ca="1">+IF(AVANCE[[#This Row],[ESTADO MODULO]]="PENDIENTE",(TODAY()-AVANCE[[#This Row],[FECHA TERMINO  PLANIFICADO]]),0)</f>
        <v>0</v>
      </c>
      <c r="CS225" s="42" t="str" cm="1">
        <f t="array" ref="CS225">_xlfn.TEXTJOIN(" | ",TRUE,IF(SUMPRODUCT((BF225:CQ225&lt;1)*(PARTIDAS!$I$2:$AT$2="OBRA GRUESA"))&gt;0,"OBRA GRUESA: "&amp;_xlfn.TEXTJOIN(", ",TRUE,IF((BF225:CQ225&lt;1)*(PARTIDAS!$I$2:$AT$2="OBRA GRUESA"),PARTIDAS!$I$1:$AT$1,"")),""),IF(SUMPRODUCT((BF225:CQ225&lt;1)*(PARTIDAS!$I$2:$AT$2="SANITARIOS"))&gt;0,"SANITARIOS: "&amp;_xlfn.TEXTJOIN(", ",TRUE,IF((BF225:CQ225&lt;1)*(PARTIDAS!$I$2:$AT$2="SANITARIOS"),PARTIDAS!$I$1:$AT$1,"")),""),IF(SUMPRODUCT((BF225:CQ225&lt;1)*(PARTIDAS!$I$2:$AT$2="ELÉCTRICO"))&gt;0,"ELÉCTRICO: "&amp;_xlfn.TEXTJOIN(", ",TRUE,IF((BF225:CQ225&lt;1)*(PARTIDAS!$I$2:$AT$2="ELÉCTRICO"),PARTIDAS!$I$1:$AT$1,"")),""),IF(SUMPRODUCT((BF225:CQ225&lt;1)*(PARTIDAS!$I$2:$AT$2="TERMINACIONES"))&gt;0,"TERMINACIONES: "&amp;_xlfn.TEXTJOIN(", ",TRUE,IF((BF225:CQ225&lt;1)*(PARTIDAS!$I$2:$AT$2="TERMINACIONES"),PARTIDAS!$I$1:$AT$1,"")),""))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5" s="45" t="str" cm="1">
        <f t="array" ref="CT225">_xlfn.TEXTJOIN(", ",TRUE,IF(SUMPRODUCT((BF225:CQ225&lt;1)*(PARTIDAS!$I$2:$AT$2="OBRA GRUESA"))&gt;0,"OBRA GRUESA",""),IF(SUMPRODUCT((BF225:CQ225&lt;1)*(PARTIDAS!$I$2:$AT$2="SANITARIOS"))&gt;0,"SANITARIOS",""),IF(SUMPRODUCT((BF225:CQ225&lt;1)*(PARTIDAS!$I$2:$AT$2="ELÉCTRICO"))&gt;0,"ELÉCTRICO",""),IF(SUMPRODUCT((BF225:CQ225&lt;1)*(PARTIDAS!$I$2:$AT$2="TERMINACIONES"))&gt;0,"TERMINACIONES",""))</f>
        <v>OBRA GRUESA, SANITARIOS, ELÉCTRICO, TERMINACIONES</v>
      </c>
      <c r="CU225" s="46" cm="1">
        <f t="array" ref="CU225">SUMPRODUCT(--(BF225:CQ225&lt;1))</f>
        <v>38</v>
      </c>
    </row>
    <row r="226" spans="1:99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46181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 t="str">
        <f>+IF(AVANCE[[#This Row],[% AVANCE]]=100%,"MODULO TERMINADO",IF(AVANCE[[#This Row],[FECHA INICIO REAL]]="","MODULO NO INICIADO","PENDIENTE"))</f>
        <v>MODULO NO INICIADO</v>
      </c>
      <c r="BF226" s="3">
        <f>+IF(AVANCE[[#This Row],[VENTANAS]]=8.10810810810811%,100%,AVANCE[[#This Row],[VENTANAS]])</f>
        <v>0</v>
      </c>
      <c r="BG226" s="3">
        <f>+IF(AVANCE[[#This Row],[PISO]]=N$2,100%,AVANCE[[#This Row],[PISO]])</f>
        <v>0</v>
      </c>
      <c r="BH226" s="3">
        <f>+IF(AVANCE[[#This Row],[TABIQUES]]=O$2,100%,AVANCE[[#This Row],[TABIQUES]])</f>
        <v>0</v>
      </c>
      <c r="BI226" s="3">
        <f>+IF(AVANCE[[#This Row],[MUROS]]=P$2,100%,AVANCE[[#This Row],[MUROS]])</f>
        <v>0</v>
      </c>
      <c r="BJ226" s="3">
        <f>+IF(AVANCE[[#This Row],[CIELO]]=Q$2,100%,AVANCE[[#This Row],[CIELO]])</f>
        <v>0</v>
      </c>
      <c r="BK226" s="3">
        <f>+IF(AVANCE[[#This Row],[BALCÓN]]=R$2,100%,AVANCE[[#This Row],[BALCÓN]])</f>
        <v>0</v>
      </c>
      <c r="BL226" s="3">
        <f>+IF(AVANCE[[#This Row],[RED ALCANTARILLADO]]=U$2,100%,AVANCE[[#This Row],[RED ALCANTARILLADO]])</f>
        <v>0</v>
      </c>
      <c r="BM226" s="3">
        <f>+IF(AVANCE[[#This Row],[RED DE AGUA]]=V$2,100%,AVANCE[[#This Row],[RED DE AGUA]])</f>
        <v>0</v>
      </c>
      <c r="BN226" s="3">
        <f>+IF(AVANCE[[#This Row],[VENTILACIONES]]=W$2,100%,AVANCE[[#This Row],[VENTILACIONES]])</f>
        <v>0</v>
      </c>
      <c r="BO226" s="3">
        <f>+IF(AVANCE[[#This Row],[TINA]]=X$2,100%,AVANCE[[#This Row],[TINA]])</f>
        <v>0</v>
      </c>
      <c r="BP226" s="3">
        <f>+IF(AVANCE[[#This Row],[WC]]=Y$2,100%,AVANCE[[#This Row],[WC]])</f>
        <v>0</v>
      </c>
      <c r="BQ226" s="3">
        <f>+IF(AVANCE[[#This Row],[LAVAMANOS / LAVAPLATOS / LAVADERO]]=Z$2,100%,AVANCE[[#This Row],[LAVAMANOS / LAVAPLATOS / LAVADERO]])</f>
        <v>0</v>
      </c>
      <c r="BR226" s="3">
        <f>+IF(AVANCE[[#This Row],[CANALIZACIÓN]]=AC$2,100%,AVANCE[[#This Row],[CANALIZACIÓN]])</f>
        <v>0</v>
      </c>
      <c r="BS226" s="3">
        <f>+IF(AVANCE[[#This Row],[CABLEADO]]=AD$2,100%,AVANCE[[#This Row],[CABLEADO]])</f>
        <v>0</v>
      </c>
      <c r="BT226" s="3">
        <f>+IF(AVANCE[[#This Row],[ARTEFACTOS]]=AE$2,100%,AVANCE[[#This Row],[ARTEFACTOS]])</f>
        <v>0</v>
      </c>
      <c r="BU226" s="3">
        <f>+IF(AVANCE[[#This Row],[TABLERO]]=AF$2,100%,AVANCE[[#This Row],[TABLERO]])</f>
        <v>0</v>
      </c>
      <c r="BV226" s="3">
        <f>+IF(AVANCE[[#This Row],[CAJA PAU]]=AG$2,100%,AVANCE[[#This Row],[CAJA PAU]])</f>
        <v>0</v>
      </c>
      <c r="BW226" s="3">
        <f>+IF(AVANCE[[#This Row],[INSTALACION VINILICO]]=AJ$2,100%,AVANCE[[#This Row],[INSTALACION VINILICO]])</f>
        <v>0</v>
      </c>
      <c r="BX226" s="3">
        <f>+IF(AVANCE[[#This Row],[OSB CUBIERTA]]=AK$2,100%,AVANCE[[#This Row],[OSB CUBIERTA]])</f>
        <v>0</v>
      </c>
      <c r="BY226" s="3">
        <f>+IF(AVANCE[[#This Row],[BARANDA BALCON]]=AL$2,100%,AVANCE[[#This Row],[BARANDA BALCON]])</f>
        <v>0</v>
      </c>
      <c r="BZ226" s="3">
        <f>+IF(AVANCE[[#This Row],[OSB EXTERIOR]]=AM$2,100%,AVANCE[[#This Row],[OSB EXTERIOR]])</f>
        <v>0</v>
      </c>
      <c r="CA226" s="3">
        <f>+IF(AVANCE[[#This Row],[SMART PANEL]]=AN$2,100%,AVANCE[[#This Row],[SMART PANEL]])</f>
        <v>0</v>
      </c>
      <c r="CB226" s="3">
        <f>+IF(AVANCE[[#This Row],[PINTURA EXTERIOR]]=AO$2,100%,AVANCE[[#This Row],[PINTURA EXTERIOR]])</f>
        <v>0</v>
      </c>
      <c r="CC226" s="3">
        <f>+IF(AVANCE[[#This Row],[ZOCALOS LOGIA]]=AP$2,100%,AVANCE[[#This Row],[ZOCALOS LOGIA]])</f>
        <v>0</v>
      </c>
      <c r="CD226" s="3">
        <f>+IF(AVANCE[[#This Row],[MOLDURAS]]=AQ$2,100%,AVANCE[[#This Row],[MOLDURAS]])</f>
        <v>0</v>
      </c>
      <c r="CE226" s="3">
        <f>+IF(AVANCE[[#This Row],[PILASTREO]]=AR$2,100%,AVANCE[[#This Row],[PILASTREO]])</f>
        <v>0</v>
      </c>
      <c r="CF226" s="3">
        <f>+IF(AVANCE[[#This Row],[CELOSIAS]]=AS$2,100%,AVANCE[[#This Row],[CELOSIAS]])</f>
        <v>0</v>
      </c>
      <c r="CG226" s="3">
        <f>+IF(AVANCE[[#This Row],[VENTANAS]]=AT$2,100%,AVANCE[[#This Row],[VENTANAS]])</f>
        <v>0</v>
      </c>
      <c r="CH226" s="3">
        <f>+IF(AVANCE[[#This Row],[PUERTAS ACCESO - LOGIA - BANO]]=AU$2,100%,AVANCE[[#This Row],[PUERTAS ACCESO - LOGIA - BANO]])</f>
        <v>0</v>
      </c>
      <c r="CI226" s="3">
        <f>+IF(AVANCE[[#This Row],[CERRADURAS]]=AV$2,100%,AVANCE[[#This Row],[CERRADURAS]])</f>
        <v>0</v>
      </c>
      <c r="CJ226" s="3">
        <f>+IF(AVANCE[[#This Row],[REVESTIMIENTO INTERIOR ZONA SECA]]=AW$2,100%,AVANCE[[#This Row],[REVESTIMIENTO INTERIOR ZONA SECA]])</f>
        <v>0</v>
      </c>
      <c r="CK226" s="3">
        <f>+IF(AVANCE[[#This Row],[REVESTIMIENTO INTERIOR ZONAS HUMEDAS]]=AX$2,100%,AVANCE[[#This Row],[REVESTIMIENTO INTERIOR ZONAS HUMEDAS]])</f>
        <v>0</v>
      </c>
      <c r="CL226" s="3">
        <f>+IF(AVANCE[[#This Row],[MEMBRANA CIELO]]=AY$2,100%,AVANCE[[#This Row],[MEMBRANA CIELO]])</f>
        <v>0</v>
      </c>
      <c r="CM226" s="3">
        <f>+IF(AVANCE[[#This Row],[LIMPIEZA FINAL]]=AZ$2,100%,AVANCE[[#This Row],[LIMPIEZA FINAL]])</f>
        <v>0</v>
      </c>
      <c r="CN226" s="3">
        <f>+IF(AVANCE[[#This Row],[PUERTAS DORMITORIO]]=BA$2,100%,AVANCE[[#This Row],[PUERTAS DORMITORIO]])</f>
        <v>0</v>
      </c>
      <c r="CO226" s="3">
        <f>+IF(AVANCE[[#This Row],[REVESTIMIENTO INTERIOR BANO]]=BB$2,100%,AVANCE[[#This Row],[REVESTIMIENTO INTERIOR BANO]])</f>
        <v>0</v>
      </c>
      <c r="CP226" s="3">
        <f>+IF(AVANCE[[#This Row],[MUEBLE LAVAPLATOS]]=BC$2,100%,AVANCE[[#This Row],[MUEBLE LAVAPLATOS]])</f>
        <v>0</v>
      </c>
      <c r="CQ226" s="3">
        <f>+IF(AVANCE[[#This Row],[IMPERMEABILIZACION BANO - COCINA LOGIA]]=BD$2,100%,AVANCE[[#This Row],[IMPERMEABILIZACION BANO - COCINA LOGIA]])</f>
        <v>0</v>
      </c>
      <c r="CR226" s="40">
        <f ca="1">+IF(AVANCE[[#This Row],[ESTADO MODULO]]="PENDIENTE",(TODAY()-AVANCE[[#This Row],[FECHA TERMINO  PLANIFICADO]]),0)</f>
        <v>0</v>
      </c>
      <c r="CS226" s="42" t="str" cm="1">
        <f t="array" ref="CS226">_xlfn.TEXTJOIN(" | ",TRUE,IF(SUMPRODUCT((BF226:CQ226&lt;1)*(PARTIDAS!$I$2:$AT$2="OBRA GRUESA"))&gt;0,"OBRA GRUESA: "&amp;_xlfn.TEXTJOIN(", ",TRUE,IF((BF226:CQ226&lt;1)*(PARTIDAS!$I$2:$AT$2="OBRA GRUESA"),PARTIDAS!$I$1:$AT$1,"")),""),IF(SUMPRODUCT((BF226:CQ226&lt;1)*(PARTIDAS!$I$2:$AT$2="SANITARIOS"))&gt;0,"SANITARIOS: "&amp;_xlfn.TEXTJOIN(", ",TRUE,IF((BF226:CQ226&lt;1)*(PARTIDAS!$I$2:$AT$2="SANITARIOS"),PARTIDAS!$I$1:$AT$1,"")),""),IF(SUMPRODUCT((BF226:CQ226&lt;1)*(PARTIDAS!$I$2:$AT$2="ELÉCTRICO"))&gt;0,"ELÉCTRICO: "&amp;_xlfn.TEXTJOIN(", ",TRUE,IF((BF226:CQ226&lt;1)*(PARTIDAS!$I$2:$AT$2="ELÉCTRICO"),PARTIDAS!$I$1:$AT$1,"")),""),IF(SUMPRODUCT((BF226:CQ226&lt;1)*(PARTIDAS!$I$2:$AT$2="TERMINACIONES"))&gt;0,"TERMINACIONES: "&amp;_xlfn.TEXTJOIN(", ",TRUE,IF((BF226:CQ226&lt;1)*(PARTIDAS!$I$2:$AT$2="TERMINACIONES"),PARTIDAS!$I$1:$AT$1,"")),""))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6" s="45" t="str" cm="1">
        <f t="array" ref="CT226">_xlfn.TEXTJOIN(", ",TRUE,IF(SUMPRODUCT((BF226:CQ226&lt;1)*(PARTIDAS!$I$2:$AT$2="OBRA GRUESA"))&gt;0,"OBRA GRUESA",""),IF(SUMPRODUCT((BF226:CQ226&lt;1)*(PARTIDAS!$I$2:$AT$2="SANITARIOS"))&gt;0,"SANITARIOS",""),IF(SUMPRODUCT((BF226:CQ226&lt;1)*(PARTIDAS!$I$2:$AT$2="ELÉCTRICO"))&gt;0,"ELÉCTRICO",""),IF(SUMPRODUCT((BF226:CQ226&lt;1)*(PARTIDAS!$I$2:$AT$2="TERMINACIONES"))&gt;0,"TERMINACIONES",""))</f>
        <v>OBRA GRUESA, SANITARIOS, ELÉCTRICO, TERMINACIONES</v>
      </c>
      <c r="CU226" s="46" cm="1">
        <f t="array" ref="CU226">SUMPRODUCT(--(BF226:CQ226&lt;1))</f>
        <v>38</v>
      </c>
    </row>
    <row r="227" spans="1:99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46181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 t="str">
        <f>+IF(AVANCE[[#This Row],[% AVANCE]]=100%,"MODULO TERMINADO",IF(AVANCE[[#This Row],[FECHA INICIO REAL]]="","MODULO NO INICIADO","PENDIENTE"))</f>
        <v>MODULO NO INICIADO</v>
      </c>
      <c r="BF227" s="3">
        <f>+IF(AVANCE[[#This Row],[VENTANAS]]=8.10810810810811%,100%,AVANCE[[#This Row],[VENTANAS]])</f>
        <v>0</v>
      </c>
      <c r="BG227" s="3">
        <f>+IF(AVANCE[[#This Row],[PISO]]=N$2,100%,AVANCE[[#This Row],[PISO]])</f>
        <v>0</v>
      </c>
      <c r="BH227" s="3">
        <f>+IF(AVANCE[[#This Row],[TABIQUES]]=O$2,100%,AVANCE[[#This Row],[TABIQUES]])</f>
        <v>0</v>
      </c>
      <c r="BI227" s="3">
        <f>+IF(AVANCE[[#This Row],[MUROS]]=P$2,100%,AVANCE[[#This Row],[MUROS]])</f>
        <v>0</v>
      </c>
      <c r="BJ227" s="3">
        <f>+IF(AVANCE[[#This Row],[CIELO]]=Q$2,100%,AVANCE[[#This Row],[CIELO]])</f>
        <v>0</v>
      </c>
      <c r="BK227" s="3">
        <f>+IF(AVANCE[[#This Row],[BALCÓN]]=R$2,100%,AVANCE[[#This Row],[BALCÓN]])</f>
        <v>0</v>
      </c>
      <c r="BL227" s="3">
        <f>+IF(AVANCE[[#This Row],[RED ALCANTARILLADO]]=U$2,100%,AVANCE[[#This Row],[RED ALCANTARILLADO]])</f>
        <v>0</v>
      </c>
      <c r="BM227" s="3">
        <f>+IF(AVANCE[[#This Row],[RED DE AGUA]]=V$2,100%,AVANCE[[#This Row],[RED DE AGUA]])</f>
        <v>0</v>
      </c>
      <c r="BN227" s="3">
        <f>+IF(AVANCE[[#This Row],[VENTILACIONES]]=W$2,100%,AVANCE[[#This Row],[VENTILACIONES]])</f>
        <v>0</v>
      </c>
      <c r="BO227" s="3">
        <f>+IF(AVANCE[[#This Row],[TINA]]=X$2,100%,AVANCE[[#This Row],[TINA]])</f>
        <v>0</v>
      </c>
      <c r="BP227" s="3">
        <f>+IF(AVANCE[[#This Row],[WC]]=Y$2,100%,AVANCE[[#This Row],[WC]])</f>
        <v>0</v>
      </c>
      <c r="BQ227" s="3">
        <f>+IF(AVANCE[[#This Row],[LAVAMANOS / LAVAPLATOS / LAVADERO]]=Z$2,100%,AVANCE[[#This Row],[LAVAMANOS / LAVAPLATOS / LAVADERO]])</f>
        <v>0</v>
      </c>
      <c r="BR227" s="3">
        <f>+IF(AVANCE[[#This Row],[CANALIZACIÓN]]=AC$2,100%,AVANCE[[#This Row],[CANALIZACIÓN]])</f>
        <v>0</v>
      </c>
      <c r="BS227" s="3">
        <f>+IF(AVANCE[[#This Row],[CABLEADO]]=AD$2,100%,AVANCE[[#This Row],[CABLEADO]])</f>
        <v>0</v>
      </c>
      <c r="BT227" s="3">
        <f>+IF(AVANCE[[#This Row],[ARTEFACTOS]]=AE$2,100%,AVANCE[[#This Row],[ARTEFACTOS]])</f>
        <v>0</v>
      </c>
      <c r="BU227" s="3">
        <f>+IF(AVANCE[[#This Row],[TABLERO]]=AF$2,100%,AVANCE[[#This Row],[TABLERO]])</f>
        <v>0</v>
      </c>
      <c r="BV227" s="3">
        <f>+IF(AVANCE[[#This Row],[CAJA PAU]]=AG$2,100%,AVANCE[[#This Row],[CAJA PAU]])</f>
        <v>0</v>
      </c>
      <c r="BW227" s="3">
        <f>+IF(AVANCE[[#This Row],[INSTALACION VINILICO]]=AJ$2,100%,AVANCE[[#This Row],[INSTALACION VINILICO]])</f>
        <v>0</v>
      </c>
      <c r="BX227" s="3">
        <f>+IF(AVANCE[[#This Row],[OSB CUBIERTA]]=AK$2,100%,AVANCE[[#This Row],[OSB CUBIERTA]])</f>
        <v>0</v>
      </c>
      <c r="BY227" s="3">
        <f>+IF(AVANCE[[#This Row],[BARANDA BALCON]]=AL$2,100%,AVANCE[[#This Row],[BARANDA BALCON]])</f>
        <v>0</v>
      </c>
      <c r="BZ227" s="3">
        <f>+IF(AVANCE[[#This Row],[OSB EXTERIOR]]=AM$2,100%,AVANCE[[#This Row],[OSB EXTERIOR]])</f>
        <v>0</v>
      </c>
      <c r="CA227" s="3">
        <f>+IF(AVANCE[[#This Row],[SMART PANEL]]=AN$2,100%,AVANCE[[#This Row],[SMART PANEL]])</f>
        <v>0</v>
      </c>
      <c r="CB227" s="3">
        <f>+IF(AVANCE[[#This Row],[PINTURA EXTERIOR]]=AO$2,100%,AVANCE[[#This Row],[PINTURA EXTERIOR]])</f>
        <v>0</v>
      </c>
      <c r="CC227" s="3">
        <f>+IF(AVANCE[[#This Row],[ZOCALOS LOGIA]]=AP$2,100%,AVANCE[[#This Row],[ZOCALOS LOGIA]])</f>
        <v>0</v>
      </c>
      <c r="CD227" s="3">
        <f>+IF(AVANCE[[#This Row],[MOLDURAS]]=AQ$2,100%,AVANCE[[#This Row],[MOLDURAS]])</f>
        <v>0</v>
      </c>
      <c r="CE227" s="3">
        <f>+IF(AVANCE[[#This Row],[PILASTREO]]=AR$2,100%,AVANCE[[#This Row],[PILASTREO]])</f>
        <v>0</v>
      </c>
      <c r="CF227" s="3">
        <f>+IF(AVANCE[[#This Row],[CELOSIAS]]=AS$2,100%,AVANCE[[#This Row],[CELOSIAS]])</f>
        <v>0</v>
      </c>
      <c r="CG227" s="3">
        <f>+IF(AVANCE[[#This Row],[VENTANAS]]=AT$2,100%,AVANCE[[#This Row],[VENTANAS]])</f>
        <v>0</v>
      </c>
      <c r="CH227" s="3">
        <f>+IF(AVANCE[[#This Row],[PUERTAS ACCESO - LOGIA - BANO]]=AU$2,100%,AVANCE[[#This Row],[PUERTAS ACCESO - LOGIA - BANO]])</f>
        <v>0</v>
      </c>
      <c r="CI227" s="3">
        <f>+IF(AVANCE[[#This Row],[CERRADURAS]]=AV$2,100%,AVANCE[[#This Row],[CERRADURAS]])</f>
        <v>0</v>
      </c>
      <c r="CJ227" s="3">
        <f>+IF(AVANCE[[#This Row],[REVESTIMIENTO INTERIOR ZONA SECA]]=AW$2,100%,AVANCE[[#This Row],[REVESTIMIENTO INTERIOR ZONA SECA]])</f>
        <v>0</v>
      </c>
      <c r="CK227" s="3">
        <f>+IF(AVANCE[[#This Row],[REVESTIMIENTO INTERIOR ZONAS HUMEDAS]]=AX$2,100%,AVANCE[[#This Row],[REVESTIMIENTO INTERIOR ZONAS HUMEDAS]])</f>
        <v>0</v>
      </c>
      <c r="CL227" s="3">
        <f>+IF(AVANCE[[#This Row],[MEMBRANA CIELO]]=AY$2,100%,AVANCE[[#This Row],[MEMBRANA CIELO]])</f>
        <v>0</v>
      </c>
      <c r="CM227" s="3">
        <f>+IF(AVANCE[[#This Row],[LIMPIEZA FINAL]]=AZ$2,100%,AVANCE[[#This Row],[LIMPIEZA FINAL]])</f>
        <v>0</v>
      </c>
      <c r="CN227" s="3">
        <f>+IF(AVANCE[[#This Row],[PUERTAS DORMITORIO]]=BA$2,100%,AVANCE[[#This Row],[PUERTAS DORMITORIO]])</f>
        <v>0</v>
      </c>
      <c r="CO227" s="3">
        <f>+IF(AVANCE[[#This Row],[REVESTIMIENTO INTERIOR BANO]]=BB$2,100%,AVANCE[[#This Row],[REVESTIMIENTO INTERIOR BANO]])</f>
        <v>0</v>
      </c>
      <c r="CP227" s="3">
        <f>+IF(AVANCE[[#This Row],[MUEBLE LAVAPLATOS]]=BC$2,100%,AVANCE[[#This Row],[MUEBLE LAVAPLATOS]])</f>
        <v>0</v>
      </c>
      <c r="CQ227" s="3">
        <f>+IF(AVANCE[[#This Row],[IMPERMEABILIZACION BANO - COCINA LOGIA]]=BD$2,100%,AVANCE[[#This Row],[IMPERMEABILIZACION BANO - COCINA LOGIA]])</f>
        <v>0</v>
      </c>
      <c r="CR227" s="40">
        <f ca="1">+IF(AVANCE[[#This Row],[ESTADO MODULO]]="PENDIENTE",(TODAY()-AVANCE[[#This Row],[FECHA TERMINO  PLANIFICADO]]),0)</f>
        <v>0</v>
      </c>
      <c r="CS227" s="42" t="str" cm="1">
        <f t="array" ref="CS227">_xlfn.TEXTJOIN(" | ",TRUE,IF(SUMPRODUCT((BF227:CQ227&lt;1)*(PARTIDAS!$I$2:$AT$2="OBRA GRUESA"))&gt;0,"OBRA GRUESA: "&amp;_xlfn.TEXTJOIN(", ",TRUE,IF((BF227:CQ227&lt;1)*(PARTIDAS!$I$2:$AT$2="OBRA GRUESA"),PARTIDAS!$I$1:$AT$1,"")),""),IF(SUMPRODUCT((BF227:CQ227&lt;1)*(PARTIDAS!$I$2:$AT$2="SANITARIOS"))&gt;0,"SANITARIOS: "&amp;_xlfn.TEXTJOIN(", ",TRUE,IF((BF227:CQ227&lt;1)*(PARTIDAS!$I$2:$AT$2="SANITARIOS"),PARTIDAS!$I$1:$AT$1,"")),""),IF(SUMPRODUCT((BF227:CQ227&lt;1)*(PARTIDAS!$I$2:$AT$2="ELÉCTRICO"))&gt;0,"ELÉCTRICO: "&amp;_xlfn.TEXTJOIN(", ",TRUE,IF((BF227:CQ227&lt;1)*(PARTIDAS!$I$2:$AT$2="ELÉCTRICO"),PARTIDAS!$I$1:$AT$1,"")),""),IF(SUMPRODUCT((BF227:CQ227&lt;1)*(PARTIDAS!$I$2:$AT$2="TERMINACIONES"))&gt;0,"TERMINACIONES: "&amp;_xlfn.TEXTJOIN(", ",TRUE,IF((BF227:CQ227&lt;1)*(PARTIDAS!$I$2:$AT$2="TERMINACIONES"),PARTIDAS!$I$1:$AT$1,"")),""))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7" s="45" t="str" cm="1">
        <f t="array" ref="CT227">_xlfn.TEXTJOIN(", ",TRUE,IF(SUMPRODUCT((BF227:CQ227&lt;1)*(PARTIDAS!$I$2:$AT$2="OBRA GRUESA"))&gt;0,"OBRA GRUESA",""),IF(SUMPRODUCT((BF227:CQ227&lt;1)*(PARTIDAS!$I$2:$AT$2="SANITARIOS"))&gt;0,"SANITARIOS",""),IF(SUMPRODUCT((BF227:CQ227&lt;1)*(PARTIDAS!$I$2:$AT$2="ELÉCTRICO"))&gt;0,"ELÉCTRICO",""),IF(SUMPRODUCT((BF227:CQ227&lt;1)*(PARTIDAS!$I$2:$AT$2="TERMINACIONES"))&gt;0,"TERMINACIONES",""))</f>
        <v>OBRA GRUESA, SANITARIOS, ELÉCTRICO, TERMINACIONES</v>
      </c>
      <c r="CU227" s="46" cm="1">
        <f t="array" ref="CU227">SUMPRODUCT(--(BF227:CQ227&lt;1))</f>
        <v>38</v>
      </c>
    </row>
    <row r="228" spans="1:99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46181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 t="str">
        <f>+IF(AVANCE[[#This Row],[% AVANCE]]=100%,"MODULO TERMINADO",IF(AVANCE[[#This Row],[FECHA INICIO REAL]]="","MODULO NO INICIADO","PENDIENTE"))</f>
        <v>MODULO NO INICIADO</v>
      </c>
      <c r="BF228" s="3">
        <f>+IF(AVANCE[[#This Row],[VENTANAS]]=8.10810810810811%,100%,AVANCE[[#This Row],[VENTANAS]])</f>
        <v>0</v>
      </c>
      <c r="BG228" s="3">
        <f>+IF(AVANCE[[#This Row],[PISO]]=N$2,100%,AVANCE[[#This Row],[PISO]])</f>
        <v>0</v>
      </c>
      <c r="BH228" s="3">
        <f>+IF(AVANCE[[#This Row],[TABIQUES]]=O$2,100%,AVANCE[[#This Row],[TABIQUES]])</f>
        <v>0</v>
      </c>
      <c r="BI228" s="3">
        <f>+IF(AVANCE[[#This Row],[MUROS]]=P$2,100%,AVANCE[[#This Row],[MUROS]])</f>
        <v>0</v>
      </c>
      <c r="BJ228" s="3">
        <f>+IF(AVANCE[[#This Row],[CIELO]]=Q$2,100%,AVANCE[[#This Row],[CIELO]])</f>
        <v>0</v>
      </c>
      <c r="BK228" s="3">
        <f>+IF(AVANCE[[#This Row],[BALCÓN]]=R$2,100%,AVANCE[[#This Row],[BALCÓN]])</f>
        <v>0</v>
      </c>
      <c r="BL228" s="3">
        <f>+IF(AVANCE[[#This Row],[RED ALCANTARILLADO]]=U$2,100%,AVANCE[[#This Row],[RED ALCANTARILLADO]])</f>
        <v>0</v>
      </c>
      <c r="BM228" s="3">
        <f>+IF(AVANCE[[#This Row],[RED DE AGUA]]=V$2,100%,AVANCE[[#This Row],[RED DE AGUA]])</f>
        <v>0</v>
      </c>
      <c r="BN228" s="3">
        <f>+IF(AVANCE[[#This Row],[VENTILACIONES]]=W$2,100%,AVANCE[[#This Row],[VENTILACIONES]])</f>
        <v>0</v>
      </c>
      <c r="BO228" s="3">
        <f>+IF(AVANCE[[#This Row],[TINA]]=X$2,100%,AVANCE[[#This Row],[TINA]])</f>
        <v>0</v>
      </c>
      <c r="BP228" s="3">
        <f>+IF(AVANCE[[#This Row],[WC]]=Y$2,100%,AVANCE[[#This Row],[WC]])</f>
        <v>0</v>
      </c>
      <c r="BQ228" s="3">
        <f>+IF(AVANCE[[#This Row],[LAVAMANOS / LAVAPLATOS / LAVADERO]]=Z$2,100%,AVANCE[[#This Row],[LAVAMANOS / LAVAPLATOS / LAVADERO]])</f>
        <v>0</v>
      </c>
      <c r="BR228" s="3">
        <f>+IF(AVANCE[[#This Row],[CANALIZACIÓN]]=AC$2,100%,AVANCE[[#This Row],[CANALIZACIÓN]])</f>
        <v>0</v>
      </c>
      <c r="BS228" s="3">
        <f>+IF(AVANCE[[#This Row],[CABLEADO]]=AD$2,100%,AVANCE[[#This Row],[CABLEADO]])</f>
        <v>0</v>
      </c>
      <c r="BT228" s="3">
        <f>+IF(AVANCE[[#This Row],[ARTEFACTOS]]=AE$2,100%,AVANCE[[#This Row],[ARTEFACTOS]])</f>
        <v>0</v>
      </c>
      <c r="BU228" s="3">
        <f>+IF(AVANCE[[#This Row],[TABLERO]]=AF$2,100%,AVANCE[[#This Row],[TABLERO]])</f>
        <v>0</v>
      </c>
      <c r="BV228" s="3">
        <f>+IF(AVANCE[[#This Row],[CAJA PAU]]=AG$2,100%,AVANCE[[#This Row],[CAJA PAU]])</f>
        <v>0</v>
      </c>
      <c r="BW228" s="3">
        <f>+IF(AVANCE[[#This Row],[INSTALACION VINILICO]]=AJ$2,100%,AVANCE[[#This Row],[INSTALACION VINILICO]])</f>
        <v>0</v>
      </c>
      <c r="BX228" s="3">
        <f>+IF(AVANCE[[#This Row],[OSB CUBIERTA]]=AK$2,100%,AVANCE[[#This Row],[OSB CUBIERTA]])</f>
        <v>0</v>
      </c>
      <c r="BY228" s="3">
        <f>+IF(AVANCE[[#This Row],[BARANDA BALCON]]=AL$2,100%,AVANCE[[#This Row],[BARANDA BALCON]])</f>
        <v>0</v>
      </c>
      <c r="BZ228" s="3">
        <f>+IF(AVANCE[[#This Row],[OSB EXTERIOR]]=AM$2,100%,AVANCE[[#This Row],[OSB EXTERIOR]])</f>
        <v>0</v>
      </c>
      <c r="CA228" s="3">
        <f>+IF(AVANCE[[#This Row],[SMART PANEL]]=AN$2,100%,AVANCE[[#This Row],[SMART PANEL]])</f>
        <v>0</v>
      </c>
      <c r="CB228" s="3">
        <f>+IF(AVANCE[[#This Row],[PINTURA EXTERIOR]]=AO$2,100%,AVANCE[[#This Row],[PINTURA EXTERIOR]])</f>
        <v>0</v>
      </c>
      <c r="CC228" s="3">
        <f>+IF(AVANCE[[#This Row],[ZOCALOS LOGIA]]=AP$2,100%,AVANCE[[#This Row],[ZOCALOS LOGIA]])</f>
        <v>0</v>
      </c>
      <c r="CD228" s="3">
        <f>+IF(AVANCE[[#This Row],[MOLDURAS]]=AQ$2,100%,AVANCE[[#This Row],[MOLDURAS]])</f>
        <v>0</v>
      </c>
      <c r="CE228" s="3">
        <f>+IF(AVANCE[[#This Row],[PILASTREO]]=AR$2,100%,AVANCE[[#This Row],[PILASTREO]])</f>
        <v>0</v>
      </c>
      <c r="CF228" s="3">
        <f>+IF(AVANCE[[#This Row],[CELOSIAS]]=AS$2,100%,AVANCE[[#This Row],[CELOSIAS]])</f>
        <v>0</v>
      </c>
      <c r="CG228" s="3">
        <f>+IF(AVANCE[[#This Row],[VENTANAS]]=AT$2,100%,AVANCE[[#This Row],[VENTANAS]])</f>
        <v>0</v>
      </c>
      <c r="CH228" s="3">
        <f>+IF(AVANCE[[#This Row],[PUERTAS ACCESO - LOGIA - BANO]]=AU$2,100%,AVANCE[[#This Row],[PUERTAS ACCESO - LOGIA - BANO]])</f>
        <v>0</v>
      </c>
      <c r="CI228" s="3">
        <f>+IF(AVANCE[[#This Row],[CERRADURAS]]=AV$2,100%,AVANCE[[#This Row],[CERRADURAS]])</f>
        <v>0</v>
      </c>
      <c r="CJ228" s="3">
        <f>+IF(AVANCE[[#This Row],[REVESTIMIENTO INTERIOR ZONA SECA]]=AW$2,100%,AVANCE[[#This Row],[REVESTIMIENTO INTERIOR ZONA SECA]])</f>
        <v>0</v>
      </c>
      <c r="CK228" s="3">
        <f>+IF(AVANCE[[#This Row],[REVESTIMIENTO INTERIOR ZONAS HUMEDAS]]=AX$2,100%,AVANCE[[#This Row],[REVESTIMIENTO INTERIOR ZONAS HUMEDAS]])</f>
        <v>0</v>
      </c>
      <c r="CL228" s="3">
        <f>+IF(AVANCE[[#This Row],[MEMBRANA CIELO]]=AY$2,100%,AVANCE[[#This Row],[MEMBRANA CIELO]])</f>
        <v>0</v>
      </c>
      <c r="CM228" s="3">
        <f>+IF(AVANCE[[#This Row],[LIMPIEZA FINAL]]=AZ$2,100%,AVANCE[[#This Row],[LIMPIEZA FINAL]])</f>
        <v>0</v>
      </c>
      <c r="CN228" s="3">
        <f>+IF(AVANCE[[#This Row],[PUERTAS DORMITORIO]]=BA$2,100%,AVANCE[[#This Row],[PUERTAS DORMITORIO]])</f>
        <v>0</v>
      </c>
      <c r="CO228" s="3">
        <f>+IF(AVANCE[[#This Row],[REVESTIMIENTO INTERIOR BANO]]=BB$2,100%,AVANCE[[#This Row],[REVESTIMIENTO INTERIOR BANO]])</f>
        <v>0</v>
      </c>
      <c r="CP228" s="3">
        <f>+IF(AVANCE[[#This Row],[MUEBLE LAVAPLATOS]]=BC$2,100%,AVANCE[[#This Row],[MUEBLE LAVAPLATOS]])</f>
        <v>0</v>
      </c>
      <c r="CQ228" s="3">
        <f>+IF(AVANCE[[#This Row],[IMPERMEABILIZACION BANO - COCINA LOGIA]]=BD$2,100%,AVANCE[[#This Row],[IMPERMEABILIZACION BANO - COCINA LOGIA]])</f>
        <v>0</v>
      </c>
      <c r="CR228" s="40">
        <f ca="1">+IF(AVANCE[[#This Row],[ESTADO MODULO]]="PENDIENTE",(TODAY()-AVANCE[[#This Row],[FECHA TERMINO  PLANIFICADO]]),0)</f>
        <v>0</v>
      </c>
      <c r="CS228" s="42" t="str" cm="1">
        <f t="array" ref="CS228">_xlfn.TEXTJOIN(" | ",TRUE,IF(SUMPRODUCT((BF228:CQ228&lt;1)*(PARTIDAS!$I$2:$AT$2="OBRA GRUESA"))&gt;0,"OBRA GRUESA: "&amp;_xlfn.TEXTJOIN(", ",TRUE,IF((BF228:CQ228&lt;1)*(PARTIDAS!$I$2:$AT$2="OBRA GRUESA"),PARTIDAS!$I$1:$AT$1,"")),""),IF(SUMPRODUCT((BF228:CQ228&lt;1)*(PARTIDAS!$I$2:$AT$2="SANITARIOS"))&gt;0,"SANITARIOS: "&amp;_xlfn.TEXTJOIN(", ",TRUE,IF((BF228:CQ228&lt;1)*(PARTIDAS!$I$2:$AT$2="SANITARIOS"),PARTIDAS!$I$1:$AT$1,"")),""),IF(SUMPRODUCT((BF228:CQ228&lt;1)*(PARTIDAS!$I$2:$AT$2="ELÉCTRICO"))&gt;0,"ELÉCTRICO: "&amp;_xlfn.TEXTJOIN(", ",TRUE,IF((BF228:CQ228&lt;1)*(PARTIDAS!$I$2:$AT$2="ELÉCTRICO"),PARTIDAS!$I$1:$AT$1,"")),""),IF(SUMPRODUCT((BF228:CQ228&lt;1)*(PARTIDAS!$I$2:$AT$2="TERMINACIONES"))&gt;0,"TERMINACIONES: "&amp;_xlfn.TEXTJOIN(", ",TRUE,IF((BF228:CQ228&lt;1)*(PARTIDAS!$I$2:$AT$2="TERMINACIONES"),PARTIDAS!$I$1:$AT$1,"")),""))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8" s="45" t="str" cm="1">
        <f t="array" ref="CT228">_xlfn.TEXTJOIN(", ",TRUE,IF(SUMPRODUCT((BF228:CQ228&lt;1)*(PARTIDAS!$I$2:$AT$2="OBRA GRUESA"))&gt;0,"OBRA GRUESA",""),IF(SUMPRODUCT((BF228:CQ228&lt;1)*(PARTIDAS!$I$2:$AT$2="SANITARIOS"))&gt;0,"SANITARIOS",""),IF(SUMPRODUCT((BF228:CQ228&lt;1)*(PARTIDAS!$I$2:$AT$2="ELÉCTRICO"))&gt;0,"ELÉCTRICO",""),IF(SUMPRODUCT((BF228:CQ228&lt;1)*(PARTIDAS!$I$2:$AT$2="TERMINACIONES"))&gt;0,"TERMINACIONES",""))</f>
        <v>OBRA GRUESA, SANITARIOS, ELÉCTRICO, TERMINACIONES</v>
      </c>
      <c r="CU228" s="46" cm="1">
        <f t="array" ref="CU228">SUMPRODUCT(--(BF228:CQ228&lt;1))</f>
        <v>38</v>
      </c>
    </row>
    <row r="229" spans="1:99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46181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 t="str">
        <f>+IF(AVANCE[[#This Row],[% AVANCE]]=100%,"MODULO TERMINADO",IF(AVANCE[[#This Row],[FECHA INICIO REAL]]="","MODULO NO INICIADO","PENDIENTE"))</f>
        <v>MODULO NO INICIADO</v>
      </c>
      <c r="BF229" s="3">
        <f>+IF(AVANCE[[#This Row],[VENTANAS]]=8.10810810810811%,100%,AVANCE[[#This Row],[VENTANAS]])</f>
        <v>0</v>
      </c>
      <c r="BG229" s="3">
        <f>+IF(AVANCE[[#This Row],[PISO]]=N$2,100%,AVANCE[[#This Row],[PISO]])</f>
        <v>0</v>
      </c>
      <c r="BH229" s="3">
        <f>+IF(AVANCE[[#This Row],[TABIQUES]]=O$2,100%,AVANCE[[#This Row],[TABIQUES]])</f>
        <v>0</v>
      </c>
      <c r="BI229" s="3">
        <f>+IF(AVANCE[[#This Row],[MUROS]]=P$2,100%,AVANCE[[#This Row],[MUROS]])</f>
        <v>0</v>
      </c>
      <c r="BJ229" s="3">
        <f>+IF(AVANCE[[#This Row],[CIELO]]=Q$2,100%,AVANCE[[#This Row],[CIELO]])</f>
        <v>0</v>
      </c>
      <c r="BK229" s="3">
        <f>+IF(AVANCE[[#This Row],[BALCÓN]]=R$2,100%,AVANCE[[#This Row],[BALCÓN]])</f>
        <v>0</v>
      </c>
      <c r="BL229" s="3">
        <f>+IF(AVANCE[[#This Row],[RED ALCANTARILLADO]]=U$2,100%,AVANCE[[#This Row],[RED ALCANTARILLADO]])</f>
        <v>0</v>
      </c>
      <c r="BM229" s="3">
        <f>+IF(AVANCE[[#This Row],[RED DE AGUA]]=V$2,100%,AVANCE[[#This Row],[RED DE AGUA]])</f>
        <v>0</v>
      </c>
      <c r="BN229" s="3">
        <f>+IF(AVANCE[[#This Row],[VENTILACIONES]]=W$2,100%,AVANCE[[#This Row],[VENTILACIONES]])</f>
        <v>0</v>
      </c>
      <c r="BO229" s="3">
        <f>+IF(AVANCE[[#This Row],[TINA]]=X$2,100%,AVANCE[[#This Row],[TINA]])</f>
        <v>0</v>
      </c>
      <c r="BP229" s="3">
        <f>+IF(AVANCE[[#This Row],[WC]]=Y$2,100%,AVANCE[[#This Row],[WC]])</f>
        <v>0</v>
      </c>
      <c r="BQ229" s="3">
        <f>+IF(AVANCE[[#This Row],[LAVAMANOS / LAVAPLATOS / LAVADERO]]=Z$2,100%,AVANCE[[#This Row],[LAVAMANOS / LAVAPLATOS / LAVADERO]])</f>
        <v>0</v>
      </c>
      <c r="BR229" s="3">
        <f>+IF(AVANCE[[#This Row],[CANALIZACIÓN]]=AC$2,100%,AVANCE[[#This Row],[CANALIZACIÓN]])</f>
        <v>0</v>
      </c>
      <c r="BS229" s="3">
        <f>+IF(AVANCE[[#This Row],[CABLEADO]]=AD$2,100%,AVANCE[[#This Row],[CABLEADO]])</f>
        <v>0</v>
      </c>
      <c r="BT229" s="3">
        <f>+IF(AVANCE[[#This Row],[ARTEFACTOS]]=AE$2,100%,AVANCE[[#This Row],[ARTEFACTOS]])</f>
        <v>0</v>
      </c>
      <c r="BU229" s="3">
        <f>+IF(AVANCE[[#This Row],[TABLERO]]=AF$2,100%,AVANCE[[#This Row],[TABLERO]])</f>
        <v>0</v>
      </c>
      <c r="BV229" s="3">
        <f>+IF(AVANCE[[#This Row],[CAJA PAU]]=AG$2,100%,AVANCE[[#This Row],[CAJA PAU]])</f>
        <v>0</v>
      </c>
      <c r="BW229" s="3">
        <f>+IF(AVANCE[[#This Row],[INSTALACION VINILICO]]=AJ$2,100%,AVANCE[[#This Row],[INSTALACION VINILICO]])</f>
        <v>0</v>
      </c>
      <c r="BX229" s="3">
        <f>+IF(AVANCE[[#This Row],[OSB CUBIERTA]]=AK$2,100%,AVANCE[[#This Row],[OSB CUBIERTA]])</f>
        <v>0</v>
      </c>
      <c r="BY229" s="3">
        <f>+IF(AVANCE[[#This Row],[BARANDA BALCON]]=AL$2,100%,AVANCE[[#This Row],[BARANDA BALCON]])</f>
        <v>0</v>
      </c>
      <c r="BZ229" s="3">
        <f>+IF(AVANCE[[#This Row],[OSB EXTERIOR]]=AM$2,100%,AVANCE[[#This Row],[OSB EXTERIOR]])</f>
        <v>0</v>
      </c>
      <c r="CA229" s="3">
        <f>+IF(AVANCE[[#This Row],[SMART PANEL]]=AN$2,100%,AVANCE[[#This Row],[SMART PANEL]])</f>
        <v>0</v>
      </c>
      <c r="CB229" s="3">
        <f>+IF(AVANCE[[#This Row],[PINTURA EXTERIOR]]=AO$2,100%,AVANCE[[#This Row],[PINTURA EXTERIOR]])</f>
        <v>0</v>
      </c>
      <c r="CC229" s="3">
        <f>+IF(AVANCE[[#This Row],[ZOCALOS LOGIA]]=AP$2,100%,AVANCE[[#This Row],[ZOCALOS LOGIA]])</f>
        <v>0</v>
      </c>
      <c r="CD229" s="3">
        <f>+IF(AVANCE[[#This Row],[MOLDURAS]]=AQ$2,100%,AVANCE[[#This Row],[MOLDURAS]])</f>
        <v>0</v>
      </c>
      <c r="CE229" s="3">
        <f>+IF(AVANCE[[#This Row],[PILASTREO]]=AR$2,100%,AVANCE[[#This Row],[PILASTREO]])</f>
        <v>0</v>
      </c>
      <c r="CF229" s="3">
        <f>+IF(AVANCE[[#This Row],[CELOSIAS]]=AS$2,100%,AVANCE[[#This Row],[CELOSIAS]])</f>
        <v>0</v>
      </c>
      <c r="CG229" s="3">
        <f>+IF(AVANCE[[#This Row],[VENTANAS]]=AT$2,100%,AVANCE[[#This Row],[VENTANAS]])</f>
        <v>0</v>
      </c>
      <c r="CH229" s="3">
        <f>+IF(AVANCE[[#This Row],[PUERTAS ACCESO - LOGIA - BANO]]=AU$2,100%,AVANCE[[#This Row],[PUERTAS ACCESO - LOGIA - BANO]])</f>
        <v>0</v>
      </c>
      <c r="CI229" s="3">
        <f>+IF(AVANCE[[#This Row],[CERRADURAS]]=AV$2,100%,AVANCE[[#This Row],[CERRADURAS]])</f>
        <v>0</v>
      </c>
      <c r="CJ229" s="3">
        <f>+IF(AVANCE[[#This Row],[REVESTIMIENTO INTERIOR ZONA SECA]]=AW$2,100%,AVANCE[[#This Row],[REVESTIMIENTO INTERIOR ZONA SECA]])</f>
        <v>0</v>
      </c>
      <c r="CK229" s="3">
        <f>+IF(AVANCE[[#This Row],[REVESTIMIENTO INTERIOR ZONAS HUMEDAS]]=AX$2,100%,AVANCE[[#This Row],[REVESTIMIENTO INTERIOR ZONAS HUMEDAS]])</f>
        <v>0</v>
      </c>
      <c r="CL229" s="3">
        <f>+IF(AVANCE[[#This Row],[MEMBRANA CIELO]]=AY$2,100%,AVANCE[[#This Row],[MEMBRANA CIELO]])</f>
        <v>0</v>
      </c>
      <c r="CM229" s="3">
        <f>+IF(AVANCE[[#This Row],[LIMPIEZA FINAL]]=AZ$2,100%,AVANCE[[#This Row],[LIMPIEZA FINAL]])</f>
        <v>0</v>
      </c>
      <c r="CN229" s="3">
        <f>+IF(AVANCE[[#This Row],[PUERTAS DORMITORIO]]=BA$2,100%,AVANCE[[#This Row],[PUERTAS DORMITORIO]])</f>
        <v>0</v>
      </c>
      <c r="CO229" s="3">
        <f>+IF(AVANCE[[#This Row],[REVESTIMIENTO INTERIOR BANO]]=BB$2,100%,AVANCE[[#This Row],[REVESTIMIENTO INTERIOR BANO]])</f>
        <v>0</v>
      </c>
      <c r="CP229" s="3">
        <f>+IF(AVANCE[[#This Row],[MUEBLE LAVAPLATOS]]=BC$2,100%,AVANCE[[#This Row],[MUEBLE LAVAPLATOS]])</f>
        <v>0</v>
      </c>
      <c r="CQ229" s="3">
        <f>+IF(AVANCE[[#This Row],[IMPERMEABILIZACION BANO - COCINA LOGIA]]=BD$2,100%,AVANCE[[#This Row],[IMPERMEABILIZACION BANO - COCINA LOGIA]])</f>
        <v>0</v>
      </c>
      <c r="CR229" s="40">
        <f ca="1">+IF(AVANCE[[#This Row],[ESTADO MODULO]]="PENDIENTE",(TODAY()-AVANCE[[#This Row],[FECHA TERMINO  PLANIFICADO]]),0)</f>
        <v>0</v>
      </c>
      <c r="CS229" s="42" t="str" cm="1">
        <f t="array" ref="CS229">_xlfn.TEXTJOIN(" | ",TRUE,IF(SUMPRODUCT((BF229:CQ229&lt;1)*(PARTIDAS!$I$2:$AT$2="OBRA GRUESA"))&gt;0,"OBRA GRUESA: "&amp;_xlfn.TEXTJOIN(", ",TRUE,IF((BF229:CQ229&lt;1)*(PARTIDAS!$I$2:$AT$2="OBRA GRUESA"),PARTIDAS!$I$1:$AT$1,"")),""),IF(SUMPRODUCT((BF229:CQ229&lt;1)*(PARTIDAS!$I$2:$AT$2="SANITARIOS"))&gt;0,"SANITARIOS: "&amp;_xlfn.TEXTJOIN(", ",TRUE,IF((BF229:CQ229&lt;1)*(PARTIDAS!$I$2:$AT$2="SANITARIOS"),PARTIDAS!$I$1:$AT$1,"")),""),IF(SUMPRODUCT((BF229:CQ229&lt;1)*(PARTIDAS!$I$2:$AT$2="ELÉCTRICO"))&gt;0,"ELÉCTRICO: "&amp;_xlfn.TEXTJOIN(", ",TRUE,IF((BF229:CQ229&lt;1)*(PARTIDAS!$I$2:$AT$2="ELÉCTRICO"),PARTIDAS!$I$1:$AT$1,"")),""),IF(SUMPRODUCT((BF229:CQ229&lt;1)*(PARTIDAS!$I$2:$AT$2="TERMINACIONES"))&gt;0,"TERMINACIONES: "&amp;_xlfn.TEXTJOIN(", ",TRUE,IF((BF229:CQ229&lt;1)*(PARTIDAS!$I$2:$AT$2="TERMINACIONES"),PARTIDAS!$I$1:$AT$1,"")),""))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29" s="45" t="str" cm="1">
        <f t="array" ref="CT229">_xlfn.TEXTJOIN(", ",TRUE,IF(SUMPRODUCT((BF229:CQ229&lt;1)*(PARTIDAS!$I$2:$AT$2="OBRA GRUESA"))&gt;0,"OBRA GRUESA",""),IF(SUMPRODUCT((BF229:CQ229&lt;1)*(PARTIDAS!$I$2:$AT$2="SANITARIOS"))&gt;0,"SANITARIOS",""),IF(SUMPRODUCT((BF229:CQ229&lt;1)*(PARTIDAS!$I$2:$AT$2="ELÉCTRICO"))&gt;0,"ELÉCTRICO",""),IF(SUMPRODUCT((BF229:CQ229&lt;1)*(PARTIDAS!$I$2:$AT$2="TERMINACIONES"))&gt;0,"TERMINACIONES",""))</f>
        <v>OBRA GRUESA, SANITARIOS, ELÉCTRICO, TERMINACIONES</v>
      </c>
      <c r="CU229" s="46" cm="1">
        <f t="array" ref="CU229">SUMPRODUCT(--(BF229:CQ229&lt;1))</f>
        <v>38</v>
      </c>
    </row>
    <row r="230" spans="1:99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46181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 t="str">
        <f>+IF(AVANCE[[#This Row],[% AVANCE]]=100%,"MODULO TERMINADO",IF(AVANCE[[#This Row],[FECHA INICIO REAL]]="","MODULO NO INICIADO","PENDIENTE"))</f>
        <v>MODULO NO INICIADO</v>
      </c>
      <c r="BF230" s="3">
        <f>+IF(AVANCE[[#This Row],[VENTANAS]]=8.10810810810811%,100%,AVANCE[[#This Row],[VENTANAS]])</f>
        <v>0</v>
      </c>
      <c r="BG230" s="3">
        <f>+IF(AVANCE[[#This Row],[PISO]]=N$2,100%,AVANCE[[#This Row],[PISO]])</f>
        <v>0</v>
      </c>
      <c r="BH230" s="3">
        <f>+IF(AVANCE[[#This Row],[TABIQUES]]=O$2,100%,AVANCE[[#This Row],[TABIQUES]])</f>
        <v>0</v>
      </c>
      <c r="BI230" s="3">
        <f>+IF(AVANCE[[#This Row],[MUROS]]=P$2,100%,AVANCE[[#This Row],[MUROS]])</f>
        <v>0</v>
      </c>
      <c r="BJ230" s="3">
        <f>+IF(AVANCE[[#This Row],[CIELO]]=Q$2,100%,AVANCE[[#This Row],[CIELO]])</f>
        <v>0</v>
      </c>
      <c r="BK230" s="3">
        <f>+IF(AVANCE[[#This Row],[BALCÓN]]=R$2,100%,AVANCE[[#This Row],[BALCÓN]])</f>
        <v>0</v>
      </c>
      <c r="BL230" s="3">
        <f>+IF(AVANCE[[#This Row],[RED ALCANTARILLADO]]=U$2,100%,AVANCE[[#This Row],[RED ALCANTARILLADO]])</f>
        <v>0</v>
      </c>
      <c r="BM230" s="3">
        <f>+IF(AVANCE[[#This Row],[RED DE AGUA]]=V$2,100%,AVANCE[[#This Row],[RED DE AGUA]])</f>
        <v>0</v>
      </c>
      <c r="BN230" s="3">
        <f>+IF(AVANCE[[#This Row],[VENTILACIONES]]=W$2,100%,AVANCE[[#This Row],[VENTILACIONES]])</f>
        <v>0</v>
      </c>
      <c r="BO230" s="3">
        <f>+IF(AVANCE[[#This Row],[TINA]]=X$2,100%,AVANCE[[#This Row],[TINA]])</f>
        <v>0</v>
      </c>
      <c r="BP230" s="3">
        <f>+IF(AVANCE[[#This Row],[WC]]=Y$2,100%,AVANCE[[#This Row],[WC]])</f>
        <v>0</v>
      </c>
      <c r="BQ230" s="3">
        <f>+IF(AVANCE[[#This Row],[LAVAMANOS / LAVAPLATOS / LAVADERO]]=Z$2,100%,AVANCE[[#This Row],[LAVAMANOS / LAVAPLATOS / LAVADERO]])</f>
        <v>0</v>
      </c>
      <c r="BR230" s="3">
        <f>+IF(AVANCE[[#This Row],[CANALIZACIÓN]]=AC$2,100%,AVANCE[[#This Row],[CANALIZACIÓN]])</f>
        <v>0</v>
      </c>
      <c r="BS230" s="3">
        <f>+IF(AVANCE[[#This Row],[CABLEADO]]=AD$2,100%,AVANCE[[#This Row],[CABLEADO]])</f>
        <v>0</v>
      </c>
      <c r="BT230" s="3">
        <f>+IF(AVANCE[[#This Row],[ARTEFACTOS]]=AE$2,100%,AVANCE[[#This Row],[ARTEFACTOS]])</f>
        <v>0</v>
      </c>
      <c r="BU230" s="3">
        <f>+IF(AVANCE[[#This Row],[TABLERO]]=AF$2,100%,AVANCE[[#This Row],[TABLERO]])</f>
        <v>0</v>
      </c>
      <c r="BV230" s="3">
        <f>+IF(AVANCE[[#This Row],[CAJA PAU]]=AG$2,100%,AVANCE[[#This Row],[CAJA PAU]])</f>
        <v>0</v>
      </c>
      <c r="BW230" s="3">
        <f>+IF(AVANCE[[#This Row],[INSTALACION VINILICO]]=AJ$2,100%,AVANCE[[#This Row],[INSTALACION VINILICO]])</f>
        <v>0</v>
      </c>
      <c r="BX230" s="3">
        <f>+IF(AVANCE[[#This Row],[OSB CUBIERTA]]=AK$2,100%,AVANCE[[#This Row],[OSB CUBIERTA]])</f>
        <v>0</v>
      </c>
      <c r="BY230" s="3">
        <f>+IF(AVANCE[[#This Row],[BARANDA BALCON]]=AL$2,100%,AVANCE[[#This Row],[BARANDA BALCON]])</f>
        <v>0</v>
      </c>
      <c r="BZ230" s="3">
        <f>+IF(AVANCE[[#This Row],[OSB EXTERIOR]]=AM$2,100%,AVANCE[[#This Row],[OSB EXTERIOR]])</f>
        <v>0</v>
      </c>
      <c r="CA230" s="3">
        <f>+IF(AVANCE[[#This Row],[SMART PANEL]]=AN$2,100%,AVANCE[[#This Row],[SMART PANEL]])</f>
        <v>0</v>
      </c>
      <c r="CB230" s="3">
        <f>+IF(AVANCE[[#This Row],[PINTURA EXTERIOR]]=AO$2,100%,AVANCE[[#This Row],[PINTURA EXTERIOR]])</f>
        <v>0</v>
      </c>
      <c r="CC230" s="3">
        <f>+IF(AVANCE[[#This Row],[ZOCALOS LOGIA]]=AP$2,100%,AVANCE[[#This Row],[ZOCALOS LOGIA]])</f>
        <v>0</v>
      </c>
      <c r="CD230" s="3">
        <f>+IF(AVANCE[[#This Row],[MOLDURAS]]=AQ$2,100%,AVANCE[[#This Row],[MOLDURAS]])</f>
        <v>0</v>
      </c>
      <c r="CE230" s="3">
        <f>+IF(AVANCE[[#This Row],[PILASTREO]]=AR$2,100%,AVANCE[[#This Row],[PILASTREO]])</f>
        <v>0</v>
      </c>
      <c r="CF230" s="3">
        <f>+IF(AVANCE[[#This Row],[CELOSIAS]]=AS$2,100%,AVANCE[[#This Row],[CELOSIAS]])</f>
        <v>0</v>
      </c>
      <c r="CG230" s="3">
        <f>+IF(AVANCE[[#This Row],[VENTANAS]]=AT$2,100%,AVANCE[[#This Row],[VENTANAS]])</f>
        <v>0</v>
      </c>
      <c r="CH230" s="3">
        <f>+IF(AVANCE[[#This Row],[PUERTAS ACCESO - LOGIA - BANO]]=AU$2,100%,AVANCE[[#This Row],[PUERTAS ACCESO - LOGIA - BANO]])</f>
        <v>0</v>
      </c>
      <c r="CI230" s="3">
        <f>+IF(AVANCE[[#This Row],[CERRADURAS]]=AV$2,100%,AVANCE[[#This Row],[CERRADURAS]])</f>
        <v>0</v>
      </c>
      <c r="CJ230" s="3">
        <f>+IF(AVANCE[[#This Row],[REVESTIMIENTO INTERIOR ZONA SECA]]=AW$2,100%,AVANCE[[#This Row],[REVESTIMIENTO INTERIOR ZONA SECA]])</f>
        <v>0</v>
      </c>
      <c r="CK230" s="3">
        <f>+IF(AVANCE[[#This Row],[REVESTIMIENTO INTERIOR ZONAS HUMEDAS]]=AX$2,100%,AVANCE[[#This Row],[REVESTIMIENTO INTERIOR ZONAS HUMEDAS]])</f>
        <v>0</v>
      </c>
      <c r="CL230" s="3">
        <f>+IF(AVANCE[[#This Row],[MEMBRANA CIELO]]=AY$2,100%,AVANCE[[#This Row],[MEMBRANA CIELO]])</f>
        <v>0</v>
      </c>
      <c r="CM230" s="3">
        <f>+IF(AVANCE[[#This Row],[LIMPIEZA FINAL]]=AZ$2,100%,AVANCE[[#This Row],[LIMPIEZA FINAL]])</f>
        <v>0</v>
      </c>
      <c r="CN230" s="3">
        <f>+IF(AVANCE[[#This Row],[PUERTAS DORMITORIO]]=BA$2,100%,AVANCE[[#This Row],[PUERTAS DORMITORIO]])</f>
        <v>0</v>
      </c>
      <c r="CO230" s="3">
        <f>+IF(AVANCE[[#This Row],[REVESTIMIENTO INTERIOR BANO]]=BB$2,100%,AVANCE[[#This Row],[REVESTIMIENTO INTERIOR BANO]])</f>
        <v>0</v>
      </c>
      <c r="CP230" s="3">
        <f>+IF(AVANCE[[#This Row],[MUEBLE LAVAPLATOS]]=BC$2,100%,AVANCE[[#This Row],[MUEBLE LAVAPLATOS]])</f>
        <v>0</v>
      </c>
      <c r="CQ230" s="3">
        <f>+IF(AVANCE[[#This Row],[IMPERMEABILIZACION BANO - COCINA LOGIA]]=BD$2,100%,AVANCE[[#This Row],[IMPERMEABILIZACION BANO - COCINA LOGIA]])</f>
        <v>0</v>
      </c>
      <c r="CR230" s="40">
        <f ca="1">+IF(AVANCE[[#This Row],[ESTADO MODULO]]="PENDIENTE",(TODAY()-AVANCE[[#This Row],[FECHA TERMINO  PLANIFICADO]]),0)</f>
        <v>0</v>
      </c>
      <c r="CS230" s="42" t="str" cm="1">
        <f t="array" ref="CS230">_xlfn.TEXTJOIN(" | ",TRUE,IF(SUMPRODUCT((BF230:CQ230&lt;1)*(PARTIDAS!$I$2:$AT$2="OBRA GRUESA"))&gt;0,"OBRA GRUESA: "&amp;_xlfn.TEXTJOIN(", ",TRUE,IF((BF230:CQ230&lt;1)*(PARTIDAS!$I$2:$AT$2="OBRA GRUESA"),PARTIDAS!$I$1:$AT$1,"")),""),IF(SUMPRODUCT((BF230:CQ230&lt;1)*(PARTIDAS!$I$2:$AT$2="SANITARIOS"))&gt;0,"SANITARIOS: "&amp;_xlfn.TEXTJOIN(", ",TRUE,IF((BF230:CQ230&lt;1)*(PARTIDAS!$I$2:$AT$2="SANITARIOS"),PARTIDAS!$I$1:$AT$1,"")),""),IF(SUMPRODUCT((BF230:CQ230&lt;1)*(PARTIDAS!$I$2:$AT$2="ELÉCTRICO"))&gt;0,"ELÉCTRICO: "&amp;_xlfn.TEXTJOIN(", ",TRUE,IF((BF230:CQ230&lt;1)*(PARTIDAS!$I$2:$AT$2="ELÉCTRICO"),PARTIDAS!$I$1:$AT$1,"")),""),IF(SUMPRODUCT((BF230:CQ230&lt;1)*(PARTIDAS!$I$2:$AT$2="TERMINACIONES"))&gt;0,"TERMINACIONES: "&amp;_xlfn.TEXTJOIN(", ",TRUE,IF((BF230:CQ230&lt;1)*(PARTIDAS!$I$2:$AT$2="TERMINACIONES"),PARTIDAS!$I$1:$AT$1,"")),""))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0" s="45" t="str" cm="1">
        <f t="array" ref="CT230">_xlfn.TEXTJOIN(", ",TRUE,IF(SUMPRODUCT((BF230:CQ230&lt;1)*(PARTIDAS!$I$2:$AT$2="OBRA GRUESA"))&gt;0,"OBRA GRUESA",""),IF(SUMPRODUCT((BF230:CQ230&lt;1)*(PARTIDAS!$I$2:$AT$2="SANITARIOS"))&gt;0,"SANITARIOS",""),IF(SUMPRODUCT((BF230:CQ230&lt;1)*(PARTIDAS!$I$2:$AT$2="ELÉCTRICO"))&gt;0,"ELÉCTRICO",""),IF(SUMPRODUCT((BF230:CQ230&lt;1)*(PARTIDAS!$I$2:$AT$2="TERMINACIONES"))&gt;0,"TERMINACIONES",""))</f>
        <v>OBRA GRUESA, SANITARIOS, ELÉCTRICO, TERMINACIONES</v>
      </c>
      <c r="CU230" s="46" cm="1">
        <f t="array" ref="CU230">SUMPRODUCT(--(BF230:CQ230&lt;1))</f>
        <v>38</v>
      </c>
    </row>
    <row r="231" spans="1:99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46181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 t="str">
        <f>+IF(AVANCE[[#This Row],[% AVANCE]]=100%,"MODULO TERMINADO",IF(AVANCE[[#This Row],[FECHA INICIO REAL]]="","MODULO NO INICIADO","PENDIENTE"))</f>
        <v>MODULO NO INICIADO</v>
      </c>
      <c r="BF231" s="3">
        <f>+IF(AVANCE[[#This Row],[VENTANAS]]=8.10810810810811%,100%,AVANCE[[#This Row],[VENTANAS]])</f>
        <v>0</v>
      </c>
      <c r="BG231" s="3">
        <f>+IF(AVANCE[[#This Row],[PISO]]=N$2,100%,AVANCE[[#This Row],[PISO]])</f>
        <v>0</v>
      </c>
      <c r="BH231" s="3">
        <f>+IF(AVANCE[[#This Row],[TABIQUES]]=O$2,100%,AVANCE[[#This Row],[TABIQUES]])</f>
        <v>0</v>
      </c>
      <c r="BI231" s="3">
        <f>+IF(AVANCE[[#This Row],[MUROS]]=P$2,100%,AVANCE[[#This Row],[MUROS]])</f>
        <v>0</v>
      </c>
      <c r="BJ231" s="3">
        <f>+IF(AVANCE[[#This Row],[CIELO]]=Q$2,100%,AVANCE[[#This Row],[CIELO]])</f>
        <v>0</v>
      </c>
      <c r="BK231" s="3">
        <f>+IF(AVANCE[[#This Row],[BALCÓN]]=R$2,100%,AVANCE[[#This Row],[BALCÓN]])</f>
        <v>0</v>
      </c>
      <c r="BL231" s="3">
        <f>+IF(AVANCE[[#This Row],[RED ALCANTARILLADO]]=U$2,100%,AVANCE[[#This Row],[RED ALCANTARILLADO]])</f>
        <v>0</v>
      </c>
      <c r="BM231" s="3">
        <f>+IF(AVANCE[[#This Row],[RED DE AGUA]]=V$2,100%,AVANCE[[#This Row],[RED DE AGUA]])</f>
        <v>0</v>
      </c>
      <c r="BN231" s="3">
        <f>+IF(AVANCE[[#This Row],[VENTILACIONES]]=W$2,100%,AVANCE[[#This Row],[VENTILACIONES]])</f>
        <v>0</v>
      </c>
      <c r="BO231" s="3">
        <f>+IF(AVANCE[[#This Row],[TINA]]=X$2,100%,AVANCE[[#This Row],[TINA]])</f>
        <v>0</v>
      </c>
      <c r="BP231" s="3">
        <f>+IF(AVANCE[[#This Row],[WC]]=Y$2,100%,AVANCE[[#This Row],[WC]])</f>
        <v>0</v>
      </c>
      <c r="BQ231" s="3">
        <f>+IF(AVANCE[[#This Row],[LAVAMANOS / LAVAPLATOS / LAVADERO]]=Z$2,100%,AVANCE[[#This Row],[LAVAMANOS / LAVAPLATOS / LAVADERO]])</f>
        <v>0</v>
      </c>
      <c r="BR231" s="3">
        <f>+IF(AVANCE[[#This Row],[CANALIZACIÓN]]=AC$2,100%,AVANCE[[#This Row],[CANALIZACIÓN]])</f>
        <v>0</v>
      </c>
      <c r="BS231" s="3">
        <f>+IF(AVANCE[[#This Row],[CABLEADO]]=AD$2,100%,AVANCE[[#This Row],[CABLEADO]])</f>
        <v>0</v>
      </c>
      <c r="BT231" s="3">
        <f>+IF(AVANCE[[#This Row],[ARTEFACTOS]]=AE$2,100%,AVANCE[[#This Row],[ARTEFACTOS]])</f>
        <v>0</v>
      </c>
      <c r="BU231" s="3">
        <f>+IF(AVANCE[[#This Row],[TABLERO]]=AF$2,100%,AVANCE[[#This Row],[TABLERO]])</f>
        <v>0</v>
      </c>
      <c r="BV231" s="3">
        <f>+IF(AVANCE[[#This Row],[CAJA PAU]]=AG$2,100%,AVANCE[[#This Row],[CAJA PAU]])</f>
        <v>0</v>
      </c>
      <c r="BW231" s="3">
        <f>+IF(AVANCE[[#This Row],[INSTALACION VINILICO]]=AJ$2,100%,AVANCE[[#This Row],[INSTALACION VINILICO]])</f>
        <v>0</v>
      </c>
      <c r="BX231" s="3">
        <f>+IF(AVANCE[[#This Row],[OSB CUBIERTA]]=AK$2,100%,AVANCE[[#This Row],[OSB CUBIERTA]])</f>
        <v>0</v>
      </c>
      <c r="BY231" s="3">
        <f>+IF(AVANCE[[#This Row],[BARANDA BALCON]]=AL$2,100%,AVANCE[[#This Row],[BARANDA BALCON]])</f>
        <v>0</v>
      </c>
      <c r="BZ231" s="3">
        <f>+IF(AVANCE[[#This Row],[OSB EXTERIOR]]=AM$2,100%,AVANCE[[#This Row],[OSB EXTERIOR]])</f>
        <v>0</v>
      </c>
      <c r="CA231" s="3">
        <f>+IF(AVANCE[[#This Row],[SMART PANEL]]=AN$2,100%,AVANCE[[#This Row],[SMART PANEL]])</f>
        <v>0</v>
      </c>
      <c r="CB231" s="3">
        <f>+IF(AVANCE[[#This Row],[PINTURA EXTERIOR]]=AO$2,100%,AVANCE[[#This Row],[PINTURA EXTERIOR]])</f>
        <v>0</v>
      </c>
      <c r="CC231" s="3">
        <f>+IF(AVANCE[[#This Row],[ZOCALOS LOGIA]]=AP$2,100%,AVANCE[[#This Row],[ZOCALOS LOGIA]])</f>
        <v>0</v>
      </c>
      <c r="CD231" s="3">
        <f>+IF(AVANCE[[#This Row],[MOLDURAS]]=AQ$2,100%,AVANCE[[#This Row],[MOLDURAS]])</f>
        <v>0</v>
      </c>
      <c r="CE231" s="3">
        <f>+IF(AVANCE[[#This Row],[PILASTREO]]=AR$2,100%,AVANCE[[#This Row],[PILASTREO]])</f>
        <v>0</v>
      </c>
      <c r="CF231" s="3">
        <f>+IF(AVANCE[[#This Row],[CELOSIAS]]=AS$2,100%,AVANCE[[#This Row],[CELOSIAS]])</f>
        <v>0</v>
      </c>
      <c r="CG231" s="3">
        <f>+IF(AVANCE[[#This Row],[VENTANAS]]=AT$2,100%,AVANCE[[#This Row],[VENTANAS]])</f>
        <v>0</v>
      </c>
      <c r="CH231" s="3">
        <f>+IF(AVANCE[[#This Row],[PUERTAS ACCESO - LOGIA - BANO]]=AU$2,100%,AVANCE[[#This Row],[PUERTAS ACCESO - LOGIA - BANO]])</f>
        <v>0</v>
      </c>
      <c r="CI231" s="3">
        <f>+IF(AVANCE[[#This Row],[CERRADURAS]]=AV$2,100%,AVANCE[[#This Row],[CERRADURAS]])</f>
        <v>0</v>
      </c>
      <c r="CJ231" s="3">
        <f>+IF(AVANCE[[#This Row],[REVESTIMIENTO INTERIOR ZONA SECA]]=AW$2,100%,AVANCE[[#This Row],[REVESTIMIENTO INTERIOR ZONA SECA]])</f>
        <v>0</v>
      </c>
      <c r="CK231" s="3">
        <f>+IF(AVANCE[[#This Row],[REVESTIMIENTO INTERIOR ZONAS HUMEDAS]]=AX$2,100%,AVANCE[[#This Row],[REVESTIMIENTO INTERIOR ZONAS HUMEDAS]])</f>
        <v>0</v>
      </c>
      <c r="CL231" s="3">
        <f>+IF(AVANCE[[#This Row],[MEMBRANA CIELO]]=AY$2,100%,AVANCE[[#This Row],[MEMBRANA CIELO]])</f>
        <v>0</v>
      </c>
      <c r="CM231" s="3">
        <f>+IF(AVANCE[[#This Row],[LIMPIEZA FINAL]]=AZ$2,100%,AVANCE[[#This Row],[LIMPIEZA FINAL]])</f>
        <v>0</v>
      </c>
      <c r="CN231" s="3">
        <f>+IF(AVANCE[[#This Row],[PUERTAS DORMITORIO]]=BA$2,100%,AVANCE[[#This Row],[PUERTAS DORMITORIO]])</f>
        <v>0</v>
      </c>
      <c r="CO231" s="3">
        <f>+IF(AVANCE[[#This Row],[REVESTIMIENTO INTERIOR BANO]]=BB$2,100%,AVANCE[[#This Row],[REVESTIMIENTO INTERIOR BANO]])</f>
        <v>0</v>
      </c>
      <c r="CP231" s="3">
        <f>+IF(AVANCE[[#This Row],[MUEBLE LAVAPLATOS]]=BC$2,100%,AVANCE[[#This Row],[MUEBLE LAVAPLATOS]])</f>
        <v>0</v>
      </c>
      <c r="CQ231" s="3">
        <f>+IF(AVANCE[[#This Row],[IMPERMEABILIZACION BANO - COCINA LOGIA]]=BD$2,100%,AVANCE[[#This Row],[IMPERMEABILIZACION BANO - COCINA LOGIA]])</f>
        <v>0</v>
      </c>
      <c r="CR231" s="40">
        <f ca="1">+IF(AVANCE[[#This Row],[ESTADO MODULO]]="PENDIENTE",(TODAY()-AVANCE[[#This Row],[FECHA TERMINO  PLANIFICADO]]),0)</f>
        <v>0</v>
      </c>
      <c r="CS231" s="42" t="str" cm="1">
        <f t="array" ref="CS231">_xlfn.TEXTJOIN(" | ",TRUE,IF(SUMPRODUCT((BF231:CQ231&lt;1)*(PARTIDAS!$I$2:$AT$2="OBRA GRUESA"))&gt;0,"OBRA GRUESA: "&amp;_xlfn.TEXTJOIN(", ",TRUE,IF((BF231:CQ231&lt;1)*(PARTIDAS!$I$2:$AT$2="OBRA GRUESA"),PARTIDAS!$I$1:$AT$1,"")),""),IF(SUMPRODUCT((BF231:CQ231&lt;1)*(PARTIDAS!$I$2:$AT$2="SANITARIOS"))&gt;0,"SANITARIOS: "&amp;_xlfn.TEXTJOIN(", ",TRUE,IF((BF231:CQ231&lt;1)*(PARTIDAS!$I$2:$AT$2="SANITARIOS"),PARTIDAS!$I$1:$AT$1,"")),""),IF(SUMPRODUCT((BF231:CQ231&lt;1)*(PARTIDAS!$I$2:$AT$2="ELÉCTRICO"))&gt;0,"ELÉCTRICO: "&amp;_xlfn.TEXTJOIN(", ",TRUE,IF((BF231:CQ231&lt;1)*(PARTIDAS!$I$2:$AT$2="ELÉCTRICO"),PARTIDAS!$I$1:$AT$1,"")),""),IF(SUMPRODUCT((BF231:CQ231&lt;1)*(PARTIDAS!$I$2:$AT$2="TERMINACIONES"))&gt;0,"TERMINACIONES: "&amp;_xlfn.TEXTJOIN(", ",TRUE,IF((BF231:CQ231&lt;1)*(PARTIDAS!$I$2:$AT$2="TERMINACIONES"),PARTIDAS!$I$1:$AT$1,"")),""))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1" s="45" t="str" cm="1">
        <f t="array" ref="CT231">_xlfn.TEXTJOIN(", ",TRUE,IF(SUMPRODUCT((BF231:CQ231&lt;1)*(PARTIDAS!$I$2:$AT$2="OBRA GRUESA"))&gt;0,"OBRA GRUESA",""),IF(SUMPRODUCT((BF231:CQ231&lt;1)*(PARTIDAS!$I$2:$AT$2="SANITARIOS"))&gt;0,"SANITARIOS",""),IF(SUMPRODUCT((BF231:CQ231&lt;1)*(PARTIDAS!$I$2:$AT$2="ELÉCTRICO"))&gt;0,"ELÉCTRICO",""),IF(SUMPRODUCT((BF231:CQ231&lt;1)*(PARTIDAS!$I$2:$AT$2="TERMINACIONES"))&gt;0,"TERMINACIONES",""))</f>
        <v>OBRA GRUESA, SANITARIOS, ELÉCTRICO, TERMINACIONES</v>
      </c>
      <c r="CU231" s="46" cm="1">
        <f t="array" ref="CU231">SUMPRODUCT(--(BF231:CQ231&lt;1))</f>
        <v>38</v>
      </c>
    </row>
    <row r="232" spans="1:99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46181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 t="str">
        <f>+IF(AVANCE[[#This Row],[% AVANCE]]=100%,"MODULO TERMINADO",IF(AVANCE[[#This Row],[FECHA INICIO REAL]]="","MODULO NO INICIADO","PENDIENTE"))</f>
        <v>MODULO NO INICIADO</v>
      </c>
      <c r="BF232" s="3">
        <f>+IF(AVANCE[[#This Row],[VENTANAS]]=8.10810810810811%,100%,AVANCE[[#This Row],[VENTANAS]])</f>
        <v>0</v>
      </c>
      <c r="BG232" s="3">
        <f>+IF(AVANCE[[#This Row],[PISO]]=N$2,100%,AVANCE[[#This Row],[PISO]])</f>
        <v>0</v>
      </c>
      <c r="BH232" s="3">
        <f>+IF(AVANCE[[#This Row],[TABIQUES]]=O$2,100%,AVANCE[[#This Row],[TABIQUES]])</f>
        <v>0</v>
      </c>
      <c r="BI232" s="3">
        <f>+IF(AVANCE[[#This Row],[MUROS]]=P$2,100%,AVANCE[[#This Row],[MUROS]])</f>
        <v>0</v>
      </c>
      <c r="BJ232" s="3">
        <f>+IF(AVANCE[[#This Row],[CIELO]]=Q$2,100%,AVANCE[[#This Row],[CIELO]])</f>
        <v>0</v>
      </c>
      <c r="BK232" s="3">
        <f>+IF(AVANCE[[#This Row],[BALCÓN]]=R$2,100%,AVANCE[[#This Row],[BALCÓN]])</f>
        <v>0</v>
      </c>
      <c r="BL232" s="3">
        <f>+IF(AVANCE[[#This Row],[RED ALCANTARILLADO]]=U$2,100%,AVANCE[[#This Row],[RED ALCANTARILLADO]])</f>
        <v>0</v>
      </c>
      <c r="BM232" s="3">
        <f>+IF(AVANCE[[#This Row],[RED DE AGUA]]=V$2,100%,AVANCE[[#This Row],[RED DE AGUA]])</f>
        <v>0</v>
      </c>
      <c r="BN232" s="3">
        <f>+IF(AVANCE[[#This Row],[VENTILACIONES]]=W$2,100%,AVANCE[[#This Row],[VENTILACIONES]])</f>
        <v>0</v>
      </c>
      <c r="BO232" s="3">
        <f>+IF(AVANCE[[#This Row],[TINA]]=X$2,100%,AVANCE[[#This Row],[TINA]])</f>
        <v>0</v>
      </c>
      <c r="BP232" s="3">
        <f>+IF(AVANCE[[#This Row],[WC]]=Y$2,100%,AVANCE[[#This Row],[WC]])</f>
        <v>0</v>
      </c>
      <c r="BQ232" s="3">
        <f>+IF(AVANCE[[#This Row],[LAVAMANOS / LAVAPLATOS / LAVADERO]]=Z$2,100%,AVANCE[[#This Row],[LAVAMANOS / LAVAPLATOS / LAVADERO]])</f>
        <v>0</v>
      </c>
      <c r="BR232" s="3">
        <f>+IF(AVANCE[[#This Row],[CANALIZACIÓN]]=AC$2,100%,AVANCE[[#This Row],[CANALIZACIÓN]])</f>
        <v>0</v>
      </c>
      <c r="BS232" s="3">
        <f>+IF(AVANCE[[#This Row],[CABLEADO]]=AD$2,100%,AVANCE[[#This Row],[CABLEADO]])</f>
        <v>0</v>
      </c>
      <c r="BT232" s="3">
        <f>+IF(AVANCE[[#This Row],[ARTEFACTOS]]=AE$2,100%,AVANCE[[#This Row],[ARTEFACTOS]])</f>
        <v>0</v>
      </c>
      <c r="BU232" s="3">
        <f>+IF(AVANCE[[#This Row],[TABLERO]]=AF$2,100%,AVANCE[[#This Row],[TABLERO]])</f>
        <v>0</v>
      </c>
      <c r="BV232" s="3">
        <f>+IF(AVANCE[[#This Row],[CAJA PAU]]=AG$2,100%,AVANCE[[#This Row],[CAJA PAU]])</f>
        <v>0</v>
      </c>
      <c r="BW232" s="3">
        <f>+IF(AVANCE[[#This Row],[INSTALACION VINILICO]]=AJ$2,100%,AVANCE[[#This Row],[INSTALACION VINILICO]])</f>
        <v>0</v>
      </c>
      <c r="BX232" s="3">
        <f>+IF(AVANCE[[#This Row],[OSB CUBIERTA]]=AK$2,100%,AVANCE[[#This Row],[OSB CUBIERTA]])</f>
        <v>0</v>
      </c>
      <c r="BY232" s="3">
        <f>+IF(AVANCE[[#This Row],[BARANDA BALCON]]=AL$2,100%,AVANCE[[#This Row],[BARANDA BALCON]])</f>
        <v>0</v>
      </c>
      <c r="BZ232" s="3">
        <f>+IF(AVANCE[[#This Row],[OSB EXTERIOR]]=AM$2,100%,AVANCE[[#This Row],[OSB EXTERIOR]])</f>
        <v>0</v>
      </c>
      <c r="CA232" s="3">
        <f>+IF(AVANCE[[#This Row],[SMART PANEL]]=AN$2,100%,AVANCE[[#This Row],[SMART PANEL]])</f>
        <v>0</v>
      </c>
      <c r="CB232" s="3">
        <f>+IF(AVANCE[[#This Row],[PINTURA EXTERIOR]]=AO$2,100%,AVANCE[[#This Row],[PINTURA EXTERIOR]])</f>
        <v>0</v>
      </c>
      <c r="CC232" s="3">
        <f>+IF(AVANCE[[#This Row],[ZOCALOS LOGIA]]=AP$2,100%,AVANCE[[#This Row],[ZOCALOS LOGIA]])</f>
        <v>0</v>
      </c>
      <c r="CD232" s="3">
        <f>+IF(AVANCE[[#This Row],[MOLDURAS]]=AQ$2,100%,AVANCE[[#This Row],[MOLDURAS]])</f>
        <v>0</v>
      </c>
      <c r="CE232" s="3">
        <f>+IF(AVANCE[[#This Row],[PILASTREO]]=AR$2,100%,AVANCE[[#This Row],[PILASTREO]])</f>
        <v>0</v>
      </c>
      <c r="CF232" s="3">
        <f>+IF(AVANCE[[#This Row],[CELOSIAS]]=AS$2,100%,AVANCE[[#This Row],[CELOSIAS]])</f>
        <v>0</v>
      </c>
      <c r="CG232" s="3">
        <f>+IF(AVANCE[[#This Row],[VENTANAS]]=AT$2,100%,AVANCE[[#This Row],[VENTANAS]])</f>
        <v>0</v>
      </c>
      <c r="CH232" s="3">
        <f>+IF(AVANCE[[#This Row],[PUERTAS ACCESO - LOGIA - BANO]]=AU$2,100%,AVANCE[[#This Row],[PUERTAS ACCESO - LOGIA - BANO]])</f>
        <v>0</v>
      </c>
      <c r="CI232" s="3">
        <f>+IF(AVANCE[[#This Row],[CERRADURAS]]=AV$2,100%,AVANCE[[#This Row],[CERRADURAS]])</f>
        <v>0</v>
      </c>
      <c r="CJ232" s="3">
        <f>+IF(AVANCE[[#This Row],[REVESTIMIENTO INTERIOR ZONA SECA]]=AW$2,100%,AVANCE[[#This Row],[REVESTIMIENTO INTERIOR ZONA SECA]])</f>
        <v>0</v>
      </c>
      <c r="CK232" s="3">
        <f>+IF(AVANCE[[#This Row],[REVESTIMIENTO INTERIOR ZONAS HUMEDAS]]=AX$2,100%,AVANCE[[#This Row],[REVESTIMIENTO INTERIOR ZONAS HUMEDAS]])</f>
        <v>0</v>
      </c>
      <c r="CL232" s="3">
        <f>+IF(AVANCE[[#This Row],[MEMBRANA CIELO]]=AY$2,100%,AVANCE[[#This Row],[MEMBRANA CIELO]])</f>
        <v>0</v>
      </c>
      <c r="CM232" s="3">
        <f>+IF(AVANCE[[#This Row],[LIMPIEZA FINAL]]=AZ$2,100%,AVANCE[[#This Row],[LIMPIEZA FINAL]])</f>
        <v>0</v>
      </c>
      <c r="CN232" s="3">
        <f>+IF(AVANCE[[#This Row],[PUERTAS DORMITORIO]]=BA$2,100%,AVANCE[[#This Row],[PUERTAS DORMITORIO]])</f>
        <v>0</v>
      </c>
      <c r="CO232" s="3">
        <f>+IF(AVANCE[[#This Row],[REVESTIMIENTO INTERIOR BANO]]=BB$2,100%,AVANCE[[#This Row],[REVESTIMIENTO INTERIOR BANO]])</f>
        <v>0</v>
      </c>
      <c r="CP232" s="3">
        <f>+IF(AVANCE[[#This Row],[MUEBLE LAVAPLATOS]]=BC$2,100%,AVANCE[[#This Row],[MUEBLE LAVAPLATOS]])</f>
        <v>0</v>
      </c>
      <c r="CQ232" s="3">
        <f>+IF(AVANCE[[#This Row],[IMPERMEABILIZACION BANO - COCINA LOGIA]]=BD$2,100%,AVANCE[[#This Row],[IMPERMEABILIZACION BANO - COCINA LOGIA]])</f>
        <v>0</v>
      </c>
      <c r="CR232" s="40">
        <f ca="1">+IF(AVANCE[[#This Row],[ESTADO MODULO]]="PENDIENTE",(TODAY()-AVANCE[[#This Row],[FECHA TERMINO  PLANIFICADO]]),0)</f>
        <v>0</v>
      </c>
      <c r="CS232" s="42" t="str" cm="1">
        <f t="array" ref="CS232">_xlfn.TEXTJOIN(" | ",TRUE,IF(SUMPRODUCT((BF232:CQ232&lt;1)*(PARTIDAS!$I$2:$AT$2="OBRA GRUESA"))&gt;0,"OBRA GRUESA: "&amp;_xlfn.TEXTJOIN(", ",TRUE,IF((BF232:CQ232&lt;1)*(PARTIDAS!$I$2:$AT$2="OBRA GRUESA"),PARTIDAS!$I$1:$AT$1,"")),""),IF(SUMPRODUCT((BF232:CQ232&lt;1)*(PARTIDAS!$I$2:$AT$2="SANITARIOS"))&gt;0,"SANITARIOS: "&amp;_xlfn.TEXTJOIN(", ",TRUE,IF((BF232:CQ232&lt;1)*(PARTIDAS!$I$2:$AT$2="SANITARIOS"),PARTIDAS!$I$1:$AT$1,"")),""),IF(SUMPRODUCT((BF232:CQ232&lt;1)*(PARTIDAS!$I$2:$AT$2="ELÉCTRICO"))&gt;0,"ELÉCTRICO: "&amp;_xlfn.TEXTJOIN(", ",TRUE,IF((BF232:CQ232&lt;1)*(PARTIDAS!$I$2:$AT$2="ELÉCTRICO"),PARTIDAS!$I$1:$AT$1,"")),""),IF(SUMPRODUCT((BF232:CQ232&lt;1)*(PARTIDAS!$I$2:$AT$2="TERMINACIONES"))&gt;0,"TERMINACIONES: "&amp;_xlfn.TEXTJOIN(", ",TRUE,IF((BF232:CQ232&lt;1)*(PARTIDAS!$I$2:$AT$2="TERMINACIONES"),PARTIDAS!$I$1:$AT$1,"")),""))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2" s="45" t="str" cm="1">
        <f t="array" ref="CT232">_xlfn.TEXTJOIN(", ",TRUE,IF(SUMPRODUCT((BF232:CQ232&lt;1)*(PARTIDAS!$I$2:$AT$2="OBRA GRUESA"))&gt;0,"OBRA GRUESA",""),IF(SUMPRODUCT((BF232:CQ232&lt;1)*(PARTIDAS!$I$2:$AT$2="SANITARIOS"))&gt;0,"SANITARIOS",""),IF(SUMPRODUCT((BF232:CQ232&lt;1)*(PARTIDAS!$I$2:$AT$2="ELÉCTRICO"))&gt;0,"ELÉCTRICO",""),IF(SUMPRODUCT((BF232:CQ232&lt;1)*(PARTIDAS!$I$2:$AT$2="TERMINACIONES"))&gt;0,"TERMINACIONES",""))</f>
        <v>OBRA GRUESA, SANITARIOS, ELÉCTRICO, TERMINACIONES</v>
      </c>
      <c r="CU232" s="46" cm="1">
        <f t="array" ref="CU232">SUMPRODUCT(--(BF232:CQ232&lt;1))</f>
        <v>38</v>
      </c>
    </row>
    <row r="233" spans="1:99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46181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 t="str">
        <f>+IF(AVANCE[[#This Row],[% AVANCE]]=100%,"MODULO TERMINADO",IF(AVANCE[[#This Row],[FECHA INICIO REAL]]="","MODULO NO INICIADO","PENDIENTE"))</f>
        <v>MODULO NO INICIADO</v>
      </c>
      <c r="BF233" s="3">
        <f>+IF(AVANCE[[#This Row],[VENTANAS]]=8.10810810810811%,100%,AVANCE[[#This Row],[VENTANAS]])</f>
        <v>0</v>
      </c>
      <c r="BG233" s="3">
        <f>+IF(AVANCE[[#This Row],[PISO]]=N$2,100%,AVANCE[[#This Row],[PISO]])</f>
        <v>0</v>
      </c>
      <c r="BH233" s="3">
        <f>+IF(AVANCE[[#This Row],[TABIQUES]]=O$2,100%,AVANCE[[#This Row],[TABIQUES]])</f>
        <v>0</v>
      </c>
      <c r="BI233" s="3">
        <f>+IF(AVANCE[[#This Row],[MUROS]]=P$2,100%,AVANCE[[#This Row],[MUROS]])</f>
        <v>0</v>
      </c>
      <c r="BJ233" s="3">
        <f>+IF(AVANCE[[#This Row],[CIELO]]=Q$2,100%,AVANCE[[#This Row],[CIELO]])</f>
        <v>0</v>
      </c>
      <c r="BK233" s="3">
        <f>+IF(AVANCE[[#This Row],[BALCÓN]]=R$2,100%,AVANCE[[#This Row],[BALCÓN]])</f>
        <v>0</v>
      </c>
      <c r="BL233" s="3">
        <f>+IF(AVANCE[[#This Row],[RED ALCANTARILLADO]]=U$2,100%,AVANCE[[#This Row],[RED ALCANTARILLADO]])</f>
        <v>0</v>
      </c>
      <c r="BM233" s="3">
        <f>+IF(AVANCE[[#This Row],[RED DE AGUA]]=V$2,100%,AVANCE[[#This Row],[RED DE AGUA]])</f>
        <v>0</v>
      </c>
      <c r="BN233" s="3">
        <f>+IF(AVANCE[[#This Row],[VENTILACIONES]]=W$2,100%,AVANCE[[#This Row],[VENTILACIONES]])</f>
        <v>0</v>
      </c>
      <c r="BO233" s="3">
        <f>+IF(AVANCE[[#This Row],[TINA]]=X$2,100%,AVANCE[[#This Row],[TINA]])</f>
        <v>0</v>
      </c>
      <c r="BP233" s="3">
        <f>+IF(AVANCE[[#This Row],[WC]]=Y$2,100%,AVANCE[[#This Row],[WC]])</f>
        <v>0</v>
      </c>
      <c r="BQ233" s="3">
        <f>+IF(AVANCE[[#This Row],[LAVAMANOS / LAVAPLATOS / LAVADERO]]=Z$2,100%,AVANCE[[#This Row],[LAVAMANOS / LAVAPLATOS / LAVADERO]])</f>
        <v>0</v>
      </c>
      <c r="BR233" s="3">
        <f>+IF(AVANCE[[#This Row],[CANALIZACIÓN]]=AC$2,100%,AVANCE[[#This Row],[CANALIZACIÓN]])</f>
        <v>0</v>
      </c>
      <c r="BS233" s="3">
        <f>+IF(AVANCE[[#This Row],[CABLEADO]]=AD$2,100%,AVANCE[[#This Row],[CABLEADO]])</f>
        <v>0</v>
      </c>
      <c r="BT233" s="3">
        <f>+IF(AVANCE[[#This Row],[ARTEFACTOS]]=AE$2,100%,AVANCE[[#This Row],[ARTEFACTOS]])</f>
        <v>0</v>
      </c>
      <c r="BU233" s="3">
        <f>+IF(AVANCE[[#This Row],[TABLERO]]=AF$2,100%,AVANCE[[#This Row],[TABLERO]])</f>
        <v>0</v>
      </c>
      <c r="BV233" s="3">
        <f>+IF(AVANCE[[#This Row],[CAJA PAU]]=AG$2,100%,AVANCE[[#This Row],[CAJA PAU]])</f>
        <v>0</v>
      </c>
      <c r="BW233" s="3">
        <f>+IF(AVANCE[[#This Row],[INSTALACION VINILICO]]=AJ$2,100%,AVANCE[[#This Row],[INSTALACION VINILICO]])</f>
        <v>0</v>
      </c>
      <c r="BX233" s="3">
        <f>+IF(AVANCE[[#This Row],[OSB CUBIERTA]]=AK$2,100%,AVANCE[[#This Row],[OSB CUBIERTA]])</f>
        <v>0</v>
      </c>
      <c r="BY233" s="3">
        <f>+IF(AVANCE[[#This Row],[BARANDA BALCON]]=AL$2,100%,AVANCE[[#This Row],[BARANDA BALCON]])</f>
        <v>0</v>
      </c>
      <c r="BZ233" s="3">
        <f>+IF(AVANCE[[#This Row],[OSB EXTERIOR]]=AM$2,100%,AVANCE[[#This Row],[OSB EXTERIOR]])</f>
        <v>0</v>
      </c>
      <c r="CA233" s="3">
        <f>+IF(AVANCE[[#This Row],[SMART PANEL]]=AN$2,100%,AVANCE[[#This Row],[SMART PANEL]])</f>
        <v>0</v>
      </c>
      <c r="CB233" s="3">
        <f>+IF(AVANCE[[#This Row],[PINTURA EXTERIOR]]=AO$2,100%,AVANCE[[#This Row],[PINTURA EXTERIOR]])</f>
        <v>0</v>
      </c>
      <c r="CC233" s="3">
        <f>+IF(AVANCE[[#This Row],[ZOCALOS LOGIA]]=AP$2,100%,AVANCE[[#This Row],[ZOCALOS LOGIA]])</f>
        <v>0</v>
      </c>
      <c r="CD233" s="3">
        <f>+IF(AVANCE[[#This Row],[MOLDURAS]]=AQ$2,100%,AVANCE[[#This Row],[MOLDURAS]])</f>
        <v>0</v>
      </c>
      <c r="CE233" s="3">
        <f>+IF(AVANCE[[#This Row],[PILASTREO]]=AR$2,100%,AVANCE[[#This Row],[PILASTREO]])</f>
        <v>0</v>
      </c>
      <c r="CF233" s="3">
        <f>+IF(AVANCE[[#This Row],[CELOSIAS]]=AS$2,100%,AVANCE[[#This Row],[CELOSIAS]])</f>
        <v>0</v>
      </c>
      <c r="CG233" s="3">
        <f>+IF(AVANCE[[#This Row],[VENTANAS]]=AT$2,100%,AVANCE[[#This Row],[VENTANAS]])</f>
        <v>0</v>
      </c>
      <c r="CH233" s="3">
        <f>+IF(AVANCE[[#This Row],[PUERTAS ACCESO - LOGIA - BANO]]=AU$2,100%,AVANCE[[#This Row],[PUERTAS ACCESO - LOGIA - BANO]])</f>
        <v>0</v>
      </c>
      <c r="CI233" s="3">
        <f>+IF(AVANCE[[#This Row],[CERRADURAS]]=AV$2,100%,AVANCE[[#This Row],[CERRADURAS]])</f>
        <v>0</v>
      </c>
      <c r="CJ233" s="3">
        <f>+IF(AVANCE[[#This Row],[REVESTIMIENTO INTERIOR ZONA SECA]]=AW$2,100%,AVANCE[[#This Row],[REVESTIMIENTO INTERIOR ZONA SECA]])</f>
        <v>0</v>
      </c>
      <c r="CK233" s="3">
        <f>+IF(AVANCE[[#This Row],[REVESTIMIENTO INTERIOR ZONAS HUMEDAS]]=AX$2,100%,AVANCE[[#This Row],[REVESTIMIENTO INTERIOR ZONAS HUMEDAS]])</f>
        <v>0</v>
      </c>
      <c r="CL233" s="3">
        <f>+IF(AVANCE[[#This Row],[MEMBRANA CIELO]]=AY$2,100%,AVANCE[[#This Row],[MEMBRANA CIELO]])</f>
        <v>0</v>
      </c>
      <c r="CM233" s="3">
        <f>+IF(AVANCE[[#This Row],[LIMPIEZA FINAL]]=AZ$2,100%,AVANCE[[#This Row],[LIMPIEZA FINAL]])</f>
        <v>0</v>
      </c>
      <c r="CN233" s="3">
        <f>+IF(AVANCE[[#This Row],[PUERTAS DORMITORIO]]=BA$2,100%,AVANCE[[#This Row],[PUERTAS DORMITORIO]])</f>
        <v>0</v>
      </c>
      <c r="CO233" s="3">
        <f>+IF(AVANCE[[#This Row],[REVESTIMIENTO INTERIOR BANO]]=BB$2,100%,AVANCE[[#This Row],[REVESTIMIENTO INTERIOR BANO]])</f>
        <v>0</v>
      </c>
      <c r="CP233" s="3">
        <f>+IF(AVANCE[[#This Row],[MUEBLE LAVAPLATOS]]=BC$2,100%,AVANCE[[#This Row],[MUEBLE LAVAPLATOS]])</f>
        <v>0</v>
      </c>
      <c r="CQ233" s="3">
        <f>+IF(AVANCE[[#This Row],[IMPERMEABILIZACION BANO - COCINA LOGIA]]=BD$2,100%,AVANCE[[#This Row],[IMPERMEABILIZACION BANO - COCINA LOGIA]])</f>
        <v>0</v>
      </c>
      <c r="CR233" s="40">
        <f ca="1">+IF(AVANCE[[#This Row],[ESTADO MODULO]]="PENDIENTE",(TODAY()-AVANCE[[#This Row],[FECHA TERMINO  PLANIFICADO]]),0)</f>
        <v>0</v>
      </c>
      <c r="CS233" s="42" t="str" cm="1">
        <f t="array" ref="CS233">_xlfn.TEXTJOIN(" | ",TRUE,IF(SUMPRODUCT((BF233:CQ233&lt;1)*(PARTIDAS!$I$2:$AT$2="OBRA GRUESA"))&gt;0,"OBRA GRUESA: "&amp;_xlfn.TEXTJOIN(", ",TRUE,IF((BF233:CQ233&lt;1)*(PARTIDAS!$I$2:$AT$2="OBRA GRUESA"),PARTIDAS!$I$1:$AT$1,"")),""),IF(SUMPRODUCT((BF233:CQ233&lt;1)*(PARTIDAS!$I$2:$AT$2="SANITARIOS"))&gt;0,"SANITARIOS: "&amp;_xlfn.TEXTJOIN(", ",TRUE,IF((BF233:CQ233&lt;1)*(PARTIDAS!$I$2:$AT$2="SANITARIOS"),PARTIDAS!$I$1:$AT$1,"")),""),IF(SUMPRODUCT((BF233:CQ233&lt;1)*(PARTIDAS!$I$2:$AT$2="ELÉCTRICO"))&gt;0,"ELÉCTRICO: "&amp;_xlfn.TEXTJOIN(", ",TRUE,IF((BF233:CQ233&lt;1)*(PARTIDAS!$I$2:$AT$2="ELÉCTRICO"),PARTIDAS!$I$1:$AT$1,"")),""),IF(SUMPRODUCT((BF233:CQ233&lt;1)*(PARTIDAS!$I$2:$AT$2="TERMINACIONES"))&gt;0,"TERMINACIONES: "&amp;_xlfn.TEXTJOIN(", ",TRUE,IF((BF233:CQ233&lt;1)*(PARTIDAS!$I$2:$AT$2="TERMINACIONES"),PARTIDAS!$I$1:$AT$1,"")),""))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3" s="45" t="str" cm="1">
        <f t="array" ref="CT233">_xlfn.TEXTJOIN(", ",TRUE,IF(SUMPRODUCT((BF233:CQ233&lt;1)*(PARTIDAS!$I$2:$AT$2="OBRA GRUESA"))&gt;0,"OBRA GRUESA",""),IF(SUMPRODUCT((BF233:CQ233&lt;1)*(PARTIDAS!$I$2:$AT$2="SANITARIOS"))&gt;0,"SANITARIOS",""),IF(SUMPRODUCT((BF233:CQ233&lt;1)*(PARTIDAS!$I$2:$AT$2="ELÉCTRICO"))&gt;0,"ELÉCTRICO",""),IF(SUMPRODUCT((BF233:CQ233&lt;1)*(PARTIDAS!$I$2:$AT$2="TERMINACIONES"))&gt;0,"TERMINACIONES",""))</f>
        <v>OBRA GRUESA, SANITARIOS, ELÉCTRICO, TERMINACIONES</v>
      </c>
      <c r="CU233" s="46" cm="1">
        <f t="array" ref="CU233">SUMPRODUCT(--(BF233:CQ233&lt;1))</f>
        <v>38</v>
      </c>
    </row>
    <row r="234" spans="1:99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46181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 t="str">
        <f>+IF(AVANCE[[#This Row],[% AVANCE]]=100%,"MODULO TERMINADO",IF(AVANCE[[#This Row],[FECHA INICIO REAL]]="","MODULO NO INICIADO","PENDIENTE"))</f>
        <v>MODULO NO INICIADO</v>
      </c>
      <c r="BF234" s="3">
        <f>+IF(AVANCE[[#This Row],[VENTANAS]]=8.10810810810811%,100%,AVANCE[[#This Row],[VENTANAS]])</f>
        <v>0</v>
      </c>
      <c r="BG234" s="3">
        <f>+IF(AVANCE[[#This Row],[PISO]]=N$2,100%,AVANCE[[#This Row],[PISO]])</f>
        <v>0</v>
      </c>
      <c r="BH234" s="3">
        <f>+IF(AVANCE[[#This Row],[TABIQUES]]=O$2,100%,AVANCE[[#This Row],[TABIQUES]])</f>
        <v>0</v>
      </c>
      <c r="BI234" s="3">
        <f>+IF(AVANCE[[#This Row],[MUROS]]=P$2,100%,AVANCE[[#This Row],[MUROS]])</f>
        <v>0</v>
      </c>
      <c r="BJ234" s="3">
        <f>+IF(AVANCE[[#This Row],[CIELO]]=Q$2,100%,AVANCE[[#This Row],[CIELO]])</f>
        <v>0</v>
      </c>
      <c r="BK234" s="3">
        <f>+IF(AVANCE[[#This Row],[BALCÓN]]=R$2,100%,AVANCE[[#This Row],[BALCÓN]])</f>
        <v>0</v>
      </c>
      <c r="BL234" s="3">
        <f>+IF(AVANCE[[#This Row],[RED ALCANTARILLADO]]=U$2,100%,AVANCE[[#This Row],[RED ALCANTARILLADO]])</f>
        <v>0</v>
      </c>
      <c r="BM234" s="3">
        <f>+IF(AVANCE[[#This Row],[RED DE AGUA]]=V$2,100%,AVANCE[[#This Row],[RED DE AGUA]])</f>
        <v>0</v>
      </c>
      <c r="BN234" s="3">
        <f>+IF(AVANCE[[#This Row],[VENTILACIONES]]=W$2,100%,AVANCE[[#This Row],[VENTILACIONES]])</f>
        <v>0</v>
      </c>
      <c r="BO234" s="3">
        <f>+IF(AVANCE[[#This Row],[TINA]]=X$2,100%,AVANCE[[#This Row],[TINA]])</f>
        <v>0</v>
      </c>
      <c r="BP234" s="3">
        <f>+IF(AVANCE[[#This Row],[WC]]=Y$2,100%,AVANCE[[#This Row],[WC]])</f>
        <v>0</v>
      </c>
      <c r="BQ234" s="3">
        <f>+IF(AVANCE[[#This Row],[LAVAMANOS / LAVAPLATOS / LAVADERO]]=Z$2,100%,AVANCE[[#This Row],[LAVAMANOS / LAVAPLATOS / LAVADERO]])</f>
        <v>0</v>
      </c>
      <c r="BR234" s="3">
        <f>+IF(AVANCE[[#This Row],[CANALIZACIÓN]]=AC$2,100%,AVANCE[[#This Row],[CANALIZACIÓN]])</f>
        <v>0</v>
      </c>
      <c r="BS234" s="3">
        <f>+IF(AVANCE[[#This Row],[CABLEADO]]=AD$2,100%,AVANCE[[#This Row],[CABLEADO]])</f>
        <v>0</v>
      </c>
      <c r="BT234" s="3">
        <f>+IF(AVANCE[[#This Row],[ARTEFACTOS]]=AE$2,100%,AVANCE[[#This Row],[ARTEFACTOS]])</f>
        <v>0</v>
      </c>
      <c r="BU234" s="3">
        <f>+IF(AVANCE[[#This Row],[TABLERO]]=AF$2,100%,AVANCE[[#This Row],[TABLERO]])</f>
        <v>0</v>
      </c>
      <c r="BV234" s="3">
        <f>+IF(AVANCE[[#This Row],[CAJA PAU]]=AG$2,100%,AVANCE[[#This Row],[CAJA PAU]])</f>
        <v>0</v>
      </c>
      <c r="BW234" s="3">
        <f>+IF(AVANCE[[#This Row],[INSTALACION VINILICO]]=AJ$2,100%,AVANCE[[#This Row],[INSTALACION VINILICO]])</f>
        <v>0</v>
      </c>
      <c r="BX234" s="3">
        <f>+IF(AVANCE[[#This Row],[OSB CUBIERTA]]=AK$2,100%,AVANCE[[#This Row],[OSB CUBIERTA]])</f>
        <v>0</v>
      </c>
      <c r="BY234" s="3">
        <f>+IF(AVANCE[[#This Row],[BARANDA BALCON]]=AL$2,100%,AVANCE[[#This Row],[BARANDA BALCON]])</f>
        <v>0</v>
      </c>
      <c r="BZ234" s="3">
        <f>+IF(AVANCE[[#This Row],[OSB EXTERIOR]]=AM$2,100%,AVANCE[[#This Row],[OSB EXTERIOR]])</f>
        <v>0</v>
      </c>
      <c r="CA234" s="3">
        <f>+IF(AVANCE[[#This Row],[SMART PANEL]]=AN$2,100%,AVANCE[[#This Row],[SMART PANEL]])</f>
        <v>0</v>
      </c>
      <c r="CB234" s="3">
        <f>+IF(AVANCE[[#This Row],[PINTURA EXTERIOR]]=AO$2,100%,AVANCE[[#This Row],[PINTURA EXTERIOR]])</f>
        <v>0</v>
      </c>
      <c r="CC234" s="3">
        <f>+IF(AVANCE[[#This Row],[ZOCALOS LOGIA]]=AP$2,100%,AVANCE[[#This Row],[ZOCALOS LOGIA]])</f>
        <v>0</v>
      </c>
      <c r="CD234" s="3">
        <f>+IF(AVANCE[[#This Row],[MOLDURAS]]=AQ$2,100%,AVANCE[[#This Row],[MOLDURAS]])</f>
        <v>0</v>
      </c>
      <c r="CE234" s="3">
        <f>+IF(AVANCE[[#This Row],[PILASTREO]]=AR$2,100%,AVANCE[[#This Row],[PILASTREO]])</f>
        <v>0</v>
      </c>
      <c r="CF234" s="3">
        <f>+IF(AVANCE[[#This Row],[CELOSIAS]]=AS$2,100%,AVANCE[[#This Row],[CELOSIAS]])</f>
        <v>0</v>
      </c>
      <c r="CG234" s="3">
        <f>+IF(AVANCE[[#This Row],[VENTANAS]]=AT$2,100%,AVANCE[[#This Row],[VENTANAS]])</f>
        <v>0</v>
      </c>
      <c r="CH234" s="3">
        <f>+IF(AVANCE[[#This Row],[PUERTAS ACCESO - LOGIA - BANO]]=AU$2,100%,AVANCE[[#This Row],[PUERTAS ACCESO - LOGIA - BANO]])</f>
        <v>0</v>
      </c>
      <c r="CI234" s="3">
        <f>+IF(AVANCE[[#This Row],[CERRADURAS]]=AV$2,100%,AVANCE[[#This Row],[CERRADURAS]])</f>
        <v>0</v>
      </c>
      <c r="CJ234" s="3">
        <f>+IF(AVANCE[[#This Row],[REVESTIMIENTO INTERIOR ZONA SECA]]=AW$2,100%,AVANCE[[#This Row],[REVESTIMIENTO INTERIOR ZONA SECA]])</f>
        <v>0</v>
      </c>
      <c r="CK234" s="3">
        <f>+IF(AVANCE[[#This Row],[REVESTIMIENTO INTERIOR ZONAS HUMEDAS]]=AX$2,100%,AVANCE[[#This Row],[REVESTIMIENTO INTERIOR ZONAS HUMEDAS]])</f>
        <v>0</v>
      </c>
      <c r="CL234" s="3">
        <f>+IF(AVANCE[[#This Row],[MEMBRANA CIELO]]=AY$2,100%,AVANCE[[#This Row],[MEMBRANA CIELO]])</f>
        <v>0</v>
      </c>
      <c r="CM234" s="3">
        <f>+IF(AVANCE[[#This Row],[LIMPIEZA FINAL]]=AZ$2,100%,AVANCE[[#This Row],[LIMPIEZA FINAL]])</f>
        <v>0</v>
      </c>
      <c r="CN234" s="3">
        <f>+IF(AVANCE[[#This Row],[PUERTAS DORMITORIO]]=BA$2,100%,AVANCE[[#This Row],[PUERTAS DORMITORIO]])</f>
        <v>0</v>
      </c>
      <c r="CO234" s="3">
        <f>+IF(AVANCE[[#This Row],[REVESTIMIENTO INTERIOR BANO]]=BB$2,100%,AVANCE[[#This Row],[REVESTIMIENTO INTERIOR BANO]])</f>
        <v>0</v>
      </c>
      <c r="CP234" s="3">
        <f>+IF(AVANCE[[#This Row],[MUEBLE LAVAPLATOS]]=BC$2,100%,AVANCE[[#This Row],[MUEBLE LAVAPLATOS]])</f>
        <v>0</v>
      </c>
      <c r="CQ234" s="3">
        <f>+IF(AVANCE[[#This Row],[IMPERMEABILIZACION BANO - COCINA LOGIA]]=BD$2,100%,AVANCE[[#This Row],[IMPERMEABILIZACION BANO - COCINA LOGIA]])</f>
        <v>0</v>
      </c>
      <c r="CR234" s="40">
        <f ca="1">+IF(AVANCE[[#This Row],[ESTADO MODULO]]="PENDIENTE",(TODAY()-AVANCE[[#This Row],[FECHA TERMINO  PLANIFICADO]]),0)</f>
        <v>0</v>
      </c>
      <c r="CS234" s="42" t="str" cm="1">
        <f t="array" ref="CS234">_xlfn.TEXTJOIN(" | ",TRUE,IF(SUMPRODUCT((BF234:CQ234&lt;1)*(PARTIDAS!$I$2:$AT$2="OBRA GRUESA"))&gt;0,"OBRA GRUESA: "&amp;_xlfn.TEXTJOIN(", ",TRUE,IF((BF234:CQ234&lt;1)*(PARTIDAS!$I$2:$AT$2="OBRA GRUESA"),PARTIDAS!$I$1:$AT$1,"")),""),IF(SUMPRODUCT((BF234:CQ234&lt;1)*(PARTIDAS!$I$2:$AT$2="SANITARIOS"))&gt;0,"SANITARIOS: "&amp;_xlfn.TEXTJOIN(", ",TRUE,IF((BF234:CQ234&lt;1)*(PARTIDAS!$I$2:$AT$2="SANITARIOS"),PARTIDAS!$I$1:$AT$1,"")),""),IF(SUMPRODUCT((BF234:CQ234&lt;1)*(PARTIDAS!$I$2:$AT$2="ELÉCTRICO"))&gt;0,"ELÉCTRICO: "&amp;_xlfn.TEXTJOIN(", ",TRUE,IF((BF234:CQ234&lt;1)*(PARTIDAS!$I$2:$AT$2="ELÉCTRICO"),PARTIDAS!$I$1:$AT$1,"")),""),IF(SUMPRODUCT((BF234:CQ234&lt;1)*(PARTIDAS!$I$2:$AT$2="TERMINACIONES"))&gt;0,"TERMINACIONES: "&amp;_xlfn.TEXTJOIN(", ",TRUE,IF((BF234:CQ234&lt;1)*(PARTIDAS!$I$2:$AT$2="TERMINACIONES"),PARTIDAS!$I$1:$AT$1,"")),""))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4" s="45" t="str" cm="1">
        <f t="array" ref="CT234">_xlfn.TEXTJOIN(", ",TRUE,IF(SUMPRODUCT((BF234:CQ234&lt;1)*(PARTIDAS!$I$2:$AT$2="OBRA GRUESA"))&gt;0,"OBRA GRUESA",""),IF(SUMPRODUCT((BF234:CQ234&lt;1)*(PARTIDAS!$I$2:$AT$2="SANITARIOS"))&gt;0,"SANITARIOS",""),IF(SUMPRODUCT((BF234:CQ234&lt;1)*(PARTIDAS!$I$2:$AT$2="ELÉCTRICO"))&gt;0,"ELÉCTRICO",""),IF(SUMPRODUCT((BF234:CQ234&lt;1)*(PARTIDAS!$I$2:$AT$2="TERMINACIONES"))&gt;0,"TERMINACIONES",""))</f>
        <v>OBRA GRUESA, SANITARIOS, ELÉCTRICO, TERMINACIONES</v>
      </c>
      <c r="CU234" s="46" cm="1">
        <f t="array" ref="CU234">SUMPRODUCT(--(BF234:CQ234&lt;1))</f>
        <v>38</v>
      </c>
    </row>
    <row r="235" spans="1:99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46181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 t="str">
        <f>+IF(AVANCE[[#This Row],[% AVANCE]]=100%,"MODULO TERMINADO",IF(AVANCE[[#This Row],[FECHA INICIO REAL]]="","MODULO NO INICIADO","PENDIENTE"))</f>
        <v>MODULO NO INICIADO</v>
      </c>
      <c r="BF235" s="3">
        <f>+IF(AVANCE[[#This Row],[VENTANAS]]=8.10810810810811%,100%,AVANCE[[#This Row],[VENTANAS]])</f>
        <v>0</v>
      </c>
      <c r="BG235" s="3">
        <f>+IF(AVANCE[[#This Row],[PISO]]=N$2,100%,AVANCE[[#This Row],[PISO]])</f>
        <v>0</v>
      </c>
      <c r="BH235" s="3">
        <f>+IF(AVANCE[[#This Row],[TABIQUES]]=O$2,100%,AVANCE[[#This Row],[TABIQUES]])</f>
        <v>0</v>
      </c>
      <c r="BI235" s="3">
        <f>+IF(AVANCE[[#This Row],[MUROS]]=P$2,100%,AVANCE[[#This Row],[MUROS]])</f>
        <v>0</v>
      </c>
      <c r="BJ235" s="3">
        <f>+IF(AVANCE[[#This Row],[CIELO]]=Q$2,100%,AVANCE[[#This Row],[CIELO]])</f>
        <v>0</v>
      </c>
      <c r="BK235" s="3">
        <f>+IF(AVANCE[[#This Row],[BALCÓN]]=R$2,100%,AVANCE[[#This Row],[BALCÓN]])</f>
        <v>0</v>
      </c>
      <c r="BL235" s="3">
        <f>+IF(AVANCE[[#This Row],[RED ALCANTARILLADO]]=U$2,100%,AVANCE[[#This Row],[RED ALCANTARILLADO]])</f>
        <v>0</v>
      </c>
      <c r="BM235" s="3">
        <f>+IF(AVANCE[[#This Row],[RED DE AGUA]]=V$2,100%,AVANCE[[#This Row],[RED DE AGUA]])</f>
        <v>0</v>
      </c>
      <c r="BN235" s="3">
        <f>+IF(AVANCE[[#This Row],[VENTILACIONES]]=W$2,100%,AVANCE[[#This Row],[VENTILACIONES]])</f>
        <v>0</v>
      </c>
      <c r="BO235" s="3">
        <f>+IF(AVANCE[[#This Row],[TINA]]=X$2,100%,AVANCE[[#This Row],[TINA]])</f>
        <v>0</v>
      </c>
      <c r="BP235" s="3">
        <f>+IF(AVANCE[[#This Row],[WC]]=Y$2,100%,AVANCE[[#This Row],[WC]])</f>
        <v>0</v>
      </c>
      <c r="BQ235" s="3">
        <f>+IF(AVANCE[[#This Row],[LAVAMANOS / LAVAPLATOS / LAVADERO]]=Z$2,100%,AVANCE[[#This Row],[LAVAMANOS / LAVAPLATOS / LAVADERO]])</f>
        <v>0</v>
      </c>
      <c r="BR235" s="3">
        <f>+IF(AVANCE[[#This Row],[CANALIZACIÓN]]=AC$2,100%,AVANCE[[#This Row],[CANALIZACIÓN]])</f>
        <v>0</v>
      </c>
      <c r="BS235" s="3">
        <f>+IF(AVANCE[[#This Row],[CABLEADO]]=AD$2,100%,AVANCE[[#This Row],[CABLEADO]])</f>
        <v>0</v>
      </c>
      <c r="BT235" s="3">
        <f>+IF(AVANCE[[#This Row],[ARTEFACTOS]]=AE$2,100%,AVANCE[[#This Row],[ARTEFACTOS]])</f>
        <v>0</v>
      </c>
      <c r="BU235" s="3">
        <f>+IF(AVANCE[[#This Row],[TABLERO]]=AF$2,100%,AVANCE[[#This Row],[TABLERO]])</f>
        <v>0</v>
      </c>
      <c r="BV235" s="3">
        <f>+IF(AVANCE[[#This Row],[CAJA PAU]]=AG$2,100%,AVANCE[[#This Row],[CAJA PAU]])</f>
        <v>0</v>
      </c>
      <c r="BW235" s="3">
        <f>+IF(AVANCE[[#This Row],[INSTALACION VINILICO]]=AJ$2,100%,AVANCE[[#This Row],[INSTALACION VINILICO]])</f>
        <v>0</v>
      </c>
      <c r="BX235" s="3">
        <f>+IF(AVANCE[[#This Row],[OSB CUBIERTA]]=AK$2,100%,AVANCE[[#This Row],[OSB CUBIERTA]])</f>
        <v>0</v>
      </c>
      <c r="BY235" s="3">
        <f>+IF(AVANCE[[#This Row],[BARANDA BALCON]]=AL$2,100%,AVANCE[[#This Row],[BARANDA BALCON]])</f>
        <v>0</v>
      </c>
      <c r="BZ235" s="3">
        <f>+IF(AVANCE[[#This Row],[OSB EXTERIOR]]=AM$2,100%,AVANCE[[#This Row],[OSB EXTERIOR]])</f>
        <v>0</v>
      </c>
      <c r="CA235" s="3">
        <f>+IF(AVANCE[[#This Row],[SMART PANEL]]=AN$2,100%,AVANCE[[#This Row],[SMART PANEL]])</f>
        <v>0</v>
      </c>
      <c r="CB235" s="3">
        <f>+IF(AVANCE[[#This Row],[PINTURA EXTERIOR]]=AO$2,100%,AVANCE[[#This Row],[PINTURA EXTERIOR]])</f>
        <v>0</v>
      </c>
      <c r="CC235" s="3">
        <f>+IF(AVANCE[[#This Row],[ZOCALOS LOGIA]]=AP$2,100%,AVANCE[[#This Row],[ZOCALOS LOGIA]])</f>
        <v>0</v>
      </c>
      <c r="CD235" s="3">
        <f>+IF(AVANCE[[#This Row],[MOLDURAS]]=AQ$2,100%,AVANCE[[#This Row],[MOLDURAS]])</f>
        <v>0</v>
      </c>
      <c r="CE235" s="3">
        <f>+IF(AVANCE[[#This Row],[PILASTREO]]=AR$2,100%,AVANCE[[#This Row],[PILASTREO]])</f>
        <v>0</v>
      </c>
      <c r="CF235" s="3">
        <f>+IF(AVANCE[[#This Row],[CELOSIAS]]=AS$2,100%,AVANCE[[#This Row],[CELOSIAS]])</f>
        <v>0</v>
      </c>
      <c r="CG235" s="3">
        <f>+IF(AVANCE[[#This Row],[VENTANAS]]=AT$2,100%,AVANCE[[#This Row],[VENTANAS]])</f>
        <v>0</v>
      </c>
      <c r="CH235" s="3">
        <f>+IF(AVANCE[[#This Row],[PUERTAS ACCESO - LOGIA - BANO]]=AU$2,100%,AVANCE[[#This Row],[PUERTAS ACCESO - LOGIA - BANO]])</f>
        <v>0</v>
      </c>
      <c r="CI235" s="3">
        <f>+IF(AVANCE[[#This Row],[CERRADURAS]]=AV$2,100%,AVANCE[[#This Row],[CERRADURAS]])</f>
        <v>0</v>
      </c>
      <c r="CJ235" s="3">
        <f>+IF(AVANCE[[#This Row],[REVESTIMIENTO INTERIOR ZONA SECA]]=AW$2,100%,AVANCE[[#This Row],[REVESTIMIENTO INTERIOR ZONA SECA]])</f>
        <v>0</v>
      </c>
      <c r="CK235" s="3">
        <f>+IF(AVANCE[[#This Row],[REVESTIMIENTO INTERIOR ZONAS HUMEDAS]]=AX$2,100%,AVANCE[[#This Row],[REVESTIMIENTO INTERIOR ZONAS HUMEDAS]])</f>
        <v>0</v>
      </c>
      <c r="CL235" s="3">
        <f>+IF(AVANCE[[#This Row],[MEMBRANA CIELO]]=AY$2,100%,AVANCE[[#This Row],[MEMBRANA CIELO]])</f>
        <v>0</v>
      </c>
      <c r="CM235" s="3">
        <f>+IF(AVANCE[[#This Row],[LIMPIEZA FINAL]]=AZ$2,100%,AVANCE[[#This Row],[LIMPIEZA FINAL]])</f>
        <v>0</v>
      </c>
      <c r="CN235" s="3">
        <f>+IF(AVANCE[[#This Row],[PUERTAS DORMITORIO]]=BA$2,100%,AVANCE[[#This Row],[PUERTAS DORMITORIO]])</f>
        <v>0</v>
      </c>
      <c r="CO235" s="3">
        <f>+IF(AVANCE[[#This Row],[REVESTIMIENTO INTERIOR BANO]]=BB$2,100%,AVANCE[[#This Row],[REVESTIMIENTO INTERIOR BANO]])</f>
        <v>0</v>
      </c>
      <c r="CP235" s="3">
        <f>+IF(AVANCE[[#This Row],[MUEBLE LAVAPLATOS]]=BC$2,100%,AVANCE[[#This Row],[MUEBLE LAVAPLATOS]])</f>
        <v>0</v>
      </c>
      <c r="CQ235" s="3">
        <f>+IF(AVANCE[[#This Row],[IMPERMEABILIZACION BANO - COCINA LOGIA]]=BD$2,100%,AVANCE[[#This Row],[IMPERMEABILIZACION BANO - COCINA LOGIA]])</f>
        <v>0</v>
      </c>
      <c r="CR235" s="40">
        <f ca="1">+IF(AVANCE[[#This Row],[ESTADO MODULO]]="PENDIENTE",(TODAY()-AVANCE[[#This Row],[FECHA TERMINO  PLANIFICADO]]),0)</f>
        <v>0</v>
      </c>
      <c r="CS235" s="42" t="str" cm="1">
        <f t="array" ref="CS235">_xlfn.TEXTJOIN(" | ",TRUE,IF(SUMPRODUCT((BF235:CQ235&lt;1)*(PARTIDAS!$I$2:$AT$2="OBRA GRUESA"))&gt;0,"OBRA GRUESA: "&amp;_xlfn.TEXTJOIN(", ",TRUE,IF((BF235:CQ235&lt;1)*(PARTIDAS!$I$2:$AT$2="OBRA GRUESA"),PARTIDAS!$I$1:$AT$1,"")),""),IF(SUMPRODUCT((BF235:CQ235&lt;1)*(PARTIDAS!$I$2:$AT$2="SANITARIOS"))&gt;0,"SANITARIOS: "&amp;_xlfn.TEXTJOIN(", ",TRUE,IF((BF235:CQ235&lt;1)*(PARTIDAS!$I$2:$AT$2="SANITARIOS"),PARTIDAS!$I$1:$AT$1,"")),""),IF(SUMPRODUCT((BF235:CQ235&lt;1)*(PARTIDAS!$I$2:$AT$2="ELÉCTRICO"))&gt;0,"ELÉCTRICO: "&amp;_xlfn.TEXTJOIN(", ",TRUE,IF((BF235:CQ235&lt;1)*(PARTIDAS!$I$2:$AT$2="ELÉCTRICO"),PARTIDAS!$I$1:$AT$1,"")),""),IF(SUMPRODUCT((BF235:CQ235&lt;1)*(PARTIDAS!$I$2:$AT$2="TERMINACIONES"))&gt;0,"TERMINACIONES: "&amp;_xlfn.TEXTJOIN(", ",TRUE,IF((BF235:CQ235&lt;1)*(PARTIDAS!$I$2:$AT$2="TERMINACIONES"),PARTIDAS!$I$1:$AT$1,"")),""))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5" s="45" t="str" cm="1">
        <f t="array" ref="CT235">_xlfn.TEXTJOIN(", ",TRUE,IF(SUMPRODUCT((BF235:CQ235&lt;1)*(PARTIDAS!$I$2:$AT$2="OBRA GRUESA"))&gt;0,"OBRA GRUESA",""),IF(SUMPRODUCT((BF235:CQ235&lt;1)*(PARTIDAS!$I$2:$AT$2="SANITARIOS"))&gt;0,"SANITARIOS",""),IF(SUMPRODUCT((BF235:CQ235&lt;1)*(PARTIDAS!$I$2:$AT$2="ELÉCTRICO"))&gt;0,"ELÉCTRICO",""),IF(SUMPRODUCT((BF235:CQ235&lt;1)*(PARTIDAS!$I$2:$AT$2="TERMINACIONES"))&gt;0,"TERMINACIONES",""))</f>
        <v>OBRA GRUESA, SANITARIOS, ELÉCTRICO, TERMINACIONES</v>
      </c>
      <c r="CU235" s="46" cm="1">
        <f t="array" ref="CU235">SUMPRODUCT(--(BF235:CQ235&lt;1))</f>
        <v>38</v>
      </c>
    </row>
    <row r="236" spans="1:99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46181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 t="str">
        <f>+IF(AVANCE[[#This Row],[% AVANCE]]=100%,"MODULO TERMINADO",IF(AVANCE[[#This Row],[FECHA INICIO REAL]]="","MODULO NO INICIADO","PENDIENTE"))</f>
        <v>MODULO NO INICIADO</v>
      </c>
      <c r="BF236" s="3">
        <f>+IF(AVANCE[[#This Row],[VENTANAS]]=8.10810810810811%,100%,AVANCE[[#This Row],[VENTANAS]])</f>
        <v>0</v>
      </c>
      <c r="BG236" s="3">
        <f>+IF(AVANCE[[#This Row],[PISO]]=N$2,100%,AVANCE[[#This Row],[PISO]])</f>
        <v>0</v>
      </c>
      <c r="BH236" s="3">
        <f>+IF(AVANCE[[#This Row],[TABIQUES]]=O$2,100%,AVANCE[[#This Row],[TABIQUES]])</f>
        <v>0</v>
      </c>
      <c r="BI236" s="3">
        <f>+IF(AVANCE[[#This Row],[MUROS]]=P$2,100%,AVANCE[[#This Row],[MUROS]])</f>
        <v>0</v>
      </c>
      <c r="BJ236" s="3">
        <f>+IF(AVANCE[[#This Row],[CIELO]]=Q$2,100%,AVANCE[[#This Row],[CIELO]])</f>
        <v>0</v>
      </c>
      <c r="BK236" s="3">
        <f>+IF(AVANCE[[#This Row],[BALCÓN]]=R$2,100%,AVANCE[[#This Row],[BALCÓN]])</f>
        <v>0</v>
      </c>
      <c r="BL236" s="3">
        <f>+IF(AVANCE[[#This Row],[RED ALCANTARILLADO]]=U$2,100%,AVANCE[[#This Row],[RED ALCANTARILLADO]])</f>
        <v>0</v>
      </c>
      <c r="BM236" s="3">
        <f>+IF(AVANCE[[#This Row],[RED DE AGUA]]=V$2,100%,AVANCE[[#This Row],[RED DE AGUA]])</f>
        <v>0</v>
      </c>
      <c r="BN236" s="3">
        <f>+IF(AVANCE[[#This Row],[VENTILACIONES]]=W$2,100%,AVANCE[[#This Row],[VENTILACIONES]])</f>
        <v>0</v>
      </c>
      <c r="BO236" s="3">
        <f>+IF(AVANCE[[#This Row],[TINA]]=X$2,100%,AVANCE[[#This Row],[TINA]])</f>
        <v>0</v>
      </c>
      <c r="BP236" s="3">
        <f>+IF(AVANCE[[#This Row],[WC]]=Y$2,100%,AVANCE[[#This Row],[WC]])</f>
        <v>0</v>
      </c>
      <c r="BQ236" s="3">
        <f>+IF(AVANCE[[#This Row],[LAVAMANOS / LAVAPLATOS / LAVADERO]]=Z$2,100%,AVANCE[[#This Row],[LAVAMANOS / LAVAPLATOS / LAVADERO]])</f>
        <v>0</v>
      </c>
      <c r="BR236" s="3">
        <f>+IF(AVANCE[[#This Row],[CANALIZACIÓN]]=AC$2,100%,AVANCE[[#This Row],[CANALIZACIÓN]])</f>
        <v>0</v>
      </c>
      <c r="BS236" s="3">
        <f>+IF(AVANCE[[#This Row],[CABLEADO]]=AD$2,100%,AVANCE[[#This Row],[CABLEADO]])</f>
        <v>0</v>
      </c>
      <c r="BT236" s="3">
        <f>+IF(AVANCE[[#This Row],[ARTEFACTOS]]=AE$2,100%,AVANCE[[#This Row],[ARTEFACTOS]])</f>
        <v>0</v>
      </c>
      <c r="BU236" s="3">
        <f>+IF(AVANCE[[#This Row],[TABLERO]]=AF$2,100%,AVANCE[[#This Row],[TABLERO]])</f>
        <v>0</v>
      </c>
      <c r="BV236" s="3">
        <f>+IF(AVANCE[[#This Row],[CAJA PAU]]=AG$2,100%,AVANCE[[#This Row],[CAJA PAU]])</f>
        <v>0</v>
      </c>
      <c r="BW236" s="3">
        <f>+IF(AVANCE[[#This Row],[INSTALACION VINILICO]]=AJ$2,100%,AVANCE[[#This Row],[INSTALACION VINILICO]])</f>
        <v>0</v>
      </c>
      <c r="BX236" s="3">
        <f>+IF(AVANCE[[#This Row],[OSB CUBIERTA]]=AK$2,100%,AVANCE[[#This Row],[OSB CUBIERTA]])</f>
        <v>0</v>
      </c>
      <c r="BY236" s="3">
        <f>+IF(AVANCE[[#This Row],[BARANDA BALCON]]=AL$2,100%,AVANCE[[#This Row],[BARANDA BALCON]])</f>
        <v>0</v>
      </c>
      <c r="BZ236" s="3">
        <f>+IF(AVANCE[[#This Row],[OSB EXTERIOR]]=AM$2,100%,AVANCE[[#This Row],[OSB EXTERIOR]])</f>
        <v>0</v>
      </c>
      <c r="CA236" s="3">
        <f>+IF(AVANCE[[#This Row],[SMART PANEL]]=AN$2,100%,AVANCE[[#This Row],[SMART PANEL]])</f>
        <v>0</v>
      </c>
      <c r="CB236" s="3">
        <f>+IF(AVANCE[[#This Row],[PINTURA EXTERIOR]]=AO$2,100%,AVANCE[[#This Row],[PINTURA EXTERIOR]])</f>
        <v>0</v>
      </c>
      <c r="CC236" s="3">
        <f>+IF(AVANCE[[#This Row],[ZOCALOS LOGIA]]=AP$2,100%,AVANCE[[#This Row],[ZOCALOS LOGIA]])</f>
        <v>0</v>
      </c>
      <c r="CD236" s="3">
        <f>+IF(AVANCE[[#This Row],[MOLDURAS]]=AQ$2,100%,AVANCE[[#This Row],[MOLDURAS]])</f>
        <v>0</v>
      </c>
      <c r="CE236" s="3">
        <f>+IF(AVANCE[[#This Row],[PILASTREO]]=AR$2,100%,AVANCE[[#This Row],[PILASTREO]])</f>
        <v>0</v>
      </c>
      <c r="CF236" s="3">
        <f>+IF(AVANCE[[#This Row],[CELOSIAS]]=AS$2,100%,AVANCE[[#This Row],[CELOSIAS]])</f>
        <v>0</v>
      </c>
      <c r="CG236" s="3">
        <f>+IF(AVANCE[[#This Row],[VENTANAS]]=AT$2,100%,AVANCE[[#This Row],[VENTANAS]])</f>
        <v>0</v>
      </c>
      <c r="CH236" s="3">
        <f>+IF(AVANCE[[#This Row],[PUERTAS ACCESO - LOGIA - BANO]]=AU$2,100%,AVANCE[[#This Row],[PUERTAS ACCESO - LOGIA - BANO]])</f>
        <v>0</v>
      </c>
      <c r="CI236" s="3">
        <f>+IF(AVANCE[[#This Row],[CERRADURAS]]=AV$2,100%,AVANCE[[#This Row],[CERRADURAS]])</f>
        <v>0</v>
      </c>
      <c r="CJ236" s="3">
        <f>+IF(AVANCE[[#This Row],[REVESTIMIENTO INTERIOR ZONA SECA]]=AW$2,100%,AVANCE[[#This Row],[REVESTIMIENTO INTERIOR ZONA SECA]])</f>
        <v>0</v>
      </c>
      <c r="CK236" s="3">
        <f>+IF(AVANCE[[#This Row],[REVESTIMIENTO INTERIOR ZONAS HUMEDAS]]=AX$2,100%,AVANCE[[#This Row],[REVESTIMIENTO INTERIOR ZONAS HUMEDAS]])</f>
        <v>0</v>
      </c>
      <c r="CL236" s="3">
        <f>+IF(AVANCE[[#This Row],[MEMBRANA CIELO]]=AY$2,100%,AVANCE[[#This Row],[MEMBRANA CIELO]])</f>
        <v>0</v>
      </c>
      <c r="CM236" s="3">
        <f>+IF(AVANCE[[#This Row],[LIMPIEZA FINAL]]=AZ$2,100%,AVANCE[[#This Row],[LIMPIEZA FINAL]])</f>
        <v>0</v>
      </c>
      <c r="CN236" s="3">
        <f>+IF(AVANCE[[#This Row],[PUERTAS DORMITORIO]]=BA$2,100%,AVANCE[[#This Row],[PUERTAS DORMITORIO]])</f>
        <v>0</v>
      </c>
      <c r="CO236" s="3">
        <f>+IF(AVANCE[[#This Row],[REVESTIMIENTO INTERIOR BANO]]=BB$2,100%,AVANCE[[#This Row],[REVESTIMIENTO INTERIOR BANO]])</f>
        <v>0</v>
      </c>
      <c r="CP236" s="3">
        <f>+IF(AVANCE[[#This Row],[MUEBLE LAVAPLATOS]]=BC$2,100%,AVANCE[[#This Row],[MUEBLE LAVAPLATOS]])</f>
        <v>0</v>
      </c>
      <c r="CQ236" s="3">
        <f>+IF(AVANCE[[#This Row],[IMPERMEABILIZACION BANO - COCINA LOGIA]]=BD$2,100%,AVANCE[[#This Row],[IMPERMEABILIZACION BANO - COCINA LOGIA]])</f>
        <v>0</v>
      </c>
      <c r="CR236" s="40">
        <f ca="1">+IF(AVANCE[[#This Row],[ESTADO MODULO]]="PENDIENTE",(TODAY()-AVANCE[[#This Row],[FECHA TERMINO  PLANIFICADO]]),0)</f>
        <v>0</v>
      </c>
      <c r="CS236" s="42" t="str" cm="1">
        <f t="array" ref="CS236">_xlfn.TEXTJOIN(" | ",TRUE,IF(SUMPRODUCT((BF236:CQ236&lt;1)*(PARTIDAS!$I$2:$AT$2="OBRA GRUESA"))&gt;0,"OBRA GRUESA: "&amp;_xlfn.TEXTJOIN(", ",TRUE,IF((BF236:CQ236&lt;1)*(PARTIDAS!$I$2:$AT$2="OBRA GRUESA"),PARTIDAS!$I$1:$AT$1,"")),""),IF(SUMPRODUCT((BF236:CQ236&lt;1)*(PARTIDAS!$I$2:$AT$2="SANITARIOS"))&gt;0,"SANITARIOS: "&amp;_xlfn.TEXTJOIN(", ",TRUE,IF((BF236:CQ236&lt;1)*(PARTIDAS!$I$2:$AT$2="SANITARIOS"),PARTIDAS!$I$1:$AT$1,"")),""),IF(SUMPRODUCT((BF236:CQ236&lt;1)*(PARTIDAS!$I$2:$AT$2="ELÉCTRICO"))&gt;0,"ELÉCTRICO: "&amp;_xlfn.TEXTJOIN(", ",TRUE,IF((BF236:CQ236&lt;1)*(PARTIDAS!$I$2:$AT$2="ELÉCTRICO"),PARTIDAS!$I$1:$AT$1,"")),""),IF(SUMPRODUCT((BF236:CQ236&lt;1)*(PARTIDAS!$I$2:$AT$2="TERMINACIONES"))&gt;0,"TERMINACIONES: "&amp;_xlfn.TEXTJOIN(", ",TRUE,IF((BF236:CQ236&lt;1)*(PARTIDAS!$I$2:$AT$2="TERMINACIONES"),PARTIDAS!$I$1:$AT$1,"")),""))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6" s="45" t="str" cm="1">
        <f t="array" ref="CT236">_xlfn.TEXTJOIN(", ",TRUE,IF(SUMPRODUCT((BF236:CQ236&lt;1)*(PARTIDAS!$I$2:$AT$2="OBRA GRUESA"))&gt;0,"OBRA GRUESA",""),IF(SUMPRODUCT((BF236:CQ236&lt;1)*(PARTIDAS!$I$2:$AT$2="SANITARIOS"))&gt;0,"SANITARIOS",""),IF(SUMPRODUCT((BF236:CQ236&lt;1)*(PARTIDAS!$I$2:$AT$2="ELÉCTRICO"))&gt;0,"ELÉCTRICO",""),IF(SUMPRODUCT((BF236:CQ236&lt;1)*(PARTIDAS!$I$2:$AT$2="TERMINACIONES"))&gt;0,"TERMINACIONES",""))</f>
        <v>OBRA GRUESA, SANITARIOS, ELÉCTRICO, TERMINACIONES</v>
      </c>
      <c r="CU236" s="46" cm="1">
        <f t="array" ref="CU236">SUMPRODUCT(--(BF236:CQ236&lt;1))</f>
        <v>38</v>
      </c>
    </row>
    <row r="237" spans="1:99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46181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 t="str">
        <f>+IF(AVANCE[[#This Row],[% AVANCE]]=100%,"MODULO TERMINADO",IF(AVANCE[[#This Row],[FECHA INICIO REAL]]="","MODULO NO INICIADO","PENDIENTE"))</f>
        <v>MODULO NO INICIADO</v>
      </c>
      <c r="BF237" s="3">
        <f>+IF(AVANCE[[#This Row],[VENTANAS]]=8.10810810810811%,100%,AVANCE[[#This Row],[VENTANAS]])</f>
        <v>0</v>
      </c>
      <c r="BG237" s="3">
        <f>+IF(AVANCE[[#This Row],[PISO]]=N$2,100%,AVANCE[[#This Row],[PISO]])</f>
        <v>0</v>
      </c>
      <c r="BH237" s="3">
        <f>+IF(AVANCE[[#This Row],[TABIQUES]]=O$2,100%,AVANCE[[#This Row],[TABIQUES]])</f>
        <v>0</v>
      </c>
      <c r="BI237" s="3">
        <f>+IF(AVANCE[[#This Row],[MUROS]]=P$2,100%,AVANCE[[#This Row],[MUROS]])</f>
        <v>0</v>
      </c>
      <c r="BJ237" s="3">
        <f>+IF(AVANCE[[#This Row],[CIELO]]=Q$2,100%,AVANCE[[#This Row],[CIELO]])</f>
        <v>0</v>
      </c>
      <c r="BK237" s="3">
        <f>+IF(AVANCE[[#This Row],[BALCÓN]]=R$2,100%,AVANCE[[#This Row],[BALCÓN]])</f>
        <v>0</v>
      </c>
      <c r="BL237" s="3">
        <f>+IF(AVANCE[[#This Row],[RED ALCANTARILLADO]]=U$2,100%,AVANCE[[#This Row],[RED ALCANTARILLADO]])</f>
        <v>0</v>
      </c>
      <c r="BM237" s="3">
        <f>+IF(AVANCE[[#This Row],[RED DE AGUA]]=V$2,100%,AVANCE[[#This Row],[RED DE AGUA]])</f>
        <v>0</v>
      </c>
      <c r="BN237" s="3">
        <f>+IF(AVANCE[[#This Row],[VENTILACIONES]]=W$2,100%,AVANCE[[#This Row],[VENTILACIONES]])</f>
        <v>0</v>
      </c>
      <c r="BO237" s="3">
        <f>+IF(AVANCE[[#This Row],[TINA]]=X$2,100%,AVANCE[[#This Row],[TINA]])</f>
        <v>0</v>
      </c>
      <c r="BP237" s="3">
        <f>+IF(AVANCE[[#This Row],[WC]]=Y$2,100%,AVANCE[[#This Row],[WC]])</f>
        <v>0</v>
      </c>
      <c r="BQ237" s="3">
        <f>+IF(AVANCE[[#This Row],[LAVAMANOS / LAVAPLATOS / LAVADERO]]=Z$2,100%,AVANCE[[#This Row],[LAVAMANOS / LAVAPLATOS / LAVADERO]])</f>
        <v>0</v>
      </c>
      <c r="BR237" s="3">
        <f>+IF(AVANCE[[#This Row],[CANALIZACIÓN]]=AC$2,100%,AVANCE[[#This Row],[CANALIZACIÓN]])</f>
        <v>0</v>
      </c>
      <c r="BS237" s="3">
        <f>+IF(AVANCE[[#This Row],[CABLEADO]]=AD$2,100%,AVANCE[[#This Row],[CABLEADO]])</f>
        <v>0</v>
      </c>
      <c r="BT237" s="3">
        <f>+IF(AVANCE[[#This Row],[ARTEFACTOS]]=AE$2,100%,AVANCE[[#This Row],[ARTEFACTOS]])</f>
        <v>0</v>
      </c>
      <c r="BU237" s="3">
        <f>+IF(AVANCE[[#This Row],[TABLERO]]=AF$2,100%,AVANCE[[#This Row],[TABLERO]])</f>
        <v>0</v>
      </c>
      <c r="BV237" s="3">
        <f>+IF(AVANCE[[#This Row],[CAJA PAU]]=AG$2,100%,AVANCE[[#This Row],[CAJA PAU]])</f>
        <v>0</v>
      </c>
      <c r="BW237" s="3">
        <f>+IF(AVANCE[[#This Row],[INSTALACION VINILICO]]=AJ$2,100%,AVANCE[[#This Row],[INSTALACION VINILICO]])</f>
        <v>0</v>
      </c>
      <c r="BX237" s="3">
        <f>+IF(AVANCE[[#This Row],[OSB CUBIERTA]]=AK$2,100%,AVANCE[[#This Row],[OSB CUBIERTA]])</f>
        <v>0</v>
      </c>
      <c r="BY237" s="3">
        <f>+IF(AVANCE[[#This Row],[BARANDA BALCON]]=AL$2,100%,AVANCE[[#This Row],[BARANDA BALCON]])</f>
        <v>0</v>
      </c>
      <c r="BZ237" s="3">
        <f>+IF(AVANCE[[#This Row],[OSB EXTERIOR]]=AM$2,100%,AVANCE[[#This Row],[OSB EXTERIOR]])</f>
        <v>0</v>
      </c>
      <c r="CA237" s="3">
        <f>+IF(AVANCE[[#This Row],[SMART PANEL]]=AN$2,100%,AVANCE[[#This Row],[SMART PANEL]])</f>
        <v>0</v>
      </c>
      <c r="CB237" s="3">
        <f>+IF(AVANCE[[#This Row],[PINTURA EXTERIOR]]=AO$2,100%,AVANCE[[#This Row],[PINTURA EXTERIOR]])</f>
        <v>0</v>
      </c>
      <c r="CC237" s="3">
        <f>+IF(AVANCE[[#This Row],[ZOCALOS LOGIA]]=AP$2,100%,AVANCE[[#This Row],[ZOCALOS LOGIA]])</f>
        <v>0</v>
      </c>
      <c r="CD237" s="3">
        <f>+IF(AVANCE[[#This Row],[MOLDURAS]]=AQ$2,100%,AVANCE[[#This Row],[MOLDURAS]])</f>
        <v>0</v>
      </c>
      <c r="CE237" s="3">
        <f>+IF(AVANCE[[#This Row],[PILASTREO]]=AR$2,100%,AVANCE[[#This Row],[PILASTREO]])</f>
        <v>0</v>
      </c>
      <c r="CF237" s="3">
        <f>+IF(AVANCE[[#This Row],[CELOSIAS]]=AS$2,100%,AVANCE[[#This Row],[CELOSIAS]])</f>
        <v>0</v>
      </c>
      <c r="CG237" s="3">
        <f>+IF(AVANCE[[#This Row],[VENTANAS]]=AT$2,100%,AVANCE[[#This Row],[VENTANAS]])</f>
        <v>0</v>
      </c>
      <c r="CH237" s="3">
        <f>+IF(AVANCE[[#This Row],[PUERTAS ACCESO - LOGIA - BANO]]=AU$2,100%,AVANCE[[#This Row],[PUERTAS ACCESO - LOGIA - BANO]])</f>
        <v>0</v>
      </c>
      <c r="CI237" s="3">
        <f>+IF(AVANCE[[#This Row],[CERRADURAS]]=AV$2,100%,AVANCE[[#This Row],[CERRADURAS]])</f>
        <v>0</v>
      </c>
      <c r="CJ237" s="3">
        <f>+IF(AVANCE[[#This Row],[REVESTIMIENTO INTERIOR ZONA SECA]]=AW$2,100%,AVANCE[[#This Row],[REVESTIMIENTO INTERIOR ZONA SECA]])</f>
        <v>0</v>
      </c>
      <c r="CK237" s="3">
        <f>+IF(AVANCE[[#This Row],[REVESTIMIENTO INTERIOR ZONAS HUMEDAS]]=AX$2,100%,AVANCE[[#This Row],[REVESTIMIENTO INTERIOR ZONAS HUMEDAS]])</f>
        <v>0</v>
      </c>
      <c r="CL237" s="3">
        <f>+IF(AVANCE[[#This Row],[MEMBRANA CIELO]]=AY$2,100%,AVANCE[[#This Row],[MEMBRANA CIELO]])</f>
        <v>0</v>
      </c>
      <c r="CM237" s="3">
        <f>+IF(AVANCE[[#This Row],[LIMPIEZA FINAL]]=AZ$2,100%,AVANCE[[#This Row],[LIMPIEZA FINAL]])</f>
        <v>0</v>
      </c>
      <c r="CN237" s="3">
        <f>+IF(AVANCE[[#This Row],[PUERTAS DORMITORIO]]=BA$2,100%,AVANCE[[#This Row],[PUERTAS DORMITORIO]])</f>
        <v>0</v>
      </c>
      <c r="CO237" s="3">
        <f>+IF(AVANCE[[#This Row],[REVESTIMIENTO INTERIOR BANO]]=BB$2,100%,AVANCE[[#This Row],[REVESTIMIENTO INTERIOR BANO]])</f>
        <v>0</v>
      </c>
      <c r="CP237" s="3">
        <f>+IF(AVANCE[[#This Row],[MUEBLE LAVAPLATOS]]=BC$2,100%,AVANCE[[#This Row],[MUEBLE LAVAPLATOS]])</f>
        <v>0</v>
      </c>
      <c r="CQ237" s="3">
        <f>+IF(AVANCE[[#This Row],[IMPERMEABILIZACION BANO - COCINA LOGIA]]=BD$2,100%,AVANCE[[#This Row],[IMPERMEABILIZACION BANO - COCINA LOGIA]])</f>
        <v>0</v>
      </c>
      <c r="CR237" s="40">
        <f ca="1">+IF(AVANCE[[#This Row],[ESTADO MODULO]]="PENDIENTE",(TODAY()-AVANCE[[#This Row],[FECHA TERMINO  PLANIFICADO]]),0)</f>
        <v>0</v>
      </c>
      <c r="CS237" s="42" t="str" cm="1">
        <f t="array" ref="CS237">_xlfn.TEXTJOIN(" | ",TRUE,IF(SUMPRODUCT((BF237:CQ237&lt;1)*(PARTIDAS!$I$2:$AT$2="OBRA GRUESA"))&gt;0,"OBRA GRUESA: "&amp;_xlfn.TEXTJOIN(", ",TRUE,IF((BF237:CQ237&lt;1)*(PARTIDAS!$I$2:$AT$2="OBRA GRUESA"),PARTIDAS!$I$1:$AT$1,"")),""),IF(SUMPRODUCT((BF237:CQ237&lt;1)*(PARTIDAS!$I$2:$AT$2="SANITARIOS"))&gt;0,"SANITARIOS: "&amp;_xlfn.TEXTJOIN(", ",TRUE,IF((BF237:CQ237&lt;1)*(PARTIDAS!$I$2:$AT$2="SANITARIOS"),PARTIDAS!$I$1:$AT$1,"")),""),IF(SUMPRODUCT((BF237:CQ237&lt;1)*(PARTIDAS!$I$2:$AT$2="ELÉCTRICO"))&gt;0,"ELÉCTRICO: "&amp;_xlfn.TEXTJOIN(", ",TRUE,IF((BF237:CQ237&lt;1)*(PARTIDAS!$I$2:$AT$2="ELÉCTRICO"),PARTIDAS!$I$1:$AT$1,"")),""),IF(SUMPRODUCT((BF237:CQ237&lt;1)*(PARTIDAS!$I$2:$AT$2="TERMINACIONES"))&gt;0,"TERMINACIONES: "&amp;_xlfn.TEXTJOIN(", ",TRUE,IF((BF237:CQ237&lt;1)*(PARTIDAS!$I$2:$AT$2="TERMINACIONES"),PARTIDAS!$I$1:$AT$1,"")),""))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7" s="45" t="str" cm="1">
        <f t="array" ref="CT237">_xlfn.TEXTJOIN(", ",TRUE,IF(SUMPRODUCT((BF237:CQ237&lt;1)*(PARTIDAS!$I$2:$AT$2="OBRA GRUESA"))&gt;0,"OBRA GRUESA",""),IF(SUMPRODUCT((BF237:CQ237&lt;1)*(PARTIDAS!$I$2:$AT$2="SANITARIOS"))&gt;0,"SANITARIOS",""),IF(SUMPRODUCT((BF237:CQ237&lt;1)*(PARTIDAS!$I$2:$AT$2="ELÉCTRICO"))&gt;0,"ELÉCTRICO",""),IF(SUMPRODUCT((BF237:CQ237&lt;1)*(PARTIDAS!$I$2:$AT$2="TERMINACIONES"))&gt;0,"TERMINACIONES",""))</f>
        <v>OBRA GRUESA, SANITARIOS, ELÉCTRICO, TERMINACIONES</v>
      </c>
      <c r="CU237" s="46" cm="1">
        <f t="array" ref="CU237">SUMPRODUCT(--(BF237:CQ237&lt;1))</f>
        <v>38</v>
      </c>
    </row>
    <row r="238" spans="1:99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46181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 t="str">
        <f>+IF(AVANCE[[#This Row],[% AVANCE]]=100%,"MODULO TERMINADO",IF(AVANCE[[#This Row],[FECHA INICIO REAL]]="","MODULO NO INICIADO","PENDIENTE"))</f>
        <v>MODULO NO INICIADO</v>
      </c>
      <c r="BF238" s="3">
        <f>+IF(AVANCE[[#This Row],[VENTANAS]]=8.10810810810811%,100%,AVANCE[[#This Row],[VENTANAS]])</f>
        <v>0</v>
      </c>
      <c r="BG238" s="3">
        <f>+IF(AVANCE[[#This Row],[PISO]]=N$2,100%,AVANCE[[#This Row],[PISO]])</f>
        <v>0</v>
      </c>
      <c r="BH238" s="3">
        <f>+IF(AVANCE[[#This Row],[TABIQUES]]=O$2,100%,AVANCE[[#This Row],[TABIQUES]])</f>
        <v>0</v>
      </c>
      <c r="BI238" s="3">
        <f>+IF(AVANCE[[#This Row],[MUROS]]=P$2,100%,AVANCE[[#This Row],[MUROS]])</f>
        <v>0</v>
      </c>
      <c r="BJ238" s="3">
        <f>+IF(AVANCE[[#This Row],[CIELO]]=Q$2,100%,AVANCE[[#This Row],[CIELO]])</f>
        <v>0</v>
      </c>
      <c r="BK238" s="3">
        <f>+IF(AVANCE[[#This Row],[BALCÓN]]=R$2,100%,AVANCE[[#This Row],[BALCÓN]])</f>
        <v>0</v>
      </c>
      <c r="BL238" s="3">
        <f>+IF(AVANCE[[#This Row],[RED ALCANTARILLADO]]=U$2,100%,AVANCE[[#This Row],[RED ALCANTARILLADO]])</f>
        <v>0</v>
      </c>
      <c r="BM238" s="3">
        <f>+IF(AVANCE[[#This Row],[RED DE AGUA]]=V$2,100%,AVANCE[[#This Row],[RED DE AGUA]])</f>
        <v>0</v>
      </c>
      <c r="BN238" s="3">
        <f>+IF(AVANCE[[#This Row],[VENTILACIONES]]=W$2,100%,AVANCE[[#This Row],[VENTILACIONES]])</f>
        <v>0</v>
      </c>
      <c r="BO238" s="3">
        <f>+IF(AVANCE[[#This Row],[TINA]]=X$2,100%,AVANCE[[#This Row],[TINA]])</f>
        <v>0</v>
      </c>
      <c r="BP238" s="3">
        <f>+IF(AVANCE[[#This Row],[WC]]=Y$2,100%,AVANCE[[#This Row],[WC]])</f>
        <v>0</v>
      </c>
      <c r="BQ238" s="3">
        <f>+IF(AVANCE[[#This Row],[LAVAMANOS / LAVAPLATOS / LAVADERO]]=Z$2,100%,AVANCE[[#This Row],[LAVAMANOS / LAVAPLATOS / LAVADERO]])</f>
        <v>0</v>
      </c>
      <c r="BR238" s="3">
        <f>+IF(AVANCE[[#This Row],[CANALIZACIÓN]]=AC$2,100%,AVANCE[[#This Row],[CANALIZACIÓN]])</f>
        <v>0</v>
      </c>
      <c r="BS238" s="3">
        <f>+IF(AVANCE[[#This Row],[CABLEADO]]=AD$2,100%,AVANCE[[#This Row],[CABLEADO]])</f>
        <v>0</v>
      </c>
      <c r="BT238" s="3">
        <f>+IF(AVANCE[[#This Row],[ARTEFACTOS]]=AE$2,100%,AVANCE[[#This Row],[ARTEFACTOS]])</f>
        <v>0</v>
      </c>
      <c r="BU238" s="3">
        <f>+IF(AVANCE[[#This Row],[TABLERO]]=AF$2,100%,AVANCE[[#This Row],[TABLERO]])</f>
        <v>0</v>
      </c>
      <c r="BV238" s="3">
        <f>+IF(AVANCE[[#This Row],[CAJA PAU]]=AG$2,100%,AVANCE[[#This Row],[CAJA PAU]])</f>
        <v>0</v>
      </c>
      <c r="BW238" s="3">
        <f>+IF(AVANCE[[#This Row],[INSTALACION VINILICO]]=AJ$2,100%,AVANCE[[#This Row],[INSTALACION VINILICO]])</f>
        <v>0</v>
      </c>
      <c r="BX238" s="3">
        <f>+IF(AVANCE[[#This Row],[OSB CUBIERTA]]=AK$2,100%,AVANCE[[#This Row],[OSB CUBIERTA]])</f>
        <v>0</v>
      </c>
      <c r="BY238" s="3">
        <f>+IF(AVANCE[[#This Row],[BARANDA BALCON]]=AL$2,100%,AVANCE[[#This Row],[BARANDA BALCON]])</f>
        <v>0</v>
      </c>
      <c r="BZ238" s="3">
        <f>+IF(AVANCE[[#This Row],[OSB EXTERIOR]]=AM$2,100%,AVANCE[[#This Row],[OSB EXTERIOR]])</f>
        <v>0</v>
      </c>
      <c r="CA238" s="3">
        <f>+IF(AVANCE[[#This Row],[SMART PANEL]]=AN$2,100%,AVANCE[[#This Row],[SMART PANEL]])</f>
        <v>0</v>
      </c>
      <c r="CB238" s="3">
        <f>+IF(AVANCE[[#This Row],[PINTURA EXTERIOR]]=AO$2,100%,AVANCE[[#This Row],[PINTURA EXTERIOR]])</f>
        <v>0</v>
      </c>
      <c r="CC238" s="3">
        <f>+IF(AVANCE[[#This Row],[ZOCALOS LOGIA]]=AP$2,100%,AVANCE[[#This Row],[ZOCALOS LOGIA]])</f>
        <v>0</v>
      </c>
      <c r="CD238" s="3">
        <f>+IF(AVANCE[[#This Row],[MOLDURAS]]=AQ$2,100%,AVANCE[[#This Row],[MOLDURAS]])</f>
        <v>0</v>
      </c>
      <c r="CE238" s="3">
        <f>+IF(AVANCE[[#This Row],[PILASTREO]]=AR$2,100%,AVANCE[[#This Row],[PILASTREO]])</f>
        <v>0</v>
      </c>
      <c r="CF238" s="3">
        <f>+IF(AVANCE[[#This Row],[CELOSIAS]]=AS$2,100%,AVANCE[[#This Row],[CELOSIAS]])</f>
        <v>0</v>
      </c>
      <c r="CG238" s="3">
        <f>+IF(AVANCE[[#This Row],[VENTANAS]]=AT$2,100%,AVANCE[[#This Row],[VENTANAS]])</f>
        <v>0</v>
      </c>
      <c r="CH238" s="3">
        <f>+IF(AVANCE[[#This Row],[PUERTAS ACCESO - LOGIA - BANO]]=AU$2,100%,AVANCE[[#This Row],[PUERTAS ACCESO - LOGIA - BANO]])</f>
        <v>0</v>
      </c>
      <c r="CI238" s="3">
        <f>+IF(AVANCE[[#This Row],[CERRADURAS]]=AV$2,100%,AVANCE[[#This Row],[CERRADURAS]])</f>
        <v>0</v>
      </c>
      <c r="CJ238" s="3">
        <f>+IF(AVANCE[[#This Row],[REVESTIMIENTO INTERIOR ZONA SECA]]=AW$2,100%,AVANCE[[#This Row],[REVESTIMIENTO INTERIOR ZONA SECA]])</f>
        <v>0</v>
      </c>
      <c r="CK238" s="3">
        <f>+IF(AVANCE[[#This Row],[REVESTIMIENTO INTERIOR ZONAS HUMEDAS]]=AX$2,100%,AVANCE[[#This Row],[REVESTIMIENTO INTERIOR ZONAS HUMEDAS]])</f>
        <v>0</v>
      </c>
      <c r="CL238" s="3">
        <f>+IF(AVANCE[[#This Row],[MEMBRANA CIELO]]=AY$2,100%,AVANCE[[#This Row],[MEMBRANA CIELO]])</f>
        <v>0</v>
      </c>
      <c r="CM238" s="3">
        <f>+IF(AVANCE[[#This Row],[LIMPIEZA FINAL]]=AZ$2,100%,AVANCE[[#This Row],[LIMPIEZA FINAL]])</f>
        <v>0</v>
      </c>
      <c r="CN238" s="3">
        <f>+IF(AVANCE[[#This Row],[PUERTAS DORMITORIO]]=BA$2,100%,AVANCE[[#This Row],[PUERTAS DORMITORIO]])</f>
        <v>0</v>
      </c>
      <c r="CO238" s="3">
        <f>+IF(AVANCE[[#This Row],[REVESTIMIENTO INTERIOR BANO]]=BB$2,100%,AVANCE[[#This Row],[REVESTIMIENTO INTERIOR BANO]])</f>
        <v>0</v>
      </c>
      <c r="CP238" s="3">
        <f>+IF(AVANCE[[#This Row],[MUEBLE LAVAPLATOS]]=BC$2,100%,AVANCE[[#This Row],[MUEBLE LAVAPLATOS]])</f>
        <v>0</v>
      </c>
      <c r="CQ238" s="3">
        <f>+IF(AVANCE[[#This Row],[IMPERMEABILIZACION BANO - COCINA LOGIA]]=BD$2,100%,AVANCE[[#This Row],[IMPERMEABILIZACION BANO - COCINA LOGIA]])</f>
        <v>0</v>
      </c>
      <c r="CR238" s="40">
        <f ca="1">+IF(AVANCE[[#This Row],[ESTADO MODULO]]="PENDIENTE",(TODAY()-AVANCE[[#This Row],[FECHA TERMINO  PLANIFICADO]]),0)</f>
        <v>0</v>
      </c>
      <c r="CS238" s="42" t="str" cm="1">
        <f t="array" ref="CS238">_xlfn.TEXTJOIN(" | ",TRUE,IF(SUMPRODUCT((BF238:CQ238&lt;1)*(PARTIDAS!$I$2:$AT$2="OBRA GRUESA"))&gt;0,"OBRA GRUESA: "&amp;_xlfn.TEXTJOIN(", ",TRUE,IF((BF238:CQ238&lt;1)*(PARTIDAS!$I$2:$AT$2="OBRA GRUESA"),PARTIDAS!$I$1:$AT$1,"")),""),IF(SUMPRODUCT((BF238:CQ238&lt;1)*(PARTIDAS!$I$2:$AT$2="SANITARIOS"))&gt;0,"SANITARIOS: "&amp;_xlfn.TEXTJOIN(", ",TRUE,IF((BF238:CQ238&lt;1)*(PARTIDAS!$I$2:$AT$2="SANITARIOS"),PARTIDAS!$I$1:$AT$1,"")),""),IF(SUMPRODUCT((BF238:CQ238&lt;1)*(PARTIDAS!$I$2:$AT$2="ELÉCTRICO"))&gt;0,"ELÉCTRICO: "&amp;_xlfn.TEXTJOIN(", ",TRUE,IF((BF238:CQ238&lt;1)*(PARTIDAS!$I$2:$AT$2="ELÉCTRICO"),PARTIDAS!$I$1:$AT$1,"")),""),IF(SUMPRODUCT((BF238:CQ238&lt;1)*(PARTIDAS!$I$2:$AT$2="TERMINACIONES"))&gt;0,"TERMINACIONES: "&amp;_xlfn.TEXTJOIN(", ",TRUE,IF((BF238:CQ238&lt;1)*(PARTIDAS!$I$2:$AT$2="TERMINACIONES"),PARTIDAS!$I$1:$AT$1,"")),""))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8" s="45" t="str" cm="1">
        <f t="array" ref="CT238">_xlfn.TEXTJOIN(", ",TRUE,IF(SUMPRODUCT((BF238:CQ238&lt;1)*(PARTIDAS!$I$2:$AT$2="OBRA GRUESA"))&gt;0,"OBRA GRUESA",""),IF(SUMPRODUCT((BF238:CQ238&lt;1)*(PARTIDAS!$I$2:$AT$2="SANITARIOS"))&gt;0,"SANITARIOS",""),IF(SUMPRODUCT((BF238:CQ238&lt;1)*(PARTIDAS!$I$2:$AT$2="ELÉCTRICO"))&gt;0,"ELÉCTRICO",""),IF(SUMPRODUCT((BF238:CQ238&lt;1)*(PARTIDAS!$I$2:$AT$2="TERMINACIONES"))&gt;0,"TERMINACIONES",""))</f>
        <v>OBRA GRUESA, SANITARIOS, ELÉCTRICO, TERMINACIONES</v>
      </c>
      <c r="CU238" s="46" cm="1">
        <f t="array" ref="CU238">SUMPRODUCT(--(BF238:CQ238&lt;1))</f>
        <v>38</v>
      </c>
    </row>
    <row r="239" spans="1:99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46181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 t="str">
        <f>+IF(AVANCE[[#This Row],[% AVANCE]]=100%,"MODULO TERMINADO",IF(AVANCE[[#This Row],[FECHA INICIO REAL]]="","MODULO NO INICIADO","PENDIENTE"))</f>
        <v>MODULO NO INICIADO</v>
      </c>
      <c r="BF239" s="3">
        <f>+IF(AVANCE[[#This Row],[VENTANAS]]=8.10810810810811%,100%,AVANCE[[#This Row],[VENTANAS]])</f>
        <v>0</v>
      </c>
      <c r="BG239" s="3">
        <f>+IF(AVANCE[[#This Row],[PISO]]=N$2,100%,AVANCE[[#This Row],[PISO]])</f>
        <v>0</v>
      </c>
      <c r="BH239" s="3">
        <f>+IF(AVANCE[[#This Row],[TABIQUES]]=O$2,100%,AVANCE[[#This Row],[TABIQUES]])</f>
        <v>0</v>
      </c>
      <c r="BI239" s="3">
        <f>+IF(AVANCE[[#This Row],[MUROS]]=P$2,100%,AVANCE[[#This Row],[MUROS]])</f>
        <v>0</v>
      </c>
      <c r="BJ239" s="3">
        <f>+IF(AVANCE[[#This Row],[CIELO]]=Q$2,100%,AVANCE[[#This Row],[CIELO]])</f>
        <v>0</v>
      </c>
      <c r="BK239" s="3">
        <f>+IF(AVANCE[[#This Row],[BALCÓN]]=R$2,100%,AVANCE[[#This Row],[BALCÓN]])</f>
        <v>0</v>
      </c>
      <c r="BL239" s="3">
        <f>+IF(AVANCE[[#This Row],[RED ALCANTARILLADO]]=U$2,100%,AVANCE[[#This Row],[RED ALCANTARILLADO]])</f>
        <v>0</v>
      </c>
      <c r="BM239" s="3">
        <f>+IF(AVANCE[[#This Row],[RED DE AGUA]]=V$2,100%,AVANCE[[#This Row],[RED DE AGUA]])</f>
        <v>0</v>
      </c>
      <c r="BN239" s="3">
        <f>+IF(AVANCE[[#This Row],[VENTILACIONES]]=W$2,100%,AVANCE[[#This Row],[VENTILACIONES]])</f>
        <v>0</v>
      </c>
      <c r="BO239" s="3">
        <f>+IF(AVANCE[[#This Row],[TINA]]=X$2,100%,AVANCE[[#This Row],[TINA]])</f>
        <v>0</v>
      </c>
      <c r="BP239" s="3">
        <f>+IF(AVANCE[[#This Row],[WC]]=Y$2,100%,AVANCE[[#This Row],[WC]])</f>
        <v>0</v>
      </c>
      <c r="BQ239" s="3">
        <f>+IF(AVANCE[[#This Row],[LAVAMANOS / LAVAPLATOS / LAVADERO]]=Z$2,100%,AVANCE[[#This Row],[LAVAMANOS / LAVAPLATOS / LAVADERO]])</f>
        <v>0</v>
      </c>
      <c r="BR239" s="3">
        <f>+IF(AVANCE[[#This Row],[CANALIZACIÓN]]=AC$2,100%,AVANCE[[#This Row],[CANALIZACIÓN]])</f>
        <v>0</v>
      </c>
      <c r="BS239" s="3">
        <f>+IF(AVANCE[[#This Row],[CABLEADO]]=AD$2,100%,AVANCE[[#This Row],[CABLEADO]])</f>
        <v>0</v>
      </c>
      <c r="BT239" s="3">
        <f>+IF(AVANCE[[#This Row],[ARTEFACTOS]]=AE$2,100%,AVANCE[[#This Row],[ARTEFACTOS]])</f>
        <v>0</v>
      </c>
      <c r="BU239" s="3">
        <f>+IF(AVANCE[[#This Row],[TABLERO]]=AF$2,100%,AVANCE[[#This Row],[TABLERO]])</f>
        <v>0</v>
      </c>
      <c r="BV239" s="3">
        <f>+IF(AVANCE[[#This Row],[CAJA PAU]]=AG$2,100%,AVANCE[[#This Row],[CAJA PAU]])</f>
        <v>0</v>
      </c>
      <c r="BW239" s="3">
        <f>+IF(AVANCE[[#This Row],[INSTALACION VINILICO]]=AJ$2,100%,AVANCE[[#This Row],[INSTALACION VINILICO]])</f>
        <v>0</v>
      </c>
      <c r="BX239" s="3">
        <f>+IF(AVANCE[[#This Row],[OSB CUBIERTA]]=AK$2,100%,AVANCE[[#This Row],[OSB CUBIERTA]])</f>
        <v>0</v>
      </c>
      <c r="BY239" s="3">
        <f>+IF(AVANCE[[#This Row],[BARANDA BALCON]]=AL$2,100%,AVANCE[[#This Row],[BARANDA BALCON]])</f>
        <v>0</v>
      </c>
      <c r="BZ239" s="3">
        <f>+IF(AVANCE[[#This Row],[OSB EXTERIOR]]=AM$2,100%,AVANCE[[#This Row],[OSB EXTERIOR]])</f>
        <v>0</v>
      </c>
      <c r="CA239" s="3">
        <f>+IF(AVANCE[[#This Row],[SMART PANEL]]=AN$2,100%,AVANCE[[#This Row],[SMART PANEL]])</f>
        <v>0</v>
      </c>
      <c r="CB239" s="3">
        <f>+IF(AVANCE[[#This Row],[PINTURA EXTERIOR]]=AO$2,100%,AVANCE[[#This Row],[PINTURA EXTERIOR]])</f>
        <v>0</v>
      </c>
      <c r="CC239" s="3">
        <f>+IF(AVANCE[[#This Row],[ZOCALOS LOGIA]]=AP$2,100%,AVANCE[[#This Row],[ZOCALOS LOGIA]])</f>
        <v>0</v>
      </c>
      <c r="CD239" s="3">
        <f>+IF(AVANCE[[#This Row],[MOLDURAS]]=AQ$2,100%,AVANCE[[#This Row],[MOLDURAS]])</f>
        <v>0</v>
      </c>
      <c r="CE239" s="3">
        <f>+IF(AVANCE[[#This Row],[PILASTREO]]=AR$2,100%,AVANCE[[#This Row],[PILASTREO]])</f>
        <v>0</v>
      </c>
      <c r="CF239" s="3">
        <f>+IF(AVANCE[[#This Row],[CELOSIAS]]=AS$2,100%,AVANCE[[#This Row],[CELOSIAS]])</f>
        <v>0</v>
      </c>
      <c r="CG239" s="3">
        <f>+IF(AVANCE[[#This Row],[VENTANAS]]=AT$2,100%,AVANCE[[#This Row],[VENTANAS]])</f>
        <v>0</v>
      </c>
      <c r="CH239" s="3">
        <f>+IF(AVANCE[[#This Row],[PUERTAS ACCESO - LOGIA - BANO]]=AU$2,100%,AVANCE[[#This Row],[PUERTAS ACCESO - LOGIA - BANO]])</f>
        <v>0</v>
      </c>
      <c r="CI239" s="3">
        <f>+IF(AVANCE[[#This Row],[CERRADURAS]]=AV$2,100%,AVANCE[[#This Row],[CERRADURAS]])</f>
        <v>0</v>
      </c>
      <c r="CJ239" s="3">
        <f>+IF(AVANCE[[#This Row],[REVESTIMIENTO INTERIOR ZONA SECA]]=AW$2,100%,AVANCE[[#This Row],[REVESTIMIENTO INTERIOR ZONA SECA]])</f>
        <v>0</v>
      </c>
      <c r="CK239" s="3">
        <f>+IF(AVANCE[[#This Row],[REVESTIMIENTO INTERIOR ZONAS HUMEDAS]]=AX$2,100%,AVANCE[[#This Row],[REVESTIMIENTO INTERIOR ZONAS HUMEDAS]])</f>
        <v>0</v>
      </c>
      <c r="CL239" s="3">
        <f>+IF(AVANCE[[#This Row],[MEMBRANA CIELO]]=AY$2,100%,AVANCE[[#This Row],[MEMBRANA CIELO]])</f>
        <v>0</v>
      </c>
      <c r="CM239" s="3">
        <f>+IF(AVANCE[[#This Row],[LIMPIEZA FINAL]]=AZ$2,100%,AVANCE[[#This Row],[LIMPIEZA FINAL]])</f>
        <v>0</v>
      </c>
      <c r="CN239" s="3">
        <f>+IF(AVANCE[[#This Row],[PUERTAS DORMITORIO]]=BA$2,100%,AVANCE[[#This Row],[PUERTAS DORMITORIO]])</f>
        <v>0</v>
      </c>
      <c r="CO239" s="3">
        <f>+IF(AVANCE[[#This Row],[REVESTIMIENTO INTERIOR BANO]]=BB$2,100%,AVANCE[[#This Row],[REVESTIMIENTO INTERIOR BANO]])</f>
        <v>0</v>
      </c>
      <c r="CP239" s="3">
        <f>+IF(AVANCE[[#This Row],[MUEBLE LAVAPLATOS]]=BC$2,100%,AVANCE[[#This Row],[MUEBLE LAVAPLATOS]])</f>
        <v>0</v>
      </c>
      <c r="CQ239" s="3">
        <f>+IF(AVANCE[[#This Row],[IMPERMEABILIZACION BANO - COCINA LOGIA]]=BD$2,100%,AVANCE[[#This Row],[IMPERMEABILIZACION BANO - COCINA LOGIA]])</f>
        <v>0</v>
      </c>
      <c r="CR239" s="40">
        <f ca="1">+IF(AVANCE[[#This Row],[ESTADO MODULO]]="PENDIENTE",(TODAY()-AVANCE[[#This Row],[FECHA TERMINO  PLANIFICADO]]),0)</f>
        <v>0</v>
      </c>
      <c r="CS239" s="42" t="str" cm="1">
        <f t="array" ref="CS239">_xlfn.TEXTJOIN(" | ",TRUE,IF(SUMPRODUCT((BF239:CQ239&lt;1)*(PARTIDAS!$I$2:$AT$2="OBRA GRUESA"))&gt;0,"OBRA GRUESA: "&amp;_xlfn.TEXTJOIN(", ",TRUE,IF((BF239:CQ239&lt;1)*(PARTIDAS!$I$2:$AT$2="OBRA GRUESA"),PARTIDAS!$I$1:$AT$1,"")),""),IF(SUMPRODUCT((BF239:CQ239&lt;1)*(PARTIDAS!$I$2:$AT$2="SANITARIOS"))&gt;0,"SANITARIOS: "&amp;_xlfn.TEXTJOIN(", ",TRUE,IF((BF239:CQ239&lt;1)*(PARTIDAS!$I$2:$AT$2="SANITARIOS"),PARTIDAS!$I$1:$AT$1,"")),""),IF(SUMPRODUCT((BF239:CQ239&lt;1)*(PARTIDAS!$I$2:$AT$2="ELÉCTRICO"))&gt;0,"ELÉCTRICO: "&amp;_xlfn.TEXTJOIN(", ",TRUE,IF((BF239:CQ239&lt;1)*(PARTIDAS!$I$2:$AT$2="ELÉCTRICO"),PARTIDAS!$I$1:$AT$1,"")),""),IF(SUMPRODUCT((BF239:CQ239&lt;1)*(PARTIDAS!$I$2:$AT$2="TERMINACIONES"))&gt;0,"TERMINACIONES: "&amp;_xlfn.TEXTJOIN(", ",TRUE,IF((BF239:CQ239&lt;1)*(PARTIDAS!$I$2:$AT$2="TERMINACIONES"),PARTIDAS!$I$1:$AT$1,"")),""))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39" s="45" t="str" cm="1">
        <f t="array" ref="CT239">_xlfn.TEXTJOIN(", ",TRUE,IF(SUMPRODUCT((BF239:CQ239&lt;1)*(PARTIDAS!$I$2:$AT$2="OBRA GRUESA"))&gt;0,"OBRA GRUESA",""),IF(SUMPRODUCT((BF239:CQ239&lt;1)*(PARTIDAS!$I$2:$AT$2="SANITARIOS"))&gt;0,"SANITARIOS",""),IF(SUMPRODUCT((BF239:CQ239&lt;1)*(PARTIDAS!$I$2:$AT$2="ELÉCTRICO"))&gt;0,"ELÉCTRICO",""),IF(SUMPRODUCT((BF239:CQ239&lt;1)*(PARTIDAS!$I$2:$AT$2="TERMINACIONES"))&gt;0,"TERMINACIONES",""))</f>
        <v>OBRA GRUESA, SANITARIOS, ELÉCTRICO, TERMINACIONES</v>
      </c>
      <c r="CU239" s="46" cm="1">
        <f t="array" ref="CU239">SUMPRODUCT(--(BF239:CQ239&lt;1))</f>
        <v>38</v>
      </c>
    </row>
    <row r="240" spans="1:99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46181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 t="str">
        <f>+IF(AVANCE[[#This Row],[% AVANCE]]=100%,"MODULO TERMINADO",IF(AVANCE[[#This Row],[FECHA INICIO REAL]]="","MODULO NO INICIADO","PENDIENTE"))</f>
        <v>MODULO NO INICIADO</v>
      </c>
      <c r="BF240" s="3">
        <f>+IF(AVANCE[[#This Row],[VENTANAS]]=8.10810810810811%,100%,AVANCE[[#This Row],[VENTANAS]])</f>
        <v>0</v>
      </c>
      <c r="BG240" s="3">
        <f>+IF(AVANCE[[#This Row],[PISO]]=N$2,100%,AVANCE[[#This Row],[PISO]])</f>
        <v>0</v>
      </c>
      <c r="BH240" s="3">
        <f>+IF(AVANCE[[#This Row],[TABIQUES]]=O$2,100%,AVANCE[[#This Row],[TABIQUES]])</f>
        <v>0</v>
      </c>
      <c r="BI240" s="3">
        <f>+IF(AVANCE[[#This Row],[MUROS]]=P$2,100%,AVANCE[[#This Row],[MUROS]])</f>
        <v>0</v>
      </c>
      <c r="BJ240" s="3">
        <f>+IF(AVANCE[[#This Row],[CIELO]]=Q$2,100%,AVANCE[[#This Row],[CIELO]])</f>
        <v>0</v>
      </c>
      <c r="BK240" s="3">
        <f>+IF(AVANCE[[#This Row],[BALCÓN]]=R$2,100%,AVANCE[[#This Row],[BALCÓN]])</f>
        <v>0</v>
      </c>
      <c r="BL240" s="3">
        <f>+IF(AVANCE[[#This Row],[RED ALCANTARILLADO]]=U$2,100%,AVANCE[[#This Row],[RED ALCANTARILLADO]])</f>
        <v>0</v>
      </c>
      <c r="BM240" s="3">
        <f>+IF(AVANCE[[#This Row],[RED DE AGUA]]=V$2,100%,AVANCE[[#This Row],[RED DE AGUA]])</f>
        <v>0</v>
      </c>
      <c r="BN240" s="3">
        <f>+IF(AVANCE[[#This Row],[VENTILACIONES]]=W$2,100%,AVANCE[[#This Row],[VENTILACIONES]])</f>
        <v>0</v>
      </c>
      <c r="BO240" s="3">
        <f>+IF(AVANCE[[#This Row],[TINA]]=X$2,100%,AVANCE[[#This Row],[TINA]])</f>
        <v>0</v>
      </c>
      <c r="BP240" s="3">
        <f>+IF(AVANCE[[#This Row],[WC]]=Y$2,100%,AVANCE[[#This Row],[WC]])</f>
        <v>0</v>
      </c>
      <c r="BQ240" s="3">
        <f>+IF(AVANCE[[#This Row],[LAVAMANOS / LAVAPLATOS / LAVADERO]]=Z$2,100%,AVANCE[[#This Row],[LAVAMANOS / LAVAPLATOS / LAVADERO]])</f>
        <v>0</v>
      </c>
      <c r="BR240" s="3">
        <f>+IF(AVANCE[[#This Row],[CANALIZACIÓN]]=AC$2,100%,AVANCE[[#This Row],[CANALIZACIÓN]])</f>
        <v>0</v>
      </c>
      <c r="BS240" s="3">
        <f>+IF(AVANCE[[#This Row],[CABLEADO]]=AD$2,100%,AVANCE[[#This Row],[CABLEADO]])</f>
        <v>0</v>
      </c>
      <c r="BT240" s="3">
        <f>+IF(AVANCE[[#This Row],[ARTEFACTOS]]=AE$2,100%,AVANCE[[#This Row],[ARTEFACTOS]])</f>
        <v>0</v>
      </c>
      <c r="BU240" s="3">
        <f>+IF(AVANCE[[#This Row],[TABLERO]]=AF$2,100%,AVANCE[[#This Row],[TABLERO]])</f>
        <v>0</v>
      </c>
      <c r="BV240" s="3">
        <f>+IF(AVANCE[[#This Row],[CAJA PAU]]=AG$2,100%,AVANCE[[#This Row],[CAJA PAU]])</f>
        <v>0</v>
      </c>
      <c r="BW240" s="3">
        <f>+IF(AVANCE[[#This Row],[INSTALACION VINILICO]]=AJ$2,100%,AVANCE[[#This Row],[INSTALACION VINILICO]])</f>
        <v>0</v>
      </c>
      <c r="BX240" s="3">
        <f>+IF(AVANCE[[#This Row],[OSB CUBIERTA]]=AK$2,100%,AVANCE[[#This Row],[OSB CUBIERTA]])</f>
        <v>0</v>
      </c>
      <c r="BY240" s="3">
        <f>+IF(AVANCE[[#This Row],[BARANDA BALCON]]=AL$2,100%,AVANCE[[#This Row],[BARANDA BALCON]])</f>
        <v>0</v>
      </c>
      <c r="BZ240" s="3">
        <f>+IF(AVANCE[[#This Row],[OSB EXTERIOR]]=AM$2,100%,AVANCE[[#This Row],[OSB EXTERIOR]])</f>
        <v>0</v>
      </c>
      <c r="CA240" s="3">
        <f>+IF(AVANCE[[#This Row],[SMART PANEL]]=AN$2,100%,AVANCE[[#This Row],[SMART PANEL]])</f>
        <v>0</v>
      </c>
      <c r="CB240" s="3">
        <f>+IF(AVANCE[[#This Row],[PINTURA EXTERIOR]]=AO$2,100%,AVANCE[[#This Row],[PINTURA EXTERIOR]])</f>
        <v>0</v>
      </c>
      <c r="CC240" s="3">
        <f>+IF(AVANCE[[#This Row],[ZOCALOS LOGIA]]=AP$2,100%,AVANCE[[#This Row],[ZOCALOS LOGIA]])</f>
        <v>0</v>
      </c>
      <c r="CD240" s="3">
        <f>+IF(AVANCE[[#This Row],[MOLDURAS]]=AQ$2,100%,AVANCE[[#This Row],[MOLDURAS]])</f>
        <v>0</v>
      </c>
      <c r="CE240" s="3">
        <f>+IF(AVANCE[[#This Row],[PILASTREO]]=AR$2,100%,AVANCE[[#This Row],[PILASTREO]])</f>
        <v>0</v>
      </c>
      <c r="CF240" s="3">
        <f>+IF(AVANCE[[#This Row],[CELOSIAS]]=AS$2,100%,AVANCE[[#This Row],[CELOSIAS]])</f>
        <v>0</v>
      </c>
      <c r="CG240" s="3">
        <f>+IF(AVANCE[[#This Row],[VENTANAS]]=AT$2,100%,AVANCE[[#This Row],[VENTANAS]])</f>
        <v>0</v>
      </c>
      <c r="CH240" s="3">
        <f>+IF(AVANCE[[#This Row],[PUERTAS ACCESO - LOGIA - BANO]]=AU$2,100%,AVANCE[[#This Row],[PUERTAS ACCESO - LOGIA - BANO]])</f>
        <v>0</v>
      </c>
      <c r="CI240" s="3">
        <f>+IF(AVANCE[[#This Row],[CERRADURAS]]=AV$2,100%,AVANCE[[#This Row],[CERRADURAS]])</f>
        <v>0</v>
      </c>
      <c r="CJ240" s="3">
        <f>+IF(AVANCE[[#This Row],[REVESTIMIENTO INTERIOR ZONA SECA]]=AW$2,100%,AVANCE[[#This Row],[REVESTIMIENTO INTERIOR ZONA SECA]])</f>
        <v>0</v>
      </c>
      <c r="CK240" s="3">
        <f>+IF(AVANCE[[#This Row],[REVESTIMIENTO INTERIOR ZONAS HUMEDAS]]=AX$2,100%,AVANCE[[#This Row],[REVESTIMIENTO INTERIOR ZONAS HUMEDAS]])</f>
        <v>0</v>
      </c>
      <c r="CL240" s="3">
        <f>+IF(AVANCE[[#This Row],[MEMBRANA CIELO]]=AY$2,100%,AVANCE[[#This Row],[MEMBRANA CIELO]])</f>
        <v>0</v>
      </c>
      <c r="CM240" s="3">
        <f>+IF(AVANCE[[#This Row],[LIMPIEZA FINAL]]=AZ$2,100%,AVANCE[[#This Row],[LIMPIEZA FINAL]])</f>
        <v>0</v>
      </c>
      <c r="CN240" s="3">
        <f>+IF(AVANCE[[#This Row],[PUERTAS DORMITORIO]]=BA$2,100%,AVANCE[[#This Row],[PUERTAS DORMITORIO]])</f>
        <v>0</v>
      </c>
      <c r="CO240" s="3">
        <f>+IF(AVANCE[[#This Row],[REVESTIMIENTO INTERIOR BANO]]=BB$2,100%,AVANCE[[#This Row],[REVESTIMIENTO INTERIOR BANO]])</f>
        <v>0</v>
      </c>
      <c r="CP240" s="3">
        <f>+IF(AVANCE[[#This Row],[MUEBLE LAVAPLATOS]]=BC$2,100%,AVANCE[[#This Row],[MUEBLE LAVAPLATOS]])</f>
        <v>0</v>
      </c>
      <c r="CQ240" s="3">
        <f>+IF(AVANCE[[#This Row],[IMPERMEABILIZACION BANO - COCINA LOGIA]]=BD$2,100%,AVANCE[[#This Row],[IMPERMEABILIZACION BANO - COCINA LOGIA]])</f>
        <v>0</v>
      </c>
      <c r="CR240" s="40">
        <f ca="1">+IF(AVANCE[[#This Row],[ESTADO MODULO]]="PENDIENTE",(TODAY()-AVANCE[[#This Row],[FECHA TERMINO  PLANIFICADO]]),0)</f>
        <v>0</v>
      </c>
      <c r="CS240" s="42" t="str" cm="1">
        <f t="array" ref="CS240">_xlfn.TEXTJOIN(" | ",TRUE,IF(SUMPRODUCT((BF240:CQ240&lt;1)*(PARTIDAS!$I$2:$AT$2="OBRA GRUESA"))&gt;0,"OBRA GRUESA: "&amp;_xlfn.TEXTJOIN(", ",TRUE,IF((BF240:CQ240&lt;1)*(PARTIDAS!$I$2:$AT$2="OBRA GRUESA"),PARTIDAS!$I$1:$AT$1,"")),""),IF(SUMPRODUCT((BF240:CQ240&lt;1)*(PARTIDAS!$I$2:$AT$2="SANITARIOS"))&gt;0,"SANITARIOS: "&amp;_xlfn.TEXTJOIN(", ",TRUE,IF((BF240:CQ240&lt;1)*(PARTIDAS!$I$2:$AT$2="SANITARIOS"),PARTIDAS!$I$1:$AT$1,"")),""),IF(SUMPRODUCT((BF240:CQ240&lt;1)*(PARTIDAS!$I$2:$AT$2="ELÉCTRICO"))&gt;0,"ELÉCTRICO: "&amp;_xlfn.TEXTJOIN(", ",TRUE,IF((BF240:CQ240&lt;1)*(PARTIDAS!$I$2:$AT$2="ELÉCTRICO"),PARTIDAS!$I$1:$AT$1,"")),""),IF(SUMPRODUCT((BF240:CQ240&lt;1)*(PARTIDAS!$I$2:$AT$2="TERMINACIONES"))&gt;0,"TERMINACIONES: "&amp;_xlfn.TEXTJOIN(", ",TRUE,IF((BF240:CQ240&lt;1)*(PARTIDAS!$I$2:$AT$2="TERMINACIONES"),PARTIDAS!$I$1:$AT$1,"")),""))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0" s="45" t="str" cm="1">
        <f t="array" ref="CT240">_xlfn.TEXTJOIN(", ",TRUE,IF(SUMPRODUCT((BF240:CQ240&lt;1)*(PARTIDAS!$I$2:$AT$2="OBRA GRUESA"))&gt;0,"OBRA GRUESA",""),IF(SUMPRODUCT((BF240:CQ240&lt;1)*(PARTIDAS!$I$2:$AT$2="SANITARIOS"))&gt;0,"SANITARIOS",""),IF(SUMPRODUCT((BF240:CQ240&lt;1)*(PARTIDAS!$I$2:$AT$2="ELÉCTRICO"))&gt;0,"ELÉCTRICO",""),IF(SUMPRODUCT((BF240:CQ240&lt;1)*(PARTIDAS!$I$2:$AT$2="TERMINACIONES"))&gt;0,"TERMINACIONES",""))</f>
        <v>OBRA GRUESA, SANITARIOS, ELÉCTRICO, TERMINACIONES</v>
      </c>
      <c r="CU240" s="46" cm="1">
        <f t="array" ref="CU240">SUMPRODUCT(--(BF240:CQ240&lt;1))</f>
        <v>38</v>
      </c>
    </row>
    <row r="241" spans="1:99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46181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 t="str">
        <f>+IF(AVANCE[[#This Row],[% AVANCE]]=100%,"MODULO TERMINADO",IF(AVANCE[[#This Row],[FECHA INICIO REAL]]="","MODULO NO INICIADO","PENDIENTE"))</f>
        <v>MODULO NO INICIADO</v>
      </c>
      <c r="BF241" s="3">
        <f>+IF(AVANCE[[#This Row],[VENTANAS]]=8.10810810810811%,100%,AVANCE[[#This Row],[VENTANAS]])</f>
        <v>0</v>
      </c>
      <c r="BG241" s="3">
        <f>+IF(AVANCE[[#This Row],[PISO]]=N$2,100%,AVANCE[[#This Row],[PISO]])</f>
        <v>0</v>
      </c>
      <c r="BH241" s="3">
        <f>+IF(AVANCE[[#This Row],[TABIQUES]]=O$2,100%,AVANCE[[#This Row],[TABIQUES]])</f>
        <v>0</v>
      </c>
      <c r="BI241" s="3">
        <f>+IF(AVANCE[[#This Row],[MUROS]]=P$2,100%,AVANCE[[#This Row],[MUROS]])</f>
        <v>0</v>
      </c>
      <c r="BJ241" s="3">
        <f>+IF(AVANCE[[#This Row],[CIELO]]=Q$2,100%,AVANCE[[#This Row],[CIELO]])</f>
        <v>0</v>
      </c>
      <c r="BK241" s="3">
        <f>+IF(AVANCE[[#This Row],[BALCÓN]]=R$2,100%,AVANCE[[#This Row],[BALCÓN]])</f>
        <v>0</v>
      </c>
      <c r="BL241" s="3">
        <f>+IF(AVANCE[[#This Row],[RED ALCANTARILLADO]]=U$2,100%,AVANCE[[#This Row],[RED ALCANTARILLADO]])</f>
        <v>0</v>
      </c>
      <c r="BM241" s="3">
        <f>+IF(AVANCE[[#This Row],[RED DE AGUA]]=V$2,100%,AVANCE[[#This Row],[RED DE AGUA]])</f>
        <v>0</v>
      </c>
      <c r="BN241" s="3">
        <f>+IF(AVANCE[[#This Row],[VENTILACIONES]]=W$2,100%,AVANCE[[#This Row],[VENTILACIONES]])</f>
        <v>0</v>
      </c>
      <c r="BO241" s="3">
        <f>+IF(AVANCE[[#This Row],[TINA]]=X$2,100%,AVANCE[[#This Row],[TINA]])</f>
        <v>0</v>
      </c>
      <c r="BP241" s="3">
        <f>+IF(AVANCE[[#This Row],[WC]]=Y$2,100%,AVANCE[[#This Row],[WC]])</f>
        <v>0</v>
      </c>
      <c r="BQ241" s="3">
        <f>+IF(AVANCE[[#This Row],[LAVAMANOS / LAVAPLATOS / LAVADERO]]=Z$2,100%,AVANCE[[#This Row],[LAVAMANOS / LAVAPLATOS / LAVADERO]])</f>
        <v>0</v>
      </c>
      <c r="BR241" s="3">
        <f>+IF(AVANCE[[#This Row],[CANALIZACIÓN]]=AC$2,100%,AVANCE[[#This Row],[CANALIZACIÓN]])</f>
        <v>0</v>
      </c>
      <c r="BS241" s="3">
        <f>+IF(AVANCE[[#This Row],[CABLEADO]]=AD$2,100%,AVANCE[[#This Row],[CABLEADO]])</f>
        <v>0</v>
      </c>
      <c r="BT241" s="3">
        <f>+IF(AVANCE[[#This Row],[ARTEFACTOS]]=AE$2,100%,AVANCE[[#This Row],[ARTEFACTOS]])</f>
        <v>0</v>
      </c>
      <c r="BU241" s="3">
        <f>+IF(AVANCE[[#This Row],[TABLERO]]=AF$2,100%,AVANCE[[#This Row],[TABLERO]])</f>
        <v>0</v>
      </c>
      <c r="BV241" s="3">
        <f>+IF(AVANCE[[#This Row],[CAJA PAU]]=AG$2,100%,AVANCE[[#This Row],[CAJA PAU]])</f>
        <v>0</v>
      </c>
      <c r="BW241" s="3">
        <f>+IF(AVANCE[[#This Row],[INSTALACION VINILICO]]=AJ$2,100%,AVANCE[[#This Row],[INSTALACION VINILICO]])</f>
        <v>0</v>
      </c>
      <c r="BX241" s="3">
        <f>+IF(AVANCE[[#This Row],[OSB CUBIERTA]]=AK$2,100%,AVANCE[[#This Row],[OSB CUBIERTA]])</f>
        <v>0</v>
      </c>
      <c r="BY241" s="3">
        <f>+IF(AVANCE[[#This Row],[BARANDA BALCON]]=AL$2,100%,AVANCE[[#This Row],[BARANDA BALCON]])</f>
        <v>0</v>
      </c>
      <c r="BZ241" s="3">
        <f>+IF(AVANCE[[#This Row],[OSB EXTERIOR]]=AM$2,100%,AVANCE[[#This Row],[OSB EXTERIOR]])</f>
        <v>0</v>
      </c>
      <c r="CA241" s="3">
        <f>+IF(AVANCE[[#This Row],[SMART PANEL]]=AN$2,100%,AVANCE[[#This Row],[SMART PANEL]])</f>
        <v>0</v>
      </c>
      <c r="CB241" s="3">
        <f>+IF(AVANCE[[#This Row],[PINTURA EXTERIOR]]=AO$2,100%,AVANCE[[#This Row],[PINTURA EXTERIOR]])</f>
        <v>0</v>
      </c>
      <c r="CC241" s="3">
        <f>+IF(AVANCE[[#This Row],[ZOCALOS LOGIA]]=AP$2,100%,AVANCE[[#This Row],[ZOCALOS LOGIA]])</f>
        <v>0</v>
      </c>
      <c r="CD241" s="3">
        <f>+IF(AVANCE[[#This Row],[MOLDURAS]]=AQ$2,100%,AVANCE[[#This Row],[MOLDURAS]])</f>
        <v>0</v>
      </c>
      <c r="CE241" s="3">
        <f>+IF(AVANCE[[#This Row],[PILASTREO]]=AR$2,100%,AVANCE[[#This Row],[PILASTREO]])</f>
        <v>0</v>
      </c>
      <c r="CF241" s="3">
        <f>+IF(AVANCE[[#This Row],[CELOSIAS]]=AS$2,100%,AVANCE[[#This Row],[CELOSIAS]])</f>
        <v>0</v>
      </c>
      <c r="CG241" s="3">
        <f>+IF(AVANCE[[#This Row],[VENTANAS]]=AT$2,100%,AVANCE[[#This Row],[VENTANAS]])</f>
        <v>0</v>
      </c>
      <c r="CH241" s="3">
        <f>+IF(AVANCE[[#This Row],[PUERTAS ACCESO - LOGIA - BANO]]=AU$2,100%,AVANCE[[#This Row],[PUERTAS ACCESO - LOGIA - BANO]])</f>
        <v>0</v>
      </c>
      <c r="CI241" s="3">
        <f>+IF(AVANCE[[#This Row],[CERRADURAS]]=AV$2,100%,AVANCE[[#This Row],[CERRADURAS]])</f>
        <v>0</v>
      </c>
      <c r="CJ241" s="3">
        <f>+IF(AVANCE[[#This Row],[REVESTIMIENTO INTERIOR ZONA SECA]]=AW$2,100%,AVANCE[[#This Row],[REVESTIMIENTO INTERIOR ZONA SECA]])</f>
        <v>0</v>
      </c>
      <c r="CK241" s="3">
        <f>+IF(AVANCE[[#This Row],[REVESTIMIENTO INTERIOR ZONAS HUMEDAS]]=AX$2,100%,AVANCE[[#This Row],[REVESTIMIENTO INTERIOR ZONAS HUMEDAS]])</f>
        <v>0</v>
      </c>
      <c r="CL241" s="3">
        <f>+IF(AVANCE[[#This Row],[MEMBRANA CIELO]]=AY$2,100%,AVANCE[[#This Row],[MEMBRANA CIELO]])</f>
        <v>0</v>
      </c>
      <c r="CM241" s="3">
        <f>+IF(AVANCE[[#This Row],[LIMPIEZA FINAL]]=AZ$2,100%,AVANCE[[#This Row],[LIMPIEZA FINAL]])</f>
        <v>0</v>
      </c>
      <c r="CN241" s="3">
        <f>+IF(AVANCE[[#This Row],[PUERTAS DORMITORIO]]=BA$2,100%,AVANCE[[#This Row],[PUERTAS DORMITORIO]])</f>
        <v>0</v>
      </c>
      <c r="CO241" s="3">
        <f>+IF(AVANCE[[#This Row],[REVESTIMIENTO INTERIOR BANO]]=BB$2,100%,AVANCE[[#This Row],[REVESTIMIENTO INTERIOR BANO]])</f>
        <v>0</v>
      </c>
      <c r="CP241" s="3">
        <f>+IF(AVANCE[[#This Row],[MUEBLE LAVAPLATOS]]=BC$2,100%,AVANCE[[#This Row],[MUEBLE LAVAPLATOS]])</f>
        <v>0</v>
      </c>
      <c r="CQ241" s="3">
        <f>+IF(AVANCE[[#This Row],[IMPERMEABILIZACION BANO - COCINA LOGIA]]=BD$2,100%,AVANCE[[#This Row],[IMPERMEABILIZACION BANO - COCINA LOGIA]])</f>
        <v>0</v>
      </c>
      <c r="CR241" s="40">
        <f ca="1">+IF(AVANCE[[#This Row],[ESTADO MODULO]]="PENDIENTE",(TODAY()-AVANCE[[#This Row],[FECHA TERMINO  PLANIFICADO]]),0)</f>
        <v>0</v>
      </c>
      <c r="CS241" s="42" t="str" cm="1">
        <f t="array" ref="CS241">_xlfn.TEXTJOIN(" | ",TRUE,IF(SUMPRODUCT((BF241:CQ241&lt;1)*(PARTIDAS!$I$2:$AT$2="OBRA GRUESA"))&gt;0,"OBRA GRUESA: "&amp;_xlfn.TEXTJOIN(", ",TRUE,IF((BF241:CQ241&lt;1)*(PARTIDAS!$I$2:$AT$2="OBRA GRUESA"),PARTIDAS!$I$1:$AT$1,"")),""),IF(SUMPRODUCT((BF241:CQ241&lt;1)*(PARTIDAS!$I$2:$AT$2="SANITARIOS"))&gt;0,"SANITARIOS: "&amp;_xlfn.TEXTJOIN(", ",TRUE,IF((BF241:CQ241&lt;1)*(PARTIDAS!$I$2:$AT$2="SANITARIOS"),PARTIDAS!$I$1:$AT$1,"")),""),IF(SUMPRODUCT((BF241:CQ241&lt;1)*(PARTIDAS!$I$2:$AT$2="ELÉCTRICO"))&gt;0,"ELÉCTRICO: "&amp;_xlfn.TEXTJOIN(", ",TRUE,IF((BF241:CQ241&lt;1)*(PARTIDAS!$I$2:$AT$2="ELÉCTRICO"),PARTIDAS!$I$1:$AT$1,"")),""),IF(SUMPRODUCT((BF241:CQ241&lt;1)*(PARTIDAS!$I$2:$AT$2="TERMINACIONES"))&gt;0,"TERMINACIONES: "&amp;_xlfn.TEXTJOIN(", ",TRUE,IF((BF241:CQ241&lt;1)*(PARTIDAS!$I$2:$AT$2="TERMINACIONES"),PARTIDAS!$I$1:$AT$1,"")),""))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1" s="45" t="str" cm="1">
        <f t="array" ref="CT241">_xlfn.TEXTJOIN(", ",TRUE,IF(SUMPRODUCT((BF241:CQ241&lt;1)*(PARTIDAS!$I$2:$AT$2="OBRA GRUESA"))&gt;0,"OBRA GRUESA",""),IF(SUMPRODUCT((BF241:CQ241&lt;1)*(PARTIDAS!$I$2:$AT$2="SANITARIOS"))&gt;0,"SANITARIOS",""),IF(SUMPRODUCT((BF241:CQ241&lt;1)*(PARTIDAS!$I$2:$AT$2="ELÉCTRICO"))&gt;0,"ELÉCTRICO",""),IF(SUMPRODUCT((BF241:CQ241&lt;1)*(PARTIDAS!$I$2:$AT$2="TERMINACIONES"))&gt;0,"TERMINACIONES",""))</f>
        <v>OBRA GRUESA, SANITARIOS, ELÉCTRICO, TERMINACIONES</v>
      </c>
      <c r="CU241" s="46" cm="1">
        <f t="array" ref="CU241">SUMPRODUCT(--(BF241:CQ241&lt;1))</f>
        <v>38</v>
      </c>
    </row>
    <row r="242" spans="1:99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46181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 t="str">
        <f>+IF(AVANCE[[#This Row],[% AVANCE]]=100%,"MODULO TERMINADO",IF(AVANCE[[#This Row],[FECHA INICIO REAL]]="","MODULO NO INICIADO","PENDIENTE"))</f>
        <v>MODULO NO INICIADO</v>
      </c>
      <c r="BF242" s="3">
        <f>+IF(AVANCE[[#This Row],[VENTANAS]]=8.10810810810811%,100%,AVANCE[[#This Row],[VENTANAS]])</f>
        <v>0</v>
      </c>
      <c r="BG242" s="3">
        <f>+IF(AVANCE[[#This Row],[PISO]]=N$2,100%,AVANCE[[#This Row],[PISO]])</f>
        <v>0</v>
      </c>
      <c r="BH242" s="3">
        <f>+IF(AVANCE[[#This Row],[TABIQUES]]=O$2,100%,AVANCE[[#This Row],[TABIQUES]])</f>
        <v>0</v>
      </c>
      <c r="BI242" s="3">
        <f>+IF(AVANCE[[#This Row],[MUROS]]=P$2,100%,AVANCE[[#This Row],[MUROS]])</f>
        <v>0</v>
      </c>
      <c r="BJ242" s="3">
        <f>+IF(AVANCE[[#This Row],[CIELO]]=Q$2,100%,AVANCE[[#This Row],[CIELO]])</f>
        <v>0</v>
      </c>
      <c r="BK242" s="3">
        <f>+IF(AVANCE[[#This Row],[BALCÓN]]=R$2,100%,AVANCE[[#This Row],[BALCÓN]])</f>
        <v>0</v>
      </c>
      <c r="BL242" s="3">
        <f>+IF(AVANCE[[#This Row],[RED ALCANTARILLADO]]=U$2,100%,AVANCE[[#This Row],[RED ALCANTARILLADO]])</f>
        <v>0</v>
      </c>
      <c r="BM242" s="3">
        <f>+IF(AVANCE[[#This Row],[RED DE AGUA]]=V$2,100%,AVANCE[[#This Row],[RED DE AGUA]])</f>
        <v>0</v>
      </c>
      <c r="BN242" s="3">
        <f>+IF(AVANCE[[#This Row],[VENTILACIONES]]=W$2,100%,AVANCE[[#This Row],[VENTILACIONES]])</f>
        <v>0</v>
      </c>
      <c r="BO242" s="3">
        <f>+IF(AVANCE[[#This Row],[TINA]]=X$2,100%,AVANCE[[#This Row],[TINA]])</f>
        <v>0</v>
      </c>
      <c r="BP242" s="3">
        <f>+IF(AVANCE[[#This Row],[WC]]=Y$2,100%,AVANCE[[#This Row],[WC]])</f>
        <v>0</v>
      </c>
      <c r="BQ242" s="3">
        <f>+IF(AVANCE[[#This Row],[LAVAMANOS / LAVAPLATOS / LAVADERO]]=Z$2,100%,AVANCE[[#This Row],[LAVAMANOS / LAVAPLATOS / LAVADERO]])</f>
        <v>0</v>
      </c>
      <c r="BR242" s="3">
        <f>+IF(AVANCE[[#This Row],[CANALIZACIÓN]]=AC$2,100%,AVANCE[[#This Row],[CANALIZACIÓN]])</f>
        <v>0</v>
      </c>
      <c r="BS242" s="3">
        <f>+IF(AVANCE[[#This Row],[CABLEADO]]=AD$2,100%,AVANCE[[#This Row],[CABLEADO]])</f>
        <v>0</v>
      </c>
      <c r="BT242" s="3">
        <f>+IF(AVANCE[[#This Row],[ARTEFACTOS]]=AE$2,100%,AVANCE[[#This Row],[ARTEFACTOS]])</f>
        <v>0</v>
      </c>
      <c r="BU242" s="3">
        <f>+IF(AVANCE[[#This Row],[TABLERO]]=AF$2,100%,AVANCE[[#This Row],[TABLERO]])</f>
        <v>0</v>
      </c>
      <c r="BV242" s="3">
        <f>+IF(AVANCE[[#This Row],[CAJA PAU]]=AG$2,100%,AVANCE[[#This Row],[CAJA PAU]])</f>
        <v>0</v>
      </c>
      <c r="BW242" s="3">
        <f>+IF(AVANCE[[#This Row],[INSTALACION VINILICO]]=AJ$2,100%,AVANCE[[#This Row],[INSTALACION VINILICO]])</f>
        <v>0</v>
      </c>
      <c r="BX242" s="3">
        <f>+IF(AVANCE[[#This Row],[OSB CUBIERTA]]=AK$2,100%,AVANCE[[#This Row],[OSB CUBIERTA]])</f>
        <v>0</v>
      </c>
      <c r="BY242" s="3">
        <f>+IF(AVANCE[[#This Row],[BARANDA BALCON]]=AL$2,100%,AVANCE[[#This Row],[BARANDA BALCON]])</f>
        <v>0</v>
      </c>
      <c r="BZ242" s="3">
        <f>+IF(AVANCE[[#This Row],[OSB EXTERIOR]]=AM$2,100%,AVANCE[[#This Row],[OSB EXTERIOR]])</f>
        <v>0</v>
      </c>
      <c r="CA242" s="3">
        <f>+IF(AVANCE[[#This Row],[SMART PANEL]]=AN$2,100%,AVANCE[[#This Row],[SMART PANEL]])</f>
        <v>0</v>
      </c>
      <c r="CB242" s="3">
        <f>+IF(AVANCE[[#This Row],[PINTURA EXTERIOR]]=AO$2,100%,AVANCE[[#This Row],[PINTURA EXTERIOR]])</f>
        <v>0</v>
      </c>
      <c r="CC242" s="3">
        <f>+IF(AVANCE[[#This Row],[ZOCALOS LOGIA]]=AP$2,100%,AVANCE[[#This Row],[ZOCALOS LOGIA]])</f>
        <v>0</v>
      </c>
      <c r="CD242" s="3">
        <f>+IF(AVANCE[[#This Row],[MOLDURAS]]=AQ$2,100%,AVANCE[[#This Row],[MOLDURAS]])</f>
        <v>0</v>
      </c>
      <c r="CE242" s="3">
        <f>+IF(AVANCE[[#This Row],[PILASTREO]]=AR$2,100%,AVANCE[[#This Row],[PILASTREO]])</f>
        <v>0</v>
      </c>
      <c r="CF242" s="3">
        <f>+IF(AVANCE[[#This Row],[CELOSIAS]]=AS$2,100%,AVANCE[[#This Row],[CELOSIAS]])</f>
        <v>0</v>
      </c>
      <c r="CG242" s="3">
        <f>+IF(AVANCE[[#This Row],[VENTANAS]]=AT$2,100%,AVANCE[[#This Row],[VENTANAS]])</f>
        <v>0</v>
      </c>
      <c r="CH242" s="3">
        <f>+IF(AVANCE[[#This Row],[PUERTAS ACCESO - LOGIA - BANO]]=AU$2,100%,AVANCE[[#This Row],[PUERTAS ACCESO - LOGIA - BANO]])</f>
        <v>0</v>
      </c>
      <c r="CI242" s="3">
        <f>+IF(AVANCE[[#This Row],[CERRADURAS]]=AV$2,100%,AVANCE[[#This Row],[CERRADURAS]])</f>
        <v>0</v>
      </c>
      <c r="CJ242" s="3">
        <f>+IF(AVANCE[[#This Row],[REVESTIMIENTO INTERIOR ZONA SECA]]=AW$2,100%,AVANCE[[#This Row],[REVESTIMIENTO INTERIOR ZONA SECA]])</f>
        <v>0</v>
      </c>
      <c r="CK242" s="3">
        <f>+IF(AVANCE[[#This Row],[REVESTIMIENTO INTERIOR ZONAS HUMEDAS]]=AX$2,100%,AVANCE[[#This Row],[REVESTIMIENTO INTERIOR ZONAS HUMEDAS]])</f>
        <v>0</v>
      </c>
      <c r="CL242" s="3">
        <f>+IF(AVANCE[[#This Row],[MEMBRANA CIELO]]=AY$2,100%,AVANCE[[#This Row],[MEMBRANA CIELO]])</f>
        <v>0</v>
      </c>
      <c r="CM242" s="3">
        <f>+IF(AVANCE[[#This Row],[LIMPIEZA FINAL]]=AZ$2,100%,AVANCE[[#This Row],[LIMPIEZA FINAL]])</f>
        <v>0</v>
      </c>
      <c r="CN242" s="3">
        <f>+IF(AVANCE[[#This Row],[PUERTAS DORMITORIO]]=BA$2,100%,AVANCE[[#This Row],[PUERTAS DORMITORIO]])</f>
        <v>0</v>
      </c>
      <c r="CO242" s="3">
        <f>+IF(AVANCE[[#This Row],[REVESTIMIENTO INTERIOR BANO]]=BB$2,100%,AVANCE[[#This Row],[REVESTIMIENTO INTERIOR BANO]])</f>
        <v>0</v>
      </c>
      <c r="CP242" s="3">
        <f>+IF(AVANCE[[#This Row],[MUEBLE LAVAPLATOS]]=BC$2,100%,AVANCE[[#This Row],[MUEBLE LAVAPLATOS]])</f>
        <v>0</v>
      </c>
      <c r="CQ242" s="3">
        <f>+IF(AVANCE[[#This Row],[IMPERMEABILIZACION BANO - COCINA LOGIA]]=BD$2,100%,AVANCE[[#This Row],[IMPERMEABILIZACION BANO - COCINA LOGIA]])</f>
        <v>0</v>
      </c>
      <c r="CR242" s="40">
        <f ca="1">+IF(AVANCE[[#This Row],[ESTADO MODULO]]="PENDIENTE",(TODAY()-AVANCE[[#This Row],[FECHA TERMINO  PLANIFICADO]]),0)</f>
        <v>0</v>
      </c>
      <c r="CS242" s="42" t="str" cm="1">
        <f t="array" ref="CS242">_xlfn.TEXTJOIN(" | ",TRUE,IF(SUMPRODUCT((BF242:CQ242&lt;1)*(PARTIDAS!$I$2:$AT$2="OBRA GRUESA"))&gt;0,"OBRA GRUESA: "&amp;_xlfn.TEXTJOIN(", ",TRUE,IF((BF242:CQ242&lt;1)*(PARTIDAS!$I$2:$AT$2="OBRA GRUESA"),PARTIDAS!$I$1:$AT$1,"")),""),IF(SUMPRODUCT((BF242:CQ242&lt;1)*(PARTIDAS!$I$2:$AT$2="SANITARIOS"))&gt;0,"SANITARIOS: "&amp;_xlfn.TEXTJOIN(", ",TRUE,IF((BF242:CQ242&lt;1)*(PARTIDAS!$I$2:$AT$2="SANITARIOS"),PARTIDAS!$I$1:$AT$1,"")),""),IF(SUMPRODUCT((BF242:CQ242&lt;1)*(PARTIDAS!$I$2:$AT$2="ELÉCTRICO"))&gt;0,"ELÉCTRICO: "&amp;_xlfn.TEXTJOIN(", ",TRUE,IF((BF242:CQ242&lt;1)*(PARTIDAS!$I$2:$AT$2="ELÉCTRICO"),PARTIDAS!$I$1:$AT$1,"")),""),IF(SUMPRODUCT((BF242:CQ242&lt;1)*(PARTIDAS!$I$2:$AT$2="TERMINACIONES"))&gt;0,"TERMINACIONES: "&amp;_xlfn.TEXTJOIN(", ",TRUE,IF((BF242:CQ242&lt;1)*(PARTIDAS!$I$2:$AT$2="TERMINACIONES"),PARTIDAS!$I$1:$AT$1,"")),""))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2" s="45" t="str" cm="1">
        <f t="array" ref="CT242">_xlfn.TEXTJOIN(", ",TRUE,IF(SUMPRODUCT((BF242:CQ242&lt;1)*(PARTIDAS!$I$2:$AT$2="OBRA GRUESA"))&gt;0,"OBRA GRUESA",""),IF(SUMPRODUCT((BF242:CQ242&lt;1)*(PARTIDAS!$I$2:$AT$2="SANITARIOS"))&gt;0,"SANITARIOS",""),IF(SUMPRODUCT((BF242:CQ242&lt;1)*(PARTIDAS!$I$2:$AT$2="ELÉCTRICO"))&gt;0,"ELÉCTRICO",""),IF(SUMPRODUCT((BF242:CQ242&lt;1)*(PARTIDAS!$I$2:$AT$2="TERMINACIONES"))&gt;0,"TERMINACIONES",""))</f>
        <v>OBRA GRUESA, SANITARIOS, ELÉCTRICO, TERMINACIONES</v>
      </c>
      <c r="CU242" s="46" cm="1">
        <f t="array" ref="CU242">SUMPRODUCT(--(BF242:CQ242&lt;1))</f>
        <v>38</v>
      </c>
    </row>
    <row r="243" spans="1:99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46181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 t="str">
        <f>+IF(AVANCE[[#This Row],[% AVANCE]]=100%,"MODULO TERMINADO",IF(AVANCE[[#This Row],[FECHA INICIO REAL]]="","MODULO NO INICIADO","PENDIENTE"))</f>
        <v>MODULO NO INICIADO</v>
      </c>
      <c r="BF243" s="3">
        <f>+IF(AVANCE[[#This Row],[VENTANAS]]=8.10810810810811%,100%,AVANCE[[#This Row],[VENTANAS]])</f>
        <v>0</v>
      </c>
      <c r="BG243" s="3">
        <f>+IF(AVANCE[[#This Row],[PISO]]=N$2,100%,AVANCE[[#This Row],[PISO]])</f>
        <v>0</v>
      </c>
      <c r="BH243" s="3">
        <f>+IF(AVANCE[[#This Row],[TABIQUES]]=O$2,100%,AVANCE[[#This Row],[TABIQUES]])</f>
        <v>0</v>
      </c>
      <c r="BI243" s="3">
        <f>+IF(AVANCE[[#This Row],[MUROS]]=P$2,100%,AVANCE[[#This Row],[MUROS]])</f>
        <v>0</v>
      </c>
      <c r="BJ243" s="3">
        <f>+IF(AVANCE[[#This Row],[CIELO]]=Q$2,100%,AVANCE[[#This Row],[CIELO]])</f>
        <v>0</v>
      </c>
      <c r="BK243" s="3">
        <f>+IF(AVANCE[[#This Row],[BALCÓN]]=R$2,100%,AVANCE[[#This Row],[BALCÓN]])</f>
        <v>0</v>
      </c>
      <c r="BL243" s="3">
        <f>+IF(AVANCE[[#This Row],[RED ALCANTARILLADO]]=U$2,100%,AVANCE[[#This Row],[RED ALCANTARILLADO]])</f>
        <v>0</v>
      </c>
      <c r="BM243" s="3">
        <f>+IF(AVANCE[[#This Row],[RED DE AGUA]]=V$2,100%,AVANCE[[#This Row],[RED DE AGUA]])</f>
        <v>0</v>
      </c>
      <c r="BN243" s="3">
        <f>+IF(AVANCE[[#This Row],[VENTILACIONES]]=W$2,100%,AVANCE[[#This Row],[VENTILACIONES]])</f>
        <v>0</v>
      </c>
      <c r="BO243" s="3">
        <f>+IF(AVANCE[[#This Row],[TINA]]=X$2,100%,AVANCE[[#This Row],[TINA]])</f>
        <v>0</v>
      </c>
      <c r="BP243" s="3">
        <f>+IF(AVANCE[[#This Row],[WC]]=Y$2,100%,AVANCE[[#This Row],[WC]])</f>
        <v>0</v>
      </c>
      <c r="BQ243" s="3">
        <f>+IF(AVANCE[[#This Row],[LAVAMANOS / LAVAPLATOS / LAVADERO]]=Z$2,100%,AVANCE[[#This Row],[LAVAMANOS / LAVAPLATOS / LAVADERO]])</f>
        <v>0</v>
      </c>
      <c r="BR243" s="3">
        <f>+IF(AVANCE[[#This Row],[CANALIZACIÓN]]=AC$2,100%,AVANCE[[#This Row],[CANALIZACIÓN]])</f>
        <v>0</v>
      </c>
      <c r="BS243" s="3">
        <f>+IF(AVANCE[[#This Row],[CABLEADO]]=AD$2,100%,AVANCE[[#This Row],[CABLEADO]])</f>
        <v>0</v>
      </c>
      <c r="BT243" s="3">
        <f>+IF(AVANCE[[#This Row],[ARTEFACTOS]]=AE$2,100%,AVANCE[[#This Row],[ARTEFACTOS]])</f>
        <v>0</v>
      </c>
      <c r="BU243" s="3">
        <f>+IF(AVANCE[[#This Row],[TABLERO]]=AF$2,100%,AVANCE[[#This Row],[TABLERO]])</f>
        <v>0</v>
      </c>
      <c r="BV243" s="3">
        <f>+IF(AVANCE[[#This Row],[CAJA PAU]]=AG$2,100%,AVANCE[[#This Row],[CAJA PAU]])</f>
        <v>0</v>
      </c>
      <c r="BW243" s="3">
        <f>+IF(AVANCE[[#This Row],[INSTALACION VINILICO]]=AJ$2,100%,AVANCE[[#This Row],[INSTALACION VINILICO]])</f>
        <v>0</v>
      </c>
      <c r="BX243" s="3">
        <f>+IF(AVANCE[[#This Row],[OSB CUBIERTA]]=AK$2,100%,AVANCE[[#This Row],[OSB CUBIERTA]])</f>
        <v>0</v>
      </c>
      <c r="BY243" s="3">
        <f>+IF(AVANCE[[#This Row],[BARANDA BALCON]]=AL$2,100%,AVANCE[[#This Row],[BARANDA BALCON]])</f>
        <v>0</v>
      </c>
      <c r="BZ243" s="3">
        <f>+IF(AVANCE[[#This Row],[OSB EXTERIOR]]=AM$2,100%,AVANCE[[#This Row],[OSB EXTERIOR]])</f>
        <v>0</v>
      </c>
      <c r="CA243" s="3">
        <f>+IF(AVANCE[[#This Row],[SMART PANEL]]=AN$2,100%,AVANCE[[#This Row],[SMART PANEL]])</f>
        <v>0</v>
      </c>
      <c r="CB243" s="3">
        <f>+IF(AVANCE[[#This Row],[PINTURA EXTERIOR]]=AO$2,100%,AVANCE[[#This Row],[PINTURA EXTERIOR]])</f>
        <v>0</v>
      </c>
      <c r="CC243" s="3">
        <f>+IF(AVANCE[[#This Row],[ZOCALOS LOGIA]]=AP$2,100%,AVANCE[[#This Row],[ZOCALOS LOGIA]])</f>
        <v>0</v>
      </c>
      <c r="CD243" s="3">
        <f>+IF(AVANCE[[#This Row],[MOLDURAS]]=AQ$2,100%,AVANCE[[#This Row],[MOLDURAS]])</f>
        <v>0</v>
      </c>
      <c r="CE243" s="3">
        <f>+IF(AVANCE[[#This Row],[PILASTREO]]=AR$2,100%,AVANCE[[#This Row],[PILASTREO]])</f>
        <v>0</v>
      </c>
      <c r="CF243" s="3">
        <f>+IF(AVANCE[[#This Row],[CELOSIAS]]=AS$2,100%,AVANCE[[#This Row],[CELOSIAS]])</f>
        <v>0</v>
      </c>
      <c r="CG243" s="3">
        <f>+IF(AVANCE[[#This Row],[VENTANAS]]=AT$2,100%,AVANCE[[#This Row],[VENTANAS]])</f>
        <v>0</v>
      </c>
      <c r="CH243" s="3">
        <f>+IF(AVANCE[[#This Row],[PUERTAS ACCESO - LOGIA - BANO]]=AU$2,100%,AVANCE[[#This Row],[PUERTAS ACCESO - LOGIA - BANO]])</f>
        <v>0</v>
      </c>
      <c r="CI243" s="3">
        <f>+IF(AVANCE[[#This Row],[CERRADURAS]]=AV$2,100%,AVANCE[[#This Row],[CERRADURAS]])</f>
        <v>0</v>
      </c>
      <c r="CJ243" s="3">
        <f>+IF(AVANCE[[#This Row],[REVESTIMIENTO INTERIOR ZONA SECA]]=AW$2,100%,AVANCE[[#This Row],[REVESTIMIENTO INTERIOR ZONA SECA]])</f>
        <v>0</v>
      </c>
      <c r="CK243" s="3">
        <f>+IF(AVANCE[[#This Row],[REVESTIMIENTO INTERIOR ZONAS HUMEDAS]]=AX$2,100%,AVANCE[[#This Row],[REVESTIMIENTO INTERIOR ZONAS HUMEDAS]])</f>
        <v>0</v>
      </c>
      <c r="CL243" s="3">
        <f>+IF(AVANCE[[#This Row],[MEMBRANA CIELO]]=AY$2,100%,AVANCE[[#This Row],[MEMBRANA CIELO]])</f>
        <v>0</v>
      </c>
      <c r="CM243" s="3">
        <f>+IF(AVANCE[[#This Row],[LIMPIEZA FINAL]]=AZ$2,100%,AVANCE[[#This Row],[LIMPIEZA FINAL]])</f>
        <v>0</v>
      </c>
      <c r="CN243" s="3">
        <f>+IF(AVANCE[[#This Row],[PUERTAS DORMITORIO]]=BA$2,100%,AVANCE[[#This Row],[PUERTAS DORMITORIO]])</f>
        <v>0</v>
      </c>
      <c r="CO243" s="3">
        <f>+IF(AVANCE[[#This Row],[REVESTIMIENTO INTERIOR BANO]]=BB$2,100%,AVANCE[[#This Row],[REVESTIMIENTO INTERIOR BANO]])</f>
        <v>0</v>
      </c>
      <c r="CP243" s="3">
        <f>+IF(AVANCE[[#This Row],[MUEBLE LAVAPLATOS]]=BC$2,100%,AVANCE[[#This Row],[MUEBLE LAVAPLATOS]])</f>
        <v>0</v>
      </c>
      <c r="CQ243" s="3">
        <f>+IF(AVANCE[[#This Row],[IMPERMEABILIZACION BANO - COCINA LOGIA]]=BD$2,100%,AVANCE[[#This Row],[IMPERMEABILIZACION BANO - COCINA LOGIA]])</f>
        <v>0</v>
      </c>
      <c r="CR243" s="40">
        <f ca="1">+IF(AVANCE[[#This Row],[ESTADO MODULO]]="PENDIENTE",(TODAY()-AVANCE[[#This Row],[FECHA TERMINO  PLANIFICADO]]),0)</f>
        <v>0</v>
      </c>
      <c r="CS243" s="42" t="str" cm="1">
        <f t="array" ref="CS243">_xlfn.TEXTJOIN(" | ",TRUE,IF(SUMPRODUCT((BF243:CQ243&lt;1)*(PARTIDAS!$I$2:$AT$2="OBRA GRUESA"))&gt;0,"OBRA GRUESA: "&amp;_xlfn.TEXTJOIN(", ",TRUE,IF((BF243:CQ243&lt;1)*(PARTIDAS!$I$2:$AT$2="OBRA GRUESA"),PARTIDAS!$I$1:$AT$1,"")),""),IF(SUMPRODUCT((BF243:CQ243&lt;1)*(PARTIDAS!$I$2:$AT$2="SANITARIOS"))&gt;0,"SANITARIOS: "&amp;_xlfn.TEXTJOIN(", ",TRUE,IF((BF243:CQ243&lt;1)*(PARTIDAS!$I$2:$AT$2="SANITARIOS"),PARTIDAS!$I$1:$AT$1,"")),""),IF(SUMPRODUCT((BF243:CQ243&lt;1)*(PARTIDAS!$I$2:$AT$2="ELÉCTRICO"))&gt;0,"ELÉCTRICO: "&amp;_xlfn.TEXTJOIN(", ",TRUE,IF((BF243:CQ243&lt;1)*(PARTIDAS!$I$2:$AT$2="ELÉCTRICO"),PARTIDAS!$I$1:$AT$1,"")),""),IF(SUMPRODUCT((BF243:CQ243&lt;1)*(PARTIDAS!$I$2:$AT$2="TERMINACIONES"))&gt;0,"TERMINACIONES: "&amp;_xlfn.TEXTJOIN(", ",TRUE,IF((BF243:CQ243&lt;1)*(PARTIDAS!$I$2:$AT$2="TERMINACIONES"),PARTIDAS!$I$1:$AT$1,"")),""))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3" s="45" t="str" cm="1">
        <f t="array" ref="CT243">_xlfn.TEXTJOIN(", ",TRUE,IF(SUMPRODUCT((BF243:CQ243&lt;1)*(PARTIDAS!$I$2:$AT$2="OBRA GRUESA"))&gt;0,"OBRA GRUESA",""),IF(SUMPRODUCT((BF243:CQ243&lt;1)*(PARTIDAS!$I$2:$AT$2="SANITARIOS"))&gt;0,"SANITARIOS",""),IF(SUMPRODUCT((BF243:CQ243&lt;1)*(PARTIDAS!$I$2:$AT$2="ELÉCTRICO"))&gt;0,"ELÉCTRICO",""),IF(SUMPRODUCT((BF243:CQ243&lt;1)*(PARTIDAS!$I$2:$AT$2="TERMINACIONES"))&gt;0,"TERMINACIONES",""))</f>
        <v>OBRA GRUESA, SANITARIOS, ELÉCTRICO, TERMINACIONES</v>
      </c>
      <c r="CU243" s="46" cm="1">
        <f t="array" ref="CU243">SUMPRODUCT(--(BF243:CQ243&lt;1))</f>
        <v>38</v>
      </c>
    </row>
    <row r="244" spans="1:99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46181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 t="str">
        <f>+IF(AVANCE[[#This Row],[% AVANCE]]=100%,"MODULO TERMINADO",IF(AVANCE[[#This Row],[FECHA INICIO REAL]]="","MODULO NO INICIADO","PENDIENTE"))</f>
        <v>MODULO NO INICIADO</v>
      </c>
      <c r="BF244" s="3">
        <f>+IF(AVANCE[[#This Row],[VENTANAS]]=8.10810810810811%,100%,AVANCE[[#This Row],[VENTANAS]])</f>
        <v>0</v>
      </c>
      <c r="BG244" s="3">
        <f>+IF(AVANCE[[#This Row],[PISO]]=N$2,100%,AVANCE[[#This Row],[PISO]])</f>
        <v>0</v>
      </c>
      <c r="BH244" s="3">
        <f>+IF(AVANCE[[#This Row],[TABIQUES]]=O$2,100%,AVANCE[[#This Row],[TABIQUES]])</f>
        <v>0</v>
      </c>
      <c r="BI244" s="3">
        <f>+IF(AVANCE[[#This Row],[MUROS]]=P$2,100%,AVANCE[[#This Row],[MUROS]])</f>
        <v>0</v>
      </c>
      <c r="BJ244" s="3">
        <f>+IF(AVANCE[[#This Row],[CIELO]]=Q$2,100%,AVANCE[[#This Row],[CIELO]])</f>
        <v>0</v>
      </c>
      <c r="BK244" s="3">
        <f>+IF(AVANCE[[#This Row],[BALCÓN]]=R$2,100%,AVANCE[[#This Row],[BALCÓN]])</f>
        <v>0</v>
      </c>
      <c r="BL244" s="3">
        <f>+IF(AVANCE[[#This Row],[RED ALCANTARILLADO]]=U$2,100%,AVANCE[[#This Row],[RED ALCANTARILLADO]])</f>
        <v>0</v>
      </c>
      <c r="BM244" s="3">
        <f>+IF(AVANCE[[#This Row],[RED DE AGUA]]=V$2,100%,AVANCE[[#This Row],[RED DE AGUA]])</f>
        <v>0</v>
      </c>
      <c r="BN244" s="3">
        <f>+IF(AVANCE[[#This Row],[VENTILACIONES]]=W$2,100%,AVANCE[[#This Row],[VENTILACIONES]])</f>
        <v>0</v>
      </c>
      <c r="BO244" s="3">
        <f>+IF(AVANCE[[#This Row],[TINA]]=X$2,100%,AVANCE[[#This Row],[TINA]])</f>
        <v>0</v>
      </c>
      <c r="BP244" s="3">
        <f>+IF(AVANCE[[#This Row],[WC]]=Y$2,100%,AVANCE[[#This Row],[WC]])</f>
        <v>0</v>
      </c>
      <c r="BQ244" s="3">
        <f>+IF(AVANCE[[#This Row],[LAVAMANOS / LAVAPLATOS / LAVADERO]]=Z$2,100%,AVANCE[[#This Row],[LAVAMANOS / LAVAPLATOS / LAVADERO]])</f>
        <v>0</v>
      </c>
      <c r="BR244" s="3">
        <f>+IF(AVANCE[[#This Row],[CANALIZACIÓN]]=AC$2,100%,AVANCE[[#This Row],[CANALIZACIÓN]])</f>
        <v>0</v>
      </c>
      <c r="BS244" s="3">
        <f>+IF(AVANCE[[#This Row],[CABLEADO]]=AD$2,100%,AVANCE[[#This Row],[CABLEADO]])</f>
        <v>0</v>
      </c>
      <c r="BT244" s="3">
        <f>+IF(AVANCE[[#This Row],[ARTEFACTOS]]=AE$2,100%,AVANCE[[#This Row],[ARTEFACTOS]])</f>
        <v>0</v>
      </c>
      <c r="BU244" s="3">
        <f>+IF(AVANCE[[#This Row],[TABLERO]]=AF$2,100%,AVANCE[[#This Row],[TABLERO]])</f>
        <v>0</v>
      </c>
      <c r="BV244" s="3">
        <f>+IF(AVANCE[[#This Row],[CAJA PAU]]=AG$2,100%,AVANCE[[#This Row],[CAJA PAU]])</f>
        <v>0</v>
      </c>
      <c r="BW244" s="3">
        <f>+IF(AVANCE[[#This Row],[INSTALACION VINILICO]]=AJ$2,100%,AVANCE[[#This Row],[INSTALACION VINILICO]])</f>
        <v>0</v>
      </c>
      <c r="BX244" s="3">
        <f>+IF(AVANCE[[#This Row],[OSB CUBIERTA]]=AK$2,100%,AVANCE[[#This Row],[OSB CUBIERTA]])</f>
        <v>0</v>
      </c>
      <c r="BY244" s="3">
        <f>+IF(AVANCE[[#This Row],[BARANDA BALCON]]=AL$2,100%,AVANCE[[#This Row],[BARANDA BALCON]])</f>
        <v>0</v>
      </c>
      <c r="BZ244" s="3">
        <f>+IF(AVANCE[[#This Row],[OSB EXTERIOR]]=AM$2,100%,AVANCE[[#This Row],[OSB EXTERIOR]])</f>
        <v>0</v>
      </c>
      <c r="CA244" s="3">
        <f>+IF(AVANCE[[#This Row],[SMART PANEL]]=AN$2,100%,AVANCE[[#This Row],[SMART PANEL]])</f>
        <v>0</v>
      </c>
      <c r="CB244" s="3">
        <f>+IF(AVANCE[[#This Row],[PINTURA EXTERIOR]]=AO$2,100%,AVANCE[[#This Row],[PINTURA EXTERIOR]])</f>
        <v>0</v>
      </c>
      <c r="CC244" s="3">
        <f>+IF(AVANCE[[#This Row],[ZOCALOS LOGIA]]=AP$2,100%,AVANCE[[#This Row],[ZOCALOS LOGIA]])</f>
        <v>0</v>
      </c>
      <c r="CD244" s="3">
        <f>+IF(AVANCE[[#This Row],[MOLDURAS]]=AQ$2,100%,AVANCE[[#This Row],[MOLDURAS]])</f>
        <v>0</v>
      </c>
      <c r="CE244" s="3">
        <f>+IF(AVANCE[[#This Row],[PILASTREO]]=AR$2,100%,AVANCE[[#This Row],[PILASTREO]])</f>
        <v>0</v>
      </c>
      <c r="CF244" s="3">
        <f>+IF(AVANCE[[#This Row],[CELOSIAS]]=AS$2,100%,AVANCE[[#This Row],[CELOSIAS]])</f>
        <v>0</v>
      </c>
      <c r="CG244" s="3">
        <f>+IF(AVANCE[[#This Row],[VENTANAS]]=AT$2,100%,AVANCE[[#This Row],[VENTANAS]])</f>
        <v>0</v>
      </c>
      <c r="CH244" s="3">
        <f>+IF(AVANCE[[#This Row],[PUERTAS ACCESO - LOGIA - BANO]]=AU$2,100%,AVANCE[[#This Row],[PUERTAS ACCESO - LOGIA - BANO]])</f>
        <v>0</v>
      </c>
      <c r="CI244" s="3">
        <f>+IF(AVANCE[[#This Row],[CERRADURAS]]=AV$2,100%,AVANCE[[#This Row],[CERRADURAS]])</f>
        <v>0</v>
      </c>
      <c r="CJ244" s="3">
        <f>+IF(AVANCE[[#This Row],[REVESTIMIENTO INTERIOR ZONA SECA]]=AW$2,100%,AVANCE[[#This Row],[REVESTIMIENTO INTERIOR ZONA SECA]])</f>
        <v>0</v>
      </c>
      <c r="CK244" s="3">
        <f>+IF(AVANCE[[#This Row],[REVESTIMIENTO INTERIOR ZONAS HUMEDAS]]=AX$2,100%,AVANCE[[#This Row],[REVESTIMIENTO INTERIOR ZONAS HUMEDAS]])</f>
        <v>0</v>
      </c>
      <c r="CL244" s="3">
        <f>+IF(AVANCE[[#This Row],[MEMBRANA CIELO]]=AY$2,100%,AVANCE[[#This Row],[MEMBRANA CIELO]])</f>
        <v>0</v>
      </c>
      <c r="CM244" s="3">
        <f>+IF(AVANCE[[#This Row],[LIMPIEZA FINAL]]=AZ$2,100%,AVANCE[[#This Row],[LIMPIEZA FINAL]])</f>
        <v>0</v>
      </c>
      <c r="CN244" s="3">
        <f>+IF(AVANCE[[#This Row],[PUERTAS DORMITORIO]]=BA$2,100%,AVANCE[[#This Row],[PUERTAS DORMITORIO]])</f>
        <v>0</v>
      </c>
      <c r="CO244" s="3">
        <f>+IF(AVANCE[[#This Row],[REVESTIMIENTO INTERIOR BANO]]=BB$2,100%,AVANCE[[#This Row],[REVESTIMIENTO INTERIOR BANO]])</f>
        <v>0</v>
      </c>
      <c r="CP244" s="3">
        <f>+IF(AVANCE[[#This Row],[MUEBLE LAVAPLATOS]]=BC$2,100%,AVANCE[[#This Row],[MUEBLE LAVAPLATOS]])</f>
        <v>0</v>
      </c>
      <c r="CQ244" s="3">
        <f>+IF(AVANCE[[#This Row],[IMPERMEABILIZACION BANO - COCINA LOGIA]]=BD$2,100%,AVANCE[[#This Row],[IMPERMEABILIZACION BANO - COCINA LOGIA]])</f>
        <v>0</v>
      </c>
      <c r="CR244" s="40">
        <f ca="1">+IF(AVANCE[[#This Row],[ESTADO MODULO]]="PENDIENTE",(TODAY()-AVANCE[[#This Row],[FECHA TERMINO  PLANIFICADO]]),0)</f>
        <v>0</v>
      </c>
      <c r="CS244" s="42" t="str" cm="1">
        <f t="array" ref="CS244">_xlfn.TEXTJOIN(" | ",TRUE,IF(SUMPRODUCT((BF244:CQ244&lt;1)*(PARTIDAS!$I$2:$AT$2="OBRA GRUESA"))&gt;0,"OBRA GRUESA: "&amp;_xlfn.TEXTJOIN(", ",TRUE,IF((BF244:CQ244&lt;1)*(PARTIDAS!$I$2:$AT$2="OBRA GRUESA"),PARTIDAS!$I$1:$AT$1,"")),""),IF(SUMPRODUCT((BF244:CQ244&lt;1)*(PARTIDAS!$I$2:$AT$2="SANITARIOS"))&gt;0,"SANITARIOS: "&amp;_xlfn.TEXTJOIN(", ",TRUE,IF((BF244:CQ244&lt;1)*(PARTIDAS!$I$2:$AT$2="SANITARIOS"),PARTIDAS!$I$1:$AT$1,"")),""),IF(SUMPRODUCT((BF244:CQ244&lt;1)*(PARTIDAS!$I$2:$AT$2="ELÉCTRICO"))&gt;0,"ELÉCTRICO: "&amp;_xlfn.TEXTJOIN(", ",TRUE,IF((BF244:CQ244&lt;1)*(PARTIDAS!$I$2:$AT$2="ELÉCTRICO"),PARTIDAS!$I$1:$AT$1,"")),""),IF(SUMPRODUCT((BF244:CQ244&lt;1)*(PARTIDAS!$I$2:$AT$2="TERMINACIONES"))&gt;0,"TERMINACIONES: "&amp;_xlfn.TEXTJOIN(", ",TRUE,IF((BF244:CQ244&lt;1)*(PARTIDAS!$I$2:$AT$2="TERMINACIONES"),PARTIDAS!$I$1:$AT$1,"")),""))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4" s="45" t="str" cm="1">
        <f t="array" ref="CT244">_xlfn.TEXTJOIN(", ",TRUE,IF(SUMPRODUCT((BF244:CQ244&lt;1)*(PARTIDAS!$I$2:$AT$2="OBRA GRUESA"))&gt;0,"OBRA GRUESA",""),IF(SUMPRODUCT((BF244:CQ244&lt;1)*(PARTIDAS!$I$2:$AT$2="SANITARIOS"))&gt;0,"SANITARIOS",""),IF(SUMPRODUCT((BF244:CQ244&lt;1)*(PARTIDAS!$I$2:$AT$2="ELÉCTRICO"))&gt;0,"ELÉCTRICO",""),IF(SUMPRODUCT((BF244:CQ244&lt;1)*(PARTIDAS!$I$2:$AT$2="TERMINACIONES"))&gt;0,"TERMINACIONES",""))</f>
        <v>OBRA GRUESA, SANITARIOS, ELÉCTRICO, TERMINACIONES</v>
      </c>
      <c r="CU244" s="46" cm="1">
        <f t="array" ref="CU244">SUMPRODUCT(--(BF244:CQ244&lt;1))</f>
        <v>38</v>
      </c>
    </row>
    <row r="245" spans="1:99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46181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 t="str">
        <f>+IF(AVANCE[[#This Row],[% AVANCE]]=100%,"MODULO TERMINADO",IF(AVANCE[[#This Row],[FECHA INICIO REAL]]="","MODULO NO INICIADO","PENDIENTE"))</f>
        <v>MODULO NO INICIADO</v>
      </c>
      <c r="BF245" s="3">
        <f>+IF(AVANCE[[#This Row],[VENTANAS]]=8.10810810810811%,100%,AVANCE[[#This Row],[VENTANAS]])</f>
        <v>0</v>
      </c>
      <c r="BG245" s="3">
        <f>+IF(AVANCE[[#This Row],[PISO]]=N$2,100%,AVANCE[[#This Row],[PISO]])</f>
        <v>0</v>
      </c>
      <c r="BH245" s="3">
        <f>+IF(AVANCE[[#This Row],[TABIQUES]]=O$2,100%,AVANCE[[#This Row],[TABIQUES]])</f>
        <v>0</v>
      </c>
      <c r="BI245" s="3">
        <f>+IF(AVANCE[[#This Row],[MUROS]]=P$2,100%,AVANCE[[#This Row],[MUROS]])</f>
        <v>0</v>
      </c>
      <c r="BJ245" s="3">
        <f>+IF(AVANCE[[#This Row],[CIELO]]=Q$2,100%,AVANCE[[#This Row],[CIELO]])</f>
        <v>0</v>
      </c>
      <c r="BK245" s="3">
        <f>+IF(AVANCE[[#This Row],[BALCÓN]]=R$2,100%,AVANCE[[#This Row],[BALCÓN]])</f>
        <v>0</v>
      </c>
      <c r="BL245" s="3">
        <f>+IF(AVANCE[[#This Row],[RED ALCANTARILLADO]]=U$2,100%,AVANCE[[#This Row],[RED ALCANTARILLADO]])</f>
        <v>0</v>
      </c>
      <c r="BM245" s="3">
        <f>+IF(AVANCE[[#This Row],[RED DE AGUA]]=V$2,100%,AVANCE[[#This Row],[RED DE AGUA]])</f>
        <v>0</v>
      </c>
      <c r="BN245" s="3">
        <f>+IF(AVANCE[[#This Row],[VENTILACIONES]]=W$2,100%,AVANCE[[#This Row],[VENTILACIONES]])</f>
        <v>0</v>
      </c>
      <c r="BO245" s="3">
        <f>+IF(AVANCE[[#This Row],[TINA]]=X$2,100%,AVANCE[[#This Row],[TINA]])</f>
        <v>0</v>
      </c>
      <c r="BP245" s="3">
        <f>+IF(AVANCE[[#This Row],[WC]]=Y$2,100%,AVANCE[[#This Row],[WC]])</f>
        <v>0</v>
      </c>
      <c r="BQ245" s="3">
        <f>+IF(AVANCE[[#This Row],[LAVAMANOS / LAVAPLATOS / LAVADERO]]=Z$2,100%,AVANCE[[#This Row],[LAVAMANOS / LAVAPLATOS / LAVADERO]])</f>
        <v>0</v>
      </c>
      <c r="BR245" s="3">
        <f>+IF(AVANCE[[#This Row],[CANALIZACIÓN]]=AC$2,100%,AVANCE[[#This Row],[CANALIZACIÓN]])</f>
        <v>0</v>
      </c>
      <c r="BS245" s="3">
        <f>+IF(AVANCE[[#This Row],[CABLEADO]]=AD$2,100%,AVANCE[[#This Row],[CABLEADO]])</f>
        <v>0</v>
      </c>
      <c r="BT245" s="3">
        <f>+IF(AVANCE[[#This Row],[ARTEFACTOS]]=AE$2,100%,AVANCE[[#This Row],[ARTEFACTOS]])</f>
        <v>0</v>
      </c>
      <c r="BU245" s="3">
        <f>+IF(AVANCE[[#This Row],[TABLERO]]=AF$2,100%,AVANCE[[#This Row],[TABLERO]])</f>
        <v>0</v>
      </c>
      <c r="BV245" s="3">
        <f>+IF(AVANCE[[#This Row],[CAJA PAU]]=AG$2,100%,AVANCE[[#This Row],[CAJA PAU]])</f>
        <v>0</v>
      </c>
      <c r="BW245" s="3">
        <f>+IF(AVANCE[[#This Row],[INSTALACION VINILICO]]=AJ$2,100%,AVANCE[[#This Row],[INSTALACION VINILICO]])</f>
        <v>0</v>
      </c>
      <c r="BX245" s="3">
        <f>+IF(AVANCE[[#This Row],[OSB CUBIERTA]]=AK$2,100%,AVANCE[[#This Row],[OSB CUBIERTA]])</f>
        <v>0</v>
      </c>
      <c r="BY245" s="3">
        <f>+IF(AVANCE[[#This Row],[BARANDA BALCON]]=AL$2,100%,AVANCE[[#This Row],[BARANDA BALCON]])</f>
        <v>0</v>
      </c>
      <c r="BZ245" s="3">
        <f>+IF(AVANCE[[#This Row],[OSB EXTERIOR]]=AM$2,100%,AVANCE[[#This Row],[OSB EXTERIOR]])</f>
        <v>0</v>
      </c>
      <c r="CA245" s="3">
        <f>+IF(AVANCE[[#This Row],[SMART PANEL]]=AN$2,100%,AVANCE[[#This Row],[SMART PANEL]])</f>
        <v>0</v>
      </c>
      <c r="CB245" s="3">
        <f>+IF(AVANCE[[#This Row],[PINTURA EXTERIOR]]=AO$2,100%,AVANCE[[#This Row],[PINTURA EXTERIOR]])</f>
        <v>0</v>
      </c>
      <c r="CC245" s="3">
        <f>+IF(AVANCE[[#This Row],[ZOCALOS LOGIA]]=AP$2,100%,AVANCE[[#This Row],[ZOCALOS LOGIA]])</f>
        <v>0</v>
      </c>
      <c r="CD245" s="3">
        <f>+IF(AVANCE[[#This Row],[MOLDURAS]]=AQ$2,100%,AVANCE[[#This Row],[MOLDURAS]])</f>
        <v>0</v>
      </c>
      <c r="CE245" s="3">
        <f>+IF(AVANCE[[#This Row],[PILASTREO]]=AR$2,100%,AVANCE[[#This Row],[PILASTREO]])</f>
        <v>0</v>
      </c>
      <c r="CF245" s="3">
        <f>+IF(AVANCE[[#This Row],[CELOSIAS]]=AS$2,100%,AVANCE[[#This Row],[CELOSIAS]])</f>
        <v>0</v>
      </c>
      <c r="CG245" s="3">
        <f>+IF(AVANCE[[#This Row],[VENTANAS]]=AT$2,100%,AVANCE[[#This Row],[VENTANAS]])</f>
        <v>0</v>
      </c>
      <c r="CH245" s="3">
        <f>+IF(AVANCE[[#This Row],[PUERTAS ACCESO - LOGIA - BANO]]=AU$2,100%,AVANCE[[#This Row],[PUERTAS ACCESO - LOGIA - BANO]])</f>
        <v>0</v>
      </c>
      <c r="CI245" s="3">
        <f>+IF(AVANCE[[#This Row],[CERRADURAS]]=AV$2,100%,AVANCE[[#This Row],[CERRADURAS]])</f>
        <v>0</v>
      </c>
      <c r="CJ245" s="3">
        <f>+IF(AVANCE[[#This Row],[REVESTIMIENTO INTERIOR ZONA SECA]]=AW$2,100%,AVANCE[[#This Row],[REVESTIMIENTO INTERIOR ZONA SECA]])</f>
        <v>0</v>
      </c>
      <c r="CK245" s="3">
        <f>+IF(AVANCE[[#This Row],[REVESTIMIENTO INTERIOR ZONAS HUMEDAS]]=AX$2,100%,AVANCE[[#This Row],[REVESTIMIENTO INTERIOR ZONAS HUMEDAS]])</f>
        <v>0</v>
      </c>
      <c r="CL245" s="3">
        <f>+IF(AVANCE[[#This Row],[MEMBRANA CIELO]]=AY$2,100%,AVANCE[[#This Row],[MEMBRANA CIELO]])</f>
        <v>0</v>
      </c>
      <c r="CM245" s="3">
        <f>+IF(AVANCE[[#This Row],[LIMPIEZA FINAL]]=AZ$2,100%,AVANCE[[#This Row],[LIMPIEZA FINAL]])</f>
        <v>0</v>
      </c>
      <c r="CN245" s="3">
        <f>+IF(AVANCE[[#This Row],[PUERTAS DORMITORIO]]=BA$2,100%,AVANCE[[#This Row],[PUERTAS DORMITORIO]])</f>
        <v>0</v>
      </c>
      <c r="CO245" s="3">
        <f>+IF(AVANCE[[#This Row],[REVESTIMIENTO INTERIOR BANO]]=BB$2,100%,AVANCE[[#This Row],[REVESTIMIENTO INTERIOR BANO]])</f>
        <v>0</v>
      </c>
      <c r="CP245" s="3">
        <f>+IF(AVANCE[[#This Row],[MUEBLE LAVAPLATOS]]=BC$2,100%,AVANCE[[#This Row],[MUEBLE LAVAPLATOS]])</f>
        <v>0</v>
      </c>
      <c r="CQ245" s="3">
        <f>+IF(AVANCE[[#This Row],[IMPERMEABILIZACION BANO - COCINA LOGIA]]=BD$2,100%,AVANCE[[#This Row],[IMPERMEABILIZACION BANO - COCINA LOGIA]])</f>
        <v>0</v>
      </c>
      <c r="CR245" s="40">
        <f ca="1">+IF(AVANCE[[#This Row],[ESTADO MODULO]]="PENDIENTE",(TODAY()-AVANCE[[#This Row],[FECHA TERMINO  PLANIFICADO]]),0)</f>
        <v>0</v>
      </c>
      <c r="CS245" s="42" t="str" cm="1">
        <f t="array" ref="CS245">_xlfn.TEXTJOIN(" | ",TRUE,IF(SUMPRODUCT((BF245:CQ245&lt;1)*(PARTIDAS!$I$2:$AT$2="OBRA GRUESA"))&gt;0,"OBRA GRUESA: "&amp;_xlfn.TEXTJOIN(", ",TRUE,IF((BF245:CQ245&lt;1)*(PARTIDAS!$I$2:$AT$2="OBRA GRUESA"),PARTIDAS!$I$1:$AT$1,"")),""),IF(SUMPRODUCT((BF245:CQ245&lt;1)*(PARTIDAS!$I$2:$AT$2="SANITARIOS"))&gt;0,"SANITARIOS: "&amp;_xlfn.TEXTJOIN(", ",TRUE,IF((BF245:CQ245&lt;1)*(PARTIDAS!$I$2:$AT$2="SANITARIOS"),PARTIDAS!$I$1:$AT$1,"")),""),IF(SUMPRODUCT((BF245:CQ245&lt;1)*(PARTIDAS!$I$2:$AT$2="ELÉCTRICO"))&gt;0,"ELÉCTRICO: "&amp;_xlfn.TEXTJOIN(", ",TRUE,IF((BF245:CQ245&lt;1)*(PARTIDAS!$I$2:$AT$2="ELÉCTRICO"),PARTIDAS!$I$1:$AT$1,"")),""),IF(SUMPRODUCT((BF245:CQ245&lt;1)*(PARTIDAS!$I$2:$AT$2="TERMINACIONES"))&gt;0,"TERMINACIONES: "&amp;_xlfn.TEXTJOIN(", ",TRUE,IF((BF245:CQ245&lt;1)*(PARTIDAS!$I$2:$AT$2="TERMINACIONES"),PARTIDAS!$I$1:$AT$1,"")),""))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5" s="45" t="str" cm="1">
        <f t="array" ref="CT245">_xlfn.TEXTJOIN(", ",TRUE,IF(SUMPRODUCT((BF245:CQ245&lt;1)*(PARTIDAS!$I$2:$AT$2="OBRA GRUESA"))&gt;0,"OBRA GRUESA",""),IF(SUMPRODUCT((BF245:CQ245&lt;1)*(PARTIDAS!$I$2:$AT$2="SANITARIOS"))&gt;0,"SANITARIOS",""),IF(SUMPRODUCT((BF245:CQ245&lt;1)*(PARTIDAS!$I$2:$AT$2="ELÉCTRICO"))&gt;0,"ELÉCTRICO",""),IF(SUMPRODUCT((BF245:CQ245&lt;1)*(PARTIDAS!$I$2:$AT$2="TERMINACIONES"))&gt;0,"TERMINACIONES",""))</f>
        <v>OBRA GRUESA, SANITARIOS, ELÉCTRICO, TERMINACIONES</v>
      </c>
      <c r="CU245" s="46" cm="1">
        <f t="array" ref="CU245">SUMPRODUCT(--(BF245:CQ245&lt;1))</f>
        <v>38</v>
      </c>
    </row>
    <row r="246" spans="1:99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46181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 t="str">
        <f>+IF(AVANCE[[#This Row],[% AVANCE]]=100%,"MODULO TERMINADO",IF(AVANCE[[#This Row],[FECHA INICIO REAL]]="","MODULO NO INICIADO","PENDIENTE"))</f>
        <v>MODULO NO INICIADO</v>
      </c>
      <c r="BF246" s="3">
        <f>+IF(AVANCE[[#This Row],[VENTANAS]]=8.10810810810811%,100%,AVANCE[[#This Row],[VENTANAS]])</f>
        <v>0</v>
      </c>
      <c r="BG246" s="3">
        <f>+IF(AVANCE[[#This Row],[PISO]]=N$2,100%,AVANCE[[#This Row],[PISO]])</f>
        <v>0</v>
      </c>
      <c r="BH246" s="3">
        <f>+IF(AVANCE[[#This Row],[TABIQUES]]=O$2,100%,AVANCE[[#This Row],[TABIQUES]])</f>
        <v>0</v>
      </c>
      <c r="BI246" s="3">
        <f>+IF(AVANCE[[#This Row],[MUROS]]=P$2,100%,AVANCE[[#This Row],[MUROS]])</f>
        <v>0</v>
      </c>
      <c r="BJ246" s="3">
        <f>+IF(AVANCE[[#This Row],[CIELO]]=Q$2,100%,AVANCE[[#This Row],[CIELO]])</f>
        <v>0</v>
      </c>
      <c r="BK246" s="3">
        <f>+IF(AVANCE[[#This Row],[BALCÓN]]=R$2,100%,AVANCE[[#This Row],[BALCÓN]])</f>
        <v>0</v>
      </c>
      <c r="BL246" s="3">
        <f>+IF(AVANCE[[#This Row],[RED ALCANTARILLADO]]=U$2,100%,AVANCE[[#This Row],[RED ALCANTARILLADO]])</f>
        <v>0</v>
      </c>
      <c r="BM246" s="3">
        <f>+IF(AVANCE[[#This Row],[RED DE AGUA]]=V$2,100%,AVANCE[[#This Row],[RED DE AGUA]])</f>
        <v>0</v>
      </c>
      <c r="BN246" s="3">
        <f>+IF(AVANCE[[#This Row],[VENTILACIONES]]=W$2,100%,AVANCE[[#This Row],[VENTILACIONES]])</f>
        <v>0</v>
      </c>
      <c r="BO246" s="3">
        <f>+IF(AVANCE[[#This Row],[TINA]]=X$2,100%,AVANCE[[#This Row],[TINA]])</f>
        <v>0</v>
      </c>
      <c r="BP246" s="3">
        <f>+IF(AVANCE[[#This Row],[WC]]=Y$2,100%,AVANCE[[#This Row],[WC]])</f>
        <v>0</v>
      </c>
      <c r="BQ246" s="3">
        <f>+IF(AVANCE[[#This Row],[LAVAMANOS / LAVAPLATOS / LAVADERO]]=Z$2,100%,AVANCE[[#This Row],[LAVAMANOS / LAVAPLATOS / LAVADERO]])</f>
        <v>0</v>
      </c>
      <c r="BR246" s="3">
        <f>+IF(AVANCE[[#This Row],[CANALIZACIÓN]]=AC$2,100%,AVANCE[[#This Row],[CANALIZACIÓN]])</f>
        <v>0</v>
      </c>
      <c r="BS246" s="3">
        <f>+IF(AVANCE[[#This Row],[CABLEADO]]=AD$2,100%,AVANCE[[#This Row],[CABLEADO]])</f>
        <v>0</v>
      </c>
      <c r="BT246" s="3">
        <f>+IF(AVANCE[[#This Row],[ARTEFACTOS]]=AE$2,100%,AVANCE[[#This Row],[ARTEFACTOS]])</f>
        <v>0</v>
      </c>
      <c r="BU246" s="3">
        <f>+IF(AVANCE[[#This Row],[TABLERO]]=AF$2,100%,AVANCE[[#This Row],[TABLERO]])</f>
        <v>0</v>
      </c>
      <c r="BV246" s="3">
        <f>+IF(AVANCE[[#This Row],[CAJA PAU]]=AG$2,100%,AVANCE[[#This Row],[CAJA PAU]])</f>
        <v>0</v>
      </c>
      <c r="BW246" s="3">
        <f>+IF(AVANCE[[#This Row],[INSTALACION VINILICO]]=AJ$2,100%,AVANCE[[#This Row],[INSTALACION VINILICO]])</f>
        <v>0</v>
      </c>
      <c r="BX246" s="3">
        <f>+IF(AVANCE[[#This Row],[OSB CUBIERTA]]=AK$2,100%,AVANCE[[#This Row],[OSB CUBIERTA]])</f>
        <v>0</v>
      </c>
      <c r="BY246" s="3">
        <f>+IF(AVANCE[[#This Row],[BARANDA BALCON]]=AL$2,100%,AVANCE[[#This Row],[BARANDA BALCON]])</f>
        <v>0</v>
      </c>
      <c r="BZ246" s="3">
        <f>+IF(AVANCE[[#This Row],[OSB EXTERIOR]]=AM$2,100%,AVANCE[[#This Row],[OSB EXTERIOR]])</f>
        <v>0</v>
      </c>
      <c r="CA246" s="3">
        <f>+IF(AVANCE[[#This Row],[SMART PANEL]]=AN$2,100%,AVANCE[[#This Row],[SMART PANEL]])</f>
        <v>0</v>
      </c>
      <c r="CB246" s="3">
        <f>+IF(AVANCE[[#This Row],[PINTURA EXTERIOR]]=AO$2,100%,AVANCE[[#This Row],[PINTURA EXTERIOR]])</f>
        <v>0</v>
      </c>
      <c r="CC246" s="3">
        <f>+IF(AVANCE[[#This Row],[ZOCALOS LOGIA]]=AP$2,100%,AVANCE[[#This Row],[ZOCALOS LOGIA]])</f>
        <v>0</v>
      </c>
      <c r="CD246" s="3">
        <f>+IF(AVANCE[[#This Row],[MOLDURAS]]=AQ$2,100%,AVANCE[[#This Row],[MOLDURAS]])</f>
        <v>0</v>
      </c>
      <c r="CE246" s="3">
        <f>+IF(AVANCE[[#This Row],[PILASTREO]]=AR$2,100%,AVANCE[[#This Row],[PILASTREO]])</f>
        <v>0</v>
      </c>
      <c r="CF246" s="3">
        <f>+IF(AVANCE[[#This Row],[CELOSIAS]]=AS$2,100%,AVANCE[[#This Row],[CELOSIAS]])</f>
        <v>0</v>
      </c>
      <c r="CG246" s="3">
        <f>+IF(AVANCE[[#This Row],[VENTANAS]]=AT$2,100%,AVANCE[[#This Row],[VENTANAS]])</f>
        <v>0</v>
      </c>
      <c r="CH246" s="3">
        <f>+IF(AVANCE[[#This Row],[PUERTAS ACCESO - LOGIA - BANO]]=AU$2,100%,AVANCE[[#This Row],[PUERTAS ACCESO - LOGIA - BANO]])</f>
        <v>0</v>
      </c>
      <c r="CI246" s="3">
        <f>+IF(AVANCE[[#This Row],[CERRADURAS]]=AV$2,100%,AVANCE[[#This Row],[CERRADURAS]])</f>
        <v>0</v>
      </c>
      <c r="CJ246" s="3">
        <f>+IF(AVANCE[[#This Row],[REVESTIMIENTO INTERIOR ZONA SECA]]=AW$2,100%,AVANCE[[#This Row],[REVESTIMIENTO INTERIOR ZONA SECA]])</f>
        <v>0</v>
      </c>
      <c r="CK246" s="3">
        <f>+IF(AVANCE[[#This Row],[REVESTIMIENTO INTERIOR ZONAS HUMEDAS]]=AX$2,100%,AVANCE[[#This Row],[REVESTIMIENTO INTERIOR ZONAS HUMEDAS]])</f>
        <v>0</v>
      </c>
      <c r="CL246" s="3">
        <f>+IF(AVANCE[[#This Row],[MEMBRANA CIELO]]=AY$2,100%,AVANCE[[#This Row],[MEMBRANA CIELO]])</f>
        <v>0</v>
      </c>
      <c r="CM246" s="3">
        <f>+IF(AVANCE[[#This Row],[LIMPIEZA FINAL]]=AZ$2,100%,AVANCE[[#This Row],[LIMPIEZA FINAL]])</f>
        <v>0</v>
      </c>
      <c r="CN246" s="3">
        <f>+IF(AVANCE[[#This Row],[PUERTAS DORMITORIO]]=BA$2,100%,AVANCE[[#This Row],[PUERTAS DORMITORIO]])</f>
        <v>0</v>
      </c>
      <c r="CO246" s="3">
        <f>+IF(AVANCE[[#This Row],[REVESTIMIENTO INTERIOR BANO]]=BB$2,100%,AVANCE[[#This Row],[REVESTIMIENTO INTERIOR BANO]])</f>
        <v>0</v>
      </c>
      <c r="CP246" s="3">
        <f>+IF(AVANCE[[#This Row],[MUEBLE LAVAPLATOS]]=BC$2,100%,AVANCE[[#This Row],[MUEBLE LAVAPLATOS]])</f>
        <v>0</v>
      </c>
      <c r="CQ246" s="3">
        <f>+IF(AVANCE[[#This Row],[IMPERMEABILIZACION BANO - COCINA LOGIA]]=BD$2,100%,AVANCE[[#This Row],[IMPERMEABILIZACION BANO - COCINA LOGIA]])</f>
        <v>0</v>
      </c>
      <c r="CR246" s="40">
        <f ca="1">+IF(AVANCE[[#This Row],[ESTADO MODULO]]="PENDIENTE",(TODAY()-AVANCE[[#This Row],[FECHA TERMINO  PLANIFICADO]]),0)</f>
        <v>0</v>
      </c>
      <c r="CS246" s="42" t="str" cm="1">
        <f t="array" ref="CS246">_xlfn.TEXTJOIN(" | ",TRUE,IF(SUMPRODUCT((BF246:CQ246&lt;1)*(PARTIDAS!$I$2:$AT$2="OBRA GRUESA"))&gt;0,"OBRA GRUESA: "&amp;_xlfn.TEXTJOIN(", ",TRUE,IF((BF246:CQ246&lt;1)*(PARTIDAS!$I$2:$AT$2="OBRA GRUESA"),PARTIDAS!$I$1:$AT$1,"")),""),IF(SUMPRODUCT((BF246:CQ246&lt;1)*(PARTIDAS!$I$2:$AT$2="SANITARIOS"))&gt;0,"SANITARIOS: "&amp;_xlfn.TEXTJOIN(", ",TRUE,IF((BF246:CQ246&lt;1)*(PARTIDAS!$I$2:$AT$2="SANITARIOS"),PARTIDAS!$I$1:$AT$1,"")),""),IF(SUMPRODUCT((BF246:CQ246&lt;1)*(PARTIDAS!$I$2:$AT$2="ELÉCTRICO"))&gt;0,"ELÉCTRICO: "&amp;_xlfn.TEXTJOIN(", ",TRUE,IF((BF246:CQ246&lt;1)*(PARTIDAS!$I$2:$AT$2="ELÉCTRICO"),PARTIDAS!$I$1:$AT$1,"")),""),IF(SUMPRODUCT((BF246:CQ246&lt;1)*(PARTIDAS!$I$2:$AT$2="TERMINACIONES"))&gt;0,"TERMINACIONES: "&amp;_xlfn.TEXTJOIN(", ",TRUE,IF((BF246:CQ246&lt;1)*(PARTIDAS!$I$2:$AT$2="TERMINACIONES"),PARTIDAS!$I$1:$AT$1,"")),""))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6" s="45" t="str" cm="1">
        <f t="array" ref="CT246">_xlfn.TEXTJOIN(", ",TRUE,IF(SUMPRODUCT((BF246:CQ246&lt;1)*(PARTIDAS!$I$2:$AT$2="OBRA GRUESA"))&gt;0,"OBRA GRUESA",""),IF(SUMPRODUCT((BF246:CQ246&lt;1)*(PARTIDAS!$I$2:$AT$2="SANITARIOS"))&gt;0,"SANITARIOS",""),IF(SUMPRODUCT((BF246:CQ246&lt;1)*(PARTIDAS!$I$2:$AT$2="ELÉCTRICO"))&gt;0,"ELÉCTRICO",""),IF(SUMPRODUCT((BF246:CQ246&lt;1)*(PARTIDAS!$I$2:$AT$2="TERMINACIONES"))&gt;0,"TERMINACIONES",""))</f>
        <v>OBRA GRUESA, SANITARIOS, ELÉCTRICO, TERMINACIONES</v>
      </c>
      <c r="CU246" s="46" cm="1">
        <f t="array" ref="CU246">SUMPRODUCT(--(BF246:CQ246&lt;1))</f>
        <v>38</v>
      </c>
    </row>
    <row r="247" spans="1:99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46181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 t="str">
        <f>+IF(AVANCE[[#This Row],[% AVANCE]]=100%,"MODULO TERMINADO",IF(AVANCE[[#This Row],[FECHA INICIO REAL]]="","MODULO NO INICIADO","PENDIENTE"))</f>
        <v>MODULO NO INICIADO</v>
      </c>
      <c r="BF247" s="3">
        <f>+IF(AVANCE[[#This Row],[VENTANAS]]=8.10810810810811%,100%,AVANCE[[#This Row],[VENTANAS]])</f>
        <v>0</v>
      </c>
      <c r="BG247" s="3">
        <f>+IF(AVANCE[[#This Row],[PISO]]=N$2,100%,AVANCE[[#This Row],[PISO]])</f>
        <v>0</v>
      </c>
      <c r="BH247" s="3">
        <f>+IF(AVANCE[[#This Row],[TABIQUES]]=O$2,100%,AVANCE[[#This Row],[TABIQUES]])</f>
        <v>0</v>
      </c>
      <c r="BI247" s="3">
        <f>+IF(AVANCE[[#This Row],[MUROS]]=P$2,100%,AVANCE[[#This Row],[MUROS]])</f>
        <v>0</v>
      </c>
      <c r="BJ247" s="3">
        <f>+IF(AVANCE[[#This Row],[CIELO]]=Q$2,100%,AVANCE[[#This Row],[CIELO]])</f>
        <v>0</v>
      </c>
      <c r="BK247" s="3">
        <f>+IF(AVANCE[[#This Row],[BALCÓN]]=R$2,100%,AVANCE[[#This Row],[BALCÓN]])</f>
        <v>0</v>
      </c>
      <c r="BL247" s="3">
        <f>+IF(AVANCE[[#This Row],[RED ALCANTARILLADO]]=U$2,100%,AVANCE[[#This Row],[RED ALCANTARILLADO]])</f>
        <v>0</v>
      </c>
      <c r="BM247" s="3">
        <f>+IF(AVANCE[[#This Row],[RED DE AGUA]]=V$2,100%,AVANCE[[#This Row],[RED DE AGUA]])</f>
        <v>0</v>
      </c>
      <c r="BN247" s="3">
        <f>+IF(AVANCE[[#This Row],[VENTILACIONES]]=W$2,100%,AVANCE[[#This Row],[VENTILACIONES]])</f>
        <v>0</v>
      </c>
      <c r="BO247" s="3">
        <f>+IF(AVANCE[[#This Row],[TINA]]=X$2,100%,AVANCE[[#This Row],[TINA]])</f>
        <v>0</v>
      </c>
      <c r="BP247" s="3">
        <f>+IF(AVANCE[[#This Row],[WC]]=Y$2,100%,AVANCE[[#This Row],[WC]])</f>
        <v>0</v>
      </c>
      <c r="BQ247" s="3">
        <f>+IF(AVANCE[[#This Row],[LAVAMANOS / LAVAPLATOS / LAVADERO]]=Z$2,100%,AVANCE[[#This Row],[LAVAMANOS / LAVAPLATOS / LAVADERO]])</f>
        <v>0</v>
      </c>
      <c r="BR247" s="3">
        <f>+IF(AVANCE[[#This Row],[CANALIZACIÓN]]=AC$2,100%,AVANCE[[#This Row],[CANALIZACIÓN]])</f>
        <v>0</v>
      </c>
      <c r="BS247" s="3">
        <f>+IF(AVANCE[[#This Row],[CABLEADO]]=AD$2,100%,AVANCE[[#This Row],[CABLEADO]])</f>
        <v>0</v>
      </c>
      <c r="BT247" s="3">
        <f>+IF(AVANCE[[#This Row],[ARTEFACTOS]]=AE$2,100%,AVANCE[[#This Row],[ARTEFACTOS]])</f>
        <v>0</v>
      </c>
      <c r="BU247" s="3">
        <f>+IF(AVANCE[[#This Row],[TABLERO]]=AF$2,100%,AVANCE[[#This Row],[TABLERO]])</f>
        <v>0</v>
      </c>
      <c r="BV247" s="3">
        <f>+IF(AVANCE[[#This Row],[CAJA PAU]]=AG$2,100%,AVANCE[[#This Row],[CAJA PAU]])</f>
        <v>0</v>
      </c>
      <c r="BW247" s="3">
        <f>+IF(AVANCE[[#This Row],[INSTALACION VINILICO]]=AJ$2,100%,AVANCE[[#This Row],[INSTALACION VINILICO]])</f>
        <v>0</v>
      </c>
      <c r="BX247" s="3">
        <f>+IF(AVANCE[[#This Row],[OSB CUBIERTA]]=AK$2,100%,AVANCE[[#This Row],[OSB CUBIERTA]])</f>
        <v>0</v>
      </c>
      <c r="BY247" s="3">
        <f>+IF(AVANCE[[#This Row],[BARANDA BALCON]]=AL$2,100%,AVANCE[[#This Row],[BARANDA BALCON]])</f>
        <v>0</v>
      </c>
      <c r="BZ247" s="3">
        <f>+IF(AVANCE[[#This Row],[OSB EXTERIOR]]=AM$2,100%,AVANCE[[#This Row],[OSB EXTERIOR]])</f>
        <v>0</v>
      </c>
      <c r="CA247" s="3">
        <f>+IF(AVANCE[[#This Row],[SMART PANEL]]=AN$2,100%,AVANCE[[#This Row],[SMART PANEL]])</f>
        <v>0</v>
      </c>
      <c r="CB247" s="3">
        <f>+IF(AVANCE[[#This Row],[PINTURA EXTERIOR]]=AO$2,100%,AVANCE[[#This Row],[PINTURA EXTERIOR]])</f>
        <v>0</v>
      </c>
      <c r="CC247" s="3">
        <f>+IF(AVANCE[[#This Row],[ZOCALOS LOGIA]]=AP$2,100%,AVANCE[[#This Row],[ZOCALOS LOGIA]])</f>
        <v>0</v>
      </c>
      <c r="CD247" s="3">
        <f>+IF(AVANCE[[#This Row],[MOLDURAS]]=AQ$2,100%,AVANCE[[#This Row],[MOLDURAS]])</f>
        <v>0</v>
      </c>
      <c r="CE247" s="3">
        <f>+IF(AVANCE[[#This Row],[PILASTREO]]=AR$2,100%,AVANCE[[#This Row],[PILASTREO]])</f>
        <v>0</v>
      </c>
      <c r="CF247" s="3">
        <f>+IF(AVANCE[[#This Row],[CELOSIAS]]=AS$2,100%,AVANCE[[#This Row],[CELOSIAS]])</f>
        <v>0</v>
      </c>
      <c r="CG247" s="3">
        <f>+IF(AVANCE[[#This Row],[VENTANAS]]=AT$2,100%,AVANCE[[#This Row],[VENTANAS]])</f>
        <v>0</v>
      </c>
      <c r="CH247" s="3">
        <f>+IF(AVANCE[[#This Row],[PUERTAS ACCESO - LOGIA - BANO]]=AU$2,100%,AVANCE[[#This Row],[PUERTAS ACCESO - LOGIA - BANO]])</f>
        <v>0</v>
      </c>
      <c r="CI247" s="3">
        <f>+IF(AVANCE[[#This Row],[CERRADURAS]]=AV$2,100%,AVANCE[[#This Row],[CERRADURAS]])</f>
        <v>0</v>
      </c>
      <c r="CJ247" s="3">
        <f>+IF(AVANCE[[#This Row],[REVESTIMIENTO INTERIOR ZONA SECA]]=AW$2,100%,AVANCE[[#This Row],[REVESTIMIENTO INTERIOR ZONA SECA]])</f>
        <v>0</v>
      </c>
      <c r="CK247" s="3">
        <f>+IF(AVANCE[[#This Row],[REVESTIMIENTO INTERIOR ZONAS HUMEDAS]]=AX$2,100%,AVANCE[[#This Row],[REVESTIMIENTO INTERIOR ZONAS HUMEDAS]])</f>
        <v>0</v>
      </c>
      <c r="CL247" s="3">
        <f>+IF(AVANCE[[#This Row],[MEMBRANA CIELO]]=AY$2,100%,AVANCE[[#This Row],[MEMBRANA CIELO]])</f>
        <v>0</v>
      </c>
      <c r="CM247" s="3">
        <f>+IF(AVANCE[[#This Row],[LIMPIEZA FINAL]]=AZ$2,100%,AVANCE[[#This Row],[LIMPIEZA FINAL]])</f>
        <v>0</v>
      </c>
      <c r="CN247" s="3">
        <f>+IF(AVANCE[[#This Row],[PUERTAS DORMITORIO]]=BA$2,100%,AVANCE[[#This Row],[PUERTAS DORMITORIO]])</f>
        <v>0</v>
      </c>
      <c r="CO247" s="3">
        <f>+IF(AVANCE[[#This Row],[REVESTIMIENTO INTERIOR BANO]]=BB$2,100%,AVANCE[[#This Row],[REVESTIMIENTO INTERIOR BANO]])</f>
        <v>0</v>
      </c>
      <c r="CP247" s="3">
        <f>+IF(AVANCE[[#This Row],[MUEBLE LAVAPLATOS]]=BC$2,100%,AVANCE[[#This Row],[MUEBLE LAVAPLATOS]])</f>
        <v>0</v>
      </c>
      <c r="CQ247" s="3">
        <f>+IF(AVANCE[[#This Row],[IMPERMEABILIZACION BANO - COCINA LOGIA]]=BD$2,100%,AVANCE[[#This Row],[IMPERMEABILIZACION BANO - COCINA LOGIA]])</f>
        <v>0</v>
      </c>
      <c r="CR247" s="40">
        <f ca="1">+IF(AVANCE[[#This Row],[ESTADO MODULO]]="PENDIENTE",(TODAY()-AVANCE[[#This Row],[FECHA TERMINO  PLANIFICADO]]),0)</f>
        <v>0</v>
      </c>
      <c r="CS247" s="42" t="str" cm="1">
        <f t="array" ref="CS247">_xlfn.TEXTJOIN(" | ",TRUE,IF(SUMPRODUCT((BF247:CQ247&lt;1)*(PARTIDAS!$I$2:$AT$2="OBRA GRUESA"))&gt;0,"OBRA GRUESA: "&amp;_xlfn.TEXTJOIN(", ",TRUE,IF((BF247:CQ247&lt;1)*(PARTIDAS!$I$2:$AT$2="OBRA GRUESA"),PARTIDAS!$I$1:$AT$1,"")),""),IF(SUMPRODUCT((BF247:CQ247&lt;1)*(PARTIDAS!$I$2:$AT$2="SANITARIOS"))&gt;0,"SANITARIOS: "&amp;_xlfn.TEXTJOIN(", ",TRUE,IF((BF247:CQ247&lt;1)*(PARTIDAS!$I$2:$AT$2="SANITARIOS"),PARTIDAS!$I$1:$AT$1,"")),""),IF(SUMPRODUCT((BF247:CQ247&lt;1)*(PARTIDAS!$I$2:$AT$2="ELÉCTRICO"))&gt;0,"ELÉCTRICO: "&amp;_xlfn.TEXTJOIN(", ",TRUE,IF((BF247:CQ247&lt;1)*(PARTIDAS!$I$2:$AT$2="ELÉCTRICO"),PARTIDAS!$I$1:$AT$1,"")),""),IF(SUMPRODUCT((BF247:CQ247&lt;1)*(PARTIDAS!$I$2:$AT$2="TERMINACIONES"))&gt;0,"TERMINACIONES: "&amp;_xlfn.TEXTJOIN(", ",TRUE,IF((BF247:CQ247&lt;1)*(PARTIDAS!$I$2:$AT$2="TERMINACIONES"),PARTIDAS!$I$1:$AT$1,"")),""))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7" s="45" t="str" cm="1">
        <f t="array" ref="CT247">_xlfn.TEXTJOIN(", ",TRUE,IF(SUMPRODUCT((BF247:CQ247&lt;1)*(PARTIDAS!$I$2:$AT$2="OBRA GRUESA"))&gt;0,"OBRA GRUESA",""),IF(SUMPRODUCT((BF247:CQ247&lt;1)*(PARTIDAS!$I$2:$AT$2="SANITARIOS"))&gt;0,"SANITARIOS",""),IF(SUMPRODUCT((BF247:CQ247&lt;1)*(PARTIDAS!$I$2:$AT$2="ELÉCTRICO"))&gt;0,"ELÉCTRICO",""),IF(SUMPRODUCT((BF247:CQ247&lt;1)*(PARTIDAS!$I$2:$AT$2="TERMINACIONES"))&gt;0,"TERMINACIONES",""))</f>
        <v>OBRA GRUESA, SANITARIOS, ELÉCTRICO, TERMINACIONES</v>
      </c>
      <c r="CU247" s="46" cm="1">
        <f t="array" ref="CU247">SUMPRODUCT(--(BF247:CQ247&lt;1))</f>
        <v>38</v>
      </c>
    </row>
    <row r="248" spans="1:99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46181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 t="str">
        <f>+IF(AVANCE[[#This Row],[% AVANCE]]=100%,"MODULO TERMINADO",IF(AVANCE[[#This Row],[FECHA INICIO REAL]]="","MODULO NO INICIADO","PENDIENTE"))</f>
        <v>MODULO NO INICIADO</v>
      </c>
      <c r="BF248" s="3">
        <f>+IF(AVANCE[[#This Row],[VENTANAS]]=8.10810810810811%,100%,AVANCE[[#This Row],[VENTANAS]])</f>
        <v>0</v>
      </c>
      <c r="BG248" s="3">
        <f>+IF(AVANCE[[#This Row],[PISO]]=N$2,100%,AVANCE[[#This Row],[PISO]])</f>
        <v>0</v>
      </c>
      <c r="BH248" s="3">
        <f>+IF(AVANCE[[#This Row],[TABIQUES]]=O$2,100%,AVANCE[[#This Row],[TABIQUES]])</f>
        <v>0</v>
      </c>
      <c r="BI248" s="3">
        <f>+IF(AVANCE[[#This Row],[MUROS]]=P$2,100%,AVANCE[[#This Row],[MUROS]])</f>
        <v>0</v>
      </c>
      <c r="BJ248" s="3">
        <f>+IF(AVANCE[[#This Row],[CIELO]]=Q$2,100%,AVANCE[[#This Row],[CIELO]])</f>
        <v>0</v>
      </c>
      <c r="BK248" s="3">
        <f>+IF(AVANCE[[#This Row],[BALCÓN]]=R$2,100%,AVANCE[[#This Row],[BALCÓN]])</f>
        <v>0</v>
      </c>
      <c r="BL248" s="3">
        <f>+IF(AVANCE[[#This Row],[RED ALCANTARILLADO]]=U$2,100%,AVANCE[[#This Row],[RED ALCANTARILLADO]])</f>
        <v>0</v>
      </c>
      <c r="BM248" s="3">
        <f>+IF(AVANCE[[#This Row],[RED DE AGUA]]=V$2,100%,AVANCE[[#This Row],[RED DE AGUA]])</f>
        <v>0</v>
      </c>
      <c r="BN248" s="3">
        <f>+IF(AVANCE[[#This Row],[VENTILACIONES]]=W$2,100%,AVANCE[[#This Row],[VENTILACIONES]])</f>
        <v>0</v>
      </c>
      <c r="BO248" s="3">
        <f>+IF(AVANCE[[#This Row],[TINA]]=X$2,100%,AVANCE[[#This Row],[TINA]])</f>
        <v>0</v>
      </c>
      <c r="BP248" s="3">
        <f>+IF(AVANCE[[#This Row],[WC]]=Y$2,100%,AVANCE[[#This Row],[WC]])</f>
        <v>0</v>
      </c>
      <c r="BQ248" s="3">
        <f>+IF(AVANCE[[#This Row],[LAVAMANOS / LAVAPLATOS / LAVADERO]]=Z$2,100%,AVANCE[[#This Row],[LAVAMANOS / LAVAPLATOS / LAVADERO]])</f>
        <v>0</v>
      </c>
      <c r="BR248" s="3">
        <f>+IF(AVANCE[[#This Row],[CANALIZACIÓN]]=AC$2,100%,AVANCE[[#This Row],[CANALIZACIÓN]])</f>
        <v>0</v>
      </c>
      <c r="BS248" s="3">
        <f>+IF(AVANCE[[#This Row],[CABLEADO]]=AD$2,100%,AVANCE[[#This Row],[CABLEADO]])</f>
        <v>0</v>
      </c>
      <c r="BT248" s="3">
        <f>+IF(AVANCE[[#This Row],[ARTEFACTOS]]=AE$2,100%,AVANCE[[#This Row],[ARTEFACTOS]])</f>
        <v>0</v>
      </c>
      <c r="BU248" s="3">
        <f>+IF(AVANCE[[#This Row],[TABLERO]]=AF$2,100%,AVANCE[[#This Row],[TABLERO]])</f>
        <v>0</v>
      </c>
      <c r="BV248" s="3">
        <f>+IF(AVANCE[[#This Row],[CAJA PAU]]=AG$2,100%,AVANCE[[#This Row],[CAJA PAU]])</f>
        <v>0</v>
      </c>
      <c r="BW248" s="3">
        <f>+IF(AVANCE[[#This Row],[INSTALACION VINILICO]]=AJ$2,100%,AVANCE[[#This Row],[INSTALACION VINILICO]])</f>
        <v>0</v>
      </c>
      <c r="BX248" s="3">
        <f>+IF(AVANCE[[#This Row],[OSB CUBIERTA]]=AK$2,100%,AVANCE[[#This Row],[OSB CUBIERTA]])</f>
        <v>0</v>
      </c>
      <c r="BY248" s="3">
        <f>+IF(AVANCE[[#This Row],[BARANDA BALCON]]=AL$2,100%,AVANCE[[#This Row],[BARANDA BALCON]])</f>
        <v>0</v>
      </c>
      <c r="BZ248" s="3">
        <f>+IF(AVANCE[[#This Row],[OSB EXTERIOR]]=AM$2,100%,AVANCE[[#This Row],[OSB EXTERIOR]])</f>
        <v>0</v>
      </c>
      <c r="CA248" s="3">
        <f>+IF(AVANCE[[#This Row],[SMART PANEL]]=AN$2,100%,AVANCE[[#This Row],[SMART PANEL]])</f>
        <v>0</v>
      </c>
      <c r="CB248" s="3">
        <f>+IF(AVANCE[[#This Row],[PINTURA EXTERIOR]]=AO$2,100%,AVANCE[[#This Row],[PINTURA EXTERIOR]])</f>
        <v>0</v>
      </c>
      <c r="CC248" s="3">
        <f>+IF(AVANCE[[#This Row],[ZOCALOS LOGIA]]=AP$2,100%,AVANCE[[#This Row],[ZOCALOS LOGIA]])</f>
        <v>0</v>
      </c>
      <c r="CD248" s="3">
        <f>+IF(AVANCE[[#This Row],[MOLDURAS]]=AQ$2,100%,AVANCE[[#This Row],[MOLDURAS]])</f>
        <v>0</v>
      </c>
      <c r="CE248" s="3">
        <f>+IF(AVANCE[[#This Row],[PILASTREO]]=AR$2,100%,AVANCE[[#This Row],[PILASTREO]])</f>
        <v>0</v>
      </c>
      <c r="CF248" s="3">
        <f>+IF(AVANCE[[#This Row],[CELOSIAS]]=AS$2,100%,AVANCE[[#This Row],[CELOSIAS]])</f>
        <v>0</v>
      </c>
      <c r="CG248" s="3">
        <f>+IF(AVANCE[[#This Row],[VENTANAS]]=AT$2,100%,AVANCE[[#This Row],[VENTANAS]])</f>
        <v>0</v>
      </c>
      <c r="CH248" s="3">
        <f>+IF(AVANCE[[#This Row],[PUERTAS ACCESO - LOGIA - BANO]]=AU$2,100%,AVANCE[[#This Row],[PUERTAS ACCESO - LOGIA - BANO]])</f>
        <v>0</v>
      </c>
      <c r="CI248" s="3">
        <f>+IF(AVANCE[[#This Row],[CERRADURAS]]=AV$2,100%,AVANCE[[#This Row],[CERRADURAS]])</f>
        <v>0</v>
      </c>
      <c r="CJ248" s="3">
        <f>+IF(AVANCE[[#This Row],[REVESTIMIENTO INTERIOR ZONA SECA]]=AW$2,100%,AVANCE[[#This Row],[REVESTIMIENTO INTERIOR ZONA SECA]])</f>
        <v>0</v>
      </c>
      <c r="CK248" s="3">
        <f>+IF(AVANCE[[#This Row],[REVESTIMIENTO INTERIOR ZONAS HUMEDAS]]=AX$2,100%,AVANCE[[#This Row],[REVESTIMIENTO INTERIOR ZONAS HUMEDAS]])</f>
        <v>0</v>
      </c>
      <c r="CL248" s="3">
        <f>+IF(AVANCE[[#This Row],[MEMBRANA CIELO]]=AY$2,100%,AVANCE[[#This Row],[MEMBRANA CIELO]])</f>
        <v>0</v>
      </c>
      <c r="CM248" s="3">
        <f>+IF(AVANCE[[#This Row],[LIMPIEZA FINAL]]=AZ$2,100%,AVANCE[[#This Row],[LIMPIEZA FINAL]])</f>
        <v>0</v>
      </c>
      <c r="CN248" s="3">
        <f>+IF(AVANCE[[#This Row],[PUERTAS DORMITORIO]]=BA$2,100%,AVANCE[[#This Row],[PUERTAS DORMITORIO]])</f>
        <v>0</v>
      </c>
      <c r="CO248" s="3">
        <f>+IF(AVANCE[[#This Row],[REVESTIMIENTO INTERIOR BANO]]=BB$2,100%,AVANCE[[#This Row],[REVESTIMIENTO INTERIOR BANO]])</f>
        <v>0</v>
      </c>
      <c r="CP248" s="3">
        <f>+IF(AVANCE[[#This Row],[MUEBLE LAVAPLATOS]]=BC$2,100%,AVANCE[[#This Row],[MUEBLE LAVAPLATOS]])</f>
        <v>0</v>
      </c>
      <c r="CQ248" s="3">
        <f>+IF(AVANCE[[#This Row],[IMPERMEABILIZACION BANO - COCINA LOGIA]]=BD$2,100%,AVANCE[[#This Row],[IMPERMEABILIZACION BANO - COCINA LOGIA]])</f>
        <v>0</v>
      </c>
      <c r="CR248" s="40">
        <f ca="1">+IF(AVANCE[[#This Row],[ESTADO MODULO]]="PENDIENTE",(TODAY()-AVANCE[[#This Row],[FECHA TERMINO  PLANIFICADO]]),0)</f>
        <v>0</v>
      </c>
      <c r="CS248" s="42" t="str" cm="1">
        <f t="array" ref="CS248">_xlfn.TEXTJOIN(" | ",TRUE,IF(SUMPRODUCT((BF248:CQ248&lt;1)*(PARTIDAS!$I$2:$AT$2="OBRA GRUESA"))&gt;0,"OBRA GRUESA: "&amp;_xlfn.TEXTJOIN(", ",TRUE,IF((BF248:CQ248&lt;1)*(PARTIDAS!$I$2:$AT$2="OBRA GRUESA"),PARTIDAS!$I$1:$AT$1,"")),""),IF(SUMPRODUCT((BF248:CQ248&lt;1)*(PARTIDAS!$I$2:$AT$2="SANITARIOS"))&gt;0,"SANITARIOS: "&amp;_xlfn.TEXTJOIN(", ",TRUE,IF((BF248:CQ248&lt;1)*(PARTIDAS!$I$2:$AT$2="SANITARIOS"),PARTIDAS!$I$1:$AT$1,"")),""),IF(SUMPRODUCT((BF248:CQ248&lt;1)*(PARTIDAS!$I$2:$AT$2="ELÉCTRICO"))&gt;0,"ELÉCTRICO: "&amp;_xlfn.TEXTJOIN(", ",TRUE,IF((BF248:CQ248&lt;1)*(PARTIDAS!$I$2:$AT$2="ELÉCTRICO"),PARTIDAS!$I$1:$AT$1,"")),""),IF(SUMPRODUCT((BF248:CQ248&lt;1)*(PARTIDAS!$I$2:$AT$2="TERMINACIONES"))&gt;0,"TERMINACIONES: "&amp;_xlfn.TEXTJOIN(", ",TRUE,IF((BF248:CQ248&lt;1)*(PARTIDAS!$I$2:$AT$2="TERMINACIONES"),PARTIDAS!$I$1:$AT$1,"")),""))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8" s="45" t="str" cm="1">
        <f t="array" ref="CT248">_xlfn.TEXTJOIN(", ",TRUE,IF(SUMPRODUCT((BF248:CQ248&lt;1)*(PARTIDAS!$I$2:$AT$2="OBRA GRUESA"))&gt;0,"OBRA GRUESA",""),IF(SUMPRODUCT((BF248:CQ248&lt;1)*(PARTIDAS!$I$2:$AT$2="SANITARIOS"))&gt;0,"SANITARIOS",""),IF(SUMPRODUCT((BF248:CQ248&lt;1)*(PARTIDAS!$I$2:$AT$2="ELÉCTRICO"))&gt;0,"ELÉCTRICO",""),IF(SUMPRODUCT((BF248:CQ248&lt;1)*(PARTIDAS!$I$2:$AT$2="TERMINACIONES"))&gt;0,"TERMINACIONES",""))</f>
        <v>OBRA GRUESA, SANITARIOS, ELÉCTRICO, TERMINACIONES</v>
      </c>
      <c r="CU248" s="46" cm="1">
        <f t="array" ref="CU248">SUMPRODUCT(--(BF248:CQ248&lt;1))</f>
        <v>38</v>
      </c>
    </row>
    <row r="249" spans="1:99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46181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 t="str">
        <f>+IF(AVANCE[[#This Row],[% AVANCE]]=100%,"MODULO TERMINADO",IF(AVANCE[[#This Row],[FECHA INICIO REAL]]="","MODULO NO INICIADO","PENDIENTE"))</f>
        <v>MODULO NO INICIADO</v>
      </c>
      <c r="BF249" s="3">
        <f>+IF(AVANCE[[#This Row],[VENTANAS]]=8.10810810810811%,100%,AVANCE[[#This Row],[VENTANAS]])</f>
        <v>0</v>
      </c>
      <c r="BG249" s="3">
        <f>+IF(AVANCE[[#This Row],[PISO]]=N$2,100%,AVANCE[[#This Row],[PISO]])</f>
        <v>0</v>
      </c>
      <c r="BH249" s="3">
        <f>+IF(AVANCE[[#This Row],[TABIQUES]]=O$2,100%,AVANCE[[#This Row],[TABIQUES]])</f>
        <v>0</v>
      </c>
      <c r="BI249" s="3">
        <f>+IF(AVANCE[[#This Row],[MUROS]]=P$2,100%,AVANCE[[#This Row],[MUROS]])</f>
        <v>0</v>
      </c>
      <c r="BJ249" s="3">
        <f>+IF(AVANCE[[#This Row],[CIELO]]=Q$2,100%,AVANCE[[#This Row],[CIELO]])</f>
        <v>0</v>
      </c>
      <c r="BK249" s="3">
        <f>+IF(AVANCE[[#This Row],[BALCÓN]]=R$2,100%,AVANCE[[#This Row],[BALCÓN]])</f>
        <v>0</v>
      </c>
      <c r="BL249" s="3">
        <f>+IF(AVANCE[[#This Row],[RED ALCANTARILLADO]]=U$2,100%,AVANCE[[#This Row],[RED ALCANTARILLADO]])</f>
        <v>0</v>
      </c>
      <c r="BM249" s="3">
        <f>+IF(AVANCE[[#This Row],[RED DE AGUA]]=V$2,100%,AVANCE[[#This Row],[RED DE AGUA]])</f>
        <v>0</v>
      </c>
      <c r="BN249" s="3">
        <f>+IF(AVANCE[[#This Row],[VENTILACIONES]]=W$2,100%,AVANCE[[#This Row],[VENTILACIONES]])</f>
        <v>0</v>
      </c>
      <c r="BO249" s="3">
        <f>+IF(AVANCE[[#This Row],[TINA]]=X$2,100%,AVANCE[[#This Row],[TINA]])</f>
        <v>0</v>
      </c>
      <c r="BP249" s="3">
        <f>+IF(AVANCE[[#This Row],[WC]]=Y$2,100%,AVANCE[[#This Row],[WC]])</f>
        <v>0</v>
      </c>
      <c r="BQ249" s="3">
        <f>+IF(AVANCE[[#This Row],[LAVAMANOS / LAVAPLATOS / LAVADERO]]=Z$2,100%,AVANCE[[#This Row],[LAVAMANOS / LAVAPLATOS / LAVADERO]])</f>
        <v>0</v>
      </c>
      <c r="BR249" s="3">
        <f>+IF(AVANCE[[#This Row],[CANALIZACIÓN]]=AC$2,100%,AVANCE[[#This Row],[CANALIZACIÓN]])</f>
        <v>0</v>
      </c>
      <c r="BS249" s="3">
        <f>+IF(AVANCE[[#This Row],[CABLEADO]]=AD$2,100%,AVANCE[[#This Row],[CABLEADO]])</f>
        <v>0</v>
      </c>
      <c r="BT249" s="3">
        <f>+IF(AVANCE[[#This Row],[ARTEFACTOS]]=AE$2,100%,AVANCE[[#This Row],[ARTEFACTOS]])</f>
        <v>0</v>
      </c>
      <c r="BU249" s="3">
        <f>+IF(AVANCE[[#This Row],[TABLERO]]=AF$2,100%,AVANCE[[#This Row],[TABLERO]])</f>
        <v>0</v>
      </c>
      <c r="BV249" s="3">
        <f>+IF(AVANCE[[#This Row],[CAJA PAU]]=AG$2,100%,AVANCE[[#This Row],[CAJA PAU]])</f>
        <v>0</v>
      </c>
      <c r="BW249" s="3">
        <f>+IF(AVANCE[[#This Row],[INSTALACION VINILICO]]=AJ$2,100%,AVANCE[[#This Row],[INSTALACION VINILICO]])</f>
        <v>0</v>
      </c>
      <c r="BX249" s="3">
        <f>+IF(AVANCE[[#This Row],[OSB CUBIERTA]]=AK$2,100%,AVANCE[[#This Row],[OSB CUBIERTA]])</f>
        <v>0</v>
      </c>
      <c r="BY249" s="3">
        <f>+IF(AVANCE[[#This Row],[BARANDA BALCON]]=AL$2,100%,AVANCE[[#This Row],[BARANDA BALCON]])</f>
        <v>0</v>
      </c>
      <c r="BZ249" s="3">
        <f>+IF(AVANCE[[#This Row],[OSB EXTERIOR]]=AM$2,100%,AVANCE[[#This Row],[OSB EXTERIOR]])</f>
        <v>0</v>
      </c>
      <c r="CA249" s="3">
        <f>+IF(AVANCE[[#This Row],[SMART PANEL]]=AN$2,100%,AVANCE[[#This Row],[SMART PANEL]])</f>
        <v>0</v>
      </c>
      <c r="CB249" s="3">
        <f>+IF(AVANCE[[#This Row],[PINTURA EXTERIOR]]=AO$2,100%,AVANCE[[#This Row],[PINTURA EXTERIOR]])</f>
        <v>0</v>
      </c>
      <c r="CC249" s="3">
        <f>+IF(AVANCE[[#This Row],[ZOCALOS LOGIA]]=AP$2,100%,AVANCE[[#This Row],[ZOCALOS LOGIA]])</f>
        <v>0</v>
      </c>
      <c r="CD249" s="3">
        <f>+IF(AVANCE[[#This Row],[MOLDURAS]]=AQ$2,100%,AVANCE[[#This Row],[MOLDURAS]])</f>
        <v>0</v>
      </c>
      <c r="CE249" s="3">
        <f>+IF(AVANCE[[#This Row],[PILASTREO]]=AR$2,100%,AVANCE[[#This Row],[PILASTREO]])</f>
        <v>0</v>
      </c>
      <c r="CF249" s="3">
        <f>+IF(AVANCE[[#This Row],[CELOSIAS]]=AS$2,100%,AVANCE[[#This Row],[CELOSIAS]])</f>
        <v>0</v>
      </c>
      <c r="CG249" s="3">
        <f>+IF(AVANCE[[#This Row],[VENTANAS]]=AT$2,100%,AVANCE[[#This Row],[VENTANAS]])</f>
        <v>0</v>
      </c>
      <c r="CH249" s="3">
        <f>+IF(AVANCE[[#This Row],[PUERTAS ACCESO - LOGIA - BANO]]=AU$2,100%,AVANCE[[#This Row],[PUERTAS ACCESO - LOGIA - BANO]])</f>
        <v>0</v>
      </c>
      <c r="CI249" s="3">
        <f>+IF(AVANCE[[#This Row],[CERRADURAS]]=AV$2,100%,AVANCE[[#This Row],[CERRADURAS]])</f>
        <v>0</v>
      </c>
      <c r="CJ249" s="3">
        <f>+IF(AVANCE[[#This Row],[REVESTIMIENTO INTERIOR ZONA SECA]]=AW$2,100%,AVANCE[[#This Row],[REVESTIMIENTO INTERIOR ZONA SECA]])</f>
        <v>0</v>
      </c>
      <c r="CK249" s="3">
        <f>+IF(AVANCE[[#This Row],[REVESTIMIENTO INTERIOR ZONAS HUMEDAS]]=AX$2,100%,AVANCE[[#This Row],[REVESTIMIENTO INTERIOR ZONAS HUMEDAS]])</f>
        <v>0</v>
      </c>
      <c r="CL249" s="3">
        <f>+IF(AVANCE[[#This Row],[MEMBRANA CIELO]]=AY$2,100%,AVANCE[[#This Row],[MEMBRANA CIELO]])</f>
        <v>0</v>
      </c>
      <c r="CM249" s="3">
        <f>+IF(AVANCE[[#This Row],[LIMPIEZA FINAL]]=AZ$2,100%,AVANCE[[#This Row],[LIMPIEZA FINAL]])</f>
        <v>0</v>
      </c>
      <c r="CN249" s="3">
        <f>+IF(AVANCE[[#This Row],[PUERTAS DORMITORIO]]=BA$2,100%,AVANCE[[#This Row],[PUERTAS DORMITORIO]])</f>
        <v>0</v>
      </c>
      <c r="CO249" s="3">
        <f>+IF(AVANCE[[#This Row],[REVESTIMIENTO INTERIOR BANO]]=BB$2,100%,AVANCE[[#This Row],[REVESTIMIENTO INTERIOR BANO]])</f>
        <v>0</v>
      </c>
      <c r="CP249" s="3">
        <f>+IF(AVANCE[[#This Row],[MUEBLE LAVAPLATOS]]=BC$2,100%,AVANCE[[#This Row],[MUEBLE LAVAPLATOS]])</f>
        <v>0</v>
      </c>
      <c r="CQ249" s="3">
        <f>+IF(AVANCE[[#This Row],[IMPERMEABILIZACION BANO - COCINA LOGIA]]=BD$2,100%,AVANCE[[#This Row],[IMPERMEABILIZACION BANO - COCINA LOGIA]])</f>
        <v>0</v>
      </c>
      <c r="CR249" s="40">
        <f ca="1">+IF(AVANCE[[#This Row],[ESTADO MODULO]]="PENDIENTE",(TODAY()-AVANCE[[#This Row],[FECHA TERMINO  PLANIFICADO]]),0)</f>
        <v>0</v>
      </c>
      <c r="CS249" s="42" t="str" cm="1">
        <f t="array" ref="CS249">_xlfn.TEXTJOIN(" | ",TRUE,IF(SUMPRODUCT((BF249:CQ249&lt;1)*(PARTIDAS!$I$2:$AT$2="OBRA GRUESA"))&gt;0,"OBRA GRUESA: "&amp;_xlfn.TEXTJOIN(", ",TRUE,IF((BF249:CQ249&lt;1)*(PARTIDAS!$I$2:$AT$2="OBRA GRUESA"),PARTIDAS!$I$1:$AT$1,"")),""),IF(SUMPRODUCT((BF249:CQ249&lt;1)*(PARTIDAS!$I$2:$AT$2="SANITARIOS"))&gt;0,"SANITARIOS: "&amp;_xlfn.TEXTJOIN(", ",TRUE,IF((BF249:CQ249&lt;1)*(PARTIDAS!$I$2:$AT$2="SANITARIOS"),PARTIDAS!$I$1:$AT$1,"")),""),IF(SUMPRODUCT((BF249:CQ249&lt;1)*(PARTIDAS!$I$2:$AT$2="ELÉCTRICO"))&gt;0,"ELÉCTRICO: "&amp;_xlfn.TEXTJOIN(", ",TRUE,IF((BF249:CQ249&lt;1)*(PARTIDAS!$I$2:$AT$2="ELÉCTRICO"),PARTIDAS!$I$1:$AT$1,"")),""),IF(SUMPRODUCT((BF249:CQ249&lt;1)*(PARTIDAS!$I$2:$AT$2="TERMINACIONES"))&gt;0,"TERMINACIONES: "&amp;_xlfn.TEXTJOIN(", ",TRUE,IF((BF249:CQ249&lt;1)*(PARTIDAS!$I$2:$AT$2="TERMINACIONES"),PARTIDAS!$I$1:$AT$1,"")),""))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49" s="45" t="str" cm="1">
        <f t="array" ref="CT249">_xlfn.TEXTJOIN(", ",TRUE,IF(SUMPRODUCT((BF249:CQ249&lt;1)*(PARTIDAS!$I$2:$AT$2="OBRA GRUESA"))&gt;0,"OBRA GRUESA",""),IF(SUMPRODUCT((BF249:CQ249&lt;1)*(PARTIDAS!$I$2:$AT$2="SANITARIOS"))&gt;0,"SANITARIOS",""),IF(SUMPRODUCT((BF249:CQ249&lt;1)*(PARTIDAS!$I$2:$AT$2="ELÉCTRICO"))&gt;0,"ELÉCTRICO",""),IF(SUMPRODUCT((BF249:CQ249&lt;1)*(PARTIDAS!$I$2:$AT$2="TERMINACIONES"))&gt;0,"TERMINACIONES",""))</f>
        <v>OBRA GRUESA, SANITARIOS, ELÉCTRICO, TERMINACIONES</v>
      </c>
      <c r="CU249" s="46" cm="1">
        <f t="array" ref="CU249">SUMPRODUCT(--(BF249:CQ249&lt;1))</f>
        <v>38</v>
      </c>
    </row>
    <row r="250" spans="1:99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46181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 t="str">
        <f>+IF(AVANCE[[#This Row],[% AVANCE]]=100%,"MODULO TERMINADO",IF(AVANCE[[#This Row],[FECHA INICIO REAL]]="","MODULO NO INICIADO","PENDIENTE"))</f>
        <v>MODULO NO INICIADO</v>
      </c>
      <c r="BF250" s="3">
        <f>+IF(AVANCE[[#This Row],[VENTANAS]]=8.10810810810811%,100%,AVANCE[[#This Row],[VENTANAS]])</f>
        <v>0</v>
      </c>
      <c r="BG250" s="3">
        <f>+IF(AVANCE[[#This Row],[PISO]]=N$2,100%,AVANCE[[#This Row],[PISO]])</f>
        <v>0</v>
      </c>
      <c r="BH250" s="3">
        <f>+IF(AVANCE[[#This Row],[TABIQUES]]=O$2,100%,AVANCE[[#This Row],[TABIQUES]])</f>
        <v>0</v>
      </c>
      <c r="BI250" s="3">
        <f>+IF(AVANCE[[#This Row],[MUROS]]=P$2,100%,AVANCE[[#This Row],[MUROS]])</f>
        <v>0</v>
      </c>
      <c r="BJ250" s="3">
        <f>+IF(AVANCE[[#This Row],[CIELO]]=Q$2,100%,AVANCE[[#This Row],[CIELO]])</f>
        <v>0</v>
      </c>
      <c r="BK250" s="3">
        <f>+IF(AVANCE[[#This Row],[BALCÓN]]=R$2,100%,AVANCE[[#This Row],[BALCÓN]])</f>
        <v>0</v>
      </c>
      <c r="BL250" s="3">
        <f>+IF(AVANCE[[#This Row],[RED ALCANTARILLADO]]=U$2,100%,AVANCE[[#This Row],[RED ALCANTARILLADO]])</f>
        <v>0</v>
      </c>
      <c r="BM250" s="3">
        <f>+IF(AVANCE[[#This Row],[RED DE AGUA]]=V$2,100%,AVANCE[[#This Row],[RED DE AGUA]])</f>
        <v>0</v>
      </c>
      <c r="BN250" s="3">
        <f>+IF(AVANCE[[#This Row],[VENTILACIONES]]=W$2,100%,AVANCE[[#This Row],[VENTILACIONES]])</f>
        <v>0</v>
      </c>
      <c r="BO250" s="3">
        <f>+IF(AVANCE[[#This Row],[TINA]]=X$2,100%,AVANCE[[#This Row],[TINA]])</f>
        <v>0</v>
      </c>
      <c r="BP250" s="3">
        <f>+IF(AVANCE[[#This Row],[WC]]=Y$2,100%,AVANCE[[#This Row],[WC]])</f>
        <v>0</v>
      </c>
      <c r="BQ250" s="3">
        <f>+IF(AVANCE[[#This Row],[LAVAMANOS / LAVAPLATOS / LAVADERO]]=Z$2,100%,AVANCE[[#This Row],[LAVAMANOS / LAVAPLATOS / LAVADERO]])</f>
        <v>0</v>
      </c>
      <c r="BR250" s="3">
        <f>+IF(AVANCE[[#This Row],[CANALIZACIÓN]]=AC$2,100%,AVANCE[[#This Row],[CANALIZACIÓN]])</f>
        <v>0</v>
      </c>
      <c r="BS250" s="3">
        <f>+IF(AVANCE[[#This Row],[CABLEADO]]=AD$2,100%,AVANCE[[#This Row],[CABLEADO]])</f>
        <v>0</v>
      </c>
      <c r="BT250" s="3">
        <f>+IF(AVANCE[[#This Row],[ARTEFACTOS]]=AE$2,100%,AVANCE[[#This Row],[ARTEFACTOS]])</f>
        <v>0</v>
      </c>
      <c r="BU250" s="3">
        <f>+IF(AVANCE[[#This Row],[TABLERO]]=AF$2,100%,AVANCE[[#This Row],[TABLERO]])</f>
        <v>0</v>
      </c>
      <c r="BV250" s="3">
        <f>+IF(AVANCE[[#This Row],[CAJA PAU]]=AG$2,100%,AVANCE[[#This Row],[CAJA PAU]])</f>
        <v>0</v>
      </c>
      <c r="BW250" s="3">
        <f>+IF(AVANCE[[#This Row],[INSTALACION VINILICO]]=AJ$2,100%,AVANCE[[#This Row],[INSTALACION VINILICO]])</f>
        <v>0</v>
      </c>
      <c r="BX250" s="3">
        <f>+IF(AVANCE[[#This Row],[OSB CUBIERTA]]=AK$2,100%,AVANCE[[#This Row],[OSB CUBIERTA]])</f>
        <v>0</v>
      </c>
      <c r="BY250" s="3">
        <f>+IF(AVANCE[[#This Row],[BARANDA BALCON]]=AL$2,100%,AVANCE[[#This Row],[BARANDA BALCON]])</f>
        <v>0</v>
      </c>
      <c r="BZ250" s="3">
        <f>+IF(AVANCE[[#This Row],[OSB EXTERIOR]]=AM$2,100%,AVANCE[[#This Row],[OSB EXTERIOR]])</f>
        <v>0</v>
      </c>
      <c r="CA250" s="3">
        <f>+IF(AVANCE[[#This Row],[SMART PANEL]]=AN$2,100%,AVANCE[[#This Row],[SMART PANEL]])</f>
        <v>0</v>
      </c>
      <c r="CB250" s="3">
        <f>+IF(AVANCE[[#This Row],[PINTURA EXTERIOR]]=AO$2,100%,AVANCE[[#This Row],[PINTURA EXTERIOR]])</f>
        <v>0</v>
      </c>
      <c r="CC250" s="3">
        <f>+IF(AVANCE[[#This Row],[ZOCALOS LOGIA]]=AP$2,100%,AVANCE[[#This Row],[ZOCALOS LOGIA]])</f>
        <v>0</v>
      </c>
      <c r="CD250" s="3">
        <f>+IF(AVANCE[[#This Row],[MOLDURAS]]=AQ$2,100%,AVANCE[[#This Row],[MOLDURAS]])</f>
        <v>0</v>
      </c>
      <c r="CE250" s="3">
        <f>+IF(AVANCE[[#This Row],[PILASTREO]]=AR$2,100%,AVANCE[[#This Row],[PILASTREO]])</f>
        <v>0</v>
      </c>
      <c r="CF250" s="3">
        <f>+IF(AVANCE[[#This Row],[CELOSIAS]]=AS$2,100%,AVANCE[[#This Row],[CELOSIAS]])</f>
        <v>0</v>
      </c>
      <c r="CG250" s="3">
        <f>+IF(AVANCE[[#This Row],[VENTANAS]]=AT$2,100%,AVANCE[[#This Row],[VENTANAS]])</f>
        <v>0</v>
      </c>
      <c r="CH250" s="3">
        <f>+IF(AVANCE[[#This Row],[PUERTAS ACCESO - LOGIA - BANO]]=AU$2,100%,AVANCE[[#This Row],[PUERTAS ACCESO - LOGIA - BANO]])</f>
        <v>0</v>
      </c>
      <c r="CI250" s="3">
        <f>+IF(AVANCE[[#This Row],[CERRADURAS]]=AV$2,100%,AVANCE[[#This Row],[CERRADURAS]])</f>
        <v>0</v>
      </c>
      <c r="CJ250" s="3">
        <f>+IF(AVANCE[[#This Row],[REVESTIMIENTO INTERIOR ZONA SECA]]=AW$2,100%,AVANCE[[#This Row],[REVESTIMIENTO INTERIOR ZONA SECA]])</f>
        <v>0</v>
      </c>
      <c r="CK250" s="3">
        <f>+IF(AVANCE[[#This Row],[REVESTIMIENTO INTERIOR ZONAS HUMEDAS]]=AX$2,100%,AVANCE[[#This Row],[REVESTIMIENTO INTERIOR ZONAS HUMEDAS]])</f>
        <v>0</v>
      </c>
      <c r="CL250" s="3">
        <f>+IF(AVANCE[[#This Row],[MEMBRANA CIELO]]=AY$2,100%,AVANCE[[#This Row],[MEMBRANA CIELO]])</f>
        <v>0</v>
      </c>
      <c r="CM250" s="3">
        <f>+IF(AVANCE[[#This Row],[LIMPIEZA FINAL]]=AZ$2,100%,AVANCE[[#This Row],[LIMPIEZA FINAL]])</f>
        <v>0</v>
      </c>
      <c r="CN250" s="3">
        <f>+IF(AVANCE[[#This Row],[PUERTAS DORMITORIO]]=BA$2,100%,AVANCE[[#This Row],[PUERTAS DORMITORIO]])</f>
        <v>0</v>
      </c>
      <c r="CO250" s="3">
        <f>+IF(AVANCE[[#This Row],[REVESTIMIENTO INTERIOR BANO]]=BB$2,100%,AVANCE[[#This Row],[REVESTIMIENTO INTERIOR BANO]])</f>
        <v>0</v>
      </c>
      <c r="CP250" s="3">
        <f>+IF(AVANCE[[#This Row],[MUEBLE LAVAPLATOS]]=BC$2,100%,AVANCE[[#This Row],[MUEBLE LAVAPLATOS]])</f>
        <v>0</v>
      </c>
      <c r="CQ250" s="3">
        <f>+IF(AVANCE[[#This Row],[IMPERMEABILIZACION BANO - COCINA LOGIA]]=BD$2,100%,AVANCE[[#This Row],[IMPERMEABILIZACION BANO - COCINA LOGIA]])</f>
        <v>0</v>
      </c>
      <c r="CR250" s="40">
        <f ca="1">+IF(AVANCE[[#This Row],[ESTADO MODULO]]="PENDIENTE",(TODAY()-AVANCE[[#This Row],[FECHA TERMINO  PLANIFICADO]]),0)</f>
        <v>0</v>
      </c>
      <c r="CS250" s="42" t="str" cm="1">
        <f t="array" ref="CS250">_xlfn.TEXTJOIN(" | ",TRUE,IF(SUMPRODUCT((BF250:CQ250&lt;1)*(PARTIDAS!$I$2:$AT$2="OBRA GRUESA"))&gt;0,"OBRA GRUESA: "&amp;_xlfn.TEXTJOIN(", ",TRUE,IF((BF250:CQ250&lt;1)*(PARTIDAS!$I$2:$AT$2="OBRA GRUESA"),PARTIDAS!$I$1:$AT$1,"")),""),IF(SUMPRODUCT((BF250:CQ250&lt;1)*(PARTIDAS!$I$2:$AT$2="SANITARIOS"))&gt;0,"SANITARIOS: "&amp;_xlfn.TEXTJOIN(", ",TRUE,IF((BF250:CQ250&lt;1)*(PARTIDAS!$I$2:$AT$2="SANITARIOS"),PARTIDAS!$I$1:$AT$1,"")),""),IF(SUMPRODUCT((BF250:CQ250&lt;1)*(PARTIDAS!$I$2:$AT$2="ELÉCTRICO"))&gt;0,"ELÉCTRICO: "&amp;_xlfn.TEXTJOIN(", ",TRUE,IF((BF250:CQ250&lt;1)*(PARTIDAS!$I$2:$AT$2="ELÉCTRICO"),PARTIDAS!$I$1:$AT$1,"")),""),IF(SUMPRODUCT((BF250:CQ250&lt;1)*(PARTIDAS!$I$2:$AT$2="TERMINACIONES"))&gt;0,"TERMINACIONES: "&amp;_xlfn.TEXTJOIN(", ",TRUE,IF((BF250:CQ250&lt;1)*(PARTIDAS!$I$2:$AT$2="TERMINACIONES"),PARTIDAS!$I$1:$AT$1,"")),""))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0" s="45" t="str" cm="1">
        <f t="array" ref="CT250">_xlfn.TEXTJOIN(", ",TRUE,IF(SUMPRODUCT((BF250:CQ250&lt;1)*(PARTIDAS!$I$2:$AT$2="OBRA GRUESA"))&gt;0,"OBRA GRUESA",""),IF(SUMPRODUCT((BF250:CQ250&lt;1)*(PARTIDAS!$I$2:$AT$2="SANITARIOS"))&gt;0,"SANITARIOS",""),IF(SUMPRODUCT((BF250:CQ250&lt;1)*(PARTIDAS!$I$2:$AT$2="ELÉCTRICO"))&gt;0,"ELÉCTRICO",""),IF(SUMPRODUCT((BF250:CQ250&lt;1)*(PARTIDAS!$I$2:$AT$2="TERMINACIONES"))&gt;0,"TERMINACIONES",""))</f>
        <v>OBRA GRUESA, SANITARIOS, ELÉCTRICO, TERMINACIONES</v>
      </c>
      <c r="CU250" s="46" cm="1">
        <f t="array" ref="CU250">SUMPRODUCT(--(BF250:CQ250&lt;1))</f>
        <v>38</v>
      </c>
    </row>
    <row r="251" spans="1:99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46181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 t="str">
        <f>+IF(AVANCE[[#This Row],[% AVANCE]]=100%,"MODULO TERMINADO",IF(AVANCE[[#This Row],[FECHA INICIO REAL]]="","MODULO NO INICIADO","PENDIENTE"))</f>
        <v>MODULO NO INICIADO</v>
      </c>
      <c r="BF251" s="3">
        <f>+IF(AVANCE[[#This Row],[VENTANAS]]=8.10810810810811%,100%,AVANCE[[#This Row],[VENTANAS]])</f>
        <v>0</v>
      </c>
      <c r="BG251" s="3">
        <f>+IF(AVANCE[[#This Row],[PISO]]=N$2,100%,AVANCE[[#This Row],[PISO]])</f>
        <v>0</v>
      </c>
      <c r="BH251" s="3">
        <f>+IF(AVANCE[[#This Row],[TABIQUES]]=O$2,100%,AVANCE[[#This Row],[TABIQUES]])</f>
        <v>0</v>
      </c>
      <c r="BI251" s="3">
        <f>+IF(AVANCE[[#This Row],[MUROS]]=P$2,100%,AVANCE[[#This Row],[MUROS]])</f>
        <v>0</v>
      </c>
      <c r="BJ251" s="3">
        <f>+IF(AVANCE[[#This Row],[CIELO]]=Q$2,100%,AVANCE[[#This Row],[CIELO]])</f>
        <v>0</v>
      </c>
      <c r="BK251" s="3">
        <f>+IF(AVANCE[[#This Row],[BALCÓN]]=R$2,100%,AVANCE[[#This Row],[BALCÓN]])</f>
        <v>0</v>
      </c>
      <c r="BL251" s="3">
        <f>+IF(AVANCE[[#This Row],[RED ALCANTARILLADO]]=U$2,100%,AVANCE[[#This Row],[RED ALCANTARILLADO]])</f>
        <v>0</v>
      </c>
      <c r="BM251" s="3">
        <f>+IF(AVANCE[[#This Row],[RED DE AGUA]]=V$2,100%,AVANCE[[#This Row],[RED DE AGUA]])</f>
        <v>0</v>
      </c>
      <c r="BN251" s="3">
        <f>+IF(AVANCE[[#This Row],[VENTILACIONES]]=W$2,100%,AVANCE[[#This Row],[VENTILACIONES]])</f>
        <v>0</v>
      </c>
      <c r="BO251" s="3">
        <f>+IF(AVANCE[[#This Row],[TINA]]=X$2,100%,AVANCE[[#This Row],[TINA]])</f>
        <v>0</v>
      </c>
      <c r="BP251" s="3">
        <f>+IF(AVANCE[[#This Row],[WC]]=Y$2,100%,AVANCE[[#This Row],[WC]])</f>
        <v>0</v>
      </c>
      <c r="BQ251" s="3">
        <f>+IF(AVANCE[[#This Row],[LAVAMANOS / LAVAPLATOS / LAVADERO]]=Z$2,100%,AVANCE[[#This Row],[LAVAMANOS / LAVAPLATOS / LAVADERO]])</f>
        <v>0</v>
      </c>
      <c r="BR251" s="3">
        <f>+IF(AVANCE[[#This Row],[CANALIZACIÓN]]=AC$2,100%,AVANCE[[#This Row],[CANALIZACIÓN]])</f>
        <v>0</v>
      </c>
      <c r="BS251" s="3">
        <f>+IF(AVANCE[[#This Row],[CABLEADO]]=AD$2,100%,AVANCE[[#This Row],[CABLEADO]])</f>
        <v>0</v>
      </c>
      <c r="BT251" s="3">
        <f>+IF(AVANCE[[#This Row],[ARTEFACTOS]]=AE$2,100%,AVANCE[[#This Row],[ARTEFACTOS]])</f>
        <v>0</v>
      </c>
      <c r="BU251" s="3">
        <f>+IF(AVANCE[[#This Row],[TABLERO]]=AF$2,100%,AVANCE[[#This Row],[TABLERO]])</f>
        <v>0</v>
      </c>
      <c r="BV251" s="3">
        <f>+IF(AVANCE[[#This Row],[CAJA PAU]]=AG$2,100%,AVANCE[[#This Row],[CAJA PAU]])</f>
        <v>0</v>
      </c>
      <c r="BW251" s="3">
        <f>+IF(AVANCE[[#This Row],[INSTALACION VINILICO]]=AJ$2,100%,AVANCE[[#This Row],[INSTALACION VINILICO]])</f>
        <v>0</v>
      </c>
      <c r="BX251" s="3">
        <f>+IF(AVANCE[[#This Row],[OSB CUBIERTA]]=AK$2,100%,AVANCE[[#This Row],[OSB CUBIERTA]])</f>
        <v>0</v>
      </c>
      <c r="BY251" s="3">
        <f>+IF(AVANCE[[#This Row],[BARANDA BALCON]]=AL$2,100%,AVANCE[[#This Row],[BARANDA BALCON]])</f>
        <v>0</v>
      </c>
      <c r="BZ251" s="3">
        <f>+IF(AVANCE[[#This Row],[OSB EXTERIOR]]=AM$2,100%,AVANCE[[#This Row],[OSB EXTERIOR]])</f>
        <v>0</v>
      </c>
      <c r="CA251" s="3">
        <f>+IF(AVANCE[[#This Row],[SMART PANEL]]=AN$2,100%,AVANCE[[#This Row],[SMART PANEL]])</f>
        <v>0</v>
      </c>
      <c r="CB251" s="3">
        <f>+IF(AVANCE[[#This Row],[PINTURA EXTERIOR]]=AO$2,100%,AVANCE[[#This Row],[PINTURA EXTERIOR]])</f>
        <v>0</v>
      </c>
      <c r="CC251" s="3">
        <f>+IF(AVANCE[[#This Row],[ZOCALOS LOGIA]]=AP$2,100%,AVANCE[[#This Row],[ZOCALOS LOGIA]])</f>
        <v>0</v>
      </c>
      <c r="CD251" s="3">
        <f>+IF(AVANCE[[#This Row],[MOLDURAS]]=AQ$2,100%,AVANCE[[#This Row],[MOLDURAS]])</f>
        <v>0</v>
      </c>
      <c r="CE251" s="3">
        <f>+IF(AVANCE[[#This Row],[PILASTREO]]=AR$2,100%,AVANCE[[#This Row],[PILASTREO]])</f>
        <v>0</v>
      </c>
      <c r="CF251" s="3">
        <f>+IF(AVANCE[[#This Row],[CELOSIAS]]=AS$2,100%,AVANCE[[#This Row],[CELOSIAS]])</f>
        <v>0</v>
      </c>
      <c r="CG251" s="3">
        <f>+IF(AVANCE[[#This Row],[VENTANAS]]=AT$2,100%,AVANCE[[#This Row],[VENTANAS]])</f>
        <v>0</v>
      </c>
      <c r="CH251" s="3">
        <f>+IF(AVANCE[[#This Row],[PUERTAS ACCESO - LOGIA - BANO]]=AU$2,100%,AVANCE[[#This Row],[PUERTAS ACCESO - LOGIA - BANO]])</f>
        <v>0</v>
      </c>
      <c r="CI251" s="3">
        <f>+IF(AVANCE[[#This Row],[CERRADURAS]]=AV$2,100%,AVANCE[[#This Row],[CERRADURAS]])</f>
        <v>0</v>
      </c>
      <c r="CJ251" s="3">
        <f>+IF(AVANCE[[#This Row],[REVESTIMIENTO INTERIOR ZONA SECA]]=AW$2,100%,AVANCE[[#This Row],[REVESTIMIENTO INTERIOR ZONA SECA]])</f>
        <v>0</v>
      </c>
      <c r="CK251" s="3">
        <f>+IF(AVANCE[[#This Row],[REVESTIMIENTO INTERIOR ZONAS HUMEDAS]]=AX$2,100%,AVANCE[[#This Row],[REVESTIMIENTO INTERIOR ZONAS HUMEDAS]])</f>
        <v>0</v>
      </c>
      <c r="CL251" s="3">
        <f>+IF(AVANCE[[#This Row],[MEMBRANA CIELO]]=AY$2,100%,AVANCE[[#This Row],[MEMBRANA CIELO]])</f>
        <v>0</v>
      </c>
      <c r="CM251" s="3">
        <f>+IF(AVANCE[[#This Row],[LIMPIEZA FINAL]]=AZ$2,100%,AVANCE[[#This Row],[LIMPIEZA FINAL]])</f>
        <v>0</v>
      </c>
      <c r="CN251" s="3">
        <f>+IF(AVANCE[[#This Row],[PUERTAS DORMITORIO]]=BA$2,100%,AVANCE[[#This Row],[PUERTAS DORMITORIO]])</f>
        <v>0</v>
      </c>
      <c r="CO251" s="3">
        <f>+IF(AVANCE[[#This Row],[REVESTIMIENTO INTERIOR BANO]]=BB$2,100%,AVANCE[[#This Row],[REVESTIMIENTO INTERIOR BANO]])</f>
        <v>0</v>
      </c>
      <c r="CP251" s="3">
        <f>+IF(AVANCE[[#This Row],[MUEBLE LAVAPLATOS]]=BC$2,100%,AVANCE[[#This Row],[MUEBLE LAVAPLATOS]])</f>
        <v>0</v>
      </c>
      <c r="CQ251" s="3">
        <f>+IF(AVANCE[[#This Row],[IMPERMEABILIZACION BANO - COCINA LOGIA]]=BD$2,100%,AVANCE[[#This Row],[IMPERMEABILIZACION BANO - COCINA LOGIA]])</f>
        <v>0</v>
      </c>
      <c r="CR251" s="40">
        <f ca="1">+IF(AVANCE[[#This Row],[ESTADO MODULO]]="PENDIENTE",(TODAY()-AVANCE[[#This Row],[FECHA TERMINO  PLANIFICADO]]),0)</f>
        <v>0</v>
      </c>
      <c r="CS251" s="42" t="str" cm="1">
        <f t="array" ref="CS251">_xlfn.TEXTJOIN(" | ",TRUE,IF(SUMPRODUCT((BF251:CQ251&lt;1)*(PARTIDAS!$I$2:$AT$2="OBRA GRUESA"))&gt;0,"OBRA GRUESA: "&amp;_xlfn.TEXTJOIN(", ",TRUE,IF((BF251:CQ251&lt;1)*(PARTIDAS!$I$2:$AT$2="OBRA GRUESA"),PARTIDAS!$I$1:$AT$1,"")),""),IF(SUMPRODUCT((BF251:CQ251&lt;1)*(PARTIDAS!$I$2:$AT$2="SANITARIOS"))&gt;0,"SANITARIOS: "&amp;_xlfn.TEXTJOIN(", ",TRUE,IF((BF251:CQ251&lt;1)*(PARTIDAS!$I$2:$AT$2="SANITARIOS"),PARTIDAS!$I$1:$AT$1,"")),""),IF(SUMPRODUCT((BF251:CQ251&lt;1)*(PARTIDAS!$I$2:$AT$2="ELÉCTRICO"))&gt;0,"ELÉCTRICO: "&amp;_xlfn.TEXTJOIN(", ",TRUE,IF((BF251:CQ251&lt;1)*(PARTIDAS!$I$2:$AT$2="ELÉCTRICO"),PARTIDAS!$I$1:$AT$1,"")),""),IF(SUMPRODUCT((BF251:CQ251&lt;1)*(PARTIDAS!$I$2:$AT$2="TERMINACIONES"))&gt;0,"TERMINACIONES: "&amp;_xlfn.TEXTJOIN(", ",TRUE,IF((BF251:CQ251&lt;1)*(PARTIDAS!$I$2:$AT$2="TERMINACIONES"),PARTIDAS!$I$1:$AT$1,"")),""))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1" s="45" t="str" cm="1">
        <f t="array" ref="CT251">_xlfn.TEXTJOIN(", ",TRUE,IF(SUMPRODUCT((BF251:CQ251&lt;1)*(PARTIDAS!$I$2:$AT$2="OBRA GRUESA"))&gt;0,"OBRA GRUESA",""),IF(SUMPRODUCT((BF251:CQ251&lt;1)*(PARTIDAS!$I$2:$AT$2="SANITARIOS"))&gt;0,"SANITARIOS",""),IF(SUMPRODUCT((BF251:CQ251&lt;1)*(PARTIDAS!$I$2:$AT$2="ELÉCTRICO"))&gt;0,"ELÉCTRICO",""),IF(SUMPRODUCT((BF251:CQ251&lt;1)*(PARTIDAS!$I$2:$AT$2="TERMINACIONES"))&gt;0,"TERMINACIONES",""))</f>
        <v>OBRA GRUESA, SANITARIOS, ELÉCTRICO, TERMINACIONES</v>
      </c>
      <c r="CU251" s="46" cm="1">
        <f t="array" ref="CU251">SUMPRODUCT(--(BF251:CQ251&lt;1))</f>
        <v>38</v>
      </c>
    </row>
    <row r="252" spans="1:99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46181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 t="str">
        <f>+IF(AVANCE[[#This Row],[% AVANCE]]=100%,"MODULO TERMINADO",IF(AVANCE[[#This Row],[FECHA INICIO REAL]]="","MODULO NO INICIADO","PENDIENTE"))</f>
        <v>MODULO NO INICIADO</v>
      </c>
      <c r="BF252" s="3">
        <f>+IF(AVANCE[[#This Row],[VENTANAS]]=8.10810810810811%,100%,AVANCE[[#This Row],[VENTANAS]])</f>
        <v>0</v>
      </c>
      <c r="BG252" s="3">
        <f>+IF(AVANCE[[#This Row],[PISO]]=N$2,100%,AVANCE[[#This Row],[PISO]])</f>
        <v>0</v>
      </c>
      <c r="BH252" s="3">
        <f>+IF(AVANCE[[#This Row],[TABIQUES]]=O$2,100%,AVANCE[[#This Row],[TABIQUES]])</f>
        <v>0</v>
      </c>
      <c r="BI252" s="3">
        <f>+IF(AVANCE[[#This Row],[MUROS]]=P$2,100%,AVANCE[[#This Row],[MUROS]])</f>
        <v>0</v>
      </c>
      <c r="BJ252" s="3">
        <f>+IF(AVANCE[[#This Row],[CIELO]]=Q$2,100%,AVANCE[[#This Row],[CIELO]])</f>
        <v>0</v>
      </c>
      <c r="BK252" s="3">
        <f>+IF(AVANCE[[#This Row],[BALCÓN]]=R$2,100%,AVANCE[[#This Row],[BALCÓN]])</f>
        <v>0</v>
      </c>
      <c r="BL252" s="3">
        <f>+IF(AVANCE[[#This Row],[RED ALCANTARILLADO]]=U$2,100%,AVANCE[[#This Row],[RED ALCANTARILLADO]])</f>
        <v>0</v>
      </c>
      <c r="BM252" s="3">
        <f>+IF(AVANCE[[#This Row],[RED DE AGUA]]=V$2,100%,AVANCE[[#This Row],[RED DE AGUA]])</f>
        <v>0</v>
      </c>
      <c r="BN252" s="3">
        <f>+IF(AVANCE[[#This Row],[VENTILACIONES]]=W$2,100%,AVANCE[[#This Row],[VENTILACIONES]])</f>
        <v>0</v>
      </c>
      <c r="BO252" s="3">
        <f>+IF(AVANCE[[#This Row],[TINA]]=X$2,100%,AVANCE[[#This Row],[TINA]])</f>
        <v>0</v>
      </c>
      <c r="BP252" s="3">
        <f>+IF(AVANCE[[#This Row],[WC]]=Y$2,100%,AVANCE[[#This Row],[WC]])</f>
        <v>0</v>
      </c>
      <c r="BQ252" s="3">
        <f>+IF(AVANCE[[#This Row],[LAVAMANOS / LAVAPLATOS / LAVADERO]]=Z$2,100%,AVANCE[[#This Row],[LAVAMANOS / LAVAPLATOS / LAVADERO]])</f>
        <v>0</v>
      </c>
      <c r="BR252" s="3">
        <f>+IF(AVANCE[[#This Row],[CANALIZACIÓN]]=AC$2,100%,AVANCE[[#This Row],[CANALIZACIÓN]])</f>
        <v>0</v>
      </c>
      <c r="BS252" s="3">
        <f>+IF(AVANCE[[#This Row],[CABLEADO]]=AD$2,100%,AVANCE[[#This Row],[CABLEADO]])</f>
        <v>0</v>
      </c>
      <c r="BT252" s="3">
        <f>+IF(AVANCE[[#This Row],[ARTEFACTOS]]=AE$2,100%,AVANCE[[#This Row],[ARTEFACTOS]])</f>
        <v>0</v>
      </c>
      <c r="BU252" s="3">
        <f>+IF(AVANCE[[#This Row],[TABLERO]]=AF$2,100%,AVANCE[[#This Row],[TABLERO]])</f>
        <v>0</v>
      </c>
      <c r="BV252" s="3">
        <f>+IF(AVANCE[[#This Row],[CAJA PAU]]=AG$2,100%,AVANCE[[#This Row],[CAJA PAU]])</f>
        <v>0</v>
      </c>
      <c r="BW252" s="3">
        <f>+IF(AVANCE[[#This Row],[INSTALACION VINILICO]]=AJ$2,100%,AVANCE[[#This Row],[INSTALACION VINILICO]])</f>
        <v>0</v>
      </c>
      <c r="BX252" s="3">
        <f>+IF(AVANCE[[#This Row],[OSB CUBIERTA]]=AK$2,100%,AVANCE[[#This Row],[OSB CUBIERTA]])</f>
        <v>0</v>
      </c>
      <c r="BY252" s="3">
        <f>+IF(AVANCE[[#This Row],[BARANDA BALCON]]=AL$2,100%,AVANCE[[#This Row],[BARANDA BALCON]])</f>
        <v>0</v>
      </c>
      <c r="BZ252" s="3">
        <f>+IF(AVANCE[[#This Row],[OSB EXTERIOR]]=AM$2,100%,AVANCE[[#This Row],[OSB EXTERIOR]])</f>
        <v>0</v>
      </c>
      <c r="CA252" s="3">
        <f>+IF(AVANCE[[#This Row],[SMART PANEL]]=AN$2,100%,AVANCE[[#This Row],[SMART PANEL]])</f>
        <v>0</v>
      </c>
      <c r="CB252" s="3">
        <f>+IF(AVANCE[[#This Row],[PINTURA EXTERIOR]]=AO$2,100%,AVANCE[[#This Row],[PINTURA EXTERIOR]])</f>
        <v>0</v>
      </c>
      <c r="CC252" s="3">
        <f>+IF(AVANCE[[#This Row],[ZOCALOS LOGIA]]=AP$2,100%,AVANCE[[#This Row],[ZOCALOS LOGIA]])</f>
        <v>0</v>
      </c>
      <c r="CD252" s="3">
        <f>+IF(AVANCE[[#This Row],[MOLDURAS]]=AQ$2,100%,AVANCE[[#This Row],[MOLDURAS]])</f>
        <v>0</v>
      </c>
      <c r="CE252" s="3">
        <f>+IF(AVANCE[[#This Row],[PILASTREO]]=AR$2,100%,AVANCE[[#This Row],[PILASTREO]])</f>
        <v>0</v>
      </c>
      <c r="CF252" s="3">
        <f>+IF(AVANCE[[#This Row],[CELOSIAS]]=AS$2,100%,AVANCE[[#This Row],[CELOSIAS]])</f>
        <v>0</v>
      </c>
      <c r="CG252" s="3">
        <f>+IF(AVANCE[[#This Row],[VENTANAS]]=AT$2,100%,AVANCE[[#This Row],[VENTANAS]])</f>
        <v>0</v>
      </c>
      <c r="CH252" s="3">
        <f>+IF(AVANCE[[#This Row],[PUERTAS ACCESO - LOGIA - BANO]]=AU$2,100%,AVANCE[[#This Row],[PUERTAS ACCESO - LOGIA - BANO]])</f>
        <v>0</v>
      </c>
      <c r="CI252" s="3">
        <f>+IF(AVANCE[[#This Row],[CERRADURAS]]=AV$2,100%,AVANCE[[#This Row],[CERRADURAS]])</f>
        <v>0</v>
      </c>
      <c r="CJ252" s="3">
        <f>+IF(AVANCE[[#This Row],[REVESTIMIENTO INTERIOR ZONA SECA]]=AW$2,100%,AVANCE[[#This Row],[REVESTIMIENTO INTERIOR ZONA SECA]])</f>
        <v>0</v>
      </c>
      <c r="CK252" s="3">
        <f>+IF(AVANCE[[#This Row],[REVESTIMIENTO INTERIOR ZONAS HUMEDAS]]=AX$2,100%,AVANCE[[#This Row],[REVESTIMIENTO INTERIOR ZONAS HUMEDAS]])</f>
        <v>0</v>
      </c>
      <c r="CL252" s="3">
        <f>+IF(AVANCE[[#This Row],[MEMBRANA CIELO]]=AY$2,100%,AVANCE[[#This Row],[MEMBRANA CIELO]])</f>
        <v>0</v>
      </c>
      <c r="CM252" s="3">
        <f>+IF(AVANCE[[#This Row],[LIMPIEZA FINAL]]=AZ$2,100%,AVANCE[[#This Row],[LIMPIEZA FINAL]])</f>
        <v>0</v>
      </c>
      <c r="CN252" s="3">
        <f>+IF(AVANCE[[#This Row],[PUERTAS DORMITORIO]]=BA$2,100%,AVANCE[[#This Row],[PUERTAS DORMITORIO]])</f>
        <v>0</v>
      </c>
      <c r="CO252" s="3">
        <f>+IF(AVANCE[[#This Row],[REVESTIMIENTO INTERIOR BANO]]=BB$2,100%,AVANCE[[#This Row],[REVESTIMIENTO INTERIOR BANO]])</f>
        <v>0</v>
      </c>
      <c r="CP252" s="3">
        <f>+IF(AVANCE[[#This Row],[MUEBLE LAVAPLATOS]]=BC$2,100%,AVANCE[[#This Row],[MUEBLE LAVAPLATOS]])</f>
        <v>0</v>
      </c>
      <c r="CQ252" s="3">
        <f>+IF(AVANCE[[#This Row],[IMPERMEABILIZACION BANO - COCINA LOGIA]]=BD$2,100%,AVANCE[[#This Row],[IMPERMEABILIZACION BANO - COCINA LOGIA]])</f>
        <v>0</v>
      </c>
      <c r="CR252" s="40">
        <f ca="1">+IF(AVANCE[[#This Row],[ESTADO MODULO]]="PENDIENTE",(TODAY()-AVANCE[[#This Row],[FECHA TERMINO  PLANIFICADO]]),0)</f>
        <v>0</v>
      </c>
      <c r="CS252" s="42" t="str" cm="1">
        <f t="array" ref="CS252">_xlfn.TEXTJOIN(" | ",TRUE,IF(SUMPRODUCT((BF252:CQ252&lt;1)*(PARTIDAS!$I$2:$AT$2="OBRA GRUESA"))&gt;0,"OBRA GRUESA: "&amp;_xlfn.TEXTJOIN(", ",TRUE,IF((BF252:CQ252&lt;1)*(PARTIDAS!$I$2:$AT$2="OBRA GRUESA"),PARTIDAS!$I$1:$AT$1,"")),""),IF(SUMPRODUCT((BF252:CQ252&lt;1)*(PARTIDAS!$I$2:$AT$2="SANITARIOS"))&gt;0,"SANITARIOS: "&amp;_xlfn.TEXTJOIN(", ",TRUE,IF((BF252:CQ252&lt;1)*(PARTIDAS!$I$2:$AT$2="SANITARIOS"),PARTIDAS!$I$1:$AT$1,"")),""),IF(SUMPRODUCT((BF252:CQ252&lt;1)*(PARTIDAS!$I$2:$AT$2="ELÉCTRICO"))&gt;0,"ELÉCTRICO: "&amp;_xlfn.TEXTJOIN(", ",TRUE,IF((BF252:CQ252&lt;1)*(PARTIDAS!$I$2:$AT$2="ELÉCTRICO"),PARTIDAS!$I$1:$AT$1,"")),""),IF(SUMPRODUCT((BF252:CQ252&lt;1)*(PARTIDAS!$I$2:$AT$2="TERMINACIONES"))&gt;0,"TERMINACIONES: "&amp;_xlfn.TEXTJOIN(", ",TRUE,IF((BF252:CQ252&lt;1)*(PARTIDAS!$I$2:$AT$2="TERMINACIONES"),PARTIDAS!$I$1:$AT$1,"")),""))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2" s="45" t="str" cm="1">
        <f t="array" ref="CT252">_xlfn.TEXTJOIN(", ",TRUE,IF(SUMPRODUCT((BF252:CQ252&lt;1)*(PARTIDAS!$I$2:$AT$2="OBRA GRUESA"))&gt;0,"OBRA GRUESA",""),IF(SUMPRODUCT((BF252:CQ252&lt;1)*(PARTIDAS!$I$2:$AT$2="SANITARIOS"))&gt;0,"SANITARIOS",""),IF(SUMPRODUCT((BF252:CQ252&lt;1)*(PARTIDAS!$I$2:$AT$2="ELÉCTRICO"))&gt;0,"ELÉCTRICO",""),IF(SUMPRODUCT((BF252:CQ252&lt;1)*(PARTIDAS!$I$2:$AT$2="TERMINACIONES"))&gt;0,"TERMINACIONES",""))</f>
        <v>OBRA GRUESA, SANITARIOS, ELÉCTRICO, TERMINACIONES</v>
      </c>
      <c r="CU252" s="46" cm="1">
        <f t="array" ref="CU252">SUMPRODUCT(--(BF252:CQ252&lt;1))</f>
        <v>38</v>
      </c>
    </row>
    <row r="253" spans="1:99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46181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 t="str">
        <f>+IF(AVANCE[[#This Row],[% AVANCE]]=100%,"MODULO TERMINADO",IF(AVANCE[[#This Row],[FECHA INICIO REAL]]="","MODULO NO INICIADO","PENDIENTE"))</f>
        <v>MODULO NO INICIADO</v>
      </c>
      <c r="BF253" s="3">
        <f>+IF(AVANCE[[#This Row],[VENTANAS]]=8.10810810810811%,100%,AVANCE[[#This Row],[VENTANAS]])</f>
        <v>0</v>
      </c>
      <c r="BG253" s="3">
        <f>+IF(AVANCE[[#This Row],[PISO]]=N$2,100%,AVANCE[[#This Row],[PISO]])</f>
        <v>0</v>
      </c>
      <c r="BH253" s="3">
        <f>+IF(AVANCE[[#This Row],[TABIQUES]]=O$2,100%,AVANCE[[#This Row],[TABIQUES]])</f>
        <v>0</v>
      </c>
      <c r="BI253" s="3">
        <f>+IF(AVANCE[[#This Row],[MUROS]]=P$2,100%,AVANCE[[#This Row],[MUROS]])</f>
        <v>0</v>
      </c>
      <c r="BJ253" s="3">
        <f>+IF(AVANCE[[#This Row],[CIELO]]=Q$2,100%,AVANCE[[#This Row],[CIELO]])</f>
        <v>0</v>
      </c>
      <c r="BK253" s="3">
        <f>+IF(AVANCE[[#This Row],[BALCÓN]]=R$2,100%,AVANCE[[#This Row],[BALCÓN]])</f>
        <v>0</v>
      </c>
      <c r="BL253" s="3">
        <f>+IF(AVANCE[[#This Row],[RED ALCANTARILLADO]]=U$2,100%,AVANCE[[#This Row],[RED ALCANTARILLADO]])</f>
        <v>0</v>
      </c>
      <c r="BM253" s="3">
        <f>+IF(AVANCE[[#This Row],[RED DE AGUA]]=V$2,100%,AVANCE[[#This Row],[RED DE AGUA]])</f>
        <v>0</v>
      </c>
      <c r="BN253" s="3">
        <f>+IF(AVANCE[[#This Row],[VENTILACIONES]]=W$2,100%,AVANCE[[#This Row],[VENTILACIONES]])</f>
        <v>0</v>
      </c>
      <c r="BO253" s="3">
        <f>+IF(AVANCE[[#This Row],[TINA]]=X$2,100%,AVANCE[[#This Row],[TINA]])</f>
        <v>0</v>
      </c>
      <c r="BP253" s="3">
        <f>+IF(AVANCE[[#This Row],[WC]]=Y$2,100%,AVANCE[[#This Row],[WC]])</f>
        <v>0</v>
      </c>
      <c r="BQ253" s="3">
        <f>+IF(AVANCE[[#This Row],[LAVAMANOS / LAVAPLATOS / LAVADERO]]=Z$2,100%,AVANCE[[#This Row],[LAVAMANOS / LAVAPLATOS / LAVADERO]])</f>
        <v>0</v>
      </c>
      <c r="BR253" s="3">
        <f>+IF(AVANCE[[#This Row],[CANALIZACIÓN]]=AC$2,100%,AVANCE[[#This Row],[CANALIZACIÓN]])</f>
        <v>0</v>
      </c>
      <c r="BS253" s="3">
        <f>+IF(AVANCE[[#This Row],[CABLEADO]]=AD$2,100%,AVANCE[[#This Row],[CABLEADO]])</f>
        <v>0</v>
      </c>
      <c r="BT253" s="3">
        <f>+IF(AVANCE[[#This Row],[ARTEFACTOS]]=AE$2,100%,AVANCE[[#This Row],[ARTEFACTOS]])</f>
        <v>0</v>
      </c>
      <c r="BU253" s="3">
        <f>+IF(AVANCE[[#This Row],[TABLERO]]=AF$2,100%,AVANCE[[#This Row],[TABLERO]])</f>
        <v>0</v>
      </c>
      <c r="BV253" s="3">
        <f>+IF(AVANCE[[#This Row],[CAJA PAU]]=AG$2,100%,AVANCE[[#This Row],[CAJA PAU]])</f>
        <v>0</v>
      </c>
      <c r="BW253" s="3">
        <f>+IF(AVANCE[[#This Row],[INSTALACION VINILICO]]=AJ$2,100%,AVANCE[[#This Row],[INSTALACION VINILICO]])</f>
        <v>0</v>
      </c>
      <c r="BX253" s="3">
        <f>+IF(AVANCE[[#This Row],[OSB CUBIERTA]]=AK$2,100%,AVANCE[[#This Row],[OSB CUBIERTA]])</f>
        <v>0</v>
      </c>
      <c r="BY253" s="3">
        <f>+IF(AVANCE[[#This Row],[BARANDA BALCON]]=AL$2,100%,AVANCE[[#This Row],[BARANDA BALCON]])</f>
        <v>0</v>
      </c>
      <c r="BZ253" s="3">
        <f>+IF(AVANCE[[#This Row],[OSB EXTERIOR]]=AM$2,100%,AVANCE[[#This Row],[OSB EXTERIOR]])</f>
        <v>0</v>
      </c>
      <c r="CA253" s="3">
        <f>+IF(AVANCE[[#This Row],[SMART PANEL]]=AN$2,100%,AVANCE[[#This Row],[SMART PANEL]])</f>
        <v>0</v>
      </c>
      <c r="CB253" s="3">
        <f>+IF(AVANCE[[#This Row],[PINTURA EXTERIOR]]=AO$2,100%,AVANCE[[#This Row],[PINTURA EXTERIOR]])</f>
        <v>0</v>
      </c>
      <c r="CC253" s="3">
        <f>+IF(AVANCE[[#This Row],[ZOCALOS LOGIA]]=AP$2,100%,AVANCE[[#This Row],[ZOCALOS LOGIA]])</f>
        <v>0</v>
      </c>
      <c r="CD253" s="3">
        <f>+IF(AVANCE[[#This Row],[MOLDURAS]]=AQ$2,100%,AVANCE[[#This Row],[MOLDURAS]])</f>
        <v>0</v>
      </c>
      <c r="CE253" s="3">
        <f>+IF(AVANCE[[#This Row],[PILASTREO]]=AR$2,100%,AVANCE[[#This Row],[PILASTREO]])</f>
        <v>0</v>
      </c>
      <c r="CF253" s="3">
        <f>+IF(AVANCE[[#This Row],[CELOSIAS]]=AS$2,100%,AVANCE[[#This Row],[CELOSIAS]])</f>
        <v>0</v>
      </c>
      <c r="CG253" s="3">
        <f>+IF(AVANCE[[#This Row],[VENTANAS]]=AT$2,100%,AVANCE[[#This Row],[VENTANAS]])</f>
        <v>0</v>
      </c>
      <c r="CH253" s="3">
        <f>+IF(AVANCE[[#This Row],[PUERTAS ACCESO - LOGIA - BANO]]=AU$2,100%,AVANCE[[#This Row],[PUERTAS ACCESO - LOGIA - BANO]])</f>
        <v>0</v>
      </c>
      <c r="CI253" s="3">
        <f>+IF(AVANCE[[#This Row],[CERRADURAS]]=AV$2,100%,AVANCE[[#This Row],[CERRADURAS]])</f>
        <v>0</v>
      </c>
      <c r="CJ253" s="3">
        <f>+IF(AVANCE[[#This Row],[REVESTIMIENTO INTERIOR ZONA SECA]]=AW$2,100%,AVANCE[[#This Row],[REVESTIMIENTO INTERIOR ZONA SECA]])</f>
        <v>0</v>
      </c>
      <c r="CK253" s="3">
        <f>+IF(AVANCE[[#This Row],[REVESTIMIENTO INTERIOR ZONAS HUMEDAS]]=AX$2,100%,AVANCE[[#This Row],[REVESTIMIENTO INTERIOR ZONAS HUMEDAS]])</f>
        <v>0</v>
      </c>
      <c r="CL253" s="3">
        <f>+IF(AVANCE[[#This Row],[MEMBRANA CIELO]]=AY$2,100%,AVANCE[[#This Row],[MEMBRANA CIELO]])</f>
        <v>0</v>
      </c>
      <c r="CM253" s="3">
        <f>+IF(AVANCE[[#This Row],[LIMPIEZA FINAL]]=AZ$2,100%,AVANCE[[#This Row],[LIMPIEZA FINAL]])</f>
        <v>0</v>
      </c>
      <c r="CN253" s="3">
        <f>+IF(AVANCE[[#This Row],[PUERTAS DORMITORIO]]=BA$2,100%,AVANCE[[#This Row],[PUERTAS DORMITORIO]])</f>
        <v>0</v>
      </c>
      <c r="CO253" s="3">
        <f>+IF(AVANCE[[#This Row],[REVESTIMIENTO INTERIOR BANO]]=BB$2,100%,AVANCE[[#This Row],[REVESTIMIENTO INTERIOR BANO]])</f>
        <v>0</v>
      </c>
      <c r="CP253" s="3">
        <f>+IF(AVANCE[[#This Row],[MUEBLE LAVAPLATOS]]=BC$2,100%,AVANCE[[#This Row],[MUEBLE LAVAPLATOS]])</f>
        <v>0</v>
      </c>
      <c r="CQ253" s="3">
        <f>+IF(AVANCE[[#This Row],[IMPERMEABILIZACION BANO - COCINA LOGIA]]=BD$2,100%,AVANCE[[#This Row],[IMPERMEABILIZACION BANO - COCINA LOGIA]])</f>
        <v>0</v>
      </c>
      <c r="CR253" s="40">
        <f ca="1">+IF(AVANCE[[#This Row],[ESTADO MODULO]]="PENDIENTE",(TODAY()-AVANCE[[#This Row],[FECHA TERMINO  PLANIFICADO]]),0)</f>
        <v>0</v>
      </c>
      <c r="CS253" s="42" t="str" cm="1">
        <f t="array" ref="CS253">_xlfn.TEXTJOIN(" | ",TRUE,IF(SUMPRODUCT((BF253:CQ253&lt;1)*(PARTIDAS!$I$2:$AT$2="OBRA GRUESA"))&gt;0,"OBRA GRUESA: "&amp;_xlfn.TEXTJOIN(", ",TRUE,IF((BF253:CQ253&lt;1)*(PARTIDAS!$I$2:$AT$2="OBRA GRUESA"),PARTIDAS!$I$1:$AT$1,"")),""),IF(SUMPRODUCT((BF253:CQ253&lt;1)*(PARTIDAS!$I$2:$AT$2="SANITARIOS"))&gt;0,"SANITARIOS: "&amp;_xlfn.TEXTJOIN(", ",TRUE,IF((BF253:CQ253&lt;1)*(PARTIDAS!$I$2:$AT$2="SANITARIOS"),PARTIDAS!$I$1:$AT$1,"")),""),IF(SUMPRODUCT((BF253:CQ253&lt;1)*(PARTIDAS!$I$2:$AT$2="ELÉCTRICO"))&gt;0,"ELÉCTRICO: "&amp;_xlfn.TEXTJOIN(", ",TRUE,IF((BF253:CQ253&lt;1)*(PARTIDAS!$I$2:$AT$2="ELÉCTRICO"),PARTIDAS!$I$1:$AT$1,"")),""),IF(SUMPRODUCT((BF253:CQ253&lt;1)*(PARTIDAS!$I$2:$AT$2="TERMINACIONES"))&gt;0,"TERMINACIONES: "&amp;_xlfn.TEXTJOIN(", ",TRUE,IF((BF253:CQ253&lt;1)*(PARTIDAS!$I$2:$AT$2="TERMINACIONES"),PARTIDAS!$I$1:$AT$1,"")),""))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3" s="45" t="str" cm="1">
        <f t="array" ref="CT253">_xlfn.TEXTJOIN(", ",TRUE,IF(SUMPRODUCT((BF253:CQ253&lt;1)*(PARTIDAS!$I$2:$AT$2="OBRA GRUESA"))&gt;0,"OBRA GRUESA",""),IF(SUMPRODUCT((BF253:CQ253&lt;1)*(PARTIDAS!$I$2:$AT$2="SANITARIOS"))&gt;0,"SANITARIOS",""),IF(SUMPRODUCT((BF253:CQ253&lt;1)*(PARTIDAS!$I$2:$AT$2="ELÉCTRICO"))&gt;0,"ELÉCTRICO",""),IF(SUMPRODUCT((BF253:CQ253&lt;1)*(PARTIDAS!$I$2:$AT$2="TERMINACIONES"))&gt;0,"TERMINACIONES",""))</f>
        <v>OBRA GRUESA, SANITARIOS, ELÉCTRICO, TERMINACIONES</v>
      </c>
      <c r="CU253" s="46" cm="1">
        <f t="array" ref="CU253">SUMPRODUCT(--(BF253:CQ253&lt;1))</f>
        <v>38</v>
      </c>
    </row>
    <row r="254" spans="1:99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46181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 t="str">
        <f>+IF(AVANCE[[#This Row],[% AVANCE]]=100%,"MODULO TERMINADO",IF(AVANCE[[#This Row],[FECHA INICIO REAL]]="","MODULO NO INICIADO","PENDIENTE"))</f>
        <v>MODULO NO INICIADO</v>
      </c>
      <c r="BF254" s="3">
        <f>+IF(AVANCE[[#This Row],[VENTANAS]]=8.10810810810811%,100%,AVANCE[[#This Row],[VENTANAS]])</f>
        <v>0</v>
      </c>
      <c r="BG254" s="3">
        <f>+IF(AVANCE[[#This Row],[PISO]]=N$2,100%,AVANCE[[#This Row],[PISO]])</f>
        <v>0</v>
      </c>
      <c r="BH254" s="3">
        <f>+IF(AVANCE[[#This Row],[TABIQUES]]=O$2,100%,AVANCE[[#This Row],[TABIQUES]])</f>
        <v>0</v>
      </c>
      <c r="BI254" s="3">
        <f>+IF(AVANCE[[#This Row],[MUROS]]=P$2,100%,AVANCE[[#This Row],[MUROS]])</f>
        <v>0</v>
      </c>
      <c r="BJ254" s="3">
        <f>+IF(AVANCE[[#This Row],[CIELO]]=Q$2,100%,AVANCE[[#This Row],[CIELO]])</f>
        <v>0</v>
      </c>
      <c r="BK254" s="3">
        <f>+IF(AVANCE[[#This Row],[BALCÓN]]=R$2,100%,AVANCE[[#This Row],[BALCÓN]])</f>
        <v>0</v>
      </c>
      <c r="BL254" s="3">
        <f>+IF(AVANCE[[#This Row],[RED ALCANTARILLADO]]=U$2,100%,AVANCE[[#This Row],[RED ALCANTARILLADO]])</f>
        <v>0</v>
      </c>
      <c r="BM254" s="3">
        <f>+IF(AVANCE[[#This Row],[RED DE AGUA]]=V$2,100%,AVANCE[[#This Row],[RED DE AGUA]])</f>
        <v>0</v>
      </c>
      <c r="BN254" s="3">
        <f>+IF(AVANCE[[#This Row],[VENTILACIONES]]=W$2,100%,AVANCE[[#This Row],[VENTILACIONES]])</f>
        <v>0</v>
      </c>
      <c r="BO254" s="3">
        <f>+IF(AVANCE[[#This Row],[TINA]]=X$2,100%,AVANCE[[#This Row],[TINA]])</f>
        <v>0</v>
      </c>
      <c r="BP254" s="3">
        <f>+IF(AVANCE[[#This Row],[WC]]=Y$2,100%,AVANCE[[#This Row],[WC]])</f>
        <v>0</v>
      </c>
      <c r="BQ254" s="3">
        <f>+IF(AVANCE[[#This Row],[LAVAMANOS / LAVAPLATOS / LAVADERO]]=Z$2,100%,AVANCE[[#This Row],[LAVAMANOS / LAVAPLATOS / LAVADERO]])</f>
        <v>0</v>
      </c>
      <c r="BR254" s="3">
        <f>+IF(AVANCE[[#This Row],[CANALIZACIÓN]]=AC$2,100%,AVANCE[[#This Row],[CANALIZACIÓN]])</f>
        <v>0</v>
      </c>
      <c r="BS254" s="3">
        <f>+IF(AVANCE[[#This Row],[CABLEADO]]=AD$2,100%,AVANCE[[#This Row],[CABLEADO]])</f>
        <v>0</v>
      </c>
      <c r="BT254" s="3">
        <f>+IF(AVANCE[[#This Row],[ARTEFACTOS]]=AE$2,100%,AVANCE[[#This Row],[ARTEFACTOS]])</f>
        <v>0</v>
      </c>
      <c r="BU254" s="3">
        <f>+IF(AVANCE[[#This Row],[TABLERO]]=AF$2,100%,AVANCE[[#This Row],[TABLERO]])</f>
        <v>0</v>
      </c>
      <c r="BV254" s="3">
        <f>+IF(AVANCE[[#This Row],[CAJA PAU]]=AG$2,100%,AVANCE[[#This Row],[CAJA PAU]])</f>
        <v>0</v>
      </c>
      <c r="BW254" s="3">
        <f>+IF(AVANCE[[#This Row],[INSTALACION VINILICO]]=AJ$2,100%,AVANCE[[#This Row],[INSTALACION VINILICO]])</f>
        <v>0</v>
      </c>
      <c r="BX254" s="3">
        <f>+IF(AVANCE[[#This Row],[OSB CUBIERTA]]=AK$2,100%,AVANCE[[#This Row],[OSB CUBIERTA]])</f>
        <v>0</v>
      </c>
      <c r="BY254" s="3">
        <f>+IF(AVANCE[[#This Row],[BARANDA BALCON]]=AL$2,100%,AVANCE[[#This Row],[BARANDA BALCON]])</f>
        <v>0</v>
      </c>
      <c r="BZ254" s="3">
        <f>+IF(AVANCE[[#This Row],[OSB EXTERIOR]]=AM$2,100%,AVANCE[[#This Row],[OSB EXTERIOR]])</f>
        <v>0</v>
      </c>
      <c r="CA254" s="3">
        <f>+IF(AVANCE[[#This Row],[SMART PANEL]]=AN$2,100%,AVANCE[[#This Row],[SMART PANEL]])</f>
        <v>0</v>
      </c>
      <c r="CB254" s="3">
        <f>+IF(AVANCE[[#This Row],[PINTURA EXTERIOR]]=AO$2,100%,AVANCE[[#This Row],[PINTURA EXTERIOR]])</f>
        <v>0</v>
      </c>
      <c r="CC254" s="3">
        <f>+IF(AVANCE[[#This Row],[ZOCALOS LOGIA]]=AP$2,100%,AVANCE[[#This Row],[ZOCALOS LOGIA]])</f>
        <v>0</v>
      </c>
      <c r="CD254" s="3">
        <f>+IF(AVANCE[[#This Row],[MOLDURAS]]=AQ$2,100%,AVANCE[[#This Row],[MOLDURAS]])</f>
        <v>0</v>
      </c>
      <c r="CE254" s="3">
        <f>+IF(AVANCE[[#This Row],[PILASTREO]]=AR$2,100%,AVANCE[[#This Row],[PILASTREO]])</f>
        <v>0</v>
      </c>
      <c r="CF254" s="3">
        <f>+IF(AVANCE[[#This Row],[CELOSIAS]]=AS$2,100%,AVANCE[[#This Row],[CELOSIAS]])</f>
        <v>0</v>
      </c>
      <c r="CG254" s="3">
        <f>+IF(AVANCE[[#This Row],[VENTANAS]]=AT$2,100%,AVANCE[[#This Row],[VENTANAS]])</f>
        <v>0</v>
      </c>
      <c r="CH254" s="3">
        <f>+IF(AVANCE[[#This Row],[PUERTAS ACCESO - LOGIA - BANO]]=AU$2,100%,AVANCE[[#This Row],[PUERTAS ACCESO - LOGIA - BANO]])</f>
        <v>0</v>
      </c>
      <c r="CI254" s="3">
        <f>+IF(AVANCE[[#This Row],[CERRADURAS]]=AV$2,100%,AVANCE[[#This Row],[CERRADURAS]])</f>
        <v>0</v>
      </c>
      <c r="CJ254" s="3">
        <f>+IF(AVANCE[[#This Row],[REVESTIMIENTO INTERIOR ZONA SECA]]=AW$2,100%,AVANCE[[#This Row],[REVESTIMIENTO INTERIOR ZONA SECA]])</f>
        <v>0</v>
      </c>
      <c r="CK254" s="3">
        <f>+IF(AVANCE[[#This Row],[REVESTIMIENTO INTERIOR ZONAS HUMEDAS]]=AX$2,100%,AVANCE[[#This Row],[REVESTIMIENTO INTERIOR ZONAS HUMEDAS]])</f>
        <v>0</v>
      </c>
      <c r="CL254" s="3">
        <f>+IF(AVANCE[[#This Row],[MEMBRANA CIELO]]=AY$2,100%,AVANCE[[#This Row],[MEMBRANA CIELO]])</f>
        <v>0</v>
      </c>
      <c r="CM254" s="3">
        <f>+IF(AVANCE[[#This Row],[LIMPIEZA FINAL]]=AZ$2,100%,AVANCE[[#This Row],[LIMPIEZA FINAL]])</f>
        <v>0</v>
      </c>
      <c r="CN254" s="3">
        <f>+IF(AVANCE[[#This Row],[PUERTAS DORMITORIO]]=BA$2,100%,AVANCE[[#This Row],[PUERTAS DORMITORIO]])</f>
        <v>0</v>
      </c>
      <c r="CO254" s="3">
        <f>+IF(AVANCE[[#This Row],[REVESTIMIENTO INTERIOR BANO]]=BB$2,100%,AVANCE[[#This Row],[REVESTIMIENTO INTERIOR BANO]])</f>
        <v>0</v>
      </c>
      <c r="CP254" s="3">
        <f>+IF(AVANCE[[#This Row],[MUEBLE LAVAPLATOS]]=BC$2,100%,AVANCE[[#This Row],[MUEBLE LAVAPLATOS]])</f>
        <v>0</v>
      </c>
      <c r="CQ254" s="3">
        <f>+IF(AVANCE[[#This Row],[IMPERMEABILIZACION BANO - COCINA LOGIA]]=BD$2,100%,AVANCE[[#This Row],[IMPERMEABILIZACION BANO - COCINA LOGIA]])</f>
        <v>0</v>
      </c>
      <c r="CR254" s="40">
        <f ca="1">+IF(AVANCE[[#This Row],[ESTADO MODULO]]="PENDIENTE",(TODAY()-AVANCE[[#This Row],[FECHA TERMINO  PLANIFICADO]]),0)</f>
        <v>0</v>
      </c>
      <c r="CS254" s="42" t="str" cm="1">
        <f t="array" ref="CS254">_xlfn.TEXTJOIN(" | ",TRUE,IF(SUMPRODUCT((BF254:CQ254&lt;1)*(PARTIDAS!$I$2:$AT$2="OBRA GRUESA"))&gt;0,"OBRA GRUESA: "&amp;_xlfn.TEXTJOIN(", ",TRUE,IF((BF254:CQ254&lt;1)*(PARTIDAS!$I$2:$AT$2="OBRA GRUESA"),PARTIDAS!$I$1:$AT$1,"")),""),IF(SUMPRODUCT((BF254:CQ254&lt;1)*(PARTIDAS!$I$2:$AT$2="SANITARIOS"))&gt;0,"SANITARIOS: "&amp;_xlfn.TEXTJOIN(", ",TRUE,IF((BF254:CQ254&lt;1)*(PARTIDAS!$I$2:$AT$2="SANITARIOS"),PARTIDAS!$I$1:$AT$1,"")),""),IF(SUMPRODUCT((BF254:CQ254&lt;1)*(PARTIDAS!$I$2:$AT$2="ELÉCTRICO"))&gt;0,"ELÉCTRICO: "&amp;_xlfn.TEXTJOIN(", ",TRUE,IF((BF254:CQ254&lt;1)*(PARTIDAS!$I$2:$AT$2="ELÉCTRICO"),PARTIDAS!$I$1:$AT$1,"")),""),IF(SUMPRODUCT((BF254:CQ254&lt;1)*(PARTIDAS!$I$2:$AT$2="TERMINACIONES"))&gt;0,"TERMINACIONES: "&amp;_xlfn.TEXTJOIN(", ",TRUE,IF((BF254:CQ254&lt;1)*(PARTIDAS!$I$2:$AT$2="TERMINACIONES"),PARTIDAS!$I$1:$AT$1,"")),""))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4" s="45" t="str" cm="1">
        <f t="array" ref="CT254">_xlfn.TEXTJOIN(", ",TRUE,IF(SUMPRODUCT((BF254:CQ254&lt;1)*(PARTIDAS!$I$2:$AT$2="OBRA GRUESA"))&gt;0,"OBRA GRUESA",""),IF(SUMPRODUCT((BF254:CQ254&lt;1)*(PARTIDAS!$I$2:$AT$2="SANITARIOS"))&gt;0,"SANITARIOS",""),IF(SUMPRODUCT((BF254:CQ254&lt;1)*(PARTIDAS!$I$2:$AT$2="ELÉCTRICO"))&gt;0,"ELÉCTRICO",""),IF(SUMPRODUCT((BF254:CQ254&lt;1)*(PARTIDAS!$I$2:$AT$2="TERMINACIONES"))&gt;0,"TERMINACIONES",""))</f>
        <v>OBRA GRUESA, SANITARIOS, ELÉCTRICO, TERMINACIONES</v>
      </c>
      <c r="CU254" s="46" cm="1">
        <f t="array" ref="CU254">SUMPRODUCT(--(BF254:CQ254&lt;1))</f>
        <v>38</v>
      </c>
    </row>
    <row r="255" spans="1:99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46181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 t="str">
        <f>+IF(AVANCE[[#This Row],[% AVANCE]]=100%,"MODULO TERMINADO",IF(AVANCE[[#This Row],[FECHA INICIO REAL]]="","MODULO NO INICIADO","PENDIENTE"))</f>
        <v>MODULO NO INICIADO</v>
      </c>
      <c r="BF255" s="3">
        <f>+IF(AVANCE[[#This Row],[VENTANAS]]=8.10810810810811%,100%,AVANCE[[#This Row],[VENTANAS]])</f>
        <v>0</v>
      </c>
      <c r="BG255" s="3">
        <f>+IF(AVANCE[[#This Row],[PISO]]=N$2,100%,AVANCE[[#This Row],[PISO]])</f>
        <v>0</v>
      </c>
      <c r="BH255" s="3">
        <f>+IF(AVANCE[[#This Row],[TABIQUES]]=O$2,100%,AVANCE[[#This Row],[TABIQUES]])</f>
        <v>0</v>
      </c>
      <c r="BI255" s="3">
        <f>+IF(AVANCE[[#This Row],[MUROS]]=P$2,100%,AVANCE[[#This Row],[MUROS]])</f>
        <v>0</v>
      </c>
      <c r="BJ255" s="3">
        <f>+IF(AVANCE[[#This Row],[CIELO]]=Q$2,100%,AVANCE[[#This Row],[CIELO]])</f>
        <v>0</v>
      </c>
      <c r="BK255" s="3">
        <f>+IF(AVANCE[[#This Row],[BALCÓN]]=R$2,100%,AVANCE[[#This Row],[BALCÓN]])</f>
        <v>0</v>
      </c>
      <c r="BL255" s="3">
        <f>+IF(AVANCE[[#This Row],[RED ALCANTARILLADO]]=U$2,100%,AVANCE[[#This Row],[RED ALCANTARILLADO]])</f>
        <v>0</v>
      </c>
      <c r="BM255" s="3">
        <f>+IF(AVANCE[[#This Row],[RED DE AGUA]]=V$2,100%,AVANCE[[#This Row],[RED DE AGUA]])</f>
        <v>0</v>
      </c>
      <c r="BN255" s="3">
        <f>+IF(AVANCE[[#This Row],[VENTILACIONES]]=W$2,100%,AVANCE[[#This Row],[VENTILACIONES]])</f>
        <v>0</v>
      </c>
      <c r="BO255" s="3">
        <f>+IF(AVANCE[[#This Row],[TINA]]=X$2,100%,AVANCE[[#This Row],[TINA]])</f>
        <v>0</v>
      </c>
      <c r="BP255" s="3">
        <f>+IF(AVANCE[[#This Row],[WC]]=Y$2,100%,AVANCE[[#This Row],[WC]])</f>
        <v>0</v>
      </c>
      <c r="BQ255" s="3">
        <f>+IF(AVANCE[[#This Row],[LAVAMANOS / LAVAPLATOS / LAVADERO]]=Z$2,100%,AVANCE[[#This Row],[LAVAMANOS / LAVAPLATOS / LAVADERO]])</f>
        <v>0</v>
      </c>
      <c r="BR255" s="3">
        <f>+IF(AVANCE[[#This Row],[CANALIZACIÓN]]=AC$2,100%,AVANCE[[#This Row],[CANALIZACIÓN]])</f>
        <v>0</v>
      </c>
      <c r="BS255" s="3">
        <f>+IF(AVANCE[[#This Row],[CABLEADO]]=AD$2,100%,AVANCE[[#This Row],[CABLEADO]])</f>
        <v>0</v>
      </c>
      <c r="BT255" s="3">
        <f>+IF(AVANCE[[#This Row],[ARTEFACTOS]]=AE$2,100%,AVANCE[[#This Row],[ARTEFACTOS]])</f>
        <v>0</v>
      </c>
      <c r="BU255" s="3">
        <f>+IF(AVANCE[[#This Row],[TABLERO]]=AF$2,100%,AVANCE[[#This Row],[TABLERO]])</f>
        <v>0</v>
      </c>
      <c r="BV255" s="3">
        <f>+IF(AVANCE[[#This Row],[CAJA PAU]]=AG$2,100%,AVANCE[[#This Row],[CAJA PAU]])</f>
        <v>0</v>
      </c>
      <c r="BW255" s="3">
        <f>+IF(AVANCE[[#This Row],[INSTALACION VINILICO]]=AJ$2,100%,AVANCE[[#This Row],[INSTALACION VINILICO]])</f>
        <v>0</v>
      </c>
      <c r="BX255" s="3">
        <f>+IF(AVANCE[[#This Row],[OSB CUBIERTA]]=AK$2,100%,AVANCE[[#This Row],[OSB CUBIERTA]])</f>
        <v>0</v>
      </c>
      <c r="BY255" s="3">
        <f>+IF(AVANCE[[#This Row],[BARANDA BALCON]]=AL$2,100%,AVANCE[[#This Row],[BARANDA BALCON]])</f>
        <v>0</v>
      </c>
      <c r="BZ255" s="3">
        <f>+IF(AVANCE[[#This Row],[OSB EXTERIOR]]=AM$2,100%,AVANCE[[#This Row],[OSB EXTERIOR]])</f>
        <v>0</v>
      </c>
      <c r="CA255" s="3">
        <f>+IF(AVANCE[[#This Row],[SMART PANEL]]=AN$2,100%,AVANCE[[#This Row],[SMART PANEL]])</f>
        <v>0</v>
      </c>
      <c r="CB255" s="3">
        <f>+IF(AVANCE[[#This Row],[PINTURA EXTERIOR]]=AO$2,100%,AVANCE[[#This Row],[PINTURA EXTERIOR]])</f>
        <v>0</v>
      </c>
      <c r="CC255" s="3">
        <f>+IF(AVANCE[[#This Row],[ZOCALOS LOGIA]]=AP$2,100%,AVANCE[[#This Row],[ZOCALOS LOGIA]])</f>
        <v>0</v>
      </c>
      <c r="CD255" s="3">
        <f>+IF(AVANCE[[#This Row],[MOLDURAS]]=AQ$2,100%,AVANCE[[#This Row],[MOLDURAS]])</f>
        <v>0</v>
      </c>
      <c r="CE255" s="3">
        <f>+IF(AVANCE[[#This Row],[PILASTREO]]=AR$2,100%,AVANCE[[#This Row],[PILASTREO]])</f>
        <v>0</v>
      </c>
      <c r="CF255" s="3">
        <f>+IF(AVANCE[[#This Row],[CELOSIAS]]=AS$2,100%,AVANCE[[#This Row],[CELOSIAS]])</f>
        <v>0</v>
      </c>
      <c r="CG255" s="3">
        <f>+IF(AVANCE[[#This Row],[VENTANAS]]=AT$2,100%,AVANCE[[#This Row],[VENTANAS]])</f>
        <v>0</v>
      </c>
      <c r="CH255" s="3">
        <f>+IF(AVANCE[[#This Row],[PUERTAS ACCESO - LOGIA - BANO]]=AU$2,100%,AVANCE[[#This Row],[PUERTAS ACCESO - LOGIA - BANO]])</f>
        <v>0</v>
      </c>
      <c r="CI255" s="3">
        <f>+IF(AVANCE[[#This Row],[CERRADURAS]]=AV$2,100%,AVANCE[[#This Row],[CERRADURAS]])</f>
        <v>0</v>
      </c>
      <c r="CJ255" s="3">
        <f>+IF(AVANCE[[#This Row],[REVESTIMIENTO INTERIOR ZONA SECA]]=AW$2,100%,AVANCE[[#This Row],[REVESTIMIENTO INTERIOR ZONA SECA]])</f>
        <v>0</v>
      </c>
      <c r="CK255" s="3">
        <f>+IF(AVANCE[[#This Row],[REVESTIMIENTO INTERIOR ZONAS HUMEDAS]]=AX$2,100%,AVANCE[[#This Row],[REVESTIMIENTO INTERIOR ZONAS HUMEDAS]])</f>
        <v>0</v>
      </c>
      <c r="CL255" s="3">
        <f>+IF(AVANCE[[#This Row],[MEMBRANA CIELO]]=AY$2,100%,AVANCE[[#This Row],[MEMBRANA CIELO]])</f>
        <v>0</v>
      </c>
      <c r="CM255" s="3">
        <f>+IF(AVANCE[[#This Row],[LIMPIEZA FINAL]]=AZ$2,100%,AVANCE[[#This Row],[LIMPIEZA FINAL]])</f>
        <v>0</v>
      </c>
      <c r="CN255" s="3">
        <f>+IF(AVANCE[[#This Row],[PUERTAS DORMITORIO]]=BA$2,100%,AVANCE[[#This Row],[PUERTAS DORMITORIO]])</f>
        <v>0</v>
      </c>
      <c r="CO255" s="3">
        <f>+IF(AVANCE[[#This Row],[REVESTIMIENTO INTERIOR BANO]]=BB$2,100%,AVANCE[[#This Row],[REVESTIMIENTO INTERIOR BANO]])</f>
        <v>0</v>
      </c>
      <c r="CP255" s="3">
        <f>+IF(AVANCE[[#This Row],[MUEBLE LAVAPLATOS]]=BC$2,100%,AVANCE[[#This Row],[MUEBLE LAVAPLATOS]])</f>
        <v>0</v>
      </c>
      <c r="CQ255" s="3">
        <f>+IF(AVANCE[[#This Row],[IMPERMEABILIZACION BANO - COCINA LOGIA]]=BD$2,100%,AVANCE[[#This Row],[IMPERMEABILIZACION BANO - COCINA LOGIA]])</f>
        <v>0</v>
      </c>
      <c r="CR255" s="40">
        <f ca="1">+IF(AVANCE[[#This Row],[ESTADO MODULO]]="PENDIENTE",(TODAY()-AVANCE[[#This Row],[FECHA TERMINO  PLANIFICADO]]),0)</f>
        <v>0</v>
      </c>
      <c r="CS255" s="42" t="str" cm="1">
        <f t="array" ref="CS255">_xlfn.TEXTJOIN(" | ",TRUE,IF(SUMPRODUCT((BF255:CQ255&lt;1)*(PARTIDAS!$I$2:$AT$2="OBRA GRUESA"))&gt;0,"OBRA GRUESA: "&amp;_xlfn.TEXTJOIN(", ",TRUE,IF((BF255:CQ255&lt;1)*(PARTIDAS!$I$2:$AT$2="OBRA GRUESA"),PARTIDAS!$I$1:$AT$1,"")),""),IF(SUMPRODUCT((BF255:CQ255&lt;1)*(PARTIDAS!$I$2:$AT$2="SANITARIOS"))&gt;0,"SANITARIOS: "&amp;_xlfn.TEXTJOIN(", ",TRUE,IF((BF255:CQ255&lt;1)*(PARTIDAS!$I$2:$AT$2="SANITARIOS"),PARTIDAS!$I$1:$AT$1,"")),""),IF(SUMPRODUCT((BF255:CQ255&lt;1)*(PARTIDAS!$I$2:$AT$2="ELÉCTRICO"))&gt;0,"ELÉCTRICO: "&amp;_xlfn.TEXTJOIN(", ",TRUE,IF((BF255:CQ255&lt;1)*(PARTIDAS!$I$2:$AT$2="ELÉCTRICO"),PARTIDAS!$I$1:$AT$1,"")),""),IF(SUMPRODUCT((BF255:CQ255&lt;1)*(PARTIDAS!$I$2:$AT$2="TERMINACIONES"))&gt;0,"TERMINACIONES: "&amp;_xlfn.TEXTJOIN(", ",TRUE,IF((BF255:CQ255&lt;1)*(PARTIDAS!$I$2:$AT$2="TERMINACIONES"),PARTIDAS!$I$1:$AT$1,"")),""))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5" s="45" t="str" cm="1">
        <f t="array" ref="CT255">_xlfn.TEXTJOIN(", ",TRUE,IF(SUMPRODUCT((BF255:CQ255&lt;1)*(PARTIDAS!$I$2:$AT$2="OBRA GRUESA"))&gt;0,"OBRA GRUESA",""),IF(SUMPRODUCT((BF255:CQ255&lt;1)*(PARTIDAS!$I$2:$AT$2="SANITARIOS"))&gt;0,"SANITARIOS",""),IF(SUMPRODUCT((BF255:CQ255&lt;1)*(PARTIDAS!$I$2:$AT$2="ELÉCTRICO"))&gt;0,"ELÉCTRICO",""),IF(SUMPRODUCT((BF255:CQ255&lt;1)*(PARTIDAS!$I$2:$AT$2="TERMINACIONES"))&gt;0,"TERMINACIONES",""))</f>
        <v>OBRA GRUESA, SANITARIOS, ELÉCTRICO, TERMINACIONES</v>
      </c>
      <c r="CU255" s="46" cm="1">
        <f t="array" ref="CU255">SUMPRODUCT(--(BF255:CQ255&lt;1))</f>
        <v>38</v>
      </c>
    </row>
    <row r="256" spans="1:99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46181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 t="str">
        <f>+IF(AVANCE[[#This Row],[% AVANCE]]=100%,"MODULO TERMINADO",IF(AVANCE[[#This Row],[FECHA INICIO REAL]]="","MODULO NO INICIADO","PENDIENTE"))</f>
        <v>MODULO NO INICIADO</v>
      </c>
      <c r="BF256" s="3">
        <f>+IF(AVANCE[[#This Row],[VENTANAS]]=8.10810810810811%,100%,AVANCE[[#This Row],[VENTANAS]])</f>
        <v>0</v>
      </c>
      <c r="BG256" s="3">
        <f>+IF(AVANCE[[#This Row],[PISO]]=N$2,100%,AVANCE[[#This Row],[PISO]])</f>
        <v>0</v>
      </c>
      <c r="BH256" s="3">
        <f>+IF(AVANCE[[#This Row],[TABIQUES]]=O$2,100%,AVANCE[[#This Row],[TABIQUES]])</f>
        <v>0</v>
      </c>
      <c r="BI256" s="3">
        <f>+IF(AVANCE[[#This Row],[MUROS]]=P$2,100%,AVANCE[[#This Row],[MUROS]])</f>
        <v>0</v>
      </c>
      <c r="BJ256" s="3">
        <f>+IF(AVANCE[[#This Row],[CIELO]]=Q$2,100%,AVANCE[[#This Row],[CIELO]])</f>
        <v>0</v>
      </c>
      <c r="BK256" s="3">
        <f>+IF(AVANCE[[#This Row],[BALCÓN]]=R$2,100%,AVANCE[[#This Row],[BALCÓN]])</f>
        <v>0</v>
      </c>
      <c r="BL256" s="3">
        <f>+IF(AVANCE[[#This Row],[RED ALCANTARILLADO]]=U$2,100%,AVANCE[[#This Row],[RED ALCANTARILLADO]])</f>
        <v>0</v>
      </c>
      <c r="BM256" s="3">
        <f>+IF(AVANCE[[#This Row],[RED DE AGUA]]=V$2,100%,AVANCE[[#This Row],[RED DE AGUA]])</f>
        <v>0</v>
      </c>
      <c r="BN256" s="3">
        <f>+IF(AVANCE[[#This Row],[VENTILACIONES]]=W$2,100%,AVANCE[[#This Row],[VENTILACIONES]])</f>
        <v>0</v>
      </c>
      <c r="BO256" s="3">
        <f>+IF(AVANCE[[#This Row],[TINA]]=X$2,100%,AVANCE[[#This Row],[TINA]])</f>
        <v>0</v>
      </c>
      <c r="BP256" s="3">
        <f>+IF(AVANCE[[#This Row],[WC]]=Y$2,100%,AVANCE[[#This Row],[WC]])</f>
        <v>0</v>
      </c>
      <c r="BQ256" s="3">
        <f>+IF(AVANCE[[#This Row],[LAVAMANOS / LAVAPLATOS / LAVADERO]]=Z$2,100%,AVANCE[[#This Row],[LAVAMANOS / LAVAPLATOS / LAVADERO]])</f>
        <v>0</v>
      </c>
      <c r="BR256" s="3">
        <f>+IF(AVANCE[[#This Row],[CANALIZACIÓN]]=AC$2,100%,AVANCE[[#This Row],[CANALIZACIÓN]])</f>
        <v>0</v>
      </c>
      <c r="BS256" s="3">
        <f>+IF(AVANCE[[#This Row],[CABLEADO]]=AD$2,100%,AVANCE[[#This Row],[CABLEADO]])</f>
        <v>0</v>
      </c>
      <c r="BT256" s="3">
        <f>+IF(AVANCE[[#This Row],[ARTEFACTOS]]=AE$2,100%,AVANCE[[#This Row],[ARTEFACTOS]])</f>
        <v>0</v>
      </c>
      <c r="BU256" s="3">
        <f>+IF(AVANCE[[#This Row],[TABLERO]]=AF$2,100%,AVANCE[[#This Row],[TABLERO]])</f>
        <v>0</v>
      </c>
      <c r="BV256" s="3">
        <f>+IF(AVANCE[[#This Row],[CAJA PAU]]=AG$2,100%,AVANCE[[#This Row],[CAJA PAU]])</f>
        <v>0</v>
      </c>
      <c r="BW256" s="3">
        <f>+IF(AVANCE[[#This Row],[INSTALACION VINILICO]]=AJ$2,100%,AVANCE[[#This Row],[INSTALACION VINILICO]])</f>
        <v>0</v>
      </c>
      <c r="BX256" s="3">
        <f>+IF(AVANCE[[#This Row],[OSB CUBIERTA]]=AK$2,100%,AVANCE[[#This Row],[OSB CUBIERTA]])</f>
        <v>0</v>
      </c>
      <c r="BY256" s="3">
        <f>+IF(AVANCE[[#This Row],[BARANDA BALCON]]=AL$2,100%,AVANCE[[#This Row],[BARANDA BALCON]])</f>
        <v>0</v>
      </c>
      <c r="BZ256" s="3">
        <f>+IF(AVANCE[[#This Row],[OSB EXTERIOR]]=AM$2,100%,AVANCE[[#This Row],[OSB EXTERIOR]])</f>
        <v>0</v>
      </c>
      <c r="CA256" s="3">
        <f>+IF(AVANCE[[#This Row],[SMART PANEL]]=AN$2,100%,AVANCE[[#This Row],[SMART PANEL]])</f>
        <v>0</v>
      </c>
      <c r="CB256" s="3">
        <f>+IF(AVANCE[[#This Row],[PINTURA EXTERIOR]]=AO$2,100%,AVANCE[[#This Row],[PINTURA EXTERIOR]])</f>
        <v>0</v>
      </c>
      <c r="CC256" s="3">
        <f>+IF(AVANCE[[#This Row],[ZOCALOS LOGIA]]=AP$2,100%,AVANCE[[#This Row],[ZOCALOS LOGIA]])</f>
        <v>0</v>
      </c>
      <c r="CD256" s="3">
        <f>+IF(AVANCE[[#This Row],[MOLDURAS]]=AQ$2,100%,AVANCE[[#This Row],[MOLDURAS]])</f>
        <v>0</v>
      </c>
      <c r="CE256" s="3">
        <f>+IF(AVANCE[[#This Row],[PILASTREO]]=AR$2,100%,AVANCE[[#This Row],[PILASTREO]])</f>
        <v>0</v>
      </c>
      <c r="CF256" s="3">
        <f>+IF(AVANCE[[#This Row],[CELOSIAS]]=AS$2,100%,AVANCE[[#This Row],[CELOSIAS]])</f>
        <v>0</v>
      </c>
      <c r="CG256" s="3">
        <f>+IF(AVANCE[[#This Row],[VENTANAS]]=AT$2,100%,AVANCE[[#This Row],[VENTANAS]])</f>
        <v>0</v>
      </c>
      <c r="CH256" s="3">
        <f>+IF(AVANCE[[#This Row],[PUERTAS ACCESO - LOGIA - BANO]]=AU$2,100%,AVANCE[[#This Row],[PUERTAS ACCESO - LOGIA - BANO]])</f>
        <v>0</v>
      </c>
      <c r="CI256" s="3">
        <f>+IF(AVANCE[[#This Row],[CERRADURAS]]=AV$2,100%,AVANCE[[#This Row],[CERRADURAS]])</f>
        <v>0</v>
      </c>
      <c r="CJ256" s="3">
        <f>+IF(AVANCE[[#This Row],[REVESTIMIENTO INTERIOR ZONA SECA]]=AW$2,100%,AVANCE[[#This Row],[REVESTIMIENTO INTERIOR ZONA SECA]])</f>
        <v>0</v>
      </c>
      <c r="CK256" s="3">
        <f>+IF(AVANCE[[#This Row],[REVESTIMIENTO INTERIOR ZONAS HUMEDAS]]=AX$2,100%,AVANCE[[#This Row],[REVESTIMIENTO INTERIOR ZONAS HUMEDAS]])</f>
        <v>0</v>
      </c>
      <c r="CL256" s="3">
        <f>+IF(AVANCE[[#This Row],[MEMBRANA CIELO]]=AY$2,100%,AVANCE[[#This Row],[MEMBRANA CIELO]])</f>
        <v>0</v>
      </c>
      <c r="CM256" s="3">
        <f>+IF(AVANCE[[#This Row],[LIMPIEZA FINAL]]=AZ$2,100%,AVANCE[[#This Row],[LIMPIEZA FINAL]])</f>
        <v>0</v>
      </c>
      <c r="CN256" s="3">
        <f>+IF(AVANCE[[#This Row],[PUERTAS DORMITORIO]]=BA$2,100%,AVANCE[[#This Row],[PUERTAS DORMITORIO]])</f>
        <v>0</v>
      </c>
      <c r="CO256" s="3">
        <f>+IF(AVANCE[[#This Row],[REVESTIMIENTO INTERIOR BANO]]=BB$2,100%,AVANCE[[#This Row],[REVESTIMIENTO INTERIOR BANO]])</f>
        <v>0</v>
      </c>
      <c r="CP256" s="3">
        <f>+IF(AVANCE[[#This Row],[MUEBLE LAVAPLATOS]]=BC$2,100%,AVANCE[[#This Row],[MUEBLE LAVAPLATOS]])</f>
        <v>0</v>
      </c>
      <c r="CQ256" s="3">
        <f>+IF(AVANCE[[#This Row],[IMPERMEABILIZACION BANO - COCINA LOGIA]]=BD$2,100%,AVANCE[[#This Row],[IMPERMEABILIZACION BANO - COCINA LOGIA]])</f>
        <v>0</v>
      </c>
      <c r="CR256" s="40">
        <f ca="1">+IF(AVANCE[[#This Row],[ESTADO MODULO]]="PENDIENTE",(TODAY()-AVANCE[[#This Row],[FECHA TERMINO  PLANIFICADO]]),0)</f>
        <v>0</v>
      </c>
      <c r="CS256" s="42" t="str" cm="1">
        <f t="array" ref="CS256">_xlfn.TEXTJOIN(" | ",TRUE,IF(SUMPRODUCT((BF256:CQ256&lt;1)*(PARTIDAS!$I$2:$AT$2="OBRA GRUESA"))&gt;0,"OBRA GRUESA: "&amp;_xlfn.TEXTJOIN(", ",TRUE,IF((BF256:CQ256&lt;1)*(PARTIDAS!$I$2:$AT$2="OBRA GRUESA"),PARTIDAS!$I$1:$AT$1,"")),""),IF(SUMPRODUCT((BF256:CQ256&lt;1)*(PARTIDAS!$I$2:$AT$2="SANITARIOS"))&gt;0,"SANITARIOS: "&amp;_xlfn.TEXTJOIN(", ",TRUE,IF((BF256:CQ256&lt;1)*(PARTIDAS!$I$2:$AT$2="SANITARIOS"),PARTIDAS!$I$1:$AT$1,"")),""),IF(SUMPRODUCT((BF256:CQ256&lt;1)*(PARTIDAS!$I$2:$AT$2="ELÉCTRICO"))&gt;0,"ELÉCTRICO: "&amp;_xlfn.TEXTJOIN(", ",TRUE,IF((BF256:CQ256&lt;1)*(PARTIDAS!$I$2:$AT$2="ELÉCTRICO"),PARTIDAS!$I$1:$AT$1,"")),""),IF(SUMPRODUCT((BF256:CQ256&lt;1)*(PARTIDAS!$I$2:$AT$2="TERMINACIONES"))&gt;0,"TERMINACIONES: "&amp;_xlfn.TEXTJOIN(", ",TRUE,IF((BF256:CQ256&lt;1)*(PARTIDAS!$I$2:$AT$2="TERMINACIONES"),PARTIDAS!$I$1:$AT$1,"")),""))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6" s="45" t="str" cm="1">
        <f t="array" ref="CT256">_xlfn.TEXTJOIN(", ",TRUE,IF(SUMPRODUCT((BF256:CQ256&lt;1)*(PARTIDAS!$I$2:$AT$2="OBRA GRUESA"))&gt;0,"OBRA GRUESA",""),IF(SUMPRODUCT((BF256:CQ256&lt;1)*(PARTIDAS!$I$2:$AT$2="SANITARIOS"))&gt;0,"SANITARIOS",""),IF(SUMPRODUCT((BF256:CQ256&lt;1)*(PARTIDAS!$I$2:$AT$2="ELÉCTRICO"))&gt;0,"ELÉCTRICO",""),IF(SUMPRODUCT((BF256:CQ256&lt;1)*(PARTIDAS!$I$2:$AT$2="TERMINACIONES"))&gt;0,"TERMINACIONES",""))</f>
        <v>OBRA GRUESA, SANITARIOS, ELÉCTRICO, TERMINACIONES</v>
      </c>
      <c r="CU256" s="46" cm="1">
        <f t="array" ref="CU256">SUMPRODUCT(--(BF256:CQ256&lt;1))</f>
        <v>38</v>
      </c>
    </row>
    <row r="257" spans="1:99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46181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 t="str">
        <f>+IF(AVANCE[[#This Row],[% AVANCE]]=100%,"MODULO TERMINADO",IF(AVANCE[[#This Row],[FECHA INICIO REAL]]="","MODULO NO INICIADO","PENDIENTE"))</f>
        <v>MODULO NO INICIADO</v>
      </c>
      <c r="BF257" s="3">
        <f>+IF(AVANCE[[#This Row],[VENTANAS]]=8.10810810810811%,100%,AVANCE[[#This Row],[VENTANAS]])</f>
        <v>0</v>
      </c>
      <c r="BG257" s="3">
        <f>+IF(AVANCE[[#This Row],[PISO]]=N$2,100%,AVANCE[[#This Row],[PISO]])</f>
        <v>0</v>
      </c>
      <c r="BH257" s="3">
        <f>+IF(AVANCE[[#This Row],[TABIQUES]]=O$2,100%,AVANCE[[#This Row],[TABIQUES]])</f>
        <v>0</v>
      </c>
      <c r="BI257" s="3">
        <f>+IF(AVANCE[[#This Row],[MUROS]]=P$2,100%,AVANCE[[#This Row],[MUROS]])</f>
        <v>0</v>
      </c>
      <c r="BJ257" s="3">
        <f>+IF(AVANCE[[#This Row],[CIELO]]=Q$2,100%,AVANCE[[#This Row],[CIELO]])</f>
        <v>0</v>
      </c>
      <c r="BK257" s="3">
        <f>+IF(AVANCE[[#This Row],[BALCÓN]]=R$2,100%,AVANCE[[#This Row],[BALCÓN]])</f>
        <v>0</v>
      </c>
      <c r="BL257" s="3">
        <f>+IF(AVANCE[[#This Row],[RED ALCANTARILLADO]]=U$2,100%,AVANCE[[#This Row],[RED ALCANTARILLADO]])</f>
        <v>0</v>
      </c>
      <c r="BM257" s="3">
        <f>+IF(AVANCE[[#This Row],[RED DE AGUA]]=V$2,100%,AVANCE[[#This Row],[RED DE AGUA]])</f>
        <v>0</v>
      </c>
      <c r="BN257" s="3">
        <f>+IF(AVANCE[[#This Row],[VENTILACIONES]]=W$2,100%,AVANCE[[#This Row],[VENTILACIONES]])</f>
        <v>0</v>
      </c>
      <c r="BO257" s="3">
        <f>+IF(AVANCE[[#This Row],[TINA]]=X$2,100%,AVANCE[[#This Row],[TINA]])</f>
        <v>0</v>
      </c>
      <c r="BP257" s="3">
        <f>+IF(AVANCE[[#This Row],[WC]]=Y$2,100%,AVANCE[[#This Row],[WC]])</f>
        <v>0</v>
      </c>
      <c r="BQ257" s="3">
        <f>+IF(AVANCE[[#This Row],[LAVAMANOS / LAVAPLATOS / LAVADERO]]=Z$2,100%,AVANCE[[#This Row],[LAVAMANOS / LAVAPLATOS / LAVADERO]])</f>
        <v>0</v>
      </c>
      <c r="BR257" s="3">
        <f>+IF(AVANCE[[#This Row],[CANALIZACIÓN]]=AC$2,100%,AVANCE[[#This Row],[CANALIZACIÓN]])</f>
        <v>0</v>
      </c>
      <c r="BS257" s="3">
        <f>+IF(AVANCE[[#This Row],[CABLEADO]]=AD$2,100%,AVANCE[[#This Row],[CABLEADO]])</f>
        <v>0</v>
      </c>
      <c r="BT257" s="3">
        <f>+IF(AVANCE[[#This Row],[ARTEFACTOS]]=AE$2,100%,AVANCE[[#This Row],[ARTEFACTOS]])</f>
        <v>0</v>
      </c>
      <c r="BU257" s="3">
        <f>+IF(AVANCE[[#This Row],[TABLERO]]=AF$2,100%,AVANCE[[#This Row],[TABLERO]])</f>
        <v>0</v>
      </c>
      <c r="BV257" s="3">
        <f>+IF(AVANCE[[#This Row],[CAJA PAU]]=AG$2,100%,AVANCE[[#This Row],[CAJA PAU]])</f>
        <v>0</v>
      </c>
      <c r="BW257" s="3">
        <f>+IF(AVANCE[[#This Row],[INSTALACION VINILICO]]=AJ$2,100%,AVANCE[[#This Row],[INSTALACION VINILICO]])</f>
        <v>0</v>
      </c>
      <c r="BX257" s="3">
        <f>+IF(AVANCE[[#This Row],[OSB CUBIERTA]]=AK$2,100%,AVANCE[[#This Row],[OSB CUBIERTA]])</f>
        <v>0</v>
      </c>
      <c r="BY257" s="3">
        <f>+IF(AVANCE[[#This Row],[BARANDA BALCON]]=AL$2,100%,AVANCE[[#This Row],[BARANDA BALCON]])</f>
        <v>0</v>
      </c>
      <c r="BZ257" s="3">
        <f>+IF(AVANCE[[#This Row],[OSB EXTERIOR]]=AM$2,100%,AVANCE[[#This Row],[OSB EXTERIOR]])</f>
        <v>0</v>
      </c>
      <c r="CA257" s="3">
        <f>+IF(AVANCE[[#This Row],[SMART PANEL]]=AN$2,100%,AVANCE[[#This Row],[SMART PANEL]])</f>
        <v>0</v>
      </c>
      <c r="CB257" s="3">
        <f>+IF(AVANCE[[#This Row],[PINTURA EXTERIOR]]=AO$2,100%,AVANCE[[#This Row],[PINTURA EXTERIOR]])</f>
        <v>0</v>
      </c>
      <c r="CC257" s="3">
        <f>+IF(AVANCE[[#This Row],[ZOCALOS LOGIA]]=AP$2,100%,AVANCE[[#This Row],[ZOCALOS LOGIA]])</f>
        <v>0</v>
      </c>
      <c r="CD257" s="3">
        <f>+IF(AVANCE[[#This Row],[MOLDURAS]]=AQ$2,100%,AVANCE[[#This Row],[MOLDURAS]])</f>
        <v>0</v>
      </c>
      <c r="CE257" s="3">
        <f>+IF(AVANCE[[#This Row],[PILASTREO]]=AR$2,100%,AVANCE[[#This Row],[PILASTREO]])</f>
        <v>0</v>
      </c>
      <c r="CF257" s="3">
        <f>+IF(AVANCE[[#This Row],[CELOSIAS]]=AS$2,100%,AVANCE[[#This Row],[CELOSIAS]])</f>
        <v>0</v>
      </c>
      <c r="CG257" s="3">
        <f>+IF(AVANCE[[#This Row],[VENTANAS]]=AT$2,100%,AVANCE[[#This Row],[VENTANAS]])</f>
        <v>0</v>
      </c>
      <c r="CH257" s="3">
        <f>+IF(AVANCE[[#This Row],[PUERTAS ACCESO - LOGIA - BANO]]=AU$2,100%,AVANCE[[#This Row],[PUERTAS ACCESO - LOGIA - BANO]])</f>
        <v>0</v>
      </c>
      <c r="CI257" s="3">
        <f>+IF(AVANCE[[#This Row],[CERRADURAS]]=AV$2,100%,AVANCE[[#This Row],[CERRADURAS]])</f>
        <v>0</v>
      </c>
      <c r="CJ257" s="3">
        <f>+IF(AVANCE[[#This Row],[REVESTIMIENTO INTERIOR ZONA SECA]]=AW$2,100%,AVANCE[[#This Row],[REVESTIMIENTO INTERIOR ZONA SECA]])</f>
        <v>0</v>
      </c>
      <c r="CK257" s="3">
        <f>+IF(AVANCE[[#This Row],[REVESTIMIENTO INTERIOR ZONAS HUMEDAS]]=AX$2,100%,AVANCE[[#This Row],[REVESTIMIENTO INTERIOR ZONAS HUMEDAS]])</f>
        <v>0</v>
      </c>
      <c r="CL257" s="3">
        <f>+IF(AVANCE[[#This Row],[MEMBRANA CIELO]]=AY$2,100%,AVANCE[[#This Row],[MEMBRANA CIELO]])</f>
        <v>0</v>
      </c>
      <c r="CM257" s="3">
        <f>+IF(AVANCE[[#This Row],[LIMPIEZA FINAL]]=AZ$2,100%,AVANCE[[#This Row],[LIMPIEZA FINAL]])</f>
        <v>0</v>
      </c>
      <c r="CN257" s="3">
        <f>+IF(AVANCE[[#This Row],[PUERTAS DORMITORIO]]=BA$2,100%,AVANCE[[#This Row],[PUERTAS DORMITORIO]])</f>
        <v>0</v>
      </c>
      <c r="CO257" s="3">
        <f>+IF(AVANCE[[#This Row],[REVESTIMIENTO INTERIOR BANO]]=BB$2,100%,AVANCE[[#This Row],[REVESTIMIENTO INTERIOR BANO]])</f>
        <v>0</v>
      </c>
      <c r="CP257" s="3">
        <f>+IF(AVANCE[[#This Row],[MUEBLE LAVAPLATOS]]=BC$2,100%,AVANCE[[#This Row],[MUEBLE LAVAPLATOS]])</f>
        <v>0</v>
      </c>
      <c r="CQ257" s="3">
        <f>+IF(AVANCE[[#This Row],[IMPERMEABILIZACION BANO - COCINA LOGIA]]=BD$2,100%,AVANCE[[#This Row],[IMPERMEABILIZACION BANO - COCINA LOGIA]])</f>
        <v>0</v>
      </c>
      <c r="CR257" s="40">
        <f ca="1">+IF(AVANCE[[#This Row],[ESTADO MODULO]]="PENDIENTE",(TODAY()-AVANCE[[#This Row],[FECHA TERMINO  PLANIFICADO]]),0)</f>
        <v>0</v>
      </c>
      <c r="CS257" s="42" t="str" cm="1">
        <f t="array" ref="CS257">_xlfn.TEXTJOIN(" | ",TRUE,IF(SUMPRODUCT((BF257:CQ257&lt;1)*(PARTIDAS!$I$2:$AT$2="OBRA GRUESA"))&gt;0,"OBRA GRUESA: "&amp;_xlfn.TEXTJOIN(", ",TRUE,IF((BF257:CQ257&lt;1)*(PARTIDAS!$I$2:$AT$2="OBRA GRUESA"),PARTIDAS!$I$1:$AT$1,"")),""),IF(SUMPRODUCT((BF257:CQ257&lt;1)*(PARTIDAS!$I$2:$AT$2="SANITARIOS"))&gt;0,"SANITARIOS: "&amp;_xlfn.TEXTJOIN(", ",TRUE,IF((BF257:CQ257&lt;1)*(PARTIDAS!$I$2:$AT$2="SANITARIOS"),PARTIDAS!$I$1:$AT$1,"")),""),IF(SUMPRODUCT((BF257:CQ257&lt;1)*(PARTIDAS!$I$2:$AT$2="ELÉCTRICO"))&gt;0,"ELÉCTRICO: "&amp;_xlfn.TEXTJOIN(", ",TRUE,IF((BF257:CQ257&lt;1)*(PARTIDAS!$I$2:$AT$2="ELÉCTRICO"),PARTIDAS!$I$1:$AT$1,"")),""),IF(SUMPRODUCT((BF257:CQ257&lt;1)*(PARTIDAS!$I$2:$AT$2="TERMINACIONES"))&gt;0,"TERMINACIONES: "&amp;_xlfn.TEXTJOIN(", ",TRUE,IF((BF257:CQ257&lt;1)*(PARTIDAS!$I$2:$AT$2="TERMINACIONES"),PARTIDAS!$I$1:$AT$1,"")),""))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7" s="45" t="str" cm="1">
        <f t="array" ref="CT257">_xlfn.TEXTJOIN(", ",TRUE,IF(SUMPRODUCT((BF257:CQ257&lt;1)*(PARTIDAS!$I$2:$AT$2="OBRA GRUESA"))&gt;0,"OBRA GRUESA",""),IF(SUMPRODUCT((BF257:CQ257&lt;1)*(PARTIDAS!$I$2:$AT$2="SANITARIOS"))&gt;0,"SANITARIOS",""),IF(SUMPRODUCT((BF257:CQ257&lt;1)*(PARTIDAS!$I$2:$AT$2="ELÉCTRICO"))&gt;0,"ELÉCTRICO",""),IF(SUMPRODUCT((BF257:CQ257&lt;1)*(PARTIDAS!$I$2:$AT$2="TERMINACIONES"))&gt;0,"TERMINACIONES",""))</f>
        <v>OBRA GRUESA, SANITARIOS, ELÉCTRICO, TERMINACIONES</v>
      </c>
      <c r="CU257" s="46" cm="1">
        <f t="array" ref="CU257">SUMPRODUCT(--(BF257:CQ257&lt;1))</f>
        <v>38</v>
      </c>
    </row>
    <row r="258" spans="1:99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46181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 t="str">
        <f>+IF(AVANCE[[#This Row],[% AVANCE]]=100%,"MODULO TERMINADO",IF(AVANCE[[#This Row],[FECHA INICIO REAL]]="","MODULO NO INICIADO","PENDIENTE"))</f>
        <v>MODULO NO INICIADO</v>
      </c>
      <c r="BF258" s="3">
        <f>+IF(AVANCE[[#This Row],[VENTANAS]]=8.10810810810811%,100%,AVANCE[[#This Row],[VENTANAS]])</f>
        <v>0</v>
      </c>
      <c r="BG258" s="3">
        <f>+IF(AVANCE[[#This Row],[PISO]]=N$2,100%,AVANCE[[#This Row],[PISO]])</f>
        <v>0</v>
      </c>
      <c r="BH258" s="3">
        <f>+IF(AVANCE[[#This Row],[TABIQUES]]=O$2,100%,AVANCE[[#This Row],[TABIQUES]])</f>
        <v>0</v>
      </c>
      <c r="BI258" s="3">
        <f>+IF(AVANCE[[#This Row],[MUROS]]=P$2,100%,AVANCE[[#This Row],[MUROS]])</f>
        <v>0</v>
      </c>
      <c r="BJ258" s="3">
        <f>+IF(AVANCE[[#This Row],[CIELO]]=Q$2,100%,AVANCE[[#This Row],[CIELO]])</f>
        <v>0</v>
      </c>
      <c r="BK258" s="3">
        <f>+IF(AVANCE[[#This Row],[BALCÓN]]=R$2,100%,AVANCE[[#This Row],[BALCÓN]])</f>
        <v>0</v>
      </c>
      <c r="BL258" s="3">
        <f>+IF(AVANCE[[#This Row],[RED ALCANTARILLADO]]=U$2,100%,AVANCE[[#This Row],[RED ALCANTARILLADO]])</f>
        <v>0</v>
      </c>
      <c r="BM258" s="3">
        <f>+IF(AVANCE[[#This Row],[RED DE AGUA]]=V$2,100%,AVANCE[[#This Row],[RED DE AGUA]])</f>
        <v>0</v>
      </c>
      <c r="BN258" s="3">
        <f>+IF(AVANCE[[#This Row],[VENTILACIONES]]=W$2,100%,AVANCE[[#This Row],[VENTILACIONES]])</f>
        <v>0</v>
      </c>
      <c r="BO258" s="3">
        <f>+IF(AVANCE[[#This Row],[TINA]]=X$2,100%,AVANCE[[#This Row],[TINA]])</f>
        <v>0</v>
      </c>
      <c r="BP258" s="3">
        <f>+IF(AVANCE[[#This Row],[WC]]=Y$2,100%,AVANCE[[#This Row],[WC]])</f>
        <v>0</v>
      </c>
      <c r="BQ258" s="3">
        <f>+IF(AVANCE[[#This Row],[LAVAMANOS / LAVAPLATOS / LAVADERO]]=Z$2,100%,AVANCE[[#This Row],[LAVAMANOS / LAVAPLATOS / LAVADERO]])</f>
        <v>0</v>
      </c>
      <c r="BR258" s="3">
        <f>+IF(AVANCE[[#This Row],[CANALIZACIÓN]]=AC$2,100%,AVANCE[[#This Row],[CANALIZACIÓN]])</f>
        <v>0</v>
      </c>
      <c r="BS258" s="3">
        <f>+IF(AVANCE[[#This Row],[CABLEADO]]=AD$2,100%,AVANCE[[#This Row],[CABLEADO]])</f>
        <v>0</v>
      </c>
      <c r="BT258" s="3">
        <f>+IF(AVANCE[[#This Row],[ARTEFACTOS]]=AE$2,100%,AVANCE[[#This Row],[ARTEFACTOS]])</f>
        <v>0</v>
      </c>
      <c r="BU258" s="3">
        <f>+IF(AVANCE[[#This Row],[TABLERO]]=AF$2,100%,AVANCE[[#This Row],[TABLERO]])</f>
        <v>0</v>
      </c>
      <c r="BV258" s="3">
        <f>+IF(AVANCE[[#This Row],[CAJA PAU]]=AG$2,100%,AVANCE[[#This Row],[CAJA PAU]])</f>
        <v>0</v>
      </c>
      <c r="BW258" s="3">
        <f>+IF(AVANCE[[#This Row],[INSTALACION VINILICO]]=AJ$2,100%,AVANCE[[#This Row],[INSTALACION VINILICO]])</f>
        <v>0</v>
      </c>
      <c r="BX258" s="3">
        <f>+IF(AVANCE[[#This Row],[OSB CUBIERTA]]=AK$2,100%,AVANCE[[#This Row],[OSB CUBIERTA]])</f>
        <v>0</v>
      </c>
      <c r="BY258" s="3">
        <f>+IF(AVANCE[[#This Row],[BARANDA BALCON]]=AL$2,100%,AVANCE[[#This Row],[BARANDA BALCON]])</f>
        <v>0</v>
      </c>
      <c r="BZ258" s="3">
        <f>+IF(AVANCE[[#This Row],[OSB EXTERIOR]]=AM$2,100%,AVANCE[[#This Row],[OSB EXTERIOR]])</f>
        <v>0</v>
      </c>
      <c r="CA258" s="3">
        <f>+IF(AVANCE[[#This Row],[SMART PANEL]]=AN$2,100%,AVANCE[[#This Row],[SMART PANEL]])</f>
        <v>0</v>
      </c>
      <c r="CB258" s="3">
        <f>+IF(AVANCE[[#This Row],[PINTURA EXTERIOR]]=AO$2,100%,AVANCE[[#This Row],[PINTURA EXTERIOR]])</f>
        <v>0</v>
      </c>
      <c r="CC258" s="3">
        <f>+IF(AVANCE[[#This Row],[ZOCALOS LOGIA]]=AP$2,100%,AVANCE[[#This Row],[ZOCALOS LOGIA]])</f>
        <v>0</v>
      </c>
      <c r="CD258" s="3">
        <f>+IF(AVANCE[[#This Row],[MOLDURAS]]=AQ$2,100%,AVANCE[[#This Row],[MOLDURAS]])</f>
        <v>0</v>
      </c>
      <c r="CE258" s="3">
        <f>+IF(AVANCE[[#This Row],[PILASTREO]]=AR$2,100%,AVANCE[[#This Row],[PILASTREO]])</f>
        <v>0</v>
      </c>
      <c r="CF258" s="3">
        <f>+IF(AVANCE[[#This Row],[CELOSIAS]]=AS$2,100%,AVANCE[[#This Row],[CELOSIAS]])</f>
        <v>0</v>
      </c>
      <c r="CG258" s="3">
        <f>+IF(AVANCE[[#This Row],[VENTANAS]]=AT$2,100%,AVANCE[[#This Row],[VENTANAS]])</f>
        <v>0</v>
      </c>
      <c r="CH258" s="3">
        <f>+IF(AVANCE[[#This Row],[PUERTAS ACCESO - LOGIA - BANO]]=AU$2,100%,AVANCE[[#This Row],[PUERTAS ACCESO - LOGIA - BANO]])</f>
        <v>0</v>
      </c>
      <c r="CI258" s="3">
        <f>+IF(AVANCE[[#This Row],[CERRADURAS]]=AV$2,100%,AVANCE[[#This Row],[CERRADURAS]])</f>
        <v>0</v>
      </c>
      <c r="CJ258" s="3">
        <f>+IF(AVANCE[[#This Row],[REVESTIMIENTO INTERIOR ZONA SECA]]=AW$2,100%,AVANCE[[#This Row],[REVESTIMIENTO INTERIOR ZONA SECA]])</f>
        <v>0</v>
      </c>
      <c r="CK258" s="3">
        <f>+IF(AVANCE[[#This Row],[REVESTIMIENTO INTERIOR ZONAS HUMEDAS]]=AX$2,100%,AVANCE[[#This Row],[REVESTIMIENTO INTERIOR ZONAS HUMEDAS]])</f>
        <v>0</v>
      </c>
      <c r="CL258" s="3">
        <f>+IF(AVANCE[[#This Row],[MEMBRANA CIELO]]=AY$2,100%,AVANCE[[#This Row],[MEMBRANA CIELO]])</f>
        <v>0</v>
      </c>
      <c r="CM258" s="3">
        <f>+IF(AVANCE[[#This Row],[LIMPIEZA FINAL]]=AZ$2,100%,AVANCE[[#This Row],[LIMPIEZA FINAL]])</f>
        <v>0</v>
      </c>
      <c r="CN258" s="3">
        <f>+IF(AVANCE[[#This Row],[PUERTAS DORMITORIO]]=BA$2,100%,AVANCE[[#This Row],[PUERTAS DORMITORIO]])</f>
        <v>0</v>
      </c>
      <c r="CO258" s="3">
        <f>+IF(AVANCE[[#This Row],[REVESTIMIENTO INTERIOR BANO]]=BB$2,100%,AVANCE[[#This Row],[REVESTIMIENTO INTERIOR BANO]])</f>
        <v>0</v>
      </c>
      <c r="CP258" s="3">
        <f>+IF(AVANCE[[#This Row],[MUEBLE LAVAPLATOS]]=BC$2,100%,AVANCE[[#This Row],[MUEBLE LAVAPLATOS]])</f>
        <v>0</v>
      </c>
      <c r="CQ258" s="3">
        <f>+IF(AVANCE[[#This Row],[IMPERMEABILIZACION BANO - COCINA LOGIA]]=BD$2,100%,AVANCE[[#This Row],[IMPERMEABILIZACION BANO - COCINA LOGIA]])</f>
        <v>0</v>
      </c>
      <c r="CR258" s="40">
        <f ca="1">+IF(AVANCE[[#This Row],[ESTADO MODULO]]="PENDIENTE",(TODAY()-AVANCE[[#This Row],[FECHA TERMINO  PLANIFICADO]]),0)</f>
        <v>0</v>
      </c>
      <c r="CS258" s="42" t="str" cm="1">
        <f t="array" ref="CS258">_xlfn.TEXTJOIN(" | ",TRUE,IF(SUMPRODUCT((BF258:CQ258&lt;1)*(PARTIDAS!$I$2:$AT$2="OBRA GRUESA"))&gt;0,"OBRA GRUESA: "&amp;_xlfn.TEXTJOIN(", ",TRUE,IF((BF258:CQ258&lt;1)*(PARTIDAS!$I$2:$AT$2="OBRA GRUESA"),PARTIDAS!$I$1:$AT$1,"")),""),IF(SUMPRODUCT((BF258:CQ258&lt;1)*(PARTIDAS!$I$2:$AT$2="SANITARIOS"))&gt;0,"SANITARIOS: "&amp;_xlfn.TEXTJOIN(", ",TRUE,IF((BF258:CQ258&lt;1)*(PARTIDAS!$I$2:$AT$2="SANITARIOS"),PARTIDAS!$I$1:$AT$1,"")),""),IF(SUMPRODUCT((BF258:CQ258&lt;1)*(PARTIDAS!$I$2:$AT$2="ELÉCTRICO"))&gt;0,"ELÉCTRICO: "&amp;_xlfn.TEXTJOIN(", ",TRUE,IF((BF258:CQ258&lt;1)*(PARTIDAS!$I$2:$AT$2="ELÉCTRICO"),PARTIDAS!$I$1:$AT$1,"")),""),IF(SUMPRODUCT((BF258:CQ258&lt;1)*(PARTIDAS!$I$2:$AT$2="TERMINACIONES"))&gt;0,"TERMINACIONES: "&amp;_xlfn.TEXTJOIN(", ",TRUE,IF((BF258:CQ258&lt;1)*(PARTIDAS!$I$2:$AT$2="TERMINACIONES"),PARTIDAS!$I$1:$AT$1,"")),""))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8" s="45" t="str" cm="1">
        <f t="array" ref="CT258">_xlfn.TEXTJOIN(", ",TRUE,IF(SUMPRODUCT((BF258:CQ258&lt;1)*(PARTIDAS!$I$2:$AT$2="OBRA GRUESA"))&gt;0,"OBRA GRUESA",""),IF(SUMPRODUCT((BF258:CQ258&lt;1)*(PARTIDAS!$I$2:$AT$2="SANITARIOS"))&gt;0,"SANITARIOS",""),IF(SUMPRODUCT((BF258:CQ258&lt;1)*(PARTIDAS!$I$2:$AT$2="ELÉCTRICO"))&gt;0,"ELÉCTRICO",""),IF(SUMPRODUCT((BF258:CQ258&lt;1)*(PARTIDAS!$I$2:$AT$2="TERMINACIONES"))&gt;0,"TERMINACIONES",""))</f>
        <v>OBRA GRUESA, SANITARIOS, ELÉCTRICO, TERMINACIONES</v>
      </c>
      <c r="CU258" s="46" cm="1">
        <f t="array" ref="CU258">SUMPRODUCT(--(BF258:CQ258&lt;1))</f>
        <v>38</v>
      </c>
    </row>
    <row r="259" spans="1:99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46181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 t="str">
        <f>+IF(AVANCE[[#This Row],[% AVANCE]]=100%,"MODULO TERMINADO",IF(AVANCE[[#This Row],[FECHA INICIO REAL]]="","MODULO NO INICIADO","PENDIENTE"))</f>
        <v>MODULO NO INICIADO</v>
      </c>
      <c r="BF259" s="3">
        <f>+IF(AVANCE[[#This Row],[VENTANAS]]=8.10810810810811%,100%,AVANCE[[#This Row],[VENTANAS]])</f>
        <v>0</v>
      </c>
      <c r="BG259" s="3">
        <f>+IF(AVANCE[[#This Row],[PISO]]=N$2,100%,AVANCE[[#This Row],[PISO]])</f>
        <v>0</v>
      </c>
      <c r="BH259" s="3">
        <f>+IF(AVANCE[[#This Row],[TABIQUES]]=O$2,100%,AVANCE[[#This Row],[TABIQUES]])</f>
        <v>0</v>
      </c>
      <c r="BI259" s="3">
        <f>+IF(AVANCE[[#This Row],[MUROS]]=P$2,100%,AVANCE[[#This Row],[MUROS]])</f>
        <v>0</v>
      </c>
      <c r="BJ259" s="3">
        <f>+IF(AVANCE[[#This Row],[CIELO]]=Q$2,100%,AVANCE[[#This Row],[CIELO]])</f>
        <v>0</v>
      </c>
      <c r="BK259" s="3">
        <f>+IF(AVANCE[[#This Row],[BALCÓN]]=R$2,100%,AVANCE[[#This Row],[BALCÓN]])</f>
        <v>0</v>
      </c>
      <c r="BL259" s="3">
        <f>+IF(AVANCE[[#This Row],[RED ALCANTARILLADO]]=U$2,100%,AVANCE[[#This Row],[RED ALCANTARILLADO]])</f>
        <v>0</v>
      </c>
      <c r="BM259" s="3">
        <f>+IF(AVANCE[[#This Row],[RED DE AGUA]]=V$2,100%,AVANCE[[#This Row],[RED DE AGUA]])</f>
        <v>0</v>
      </c>
      <c r="BN259" s="3">
        <f>+IF(AVANCE[[#This Row],[VENTILACIONES]]=W$2,100%,AVANCE[[#This Row],[VENTILACIONES]])</f>
        <v>0</v>
      </c>
      <c r="BO259" s="3">
        <f>+IF(AVANCE[[#This Row],[TINA]]=X$2,100%,AVANCE[[#This Row],[TINA]])</f>
        <v>0</v>
      </c>
      <c r="BP259" s="3">
        <f>+IF(AVANCE[[#This Row],[WC]]=Y$2,100%,AVANCE[[#This Row],[WC]])</f>
        <v>0</v>
      </c>
      <c r="BQ259" s="3">
        <f>+IF(AVANCE[[#This Row],[LAVAMANOS / LAVAPLATOS / LAVADERO]]=Z$2,100%,AVANCE[[#This Row],[LAVAMANOS / LAVAPLATOS / LAVADERO]])</f>
        <v>0</v>
      </c>
      <c r="BR259" s="3">
        <f>+IF(AVANCE[[#This Row],[CANALIZACIÓN]]=AC$2,100%,AVANCE[[#This Row],[CANALIZACIÓN]])</f>
        <v>0</v>
      </c>
      <c r="BS259" s="3">
        <f>+IF(AVANCE[[#This Row],[CABLEADO]]=AD$2,100%,AVANCE[[#This Row],[CABLEADO]])</f>
        <v>0</v>
      </c>
      <c r="BT259" s="3">
        <f>+IF(AVANCE[[#This Row],[ARTEFACTOS]]=AE$2,100%,AVANCE[[#This Row],[ARTEFACTOS]])</f>
        <v>0</v>
      </c>
      <c r="BU259" s="3">
        <f>+IF(AVANCE[[#This Row],[TABLERO]]=AF$2,100%,AVANCE[[#This Row],[TABLERO]])</f>
        <v>0</v>
      </c>
      <c r="BV259" s="3">
        <f>+IF(AVANCE[[#This Row],[CAJA PAU]]=AG$2,100%,AVANCE[[#This Row],[CAJA PAU]])</f>
        <v>0</v>
      </c>
      <c r="BW259" s="3">
        <f>+IF(AVANCE[[#This Row],[INSTALACION VINILICO]]=AJ$2,100%,AVANCE[[#This Row],[INSTALACION VINILICO]])</f>
        <v>0</v>
      </c>
      <c r="BX259" s="3">
        <f>+IF(AVANCE[[#This Row],[OSB CUBIERTA]]=AK$2,100%,AVANCE[[#This Row],[OSB CUBIERTA]])</f>
        <v>0</v>
      </c>
      <c r="BY259" s="3">
        <f>+IF(AVANCE[[#This Row],[BARANDA BALCON]]=AL$2,100%,AVANCE[[#This Row],[BARANDA BALCON]])</f>
        <v>0</v>
      </c>
      <c r="BZ259" s="3">
        <f>+IF(AVANCE[[#This Row],[OSB EXTERIOR]]=AM$2,100%,AVANCE[[#This Row],[OSB EXTERIOR]])</f>
        <v>0</v>
      </c>
      <c r="CA259" s="3">
        <f>+IF(AVANCE[[#This Row],[SMART PANEL]]=AN$2,100%,AVANCE[[#This Row],[SMART PANEL]])</f>
        <v>0</v>
      </c>
      <c r="CB259" s="3">
        <f>+IF(AVANCE[[#This Row],[PINTURA EXTERIOR]]=AO$2,100%,AVANCE[[#This Row],[PINTURA EXTERIOR]])</f>
        <v>0</v>
      </c>
      <c r="CC259" s="3">
        <f>+IF(AVANCE[[#This Row],[ZOCALOS LOGIA]]=AP$2,100%,AVANCE[[#This Row],[ZOCALOS LOGIA]])</f>
        <v>0</v>
      </c>
      <c r="CD259" s="3">
        <f>+IF(AVANCE[[#This Row],[MOLDURAS]]=AQ$2,100%,AVANCE[[#This Row],[MOLDURAS]])</f>
        <v>0</v>
      </c>
      <c r="CE259" s="3">
        <f>+IF(AVANCE[[#This Row],[PILASTREO]]=AR$2,100%,AVANCE[[#This Row],[PILASTREO]])</f>
        <v>0</v>
      </c>
      <c r="CF259" s="3">
        <f>+IF(AVANCE[[#This Row],[CELOSIAS]]=AS$2,100%,AVANCE[[#This Row],[CELOSIAS]])</f>
        <v>0</v>
      </c>
      <c r="CG259" s="3">
        <f>+IF(AVANCE[[#This Row],[VENTANAS]]=AT$2,100%,AVANCE[[#This Row],[VENTANAS]])</f>
        <v>0</v>
      </c>
      <c r="CH259" s="3">
        <f>+IF(AVANCE[[#This Row],[PUERTAS ACCESO - LOGIA - BANO]]=AU$2,100%,AVANCE[[#This Row],[PUERTAS ACCESO - LOGIA - BANO]])</f>
        <v>0</v>
      </c>
      <c r="CI259" s="3">
        <f>+IF(AVANCE[[#This Row],[CERRADURAS]]=AV$2,100%,AVANCE[[#This Row],[CERRADURAS]])</f>
        <v>0</v>
      </c>
      <c r="CJ259" s="3">
        <f>+IF(AVANCE[[#This Row],[REVESTIMIENTO INTERIOR ZONA SECA]]=AW$2,100%,AVANCE[[#This Row],[REVESTIMIENTO INTERIOR ZONA SECA]])</f>
        <v>0</v>
      </c>
      <c r="CK259" s="3">
        <f>+IF(AVANCE[[#This Row],[REVESTIMIENTO INTERIOR ZONAS HUMEDAS]]=AX$2,100%,AVANCE[[#This Row],[REVESTIMIENTO INTERIOR ZONAS HUMEDAS]])</f>
        <v>0</v>
      </c>
      <c r="CL259" s="3">
        <f>+IF(AVANCE[[#This Row],[MEMBRANA CIELO]]=AY$2,100%,AVANCE[[#This Row],[MEMBRANA CIELO]])</f>
        <v>0</v>
      </c>
      <c r="CM259" s="3">
        <f>+IF(AVANCE[[#This Row],[LIMPIEZA FINAL]]=AZ$2,100%,AVANCE[[#This Row],[LIMPIEZA FINAL]])</f>
        <v>0</v>
      </c>
      <c r="CN259" s="3">
        <f>+IF(AVANCE[[#This Row],[PUERTAS DORMITORIO]]=BA$2,100%,AVANCE[[#This Row],[PUERTAS DORMITORIO]])</f>
        <v>0</v>
      </c>
      <c r="CO259" s="3">
        <f>+IF(AVANCE[[#This Row],[REVESTIMIENTO INTERIOR BANO]]=BB$2,100%,AVANCE[[#This Row],[REVESTIMIENTO INTERIOR BANO]])</f>
        <v>0</v>
      </c>
      <c r="CP259" s="3">
        <f>+IF(AVANCE[[#This Row],[MUEBLE LAVAPLATOS]]=BC$2,100%,AVANCE[[#This Row],[MUEBLE LAVAPLATOS]])</f>
        <v>0</v>
      </c>
      <c r="CQ259" s="3">
        <f>+IF(AVANCE[[#This Row],[IMPERMEABILIZACION BANO - COCINA LOGIA]]=BD$2,100%,AVANCE[[#This Row],[IMPERMEABILIZACION BANO - COCINA LOGIA]])</f>
        <v>0</v>
      </c>
      <c r="CR259" s="40">
        <f ca="1">+IF(AVANCE[[#This Row],[ESTADO MODULO]]="PENDIENTE",(TODAY()-AVANCE[[#This Row],[FECHA TERMINO  PLANIFICADO]]),0)</f>
        <v>0</v>
      </c>
      <c r="CS259" s="42" t="str" cm="1">
        <f t="array" ref="CS259">_xlfn.TEXTJOIN(" | ",TRUE,IF(SUMPRODUCT((BF259:CQ259&lt;1)*(PARTIDAS!$I$2:$AT$2="OBRA GRUESA"))&gt;0,"OBRA GRUESA: "&amp;_xlfn.TEXTJOIN(", ",TRUE,IF((BF259:CQ259&lt;1)*(PARTIDAS!$I$2:$AT$2="OBRA GRUESA"),PARTIDAS!$I$1:$AT$1,"")),""),IF(SUMPRODUCT((BF259:CQ259&lt;1)*(PARTIDAS!$I$2:$AT$2="SANITARIOS"))&gt;0,"SANITARIOS: "&amp;_xlfn.TEXTJOIN(", ",TRUE,IF((BF259:CQ259&lt;1)*(PARTIDAS!$I$2:$AT$2="SANITARIOS"),PARTIDAS!$I$1:$AT$1,"")),""),IF(SUMPRODUCT((BF259:CQ259&lt;1)*(PARTIDAS!$I$2:$AT$2="ELÉCTRICO"))&gt;0,"ELÉCTRICO: "&amp;_xlfn.TEXTJOIN(", ",TRUE,IF((BF259:CQ259&lt;1)*(PARTIDAS!$I$2:$AT$2="ELÉCTRICO"),PARTIDAS!$I$1:$AT$1,"")),""),IF(SUMPRODUCT((BF259:CQ259&lt;1)*(PARTIDAS!$I$2:$AT$2="TERMINACIONES"))&gt;0,"TERMINACIONES: "&amp;_xlfn.TEXTJOIN(", ",TRUE,IF((BF259:CQ259&lt;1)*(PARTIDAS!$I$2:$AT$2="TERMINACIONES"),PARTIDAS!$I$1:$AT$1,"")),""))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59" s="45" t="str" cm="1">
        <f t="array" ref="CT259">_xlfn.TEXTJOIN(", ",TRUE,IF(SUMPRODUCT((BF259:CQ259&lt;1)*(PARTIDAS!$I$2:$AT$2="OBRA GRUESA"))&gt;0,"OBRA GRUESA",""),IF(SUMPRODUCT((BF259:CQ259&lt;1)*(PARTIDAS!$I$2:$AT$2="SANITARIOS"))&gt;0,"SANITARIOS",""),IF(SUMPRODUCT((BF259:CQ259&lt;1)*(PARTIDAS!$I$2:$AT$2="ELÉCTRICO"))&gt;0,"ELÉCTRICO",""),IF(SUMPRODUCT((BF259:CQ259&lt;1)*(PARTIDAS!$I$2:$AT$2="TERMINACIONES"))&gt;0,"TERMINACIONES",""))</f>
        <v>OBRA GRUESA, SANITARIOS, ELÉCTRICO, TERMINACIONES</v>
      </c>
      <c r="CU259" s="46" cm="1">
        <f t="array" ref="CU259">SUMPRODUCT(--(BF259:CQ259&lt;1))</f>
        <v>38</v>
      </c>
    </row>
    <row r="260" spans="1:99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46181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 t="str">
        <f>+IF(AVANCE[[#This Row],[% AVANCE]]=100%,"MODULO TERMINADO",IF(AVANCE[[#This Row],[FECHA INICIO REAL]]="","MODULO NO INICIADO","PENDIENTE"))</f>
        <v>MODULO NO INICIADO</v>
      </c>
      <c r="BF260" s="3">
        <f>+IF(AVANCE[[#This Row],[VENTANAS]]=8.10810810810811%,100%,AVANCE[[#This Row],[VENTANAS]])</f>
        <v>0</v>
      </c>
      <c r="BG260" s="3">
        <f>+IF(AVANCE[[#This Row],[PISO]]=N$2,100%,AVANCE[[#This Row],[PISO]])</f>
        <v>0</v>
      </c>
      <c r="BH260" s="3">
        <f>+IF(AVANCE[[#This Row],[TABIQUES]]=O$2,100%,AVANCE[[#This Row],[TABIQUES]])</f>
        <v>0</v>
      </c>
      <c r="BI260" s="3">
        <f>+IF(AVANCE[[#This Row],[MUROS]]=P$2,100%,AVANCE[[#This Row],[MUROS]])</f>
        <v>0</v>
      </c>
      <c r="BJ260" s="3">
        <f>+IF(AVANCE[[#This Row],[CIELO]]=Q$2,100%,AVANCE[[#This Row],[CIELO]])</f>
        <v>0</v>
      </c>
      <c r="BK260" s="3">
        <f>+IF(AVANCE[[#This Row],[BALCÓN]]=R$2,100%,AVANCE[[#This Row],[BALCÓN]])</f>
        <v>0</v>
      </c>
      <c r="BL260" s="3">
        <f>+IF(AVANCE[[#This Row],[RED ALCANTARILLADO]]=U$2,100%,AVANCE[[#This Row],[RED ALCANTARILLADO]])</f>
        <v>0</v>
      </c>
      <c r="BM260" s="3">
        <f>+IF(AVANCE[[#This Row],[RED DE AGUA]]=V$2,100%,AVANCE[[#This Row],[RED DE AGUA]])</f>
        <v>0</v>
      </c>
      <c r="BN260" s="3">
        <f>+IF(AVANCE[[#This Row],[VENTILACIONES]]=W$2,100%,AVANCE[[#This Row],[VENTILACIONES]])</f>
        <v>0</v>
      </c>
      <c r="BO260" s="3">
        <f>+IF(AVANCE[[#This Row],[TINA]]=X$2,100%,AVANCE[[#This Row],[TINA]])</f>
        <v>0</v>
      </c>
      <c r="BP260" s="3">
        <f>+IF(AVANCE[[#This Row],[WC]]=Y$2,100%,AVANCE[[#This Row],[WC]])</f>
        <v>0</v>
      </c>
      <c r="BQ260" s="3">
        <f>+IF(AVANCE[[#This Row],[LAVAMANOS / LAVAPLATOS / LAVADERO]]=Z$2,100%,AVANCE[[#This Row],[LAVAMANOS / LAVAPLATOS / LAVADERO]])</f>
        <v>0</v>
      </c>
      <c r="BR260" s="3">
        <f>+IF(AVANCE[[#This Row],[CANALIZACIÓN]]=AC$2,100%,AVANCE[[#This Row],[CANALIZACIÓN]])</f>
        <v>0</v>
      </c>
      <c r="BS260" s="3">
        <f>+IF(AVANCE[[#This Row],[CABLEADO]]=AD$2,100%,AVANCE[[#This Row],[CABLEADO]])</f>
        <v>0</v>
      </c>
      <c r="BT260" s="3">
        <f>+IF(AVANCE[[#This Row],[ARTEFACTOS]]=AE$2,100%,AVANCE[[#This Row],[ARTEFACTOS]])</f>
        <v>0</v>
      </c>
      <c r="BU260" s="3">
        <f>+IF(AVANCE[[#This Row],[TABLERO]]=AF$2,100%,AVANCE[[#This Row],[TABLERO]])</f>
        <v>0</v>
      </c>
      <c r="BV260" s="3">
        <f>+IF(AVANCE[[#This Row],[CAJA PAU]]=AG$2,100%,AVANCE[[#This Row],[CAJA PAU]])</f>
        <v>0</v>
      </c>
      <c r="BW260" s="3">
        <f>+IF(AVANCE[[#This Row],[INSTALACION VINILICO]]=AJ$2,100%,AVANCE[[#This Row],[INSTALACION VINILICO]])</f>
        <v>0</v>
      </c>
      <c r="BX260" s="3">
        <f>+IF(AVANCE[[#This Row],[OSB CUBIERTA]]=AK$2,100%,AVANCE[[#This Row],[OSB CUBIERTA]])</f>
        <v>0</v>
      </c>
      <c r="BY260" s="3">
        <f>+IF(AVANCE[[#This Row],[BARANDA BALCON]]=AL$2,100%,AVANCE[[#This Row],[BARANDA BALCON]])</f>
        <v>0</v>
      </c>
      <c r="BZ260" s="3">
        <f>+IF(AVANCE[[#This Row],[OSB EXTERIOR]]=AM$2,100%,AVANCE[[#This Row],[OSB EXTERIOR]])</f>
        <v>0</v>
      </c>
      <c r="CA260" s="3">
        <f>+IF(AVANCE[[#This Row],[SMART PANEL]]=AN$2,100%,AVANCE[[#This Row],[SMART PANEL]])</f>
        <v>0</v>
      </c>
      <c r="CB260" s="3">
        <f>+IF(AVANCE[[#This Row],[PINTURA EXTERIOR]]=AO$2,100%,AVANCE[[#This Row],[PINTURA EXTERIOR]])</f>
        <v>0</v>
      </c>
      <c r="CC260" s="3">
        <f>+IF(AVANCE[[#This Row],[ZOCALOS LOGIA]]=AP$2,100%,AVANCE[[#This Row],[ZOCALOS LOGIA]])</f>
        <v>0</v>
      </c>
      <c r="CD260" s="3">
        <f>+IF(AVANCE[[#This Row],[MOLDURAS]]=AQ$2,100%,AVANCE[[#This Row],[MOLDURAS]])</f>
        <v>0</v>
      </c>
      <c r="CE260" s="3">
        <f>+IF(AVANCE[[#This Row],[PILASTREO]]=AR$2,100%,AVANCE[[#This Row],[PILASTREO]])</f>
        <v>0</v>
      </c>
      <c r="CF260" s="3">
        <f>+IF(AVANCE[[#This Row],[CELOSIAS]]=AS$2,100%,AVANCE[[#This Row],[CELOSIAS]])</f>
        <v>0</v>
      </c>
      <c r="CG260" s="3">
        <f>+IF(AVANCE[[#This Row],[VENTANAS]]=AT$2,100%,AVANCE[[#This Row],[VENTANAS]])</f>
        <v>0</v>
      </c>
      <c r="CH260" s="3">
        <f>+IF(AVANCE[[#This Row],[PUERTAS ACCESO - LOGIA - BANO]]=AU$2,100%,AVANCE[[#This Row],[PUERTAS ACCESO - LOGIA - BANO]])</f>
        <v>0</v>
      </c>
      <c r="CI260" s="3">
        <f>+IF(AVANCE[[#This Row],[CERRADURAS]]=AV$2,100%,AVANCE[[#This Row],[CERRADURAS]])</f>
        <v>0</v>
      </c>
      <c r="CJ260" s="3">
        <f>+IF(AVANCE[[#This Row],[REVESTIMIENTO INTERIOR ZONA SECA]]=AW$2,100%,AVANCE[[#This Row],[REVESTIMIENTO INTERIOR ZONA SECA]])</f>
        <v>0</v>
      </c>
      <c r="CK260" s="3">
        <f>+IF(AVANCE[[#This Row],[REVESTIMIENTO INTERIOR ZONAS HUMEDAS]]=AX$2,100%,AVANCE[[#This Row],[REVESTIMIENTO INTERIOR ZONAS HUMEDAS]])</f>
        <v>0</v>
      </c>
      <c r="CL260" s="3">
        <f>+IF(AVANCE[[#This Row],[MEMBRANA CIELO]]=AY$2,100%,AVANCE[[#This Row],[MEMBRANA CIELO]])</f>
        <v>0</v>
      </c>
      <c r="CM260" s="3">
        <f>+IF(AVANCE[[#This Row],[LIMPIEZA FINAL]]=AZ$2,100%,AVANCE[[#This Row],[LIMPIEZA FINAL]])</f>
        <v>0</v>
      </c>
      <c r="CN260" s="3">
        <f>+IF(AVANCE[[#This Row],[PUERTAS DORMITORIO]]=BA$2,100%,AVANCE[[#This Row],[PUERTAS DORMITORIO]])</f>
        <v>0</v>
      </c>
      <c r="CO260" s="3">
        <f>+IF(AVANCE[[#This Row],[REVESTIMIENTO INTERIOR BANO]]=BB$2,100%,AVANCE[[#This Row],[REVESTIMIENTO INTERIOR BANO]])</f>
        <v>0</v>
      </c>
      <c r="CP260" s="3">
        <f>+IF(AVANCE[[#This Row],[MUEBLE LAVAPLATOS]]=BC$2,100%,AVANCE[[#This Row],[MUEBLE LAVAPLATOS]])</f>
        <v>0</v>
      </c>
      <c r="CQ260" s="3">
        <f>+IF(AVANCE[[#This Row],[IMPERMEABILIZACION BANO - COCINA LOGIA]]=BD$2,100%,AVANCE[[#This Row],[IMPERMEABILIZACION BANO - COCINA LOGIA]])</f>
        <v>0</v>
      </c>
      <c r="CR260" s="40">
        <f ca="1">+IF(AVANCE[[#This Row],[ESTADO MODULO]]="PENDIENTE",(TODAY()-AVANCE[[#This Row],[FECHA TERMINO  PLANIFICADO]]),0)</f>
        <v>0</v>
      </c>
      <c r="CS260" s="42" t="str" cm="1">
        <f t="array" ref="CS260">_xlfn.TEXTJOIN(" | ",TRUE,IF(SUMPRODUCT((BF260:CQ260&lt;1)*(PARTIDAS!$I$2:$AT$2="OBRA GRUESA"))&gt;0,"OBRA GRUESA: "&amp;_xlfn.TEXTJOIN(", ",TRUE,IF((BF260:CQ260&lt;1)*(PARTIDAS!$I$2:$AT$2="OBRA GRUESA"),PARTIDAS!$I$1:$AT$1,"")),""),IF(SUMPRODUCT((BF260:CQ260&lt;1)*(PARTIDAS!$I$2:$AT$2="SANITARIOS"))&gt;0,"SANITARIOS: "&amp;_xlfn.TEXTJOIN(", ",TRUE,IF((BF260:CQ260&lt;1)*(PARTIDAS!$I$2:$AT$2="SANITARIOS"),PARTIDAS!$I$1:$AT$1,"")),""),IF(SUMPRODUCT((BF260:CQ260&lt;1)*(PARTIDAS!$I$2:$AT$2="ELÉCTRICO"))&gt;0,"ELÉCTRICO: "&amp;_xlfn.TEXTJOIN(", ",TRUE,IF((BF260:CQ260&lt;1)*(PARTIDAS!$I$2:$AT$2="ELÉCTRICO"),PARTIDAS!$I$1:$AT$1,"")),""),IF(SUMPRODUCT((BF260:CQ260&lt;1)*(PARTIDAS!$I$2:$AT$2="TERMINACIONES"))&gt;0,"TERMINACIONES: "&amp;_xlfn.TEXTJOIN(", ",TRUE,IF((BF260:CQ260&lt;1)*(PARTIDAS!$I$2:$AT$2="TERMINACIONES"),PARTIDAS!$I$1:$AT$1,"")),""))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0" s="45" t="str" cm="1">
        <f t="array" ref="CT260">_xlfn.TEXTJOIN(", ",TRUE,IF(SUMPRODUCT((BF260:CQ260&lt;1)*(PARTIDAS!$I$2:$AT$2="OBRA GRUESA"))&gt;0,"OBRA GRUESA",""),IF(SUMPRODUCT((BF260:CQ260&lt;1)*(PARTIDAS!$I$2:$AT$2="SANITARIOS"))&gt;0,"SANITARIOS",""),IF(SUMPRODUCT((BF260:CQ260&lt;1)*(PARTIDAS!$I$2:$AT$2="ELÉCTRICO"))&gt;0,"ELÉCTRICO",""),IF(SUMPRODUCT((BF260:CQ260&lt;1)*(PARTIDAS!$I$2:$AT$2="TERMINACIONES"))&gt;0,"TERMINACIONES",""))</f>
        <v>OBRA GRUESA, SANITARIOS, ELÉCTRICO, TERMINACIONES</v>
      </c>
      <c r="CU260" s="46" cm="1">
        <f t="array" ref="CU260">SUMPRODUCT(--(BF260:CQ260&lt;1))</f>
        <v>38</v>
      </c>
    </row>
    <row r="261" spans="1:99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46181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 t="str">
        <f>+IF(AVANCE[[#This Row],[% AVANCE]]=100%,"MODULO TERMINADO",IF(AVANCE[[#This Row],[FECHA INICIO REAL]]="","MODULO NO INICIADO","PENDIENTE"))</f>
        <v>MODULO NO INICIADO</v>
      </c>
      <c r="BF261" s="3">
        <f>+IF(AVANCE[[#This Row],[VENTANAS]]=8.10810810810811%,100%,AVANCE[[#This Row],[VENTANAS]])</f>
        <v>0</v>
      </c>
      <c r="BG261" s="3">
        <f>+IF(AVANCE[[#This Row],[PISO]]=N$2,100%,AVANCE[[#This Row],[PISO]])</f>
        <v>0</v>
      </c>
      <c r="BH261" s="3">
        <f>+IF(AVANCE[[#This Row],[TABIQUES]]=O$2,100%,AVANCE[[#This Row],[TABIQUES]])</f>
        <v>0</v>
      </c>
      <c r="BI261" s="3">
        <f>+IF(AVANCE[[#This Row],[MUROS]]=P$2,100%,AVANCE[[#This Row],[MUROS]])</f>
        <v>0</v>
      </c>
      <c r="BJ261" s="3">
        <f>+IF(AVANCE[[#This Row],[CIELO]]=Q$2,100%,AVANCE[[#This Row],[CIELO]])</f>
        <v>0</v>
      </c>
      <c r="BK261" s="3">
        <f>+IF(AVANCE[[#This Row],[BALCÓN]]=R$2,100%,AVANCE[[#This Row],[BALCÓN]])</f>
        <v>0</v>
      </c>
      <c r="BL261" s="3">
        <f>+IF(AVANCE[[#This Row],[RED ALCANTARILLADO]]=U$2,100%,AVANCE[[#This Row],[RED ALCANTARILLADO]])</f>
        <v>0</v>
      </c>
      <c r="BM261" s="3">
        <f>+IF(AVANCE[[#This Row],[RED DE AGUA]]=V$2,100%,AVANCE[[#This Row],[RED DE AGUA]])</f>
        <v>0</v>
      </c>
      <c r="BN261" s="3">
        <f>+IF(AVANCE[[#This Row],[VENTILACIONES]]=W$2,100%,AVANCE[[#This Row],[VENTILACIONES]])</f>
        <v>0</v>
      </c>
      <c r="BO261" s="3">
        <f>+IF(AVANCE[[#This Row],[TINA]]=X$2,100%,AVANCE[[#This Row],[TINA]])</f>
        <v>0</v>
      </c>
      <c r="BP261" s="3">
        <f>+IF(AVANCE[[#This Row],[WC]]=Y$2,100%,AVANCE[[#This Row],[WC]])</f>
        <v>0</v>
      </c>
      <c r="BQ261" s="3">
        <f>+IF(AVANCE[[#This Row],[LAVAMANOS / LAVAPLATOS / LAVADERO]]=Z$2,100%,AVANCE[[#This Row],[LAVAMANOS / LAVAPLATOS / LAVADERO]])</f>
        <v>0</v>
      </c>
      <c r="BR261" s="3">
        <f>+IF(AVANCE[[#This Row],[CANALIZACIÓN]]=AC$2,100%,AVANCE[[#This Row],[CANALIZACIÓN]])</f>
        <v>0</v>
      </c>
      <c r="BS261" s="3">
        <f>+IF(AVANCE[[#This Row],[CABLEADO]]=AD$2,100%,AVANCE[[#This Row],[CABLEADO]])</f>
        <v>0</v>
      </c>
      <c r="BT261" s="3">
        <f>+IF(AVANCE[[#This Row],[ARTEFACTOS]]=AE$2,100%,AVANCE[[#This Row],[ARTEFACTOS]])</f>
        <v>0</v>
      </c>
      <c r="BU261" s="3">
        <f>+IF(AVANCE[[#This Row],[TABLERO]]=AF$2,100%,AVANCE[[#This Row],[TABLERO]])</f>
        <v>0</v>
      </c>
      <c r="BV261" s="3">
        <f>+IF(AVANCE[[#This Row],[CAJA PAU]]=AG$2,100%,AVANCE[[#This Row],[CAJA PAU]])</f>
        <v>0</v>
      </c>
      <c r="BW261" s="3">
        <f>+IF(AVANCE[[#This Row],[INSTALACION VINILICO]]=AJ$2,100%,AVANCE[[#This Row],[INSTALACION VINILICO]])</f>
        <v>0</v>
      </c>
      <c r="BX261" s="3">
        <f>+IF(AVANCE[[#This Row],[OSB CUBIERTA]]=AK$2,100%,AVANCE[[#This Row],[OSB CUBIERTA]])</f>
        <v>0</v>
      </c>
      <c r="BY261" s="3">
        <f>+IF(AVANCE[[#This Row],[BARANDA BALCON]]=AL$2,100%,AVANCE[[#This Row],[BARANDA BALCON]])</f>
        <v>0</v>
      </c>
      <c r="BZ261" s="3">
        <f>+IF(AVANCE[[#This Row],[OSB EXTERIOR]]=AM$2,100%,AVANCE[[#This Row],[OSB EXTERIOR]])</f>
        <v>0</v>
      </c>
      <c r="CA261" s="3">
        <f>+IF(AVANCE[[#This Row],[SMART PANEL]]=AN$2,100%,AVANCE[[#This Row],[SMART PANEL]])</f>
        <v>0</v>
      </c>
      <c r="CB261" s="3">
        <f>+IF(AVANCE[[#This Row],[PINTURA EXTERIOR]]=AO$2,100%,AVANCE[[#This Row],[PINTURA EXTERIOR]])</f>
        <v>0</v>
      </c>
      <c r="CC261" s="3">
        <f>+IF(AVANCE[[#This Row],[ZOCALOS LOGIA]]=AP$2,100%,AVANCE[[#This Row],[ZOCALOS LOGIA]])</f>
        <v>0</v>
      </c>
      <c r="CD261" s="3">
        <f>+IF(AVANCE[[#This Row],[MOLDURAS]]=AQ$2,100%,AVANCE[[#This Row],[MOLDURAS]])</f>
        <v>0</v>
      </c>
      <c r="CE261" s="3">
        <f>+IF(AVANCE[[#This Row],[PILASTREO]]=AR$2,100%,AVANCE[[#This Row],[PILASTREO]])</f>
        <v>0</v>
      </c>
      <c r="CF261" s="3">
        <f>+IF(AVANCE[[#This Row],[CELOSIAS]]=AS$2,100%,AVANCE[[#This Row],[CELOSIAS]])</f>
        <v>0</v>
      </c>
      <c r="CG261" s="3">
        <f>+IF(AVANCE[[#This Row],[VENTANAS]]=AT$2,100%,AVANCE[[#This Row],[VENTANAS]])</f>
        <v>0</v>
      </c>
      <c r="CH261" s="3">
        <f>+IF(AVANCE[[#This Row],[PUERTAS ACCESO - LOGIA - BANO]]=AU$2,100%,AVANCE[[#This Row],[PUERTAS ACCESO - LOGIA - BANO]])</f>
        <v>0</v>
      </c>
      <c r="CI261" s="3">
        <f>+IF(AVANCE[[#This Row],[CERRADURAS]]=AV$2,100%,AVANCE[[#This Row],[CERRADURAS]])</f>
        <v>0</v>
      </c>
      <c r="CJ261" s="3">
        <f>+IF(AVANCE[[#This Row],[REVESTIMIENTO INTERIOR ZONA SECA]]=AW$2,100%,AVANCE[[#This Row],[REVESTIMIENTO INTERIOR ZONA SECA]])</f>
        <v>0</v>
      </c>
      <c r="CK261" s="3">
        <f>+IF(AVANCE[[#This Row],[REVESTIMIENTO INTERIOR ZONAS HUMEDAS]]=AX$2,100%,AVANCE[[#This Row],[REVESTIMIENTO INTERIOR ZONAS HUMEDAS]])</f>
        <v>0</v>
      </c>
      <c r="CL261" s="3">
        <f>+IF(AVANCE[[#This Row],[MEMBRANA CIELO]]=AY$2,100%,AVANCE[[#This Row],[MEMBRANA CIELO]])</f>
        <v>0</v>
      </c>
      <c r="CM261" s="3">
        <f>+IF(AVANCE[[#This Row],[LIMPIEZA FINAL]]=AZ$2,100%,AVANCE[[#This Row],[LIMPIEZA FINAL]])</f>
        <v>0</v>
      </c>
      <c r="CN261" s="3">
        <f>+IF(AVANCE[[#This Row],[PUERTAS DORMITORIO]]=BA$2,100%,AVANCE[[#This Row],[PUERTAS DORMITORIO]])</f>
        <v>0</v>
      </c>
      <c r="CO261" s="3">
        <f>+IF(AVANCE[[#This Row],[REVESTIMIENTO INTERIOR BANO]]=BB$2,100%,AVANCE[[#This Row],[REVESTIMIENTO INTERIOR BANO]])</f>
        <v>0</v>
      </c>
      <c r="CP261" s="3">
        <f>+IF(AVANCE[[#This Row],[MUEBLE LAVAPLATOS]]=BC$2,100%,AVANCE[[#This Row],[MUEBLE LAVAPLATOS]])</f>
        <v>0</v>
      </c>
      <c r="CQ261" s="3">
        <f>+IF(AVANCE[[#This Row],[IMPERMEABILIZACION BANO - COCINA LOGIA]]=BD$2,100%,AVANCE[[#This Row],[IMPERMEABILIZACION BANO - COCINA LOGIA]])</f>
        <v>0</v>
      </c>
      <c r="CR261" s="40">
        <f ca="1">+IF(AVANCE[[#This Row],[ESTADO MODULO]]="PENDIENTE",(TODAY()-AVANCE[[#This Row],[FECHA TERMINO  PLANIFICADO]]),0)</f>
        <v>0</v>
      </c>
      <c r="CS261" s="42" t="str" cm="1">
        <f t="array" ref="CS261">_xlfn.TEXTJOIN(" | ",TRUE,IF(SUMPRODUCT((BF261:CQ261&lt;1)*(PARTIDAS!$I$2:$AT$2="OBRA GRUESA"))&gt;0,"OBRA GRUESA: "&amp;_xlfn.TEXTJOIN(", ",TRUE,IF((BF261:CQ261&lt;1)*(PARTIDAS!$I$2:$AT$2="OBRA GRUESA"),PARTIDAS!$I$1:$AT$1,"")),""),IF(SUMPRODUCT((BF261:CQ261&lt;1)*(PARTIDAS!$I$2:$AT$2="SANITARIOS"))&gt;0,"SANITARIOS: "&amp;_xlfn.TEXTJOIN(", ",TRUE,IF((BF261:CQ261&lt;1)*(PARTIDAS!$I$2:$AT$2="SANITARIOS"),PARTIDAS!$I$1:$AT$1,"")),""),IF(SUMPRODUCT((BF261:CQ261&lt;1)*(PARTIDAS!$I$2:$AT$2="ELÉCTRICO"))&gt;0,"ELÉCTRICO: "&amp;_xlfn.TEXTJOIN(", ",TRUE,IF((BF261:CQ261&lt;1)*(PARTIDAS!$I$2:$AT$2="ELÉCTRICO"),PARTIDAS!$I$1:$AT$1,"")),""),IF(SUMPRODUCT((BF261:CQ261&lt;1)*(PARTIDAS!$I$2:$AT$2="TERMINACIONES"))&gt;0,"TERMINACIONES: "&amp;_xlfn.TEXTJOIN(", ",TRUE,IF((BF261:CQ261&lt;1)*(PARTIDAS!$I$2:$AT$2="TERMINACIONES"),PARTIDAS!$I$1:$AT$1,"")),""))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1" s="45" t="str" cm="1">
        <f t="array" ref="CT261">_xlfn.TEXTJOIN(", ",TRUE,IF(SUMPRODUCT((BF261:CQ261&lt;1)*(PARTIDAS!$I$2:$AT$2="OBRA GRUESA"))&gt;0,"OBRA GRUESA",""),IF(SUMPRODUCT((BF261:CQ261&lt;1)*(PARTIDAS!$I$2:$AT$2="SANITARIOS"))&gt;0,"SANITARIOS",""),IF(SUMPRODUCT((BF261:CQ261&lt;1)*(PARTIDAS!$I$2:$AT$2="ELÉCTRICO"))&gt;0,"ELÉCTRICO",""),IF(SUMPRODUCT((BF261:CQ261&lt;1)*(PARTIDAS!$I$2:$AT$2="TERMINACIONES"))&gt;0,"TERMINACIONES",""))</f>
        <v>OBRA GRUESA, SANITARIOS, ELÉCTRICO, TERMINACIONES</v>
      </c>
      <c r="CU261" s="46" cm="1">
        <f t="array" ref="CU261">SUMPRODUCT(--(BF261:CQ261&lt;1))</f>
        <v>38</v>
      </c>
    </row>
    <row r="262" spans="1:99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46181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 t="str">
        <f>+IF(AVANCE[[#This Row],[% AVANCE]]=100%,"MODULO TERMINADO",IF(AVANCE[[#This Row],[FECHA INICIO REAL]]="","MODULO NO INICIADO","PENDIENTE"))</f>
        <v>MODULO NO INICIADO</v>
      </c>
      <c r="BF262" s="3">
        <f>+IF(AVANCE[[#This Row],[VENTANAS]]=8.10810810810811%,100%,AVANCE[[#This Row],[VENTANAS]])</f>
        <v>0</v>
      </c>
      <c r="BG262" s="3">
        <f>+IF(AVANCE[[#This Row],[PISO]]=N$2,100%,AVANCE[[#This Row],[PISO]])</f>
        <v>0</v>
      </c>
      <c r="BH262" s="3">
        <f>+IF(AVANCE[[#This Row],[TABIQUES]]=O$2,100%,AVANCE[[#This Row],[TABIQUES]])</f>
        <v>0</v>
      </c>
      <c r="BI262" s="3">
        <f>+IF(AVANCE[[#This Row],[MUROS]]=P$2,100%,AVANCE[[#This Row],[MUROS]])</f>
        <v>0</v>
      </c>
      <c r="BJ262" s="3">
        <f>+IF(AVANCE[[#This Row],[CIELO]]=Q$2,100%,AVANCE[[#This Row],[CIELO]])</f>
        <v>0</v>
      </c>
      <c r="BK262" s="3">
        <f>+IF(AVANCE[[#This Row],[BALCÓN]]=R$2,100%,AVANCE[[#This Row],[BALCÓN]])</f>
        <v>0</v>
      </c>
      <c r="BL262" s="3">
        <f>+IF(AVANCE[[#This Row],[RED ALCANTARILLADO]]=U$2,100%,AVANCE[[#This Row],[RED ALCANTARILLADO]])</f>
        <v>0</v>
      </c>
      <c r="BM262" s="3">
        <f>+IF(AVANCE[[#This Row],[RED DE AGUA]]=V$2,100%,AVANCE[[#This Row],[RED DE AGUA]])</f>
        <v>0</v>
      </c>
      <c r="BN262" s="3">
        <f>+IF(AVANCE[[#This Row],[VENTILACIONES]]=W$2,100%,AVANCE[[#This Row],[VENTILACIONES]])</f>
        <v>0</v>
      </c>
      <c r="BO262" s="3">
        <f>+IF(AVANCE[[#This Row],[TINA]]=X$2,100%,AVANCE[[#This Row],[TINA]])</f>
        <v>0</v>
      </c>
      <c r="BP262" s="3">
        <f>+IF(AVANCE[[#This Row],[WC]]=Y$2,100%,AVANCE[[#This Row],[WC]])</f>
        <v>0</v>
      </c>
      <c r="BQ262" s="3">
        <f>+IF(AVANCE[[#This Row],[LAVAMANOS / LAVAPLATOS / LAVADERO]]=Z$2,100%,AVANCE[[#This Row],[LAVAMANOS / LAVAPLATOS / LAVADERO]])</f>
        <v>0</v>
      </c>
      <c r="BR262" s="3">
        <f>+IF(AVANCE[[#This Row],[CANALIZACIÓN]]=AC$2,100%,AVANCE[[#This Row],[CANALIZACIÓN]])</f>
        <v>0</v>
      </c>
      <c r="BS262" s="3">
        <f>+IF(AVANCE[[#This Row],[CABLEADO]]=AD$2,100%,AVANCE[[#This Row],[CABLEADO]])</f>
        <v>0</v>
      </c>
      <c r="BT262" s="3">
        <f>+IF(AVANCE[[#This Row],[ARTEFACTOS]]=AE$2,100%,AVANCE[[#This Row],[ARTEFACTOS]])</f>
        <v>0</v>
      </c>
      <c r="BU262" s="3">
        <f>+IF(AVANCE[[#This Row],[TABLERO]]=AF$2,100%,AVANCE[[#This Row],[TABLERO]])</f>
        <v>0</v>
      </c>
      <c r="BV262" s="3">
        <f>+IF(AVANCE[[#This Row],[CAJA PAU]]=AG$2,100%,AVANCE[[#This Row],[CAJA PAU]])</f>
        <v>0</v>
      </c>
      <c r="BW262" s="3">
        <f>+IF(AVANCE[[#This Row],[INSTALACION VINILICO]]=AJ$2,100%,AVANCE[[#This Row],[INSTALACION VINILICO]])</f>
        <v>0</v>
      </c>
      <c r="BX262" s="3">
        <f>+IF(AVANCE[[#This Row],[OSB CUBIERTA]]=AK$2,100%,AVANCE[[#This Row],[OSB CUBIERTA]])</f>
        <v>0</v>
      </c>
      <c r="BY262" s="3">
        <f>+IF(AVANCE[[#This Row],[BARANDA BALCON]]=AL$2,100%,AVANCE[[#This Row],[BARANDA BALCON]])</f>
        <v>0</v>
      </c>
      <c r="BZ262" s="3">
        <f>+IF(AVANCE[[#This Row],[OSB EXTERIOR]]=AM$2,100%,AVANCE[[#This Row],[OSB EXTERIOR]])</f>
        <v>0</v>
      </c>
      <c r="CA262" s="3">
        <f>+IF(AVANCE[[#This Row],[SMART PANEL]]=AN$2,100%,AVANCE[[#This Row],[SMART PANEL]])</f>
        <v>0</v>
      </c>
      <c r="CB262" s="3">
        <f>+IF(AVANCE[[#This Row],[PINTURA EXTERIOR]]=AO$2,100%,AVANCE[[#This Row],[PINTURA EXTERIOR]])</f>
        <v>0</v>
      </c>
      <c r="CC262" s="3">
        <f>+IF(AVANCE[[#This Row],[ZOCALOS LOGIA]]=AP$2,100%,AVANCE[[#This Row],[ZOCALOS LOGIA]])</f>
        <v>0</v>
      </c>
      <c r="CD262" s="3">
        <f>+IF(AVANCE[[#This Row],[MOLDURAS]]=AQ$2,100%,AVANCE[[#This Row],[MOLDURAS]])</f>
        <v>0</v>
      </c>
      <c r="CE262" s="3">
        <f>+IF(AVANCE[[#This Row],[PILASTREO]]=AR$2,100%,AVANCE[[#This Row],[PILASTREO]])</f>
        <v>0</v>
      </c>
      <c r="CF262" s="3">
        <f>+IF(AVANCE[[#This Row],[CELOSIAS]]=AS$2,100%,AVANCE[[#This Row],[CELOSIAS]])</f>
        <v>0</v>
      </c>
      <c r="CG262" s="3">
        <f>+IF(AVANCE[[#This Row],[VENTANAS]]=AT$2,100%,AVANCE[[#This Row],[VENTANAS]])</f>
        <v>0</v>
      </c>
      <c r="CH262" s="3">
        <f>+IF(AVANCE[[#This Row],[PUERTAS ACCESO - LOGIA - BANO]]=AU$2,100%,AVANCE[[#This Row],[PUERTAS ACCESO - LOGIA - BANO]])</f>
        <v>0</v>
      </c>
      <c r="CI262" s="3">
        <f>+IF(AVANCE[[#This Row],[CERRADURAS]]=AV$2,100%,AVANCE[[#This Row],[CERRADURAS]])</f>
        <v>0</v>
      </c>
      <c r="CJ262" s="3">
        <f>+IF(AVANCE[[#This Row],[REVESTIMIENTO INTERIOR ZONA SECA]]=AW$2,100%,AVANCE[[#This Row],[REVESTIMIENTO INTERIOR ZONA SECA]])</f>
        <v>0</v>
      </c>
      <c r="CK262" s="3">
        <f>+IF(AVANCE[[#This Row],[REVESTIMIENTO INTERIOR ZONAS HUMEDAS]]=AX$2,100%,AVANCE[[#This Row],[REVESTIMIENTO INTERIOR ZONAS HUMEDAS]])</f>
        <v>0</v>
      </c>
      <c r="CL262" s="3">
        <f>+IF(AVANCE[[#This Row],[MEMBRANA CIELO]]=AY$2,100%,AVANCE[[#This Row],[MEMBRANA CIELO]])</f>
        <v>0</v>
      </c>
      <c r="CM262" s="3">
        <f>+IF(AVANCE[[#This Row],[LIMPIEZA FINAL]]=AZ$2,100%,AVANCE[[#This Row],[LIMPIEZA FINAL]])</f>
        <v>0</v>
      </c>
      <c r="CN262" s="3">
        <f>+IF(AVANCE[[#This Row],[PUERTAS DORMITORIO]]=BA$2,100%,AVANCE[[#This Row],[PUERTAS DORMITORIO]])</f>
        <v>0</v>
      </c>
      <c r="CO262" s="3">
        <f>+IF(AVANCE[[#This Row],[REVESTIMIENTO INTERIOR BANO]]=BB$2,100%,AVANCE[[#This Row],[REVESTIMIENTO INTERIOR BANO]])</f>
        <v>0</v>
      </c>
      <c r="CP262" s="3">
        <f>+IF(AVANCE[[#This Row],[MUEBLE LAVAPLATOS]]=BC$2,100%,AVANCE[[#This Row],[MUEBLE LAVAPLATOS]])</f>
        <v>0</v>
      </c>
      <c r="CQ262" s="3">
        <f>+IF(AVANCE[[#This Row],[IMPERMEABILIZACION BANO - COCINA LOGIA]]=BD$2,100%,AVANCE[[#This Row],[IMPERMEABILIZACION BANO - COCINA LOGIA]])</f>
        <v>0</v>
      </c>
      <c r="CR262" s="40">
        <f ca="1">+IF(AVANCE[[#This Row],[ESTADO MODULO]]="PENDIENTE",(TODAY()-AVANCE[[#This Row],[FECHA TERMINO  PLANIFICADO]]),0)</f>
        <v>0</v>
      </c>
      <c r="CS262" s="42" t="str" cm="1">
        <f t="array" ref="CS262">_xlfn.TEXTJOIN(" | ",TRUE,IF(SUMPRODUCT((BF262:CQ262&lt;1)*(PARTIDAS!$I$2:$AT$2="OBRA GRUESA"))&gt;0,"OBRA GRUESA: "&amp;_xlfn.TEXTJOIN(", ",TRUE,IF((BF262:CQ262&lt;1)*(PARTIDAS!$I$2:$AT$2="OBRA GRUESA"),PARTIDAS!$I$1:$AT$1,"")),""),IF(SUMPRODUCT((BF262:CQ262&lt;1)*(PARTIDAS!$I$2:$AT$2="SANITARIOS"))&gt;0,"SANITARIOS: "&amp;_xlfn.TEXTJOIN(", ",TRUE,IF((BF262:CQ262&lt;1)*(PARTIDAS!$I$2:$AT$2="SANITARIOS"),PARTIDAS!$I$1:$AT$1,"")),""),IF(SUMPRODUCT((BF262:CQ262&lt;1)*(PARTIDAS!$I$2:$AT$2="ELÉCTRICO"))&gt;0,"ELÉCTRICO: "&amp;_xlfn.TEXTJOIN(", ",TRUE,IF((BF262:CQ262&lt;1)*(PARTIDAS!$I$2:$AT$2="ELÉCTRICO"),PARTIDAS!$I$1:$AT$1,"")),""),IF(SUMPRODUCT((BF262:CQ262&lt;1)*(PARTIDAS!$I$2:$AT$2="TERMINACIONES"))&gt;0,"TERMINACIONES: "&amp;_xlfn.TEXTJOIN(", ",TRUE,IF((BF262:CQ262&lt;1)*(PARTIDAS!$I$2:$AT$2="TERMINACIONES"),PARTIDAS!$I$1:$AT$1,"")),""))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2" s="45" t="str" cm="1">
        <f t="array" ref="CT262">_xlfn.TEXTJOIN(", ",TRUE,IF(SUMPRODUCT((BF262:CQ262&lt;1)*(PARTIDAS!$I$2:$AT$2="OBRA GRUESA"))&gt;0,"OBRA GRUESA",""),IF(SUMPRODUCT((BF262:CQ262&lt;1)*(PARTIDAS!$I$2:$AT$2="SANITARIOS"))&gt;0,"SANITARIOS",""),IF(SUMPRODUCT((BF262:CQ262&lt;1)*(PARTIDAS!$I$2:$AT$2="ELÉCTRICO"))&gt;0,"ELÉCTRICO",""),IF(SUMPRODUCT((BF262:CQ262&lt;1)*(PARTIDAS!$I$2:$AT$2="TERMINACIONES"))&gt;0,"TERMINACIONES",""))</f>
        <v>OBRA GRUESA, SANITARIOS, ELÉCTRICO, TERMINACIONES</v>
      </c>
      <c r="CU262" s="46" cm="1">
        <f t="array" ref="CU262">SUMPRODUCT(--(BF262:CQ262&lt;1))</f>
        <v>38</v>
      </c>
    </row>
    <row r="263" spans="1:99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46181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 t="str">
        <f>+IF(AVANCE[[#This Row],[% AVANCE]]=100%,"MODULO TERMINADO",IF(AVANCE[[#This Row],[FECHA INICIO REAL]]="","MODULO NO INICIADO","PENDIENTE"))</f>
        <v>MODULO NO INICIADO</v>
      </c>
      <c r="BF263" s="3">
        <f>+IF(AVANCE[[#This Row],[VENTANAS]]=8.10810810810811%,100%,AVANCE[[#This Row],[VENTANAS]])</f>
        <v>0</v>
      </c>
      <c r="BG263" s="3">
        <f>+IF(AVANCE[[#This Row],[PISO]]=N$2,100%,AVANCE[[#This Row],[PISO]])</f>
        <v>0</v>
      </c>
      <c r="BH263" s="3">
        <f>+IF(AVANCE[[#This Row],[TABIQUES]]=O$2,100%,AVANCE[[#This Row],[TABIQUES]])</f>
        <v>0</v>
      </c>
      <c r="BI263" s="3">
        <f>+IF(AVANCE[[#This Row],[MUROS]]=P$2,100%,AVANCE[[#This Row],[MUROS]])</f>
        <v>0</v>
      </c>
      <c r="BJ263" s="3">
        <f>+IF(AVANCE[[#This Row],[CIELO]]=Q$2,100%,AVANCE[[#This Row],[CIELO]])</f>
        <v>0</v>
      </c>
      <c r="BK263" s="3">
        <f>+IF(AVANCE[[#This Row],[BALCÓN]]=R$2,100%,AVANCE[[#This Row],[BALCÓN]])</f>
        <v>0</v>
      </c>
      <c r="BL263" s="3">
        <f>+IF(AVANCE[[#This Row],[RED ALCANTARILLADO]]=U$2,100%,AVANCE[[#This Row],[RED ALCANTARILLADO]])</f>
        <v>0</v>
      </c>
      <c r="BM263" s="3">
        <f>+IF(AVANCE[[#This Row],[RED DE AGUA]]=V$2,100%,AVANCE[[#This Row],[RED DE AGUA]])</f>
        <v>0</v>
      </c>
      <c r="BN263" s="3">
        <f>+IF(AVANCE[[#This Row],[VENTILACIONES]]=W$2,100%,AVANCE[[#This Row],[VENTILACIONES]])</f>
        <v>0</v>
      </c>
      <c r="BO263" s="3">
        <f>+IF(AVANCE[[#This Row],[TINA]]=X$2,100%,AVANCE[[#This Row],[TINA]])</f>
        <v>0</v>
      </c>
      <c r="BP263" s="3">
        <f>+IF(AVANCE[[#This Row],[WC]]=Y$2,100%,AVANCE[[#This Row],[WC]])</f>
        <v>0</v>
      </c>
      <c r="BQ263" s="3">
        <f>+IF(AVANCE[[#This Row],[LAVAMANOS / LAVAPLATOS / LAVADERO]]=Z$2,100%,AVANCE[[#This Row],[LAVAMANOS / LAVAPLATOS / LAVADERO]])</f>
        <v>0</v>
      </c>
      <c r="BR263" s="3">
        <f>+IF(AVANCE[[#This Row],[CANALIZACIÓN]]=AC$2,100%,AVANCE[[#This Row],[CANALIZACIÓN]])</f>
        <v>0</v>
      </c>
      <c r="BS263" s="3">
        <f>+IF(AVANCE[[#This Row],[CABLEADO]]=AD$2,100%,AVANCE[[#This Row],[CABLEADO]])</f>
        <v>0</v>
      </c>
      <c r="BT263" s="3">
        <f>+IF(AVANCE[[#This Row],[ARTEFACTOS]]=AE$2,100%,AVANCE[[#This Row],[ARTEFACTOS]])</f>
        <v>0</v>
      </c>
      <c r="BU263" s="3">
        <f>+IF(AVANCE[[#This Row],[TABLERO]]=AF$2,100%,AVANCE[[#This Row],[TABLERO]])</f>
        <v>0</v>
      </c>
      <c r="BV263" s="3">
        <f>+IF(AVANCE[[#This Row],[CAJA PAU]]=AG$2,100%,AVANCE[[#This Row],[CAJA PAU]])</f>
        <v>0</v>
      </c>
      <c r="BW263" s="3">
        <f>+IF(AVANCE[[#This Row],[INSTALACION VINILICO]]=AJ$2,100%,AVANCE[[#This Row],[INSTALACION VINILICO]])</f>
        <v>0</v>
      </c>
      <c r="BX263" s="3">
        <f>+IF(AVANCE[[#This Row],[OSB CUBIERTA]]=AK$2,100%,AVANCE[[#This Row],[OSB CUBIERTA]])</f>
        <v>0</v>
      </c>
      <c r="BY263" s="3">
        <f>+IF(AVANCE[[#This Row],[BARANDA BALCON]]=AL$2,100%,AVANCE[[#This Row],[BARANDA BALCON]])</f>
        <v>0</v>
      </c>
      <c r="BZ263" s="3">
        <f>+IF(AVANCE[[#This Row],[OSB EXTERIOR]]=AM$2,100%,AVANCE[[#This Row],[OSB EXTERIOR]])</f>
        <v>0</v>
      </c>
      <c r="CA263" s="3">
        <f>+IF(AVANCE[[#This Row],[SMART PANEL]]=AN$2,100%,AVANCE[[#This Row],[SMART PANEL]])</f>
        <v>0</v>
      </c>
      <c r="CB263" s="3">
        <f>+IF(AVANCE[[#This Row],[PINTURA EXTERIOR]]=AO$2,100%,AVANCE[[#This Row],[PINTURA EXTERIOR]])</f>
        <v>0</v>
      </c>
      <c r="CC263" s="3">
        <f>+IF(AVANCE[[#This Row],[ZOCALOS LOGIA]]=AP$2,100%,AVANCE[[#This Row],[ZOCALOS LOGIA]])</f>
        <v>0</v>
      </c>
      <c r="CD263" s="3">
        <f>+IF(AVANCE[[#This Row],[MOLDURAS]]=AQ$2,100%,AVANCE[[#This Row],[MOLDURAS]])</f>
        <v>0</v>
      </c>
      <c r="CE263" s="3">
        <f>+IF(AVANCE[[#This Row],[PILASTREO]]=AR$2,100%,AVANCE[[#This Row],[PILASTREO]])</f>
        <v>0</v>
      </c>
      <c r="CF263" s="3">
        <f>+IF(AVANCE[[#This Row],[CELOSIAS]]=AS$2,100%,AVANCE[[#This Row],[CELOSIAS]])</f>
        <v>0</v>
      </c>
      <c r="CG263" s="3">
        <f>+IF(AVANCE[[#This Row],[VENTANAS]]=AT$2,100%,AVANCE[[#This Row],[VENTANAS]])</f>
        <v>0</v>
      </c>
      <c r="CH263" s="3">
        <f>+IF(AVANCE[[#This Row],[PUERTAS ACCESO - LOGIA - BANO]]=AU$2,100%,AVANCE[[#This Row],[PUERTAS ACCESO - LOGIA - BANO]])</f>
        <v>0</v>
      </c>
      <c r="CI263" s="3">
        <f>+IF(AVANCE[[#This Row],[CERRADURAS]]=AV$2,100%,AVANCE[[#This Row],[CERRADURAS]])</f>
        <v>0</v>
      </c>
      <c r="CJ263" s="3">
        <f>+IF(AVANCE[[#This Row],[REVESTIMIENTO INTERIOR ZONA SECA]]=AW$2,100%,AVANCE[[#This Row],[REVESTIMIENTO INTERIOR ZONA SECA]])</f>
        <v>0</v>
      </c>
      <c r="CK263" s="3">
        <f>+IF(AVANCE[[#This Row],[REVESTIMIENTO INTERIOR ZONAS HUMEDAS]]=AX$2,100%,AVANCE[[#This Row],[REVESTIMIENTO INTERIOR ZONAS HUMEDAS]])</f>
        <v>0</v>
      </c>
      <c r="CL263" s="3">
        <f>+IF(AVANCE[[#This Row],[MEMBRANA CIELO]]=AY$2,100%,AVANCE[[#This Row],[MEMBRANA CIELO]])</f>
        <v>0</v>
      </c>
      <c r="CM263" s="3">
        <f>+IF(AVANCE[[#This Row],[LIMPIEZA FINAL]]=AZ$2,100%,AVANCE[[#This Row],[LIMPIEZA FINAL]])</f>
        <v>0</v>
      </c>
      <c r="CN263" s="3">
        <f>+IF(AVANCE[[#This Row],[PUERTAS DORMITORIO]]=BA$2,100%,AVANCE[[#This Row],[PUERTAS DORMITORIO]])</f>
        <v>0</v>
      </c>
      <c r="CO263" s="3">
        <f>+IF(AVANCE[[#This Row],[REVESTIMIENTO INTERIOR BANO]]=BB$2,100%,AVANCE[[#This Row],[REVESTIMIENTO INTERIOR BANO]])</f>
        <v>0</v>
      </c>
      <c r="CP263" s="3">
        <f>+IF(AVANCE[[#This Row],[MUEBLE LAVAPLATOS]]=BC$2,100%,AVANCE[[#This Row],[MUEBLE LAVAPLATOS]])</f>
        <v>0</v>
      </c>
      <c r="CQ263" s="3">
        <f>+IF(AVANCE[[#This Row],[IMPERMEABILIZACION BANO - COCINA LOGIA]]=BD$2,100%,AVANCE[[#This Row],[IMPERMEABILIZACION BANO - COCINA LOGIA]])</f>
        <v>0</v>
      </c>
      <c r="CR263" s="40">
        <f ca="1">+IF(AVANCE[[#This Row],[ESTADO MODULO]]="PENDIENTE",(TODAY()-AVANCE[[#This Row],[FECHA TERMINO  PLANIFICADO]]),0)</f>
        <v>0</v>
      </c>
      <c r="CS263" s="42" t="str" cm="1">
        <f t="array" ref="CS263">_xlfn.TEXTJOIN(" | ",TRUE,IF(SUMPRODUCT((BF263:CQ263&lt;1)*(PARTIDAS!$I$2:$AT$2="OBRA GRUESA"))&gt;0,"OBRA GRUESA: "&amp;_xlfn.TEXTJOIN(", ",TRUE,IF((BF263:CQ263&lt;1)*(PARTIDAS!$I$2:$AT$2="OBRA GRUESA"),PARTIDAS!$I$1:$AT$1,"")),""),IF(SUMPRODUCT((BF263:CQ263&lt;1)*(PARTIDAS!$I$2:$AT$2="SANITARIOS"))&gt;0,"SANITARIOS: "&amp;_xlfn.TEXTJOIN(", ",TRUE,IF((BF263:CQ263&lt;1)*(PARTIDAS!$I$2:$AT$2="SANITARIOS"),PARTIDAS!$I$1:$AT$1,"")),""),IF(SUMPRODUCT((BF263:CQ263&lt;1)*(PARTIDAS!$I$2:$AT$2="ELÉCTRICO"))&gt;0,"ELÉCTRICO: "&amp;_xlfn.TEXTJOIN(", ",TRUE,IF((BF263:CQ263&lt;1)*(PARTIDAS!$I$2:$AT$2="ELÉCTRICO"),PARTIDAS!$I$1:$AT$1,"")),""),IF(SUMPRODUCT((BF263:CQ263&lt;1)*(PARTIDAS!$I$2:$AT$2="TERMINACIONES"))&gt;0,"TERMINACIONES: "&amp;_xlfn.TEXTJOIN(", ",TRUE,IF((BF263:CQ263&lt;1)*(PARTIDAS!$I$2:$AT$2="TERMINACIONES"),PARTIDAS!$I$1:$AT$1,"")),""))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3" s="45" t="str" cm="1">
        <f t="array" ref="CT263">_xlfn.TEXTJOIN(", ",TRUE,IF(SUMPRODUCT((BF263:CQ263&lt;1)*(PARTIDAS!$I$2:$AT$2="OBRA GRUESA"))&gt;0,"OBRA GRUESA",""),IF(SUMPRODUCT((BF263:CQ263&lt;1)*(PARTIDAS!$I$2:$AT$2="SANITARIOS"))&gt;0,"SANITARIOS",""),IF(SUMPRODUCT((BF263:CQ263&lt;1)*(PARTIDAS!$I$2:$AT$2="ELÉCTRICO"))&gt;0,"ELÉCTRICO",""),IF(SUMPRODUCT((BF263:CQ263&lt;1)*(PARTIDAS!$I$2:$AT$2="TERMINACIONES"))&gt;0,"TERMINACIONES",""))</f>
        <v>OBRA GRUESA, SANITARIOS, ELÉCTRICO, TERMINACIONES</v>
      </c>
      <c r="CU263" s="46" cm="1">
        <f t="array" ref="CU263">SUMPRODUCT(--(BF263:CQ263&lt;1))</f>
        <v>38</v>
      </c>
    </row>
    <row r="264" spans="1:99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46181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 t="str">
        <f>+IF(AVANCE[[#This Row],[% AVANCE]]=100%,"MODULO TERMINADO",IF(AVANCE[[#This Row],[FECHA INICIO REAL]]="","MODULO NO INICIADO","PENDIENTE"))</f>
        <v>MODULO NO INICIADO</v>
      </c>
      <c r="BF264" s="3">
        <f>+IF(AVANCE[[#This Row],[VENTANAS]]=8.10810810810811%,100%,AVANCE[[#This Row],[VENTANAS]])</f>
        <v>0</v>
      </c>
      <c r="BG264" s="3">
        <f>+IF(AVANCE[[#This Row],[PISO]]=N$2,100%,AVANCE[[#This Row],[PISO]])</f>
        <v>0</v>
      </c>
      <c r="BH264" s="3">
        <f>+IF(AVANCE[[#This Row],[TABIQUES]]=O$2,100%,AVANCE[[#This Row],[TABIQUES]])</f>
        <v>0</v>
      </c>
      <c r="BI264" s="3">
        <f>+IF(AVANCE[[#This Row],[MUROS]]=P$2,100%,AVANCE[[#This Row],[MUROS]])</f>
        <v>0</v>
      </c>
      <c r="BJ264" s="3">
        <f>+IF(AVANCE[[#This Row],[CIELO]]=Q$2,100%,AVANCE[[#This Row],[CIELO]])</f>
        <v>0</v>
      </c>
      <c r="BK264" s="3">
        <f>+IF(AVANCE[[#This Row],[BALCÓN]]=R$2,100%,AVANCE[[#This Row],[BALCÓN]])</f>
        <v>0</v>
      </c>
      <c r="BL264" s="3">
        <f>+IF(AVANCE[[#This Row],[RED ALCANTARILLADO]]=U$2,100%,AVANCE[[#This Row],[RED ALCANTARILLADO]])</f>
        <v>0</v>
      </c>
      <c r="BM264" s="3">
        <f>+IF(AVANCE[[#This Row],[RED DE AGUA]]=V$2,100%,AVANCE[[#This Row],[RED DE AGUA]])</f>
        <v>0</v>
      </c>
      <c r="BN264" s="3">
        <f>+IF(AVANCE[[#This Row],[VENTILACIONES]]=W$2,100%,AVANCE[[#This Row],[VENTILACIONES]])</f>
        <v>0</v>
      </c>
      <c r="BO264" s="3">
        <f>+IF(AVANCE[[#This Row],[TINA]]=X$2,100%,AVANCE[[#This Row],[TINA]])</f>
        <v>0</v>
      </c>
      <c r="BP264" s="3">
        <f>+IF(AVANCE[[#This Row],[WC]]=Y$2,100%,AVANCE[[#This Row],[WC]])</f>
        <v>0</v>
      </c>
      <c r="BQ264" s="3">
        <f>+IF(AVANCE[[#This Row],[LAVAMANOS / LAVAPLATOS / LAVADERO]]=Z$2,100%,AVANCE[[#This Row],[LAVAMANOS / LAVAPLATOS / LAVADERO]])</f>
        <v>0</v>
      </c>
      <c r="BR264" s="3">
        <f>+IF(AVANCE[[#This Row],[CANALIZACIÓN]]=AC$2,100%,AVANCE[[#This Row],[CANALIZACIÓN]])</f>
        <v>0</v>
      </c>
      <c r="BS264" s="3">
        <f>+IF(AVANCE[[#This Row],[CABLEADO]]=AD$2,100%,AVANCE[[#This Row],[CABLEADO]])</f>
        <v>0</v>
      </c>
      <c r="BT264" s="3">
        <f>+IF(AVANCE[[#This Row],[ARTEFACTOS]]=AE$2,100%,AVANCE[[#This Row],[ARTEFACTOS]])</f>
        <v>0</v>
      </c>
      <c r="BU264" s="3">
        <f>+IF(AVANCE[[#This Row],[TABLERO]]=AF$2,100%,AVANCE[[#This Row],[TABLERO]])</f>
        <v>0</v>
      </c>
      <c r="BV264" s="3">
        <f>+IF(AVANCE[[#This Row],[CAJA PAU]]=AG$2,100%,AVANCE[[#This Row],[CAJA PAU]])</f>
        <v>0</v>
      </c>
      <c r="BW264" s="3">
        <f>+IF(AVANCE[[#This Row],[INSTALACION VINILICO]]=AJ$2,100%,AVANCE[[#This Row],[INSTALACION VINILICO]])</f>
        <v>0</v>
      </c>
      <c r="BX264" s="3">
        <f>+IF(AVANCE[[#This Row],[OSB CUBIERTA]]=AK$2,100%,AVANCE[[#This Row],[OSB CUBIERTA]])</f>
        <v>0</v>
      </c>
      <c r="BY264" s="3">
        <f>+IF(AVANCE[[#This Row],[BARANDA BALCON]]=AL$2,100%,AVANCE[[#This Row],[BARANDA BALCON]])</f>
        <v>0</v>
      </c>
      <c r="BZ264" s="3">
        <f>+IF(AVANCE[[#This Row],[OSB EXTERIOR]]=AM$2,100%,AVANCE[[#This Row],[OSB EXTERIOR]])</f>
        <v>0</v>
      </c>
      <c r="CA264" s="3">
        <f>+IF(AVANCE[[#This Row],[SMART PANEL]]=AN$2,100%,AVANCE[[#This Row],[SMART PANEL]])</f>
        <v>0</v>
      </c>
      <c r="CB264" s="3">
        <f>+IF(AVANCE[[#This Row],[PINTURA EXTERIOR]]=AO$2,100%,AVANCE[[#This Row],[PINTURA EXTERIOR]])</f>
        <v>0</v>
      </c>
      <c r="CC264" s="3">
        <f>+IF(AVANCE[[#This Row],[ZOCALOS LOGIA]]=AP$2,100%,AVANCE[[#This Row],[ZOCALOS LOGIA]])</f>
        <v>0</v>
      </c>
      <c r="CD264" s="3">
        <f>+IF(AVANCE[[#This Row],[MOLDURAS]]=AQ$2,100%,AVANCE[[#This Row],[MOLDURAS]])</f>
        <v>0</v>
      </c>
      <c r="CE264" s="3">
        <f>+IF(AVANCE[[#This Row],[PILASTREO]]=AR$2,100%,AVANCE[[#This Row],[PILASTREO]])</f>
        <v>0</v>
      </c>
      <c r="CF264" s="3">
        <f>+IF(AVANCE[[#This Row],[CELOSIAS]]=AS$2,100%,AVANCE[[#This Row],[CELOSIAS]])</f>
        <v>0</v>
      </c>
      <c r="CG264" s="3">
        <f>+IF(AVANCE[[#This Row],[VENTANAS]]=AT$2,100%,AVANCE[[#This Row],[VENTANAS]])</f>
        <v>0</v>
      </c>
      <c r="CH264" s="3">
        <f>+IF(AVANCE[[#This Row],[PUERTAS ACCESO - LOGIA - BANO]]=AU$2,100%,AVANCE[[#This Row],[PUERTAS ACCESO - LOGIA - BANO]])</f>
        <v>0</v>
      </c>
      <c r="CI264" s="3">
        <f>+IF(AVANCE[[#This Row],[CERRADURAS]]=AV$2,100%,AVANCE[[#This Row],[CERRADURAS]])</f>
        <v>0</v>
      </c>
      <c r="CJ264" s="3">
        <f>+IF(AVANCE[[#This Row],[REVESTIMIENTO INTERIOR ZONA SECA]]=AW$2,100%,AVANCE[[#This Row],[REVESTIMIENTO INTERIOR ZONA SECA]])</f>
        <v>0</v>
      </c>
      <c r="CK264" s="3">
        <f>+IF(AVANCE[[#This Row],[REVESTIMIENTO INTERIOR ZONAS HUMEDAS]]=AX$2,100%,AVANCE[[#This Row],[REVESTIMIENTO INTERIOR ZONAS HUMEDAS]])</f>
        <v>0</v>
      </c>
      <c r="CL264" s="3">
        <f>+IF(AVANCE[[#This Row],[MEMBRANA CIELO]]=AY$2,100%,AVANCE[[#This Row],[MEMBRANA CIELO]])</f>
        <v>0</v>
      </c>
      <c r="CM264" s="3">
        <f>+IF(AVANCE[[#This Row],[LIMPIEZA FINAL]]=AZ$2,100%,AVANCE[[#This Row],[LIMPIEZA FINAL]])</f>
        <v>0</v>
      </c>
      <c r="CN264" s="3">
        <f>+IF(AVANCE[[#This Row],[PUERTAS DORMITORIO]]=BA$2,100%,AVANCE[[#This Row],[PUERTAS DORMITORIO]])</f>
        <v>0</v>
      </c>
      <c r="CO264" s="3">
        <f>+IF(AVANCE[[#This Row],[REVESTIMIENTO INTERIOR BANO]]=BB$2,100%,AVANCE[[#This Row],[REVESTIMIENTO INTERIOR BANO]])</f>
        <v>0</v>
      </c>
      <c r="CP264" s="3">
        <f>+IF(AVANCE[[#This Row],[MUEBLE LAVAPLATOS]]=BC$2,100%,AVANCE[[#This Row],[MUEBLE LAVAPLATOS]])</f>
        <v>0</v>
      </c>
      <c r="CQ264" s="3">
        <f>+IF(AVANCE[[#This Row],[IMPERMEABILIZACION BANO - COCINA LOGIA]]=BD$2,100%,AVANCE[[#This Row],[IMPERMEABILIZACION BANO - COCINA LOGIA]])</f>
        <v>0</v>
      </c>
      <c r="CR264" s="40">
        <f ca="1">+IF(AVANCE[[#This Row],[ESTADO MODULO]]="PENDIENTE",(TODAY()-AVANCE[[#This Row],[FECHA TERMINO  PLANIFICADO]]),0)</f>
        <v>0</v>
      </c>
      <c r="CS264" s="42" t="str" cm="1">
        <f t="array" ref="CS264">_xlfn.TEXTJOIN(" | ",TRUE,IF(SUMPRODUCT((BF264:CQ264&lt;1)*(PARTIDAS!$I$2:$AT$2="OBRA GRUESA"))&gt;0,"OBRA GRUESA: "&amp;_xlfn.TEXTJOIN(", ",TRUE,IF((BF264:CQ264&lt;1)*(PARTIDAS!$I$2:$AT$2="OBRA GRUESA"),PARTIDAS!$I$1:$AT$1,"")),""),IF(SUMPRODUCT((BF264:CQ264&lt;1)*(PARTIDAS!$I$2:$AT$2="SANITARIOS"))&gt;0,"SANITARIOS: "&amp;_xlfn.TEXTJOIN(", ",TRUE,IF((BF264:CQ264&lt;1)*(PARTIDAS!$I$2:$AT$2="SANITARIOS"),PARTIDAS!$I$1:$AT$1,"")),""),IF(SUMPRODUCT((BF264:CQ264&lt;1)*(PARTIDAS!$I$2:$AT$2="ELÉCTRICO"))&gt;0,"ELÉCTRICO: "&amp;_xlfn.TEXTJOIN(", ",TRUE,IF((BF264:CQ264&lt;1)*(PARTIDAS!$I$2:$AT$2="ELÉCTRICO"),PARTIDAS!$I$1:$AT$1,"")),""),IF(SUMPRODUCT((BF264:CQ264&lt;1)*(PARTIDAS!$I$2:$AT$2="TERMINACIONES"))&gt;0,"TERMINACIONES: "&amp;_xlfn.TEXTJOIN(", ",TRUE,IF((BF264:CQ264&lt;1)*(PARTIDAS!$I$2:$AT$2="TERMINACIONES"),PARTIDAS!$I$1:$AT$1,"")),""))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4" s="45" t="str" cm="1">
        <f t="array" ref="CT264">_xlfn.TEXTJOIN(", ",TRUE,IF(SUMPRODUCT((BF264:CQ264&lt;1)*(PARTIDAS!$I$2:$AT$2="OBRA GRUESA"))&gt;0,"OBRA GRUESA",""),IF(SUMPRODUCT((BF264:CQ264&lt;1)*(PARTIDAS!$I$2:$AT$2="SANITARIOS"))&gt;0,"SANITARIOS",""),IF(SUMPRODUCT((BF264:CQ264&lt;1)*(PARTIDAS!$I$2:$AT$2="ELÉCTRICO"))&gt;0,"ELÉCTRICO",""),IF(SUMPRODUCT((BF264:CQ264&lt;1)*(PARTIDAS!$I$2:$AT$2="TERMINACIONES"))&gt;0,"TERMINACIONES",""))</f>
        <v>OBRA GRUESA, SANITARIOS, ELÉCTRICO, TERMINACIONES</v>
      </c>
      <c r="CU264" s="46" cm="1">
        <f t="array" ref="CU264">SUMPRODUCT(--(BF264:CQ264&lt;1))</f>
        <v>38</v>
      </c>
    </row>
    <row r="265" spans="1:99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46181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 t="str">
        <f>+IF(AVANCE[[#This Row],[% AVANCE]]=100%,"MODULO TERMINADO",IF(AVANCE[[#This Row],[FECHA INICIO REAL]]="","MODULO NO INICIADO","PENDIENTE"))</f>
        <v>MODULO NO INICIADO</v>
      </c>
      <c r="BF265" s="3">
        <f>+IF(AVANCE[[#This Row],[VENTANAS]]=8.10810810810811%,100%,AVANCE[[#This Row],[VENTANAS]])</f>
        <v>0</v>
      </c>
      <c r="BG265" s="3">
        <f>+IF(AVANCE[[#This Row],[PISO]]=N$2,100%,AVANCE[[#This Row],[PISO]])</f>
        <v>0</v>
      </c>
      <c r="BH265" s="3">
        <f>+IF(AVANCE[[#This Row],[TABIQUES]]=O$2,100%,AVANCE[[#This Row],[TABIQUES]])</f>
        <v>0</v>
      </c>
      <c r="BI265" s="3">
        <f>+IF(AVANCE[[#This Row],[MUROS]]=P$2,100%,AVANCE[[#This Row],[MUROS]])</f>
        <v>0</v>
      </c>
      <c r="BJ265" s="3">
        <f>+IF(AVANCE[[#This Row],[CIELO]]=Q$2,100%,AVANCE[[#This Row],[CIELO]])</f>
        <v>0</v>
      </c>
      <c r="BK265" s="3">
        <f>+IF(AVANCE[[#This Row],[BALCÓN]]=R$2,100%,AVANCE[[#This Row],[BALCÓN]])</f>
        <v>0</v>
      </c>
      <c r="BL265" s="3">
        <f>+IF(AVANCE[[#This Row],[RED ALCANTARILLADO]]=U$2,100%,AVANCE[[#This Row],[RED ALCANTARILLADO]])</f>
        <v>0</v>
      </c>
      <c r="BM265" s="3">
        <f>+IF(AVANCE[[#This Row],[RED DE AGUA]]=V$2,100%,AVANCE[[#This Row],[RED DE AGUA]])</f>
        <v>0</v>
      </c>
      <c r="BN265" s="3">
        <f>+IF(AVANCE[[#This Row],[VENTILACIONES]]=W$2,100%,AVANCE[[#This Row],[VENTILACIONES]])</f>
        <v>0</v>
      </c>
      <c r="BO265" s="3">
        <f>+IF(AVANCE[[#This Row],[TINA]]=X$2,100%,AVANCE[[#This Row],[TINA]])</f>
        <v>0</v>
      </c>
      <c r="BP265" s="3">
        <f>+IF(AVANCE[[#This Row],[WC]]=Y$2,100%,AVANCE[[#This Row],[WC]])</f>
        <v>0</v>
      </c>
      <c r="BQ265" s="3">
        <f>+IF(AVANCE[[#This Row],[LAVAMANOS / LAVAPLATOS / LAVADERO]]=Z$2,100%,AVANCE[[#This Row],[LAVAMANOS / LAVAPLATOS / LAVADERO]])</f>
        <v>0</v>
      </c>
      <c r="BR265" s="3">
        <f>+IF(AVANCE[[#This Row],[CANALIZACIÓN]]=AC$2,100%,AVANCE[[#This Row],[CANALIZACIÓN]])</f>
        <v>0</v>
      </c>
      <c r="BS265" s="3">
        <f>+IF(AVANCE[[#This Row],[CABLEADO]]=AD$2,100%,AVANCE[[#This Row],[CABLEADO]])</f>
        <v>0</v>
      </c>
      <c r="BT265" s="3">
        <f>+IF(AVANCE[[#This Row],[ARTEFACTOS]]=AE$2,100%,AVANCE[[#This Row],[ARTEFACTOS]])</f>
        <v>0</v>
      </c>
      <c r="BU265" s="3">
        <f>+IF(AVANCE[[#This Row],[TABLERO]]=AF$2,100%,AVANCE[[#This Row],[TABLERO]])</f>
        <v>0</v>
      </c>
      <c r="BV265" s="3">
        <f>+IF(AVANCE[[#This Row],[CAJA PAU]]=AG$2,100%,AVANCE[[#This Row],[CAJA PAU]])</f>
        <v>0</v>
      </c>
      <c r="BW265" s="3">
        <f>+IF(AVANCE[[#This Row],[INSTALACION VINILICO]]=AJ$2,100%,AVANCE[[#This Row],[INSTALACION VINILICO]])</f>
        <v>0</v>
      </c>
      <c r="BX265" s="3">
        <f>+IF(AVANCE[[#This Row],[OSB CUBIERTA]]=AK$2,100%,AVANCE[[#This Row],[OSB CUBIERTA]])</f>
        <v>0</v>
      </c>
      <c r="BY265" s="3">
        <f>+IF(AVANCE[[#This Row],[BARANDA BALCON]]=AL$2,100%,AVANCE[[#This Row],[BARANDA BALCON]])</f>
        <v>0</v>
      </c>
      <c r="BZ265" s="3">
        <f>+IF(AVANCE[[#This Row],[OSB EXTERIOR]]=AM$2,100%,AVANCE[[#This Row],[OSB EXTERIOR]])</f>
        <v>0</v>
      </c>
      <c r="CA265" s="3">
        <f>+IF(AVANCE[[#This Row],[SMART PANEL]]=AN$2,100%,AVANCE[[#This Row],[SMART PANEL]])</f>
        <v>0</v>
      </c>
      <c r="CB265" s="3">
        <f>+IF(AVANCE[[#This Row],[PINTURA EXTERIOR]]=AO$2,100%,AVANCE[[#This Row],[PINTURA EXTERIOR]])</f>
        <v>0</v>
      </c>
      <c r="CC265" s="3">
        <f>+IF(AVANCE[[#This Row],[ZOCALOS LOGIA]]=AP$2,100%,AVANCE[[#This Row],[ZOCALOS LOGIA]])</f>
        <v>0</v>
      </c>
      <c r="CD265" s="3">
        <f>+IF(AVANCE[[#This Row],[MOLDURAS]]=AQ$2,100%,AVANCE[[#This Row],[MOLDURAS]])</f>
        <v>0</v>
      </c>
      <c r="CE265" s="3">
        <f>+IF(AVANCE[[#This Row],[PILASTREO]]=AR$2,100%,AVANCE[[#This Row],[PILASTREO]])</f>
        <v>0</v>
      </c>
      <c r="CF265" s="3">
        <f>+IF(AVANCE[[#This Row],[CELOSIAS]]=AS$2,100%,AVANCE[[#This Row],[CELOSIAS]])</f>
        <v>0</v>
      </c>
      <c r="CG265" s="3">
        <f>+IF(AVANCE[[#This Row],[VENTANAS]]=AT$2,100%,AVANCE[[#This Row],[VENTANAS]])</f>
        <v>0</v>
      </c>
      <c r="CH265" s="3">
        <f>+IF(AVANCE[[#This Row],[PUERTAS ACCESO - LOGIA - BANO]]=AU$2,100%,AVANCE[[#This Row],[PUERTAS ACCESO - LOGIA - BANO]])</f>
        <v>0</v>
      </c>
      <c r="CI265" s="3">
        <f>+IF(AVANCE[[#This Row],[CERRADURAS]]=AV$2,100%,AVANCE[[#This Row],[CERRADURAS]])</f>
        <v>0</v>
      </c>
      <c r="CJ265" s="3">
        <f>+IF(AVANCE[[#This Row],[REVESTIMIENTO INTERIOR ZONA SECA]]=AW$2,100%,AVANCE[[#This Row],[REVESTIMIENTO INTERIOR ZONA SECA]])</f>
        <v>0</v>
      </c>
      <c r="CK265" s="3">
        <f>+IF(AVANCE[[#This Row],[REVESTIMIENTO INTERIOR ZONAS HUMEDAS]]=AX$2,100%,AVANCE[[#This Row],[REVESTIMIENTO INTERIOR ZONAS HUMEDAS]])</f>
        <v>0</v>
      </c>
      <c r="CL265" s="3">
        <f>+IF(AVANCE[[#This Row],[MEMBRANA CIELO]]=AY$2,100%,AVANCE[[#This Row],[MEMBRANA CIELO]])</f>
        <v>0</v>
      </c>
      <c r="CM265" s="3">
        <f>+IF(AVANCE[[#This Row],[LIMPIEZA FINAL]]=AZ$2,100%,AVANCE[[#This Row],[LIMPIEZA FINAL]])</f>
        <v>0</v>
      </c>
      <c r="CN265" s="3">
        <f>+IF(AVANCE[[#This Row],[PUERTAS DORMITORIO]]=BA$2,100%,AVANCE[[#This Row],[PUERTAS DORMITORIO]])</f>
        <v>0</v>
      </c>
      <c r="CO265" s="3">
        <f>+IF(AVANCE[[#This Row],[REVESTIMIENTO INTERIOR BANO]]=BB$2,100%,AVANCE[[#This Row],[REVESTIMIENTO INTERIOR BANO]])</f>
        <v>0</v>
      </c>
      <c r="CP265" s="3">
        <f>+IF(AVANCE[[#This Row],[MUEBLE LAVAPLATOS]]=BC$2,100%,AVANCE[[#This Row],[MUEBLE LAVAPLATOS]])</f>
        <v>0</v>
      </c>
      <c r="CQ265" s="3">
        <f>+IF(AVANCE[[#This Row],[IMPERMEABILIZACION BANO - COCINA LOGIA]]=BD$2,100%,AVANCE[[#This Row],[IMPERMEABILIZACION BANO - COCINA LOGIA]])</f>
        <v>0</v>
      </c>
      <c r="CR265" s="40">
        <f ca="1">+IF(AVANCE[[#This Row],[ESTADO MODULO]]="PENDIENTE",(TODAY()-AVANCE[[#This Row],[FECHA TERMINO  PLANIFICADO]]),0)</f>
        <v>0</v>
      </c>
      <c r="CS265" s="42" t="str" cm="1">
        <f t="array" ref="CS265">_xlfn.TEXTJOIN(" | ",TRUE,IF(SUMPRODUCT((BF265:CQ265&lt;1)*(PARTIDAS!$I$2:$AT$2="OBRA GRUESA"))&gt;0,"OBRA GRUESA: "&amp;_xlfn.TEXTJOIN(", ",TRUE,IF((BF265:CQ265&lt;1)*(PARTIDAS!$I$2:$AT$2="OBRA GRUESA"),PARTIDAS!$I$1:$AT$1,"")),""),IF(SUMPRODUCT((BF265:CQ265&lt;1)*(PARTIDAS!$I$2:$AT$2="SANITARIOS"))&gt;0,"SANITARIOS: "&amp;_xlfn.TEXTJOIN(", ",TRUE,IF((BF265:CQ265&lt;1)*(PARTIDAS!$I$2:$AT$2="SANITARIOS"),PARTIDAS!$I$1:$AT$1,"")),""),IF(SUMPRODUCT((BF265:CQ265&lt;1)*(PARTIDAS!$I$2:$AT$2="ELÉCTRICO"))&gt;0,"ELÉCTRICO: "&amp;_xlfn.TEXTJOIN(", ",TRUE,IF((BF265:CQ265&lt;1)*(PARTIDAS!$I$2:$AT$2="ELÉCTRICO"),PARTIDAS!$I$1:$AT$1,"")),""),IF(SUMPRODUCT((BF265:CQ265&lt;1)*(PARTIDAS!$I$2:$AT$2="TERMINACIONES"))&gt;0,"TERMINACIONES: "&amp;_xlfn.TEXTJOIN(", ",TRUE,IF((BF265:CQ265&lt;1)*(PARTIDAS!$I$2:$AT$2="TERMINACIONES"),PARTIDAS!$I$1:$AT$1,"")),""))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5" s="45" t="str" cm="1">
        <f t="array" ref="CT265">_xlfn.TEXTJOIN(", ",TRUE,IF(SUMPRODUCT((BF265:CQ265&lt;1)*(PARTIDAS!$I$2:$AT$2="OBRA GRUESA"))&gt;0,"OBRA GRUESA",""),IF(SUMPRODUCT((BF265:CQ265&lt;1)*(PARTIDAS!$I$2:$AT$2="SANITARIOS"))&gt;0,"SANITARIOS",""),IF(SUMPRODUCT((BF265:CQ265&lt;1)*(PARTIDAS!$I$2:$AT$2="ELÉCTRICO"))&gt;0,"ELÉCTRICO",""),IF(SUMPRODUCT((BF265:CQ265&lt;1)*(PARTIDAS!$I$2:$AT$2="TERMINACIONES"))&gt;0,"TERMINACIONES",""))</f>
        <v>OBRA GRUESA, SANITARIOS, ELÉCTRICO, TERMINACIONES</v>
      </c>
      <c r="CU265" s="46" cm="1">
        <f t="array" ref="CU265">SUMPRODUCT(--(BF265:CQ265&lt;1))</f>
        <v>38</v>
      </c>
    </row>
    <row r="266" spans="1:99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46181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 t="str">
        <f>+IF(AVANCE[[#This Row],[% AVANCE]]=100%,"MODULO TERMINADO",IF(AVANCE[[#This Row],[FECHA INICIO REAL]]="","MODULO NO INICIADO","PENDIENTE"))</f>
        <v>MODULO NO INICIADO</v>
      </c>
      <c r="BF266" s="3">
        <f>+IF(AVANCE[[#This Row],[VENTANAS]]=8.10810810810811%,100%,AVANCE[[#This Row],[VENTANAS]])</f>
        <v>0</v>
      </c>
      <c r="BG266" s="3">
        <f>+IF(AVANCE[[#This Row],[PISO]]=N$2,100%,AVANCE[[#This Row],[PISO]])</f>
        <v>0</v>
      </c>
      <c r="BH266" s="3">
        <f>+IF(AVANCE[[#This Row],[TABIQUES]]=O$2,100%,AVANCE[[#This Row],[TABIQUES]])</f>
        <v>0</v>
      </c>
      <c r="BI266" s="3">
        <f>+IF(AVANCE[[#This Row],[MUROS]]=P$2,100%,AVANCE[[#This Row],[MUROS]])</f>
        <v>0</v>
      </c>
      <c r="BJ266" s="3">
        <f>+IF(AVANCE[[#This Row],[CIELO]]=Q$2,100%,AVANCE[[#This Row],[CIELO]])</f>
        <v>0</v>
      </c>
      <c r="BK266" s="3">
        <f>+IF(AVANCE[[#This Row],[BALCÓN]]=R$2,100%,AVANCE[[#This Row],[BALCÓN]])</f>
        <v>0</v>
      </c>
      <c r="BL266" s="3">
        <f>+IF(AVANCE[[#This Row],[RED ALCANTARILLADO]]=U$2,100%,AVANCE[[#This Row],[RED ALCANTARILLADO]])</f>
        <v>0</v>
      </c>
      <c r="BM266" s="3">
        <f>+IF(AVANCE[[#This Row],[RED DE AGUA]]=V$2,100%,AVANCE[[#This Row],[RED DE AGUA]])</f>
        <v>0</v>
      </c>
      <c r="BN266" s="3">
        <f>+IF(AVANCE[[#This Row],[VENTILACIONES]]=W$2,100%,AVANCE[[#This Row],[VENTILACIONES]])</f>
        <v>0</v>
      </c>
      <c r="BO266" s="3">
        <f>+IF(AVANCE[[#This Row],[TINA]]=X$2,100%,AVANCE[[#This Row],[TINA]])</f>
        <v>0</v>
      </c>
      <c r="BP266" s="3">
        <f>+IF(AVANCE[[#This Row],[WC]]=Y$2,100%,AVANCE[[#This Row],[WC]])</f>
        <v>0</v>
      </c>
      <c r="BQ266" s="3">
        <f>+IF(AVANCE[[#This Row],[LAVAMANOS / LAVAPLATOS / LAVADERO]]=Z$2,100%,AVANCE[[#This Row],[LAVAMANOS / LAVAPLATOS / LAVADERO]])</f>
        <v>0</v>
      </c>
      <c r="BR266" s="3">
        <f>+IF(AVANCE[[#This Row],[CANALIZACIÓN]]=AC$2,100%,AVANCE[[#This Row],[CANALIZACIÓN]])</f>
        <v>0</v>
      </c>
      <c r="BS266" s="3">
        <f>+IF(AVANCE[[#This Row],[CABLEADO]]=AD$2,100%,AVANCE[[#This Row],[CABLEADO]])</f>
        <v>0</v>
      </c>
      <c r="BT266" s="3">
        <f>+IF(AVANCE[[#This Row],[ARTEFACTOS]]=AE$2,100%,AVANCE[[#This Row],[ARTEFACTOS]])</f>
        <v>0</v>
      </c>
      <c r="BU266" s="3">
        <f>+IF(AVANCE[[#This Row],[TABLERO]]=AF$2,100%,AVANCE[[#This Row],[TABLERO]])</f>
        <v>0</v>
      </c>
      <c r="BV266" s="3">
        <f>+IF(AVANCE[[#This Row],[CAJA PAU]]=AG$2,100%,AVANCE[[#This Row],[CAJA PAU]])</f>
        <v>0</v>
      </c>
      <c r="BW266" s="3">
        <f>+IF(AVANCE[[#This Row],[INSTALACION VINILICO]]=AJ$2,100%,AVANCE[[#This Row],[INSTALACION VINILICO]])</f>
        <v>0</v>
      </c>
      <c r="BX266" s="3">
        <f>+IF(AVANCE[[#This Row],[OSB CUBIERTA]]=AK$2,100%,AVANCE[[#This Row],[OSB CUBIERTA]])</f>
        <v>0</v>
      </c>
      <c r="BY266" s="3">
        <f>+IF(AVANCE[[#This Row],[BARANDA BALCON]]=AL$2,100%,AVANCE[[#This Row],[BARANDA BALCON]])</f>
        <v>0</v>
      </c>
      <c r="BZ266" s="3">
        <f>+IF(AVANCE[[#This Row],[OSB EXTERIOR]]=AM$2,100%,AVANCE[[#This Row],[OSB EXTERIOR]])</f>
        <v>0</v>
      </c>
      <c r="CA266" s="3">
        <f>+IF(AVANCE[[#This Row],[SMART PANEL]]=AN$2,100%,AVANCE[[#This Row],[SMART PANEL]])</f>
        <v>0</v>
      </c>
      <c r="CB266" s="3">
        <f>+IF(AVANCE[[#This Row],[PINTURA EXTERIOR]]=AO$2,100%,AVANCE[[#This Row],[PINTURA EXTERIOR]])</f>
        <v>0</v>
      </c>
      <c r="CC266" s="3">
        <f>+IF(AVANCE[[#This Row],[ZOCALOS LOGIA]]=AP$2,100%,AVANCE[[#This Row],[ZOCALOS LOGIA]])</f>
        <v>0</v>
      </c>
      <c r="CD266" s="3">
        <f>+IF(AVANCE[[#This Row],[MOLDURAS]]=AQ$2,100%,AVANCE[[#This Row],[MOLDURAS]])</f>
        <v>0</v>
      </c>
      <c r="CE266" s="3">
        <f>+IF(AVANCE[[#This Row],[PILASTREO]]=AR$2,100%,AVANCE[[#This Row],[PILASTREO]])</f>
        <v>0</v>
      </c>
      <c r="CF266" s="3">
        <f>+IF(AVANCE[[#This Row],[CELOSIAS]]=AS$2,100%,AVANCE[[#This Row],[CELOSIAS]])</f>
        <v>0</v>
      </c>
      <c r="CG266" s="3">
        <f>+IF(AVANCE[[#This Row],[VENTANAS]]=AT$2,100%,AVANCE[[#This Row],[VENTANAS]])</f>
        <v>0</v>
      </c>
      <c r="CH266" s="3">
        <f>+IF(AVANCE[[#This Row],[PUERTAS ACCESO - LOGIA - BANO]]=AU$2,100%,AVANCE[[#This Row],[PUERTAS ACCESO - LOGIA - BANO]])</f>
        <v>0</v>
      </c>
      <c r="CI266" s="3">
        <f>+IF(AVANCE[[#This Row],[CERRADURAS]]=AV$2,100%,AVANCE[[#This Row],[CERRADURAS]])</f>
        <v>0</v>
      </c>
      <c r="CJ266" s="3">
        <f>+IF(AVANCE[[#This Row],[REVESTIMIENTO INTERIOR ZONA SECA]]=AW$2,100%,AVANCE[[#This Row],[REVESTIMIENTO INTERIOR ZONA SECA]])</f>
        <v>0</v>
      </c>
      <c r="CK266" s="3">
        <f>+IF(AVANCE[[#This Row],[REVESTIMIENTO INTERIOR ZONAS HUMEDAS]]=AX$2,100%,AVANCE[[#This Row],[REVESTIMIENTO INTERIOR ZONAS HUMEDAS]])</f>
        <v>0</v>
      </c>
      <c r="CL266" s="3">
        <f>+IF(AVANCE[[#This Row],[MEMBRANA CIELO]]=AY$2,100%,AVANCE[[#This Row],[MEMBRANA CIELO]])</f>
        <v>0</v>
      </c>
      <c r="CM266" s="3">
        <f>+IF(AVANCE[[#This Row],[LIMPIEZA FINAL]]=AZ$2,100%,AVANCE[[#This Row],[LIMPIEZA FINAL]])</f>
        <v>0</v>
      </c>
      <c r="CN266" s="3">
        <f>+IF(AVANCE[[#This Row],[PUERTAS DORMITORIO]]=BA$2,100%,AVANCE[[#This Row],[PUERTAS DORMITORIO]])</f>
        <v>0</v>
      </c>
      <c r="CO266" s="3">
        <f>+IF(AVANCE[[#This Row],[REVESTIMIENTO INTERIOR BANO]]=BB$2,100%,AVANCE[[#This Row],[REVESTIMIENTO INTERIOR BANO]])</f>
        <v>0</v>
      </c>
      <c r="CP266" s="3">
        <f>+IF(AVANCE[[#This Row],[MUEBLE LAVAPLATOS]]=BC$2,100%,AVANCE[[#This Row],[MUEBLE LAVAPLATOS]])</f>
        <v>0</v>
      </c>
      <c r="CQ266" s="3">
        <f>+IF(AVANCE[[#This Row],[IMPERMEABILIZACION BANO - COCINA LOGIA]]=BD$2,100%,AVANCE[[#This Row],[IMPERMEABILIZACION BANO - COCINA LOGIA]])</f>
        <v>0</v>
      </c>
      <c r="CR266" s="40">
        <f ca="1">+IF(AVANCE[[#This Row],[ESTADO MODULO]]="PENDIENTE",(TODAY()-AVANCE[[#This Row],[FECHA TERMINO  PLANIFICADO]]),0)</f>
        <v>0</v>
      </c>
      <c r="CS266" s="42" t="str" cm="1">
        <f t="array" ref="CS266">_xlfn.TEXTJOIN(" | ",TRUE,IF(SUMPRODUCT((BF266:CQ266&lt;1)*(PARTIDAS!$I$2:$AT$2="OBRA GRUESA"))&gt;0,"OBRA GRUESA: "&amp;_xlfn.TEXTJOIN(", ",TRUE,IF((BF266:CQ266&lt;1)*(PARTIDAS!$I$2:$AT$2="OBRA GRUESA"),PARTIDAS!$I$1:$AT$1,"")),""),IF(SUMPRODUCT((BF266:CQ266&lt;1)*(PARTIDAS!$I$2:$AT$2="SANITARIOS"))&gt;0,"SANITARIOS: "&amp;_xlfn.TEXTJOIN(", ",TRUE,IF((BF266:CQ266&lt;1)*(PARTIDAS!$I$2:$AT$2="SANITARIOS"),PARTIDAS!$I$1:$AT$1,"")),""),IF(SUMPRODUCT((BF266:CQ266&lt;1)*(PARTIDAS!$I$2:$AT$2="ELÉCTRICO"))&gt;0,"ELÉCTRICO: "&amp;_xlfn.TEXTJOIN(", ",TRUE,IF((BF266:CQ266&lt;1)*(PARTIDAS!$I$2:$AT$2="ELÉCTRICO"),PARTIDAS!$I$1:$AT$1,"")),""),IF(SUMPRODUCT((BF266:CQ266&lt;1)*(PARTIDAS!$I$2:$AT$2="TERMINACIONES"))&gt;0,"TERMINACIONES: "&amp;_xlfn.TEXTJOIN(", ",TRUE,IF((BF266:CQ266&lt;1)*(PARTIDAS!$I$2:$AT$2="TERMINACIONES"),PARTIDAS!$I$1:$AT$1,"")),""))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6" s="45" t="str" cm="1">
        <f t="array" ref="CT266">_xlfn.TEXTJOIN(", ",TRUE,IF(SUMPRODUCT((BF266:CQ266&lt;1)*(PARTIDAS!$I$2:$AT$2="OBRA GRUESA"))&gt;0,"OBRA GRUESA",""),IF(SUMPRODUCT((BF266:CQ266&lt;1)*(PARTIDAS!$I$2:$AT$2="SANITARIOS"))&gt;0,"SANITARIOS",""),IF(SUMPRODUCT((BF266:CQ266&lt;1)*(PARTIDAS!$I$2:$AT$2="ELÉCTRICO"))&gt;0,"ELÉCTRICO",""),IF(SUMPRODUCT((BF266:CQ266&lt;1)*(PARTIDAS!$I$2:$AT$2="TERMINACIONES"))&gt;0,"TERMINACIONES",""))</f>
        <v>OBRA GRUESA, SANITARIOS, ELÉCTRICO, TERMINACIONES</v>
      </c>
      <c r="CU266" s="46" cm="1">
        <f t="array" ref="CU266">SUMPRODUCT(--(BF266:CQ266&lt;1))</f>
        <v>38</v>
      </c>
    </row>
    <row r="267" spans="1:99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46181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 t="str">
        <f>+IF(AVANCE[[#This Row],[% AVANCE]]=100%,"MODULO TERMINADO",IF(AVANCE[[#This Row],[FECHA INICIO REAL]]="","MODULO NO INICIADO","PENDIENTE"))</f>
        <v>MODULO NO INICIADO</v>
      </c>
      <c r="BF267" s="3">
        <f>+IF(AVANCE[[#This Row],[VENTANAS]]=8.10810810810811%,100%,AVANCE[[#This Row],[VENTANAS]])</f>
        <v>0</v>
      </c>
      <c r="BG267" s="3">
        <f>+IF(AVANCE[[#This Row],[PISO]]=N$2,100%,AVANCE[[#This Row],[PISO]])</f>
        <v>0</v>
      </c>
      <c r="BH267" s="3">
        <f>+IF(AVANCE[[#This Row],[TABIQUES]]=O$2,100%,AVANCE[[#This Row],[TABIQUES]])</f>
        <v>0</v>
      </c>
      <c r="BI267" s="3">
        <f>+IF(AVANCE[[#This Row],[MUROS]]=P$2,100%,AVANCE[[#This Row],[MUROS]])</f>
        <v>0</v>
      </c>
      <c r="BJ267" s="3">
        <f>+IF(AVANCE[[#This Row],[CIELO]]=Q$2,100%,AVANCE[[#This Row],[CIELO]])</f>
        <v>0</v>
      </c>
      <c r="BK267" s="3">
        <f>+IF(AVANCE[[#This Row],[BALCÓN]]=R$2,100%,AVANCE[[#This Row],[BALCÓN]])</f>
        <v>0</v>
      </c>
      <c r="BL267" s="3">
        <f>+IF(AVANCE[[#This Row],[RED ALCANTARILLADO]]=U$2,100%,AVANCE[[#This Row],[RED ALCANTARILLADO]])</f>
        <v>0</v>
      </c>
      <c r="BM267" s="3">
        <f>+IF(AVANCE[[#This Row],[RED DE AGUA]]=V$2,100%,AVANCE[[#This Row],[RED DE AGUA]])</f>
        <v>0</v>
      </c>
      <c r="BN267" s="3">
        <f>+IF(AVANCE[[#This Row],[VENTILACIONES]]=W$2,100%,AVANCE[[#This Row],[VENTILACIONES]])</f>
        <v>0</v>
      </c>
      <c r="BO267" s="3">
        <f>+IF(AVANCE[[#This Row],[TINA]]=X$2,100%,AVANCE[[#This Row],[TINA]])</f>
        <v>0</v>
      </c>
      <c r="BP267" s="3">
        <f>+IF(AVANCE[[#This Row],[WC]]=Y$2,100%,AVANCE[[#This Row],[WC]])</f>
        <v>0</v>
      </c>
      <c r="BQ267" s="3">
        <f>+IF(AVANCE[[#This Row],[LAVAMANOS / LAVAPLATOS / LAVADERO]]=Z$2,100%,AVANCE[[#This Row],[LAVAMANOS / LAVAPLATOS / LAVADERO]])</f>
        <v>0</v>
      </c>
      <c r="BR267" s="3">
        <f>+IF(AVANCE[[#This Row],[CANALIZACIÓN]]=AC$2,100%,AVANCE[[#This Row],[CANALIZACIÓN]])</f>
        <v>0</v>
      </c>
      <c r="BS267" s="3">
        <f>+IF(AVANCE[[#This Row],[CABLEADO]]=AD$2,100%,AVANCE[[#This Row],[CABLEADO]])</f>
        <v>0</v>
      </c>
      <c r="BT267" s="3">
        <f>+IF(AVANCE[[#This Row],[ARTEFACTOS]]=AE$2,100%,AVANCE[[#This Row],[ARTEFACTOS]])</f>
        <v>0</v>
      </c>
      <c r="BU267" s="3">
        <f>+IF(AVANCE[[#This Row],[TABLERO]]=AF$2,100%,AVANCE[[#This Row],[TABLERO]])</f>
        <v>0</v>
      </c>
      <c r="BV267" s="3">
        <f>+IF(AVANCE[[#This Row],[CAJA PAU]]=AG$2,100%,AVANCE[[#This Row],[CAJA PAU]])</f>
        <v>0</v>
      </c>
      <c r="BW267" s="3">
        <f>+IF(AVANCE[[#This Row],[INSTALACION VINILICO]]=AJ$2,100%,AVANCE[[#This Row],[INSTALACION VINILICO]])</f>
        <v>0</v>
      </c>
      <c r="BX267" s="3">
        <f>+IF(AVANCE[[#This Row],[OSB CUBIERTA]]=AK$2,100%,AVANCE[[#This Row],[OSB CUBIERTA]])</f>
        <v>0</v>
      </c>
      <c r="BY267" s="3">
        <f>+IF(AVANCE[[#This Row],[BARANDA BALCON]]=AL$2,100%,AVANCE[[#This Row],[BARANDA BALCON]])</f>
        <v>0</v>
      </c>
      <c r="BZ267" s="3">
        <f>+IF(AVANCE[[#This Row],[OSB EXTERIOR]]=AM$2,100%,AVANCE[[#This Row],[OSB EXTERIOR]])</f>
        <v>0</v>
      </c>
      <c r="CA267" s="3">
        <f>+IF(AVANCE[[#This Row],[SMART PANEL]]=AN$2,100%,AVANCE[[#This Row],[SMART PANEL]])</f>
        <v>0</v>
      </c>
      <c r="CB267" s="3">
        <f>+IF(AVANCE[[#This Row],[PINTURA EXTERIOR]]=AO$2,100%,AVANCE[[#This Row],[PINTURA EXTERIOR]])</f>
        <v>0</v>
      </c>
      <c r="CC267" s="3">
        <f>+IF(AVANCE[[#This Row],[ZOCALOS LOGIA]]=AP$2,100%,AVANCE[[#This Row],[ZOCALOS LOGIA]])</f>
        <v>0</v>
      </c>
      <c r="CD267" s="3">
        <f>+IF(AVANCE[[#This Row],[MOLDURAS]]=AQ$2,100%,AVANCE[[#This Row],[MOLDURAS]])</f>
        <v>0</v>
      </c>
      <c r="CE267" s="3">
        <f>+IF(AVANCE[[#This Row],[PILASTREO]]=AR$2,100%,AVANCE[[#This Row],[PILASTREO]])</f>
        <v>0</v>
      </c>
      <c r="CF267" s="3">
        <f>+IF(AVANCE[[#This Row],[CELOSIAS]]=AS$2,100%,AVANCE[[#This Row],[CELOSIAS]])</f>
        <v>0</v>
      </c>
      <c r="CG267" s="3">
        <f>+IF(AVANCE[[#This Row],[VENTANAS]]=AT$2,100%,AVANCE[[#This Row],[VENTANAS]])</f>
        <v>0</v>
      </c>
      <c r="CH267" s="3">
        <f>+IF(AVANCE[[#This Row],[PUERTAS ACCESO - LOGIA - BANO]]=AU$2,100%,AVANCE[[#This Row],[PUERTAS ACCESO - LOGIA - BANO]])</f>
        <v>0</v>
      </c>
      <c r="CI267" s="3">
        <f>+IF(AVANCE[[#This Row],[CERRADURAS]]=AV$2,100%,AVANCE[[#This Row],[CERRADURAS]])</f>
        <v>0</v>
      </c>
      <c r="CJ267" s="3">
        <f>+IF(AVANCE[[#This Row],[REVESTIMIENTO INTERIOR ZONA SECA]]=AW$2,100%,AVANCE[[#This Row],[REVESTIMIENTO INTERIOR ZONA SECA]])</f>
        <v>0</v>
      </c>
      <c r="CK267" s="3">
        <f>+IF(AVANCE[[#This Row],[REVESTIMIENTO INTERIOR ZONAS HUMEDAS]]=AX$2,100%,AVANCE[[#This Row],[REVESTIMIENTO INTERIOR ZONAS HUMEDAS]])</f>
        <v>0</v>
      </c>
      <c r="CL267" s="3">
        <f>+IF(AVANCE[[#This Row],[MEMBRANA CIELO]]=AY$2,100%,AVANCE[[#This Row],[MEMBRANA CIELO]])</f>
        <v>0</v>
      </c>
      <c r="CM267" s="3">
        <f>+IF(AVANCE[[#This Row],[LIMPIEZA FINAL]]=AZ$2,100%,AVANCE[[#This Row],[LIMPIEZA FINAL]])</f>
        <v>0</v>
      </c>
      <c r="CN267" s="3">
        <f>+IF(AVANCE[[#This Row],[PUERTAS DORMITORIO]]=BA$2,100%,AVANCE[[#This Row],[PUERTAS DORMITORIO]])</f>
        <v>0</v>
      </c>
      <c r="CO267" s="3">
        <f>+IF(AVANCE[[#This Row],[REVESTIMIENTO INTERIOR BANO]]=BB$2,100%,AVANCE[[#This Row],[REVESTIMIENTO INTERIOR BANO]])</f>
        <v>0</v>
      </c>
      <c r="CP267" s="3">
        <f>+IF(AVANCE[[#This Row],[MUEBLE LAVAPLATOS]]=BC$2,100%,AVANCE[[#This Row],[MUEBLE LAVAPLATOS]])</f>
        <v>0</v>
      </c>
      <c r="CQ267" s="3">
        <f>+IF(AVANCE[[#This Row],[IMPERMEABILIZACION BANO - COCINA LOGIA]]=BD$2,100%,AVANCE[[#This Row],[IMPERMEABILIZACION BANO - COCINA LOGIA]])</f>
        <v>0</v>
      </c>
      <c r="CR267" s="40">
        <f ca="1">+IF(AVANCE[[#This Row],[ESTADO MODULO]]="PENDIENTE",(TODAY()-AVANCE[[#This Row],[FECHA TERMINO  PLANIFICADO]]),0)</f>
        <v>0</v>
      </c>
      <c r="CS267" s="42" t="str" cm="1">
        <f t="array" ref="CS267">_xlfn.TEXTJOIN(" | ",TRUE,IF(SUMPRODUCT((BF267:CQ267&lt;1)*(PARTIDAS!$I$2:$AT$2="OBRA GRUESA"))&gt;0,"OBRA GRUESA: "&amp;_xlfn.TEXTJOIN(", ",TRUE,IF((BF267:CQ267&lt;1)*(PARTIDAS!$I$2:$AT$2="OBRA GRUESA"),PARTIDAS!$I$1:$AT$1,"")),""),IF(SUMPRODUCT((BF267:CQ267&lt;1)*(PARTIDAS!$I$2:$AT$2="SANITARIOS"))&gt;0,"SANITARIOS: "&amp;_xlfn.TEXTJOIN(", ",TRUE,IF((BF267:CQ267&lt;1)*(PARTIDAS!$I$2:$AT$2="SANITARIOS"),PARTIDAS!$I$1:$AT$1,"")),""),IF(SUMPRODUCT((BF267:CQ267&lt;1)*(PARTIDAS!$I$2:$AT$2="ELÉCTRICO"))&gt;0,"ELÉCTRICO: "&amp;_xlfn.TEXTJOIN(", ",TRUE,IF((BF267:CQ267&lt;1)*(PARTIDAS!$I$2:$AT$2="ELÉCTRICO"),PARTIDAS!$I$1:$AT$1,"")),""),IF(SUMPRODUCT((BF267:CQ267&lt;1)*(PARTIDAS!$I$2:$AT$2="TERMINACIONES"))&gt;0,"TERMINACIONES: "&amp;_xlfn.TEXTJOIN(", ",TRUE,IF((BF267:CQ267&lt;1)*(PARTIDAS!$I$2:$AT$2="TERMINACIONES"),PARTIDAS!$I$1:$AT$1,"")),""))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7" s="45" t="str" cm="1">
        <f t="array" ref="CT267">_xlfn.TEXTJOIN(", ",TRUE,IF(SUMPRODUCT((BF267:CQ267&lt;1)*(PARTIDAS!$I$2:$AT$2="OBRA GRUESA"))&gt;0,"OBRA GRUESA",""),IF(SUMPRODUCT((BF267:CQ267&lt;1)*(PARTIDAS!$I$2:$AT$2="SANITARIOS"))&gt;0,"SANITARIOS",""),IF(SUMPRODUCT((BF267:CQ267&lt;1)*(PARTIDAS!$I$2:$AT$2="ELÉCTRICO"))&gt;0,"ELÉCTRICO",""),IF(SUMPRODUCT((BF267:CQ267&lt;1)*(PARTIDAS!$I$2:$AT$2="TERMINACIONES"))&gt;0,"TERMINACIONES",""))</f>
        <v>OBRA GRUESA, SANITARIOS, ELÉCTRICO, TERMINACIONES</v>
      </c>
      <c r="CU267" s="46" cm="1">
        <f t="array" ref="CU267">SUMPRODUCT(--(BF267:CQ267&lt;1))</f>
        <v>38</v>
      </c>
    </row>
    <row r="268" spans="1:99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46181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 t="str">
        <f>+IF(AVANCE[[#This Row],[% AVANCE]]=100%,"MODULO TERMINADO",IF(AVANCE[[#This Row],[FECHA INICIO REAL]]="","MODULO NO INICIADO","PENDIENTE"))</f>
        <v>MODULO NO INICIADO</v>
      </c>
      <c r="BF268" s="3">
        <f>+IF(AVANCE[[#This Row],[VENTANAS]]=8.10810810810811%,100%,AVANCE[[#This Row],[VENTANAS]])</f>
        <v>0</v>
      </c>
      <c r="BG268" s="3">
        <f>+IF(AVANCE[[#This Row],[PISO]]=N$2,100%,AVANCE[[#This Row],[PISO]])</f>
        <v>0</v>
      </c>
      <c r="BH268" s="3">
        <f>+IF(AVANCE[[#This Row],[TABIQUES]]=O$2,100%,AVANCE[[#This Row],[TABIQUES]])</f>
        <v>0</v>
      </c>
      <c r="BI268" s="3">
        <f>+IF(AVANCE[[#This Row],[MUROS]]=P$2,100%,AVANCE[[#This Row],[MUROS]])</f>
        <v>0</v>
      </c>
      <c r="BJ268" s="3">
        <f>+IF(AVANCE[[#This Row],[CIELO]]=Q$2,100%,AVANCE[[#This Row],[CIELO]])</f>
        <v>0</v>
      </c>
      <c r="BK268" s="3">
        <f>+IF(AVANCE[[#This Row],[BALCÓN]]=R$2,100%,AVANCE[[#This Row],[BALCÓN]])</f>
        <v>0</v>
      </c>
      <c r="BL268" s="3">
        <f>+IF(AVANCE[[#This Row],[RED ALCANTARILLADO]]=U$2,100%,AVANCE[[#This Row],[RED ALCANTARILLADO]])</f>
        <v>0</v>
      </c>
      <c r="BM268" s="3">
        <f>+IF(AVANCE[[#This Row],[RED DE AGUA]]=V$2,100%,AVANCE[[#This Row],[RED DE AGUA]])</f>
        <v>0</v>
      </c>
      <c r="BN268" s="3">
        <f>+IF(AVANCE[[#This Row],[VENTILACIONES]]=W$2,100%,AVANCE[[#This Row],[VENTILACIONES]])</f>
        <v>0</v>
      </c>
      <c r="BO268" s="3">
        <f>+IF(AVANCE[[#This Row],[TINA]]=X$2,100%,AVANCE[[#This Row],[TINA]])</f>
        <v>0</v>
      </c>
      <c r="BP268" s="3">
        <f>+IF(AVANCE[[#This Row],[WC]]=Y$2,100%,AVANCE[[#This Row],[WC]])</f>
        <v>0</v>
      </c>
      <c r="BQ268" s="3">
        <f>+IF(AVANCE[[#This Row],[LAVAMANOS / LAVAPLATOS / LAVADERO]]=Z$2,100%,AVANCE[[#This Row],[LAVAMANOS / LAVAPLATOS / LAVADERO]])</f>
        <v>0</v>
      </c>
      <c r="BR268" s="3">
        <f>+IF(AVANCE[[#This Row],[CANALIZACIÓN]]=AC$2,100%,AVANCE[[#This Row],[CANALIZACIÓN]])</f>
        <v>0</v>
      </c>
      <c r="BS268" s="3">
        <f>+IF(AVANCE[[#This Row],[CABLEADO]]=AD$2,100%,AVANCE[[#This Row],[CABLEADO]])</f>
        <v>0</v>
      </c>
      <c r="BT268" s="3">
        <f>+IF(AVANCE[[#This Row],[ARTEFACTOS]]=AE$2,100%,AVANCE[[#This Row],[ARTEFACTOS]])</f>
        <v>0</v>
      </c>
      <c r="BU268" s="3">
        <f>+IF(AVANCE[[#This Row],[TABLERO]]=AF$2,100%,AVANCE[[#This Row],[TABLERO]])</f>
        <v>0</v>
      </c>
      <c r="BV268" s="3">
        <f>+IF(AVANCE[[#This Row],[CAJA PAU]]=AG$2,100%,AVANCE[[#This Row],[CAJA PAU]])</f>
        <v>0</v>
      </c>
      <c r="BW268" s="3">
        <f>+IF(AVANCE[[#This Row],[INSTALACION VINILICO]]=AJ$2,100%,AVANCE[[#This Row],[INSTALACION VINILICO]])</f>
        <v>0</v>
      </c>
      <c r="BX268" s="3">
        <f>+IF(AVANCE[[#This Row],[OSB CUBIERTA]]=AK$2,100%,AVANCE[[#This Row],[OSB CUBIERTA]])</f>
        <v>0</v>
      </c>
      <c r="BY268" s="3">
        <f>+IF(AVANCE[[#This Row],[BARANDA BALCON]]=AL$2,100%,AVANCE[[#This Row],[BARANDA BALCON]])</f>
        <v>0</v>
      </c>
      <c r="BZ268" s="3">
        <f>+IF(AVANCE[[#This Row],[OSB EXTERIOR]]=AM$2,100%,AVANCE[[#This Row],[OSB EXTERIOR]])</f>
        <v>0</v>
      </c>
      <c r="CA268" s="3">
        <f>+IF(AVANCE[[#This Row],[SMART PANEL]]=AN$2,100%,AVANCE[[#This Row],[SMART PANEL]])</f>
        <v>0</v>
      </c>
      <c r="CB268" s="3">
        <f>+IF(AVANCE[[#This Row],[PINTURA EXTERIOR]]=AO$2,100%,AVANCE[[#This Row],[PINTURA EXTERIOR]])</f>
        <v>0</v>
      </c>
      <c r="CC268" s="3">
        <f>+IF(AVANCE[[#This Row],[ZOCALOS LOGIA]]=AP$2,100%,AVANCE[[#This Row],[ZOCALOS LOGIA]])</f>
        <v>0</v>
      </c>
      <c r="CD268" s="3">
        <f>+IF(AVANCE[[#This Row],[MOLDURAS]]=AQ$2,100%,AVANCE[[#This Row],[MOLDURAS]])</f>
        <v>0</v>
      </c>
      <c r="CE268" s="3">
        <f>+IF(AVANCE[[#This Row],[PILASTREO]]=AR$2,100%,AVANCE[[#This Row],[PILASTREO]])</f>
        <v>0</v>
      </c>
      <c r="CF268" s="3">
        <f>+IF(AVANCE[[#This Row],[CELOSIAS]]=AS$2,100%,AVANCE[[#This Row],[CELOSIAS]])</f>
        <v>0</v>
      </c>
      <c r="CG268" s="3">
        <f>+IF(AVANCE[[#This Row],[VENTANAS]]=AT$2,100%,AVANCE[[#This Row],[VENTANAS]])</f>
        <v>0</v>
      </c>
      <c r="CH268" s="3">
        <f>+IF(AVANCE[[#This Row],[PUERTAS ACCESO - LOGIA - BANO]]=AU$2,100%,AVANCE[[#This Row],[PUERTAS ACCESO - LOGIA - BANO]])</f>
        <v>0</v>
      </c>
      <c r="CI268" s="3">
        <f>+IF(AVANCE[[#This Row],[CERRADURAS]]=AV$2,100%,AVANCE[[#This Row],[CERRADURAS]])</f>
        <v>0</v>
      </c>
      <c r="CJ268" s="3">
        <f>+IF(AVANCE[[#This Row],[REVESTIMIENTO INTERIOR ZONA SECA]]=AW$2,100%,AVANCE[[#This Row],[REVESTIMIENTO INTERIOR ZONA SECA]])</f>
        <v>0</v>
      </c>
      <c r="CK268" s="3">
        <f>+IF(AVANCE[[#This Row],[REVESTIMIENTO INTERIOR ZONAS HUMEDAS]]=AX$2,100%,AVANCE[[#This Row],[REVESTIMIENTO INTERIOR ZONAS HUMEDAS]])</f>
        <v>0</v>
      </c>
      <c r="CL268" s="3">
        <f>+IF(AVANCE[[#This Row],[MEMBRANA CIELO]]=AY$2,100%,AVANCE[[#This Row],[MEMBRANA CIELO]])</f>
        <v>0</v>
      </c>
      <c r="CM268" s="3">
        <f>+IF(AVANCE[[#This Row],[LIMPIEZA FINAL]]=AZ$2,100%,AVANCE[[#This Row],[LIMPIEZA FINAL]])</f>
        <v>0</v>
      </c>
      <c r="CN268" s="3">
        <f>+IF(AVANCE[[#This Row],[PUERTAS DORMITORIO]]=BA$2,100%,AVANCE[[#This Row],[PUERTAS DORMITORIO]])</f>
        <v>0</v>
      </c>
      <c r="CO268" s="3">
        <f>+IF(AVANCE[[#This Row],[REVESTIMIENTO INTERIOR BANO]]=BB$2,100%,AVANCE[[#This Row],[REVESTIMIENTO INTERIOR BANO]])</f>
        <v>0</v>
      </c>
      <c r="CP268" s="3">
        <f>+IF(AVANCE[[#This Row],[MUEBLE LAVAPLATOS]]=BC$2,100%,AVANCE[[#This Row],[MUEBLE LAVAPLATOS]])</f>
        <v>0</v>
      </c>
      <c r="CQ268" s="3">
        <f>+IF(AVANCE[[#This Row],[IMPERMEABILIZACION BANO - COCINA LOGIA]]=BD$2,100%,AVANCE[[#This Row],[IMPERMEABILIZACION BANO - COCINA LOGIA]])</f>
        <v>0</v>
      </c>
      <c r="CR268" s="40">
        <f ca="1">+IF(AVANCE[[#This Row],[ESTADO MODULO]]="PENDIENTE",(TODAY()-AVANCE[[#This Row],[FECHA TERMINO  PLANIFICADO]]),0)</f>
        <v>0</v>
      </c>
      <c r="CS268" s="42" t="str" cm="1">
        <f t="array" ref="CS268">_xlfn.TEXTJOIN(" | ",TRUE,IF(SUMPRODUCT((BF268:CQ268&lt;1)*(PARTIDAS!$I$2:$AT$2="OBRA GRUESA"))&gt;0,"OBRA GRUESA: "&amp;_xlfn.TEXTJOIN(", ",TRUE,IF((BF268:CQ268&lt;1)*(PARTIDAS!$I$2:$AT$2="OBRA GRUESA"),PARTIDAS!$I$1:$AT$1,"")),""),IF(SUMPRODUCT((BF268:CQ268&lt;1)*(PARTIDAS!$I$2:$AT$2="SANITARIOS"))&gt;0,"SANITARIOS: "&amp;_xlfn.TEXTJOIN(", ",TRUE,IF((BF268:CQ268&lt;1)*(PARTIDAS!$I$2:$AT$2="SANITARIOS"),PARTIDAS!$I$1:$AT$1,"")),""),IF(SUMPRODUCT((BF268:CQ268&lt;1)*(PARTIDAS!$I$2:$AT$2="ELÉCTRICO"))&gt;0,"ELÉCTRICO: "&amp;_xlfn.TEXTJOIN(", ",TRUE,IF((BF268:CQ268&lt;1)*(PARTIDAS!$I$2:$AT$2="ELÉCTRICO"),PARTIDAS!$I$1:$AT$1,"")),""),IF(SUMPRODUCT((BF268:CQ268&lt;1)*(PARTIDAS!$I$2:$AT$2="TERMINACIONES"))&gt;0,"TERMINACIONES: "&amp;_xlfn.TEXTJOIN(", ",TRUE,IF((BF268:CQ268&lt;1)*(PARTIDAS!$I$2:$AT$2="TERMINACIONES"),PARTIDAS!$I$1:$AT$1,"")),""))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8" s="45" t="str" cm="1">
        <f t="array" ref="CT268">_xlfn.TEXTJOIN(", ",TRUE,IF(SUMPRODUCT((BF268:CQ268&lt;1)*(PARTIDAS!$I$2:$AT$2="OBRA GRUESA"))&gt;0,"OBRA GRUESA",""),IF(SUMPRODUCT((BF268:CQ268&lt;1)*(PARTIDAS!$I$2:$AT$2="SANITARIOS"))&gt;0,"SANITARIOS",""),IF(SUMPRODUCT((BF268:CQ268&lt;1)*(PARTIDAS!$I$2:$AT$2="ELÉCTRICO"))&gt;0,"ELÉCTRICO",""),IF(SUMPRODUCT((BF268:CQ268&lt;1)*(PARTIDAS!$I$2:$AT$2="TERMINACIONES"))&gt;0,"TERMINACIONES",""))</f>
        <v>OBRA GRUESA, SANITARIOS, ELÉCTRICO, TERMINACIONES</v>
      </c>
      <c r="CU268" s="46" cm="1">
        <f t="array" ref="CU268">SUMPRODUCT(--(BF268:CQ268&lt;1))</f>
        <v>38</v>
      </c>
    </row>
    <row r="269" spans="1:99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46181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 t="str">
        <f>+IF(AVANCE[[#This Row],[% AVANCE]]=100%,"MODULO TERMINADO",IF(AVANCE[[#This Row],[FECHA INICIO REAL]]="","MODULO NO INICIADO","PENDIENTE"))</f>
        <v>MODULO NO INICIADO</v>
      </c>
      <c r="BF269" s="3">
        <f>+IF(AVANCE[[#This Row],[VENTANAS]]=8.10810810810811%,100%,AVANCE[[#This Row],[VENTANAS]])</f>
        <v>0</v>
      </c>
      <c r="BG269" s="3">
        <f>+IF(AVANCE[[#This Row],[PISO]]=N$2,100%,AVANCE[[#This Row],[PISO]])</f>
        <v>0</v>
      </c>
      <c r="BH269" s="3">
        <f>+IF(AVANCE[[#This Row],[TABIQUES]]=O$2,100%,AVANCE[[#This Row],[TABIQUES]])</f>
        <v>0</v>
      </c>
      <c r="BI269" s="3">
        <f>+IF(AVANCE[[#This Row],[MUROS]]=P$2,100%,AVANCE[[#This Row],[MUROS]])</f>
        <v>0</v>
      </c>
      <c r="BJ269" s="3">
        <f>+IF(AVANCE[[#This Row],[CIELO]]=Q$2,100%,AVANCE[[#This Row],[CIELO]])</f>
        <v>0</v>
      </c>
      <c r="BK269" s="3">
        <f>+IF(AVANCE[[#This Row],[BALCÓN]]=R$2,100%,AVANCE[[#This Row],[BALCÓN]])</f>
        <v>0</v>
      </c>
      <c r="BL269" s="3">
        <f>+IF(AVANCE[[#This Row],[RED ALCANTARILLADO]]=U$2,100%,AVANCE[[#This Row],[RED ALCANTARILLADO]])</f>
        <v>0</v>
      </c>
      <c r="BM269" s="3">
        <f>+IF(AVANCE[[#This Row],[RED DE AGUA]]=V$2,100%,AVANCE[[#This Row],[RED DE AGUA]])</f>
        <v>0</v>
      </c>
      <c r="BN269" s="3">
        <f>+IF(AVANCE[[#This Row],[VENTILACIONES]]=W$2,100%,AVANCE[[#This Row],[VENTILACIONES]])</f>
        <v>0</v>
      </c>
      <c r="BO269" s="3">
        <f>+IF(AVANCE[[#This Row],[TINA]]=X$2,100%,AVANCE[[#This Row],[TINA]])</f>
        <v>0</v>
      </c>
      <c r="BP269" s="3">
        <f>+IF(AVANCE[[#This Row],[WC]]=Y$2,100%,AVANCE[[#This Row],[WC]])</f>
        <v>0</v>
      </c>
      <c r="BQ269" s="3">
        <f>+IF(AVANCE[[#This Row],[LAVAMANOS / LAVAPLATOS / LAVADERO]]=Z$2,100%,AVANCE[[#This Row],[LAVAMANOS / LAVAPLATOS / LAVADERO]])</f>
        <v>0</v>
      </c>
      <c r="BR269" s="3">
        <f>+IF(AVANCE[[#This Row],[CANALIZACIÓN]]=AC$2,100%,AVANCE[[#This Row],[CANALIZACIÓN]])</f>
        <v>0</v>
      </c>
      <c r="BS269" s="3">
        <f>+IF(AVANCE[[#This Row],[CABLEADO]]=AD$2,100%,AVANCE[[#This Row],[CABLEADO]])</f>
        <v>0</v>
      </c>
      <c r="BT269" s="3">
        <f>+IF(AVANCE[[#This Row],[ARTEFACTOS]]=AE$2,100%,AVANCE[[#This Row],[ARTEFACTOS]])</f>
        <v>0</v>
      </c>
      <c r="BU269" s="3">
        <f>+IF(AVANCE[[#This Row],[TABLERO]]=AF$2,100%,AVANCE[[#This Row],[TABLERO]])</f>
        <v>0</v>
      </c>
      <c r="BV269" s="3">
        <f>+IF(AVANCE[[#This Row],[CAJA PAU]]=AG$2,100%,AVANCE[[#This Row],[CAJA PAU]])</f>
        <v>0</v>
      </c>
      <c r="BW269" s="3">
        <f>+IF(AVANCE[[#This Row],[INSTALACION VINILICO]]=AJ$2,100%,AVANCE[[#This Row],[INSTALACION VINILICO]])</f>
        <v>0</v>
      </c>
      <c r="BX269" s="3">
        <f>+IF(AVANCE[[#This Row],[OSB CUBIERTA]]=AK$2,100%,AVANCE[[#This Row],[OSB CUBIERTA]])</f>
        <v>0</v>
      </c>
      <c r="BY269" s="3">
        <f>+IF(AVANCE[[#This Row],[BARANDA BALCON]]=AL$2,100%,AVANCE[[#This Row],[BARANDA BALCON]])</f>
        <v>0</v>
      </c>
      <c r="BZ269" s="3">
        <f>+IF(AVANCE[[#This Row],[OSB EXTERIOR]]=AM$2,100%,AVANCE[[#This Row],[OSB EXTERIOR]])</f>
        <v>0</v>
      </c>
      <c r="CA269" s="3">
        <f>+IF(AVANCE[[#This Row],[SMART PANEL]]=AN$2,100%,AVANCE[[#This Row],[SMART PANEL]])</f>
        <v>0</v>
      </c>
      <c r="CB269" s="3">
        <f>+IF(AVANCE[[#This Row],[PINTURA EXTERIOR]]=AO$2,100%,AVANCE[[#This Row],[PINTURA EXTERIOR]])</f>
        <v>0</v>
      </c>
      <c r="CC269" s="3">
        <f>+IF(AVANCE[[#This Row],[ZOCALOS LOGIA]]=AP$2,100%,AVANCE[[#This Row],[ZOCALOS LOGIA]])</f>
        <v>0</v>
      </c>
      <c r="CD269" s="3">
        <f>+IF(AVANCE[[#This Row],[MOLDURAS]]=AQ$2,100%,AVANCE[[#This Row],[MOLDURAS]])</f>
        <v>0</v>
      </c>
      <c r="CE269" s="3">
        <f>+IF(AVANCE[[#This Row],[PILASTREO]]=AR$2,100%,AVANCE[[#This Row],[PILASTREO]])</f>
        <v>0</v>
      </c>
      <c r="CF269" s="3">
        <f>+IF(AVANCE[[#This Row],[CELOSIAS]]=AS$2,100%,AVANCE[[#This Row],[CELOSIAS]])</f>
        <v>0</v>
      </c>
      <c r="CG269" s="3">
        <f>+IF(AVANCE[[#This Row],[VENTANAS]]=AT$2,100%,AVANCE[[#This Row],[VENTANAS]])</f>
        <v>0</v>
      </c>
      <c r="CH269" s="3">
        <f>+IF(AVANCE[[#This Row],[PUERTAS ACCESO - LOGIA - BANO]]=AU$2,100%,AVANCE[[#This Row],[PUERTAS ACCESO - LOGIA - BANO]])</f>
        <v>0</v>
      </c>
      <c r="CI269" s="3">
        <f>+IF(AVANCE[[#This Row],[CERRADURAS]]=AV$2,100%,AVANCE[[#This Row],[CERRADURAS]])</f>
        <v>0</v>
      </c>
      <c r="CJ269" s="3">
        <f>+IF(AVANCE[[#This Row],[REVESTIMIENTO INTERIOR ZONA SECA]]=AW$2,100%,AVANCE[[#This Row],[REVESTIMIENTO INTERIOR ZONA SECA]])</f>
        <v>0</v>
      </c>
      <c r="CK269" s="3">
        <f>+IF(AVANCE[[#This Row],[REVESTIMIENTO INTERIOR ZONAS HUMEDAS]]=AX$2,100%,AVANCE[[#This Row],[REVESTIMIENTO INTERIOR ZONAS HUMEDAS]])</f>
        <v>0</v>
      </c>
      <c r="CL269" s="3">
        <f>+IF(AVANCE[[#This Row],[MEMBRANA CIELO]]=AY$2,100%,AVANCE[[#This Row],[MEMBRANA CIELO]])</f>
        <v>0</v>
      </c>
      <c r="CM269" s="3">
        <f>+IF(AVANCE[[#This Row],[LIMPIEZA FINAL]]=AZ$2,100%,AVANCE[[#This Row],[LIMPIEZA FINAL]])</f>
        <v>0</v>
      </c>
      <c r="CN269" s="3">
        <f>+IF(AVANCE[[#This Row],[PUERTAS DORMITORIO]]=BA$2,100%,AVANCE[[#This Row],[PUERTAS DORMITORIO]])</f>
        <v>0</v>
      </c>
      <c r="CO269" s="3">
        <f>+IF(AVANCE[[#This Row],[REVESTIMIENTO INTERIOR BANO]]=BB$2,100%,AVANCE[[#This Row],[REVESTIMIENTO INTERIOR BANO]])</f>
        <v>0</v>
      </c>
      <c r="CP269" s="3">
        <f>+IF(AVANCE[[#This Row],[MUEBLE LAVAPLATOS]]=BC$2,100%,AVANCE[[#This Row],[MUEBLE LAVAPLATOS]])</f>
        <v>0</v>
      </c>
      <c r="CQ269" s="3">
        <f>+IF(AVANCE[[#This Row],[IMPERMEABILIZACION BANO - COCINA LOGIA]]=BD$2,100%,AVANCE[[#This Row],[IMPERMEABILIZACION BANO - COCINA LOGIA]])</f>
        <v>0</v>
      </c>
      <c r="CR269" s="40">
        <f ca="1">+IF(AVANCE[[#This Row],[ESTADO MODULO]]="PENDIENTE",(TODAY()-AVANCE[[#This Row],[FECHA TERMINO  PLANIFICADO]]),0)</f>
        <v>0</v>
      </c>
      <c r="CS269" s="42" t="str" cm="1">
        <f t="array" ref="CS269">_xlfn.TEXTJOIN(" | ",TRUE,IF(SUMPRODUCT((BF269:CQ269&lt;1)*(PARTIDAS!$I$2:$AT$2="OBRA GRUESA"))&gt;0,"OBRA GRUESA: "&amp;_xlfn.TEXTJOIN(", ",TRUE,IF((BF269:CQ269&lt;1)*(PARTIDAS!$I$2:$AT$2="OBRA GRUESA"),PARTIDAS!$I$1:$AT$1,"")),""),IF(SUMPRODUCT((BF269:CQ269&lt;1)*(PARTIDAS!$I$2:$AT$2="SANITARIOS"))&gt;0,"SANITARIOS: "&amp;_xlfn.TEXTJOIN(", ",TRUE,IF((BF269:CQ269&lt;1)*(PARTIDAS!$I$2:$AT$2="SANITARIOS"),PARTIDAS!$I$1:$AT$1,"")),""),IF(SUMPRODUCT((BF269:CQ269&lt;1)*(PARTIDAS!$I$2:$AT$2="ELÉCTRICO"))&gt;0,"ELÉCTRICO: "&amp;_xlfn.TEXTJOIN(", ",TRUE,IF((BF269:CQ269&lt;1)*(PARTIDAS!$I$2:$AT$2="ELÉCTRICO"),PARTIDAS!$I$1:$AT$1,"")),""),IF(SUMPRODUCT((BF269:CQ269&lt;1)*(PARTIDAS!$I$2:$AT$2="TERMINACIONES"))&gt;0,"TERMINACIONES: "&amp;_xlfn.TEXTJOIN(", ",TRUE,IF((BF269:CQ269&lt;1)*(PARTIDAS!$I$2:$AT$2="TERMINACIONES"),PARTIDAS!$I$1:$AT$1,"")),""))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69" s="45" t="str" cm="1">
        <f t="array" ref="CT269">_xlfn.TEXTJOIN(", ",TRUE,IF(SUMPRODUCT((BF269:CQ269&lt;1)*(PARTIDAS!$I$2:$AT$2="OBRA GRUESA"))&gt;0,"OBRA GRUESA",""),IF(SUMPRODUCT((BF269:CQ269&lt;1)*(PARTIDAS!$I$2:$AT$2="SANITARIOS"))&gt;0,"SANITARIOS",""),IF(SUMPRODUCT((BF269:CQ269&lt;1)*(PARTIDAS!$I$2:$AT$2="ELÉCTRICO"))&gt;0,"ELÉCTRICO",""),IF(SUMPRODUCT((BF269:CQ269&lt;1)*(PARTIDAS!$I$2:$AT$2="TERMINACIONES"))&gt;0,"TERMINACIONES",""))</f>
        <v>OBRA GRUESA, SANITARIOS, ELÉCTRICO, TERMINACIONES</v>
      </c>
      <c r="CU269" s="46" cm="1">
        <f t="array" ref="CU269">SUMPRODUCT(--(BF269:CQ269&lt;1))</f>
        <v>38</v>
      </c>
    </row>
    <row r="270" spans="1:99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46181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 t="str">
        <f>+IF(AVANCE[[#This Row],[% AVANCE]]=100%,"MODULO TERMINADO",IF(AVANCE[[#This Row],[FECHA INICIO REAL]]="","MODULO NO INICIADO","PENDIENTE"))</f>
        <v>MODULO NO INICIADO</v>
      </c>
      <c r="BF270" s="3">
        <f>+IF(AVANCE[[#This Row],[VENTANAS]]=8.10810810810811%,100%,AVANCE[[#This Row],[VENTANAS]])</f>
        <v>0</v>
      </c>
      <c r="BG270" s="3">
        <f>+IF(AVANCE[[#This Row],[PISO]]=N$2,100%,AVANCE[[#This Row],[PISO]])</f>
        <v>0</v>
      </c>
      <c r="BH270" s="3">
        <f>+IF(AVANCE[[#This Row],[TABIQUES]]=O$2,100%,AVANCE[[#This Row],[TABIQUES]])</f>
        <v>0</v>
      </c>
      <c r="BI270" s="3">
        <f>+IF(AVANCE[[#This Row],[MUROS]]=P$2,100%,AVANCE[[#This Row],[MUROS]])</f>
        <v>0</v>
      </c>
      <c r="BJ270" s="3">
        <f>+IF(AVANCE[[#This Row],[CIELO]]=Q$2,100%,AVANCE[[#This Row],[CIELO]])</f>
        <v>0</v>
      </c>
      <c r="BK270" s="3">
        <f>+IF(AVANCE[[#This Row],[BALCÓN]]=R$2,100%,AVANCE[[#This Row],[BALCÓN]])</f>
        <v>0</v>
      </c>
      <c r="BL270" s="3">
        <f>+IF(AVANCE[[#This Row],[RED ALCANTARILLADO]]=U$2,100%,AVANCE[[#This Row],[RED ALCANTARILLADO]])</f>
        <v>0</v>
      </c>
      <c r="BM270" s="3">
        <f>+IF(AVANCE[[#This Row],[RED DE AGUA]]=V$2,100%,AVANCE[[#This Row],[RED DE AGUA]])</f>
        <v>0</v>
      </c>
      <c r="BN270" s="3">
        <f>+IF(AVANCE[[#This Row],[VENTILACIONES]]=W$2,100%,AVANCE[[#This Row],[VENTILACIONES]])</f>
        <v>0</v>
      </c>
      <c r="BO270" s="3">
        <f>+IF(AVANCE[[#This Row],[TINA]]=X$2,100%,AVANCE[[#This Row],[TINA]])</f>
        <v>0</v>
      </c>
      <c r="BP270" s="3">
        <f>+IF(AVANCE[[#This Row],[WC]]=Y$2,100%,AVANCE[[#This Row],[WC]])</f>
        <v>0</v>
      </c>
      <c r="BQ270" s="3">
        <f>+IF(AVANCE[[#This Row],[LAVAMANOS / LAVAPLATOS / LAVADERO]]=Z$2,100%,AVANCE[[#This Row],[LAVAMANOS / LAVAPLATOS / LAVADERO]])</f>
        <v>0</v>
      </c>
      <c r="BR270" s="3">
        <f>+IF(AVANCE[[#This Row],[CANALIZACIÓN]]=AC$2,100%,AVANCE[[#This Row],[CANALIZACIÓN]])</f>
        <v>0</v>
      </c>
      <c r="BS270" s="3">
        <f>+IF(AVANCE[[#This Row],[CABLEADO]]=AD$2,100%,AVANCE[[#This Row],[CABLEADO]])</f>
        <v>0</v>
      </c>
      <c r="BT270" s="3">
        <f>+IF(AVANCE[[#This Row],[ARTEFACTOS]]=AE$2,100%,AVANCE[[#This Row],[ARTEFACTOS]])</f>
        <v>0</v>
      </c>
      <c r="BU270" s="3">
        <f>+IF(AVANCE[[#This Row],[TABLERO]]=AF$2,100%,AVANCE[[#This Row],[TABLERO]])</f>
        <v>0</v>
      </c>
      <c r="BV270" s="3">
        <f>+IF(AVANCE[[#This Row],[CAJA PAU]]=AG$2,100%,AVANCE[[#This Row],[CAJA PAU]])</f>
        <v>0</v>
      </c>
      <c r="BW270" s="3">
        <f>+IF(AVANCE[[#This Row],[INSTALACION VINILICO]]=AJ$2,100%,AVANCE[[#This Row],[INSTALACION VINILICO]])</f>
        <v>0</v>
      </c>
      <c r="BX270" s="3">
        <f>+IF(AVANCE[[#This Row],[OSB CUBIERTA]]=AK$2,100%,AVANCE[[#This Row],[OSB CUBIERTA]])</f>
        <v>0</v>
      </c>
      <c r="BY270" s="3">
        <f>+IF(AVANCE[[#This Row],[BARANDA BALCON]]=AL$2,100%,AVANCE[[#This Row],[BARANDA BALCON]])</f>
        <v>0</v>
      </c>
      <c r="BZ270" s="3">
        <f>+IF(AVANCE[[#This Row],[OSB EXTERIOR]]=AM$2,100%,AVANCE[[#This Row],[OSB EXTERIOR]])</f>
        <v>0</v>
      </c>
      <c r="CA270" s="3">
        <f>+IF(AVANCE[[#This Row],[SMART PANEL]]=AN$2,100%,AVANCE[[#This Row],[SMART PANEL]])</f>
        <v>0</v>
      </c>
      <c r="CB270" s="3">
        <f>+IF(AVANCE[[#This Row],[PINTURA EXTERIOR]]=AO$2,100%,AVANCE[[#This Row],[PINTURA EXTERIOR]])</f>
        <v>0</v>
      </c>
      <c r="CC270" s="3">
        <f>+IF(AVANCE[[#This Row],[ZOCALOS LOGIA]]=AP$2,100%,AVANCE[[#This Row],[ZOCALOS LOGIA]])</f>
        <v>0</v>
      </c>
      <c r="CD270" s="3">
        <f>+IF(AVANCE[[#This Row],[MOLDURAS]]=AQ$2,100%,AVANCE[[#This Row],[MOLDURAS]])</f>
        <v>0</v>
      </c>
      <c r="CE270" s="3">
        <f>+IF(AVANCE[[#This Row],[PILASTREO]]=AR$2,100%,AVANCE[[#This Row],[PILASTREO]])</f>
        <v>0</v>
      </c>
      <c r="CF270" s="3">
        <f>+IF(AVANCE[[#This Row],[CELOSIAS]]=AS$2,100%,AVANCE[[#This Row],[CELOSIAS]])</f>
        <v>0</v>
      </c>
      <c r="CG270" s="3">
        <f>+IF(AVANCE[[#This Row],[VENTANAS]]=AT$2,100%,AVANCE[[#This Row],[VENTANAS]])</f>
        <v>0</v>
      </c>
      <c r="CH270" s="3">
        <f>+IF(AVANCE[[#This Row],[PUERTAS ACCESO - LOGIA - BANO]]=AU$2,100%,AVANCE[[#This Row],[PUERTAS ACCESO - LOGIA - BANO]])</f>
        <v>0</v>
      </c>
      <c r="CI270" s="3">
        <f>+IF(AVANCE[[#This Row],[CERRADURAS]]=AV$2,100%,AVANCE[[#This Row],[CERRADURAS]])</f>
        <v>0</v>
      </c>
      <c r="CJ270" s="3">
        <f>+IF(AVANCE[[#This Row],[REVESTIMIENTO INTERIOR ZONA SECA]]=AW$2,100%,AVANCE[[#This Row],[REVESTIMIENTO INTERIOR ZONA SECA]])</f>
        <v>0</v>
      </c>
      <c r="CK270" s="3">
        <f>+IF(AVANCE[[#This Row],[REVESTIMIENTO INTERIOR ZONAS HUMEDAS]]=AX$2,100%,AVANCE[[#This Row],[REVESTIMIENTO INTERIOR ZONAS HUMEDAS]])</f>
        <v>0</v>
      </c>
      <c r="CL270" s="3">
        <f>+IF(AVANCE[[#This Row],[MEMBRANA CIELO]]=AY$2,100%,AVANCE[[#This Row],[MEMBRANA CIELO]])</f>
        <v>0</v>
      </c>
      <c r="CM270" s="3">
        <f>+IF(AVANCE[[#This Row],[LIMPIEZA FINAL]]=AZ$2,100%,AVANCE[[#This Row],[LIMPIEZA FINAL]])</f>
        <v>0</v>
      </c>
      <c r="CN270" s="3">
        <f>+IF(AVANCE[[#This Row],[PUERTAS DORMITORIO]]=BA$2,100%,AVANCE[[#This Row],[PUERTAS DORMITORIO]])</f>
        <v>0</v>
      </c>
      <c r="CO270" s="3">
        <f>+IF(AVANCE[[#This Row],[REVESTIMIENTO INTERIOR BANO]]=BB$2,100%,AVANCE[[#This Row],[REVESTIMIENTO INTERIOR BANO]])</f>
        <v>0</v>
      </c>
      <c r="CP270" s="3">
        <f>+IF(AVANCE[[#This Row],[MUEBLE LAVAPLATOS]]=BC$2,100%,AVANCE[[#This Row],[MUEBLE LAVAPLATOS]])</f>
        <v>0</v>
      </c>
      <c r="CQ270" s="3">
        <f>+IF(AVANCE[[#This Row],[IMPERMEABILIZACION BANO - COCINA LOGIA]]=BD$2,100%,AVANCE[[#This Row],[IMPERMEABILIZACION BANO - COCINA LOGIA]])</f>
        <v>0</v>
      </c>
      <c r="CR270" s="40">
        <f ca="1">+IF(AVANCE[[#This Row],[ESTADO MODULO]]="PENDIENTE",(TODAY()-AVANCE[[#This Row],[FECHA TERMINO  PLANIFICADO]]),0)</f>
        <v>0</v>
      </c>
      <c r="CS270" s="42" t="str" cm="1">
        <f t="array" ref="CS270">_xlfn.TEXTJOIN(" | ",TRUE,IF(SUMPRODUCT((BF270:CQ270&lt;1)*(PARTIDAS!$I$2:$AT$2="OBRA GRUESA"))&gt;0,"OBRA GRUESA: "&amp;_xlfn.TEXTJOIN(", ",TRUE,IF((BF270:CQ270&lt;1)*(PARTIDAS!$I$2:$AT$2="OBRA GRUESA"),PARTIDAS!$I$1:$AT$1,"")),""),IF(SUMPRODUCT((BF270:CQ270&lt;1)*(PARTIDAS!$I$2:$AT$2="SANITARIOS"))&gt;0,"SANITARIOS: "&amp;_xlfn.TEXTJOIN(", ",TRUE,IF((BF270:CQ270&lt;1)*(PARTIDAS!$I$2:$AT$2="SANITARIOS"),PARTIDAS!$I$1:$AT$1,"")),""),IF(SUMPRODUCT((BF270:CQ270&lt;1)*(PARTIDAS!$I$2:$AT$2="ELÉCTRICO"))&gt;0,"ELÉCTRICO: "&amp;_xlfn.TEXTJOIN(", ",TRUE,IF((BF270:CQ270&lt;1)*(PARTIDAS!$I$2:$AT$2="ELÉCTRICO"),PARTIDAS!$I$1:$AT$1,"")),""),IF(SUMPRODUCT((BF270:CQ270&lt;1)*(PARTIDAS!$I$2:$AT$2="TERMINACIONES"))&gt;0,"TERMINACIONES: "&amp;_xlfn.TEXTJOIN(", ",TRUE,IF((BF270:CQ270&lt;1)*(PARTIDAS!$I$2:$AT$2="TERMINACIONES"),PARTIDAS!$I$1:$AT$1,"")),""))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0" s="45" t="str" cm="1">
        <f t="array" ref="CT270">_xlfn.TEXTJOIN(", ",TRUE,IF(SUMPRODUCT((BF270:CQ270&lt;1)*(PARTIDAS!$I$2:$AT$2="OBRA GRUESA"))&gt;0,"OBRA GRUESA",""),IF(SUMPRODUCT((BF270:CQ270&lt;1)*(PARTIDAS!$I$2:$AT$2="SANITARIOS"))&gt;0,"SANITARIOS",""),IF(SUMPRODUCT((BF270:CQ270&lt;1)*(PARTIDAS!$I$2:$AT$2="ELÉCTRICO"))&gt;0,"ELÉCTRICO",""),IF(SUMPRODUCT((BF270:CQ270&lt;1)*(PARTIDAS!$I$2:$AT$2="TERMINACIONES"))&gt;0,"TERMINACIONES",""))</f>
        <v>OBRA GRUESA, SANITARIOS, ELÉCTRICO, TERMINACIONES</v>
      </c>
      <c r="CU270" s="46" cm="1">
        <f t="array" ref="CU270">SUMPRODUCT(--(BF270:CQ270&lt;1))</f>
        <v>38</v>
      </c>
    </row>
    <row r="271" spans="1:99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46181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 s="3" t="str">
        <f>+IF(AVANCE[[#This Row],[% AVANCE]]=100%,"MODULO TERMINADO",IF(AVANCE[[#This Row],[FECHA INICIO REAL]]="","MODULO NO INICIADO","PENDIENTE"))</f>
        <v>MODULO NO INICIADO</v>
      </c>
      <c r="BF271" s="3">
        <f>+IF(AVANCE[[#This Row],[VENTANAS]]=8.10810810810811%,100%,AVANCE[[#This Row],[VENTANAS]])</f>
        <v>0</v>
      </c>
      <c r="BG271" s="3">
        <f>+IF(AVANCE[[#This Row],[PISO]]=N$2,100%,AVANCE[[#This Row],[PISO]])</f>
        <v>0</v>
      </c>
      <c r="BH271" s="3">
        <f>+IF(AVANCE[[#This Row],[TABIQUES]]=O$2,100%,AVANCE[[#This Row],[TABIQUES]])</f>
        <v>0</v>
      </c>
      <c r="BI271" s="3">
        <f>+IF(AVANCE[[#This Row],[MUROS]]=P$2,100%,AVANCE[[#This Row],[MUROS]])</f>
        <v>0</v>
      </c>
      <c r="BJ271" s="3">
        <f>+IF(AVANCE[[#This Row],[CIELO]]=Q$2,100%,AVANCE[[#This Row],[CIELO]])</f>
        <v>0</v>
      </c>
      <c r="BK271" s="3">
        <f>+IF(AVANCE[[#This Row],[BALCÓN]]=R$2,100%,AVANCE[[#This Row],[BALCÓN]])</f>
        <v>0</v>
      </c>
      <c r="BL271" s="3">
        <f>+IF(AVANCE[[#This Row],[RED ALCANTARILLADO]]=U$2,100%,AVANCE[[#This Row],[RED ALCANTARILLADO]])</f>
        <v>0</v>
      </c>
      <c r="BM271" s="3">
        <f>+IF(AVANCE[[#This Row],[RED DE AGUA]]=V$2,100%,AVANCE[[#This Row],[RED DE AGUA]])</f>
        <v>0</v>
      </c>
      <c r="BN271" s="3">
        <f>+IF(AVANCE[[#This Row],[VENTILACIONES]]=W$2,100%,AVANCE[[#This Row],[VENTILACIONES]])</f>
        <v>0</v>
      </c>
      <c r="BO271" s="3">
        <f>+IF(AVANCE[[#This Row],[TINA]]=X$2,100%,AVANCE[[#This Row],[TINA]])</f>
        <v>0</v>
      </c>
      <c r="BP271" s="3">
        <f>+IF(AVANCE[[#This Row],[WC]]=Y$2,100%,AVANCE[[#This Row],[WC]])</f>
        <v>0</v>
      </c>
      <c r="BQ271" s="3">
        <f>+IF(AVANCE[[#This Row],[LAVAMANOS / LAVAPLATOS / LAVADERO]]=Z$2,100%,AVANCE[[#This Row],[LAVAMANOS / LAVAPLATOS / LAVADERO]])</f>
        <v>0</v>
      </c>
      <c r="BR271" s="3">
        <f>+IF(AVANCE[[#This Row],[CANALIZACIÓN]]=AC$2,100%,AVANCE[[#This Row],[CANALIZACIÓN]])</f>
        <v>0</v>
      </c>
      <c r="BS271" s="3">
        <f>+IF(AVANCE[[#This Row],[CABLEADO]]=AD$2,100%,AVANCE[[#This Row],[CABLEADO]])</f>
        <v>0</v>
      </c>
      <c r="BT271" s="3">
        <f>+IF(AVANCE[[#This Row],[ARTEFACTOS]]=AE$2,100%,AVANCE[[#This Row],[ARTEFACTOS]])</f>
        <v>0</v>
      </c>
      <c r="BU271" s="3">
        <f>+IF(AVANCE[[#This Row],[TABLERO]]=AF$2,100%,AVANCE[[#This Row],[TABLERO]])</f>
        <v>0</v>
      </c>
      <c r="BV271" s="3">
        <f>+IF(AVANCE[[#This Row],[CAJA PAU]]=AG$2,100%,AVANCE[[#This Row],[CAJA PAU]])</f>
        <v>0</v>
      </c>
      <c r="BW271" s="3">
        <f>+IF(AVANCE[[#This Row],[INSTALACION VINILICO]]=AJ$2,100%,AVANCE[[#This Row],[INSTALACION VINILICO]])</f>
        <v>0</v>
      </c>
      <c r="BX271" s="3">
        <f>+IF(AVANCE[[#This Row],[OSB CUBIERTA]]=AK$2,100%,AVANCE[[#This Row],[OSB CUBIERTA]])</f>
        <v>0</v>
      </c>
      <c r="BY271" s="3">
        <f>+IF(AVANCE[[#This Row],[BARANDA BALCON]]=AL$2,100%,AVANCE[[#This Row],[BARANDA BALCON]])</f>
        <v>0</v>
      </c>
      <c r="BZ271" s="3">
        <f>+IF(AVANCE[[#This Row],[OSB EXTERIOR]]=AM$2,100%,AVANCE[[#This Row],[OSB EXTERIOR]])</f>
        <v>0</v>
      </c>
      <c r="CA271" s="3">
        <f>+IF(AVANCE[[#This Row],[SMART PANEL]]=AN$2,100%,AVANCE[[#This Row],[SMART PANEL]])</f>
        <v>0</v>
      </c>
      <c r="CB271" s="3">
        <f>+IF(AVANCE[[#This Row],[PINTURA EXTERIOR]]=AO$2,100%,AVANCE[[#This Row],[PINTURA EXTERIOR]])</f>
        <v>0</v>
      </c>
      <c r="CC271" s="3">
        <f>+IF(AVANCE[[#This Row],[ZOCALOS LOGIA]]=AP$2,100%,AVANCE[[#This Row],[ZOCALOS LOGIA]])</f>
        <v>0</v>
      </c>
      <c r="CD271" s="3">
        <f>+IF(AVANCE[[#This Row],[MOLDURAS]]=AQ$2,100%,AVANCE[[#This Row],[MOLDURAS]])</f>
        <v>0</v>
      </c>
      <c r="CE271" s="3">
        <f>+IF(AVANCE[[#This Row],[PILASTREO]]=AR$2,100%,AVANCE[[#This Row],[PILASTREO]])</f>
        <v>0</v>
      </c>
      <c r="CF271" s="3">
        <f>+IF(AVANCE[[#This Row],[CELOSIAS]]=AS$2,100%,AVANCE[[#This Row],[CELOSIAS]])</f>
        <v>0</v>
      </c>
      <c r="CG271" s="3">
        <f>+IF(AVANCE[[#This Row],[VENTANAS]]=AT$2,100%,AVANCE[[#This Row],[VENTANAS]])</f>
        <v>0</v>
      </c>
      <c r="CH271" s="3">
        <f>+IF(AVANCE[[#This Row],[PUERTAS ACCESO - LOGIA - BANO]]=AU$2,100%,AVANCE[[#This Row],[PUERTAS ACCESO - LOGIA - BANO]])</f>
        <v>0</v>
      </c>
      <c r="CI271" s="3">
        <f>+IF(AVANCE[[#This Row],[CERRADURAS]]=AV$2,100%,AVANCE[[#This Row],[CERRADURAS]])</f>
        <v>0</v>
      </c>
      <c r="CJ271" s="3">
        <f>+IF(AVANCE[[#This Row],[REVESTIMIENTO INTERIOR ZONA SECA]]=AW$2,100%,AVANCE[[#This Row],[REVESTIMIENTO INTERIOR ZONA SECA]])</f>
        <v>0</v>
      </c>
      <c r="CK271" s="3">
        <f>+IF(AVANCE[[#This Row],[REVESTIMIENTO INTERIOR ZONAS HUMEDAS]]=AX$2,100%,AVANCE[[#This Row],[REVESTIMIENTO INTERIOR ZONAS HUMEDAS]])</f>
        <v>0</v>
      </c>
      <c r="CL271" s="3">
        <f>+IF(AVANCE[[#This Row],[MEMBRANA CIELO]]=AY$2,100%,AVANCE[[#This Row],[MEMBRANA CIELO]])</f>
        <v>0</v>
      </c>
      <c r="CM271" s="3">
        <f>+IF(AVANCE[[#This Row],[LIMPIEZA FINAL]]=AZ$2,100%,AVANCE[[#This Row],[LIMPIEZA FINAL]])</f>
        <v>0</v>
      </c>
      <c r="CN271" s="3">
        <f>+IF(AVANCE[[#This Row],[PUERTAS DORMITORIO]]=BA$2,100%,AVANCE[[#This Row],[PUERTAS DORMITORIO]])</f>
        <v>0</v>
      </c>
      <c r="CO271" s="3">
        <f>+IF(AVANCE[[#This Row],[REVESTIMIENTO INTERIOR BANO]]=BB$2,100%,AVANCE[[#This Row],[REVESTIMIENTO INTERIOR BANO]])</f>
        <v>0</v>
      </c>
      <c r="CP271" s="3">
        <f>+IF(AVANCE[[#This Row],[MUEBLE LAVAPLATOS]]=BC$2,100%,AVANCE[[#This Row],[MUEBLE LAVAPLATOS]])</f>
        <v>0</v>
      </c>
      <c r="CQ271" s="3">
        <f>+IF(AVANCE[[#This Row],[IMPERMEABILIZACION BANO - COCINA LOGIA]]=BD$2,100%,AVANCE[[#This Row],[IMPERMEABILIZACION BANO - COCINA LOGIA]])</f>
        <v>0</v>
      </c>
      <c r="CR271" s="40">
        <f ca="1">+IF(AVANCE[[#This Row],[ESTADO MODULO]]="PENDIENTE",(TODAY()-AVANCE[[#This Row],[FECHA TERMINO  PLANIFICADO]]),0)</f>
        <v>0</v>
      </c>
      <c r="CS271" s="42" t="str" cm="1">
        <f t="array" ref="CS271">_xlfn.TEXTJOIN(" | ",TRUE,IF(SUMPRODUCT((BF271:CQ271&lt;1)*(PARTIDAS!$I$2:$AT$2="OBRA GRUESA"))&gt;0,"OBRA GRUESA: "&amp;_xlfn.TEXTJOIN(", ",TRUE,IF((BF271:CQ271&lt;1)*(PARTIDAS!$I$2:$AT$2="OBRA GRUESA"),PARTIDAS!$I$1:$AT$1,"")),""),IF(SUMPRODUCT((BF271:CQ271&lt;1)*(PARTIDAS!$I$2:$AT$2="SANITARIOS"))&gt;0,"SANITARIOS: "&amp;_xlfn.TEXTJOIN(", ",TRUE,IF((BF271:CQ271&lt;1)*(PARTIDAS!$I$2:$AT$2="SANITARIOS"),PARTIDAS!$I$1:$AT$1,"")),""),IF(SUMPRODUCT((BF271:CQ271&lt;1)*(PARTIDAS!$I$2:$AT$2="ELÉCTRICO"))&gt;0,"ELÉCTRICO: "&amp;_xlfn.TEXTJOIN(", ",TRUE,IF((BF271:CQ271&lt;1)*(PARTIDAS!$I$2:$AT$2="ELÉCTRICO"),PARTIDAS!$I$1:$AT$1,"")),""),IF(SUMPRODUCT((BF271:CQ271&lt;1)*(PARTIDAS!$I$2:$AT$2="TERMINACIONES"))&gt;0,"TERMINACIONES: "&amp;_xlfn.TEXTJOIN(", ",TRUE,IF((BF271:CQ271&lt;1)*(PARTIDAS!$I$2:$AT$2="TERMINACIONES"),PARTIDAS!$I$1:$AT$1,"")),""))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1" s="45" t="str" cm="1">
        <f t="array" ref="CT271">_xlfn.TEXTJOIN(", ",TRUE,IF(SUMPRODUCT((BF271:CQ271&lt;1)*(PARTIDAS!$I$2:$AT$2="OBRA GRUESA"))&gt;0,"OBRA GRUESA",""),IF(SUMPRODUCT((BF271:CQ271&lt;1)*(PARTIDAS!$I$2:$AT$2="SANITARIOS"))&gt;0,"SANITARIOS",""),IF(SUMPRODUCT((BF271:CQ271&lt;1)*(PARTIDAS!$I$2:$AT$2="ELÉCTRICO"))&gt;0,"ELÉCTRICO",""),IF(SUMPRODUCT((BF271:CQ271&lt;1)*(PARTIDAS!$I$2:$AT$2="TERMINACIONES"))&gt;0,"TERMINACIONES",""))</f>
        <v>OBRA GRUESA, SANITARIOS, ELÉCTRICO, TERMINACIONES</v>
      </c>
      <c r="CU271" s="46" cm="1">
        <f t="array" ref="CU271">SUMPRODUCT(--(BF271:CQ271&lt;1))</f>
        <v>38</v>
      </c>
    </row>
    <row r="272" spans="1:99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46181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 s="3" t="str">
        <f>+IF(AVANCE[[#This Row],[% AVANCE]]=100%,"MODULO TERMINADO",IF(AVANCE[[#This Row],[FECHA INICIO REAL]]="","MODULO NO INICIADO","PENDIENTE"))</f>
        <v>MODULO NO INICIADO</v>
      </c>
      <c r="BF272" s="3">
        <f>+IF(AVANCE[[#This Row],[VENTANAS]]=8.10810810810811%,100%,AVANCE[[#This Row],[VENTANAS]])</f>
        <v>0</v>
      </c>
      <c r="BG272" s="3">
        <f>+IF(AVANCE[[#This Row],[PISO]]=N$2,100%,AVANCE[[#This Row],[PISO]])</f>
        <v>0</v>
      </c>
      <c r="BH272" s="3">
        <f>+IF(AVANCE[[#This Row],[TABIQUES]]=O$2,100%,AVANCE[[#This Row],[TABIQUES]])</f>
        <v>0</v>
      </c>
      <c r="BI272" s="3">
        <f>+IF(AVANCE[[#This Row],[MUROS]]=P$2,100%,AVANCE[[#This Row],[MUROS]])</f>
        <v>0</v>
      </c>
      <c r="BJ272" s="3">
        <f>+IF(AVANCE[[#This Row],[CIELO]]=Q$2,100%,AVANCE[[#This Row],[CIELO]])</f>
        <v>0</v>
      </c>
      <c r="BK272" s="3">
        <f>+IF(AVANCE[[#This Row],[BALCÓN]]=R$2,100%,AVANCE[[#This Row],[BALCÓN]])</f>
        <v>0</v>
      </c>
      <c r="BL272" s="3">
        <f>+IF(AVANCE[[#This Row],[RED ALCANTARILLADO]]=U$2,100%,AVANCE[[#This Row],[RED ALCANTARILLADO]])</f>
        <v>0</v>
      </c>
      <c r="BM272" s="3">
        <f>+IF(AVANCE[[#This Row],[RED DE AGUA]]=V$2,100%,AVANCE[[#This Row],[RED DE AGUA]])</f>
        <v>0</v>
      </c>
      <c r="BN272" s="3">
        <f>+IF(AVANCE[[#This Row],[VENTILACIONES]]=W$2,100%,AVANCE[[#This Row],[VENTILACIONES]])</f>
        <v>0</v>
      </c>
      <c r="BO272" s="3">
        <f>+IF(AVANCE[[#This Row],[TINA]]=X$2,100%,AVANCE[[#This Row],[TINA]])</f>
        <v>0</v>
      </c>
      <c r="BP272" s="3">
        <f>+IF(AVANCE[[#This Row],[WC]]=Y$2,100%,AVANCE[[#This Row],[WC]])</f>
        <v>0</v>
      </c>
      <c r="BQ272" s="3">
        <f>+IF(AVANCE[[#This Row],[LAVAMANOS / LAVAPLATOS / LAVADERO]]=Z$2,100%,AVANCE[[#This Row],[LAVAMANOS / LAVAPLATOS / LAVADERO]])</f>
        <v>0</v>
      </c>
      <c r="BR272" s="3">
        <f>+IF(AVANCE[[#This Row],[CANALIZACIÓN]]=AC$2,100%,AVANCE[[#This Row],[CANALIZACIÓN]])</f>
        <v>0</v>
      </c>
      <c r="BS272" s="3">
        <f>+IF(AVANCE[[#This Row],[CABLEADO]]=AD$2,100%,AVANCE[[#This Row],[CABLEADO]])</f>
        <v>0</v>
      </c>
      <c r="BT272" s="3">
        <f>+IF(AVANCE[[#This Row],[ARTEFACTOS]]=AE$2,100%,AVANCE[[#This Row],[ARTEFACTOS]])</f>
        <v>0</v>
      </c>
      <c r="BU272" s="3">
        <f>+IF(AVANCE[[#This Row],[TABLERO]]=AF$2,100%,AVANCE[[#This Row],[TABLERO]])</f>
        <v>0</v>
      </c>
      <c r="BV272" s="3">
        <f>+IF(AVANCE[[#This Row],[CAJA PAU]]=AG$2,100%,AVANCE[[#This Row],[CAJA PAU]])</f>
        <v>0</v>
      </c>
      <c r="BW272" s="3">
        <f>+IF(AVANCE[[#This Row],[INSTALACION VINILICO]]=AJ$2,100%,AVANCE[[#This Row],[INSTALACION VINILICO]])</f>
        <v>0</v>
      </c>
      <c r="BX272" s="3">
        <f>+IF(AVANCE[[#This Row],[OSB CUBIERTA]]=AK$2,100%,AVANCE[[#This Row],[OSB CUBIERTA]])</f>
        <v>0</v>
      </c>
      <c r="BY272" s="3">
        <f>+IF(AVANCE[[#This Row],[BARANDA BALCON]]=AL$2,100%,AVANCE[[#This Row],[BARANDA BALCON]])</f>
        <v>0</v>
      </c>
      <c r="BZ272" s="3">
        <f>+IF(AVANCE[[#This Row],[OSB EXTERIOR]]=AM$2,100%,AVANCE[[#This Row],[OSB EXTERIOR]])</f>
        <v>0</v>
      </c>
      <c r="CA272" s="3">
        <f>+IF(AVANCE[[#This Row],[SMART PANEL]]=AN$2,100%,AVANCE[[#This Row],[SMART PANEL]])</f>
        <v>0</v>
      </c>
      <c r="CB272" s="3">
        <f>+IF(AVANCE[[#This Row],[PINTURA EXTERIOR]]=AO$2,100%,AVANCE[[#This Row],[PINTURA EXTERIOR]])</f>
        <v>0</v>
      </c>
      <c r="CC272" s="3">
        <f>+IF(AVANCE[[#This Row],[ZOCALOS LOGIA]]=AP$2,100%,AVANCE[[#This Row],[ZOCALOS LOGIA]])</f>
        <v>0</v>
      </c>
      <c r="CD272" s="3">
        <f>+IF(AVANCE[[#This Row],[MOLDURAS]]=AQ$2,100%,AVANCE[[#This Row],[MOLDURAS]])</f>
        <v>0</v>
      </c>
      <c r="CE272" s="3">
        <f>+IF(AVANCE[[#This Row],[PILASTREO]]=AR$2,100%,AVANCE[[#This Row],[PILASTREO]])</f>
        <v>0</v>
      </c>
      <c r="CF272" s="3">
        <f>+IF(AVANCE[[#This Row],[CELOSIAS]]=AS$2,100%,AVANCE[[#This Row],[CELOSIAS]])</f>
        <v>0</v>
      </c>
      <c r="CG272" s="3">
        <f>+IF(AVANCE[[#This Row],[VENTANAS]]=AT$2,100%,AVANCE[[#This Row],[VENTANAS]])</f>
        <v>0</v>
      </c>
      <c r="CH272" s="3">
        <f>+IF(AVANCE[[#This Row],[PUERTAS ACCESO - LOGIA - BANO]]=AU$2,100%,AVANCE[[#This Row],[PUERTAS ACCESO - LOGIA - BANO]])</f>
        <v>0</v>
      </c>
      <c r="CI272" s="3">
        <f>+IF(AVANCE[[#This Row],[CERRADURAS]]=AV$2,100%,AVANCE[[#This Row],[CERRADURAS]])</f>
        <v>0</v>
      </c>
      <c r="CJ272" s="3">
        <f>+IF(AVANCE[[#This Row],[REVESTIMIENTO INTERIOR ZONA SECA]]=AW$2,100%,AVANCE[[#This Row],[REVESTIMIENTO INTERIOR ZONA SECA]])</f>
        <v>0</v>
      </c>
      <c r="CK272" s="3">
        <f>+IF(AVANCE[[#This Row],[REVESTIMIENTO INTERIOR ZONAS HUMEDAS]]=AX$2,100%,AVANCE[[#This Row],[REVESTIMIENTO INTERIOR ZONAS HUMEDAS]])</f>
        <v>0</v>
      </c>
      <c r="CL272" s="3">
        <f>+IF(AVANCE[[#This Row],[MEMBRANA CIELO]]=AY$2,100%,AVANCE[[#This Row],[MEMBRANA CIELO]])</f>
        <v>0</v>
      </c>
      <c r="CM272" s="3">
        <f>+IF(AVANCE[[#This Row],[LIMPIEZA FINAL]]=AZ$2,100%,AVANCE[[#This Row],[LIMPIEZA FINAL]])</f>
        <v>0</v>
      </c>
      <c r="CN272" s="3">
        <f>+IF(AVANCE[[#This Row],[PUERTAS DORMITORIO]]=BA$2,100%,AVANCE[[#This Row],[PUERTAS DORMITORIO]])</f>
        <v>0</v>
      </c>
      <c r="CO272" s="3">
        <f>+IF(AVANCE[[#This Row],[REVESTIMIENTO INTERIOR BANO]]=BB$2,100%,AVANCE[[#This Row],[REVESTIMIENTO INTERIOR BANO]])</f>
        <v>0</v>
      </c>
      <c r="CP272" s="3">
        <f>+IF(AVANCE[[#This Row],[MUEBLE LAVAPLATOS]]=BC$2,100%,AVANCE[[#This Row],[MUEBLE LAVAPLATOS]])</f>
        <v>0</v>
      </c>
      <c r="CQ272" s="3">
        <f>+IF(AVANCE[[#This Row],[IMPERMEABILIZACION BANO - COCINA LOGIA]]=BD$2,100%,AVANCE[[#This Row],[IMPERMEABILIZACION BANO - COCINA LOGIA]])</f>
        <v>0</v>
      </c>
      <c r="CR272" s="40">
        <f ca="1">+IF(AVANCE[[#This Row],[ESTADO MODULO]]="PENDIENTE",(TODAY()-AVANCE[[#This Row],[FECHA TERMINO  PLANIFICADO]]),0)</f>
        <v>0</v>
      </c>
      <c r="CS272" s="42" t="str" cm="1">
        <f t="array" ref="CS272">_xlfn.TEXTJOIN(" | ",TRUE,IF(SUMPRODUCT((BF272:CQ272&lt;1)*(PARTIDAS!$I$2:$AT$2="OBRA GRUESA"))&gt;0,"OBRA GRUESA: "&amp;_xlfn.TEXTJOIN(", ",TRUE,IF((BF272:CQ272&lt;1)*(PARTIDAS!$I$2:$AT$2="OBRA GRUESA"),PARTIDAS!$I$1:$AT$1,"")),""),IF(SUMPRODUCT((BF272:CQ272&lt;1)*(PARTIDAS!$I$2:$AT$2="SANITARIOS"))&gt;0,"SANITARIOS: "&amp;_xlfn.TEXTJOIN(", ",TRUE,IF((BF272:CQ272&lt;1)*(PARTIDAS!$I$2:$AT$2="SANITARIOS"),PARTIDAS!$I$1:$AT$1,"")),""),IF(SUMPRODUCT((BF272:CQ272&lt;1)*(PARTIDAS!$I$2:$AT$2="ELÉCTRICO"))&gt;0,"ELÉCTRICO: "&amp;_xlfn.TEXTJOIN(", ",TRUE,IF((BF272:CQ272&lt;1)*(PARTIDAS!$I$2:$AT$2="ELÉCTRICO"),PARTIDAS!$I$1:$AT$1,"")),""),IF(SUMPRODUCT((BF272:CQ272&lt;1)*(PARTIDAS!$I$2:$AT$2="TERMINACIONES"))&gt;0,"TERMINACIONES: "&amp;_xlfn.TEXTJOIN(", ",TRUE,IF((BF272:CQ272&lt;1)*(PARTIDAS!$I$2:$AT$2="TERMINACIONES"),PARTIDAS!$I$1:$AT$1,"")),""))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2" s="45" t="str" cm="1">
        <f t="array" ref="CT272">_xlfn.TEXTJOIN(", ",TRUE,IF(SUMPRODUCT((BF272:CQ272&lt;1)*(PARTIDAS!$I$2:$AT$2="OBRA GRUESA"))&gt;0,"OBRA GRUESA",""),IF(SUMPRODUCT((BF272:CQ272&lt;1)*(PARTIDAS!$I$2:$AT$2="SANITARIOS"))&gt;0,"SANITARIOS",""),IF(SUMPRODUCT((BF272:CQ272&lt;1)*(PARTIDAS!$I$2:$AT$2="ELÉCTRICO"))&gt;0,"ELÉCTRICO",""),IF(SUMPRODUCT((BF272:CQ272&lt;1)*(PARTIDAS!$I$2:$AT$2="TERMINACIONES"))&gt;0,"TERMINACIONES",""))</f>
        <v>OBRA GRUESA, SANITARIOS, ELÉCTRICO, TERMINACIONES</v>
      </c>
      <c r="CU272" s="46" cm="1">
        <f t="array" ref="CU272">SUMPRODUCT(--(BF272:CQ272&lt;1))</f>
        <v>38</v>
      </c>
    </row>
    <row r="273" spans="1:99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46181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 s="3" t="str">
        <f>+IF(AVANCE[[#This Row],[% AVANCE]]=100%,"MODULO TERMINADO",IF(AVANCE[[#This Row],[FECHA INICIO REAL]]="","MODULO NO INICIADO","PENDIENTE"))</f>
        <v>MODULO NO INICIADO</v>
      </c>
      <c r="BF273" s="3">
        <f>+IF(AVANCE[[#This Row],[VENTANAS]]=8.10810810810811%,100%,AVANCE[[#This Row],[VENTANAS]])</f>
        <v>0</v>
      </c>
      <c r="BG273" s="3">
        <f>+IF(AVANCE[[#This Row],[PISO]]=N$2,100%,AVANCE[[#This Row],[PISO]])</f>
        <v>0</v>
      </c>
      <c r="BH273" s="3">
        <f>+IF(AVANCE[[#This Row],[TABIQUES]]=O$2,100%,AVANCE[[#This Row],[TABIQUES]])</f>
        <v>0</v>
      </c>
      <c r="BI273" s="3">
        <f>+IF(AVANCE[[#This Row],[MUROS]]=P$2,100%,AVANCE[[#This Row],[MUROS]])</f>
        <v>0</v>
      </c>
      <c r="BJ273" s="3">
        <f>+IF(AVANCE[[#This Row],[CIELO]]=Q$2,100%,AVANCE[[#This Row],[CIELO]])</f>
        <v>0</v>
      </c>
      <c r="BK273" s="3">
        <f>+IF(AVANCE[[#This Row],[BALCÓN]]=R$2,100%,AVANCE[[#This Row],[BALCÓN]])</f>
        <v>0</v>
      </c>
      <c r="BL273" s="3">
        <f>+IF(AVANCE[[#This Row],[RED ALCANTARILLADO]]=U$2,100%,AVANCE[[#This Row],[RED ALCANTARILLADO]])</f>
        <v>0</v>
      </c>
      <c r="BM273" s="3">
        <f>+IF(AVANCE[[#This Row],[RED DE AGUA]]=V$2,100%,AVANCE[[#This Row],[RED DE AGUA]])</f>
        <v>0</v>
      </c>
      <c r="BN273" s="3">
        <f>+IF(AVANCE[[#This Row],[VENTILACIONES]]=W$2,100%,AVANCE[[#This Row],[VENTILACIONES]])</f>
        <v>0</v>
      </c>
      <c r="BO273" s="3">
        <f>+IF(AVANCE[[#This Row],[TINA]]=X$2,100%,AVANCE[[#This Row],[TINA]])</f>
        <v>0</v>
      </c>
      <c r="BP273" s="3">
        <f>+IF(AVANCE[[#This Row],[WC]]=Y$2,100%,AVANCE[[#This Row],[WC]])</f>
        <v>0</v>
      </c>
      <c r="BQ273" s="3">
        <f>+IF(AVANCE[[#This Row],[LAVAMANOS / LAVAPLATOS / LAVADERO]]=Z$2,100%,AVANCE[[#This Row],[LAVAMANOS / LAVAPLATOS / LAVADERO]])</f>
        <v>0</v>
      </c>
      <c r="BR273" s="3">
        <f>+IF(AVANCE[[#This Row],[CANALIZACIÓN]]=AC$2,100%,AVANCE[[#This Row],[CANALIZACIÓN]])</f>
        <v>0</v>
      </c>
      <c r="BS273" s="3">
        <f>+IF(AVANCE[[#This Row],[CABLEADO]]=AD$2,100%,AVANCE[[#This Row],[CABLEADO]])</f>
        <v>0</v>
      </c>
      <c r="BT273" s="3">
        <f>+IF(AVANCE[[#This Row],[ARTEFACTOS]]=AE$2,100%,AVANCE[[#This Row],[ARTEFACTOS]])</f>
        <v>0</v>
      </c>
      <c r="BU273" s="3">
        <f>+IF(AVANCE[[#This Row],[TABLERO]]=AF$2,100%,AVANCE[[#This Row],[TABLERO]])</f>
        <v>0</v>
      </c>
      <c r="BV273" s="3">
        <f>+IF(AVANCE[[#This Row],[CAJA PAU]]=AG$2,100%,AVANCE[[#This Row],[CAJA PAU]])</f>
        <v>0</v>
      </c>
      <c r="BW273" s="3">
        <f>+IF(AVANCE[[#This Row],[INSTALACION VINILICO]]=AJ$2,100%,AVANCE[[#This Row],[INSTALACION VINILICO]])</f>
        <v>0</v>
      </c>
      <c r="BX273" s="3">
        <f>+IF(AVANCE[[#This Row],[OSB CUBIERTA]]=AK$2,100%,AVANCE[[#This Row],[OSB CUBIERTA]])</f>
        <v>0</v>
      </c>
      <c r="BY273" s="3">
        <f>+IF(AVANCE[[#This Row],[BARANDA BALCON]]=AL$2,100%,AVANCE[[#This Row],[BARANDA BALCON]])</f>
        <v>0</v>
      </c>
      <c r="BZ273" s="3">
        <f>+IF(AVANCE[[#This Row],[OSB EXTERIOR]]=AM$2,100%,AVANCE[[#This Row],[OSB EXTERIOR]])</f>
        <v>0</v>
      </c>
      <c r="CA273" s="3">
        <f>+IF(AVANCE[[#This Row],[SMART PANEL]]=AN$2,100%,AVANCE[[#This Row],[SMART PANEL]])</f>
        <v>0</v>
      </c>
      <c r="CB273" s="3">
        <f>+IF(AVANCE[[#This Row],[PINTURA EXTERIOR]]=AO$2,100%,AVANCE[[#This Row],[PINTURA EXTERIOR]])</f>
        <v>0</v>
      </c>
      <c r="CC273" s="3">
        <f>+IF(AVANCE[[#This Row],[ZOCALOS LOGIA]]=AP$2,100%,AVANCE[[#This Row],[ZOCALOS LOGIA]])</f>
        <v>0</v>
      </c>
      <c r="CD273" s="3">
        <f>+IF(AVANCE[[#This Row],[MOLDURAS]]=AQ$2,100%,AVANCE[[#This Row],[MOLDURAS]])</f>
        <v>0</v>
      </c>
      <c r="CE273" s="3">
        <f>+IF(AVANCE[[#This Row],[PILASTREO]]=AR$2,100%,AVANCE[[#This Row],[PILASTREO]])</f>
        <v>0</v>
      </c>
      <c r="CF273" s="3">
        <f>+IF(AVANCE[[#This Row],[CELOSIAS]]=AS$2,100%,AVANCE[[#This Row],[CELOSIAS]])</f>
        <v>0</v>
      </c>
      <c r="CG273" s="3">
        <f>+IF(AVANCE[[#This Row],[VENTANAS]]=AT$2,100%,AVANCE[[#This Row],[VENTANAS]])</f>
        <v>0</v>
      </c>
      <c r="CH273" s="3">
        <f>+IF(AVANCE[[#This Row],[PUERTAS ACCESO - LOGIA - BANO]]=AU$2,100%,AVANCE[[#This Row],[PUERTAS ACCESO - LOGIA - BANO]])</f>
        <v>0</v>
      </c>
      <c r="CI273" s="3">
        <f>+IF(AVANCE[[#This Row],[CERRADURAS]]=AV$2,100%,AVANCE[[#This Row],[CERRADURAS]])</f>
        <v>0</v>
      </c>
      <c r="CJ273" s="3">
        <f>+IF(AVANCE[[#This Row],[REVESTIMIENTO INTERIOR ZONA SECA]]=AW$2,100%,AVANCE[[#This Row],[REVESTIMIENTO INTERIOR ZONA SECA]])</f>
        <v>0</v>
      </c>
      <c r="CK273" s="3">
        <f>+IF(AVANCE[[#This Row],[REVESTIMIENTO INTERIOR ZONAS HUMEDAS]]=AX$2,100%,AVANCE[[#This Row],[REVESTIMIENTO INTERIOR ZONAS HUMEDAS]])</f>
        <v>0</v>
      </c>
      <c r="CL273" s="3">
        <f>+IF(AVANCE[[#This Row],[MEMBRANA CIELO]]=AY$2,100%,AVANCE[[#This Row],[MEMBRANA CIELO]])</f>
        <v>0</v>
      </c>
      <c r="CM273" s="3">
        <f>+IF(AVANCE[[#This Row],[LIMPIEZA FINAL]]=AZ$2,100%,AVANCE[[#This Row],[LIMPIEZA FINAL]])</f>
        <v>0</v>
      </c>
      <c r="CN273" s="3">
        <f>+IF(AVANCE[[#This Row],[PUERTAS DORMITORIO]]=BA$2,100%,AVANCE[[#This Row],[PUERTAS DORMITORIO]])</f>
        <v>0</v>
      </c>
      <c r="CO273" s="3">
        <f>+IF(AVANCE[[#This Row],[REVESTIMIENTO INTERIOR BANO]]=BB$2,100%,AVANCE[[#This Row],[REVESTIMIENTO INTERIOR BANO]])</f>
        <v>0</v>
      </c>
      <c r="CP273" s="3">
        <f>+IF(AVANCE[[#This Row],[MUEBLE LAVAPLATOS]]=BC$2,100%,AVANCE[[#This Row],[MUEBLE LAVAPLATOS]])</f>
        <v>0</v>
      </c>
      <c r="CQ273" s="3">
        <f>+IF(AVANCE[[#This Row],[IMPERMEABILIZACION BANO - COCINA LOGIA]]=BD$2,100%,AVANCE[[#This Row],[IMPERMEABILIZACION BANO - COCINA LOGIA]])</f>
        <v>0</v>
      </c>
      <c r="CR273" s="40">
        <f ca="1">+IF(AVANCE[[#This Row],[ESTADO MODULO]]="PENDIENTE",(TODAY()-AVANCE[[#This Row],[FECHA TERMINO  PLANIFICADO]]),0)</f>
        <v>0</v>
      </c>
      <c r="CS273" s="42" t="str" cm="1">
        <f t="array" ref="CS273">_xlfn.TEXTJOIN(" | ",TRUE,IF(SUMPRODUCT((BF273:CQ273&lt;1)*(PARTIDAS!$I$2:$AT$2="OBRA GRUESA"))&gt;0,"OBRA GRUESA: "&amp;_xlfn.TEXTJOIN(", ",TRUE,IF((BF273:CQ273&lt;1)*(PARTIDAS!$I$2:$AT$2="OBRA GRUESA"),PARTIDAS!$I$1:$AT$1,"")),""),IF(SUMPRODUCT((BF273:CQ273&lt;1)*(PARTIDAS!$I$2:$AT$2="SANITARIOS"))&gt;0,"SANITARIOS: "&amp;_xlfn.TEXTJOIN(", ",TRUE,IF((BF273:CQ273&lt;1)*(PARTIDAS!$I$2:$AT$2="SANITARIOS"),PARTIDAS!$I$1:$AT$1,"")),""),IF(SUMPRODUCT((BF273:CQ273&lt;1)*(PARTIDAS!$I$2:$AT$2="ELÉCTRICO"))&gt;0,"ELÉCTRICO: "&amp;_xlfn.TEXTJOIN(", ",TRUE,IF((BF273:CQ273&lt;1)*(PARTIDAS!$I$2:$AT$2="ELÉCTRICO"),PARTIDAS!$I$1:$AT$1,"")),""),IF(SUMPRODUCT((BF273:CQ273&lt;1)*(PARTIDAS!$I$2:$AT$2="TERMINACIONES"))&gt;0,"TERMINACIONES: "&amp;_xlfn.TEXTJOIN(", ",TRUE,IF((BF273:CQ273&lt;1)*(PARTIDAS!$I$2:$AT$2="TERMINACIONES"),PARTIDAS!$I$1:$AT$1,"")),""))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3" s="45" t="str" cm="1">
        <f t="array" ref="CT273">_xlfn.TEXTJOIN(", ",TRUE,IF(SUMPRODUCT((BF273:CQ273&lt;1)*(PARTIDAS!$I$2:$AT$2="OBRA GRUESA"))&gt;0,"OBRA GRUESA",""),IF(SUMPRODUCT((BF273:CQ273&lt;1)*(PARTIDAS!$I$2:$AT$2="SANITARIOS"))&gt;0,"SANITARIOS",""),IF(SUMPRODUCT((BF273:CQ273&lt;1)*(PARTIDAS!$I$2:$AT$2="ELÉCTRICO"))&gt;0,"ELÉCTRICO",""),IF(SUMPRODUCT((BF273:CQ273&lt;1)*(PARTIDAS!$I$2:$AT$2="TERMINACIONES"))&gt;0,"TERMINACIONES",""))</f>
        <v>OBRA GRUESA, SANITARIOS, ELÉCTRICO, TERMINACIONES</v>
      </c>
      <c r="CU273" s="46" cm="1">
        <f t="array" ref="CU273">SUMPRODUCT(--(BF273:CQ273&lt;1))</f>
        <v>38</v>
      </c>
    </row>
    <row r="274" spans="1:99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46181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 s="3" t="str">
        <f>+IF(AVANCE[[#This Row],[% AVANCE]]=100%,"MODULO TERMINADO",IF(AVANCE[[#This Row],[FECHA INICIO REAL]]="","MODULO NO INICIADO","PENDIENTE"))</f>
        <v>MODULO NO INICIADO</v>
      </c>
      <c r="BF274" s="3">
        <f>+IF(AVANCE[[#This Row],[VENTANAS]]=8.10810810810811%,100%,AVANCE[[#This Row],[VENTANAS]])</f>
        <v>0</v>
      </c>
      <c r="BG274" s="3">
        <f>+IF(AVANCE[[#This Row],[PISO]]=N$2,100%,AVANCE[[#This Row],[PISO]])</f>
        <v>0</v>
      </c>
      <c r="BH274" s="3">
        <f>+IF(AVANCE[[#This Row],[TABIQUES]]=O$2,100%,AVANCE[[#This Row],[TABIQUES]])</f>
        <v>0</v>
      </c>
      <c r="BI274" s="3">
        <f>+IF(AVANCE[[#This Row],[MUROS]]=P$2,100%,AVANCE[[#This Row],[MUROS]])</f>
        <v>0</v>
      </c>
      <c r="BJ274" s="3">
        <f>+IF(AVANCE[[#This Row],[CIELO]]=Q$2,100%,AVANCE[[#This Row],[CIELO]])</f>
        <v>0</v>
      </c>
      <c r="BK274" s="3">
        <f>+IF(AVANCE[[#This Row],[BALCÓN]]=R$2,100%,AVANCE[[#This Row],[BALCÓN]])</f>
        <v>0</v>
      </c>
      <c r="BL274" s="3">
        <f>+IF(AVANCE[[#This Row],[RED ALCANTARILLADO]]=U$2,100%,AVANCE[[#This Row],[RED ALCANTARILLADO]])</f>
        <v>0</v>
      </c>
      <c r="BM274" s="3">
        <f>+IF(AVANCE[[#This Row],[RED DE AGUA]]=V$2,100%,AVANCE[[#This Row],[RED DE AGUA]])</f>
        <v>0</v>
      </c>
      <c r="BN274" s="3">
        <f>+IF(AVANCE[[#This Row],[VENTILACIONES]]=W$2,100%,AVANCE[[#This Row],[VENTILACIONES]])</f>
        <v>0</v>
      </c>
      <c r="BO274" s="3">
        <f>+IF(AVANCE[[#This Row],[TINA]]=X$2,100%,AVANCE[[#This Row],[TINA]])</f>
        <v>0</v>
      </c>
      <c r="BP274" s="3">
        <f>+IF(AVANCE[[#This Row],[WC]]=Y$2,100%,AVANCE[[#This Row],[WC]])</f>
        <v>0</v>
      </c>
      <c r="BQ274" s="3">
        <f>+IF(AVANCE[[#This Row],[LAVAMANOS / LAVAPLATOS / LAVADERO]]=Z$2,100%,AVANCE[[#This Row],[LAVAMANOS / LAVAPLATOS / LAVADERO]])</f>
        <v>0</v>
      </c>
      <c r="BR274" s="3">
        <f>+IF(AVANCE[[#This Row],[CANALIZACIÓN]]=AC$2,100%,AVANCE[[#This Row],[CANALIZACIÓN]])</f>
        <v>0</v>
      </c>
      <c r="BS274" s="3">
        <f>+IF(AVANCE[[#This Row],[CABLEADO]]=AD$2,100%,AVANCE[[#This Row],[CABLEADO]])</f>
        <v>0</v>
      </c>
      <c r="BT274" s="3">
        <f>+IF(AVANCE[[#This Row],[ARTEFACTOS]]=AE$2,100%,AVANCE[[#This Row],[ARTEFACTOS]])</f>
        <v>0</v>
      </c>
      <c r="BU274" s="3">
        <f>+IF(AVANCE[[#This Row],[TABLERO]]=AF$2,100%,AVANCE[[#This Row],[TABLERO]])</f>
        <v>0</v>
      </c>
      <c r="BV274" s="3">
        <f>+IF(AVANCE[[#This Row],[CAJA PAU]]=AG$2,100%,AVANCE[[#This Row],[CAJA PAU]])</f>
        <v>0</v>
      </c>
      <c r="BW274" s="3">
        <f>+IF(AVANCE[[#This Row],[INSTALACION VINILICO]]=AJ$2,100%,AVANCE[[#This Row],[INSTALACION VINILICO]])</f>
        <v>0</v>
      </c>
      <c r="BX274" s="3">
        <f>+IF(AVANCE[[#This Row],[OSB CUBIERTA]]=AK$2,100%,AVANCE[[#This Row],[OSB CUBIERTA]])</f>
        <v>0</v>
      </c>
      <c r="BY274" s="3">
        <f>+IF(AVANCE[[#This Row],[BARANDA BALCON]]=AL$2,100%,AVANCE[[#This Row],[BARANDA BALCON]])</f>
        <v>0</v>
      </c>
      <c r="BZ274" s="3">
        <f>+IF(AVANCE[[#This Row],[OSB EXTERIOR]]=AM$2,100%,AVANCE[[#This Row],[OSB EXTERIOR]])</f>
        <v>0</v>
      </c>
      <c r="CA274" s="3">
        <f>+IF(AVANCE[[#This Row],[SMART PANEL]]=AN$2,100%,AVANCE[[#This Row],[SMART PANEL]])</f>
        <v>0</v>
      </c>
      <c r="CB274" s="3">
        <f>+IF(AVANCE[[#This Row],[PINTURA EXTERIOR]]=AO$2,100%,AVANCE[[#This Row],[PINTURA EXTERIOR]])</f>
        <v>0</v>
      </c>
      <c r="CC274" s="3">
        <f>+IF(AVANCE[[#This Row],[ZOCALOS LOGIA]]=AP$2,100%,AVANCE[[#This Row],[ZOCALOS LOGIA]])</f>
        <v>0</v>
      </c>
      <c r="CD274" s="3">
        <f>+IF(AVANCE[[#This Row],[MOLDURAS]]=AQ$2,100%,AVANCE[[#This Row],[MOLDURAS]])</f>
        <v>0</v>
      </c>
      <c r="CE274" s="3">
        <f>+IF(AVANCE[[#This Row],[PILASTREO]]=AR$2,100%,AVANCE[[#This Row],[PILASTREO]])</f>
        <v>0</v>
      </c>
      <c r="CF274" s="3">
        <f>+IF(AVANCE[[#This Row],[CELOSIAS]]=AS$2,100%,AVANCE[[#This Row],[CELOSIAS]])</f>
        <v>0</v>
      </c>
      <c r="CG274" s="3">
        <f>+IF(AVANCE[[#This Row],[VENTANAS]]=AT$2,100%,AVANCE[[#This Row],[VENTANAS]])</f>
        <v>0</v>
      </c>
      <c r="CH274" s="3">
        <f>+IF(AVANCE[[#This Row],[PUERTAS ACCESO - LOGIA - BANO]]=AU$2,100%,AVANCE[[#This Row],[PUERTAS ACCESO - LOGIA - BANO]])</f>
        <v>0</v>
      </c>
      <c r="CI274" s="3">
        <f>+IF(AVANCE[[#This Row],[CERRADURAS]]=AV$2,100%,AVANCE[[#This Row],[CERRADURAS]])</f>
        <v>0</v>
      </c>
      <c r="CJ274" s="3">
        <f>+IF(AVANCE[[#This Row],[REVESTIMIENTO INTERIOR ZONA SECA]]=AW$2,100%,AVANCE[[#This Row],[REVESTIMIENTO INTERIOR ZONA SECA]])</f>
        <v>0</v>
      </c>
      <c r="CK274" s="3">
        <f>+IF(AVANCE[[#This Row],[REVESTIMIENTO INTERIOR ZONAS HUMEDAS]]=AX$2,100%,AVANCE[[#This Row],[REVESTIMIENTO INTERIOR ZONAS HUMEDAS]])</f>
        <v>0</v>
      </c>
      <c r="CL274" s="3">
        <f>+IF(AVANCE[[#This Row],[MEMBRANA CIELO]]=AY$2,100%,AVANCE[[#This Row],[MEMBRANA CIELO]])</f>
        <v>0</v>
      </c>
      <c r="CM274" s="3">
        <f>+IF(AVANCE[[#This Row],[LIMPIEZA FINAL]]=AZ$2,100%,AVANCE[[#This Row],[LIMPIEZA FINAL]])</f>
        <v>0</v>
      </c>
      <c r="CN274" s="3">
        <f>+IF(AVANCE[[#This Row],[PUERTAS DORMITORIO]]=BA$2,100%,AVANCE[[#This Row],[PUERTAS DORMITORIO]])</f>
        <v>0</v>
      </c>
      <c r="CO274" s="3">
        <f>+IF(AVANCE[[#This Row],[REVESTIMIENTO INTERIOR BANO]]=BB$2,100%,AVANCE[[#This Row],[REVESTIMIENTO INTERIOR BANO]])</f>
        <v>0</v>
      </c>
      <c r="CP274" s="3">
        <f>+IF(AVANCE[[#This Row],[MUEBLE LAVAPLATOS]]=BC$2,100%,AVANCE[[#This Row],[MUEBLE LAVAPLATOS]])</f>
        <v>0</v>
      </c>
      <c r="CQ274" s="3">
        <f>+IF(AVANCE[[#This Row],[IMPERMEABILIZACION BANO - COCINA LOGIA]]=BD$2,100%,AVANCE[[#This Row],[IMPERMEABILIZACION BANO - COCINA LOGIA]])</f>
        <v>0</v>
      </c>
      <c r="CR274" s="40">
        <f ca="1">+IF(AVANCE[[#This Row],[ESTADO MODULO]]="PENDIENTE",(TODAY()-AVANCE[[#This Row],[FECHA TERMINO  PLANIFICADO]]),0)</f>
        <v>0</v>
      </c>
      <c r="CS274" s="42" t="str" cm="1">
        <f t="array" ref="CS274">_xlfn.TEXTJOIN(" | ",TRUE,IF(SUMPRODUCT((BF274:CQ274&lt;1)*(PARTIDAS!$I$2:$AT$2="OBRA GRUESA"))&gt;0,"OBRA GRUESA: "&amp;_xlfn.TEXTJOIN(", ",TRUE,IF((BF274:CQ274&lt;1)*(PARTIDAS!$I$2:$AT$2="OBRA GRUESA"),PARTIDAS!$I$1:$AT$1,"")),""),IF(SUMPRODUCT((BF274:CQ274&lt;1)*(PARTIDAS!$I$2:$AT$2="SANITARIOS"))&gt;0,"SANITARIOS: "&amp;_xlfn.TEXTJOIN(", ",TRUE,IF((BF274:CQ274&lt;1)*(PARTIDAS!$I$2:$AT$2="SANITARIOS"),PARTIDAS!$I$1:$AT$1,"")),""),IF(SUMPRODUCT((BF274:CQ274&lt;1)*(PARTIDAS!$I$2:$AT$2="ELÉCTRICO"))&gt;0,"ELÉCTRICO: "&amp;_xlfn.TEXTJOIN(", ",TRUE,IF((BF274:CQ274&lt;1)*(PARTIDAS!$I$2:$AT$2="ELÉCTRICO"),PARTIDAS!$I$1:$AT$1,"")),""),IF(SUMPRODUCT((BF274:CQ274&lt;1)*(PARTIDAS!$I$2:$AT$2="TERMINACIONES"))&gt;0,"TERMINACIONES: "&amp;_xlfn.TEXTJOIN(", ",TRUE,IF((BF274:CQ274&lt;1)*(PARTIDAS!$I$2:$AT$2="TERMINACIONES"),PARTIDAS!$I$1:$AT$1,"")),""))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4" s="45" t="str" cm="1">
        <f t="array" ref="CT274">_xlfn.TEXTJOIN(", ",TRUE,IF(SUMPRODUCT((BF274:CQ274&lt;1)*(PARTIDAS!$I$2:$AT$2="OBRA GRUESA"))&gt;0,"OBRA GRUESA",""),IF(SUMPRODUCT((BF274:CQ274&lt;1)*(PARTIDAS!$I$2:$AT$2="SANITARIOS"))&gt;0,"SANITARIOS",""),IF(SUMPRODUCT((BF274:CQ274&lt;1)*(PARTIDAS!$I$2:$AT$2="ELÉCTRICO"))&gt;0,"ELÉCTRICO",""),IF(SUMPRODUCT((BF274:CQ274&lt;1)*(PARTIDAS!$I$2:$AT$2="TERMINACIONES"))&gt;0,"TERMINACIONES",""))</f>
        <v>OBRA GRUESA, SANITARIOS, ELÉCTRICO, TERMINACIONES</v>
      </c>
      <c r="CU274" s="46" cm="1">
        <f t="array" ref="CU274">SUMPRODUCT(--(BF274:CQ274&lt;1))</f>
        <v>38</v>
      </c>
    </row>
    <row r="275" spans="1:99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46181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 s="3" t="str">
        <f>+IF(AVANCE[[#This Row],[% AVANCE]]=100%,"MODULO TERMINADO",IF(AVANCE[[#This Row],[FECHA INICIO REAL]]="","MODULO NO INICIADO","PENDIENTE"))</f>
        <v>MODULO NO INICIADO</v>
      </c>
      <c r="BF275" s="3">
        <f>+IF(AVANCE[[#This Row],[VENTANAS]]=8.10810810810811%,100%,AVANCE[[#This Row],[VENTANAS]])</f>
        <v>0</v>
      </c>
      <c r="BG275" s="3">
        <f>+IF(AVANCE[[#This Row],[PISO]]=N$2,100%,AVANCE[[#This Row],[PISO]])</f>
        <v>0</v>
      </c>
      <c r="BH275" s="3">
        <f>+IF(AVANCE[[#This Row],[TABIQUES]]=O$2,100%,AVANCE[[#This Row],[TABIQUES]])</f>
        <v>0</v>
      </c>
      <c r="BI275" s="3">
        <f>+IF(AVANCE[[#This Row],[MUROS]]=P$2,100%,AVANCE[[#This Row],[MUROS]])</f>
        <v>0</v>
      </c>
      <c r="BJ275" s="3">
        <f>+IF(AVANCE[[#This Row],[CIELO]]=Q$2,100%,AVANCE[[#This Row],[CIELO]])</f>
        <v>0</v>
      </c>
      <c r="BK275" s="3">
        <f>+IF(AVANCE[[#This Row],[BALCÓN]]=R$2,100%,AVANCE[[#This Row],[BALCÓN]])</f>
        <v>0</v>
      </c>
      <c r="BL275" s="3">
        <f>+IF(AVANCE[[#This Row],[RED ALCANTARILLADO]]=U$2,100%,AVANCE[[#This Row],[RED ALCANTARILLADO]])</f>
        <v>0</v>
      </c>
      <c r="BM275" s="3">
        <f>+IF(AVANCE[[#This Row],[RED DE AGUA]]=V$2,100%,AVANCE[[#This Row],[RED DE AGUA]])</f>
        <v>0</v>
      </c>
      <c r="BN275" s="3">
        <f>+IF(AVANCE[[#This Row],[VENTILACIONES]]=W$2,100%,AVANCE[[#This Row],[VENTILACIONES]])</f>
        <v>0</v>
      </c>
      <c r="BO275" s="3">
        <f>+IF(AVANCE[[#This Row],[TINA]]=X$2,100%,AVANCE[[#This Row],[TINA]])</f>
        <v>0</v>
      </c>
      <c r="BP275" s="3">
        <f>+IF(AVANCE[[#This Row],[WC]]=Y$2,100%,AVANCE[[#This Row],[WC]])</f>
        <v>0</v>
      </c>
      <c r="BQ275" s="3">
        <f>+IF(AVANCE[[#This Row],[LAVAMANOS / LAVAPLATOS / LAVADERO]]=Z$2,100%,AVANCE[[#This Row],[LAVAMANOS / LAVAPLATOS / LAVADERO]])</f>
        <v>0</v>
      </c>
      <c r="BR275" s="3">
        <f>+IF(AVANCE[[#This Row],[CANALIZACIÓN]]=AC$2,100%,AVANCE[[#This Row],[CANALIZACIÓN]])</f>
        <v>0</v>
      </c>
      <c r="BS275" s="3">
        <f>+IF(AVANCE[[#This Row],[CABLEADO]]=AD$2,100%,AVANCE[[#This Row],[CABLEADO]])</f>
        <v>0</v>
      </c>
      <c r="BT275" s="3">
        <f>+IF(AVANCE[[#This Row],[ARTEFACTOS]]=AE$2,100%,AVANCE[[#This Row],[ARTEFACTOS]])</f>
        <v>0</v>
      </c>
      <c r="BU275" s="3">
        <f>+IF(AVANCE[[#This Row],[TABLERO]]=AF$2,100%,AVANCE[[#This Row],[TABLERO]])</f>
        <v>0</v>
      </c>
      <c r="BV275" s="3">
        <f>+IF(AVANCE[[#This Row],[CAJA PAU]]=AG$2,100%,AVANCE[[#This Row],[CAJA PAU]])</f>
        <v>0</v>
      </c>
      <c r="BW275" s="3">
        <f>+IF(AVANCE[[#This Row],[INSTALACION VINILICO]]=AJ$2,100%,AVANCE[[#This Row],[INSTALACION VINILICO]])</f>
        <v>0</v>
      </c>
      <c r="BX275" s="3">
        <f>+IF(AVANCE[[#This Row],[OSB CUBIERTA]]=AK$2,100%,AVANCE[[#This Row],[OSB CUBIERTA]])</f>
        <v>0</v>
      </c>
      <c r="BY275" s="3">
        <f>+IF(AVANCE[[#This Row],[BARANDA BALCON]]=AL$2,100%,AVANCE[[#This Row],[BARANDA BALCON]])</f>
        <v>0</v>
      </c>
      <c r="BZ275" s="3">
        <f>+IF(AVANCE[[#This Row],[OSB EXTERIOR]]=AM$2,100%,AVANCE[[#This Row],[OSB EXTERIOR]])</f>
        <v>0</v>
      </c>
      <c r="CA275" s="3">
        <f>+IF(AVANCE[[#This Row],[SMART PANEL]]=AN$2,100%,AVANCE[[#This Row],[SMART PANEL]])</f>
        <v>0</v>
      </c>
      <c r="CB275" s="3">
        <f>+IF(AVANCE[[#This Row],[PINTURA EXTERIOR]]=AO$2,100%,AVANCE[[#This Row],[PINTURA EXTERIOR]])</f>
        <v>0</v>
      </c>
      <c r="CC275" s="3">
        <f>+IF(AVANCE[[#This Row],[ZOCALOS LOGIA]]=AP$2,100%,AVANCE[[#This Row],[ZOCALOS LOGIA]])</f>
        <v>0</v>
      </c>
      <c r="CD275" s="3">
        <f>+IF(AVANCE[[#This Row],[MOLDURAS]]=AQ$2,100%,AVANCE[[#This Row],[MOLDURAS]])</f>
        <v>0</v>
      </c>
      <c r="CE275" s="3">
        <f>+IF(AVANCE[[#This Row],[PILASTREO]]=AR$2,100%,AVANCE[[#This Row],[PILASTREO]])</f>
        <v>0</v>
      </c>
      <c r="CF275" s="3">
        <f>+IF(AVANCE[[#This Row],[CELOSIAS]]=AS$2,100%,AVANCE[[#This Row],[CELOSIAS]])</f>
        <v>0</v>
      </c>
      <c r="CG275" s="3">
        <f>+IF(AVANCE[[#This Row],[VENTANAS]]=AT$2,100%,AVANCE[[#This Row],[VENTANAS]])</f>
        <v>0</v>
      </c>
      <c r="CH275" s="3">
        <f>+IF(AVANCE[[#This Row],[PUERTAS ACCESO - LOGIA - BANO]]=AU$2,100%,AVANCE[[#This Row],[PUERTAS ACCESO - LOGIA - BANO]])</f>
        <v>0</v>
      </c>
      <c r="CI275" s="3">
        <f>+IF(AVANCE[[#This Row],[CERRADURAS]]=AV$2,100%,AVANCE[[#This Row],[CERRADURAS]])</f>
        <v>0</v>
      </c>
      <c r="CJ275" s="3">
        <f>+IF(AVANCE[[#This Row],[REVESTIMIENTO INTERIOR ZONA SECA]]=AW$2,100%,AVANCE[[#This Row],[REVESTIMIENTO INTERIOR ZONA SECA]])</f>
        <v>0</v>
      </c>
      <c r="CK275" s="3">
        <f>+IF(AVANCE[[#This Row],[REVESTIMIENTO INTERIOR ZONAS HUMEDAS]]=AX$2,100%,AVANCE[[#This Row],[REVESTIMIENTO INTERIOR ZONAS HUMEDAS]])</f>
        <v>0</v>
      </c>
      <c r="CL275" s="3">
        <f>+IF(AVANCE[[#This Row],[MEMBRANA CIELO]]=AY$2,100%,AVANCE[[#This Row],[MEMBRANA CIELO]])</f>
        <v>0</v>
      </c>
      <c r="CM275" s="3">
        <f>+IF(AVANCE[[#This Row],[LIMPIEZA FINAL]]=AZ$2,100%,AVANCE[[#This Row],[LIMPIEZA FINAL]])</f>
        <v>0</v>
      </c>
      <c r="CN275" s="3">
        <f>+IF(AVANCE[[#This Row],[PUERTAS DORMITORIO]]=BA$2,100%,AVANCE[[#This Row],[PUERTAS DORMITORIO]])</f>
        <v>0</v>
      </c>
      <c r="CO275" s="3">
        <f>+IF(AVANCE[[#This Row],[REVESTIMIENTO INTERIOR BANO]]=BB$2,100%,AVANCE[[#This Row],[REVESTIMIENTO INTERIOR BANO]])</f>
        <v>0</v>
      </c>
      <c r="CP275" s="3">
        <f>+IF(AVANCE[[#This Row],[MUEBLE LAVAPLATOS]]=BC$2,100%,AVANCE[[#This Row],[MUEBLE LAVAPLATOS]])</f>
        <v>0</v>
      </c>
      <c r="CQ275" s="3">
        <f>+IF(AVANCE[[#This Row],[IMPERMEABILIZACION BANO - COCINA LOGIA]]=BD$2,100%,AVANCE[[#This Row],[IMPERMEABILIZACION BANO - COCINA LOGIA]])</f>
        <v>0</v>
      </c>
      <c r="CR275" s="40">
        <f ca="1">+IF(AVANCE[[#This Row],[ESTADO MODULO]]="PENDIENTE",(TODAY()-AVANCE[[#This Row],[FECHA TERMINO  PLANIFICADO]]),0)</f>
        <v>0</v>
      </c>
      <c r="CS275" s="42" t="str" cm="1">
        <f t="array" ref="CS275">_xlfn.TEXTJOIN(" | ",TRUE,IF(SUMPRODUCT((BF275:CQ275&lt;1)*(PARTIDAS!$I$2:$AT$2="OBRA GRUESA"))&gt;0,"OBRA GRUESA: "&amp;_xlfn.TEXTJOIN(", ",TRUE,IF((BF275:CQ275&lt;1)*(PARTIDAS!$I$2:$AT$2="OBRA GRUESA"),PARTIDAS!$I$1:$AT$1,"")),""),IF(SUMPRODUCT((BF275:CQ275&lt;1)*(PARTIDAS!$I$2:$AT$2="SANITARIOS"))&gt;0,"SANITARIOS: "&amp;_xlfn.TEXTJOIN(", ",TRUE,IF((BF275:CQ275&lt;1)*(PARTIDAS!$I$2:$AT$2="SANITARIOS"),PARTIDAS!$I$1:$AT$1,"")),""),IF(SUMPRODUCT((BF275:CQ275&lt;1)*(PARTIDAS!$I$2:$AT$2="ELÉCTRICO"))&gt;0,"ELÉCTRICO: "&amp;_xlfn.TEXTJOIN(", ",TRUE,IF((BF275:CQ275&lt;1)*(PARTIDAS!$I$2:$AT$2="ELÉCTRICO"),PARTIDAS!$I$1:$AT$1,"")),""),IF(SUMPRODUCT((BF275:CQ275&lt;1)*(PARTIDAS!$I$2:$AT$2="TERMINACIONES"))&gt;0,"TERMINACIONES: "&amp;_xlfn.TEXTJOIN(", ",TRUE,IF((BF275:CQ275&lt;1)*(PARTIDAS!$I$2:$AT$2="TERMINACIONES"),PARTIDAS!$I$1:$AT$1,"")),""))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5" s="45" t="str" cm="1">
        <f t="array" ref="CT275">_xlfn.TEXTJOIN(", ",TRUE,IF(SUMPRODUCT((BF275:CQ275&lt;1)*(PARTIDAS!$I$2:$AT$2="OBRA GRUESA"))&gt;0,"OBRA GRUESA",""),IF(SUMPRODUCT((BF275:CQ275&lt;1)*(PARTIDAS!$I$2:$AT$2="SANITARIOS"))&gt;0,"SANITARIOS",""),IF(SUMPRODUCT((BF275:CQ275&lt;1)*(PARTIDAS!$I$2:$AT$2="ELÉCTRICO"))&gt;0,"ELÉCTRICO",""),IF(SUMPRODUCT((BF275:CQ275&lt;1)*(PARTIDAS!$I$2:$AT$2="TERMINACIONES"))&gt;0,"TERMINACIONES",""))</f>
        <v>OBRA GRUESA, SANITARIOS, ELÉCTRICO, TERMINACIONES</v>
      </c>
      <c r="CU275" s="46" cm="1">
        <f t="array" ref="CU275">SUMPRODUCT(--(BF275:CQ275&lt;1))</f>
        <v>38</v>
      </c>
    </row>
    <row r="276" spans="1:99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46181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 s="3" t="str">
        <f>+IF(AVANCE[[#This Row],[% AVANCE]]=100%,"MODULO TERMINADO",IF(AVANCE[[#This Row],[FECHA INICIO REAL]]="","MODULO NO INICIADO","PENDIENTE"))</f>
        <v>MODULO NO INICIADO</v>
      </c>
      <c r="BF276" s="3">
        <f>+IF(AVANCE[[#This Row],[VENTANAS]]=8.10810810810811%,100%,AVANCE[[#This Row],[VENTANAS]])</f>
        <v>0</v>
      </c>
      <c r="BG276" s="3">
        <f>+IF(AVANCE[[#This Row],[PISO]]=N$2,100%,AVANCE[[#This Row],[PISO]])</f>
        <v>0</v>
      </c>
      <c r="BH276" s="3">
        <f>+IF(AVANCE[[#This Row],[TABIQUES]]=O$2,100%,AVANCE[[#This Row],[TABIQUES]])</f>
        <v>0</v>
      </c>
      <c r="BI276" s="3">
        <f>+IF(AVANCE[[#This Row],[MUROS]]=P$2,100%,AVANCE[[#This Row],[MUROS]])</f>
        <v>0</v>
      </c>
      <c r="BJ276" s="3">
        <f>+IF(AVANCE[[#This Row],[CIELO]]=Q$2,100%,AVANCE[[#This Row],[CIELO]])</f>
        <v>0</v>
      </c>
      <c r="BK276" s="3">
        <f>+IF(AVANCE[[#This Row],[BALCÓN]]=R$2,100%,AVANCE[[#This Row],[BALCÓN]])</f>
        <v>0</v>
      </c>
      <c r="BL276" s="3">
        <f>+IF(AVANCE[[#This Row],[RED ALCANTARILLADO]]=U$2,100%,AVANCE[[#This Row],[RED ALCANTARILLADO]])</f>
        <v>0</v>
      </c>
      <c r="BM276" s="3">
        <f>+IF(AVANCE[[#This Row],[RED DE AGUA]]=V$2,100%,AVANCE[[#This Row],[RED DE AGUA]])</f>
        <v>0</v>
      </c>
      <c r="BN276" s="3">
        <f>+IF(AVANCE[[#This Row],[VENTILACIONES]]=W$2,100%,AVANCE[[#This Row],[VENTILACIONES]])</f>
        <v>0</v>
      </c>
      <c r="BO276" s="3">
        <f>+IF(AVANCE[[#This Row],[TINA]]=X$2,100%,AVANCE[[#This Row],[TINA]])</f>
        <v>0</v>
      </c>
      <c r="BP276" s="3">
        <f>+IF(AVANCE[[#This Row],[WC]]=Y$2,100%,AVANCE[[#This Row],[WC]])</f>
        <v>0</v>
      </c>
      <c r="BQ276" s="3">
        <f>+IF(AVANCE[[#This Row],[LAVAMANOS / LAVAPLATOS / LAVADERO]]=Z$2,100%,AVANCE[[#This Row],[LAVAMANOS / LAVAPLATOS / LAVADERO]])</f>
        <v>0</v>
      </c>
      <c r="BR276" s="3">
        <f>+IF(AVANCE[[#This Row],[CANALIZACIÓN]]=AC$2,100%,AVANCE[[#This Row],[CANALIZACIÓN]])</f>
        <v>0</v>
      </c>
      <c r="BS276" s="3">
        <f>+IF(AVANCE[[#This Row],[CABLEADO]]=AD$2,100%,AVANCE[[#This Row],[CABLEADO]])</f>
        <v>0</v>
      </c>
      <c r="BT276" s="3">
        <f>+IF(AVANCE[[#This Row],[ARTEFACTOS]]=AE$2,100%,AVANCE[[#This Row],[ARTEFACTOS]])</f>
        <v>0</v>
      </c>
      <c r="BU276" s="3">
        <f>+IF(AVANCE[[#This Row],[TABLERO]]=AF$2,100%,AVANCE[[#This Row],[TABLERO]])</f>
        <v>0</v>
      </c>
      <c r="BV276" s="3">
        <f>+IF(AVANCE[[#This Row],[CAJA PAU]]=AG$2,100%,AVANCE[[#This Row],[CAJA PAU]])</f>
        <v>0</v>
      </c>
      <c r="BW276" s="3">
        <f>+IF(AVANCE[[#This Row],[INSTALACION VINILICO]]=AJ$2,100%,AVANCE[[#This Row],[INSTALACION VINILICO]])</f>
        <v>0</v>
      </c>
      <c r="BX276" s="3">
        <f>+IF(AVANCE[[#This Row],[OSB CUBIERTA]]=AK$2,100%,AVANCE[[#This Row],[OSB CUBIERTA]])</f>
        <v>0</v>
      </c>
      <c r="BY276" s="3">
        <f>+IF(AVANCE[[#This Row],[BARANDA BALCON]]=AL$2,100%,AVANCE[[#This Row],[BARANDA BALCON]])</f>
        <v>0</v>
      </c>
      <c r="BZ276" s="3">
        <f>+IF(AVANCE[[#This Row],[OSB EXTERIOR]]=AM$2,100%,AVANCE[[#This Row],[OSB EXTERIOR]])</f>
        <v>0</v>
      </c>
      <c r="CA276" s="3">
        <f>+IF(AVANCE[[#This Row],[SMART PANEL]]=AN$2,100%,AVANCE[[#This Row],[SMART PANEL]])</f>
        <v>0</v>
      </c>
      <c r="CB276" s="3">
        <f>+IF(AVANCE[[#This Row],[PINTURA EXTERIOR]]=AO$2,100%,AVANCE[[#This Row],[PINTURA EXTERIOR]])</f>
        <v>0</v>
      </c>
      <c r="CC276" s="3">
        <f>+IF(AVANCE[[#This Row],[ZOCALOS LOGIA]]=AP$2,100%,AVANCE[[#This Row],[ZOCALOS LOGIA]])</f>
        <v>0</v>
      </c>
      <c r="CD276" s="3">
        <f>+IF(AVANCE[[#This Row],[MOLDURAS]]=AQ$2,100%,AVANCE[[#This Row],[MOLDURAS]])</f>
        <v>0</v>
      </c>
      <c r="CE276" s="3">
        <f>+IF(AVANCE[[#This Row],[PILASTREO]]=AR$2,100%,AVANCE[[#This Row],[PILASTREO]])</f>
        <v>0</v>
      </c>
      <c r="CF276" s="3">
        <f>+IF(AVANCE[[#This Row],[CELOSIAS]]=AS$2,100%,AVANCE[[#This Row],[CELOSIAS]])</f>
        <v>0</v>
      </c>
      <c r="CG276" s="3">
        <f>+IF(AVANCE[[#This Row],[VENTANAS]]=AT$2,100%,AVANCE[[#This Row],[VENTANAS]])</f>
        <v>0</v>
      </c>
      <c r="CH276" s="3">
        <f>+IF(AVANCE[[#This Row],[PUERTAS ACCESO - LOGIA - BANO]]=AU$2,100%,AVANCE[[#This Row],[PUERTAS ACCESO - LOGIA - BANO]])</f>
        <v>0</v>
      </c>
      <c r="CI276" s="3">
        <f>+IF(AVANCE[[#This Row],[CERRADURAS]]=AV$2,100%,AVANCE[[#This Row],[CERRADURAS]])</f>
        <v>0</v>
      </c>
      <c r="CJ276" s="3">
        <f>+IF(AVANCE[[#This Row],[REVESTIMIENTO INTERIOR ZONA SECA]]=AW$2,100%,AVANCE[[#This Row],[REVESTIMIENTO INTERIOR ZONA SECA]])</f>
        <v>0</v>
      </c>
      <c r="CK276" s="3">
        <f>+IF(AVANCE[[#This Row],[REVESTIMIENTO INTERIOR ZONAS HUMEDAS]]=AX$2,100%,AVANCE[[#This Row],[REVESTIMIENTO INTERIOR ZONAS HUMEDAS]])</f>
        <v>0</v>
      </c>
      <c r="CL276" s="3">
        <f>+IF(AVANCE[[#This Row],[MEMBRANA CIELO]]=AY$2,100%,AVANCE[[#This Row],[MEMBRANA CIELO]])</f>
        <v>0</v>
      </c>
      <c r="CM276" s="3">
        <f>+IF(AVANCE[[#This Row],[LIMPIEZA FINAL]]=AZ$2,100%,AVANCE[[#This Row],[LIMPIEZA FINAL]])</f>
        <v>0</v>
      </c>
      <c r="CN276" s="3">
        <f>+IF(AVANCE[[#This Row],[PUERTAS DORMITORIO]]=BA$2,100%,AVANCE[[#This Row],[PUERTAS DORMITORIO]])</f>
        <v>0</v>
      </c>
      <c r="CO276" s="3">
        <f>+IF(AVANCE[[#This Row],[REVESTIMIENTO INTERIOR BANO]]=BB$2,100%,AVANCE[[#This Row],[REVESTIMIENTO INTERIOR BANO]])</f>
        <v>0</v>
      </c>
      <c r="CP276" s="3">
        <f>+IF(AVANCE[[#This Row],[MUEBLE LAVAPLATOS]]=BC$2,100%,AVANCE[[#This Row],[MUEBLE LAVAPLATOS]])</f>
        <v>0</v>
      </c>
      <c r="CQ276" s="3">
        <f>+IF(AVANCE[[#This Row],[IMPERMEABILIZACION BANO - COCINA LOGIA]]=BD$2,100%,AVANCE[[#This Row],[IMPERMEABILIZACION BANO - COCINA LOGIA]])</f>
        <v>0</v>
      </c>
      <c r="CR276" s="40">
        <f ca="1">+IF(AVANCE[[#This Row],[ESTADO MODULO]]="PENDIENTE",(TODAY()-AVANCE[[#This Row],[FECHA TERMINO  PLANIFICADO]]),0)</f>
        <v>0</v>
      </c>
      <c r="CS276" s="42" t="str" cm="1">
        <f t="array" ref="CS276">_xlfn.TEXTJOIN(" | ",TRUE,IF(SUMPRODUCT((BF276:CQ276&lt;1)*(PARTIDAS!$I$2:$AT$2="OBRA GRUESA"))&gt;0,"OBRA GRUESA: "&amp;_xlfn.TEXTJOIN(", ",TRUE,IF((BF276:CQ276&lt;1)*(PARTIDAS!$I$2:$AT$2="OBRA GRUESA"),PARTIDAS!$I$1:$AT$1,"")),""),IF(SUMPRODUCT((BF276:CQ276&lt;1)*(PARTIDAS!$I$2:$AT$2="SANITARIOS"))&gt;0,"SANITARIOS: "&amp;_xlfn.TEXTJOIN(", ",TRUE,IF((BF276:CQ276&lt;1)*(PARTIDAS!$I$2:$AT$2="SANITARIOS"),PARTIDAS!$I$1:$AT$1,"")),""),IF(SUMPRODUCT((BF276:CQ276&lt;1)*(PARTIDAS!$I$2:$AT$2="ELÉCTRICO"))&gt;0,"ELÉCTRICO: "&amp;_xlfn.TEXTJOIN(", ",TRUE,IF((BF276:CQ276&lt;1)*(PARTIDAS!$I$2:$AT$2="ELÉCTRICO"),PARTIDAS!$I$1:$AT$1,"")),""),IF(SUMPRODUCT((BF276:CQ276&lt;1)*(PARTIDAS!$I$2:$AT$2="TERMINACIONES"))&gt;0,"TERMINACIONES: "&amp;_xlfn.TEXTJOIN(", ",TRUE,IF((BF276:CQ276&lt;1)*(PARTIDAS!$I$2:$AT$2="TERMINACIONES"),PARTIDAS!$I$1:$AT$1,"")),""))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6" s="45" t="str" cm="1">
        <f t="array" ref="CT276">_xlfn.TEXTJOIN(", ",TRUE,IF(SUMPRODUCT((BF276:CQ276&lt;1)*(PARTIDAS!$I$2:$AT$2="OBRA GRUESA"))&gt;0,"OBRA GRUESA",""),IF(SUMPRODUCT((BF276:CQ276&lt;1)*(PARTIDAS!$I$2:$AT$2="SANITARIOS"))&gt;0,"SANITARIOS",""),IF(SUMPRODUCT((BF276:CQ276&lt;1)*(PARTIDAS!$I$2:$AT$2="ELÉCTRICO"))&gt;0,"ELÉCTRICO",""),IF(SUMPRODUCT((BF276:CQ276&lt;1)*(PARTIDAS!$I$2:$AT$2="TERMINACIONES"))&gt;0,"TERMINACIONES",""))</f>
        <v>OBRA GRUESA, SANITARIOS, ELÉCTRICO, TERMINACIONES</v>
      </c>
      <c r="CU276" s="46" cm="1">
        <f t="array" ref="CU276">SUMPRODUCT(--(BF276:CQ276&lt;1))</f>
        <v>38</v>
      </c>
    </row>
    <row r="277" spans="1:99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46181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 s="3" t="str">
        <f>+IF(AVANCE[[#This Row],[% AVANCE]]=100%,"MODULO TERMINADO",IF(AVANCE[[#This Row],[FECHA INICIO REAL]]="","MODULO NO INICIADO","PENDIENTE"))</f>
        <v>MODULO NO INICIADO</v>
      </c>
      <c r="BF277" s="3">
        <f>+IF(AVANCE[[#This Row],[VENTANAS]]=8.10810810810811%,100%,AVANCE[[#This Row],[VENTANAS]])</f>
        <v>0</v>
      </c>
      <c r="BG277" s="3">
        <f>+IF(AVANCE[[#This Row],[PISO]]=N$2,100%,AVANCE[[#This Row],[PISO]])</f>
        <v>0</v>
      </c>
      <c r="BH277" s="3">
        <f>+IF(AVANCE[[#This Row],[TABIQUES]]=O$2,100%,AVANCE[[#This Row],[TABIQUES]])</f>
        <v>0</v>
      </c>
      <c r="BI277" s="3">
        <f>+IF(AVANCE[[#This Row],[MUROS]]=P$2,100%,AVANCE[[#This Row],[MUROS]])</f>
        <v>0</v>
      </c>
      <c r="BJ277" s="3">
        <f>+IF(AVANCE[[#This Row],[CIELO]]=Q$2,100%,AVANCE[[#This Row],[CIELO]])</f>
        <v>0</v>
      </c>
      <c r="BK277" s="3">
        <f>+IF(AVANCE[[#This Row],[BALCÓN]]=R$2,100%,AVANCE[[#This Row],[BALCÓN]])</f>
        <v>0</v>
      </c>
      <c r="BL277" s="3">
        <f>+IF(AVANCE[[#This Row],[RED ALCANTARILLADO]]=U$2,100%,AVANCE[[#This Row],[RED ALCANTARILLADO]])</f>
        <v>0</v>
      </c>
      <c r="BM277" s="3">
        <f>+IF(AVANCE[[#This Row],[RED DE AGUA]]=V$2,100%,AVANCE[[#This Row],[RED DE AGUA]])</f>
        <v>0</v>
      </c>
      <c r="BN277" s="3">
        <f>+IF(AVANCE[[#This Row],[VENTILACIONES]]=W$2,100%,AVANCE[[#This Row],[VENTILACIONES]])</f>
        <v>0</v>
      </c>
      <c r="BO277" s="3">
        <f>+IF(AVANCE[[#This Row],[TINA]]=X$2,100%,AVANCE[[#This Row],[TINA]])</f>
        <v>0</v>
      </c>
      <c r="BP277" s="3">
        <f>+IF(AVANCE[[#This Row],[WC]]=Y$2,100%,AVANCE[[#This Row],[WC]])</f>
        <v>0</v>
      </c>
      <c r="BQ277" s="3">
        <f>+IF(AVANCE[[#This Row],[LAVAMANOS / LAVAPLATOS / LAVADERO]]=Z$2,100%,AVANCE[[#This Row],[LAVAMANOS / LAVAPLATOS / LAVADERO]])</f>
        <v>0</v>
      </c>
      <c r="BR277" s="3">
        <f>+IF(AVANCE[[#This Row],[CANALIZACIÓN]]=AC$2,100%,AVANCE[[#This Row],[CANALIZACIÓN]])</f>
        <v>0</v>
      </c>
      <c r="BS277" s="3">
        <f>+IF(AVANCE[[#This Row],[CABLEADO]]=AD$2,100%,AVANCE[[#This Row],[CABLEADO]])</f>
        <v>0</v>
      </c>
      <c r="BT277" s="3">
        <f>+IF(AVANCE[[#This Row],[ARTEFACTOS]]=AE$2,100%,AVANCE[[#This Row],[ARTEFACTOS]])</f>
        <v>0</v>
      </c>
      <c r="BU277" s="3">
        <f>+IF(AVANCE[[#This Row],[TABLERO]]=AF$2,100%,AVANCE[[#This Row],[TABLERO]])</f>
        <v>0</v>
      </c>
      <c r="BV277" s="3">
        <f>+IF(AVANCE[[#This Row],[CAJA PAU]]=AG$2,100%,AVANCE[[#This Row],[CAJA PAU]])</f>
        <v>0</v>
      </c>
      <c r="BW277" s="3">
        <f>+IF(AVANCE[[#This Row],[INSTALACION VINILICO]]=AJ$2,100%,AVANCE[[#This Row],[INSTALACION VINILICO]])</f>
        <v>0</v>
      </c>
      <c r="BX277" s="3">
        <f>+IF(AVANCE[[#This Row],[OSB CUBIERTA]]=AK$2,100%,AVANCE[[#This Row],[OSB CUBIERTA]])</f>
        <v>0</v>
      </c>
      <c r="BY277" s="3">
        <f>+IF(AVANCE[[#This Row],[BARANDA BALCON]]=AL$2,100%,AVANCE[[#This Row],[BARANDA BALCON]])</f>
        <v>0</v>
      </c>
      <c r="BZ277" s="3">
        <f>+IF(AVANCE[[#This Row],[OSB EXTERIOR]]=AM$2,100%,AVANCE[[#This Row],[OSB EXTERIOR]])</f>
        <v>0</v>
      </c>
      <c r="CA277" s="3">
        <f>+IF(AVANCE[[#This Row],[SMART PANEL]]=AN$2,100%,AVANCE[[#This Row],[SMART PANEL]])</f>
        <v>0</v>
      </c>
      <c r="CB277" s="3">
        <f>+IF(AVANCE[[#This Row],[PINTURA EXTERIOR]]=AO$2,100%,AVANCE[[#This Row],[PINTURA EXTERIOR]])</f>
        <v>0</v>
      </c>
      <c r="CC277" s="3">
        <f>+IF(AVANCE[[#This Row],[ZOCALOS LOGIA]]=AP$2,100%,AVANCE[[#This Row],[ZOCALOS LOGIA]])</f>
        <v>0</v>
      </c>
      <c r="CD277" s="3">
        <f>+IF(AVANCE[[#This Row],[MOLDURAS]]=AQ$2,100%,AVANCE[[#This Row],[MOLDURAS]])</f>
        <v>0</v>
      </c>
      <c r="CE277" s="3">
        <f>+IF(AVANCE[[#This Row],[PILASTREO]]=AR$2,100%,AVANCE[[#This Row],[PILASTREO]])</f>
        <v>0</v>
      </c>
      <c r="CF277" s="3">
        <f>+IF(AVANCE[[#This Row],[CELOSIAS]]=AS$2,100%,AVANCE[[#This Row],[CELOSIAS]])</f>
        <v>0</v>
      </c>
      <c r="CG277" s="3">
        <f>+IF(AVANCE[[#This Row],[VENTANAS]]=AT$2,100%,AVANCE[[#This Row],[VENTANAS]])</f>
        <v>0</v>
      </c>
      <c r="CH277" s="3">
        <f>+IF(AVANCE[[#This Row],[PUERTAS ACCESO - LOGIA - BANO]]=AU$2,100%,AVANCE[[#This Row],[PUERTAS ACCESO - LOGIA - BANO]])</f>
        <v>0</v>
      </c>
      <c r="CI277" s="3">
        <f>+IF(AVANCE[[#This Row],[CERRADURAS]]=AV$2,100%,AVANCE[[#This Row],[CERRADURAS]])</f>
        <v>0</v>
      </c>
      <c r="CJ277" s="3">
        <f>+IF(AVANCE[[#This Row],[REVESTIMIENTO INTERIOR ZONA SECA]]=AW$2,100%,AVANCE[[#This Row],[REVESTIMIENTO INTERIOR ZONA SECA]])</f>
        <v>0</v>
      </c>
      <c r="CK277" s="3">
        <f>+IF(AVANCE[[#This Row],[REVESTIMIENTO INTERIOR ZONAS HUMEDAS]]=AX$2,100%,AVANCE[[#This Row],[REVESTIMIENTO INTERIOR ZONAS HUMEDAS]])</f>
        <v>0</v>
      </c>
      <c r="CL277" s="3">
        <f>+IF(AVANCE[[#This Row],[MEMBRANA CIELO]]=AY$2,100%,AVANCE[[#This Row],[MEMBRANA CIELO]])</f>
        <v>0</v>
      </c>
      <c r="CM277" s="3">
        <f>+IF(AVANCE[[#This Row],[LIMPIEZA FINAL]]=AZ$2,100%,AVANCE[[#This Row],[LIMPIEZA FINAL]])</f>
        <v>0</v>
      </c>
      <c r="CN277" s="3">
        <f>+IF(AVANCE[[#This Row],[PUERTAS DORMITORIO]]=BA$2,100%,AVANCE[[#This Row],[PUERTAS DORMITORIO]])</f>
        <v>0</v>
      </c>
      <c r="CO277" s="3">
        <f>+IF(AVANCE[[#This Row],[REVESTIMIENTO INTERIOR BANO]]=BB$2,100%,AVANCE[[#This Row],[REVESTIMIENTO INTERIOR BANO]])</f>
        <v>0</v>
      </c>
      <c r="CP277" s="3">
        <f>+IF(AVANCE[[#This Row],[MUEBLE LAVAPLATOS]]=BC$2,100%,AVANCE[[#This Row],[MUEBLE LAVAPLATOS]])</f>
        <v>0</v>
      </c>
      <c r="CQ277" s="3">
        <f>+IF(AVANCE[[#This Row],[IMPERMEABILIZACION BANO - COCINA LOGIA]]=BD$2,100%,AVANCE[[#This Row],[IMPERMEABILIZACION BANO - COCINA LOGIA]])</f>
        <v>0</v>
      </c>
      <c r="CR277" s="40">
        <f ca="1">+IF(AVANCE[[#This Row],[ESTADO MODULO]]="PENDIENTE",(TODAY()-AVANCE[[#This Row],[FECHA TERMINO  PLANIFICADO]]),0)</f>
        <v>0</v>
      </c>
      <c r="CS277" s="42" t="str" cm="1">
        <f t="array" ref="CS277">_xlfn.TEXTJOIN(" | ",TRUE,IF(SUMPRODUCT((BF277:CQ277&lt;1)*(PARTIDAS!$I$2:$AT$2="OBRA GRUESA"))&gt;0,"OBRA GRUESA: "&amp;_xlfn.TEXTJOIN(", ",TRUE,IF((BF277:CQ277&lt;1)*(PARTIDAS!$I$2:$AT$2="OBRA GRUESA"),PARTIDAS!$I$1:$AT$1,"")),""),IF(SUMPRODUCT((BF277:CQ277&lt;1)*(PARTIDAS!$I$2:$AT$2="SANITARIOS"))&gt;0,"SANITARIOS: "&amp;_xlfn.TEXTJOIN(", ",TRUE,IF((BF277:CQ277&lt;1)*(PARTIDAS!$I$2:$AT$2="SANITARIOS"),PARTIDAS!$I$1:$AT$1,"")),""),IF(SUMPRODUCT((BF277:CQ277&lt;1)*(PARTIDAS!$I$2:$AT$2="ELÉCTRICO"))&gt;0,"ELÉCTRICO: "&amp;_xlfn.TEXTJOIN(", ",TRUE,IF((BF277:CQ277&lt;1)*(PARTIDAS!$I$2:$AT$2="ELÉCTRICO"),PARTIDAS!$I$1:$AT$1,"")),""),IF(SUMPRODUCT((BF277:CQ277&lt;1)*(PARTIDAS!$I$2:$AT$2="TERMINACIONES"))&gt;0,"TERMINACIONES: "&amp;_xlfn.TEXTJOIN(", ",TRUE,IF((BF277:CQ277&lt;1)*(PARTIDAS!$I$2:$AT$2="TERMINACIONES"),PARTIDAS!$I$1:$AT$1,"")),""))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7" s="45" t="str" cm="1">
        <f t="array" ref="CT277">_xlfn.TEXTJOIN(", ",TRUE,IF(SUMPRODUCT((BF277:CQ277&lt;1)*(PARTIDAS!$I$2:$AT$2="OBRA GRUESA"))&gt;0,"OBRA GRUESA",""),IF(SUMPRODUCT((BF277:CQ277&lt;1)*(PARTIDAS!$I$2:$AT$2="SANITARIOS"))&gt;0,"SANITARIOS",""),IF(SUMPRODUCT((BF277:CQ277&lt;1)*(PARTIDAS!$I$2:$AT$2="ELÉCTRICO"))&gt;0,"ELÉCTRICO",""),IF(SUMPRODUCT((BF277:CQ277&lt;1)*(PARTIDAS!$I$2:$AT$2="TERMINACIONES"))&gt;0,"TERMINACIONES",""))</f>
        <v>OBRA GRUESA, SANITARIOS, ELÉCTRICO, TERMINACIONES</v>
      </c>
      <c r="CU277" s="46" cm="1">
        <f t="array" ref="CU277">SUMPRODUCT(--(BF277:CQ277&lt;1))</f>
        <v>38</v>
      </c>
    </row>
    <row r="278" spans="1:99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46181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 s="3" t="str">
        <f>+IF(AVANCE[[#This Row],[% AVANCE]]=100%,"MODULO TERMINADO",IF(AVANCE[[#This Row],[FECHA INICIO REAL]]="","MODULO NO INICIADO","PENDIENTE"))</f>
        <v>MODULO NO INICIADO</v>
      </c>
      <c r="BF278" s="3">
        <f>+IF(AVANCE[[#This Row],[VENTANAS]]=8.10810810810811%,100%,AVANCE[[#This Row],[VENTANAS]])</f>
        <v>0</v>
      </c>
      <c r="BG278" s="3">
        <f>+IF(AVANCE[[#This Row],[PISO]]=N$2,100%,AVANCE[[#This Row],[PISO]])</f>
        <v>0</v>
      </c>
      <c r="BH278" s="3">
        <f>+IF(AVANCE[[#This Row],[TABIQUES]]=O$2,100%,AVANCE[[#This Row],[TABIQUES]])</f>
        <v>0</v>
      </c>
      <c r="BI278" s="3">
        <f>+IF(AVANCE[[#This Row],[MUROS]]=P$2,100%,AVANCE[[#This Row],[MUROS]])</f>
        <v>0</v>
      </c>
      <c r="BJ278" s="3">
        <f>+IF(AVANCE[[#This Row],[CIELO]]=Q$2,100%,AVANCE[[#This Row],[CIELO]])</f>
        <v>0</v>
      </c>
      <c r="BK278" s="3">
        <f>+IF(AVANCE[[#This Row],[BALCÓN]]=R$2,100%,AVANCE[[#This Row],[BALCÓN]])</f>
        <v>0</v>
      </c>
      <c r="BL278" s="3">
        <f>+IF(AVANCE[[#This Row],[RED ALCANTARILLADO]]=U$2,100%,AVANCE[[#This Row],[RED ALCANTARILLADO]])</f>
        <v>0</v>
      </c>
      <c r="BM278" s="3">
        <f>+IF(AVANCE[[#This Row],[RED DE AGUA]]=V$2,100%,AVANCE[[#This Row],[RED DE AGUA]])</f>
        <v>0</v>
      </c>
      <c r="BN278" s="3">
        <f>+IF(AVANCE[[#This Row],[VENTILACIONES]]=W$2,100%,AVANCE[[#This Row],[VENTILACIONES]])</f>
        <v>0</v>
      </c>
      <c r="BO278" s="3">
        <f>+IF(AVANCE[[#This Row],[TINA]]=X$2,100%,AVANCE[[#This Row],[TINA]])</f>
        <v>0</v>
      </c>
      <c r="BP278" s="3">
        <f>+IF(AVANCE[[#This Row],[WC]]=Y$2,100%,AVANCE[[#This Row],[WC]])</f>
        <v>0</v>
      </c>
      <c r="BQ278" s="3">
        <f>+IF(AVANCE[[#This Row],[LAVAMANOS / LAVAPLATOS / LAVADERO]]=Z$2,100%,AVANCE[[#This Row],[LAVAMANOS / LAVAPLATOS / LAVADERO]])</f>
        <v>0</v>
      </c>
      <c r="BR278" s="3">
        <f>+IF(AVANCE[[#This Row],[CANALIZACIÓN]]=AC$2,100%,AVANCE[[#This Row],[CANALIZACIÓN]])</f>
        <v>0</v>
      </c>
      <c r="BS278" s="3">
        <f>+IF(AVANCE[[#This Row],[CABLEADO]]=AD$2,100%,AVANCE[[#This Row],[CABLEADO]])</f>
        <v>0</v>
      </c>
      <c r="BT278" s="3">
        <f>+IF(AVANCE[[#This Row],[ARTEFACTOS]]=AE$2,100%,AVANCE[[#This Row],[ARTEFACTOS]])</f>
        <v>0</v>
      </c>
      <c r="BU278" s="3">
        <f>+IF(AVANCE[[#This Row],[TABLERO]]=AF$2,100%,AVANCE[[#This Row],[TABLERO]])</f>
        <v>0</v>
      </c>
      <c r="BV278" s="3">
        <f>+IF(AVANCE[[#This Row],[CAJA PAU]]=AG$2,100%,AVANCE[[#This Row],[CAJA PAU]])</f>
        <v>0</v>
      </c>
      <c r="BW278" s="3">
        <f>+IF(AVANCE[[#This Row],[INSTALACION VINILICO]]=AJ$2,100%,AVANCE[[#This Row],[INSTALACION VINILICO]])</f>
        <v>0</v>
      </c>
      <c r="BX278" s="3">
        <f>+IF(AVANCE[[#This Row],[OSB CUBIERTA]]=AK$2,100%,AVANCE[[#This Row],[OSB CUBIERTA]])</f>
        <v>0</v>
      </c>
      <c r="BY278" s="3">
        <f>+IF(AVANCE[[#This Row],[BARANDA BALCON]]=AL$2,100%,AVANCE[[#This Row],[BARANDA BALCON]])</f>
        <v>0</v>
      </c>
      <c r="BZ278" s="3">
        <f>+IF(AVANCE[[#This Row],[OSB EXTERIOR]]=AM$2,100%,AVANCE[[#This Row],[OSB EXTERIOR]])</f>
        <v>0</v>
      </c>
      <c r="CA278" s="3">
        <f>+IF(AVANCE[[#This Row],[SMART PANEL]]=AN$2,100%,AVANCE[[#This Row],[SMART PANEL]])</f>
        <v>0</v>
      </c>
      <c r="CB278" s="3">
        <f>+IF(AVANCE[[#This Row],[PINTURA EXTERIOR]]=AO$2,100%,AVANCE[[#This Row],[PINTURA EXTERIOR]])</f>
        <v>0</v>
      </c>
      <c r="CC278" s="3">
        <f>+IF(AVANCE[[#This Row],[ZOCALOS LOGIA]]=AP$2,100%,AVANCE[[#This Row],[ZOCALOS LOGIA]])</f>
        <v>0</v>
      </c>
      <c r="CD278" s="3">
        <f>+IF(AVANCE[[#This Row],[MOLDURAS]]=AQ$2,100%,AVANCE[[#This Row],[MOLDURAS]])</f>
        <v>0</v>
      </c>
      <c r="CE278" s="3">
        <f>+IF(AVANCE[[#This Row],[PILASTREO]]=AR$2,100%,AVANCE[[#This Row],[PILASTREO]])</f>
        <v>0</v>
      </c>
      <c r="CF278" s="3">
        <f>+IF(AVANCE[[#This Row],[CELOSIAS]]=AS$2,100%,AVANCE[[#This Row],[CELOSIAS]])</f>
        <v>0</v>
      </c>
      <c r="CG278" s="3">
        <f>+IF(AVANCE[[#This Row],[VENTANAS]]=AT$2,100%,AVANCE[[#This Row],[VENTANAS]])</f>
        <v>0</v>
      </c>
      <c r="CH278" s="3">
        <f>+IF(AVANCE[[#This Row],[PUERTAS ACCESO - LOGIA - BANO]]=AU$2,100%,AVANCE[[#This Row],[PUERTAS ACCESO - LOGIA - BANO]])</f>
        <v>0</v>
      </c>
      <c r="CI278" s="3">
        <f>+IF(AVANCE[[#This Row],[CERRADURAS]]=AV$2,100%,AVANCE[[#This Row],[CERRADURAS]])</f>
        <v>0</v>
      </c>
      <c r="CJ278" s="3">
        <f>+IF(AVANCE[[#This Row],[REVESTIMIENTO INTERIOR ZONA SECA]]=AW$2,100%,AVANCE[[#This Row],[REVESTIMIENTO INTERIOR ZONA SECA]])</f>
        <v>0</v>
      </c>
      <c r="CK278" s="3">
        <f>+IF(AVANCE[[#This Row],[REVESTIMIENTO INTERIOR ZONAS HUMEDAS]]=AX$2,100%,AVANCE[[#This Row],[REVESTIMIENTO INTERIOR ZONAS HUMEDAS]])</f>
        <v>0</v>
      </c>
      <c r="CL278" s="3">
        <f>+IF(AVANCE[[#This Row],[MEMBRANA CIELO]]=AY$2,100%,AVANCE[[#This Row],[MEMBRANA CIELO]])</f>
        <v>0</v>
      </c>
      <c r="CM278" s="3">
        <f>+IF(AVANCE[[#This Row],[LIMPIEZA FINAL]]=AZ$2,100%,AVANCE[[#This Row],[LIMPIEZA FINAL]])</f>
        <v>0</v>
      </c>
      <c r="CN278" s="3">
        <f>+IF(AVANCE[[#This Row],[PUERTAS DORMITORIO]]=BA$2,100%,AVANCE[[#This Row],[PUERTAS DORMITORIO]])</f>
        <v>0</v>
      </c>
      <c r="CO278" s="3">
        <f>+IF(AVANCE[[#This Row],[REVESTIMIENTO INTERIOR BANO]]=BB$2,100%,AVANCE[[#This Row],[REVESTIMIENTO INTERIOR BANO]])</f>
        <v>0</v>
      </c>
      <c r="CP278" s="3">
        <f>+IF(AVANCE[[#This Row],[MUEBLE LAVAPLATOS]]=BC$2,100%,AVANCE[[#This Row],[MUEBLE LAVAPLATOS]])</f>
        <v>0</v>
      </c>
      <c r="CQ278" s="3">
        <f>+IF(AVANCE[[#This Row],[IMPERMEABILIZACION BANO - COCINA LOGIA]]=BD$2,100%,AVANCE[[#This Row],[IMPERMEABILIZACION BANO - COCINA LOGIA]])</f>
        <v>0</v>
      </c>
      <c r="CR278" s="40">
        <f ca="1">+IF(AVANCE[[#This Row],[ESTADO MODULO]]="PENDIENTE",(TODAY()-AVANCE[[#This Row],[FECHA TERMINO  PLANIFICADO]]),0)</f>
        <v>0</v>
      </c>
      <c r="CS278" s="42" t="str" cm="1">
        <f t="array" ref="CS278">_xlfn.TEXTJOIN(" | ",TRUE,IF(SUMPRODUCT((BF278:CQ278&lt;1)*(PARTIDAS!$I$2:$AT$2="OBRA GRUESA"))&gt;0,"OBRA GRUESA: "&amp;_xlfn.TEXTJOIN(", ",TRUE,IF((BF278:CQ278&lt;1)*(PARTIDAS!$I$2:$AT$2="OBRA GRUESA"),PARTIDAS!$I$1:$AT$1,"")),""),IF(SUMPRODUCT((BF278:CQ278&lt;1)*(PARTIDAS!$I$2:$AT$2="SANITARIOS"))&gt;0,"SANITARIOS: "&amp;_xlfn.TEXTJOIN(", ",TRUE,IF((BF278:CQ278&lt;1)*(PARTIDAS!$I$2:$AT$2="SANITARIOS"),PARTIDAS!$I$1:$AT$1,"")),""),IF(SUMPRODUCT((BF278:CQ278&lt;1)*(PARTIDAS!$I$2:$AT$2="ELÉCTRICO"))&gt;0,"ELÉCTRICO: "&amp;_xlfn.TEXTJOIN(", ",TRUE,IF((BF278:CQ278&lt;1)*(PARTIDAS!$I$2:$AT$2="ELÉCTRICO"),PARTIDAS!$I$1:$AT$1,"")),""),IF(SUMPRODUCT((BF278:CQ278&lt;1)*(PARTIDAS!$I$2:$AT$2="TERMINACIONES"))&gt;0,"TERMINACIONES: "&amp;_xlfn.TEXTJOIN(", ",TRUE,IF((BF278:CQ278&lt;1)*(PARTIDAS!$I$2:$AT$2="TERMINACIONES"),PARTIDAS!$I$1:$AT$1,"")),""))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8" s="45" t="str" cm="1">
        <f t="array" ref="CT278">_xlfn.TEXTJOIN(", ",TRUE,IF(SUMPRODUCT((BF278:CQ278&lt;1)*(PARTIDAS!$I$2:$AT$2="OBRA GRUESA"))&gt;0,"OBRA GRUESA",""),IF(SUMPRODUCT((BF278:CQ278&lt;1)*(PARTIDAS!$I$2:$AT$2="SANITARIOS"))&gt;0,"SANITARIOS",""),IF(SUMPRODUCT((BF278:CQ278&lt;1)*(PARTIDAS!$I$2:$AT$2="ELÉCTRICO"))&gt;0,"ELÉCTRICO",""),IF(SUMPRODUCT((BF278:CQ278&lt;1)*(PARTIDAS!$I$2:$AT$2="TERMINACIONES"))&gt;0,"TERMINACIONES",""))</f>
        <v>OBRA GRUESA, SANITARIOS, ELÉCTRICO, TERMINACIONES</v>
      </c>
      <c r="CU278" s="46" cm="1">
        <f t="array" ref="CU278">SUMPRODUCT(--(BF278:CQ278&lt;1))</f>
        <v>38</v>
      </c>
    </row>
    <row r="279" spans="1:99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46181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 s="3" t="str">
        <f>+IF(AVANCE[[#This Row],[% AVANCE]]=100%,"MODULO TERMINADO",IF(AVANCE[[#This Row],[FECHA INICIO REAL]]="","MODULO NO INICIADO","PENDIENTE"))</f>
        <v>MODULO NO INICIADO</v>
      </c>
      <c r="BF279" s="3">
        <f>+IF(AVANCE[[#This Row],[VENTANAS]]=8.10810810810811%,100%,AVANCE[[#This Row],[VENTANAS]])</f>
        <v>0</v>
      </c>
      <c r="BG279" s="3">
        <f>+IF(AVANCE[[#This Row],[PISO]]=N$2,100%,AVANCE[[#This Row],[PISO]])</f>
        <v>0</v>
      </c>
      <c r="BH279" s="3">
        <f>+IF(AVANCE[[#This Row],[TABIQUES]]=O$2,100%,AVANCE[[#This Row],[TABIQUES]])</f>
        <v>0</v>
      </c>
      <c r="BI279" s="3">
        <f>+IF(AVANCE[[#This Row],[MUROS]]=P$2,100%,AVANCE[[#This Row],[MUROS]])</f>
        <v>0</v>
      </c>
      <c r="BJ279" s="3">
        <f>+IF(AVANCE[[#This Row],[CIELO]]=Q$2,100%,AVANCE[[#This Row],[CIELO]])</f>
        <v>0</v>
      </c>
      <c r="BK279" s="3">
        <f>+IF(AVANCE[[#This Row],[BALCÓN]]=R$2,100%,AVANCE[[#This Row],[BALCÓN]])</f>
        <v>0</v>
      </c>
      <c r="BL279" s="3">
        <f>+IF(AVANCE[[#This Row],[RED ALCANTARILLADO]]=U$2,100%,AVANCE[[#This Row],[RED ALCANTARILLADO]])</f>
        <v>0</v>
      </c>
      <c r="BM279" s="3">
        <f>+IF(AVANCE[[#This Row],[RED DE AGUA]]=V$2,100%,AVANCE[[#This Row],[RED DE AGUA]])</f>
        <v>0</v>
      </c>
      <c r="BN279" s="3">
        <f>+IF(AVANCE[[#This Row],[VENTILACIONES]]=W$2,100%,AVANCE[[#This Row],[VENTILACIONES]])</f>
        <v>0</v>
      </c>
      <c r="BO279" s="3">
        <f>+IF(AVANCE[[#This Row],[TINA]]=X$2,100%,AVANCE[[#This Row],[TINA]])</f>
        <v>0</v>
      </c>
      <c r="BP279" s="3">
        <f>+IF(AVANCE[[#This Row],[WC]]=Y$2,100%,AVANCE[[#This Row],[WC]])</f>
        <v>0</v>
      </c>
      <c r="BQ279" s="3">
        <f>+IF(AVANCE[[#This Row],[LAVAMANOS / LAVAPLATOS / LAVADERO]]=Z$2,100%,AVANCE[[#This Row],[LAVAMANOS / LAVAPLATOS / LAVADERO]])</f>
        <v>0</v>
      </c>
      <c r="BR279" s="3">
        <f>+IF(AVANCE[[#This Row],[CANALIZACIÓN]]=AC$2,100%,AVANCE[[#This Row],[CANALIZACIÓN]])</f>
        <v>0</v>
      </c>
      <c r="BS279" s="3">
        <f>+IF(AVANCE[[#This Row],[CABLEADO]]=AD$2,100%,AVANCE[[#This Row],[CABLEADO]])</f>
        <v>0</v>
      </c>
      <c r="BT279" s="3">
        <f>+IF(AVANCE[[#This Row],[ARTEFACTOS]]=AE$2,100%,AVANCE[[#This Row],[ARTEFACTOS]])</f>
        <v>0</v>
      </c>
      <c r="BU279" s="3">
        <f>+IF(AVANCE[[#This Row],[TABLERO]]=AF$2,100%,AVANCE[[#This Row],[TABLERO]])</f>
        <v>0</v>
      </c>
      <c r="BV279" s="3">
        <f>+IF(AVANCE[[#This Row],[CAJA PAU]]=AG$2,100%,AVANCE[[#This Row],[CAJA PAU]])</f>
        <v>0</v>
      </c>
      <c r="BW279" s="3">
        <f>+IF(AVANCE[[#This Row],[INSTALACION VINILICO]]=AJ$2,100%,AVANCE[[#This Row],[INSTALACION VINILICO]])</f>
        <v>0</v>
      </c>
      <c r="BX279" s="3">
        <f>+IF(AVANCE[[#This Row],[OSB CUBIERTA]]=AK$2,100%,AVANCE[[#This Row],[OSB CUBIERTA]])</f>
        <v>0</v>
      </c>
      <c r="BY279" s="3">
        <f>+IF(AVANCE[[#This Row],[BARANDA BALCON]]=AL$2,100%,AVANCE[[#This Row],[BARANDA BALCON]])</f>
        <v>0</v>
      </c>
      <c r="BZ279" s="3">
        <f>+IF(AVANCE[[#This Row],[OSB EXTERIOR]]=AM$2,100%,AVANCE[[#This Row],[OSB EXTERIOR]])</f>
        <v>0</v>
      </c>
      <c r="CA279" s="3">
        <f>+IF(AVANCE[[#This Row],[SMART PANEL]]=AN$2,100%,AVANCE[[#This Row],[SMART PANEL]])</f>
        <v>0</v>
      </c>
      <c r="CB279" s="3">
        <f>+IF(AVANCE[[#This Row],[PINTURA EXTERIOR]]=AO$2,100%,AVANCE[[#This Row],[PINTURA EXTERIOR]])</f>
        <v>0</v>
      </c>
      <c r="CC279" s="3">
        <f>+IF(AVANCE[[#This Row],[ZOCALOS LOGIA]]=AP$2,100%,AVANCE[[#This Row],[ZOCALOS LOGIA]])</f>
        <v>0</v>
      </c>
      <c r="CD279" s="3">
        <f>+IF(AVANCE[[#This Row],[MOLDURAS]]=AQ$2,100%,AVANCE[[#This Row],[MOLDURAS]])</f>
        <v>0</v>
      </c>
      <c r="CE279" s="3">
        <f>+IF(AVANCE[[#This Row],[PILASTREO]]=AR$2,100%,AVANCE[[#This Row],[PILASTREO]])</f>
        <v>0</v>
      </c>
      <c r="CF279" s="3">
        <f>+IF(AVANCE[[#This Row],[CELOSIAS]]=AS$2,100%,AVANCE[[#This Row],[CELOSIAS]])</f>
        <v>0</v>
      </c>
      <c r="CG279" s="3">
        <f>+IF(AVANCE[[#This Row],[VENTANAS]]=AT$2,100%,AVANCE[[#This Row],[VENTANAS]])</f>
        <v>0</v>
      </c>
      <c r="CH279" s="3">
        <f>+IF(AVANCE[[#This Row],[PUERTAS ACCESO - LOGIA - BANO]]=AU$2,100%,AVANCE[[#This Row],[PUERTAS ACCESO - LOGIA - BANO]])</f>
        <v>0</v>
      </c>
      <c r="CI279" s="3">
        <f>+IF(AVANCE[[#This Row],[CERRADURAS]]=AV$2,100%,AVANCE[[#This Row],[CERRADURAS]])</f>
        <v>0</v>
      </c>
      <c r="CJ279" s="3">
        <f>+IF(AVANCE[[#This Row],[REVESTIMIENTO INTERIOR ZONA SECA]]=AW$2,100%,AVANCE[[#This Row],[REVESTIMIENTO INTERIOR ZONA SECA]])</f>
        <v>0</v>
      </c>
      <c r="CK279" s="3">
        <f>+IF(AVANCE[[#This Row],[REVESTIMIENTO INTERIOR ZONAS HUMEDAS]]=AX$2,100%,AVANCE[[#This Row],[REVESTIMIENTO INTERIOR ZONAS HUMEDAS]])</f>
        <v>0</v>
      </c>
      <c r="CL279" s="3">
        <f>+IF(AVANCE[[#This Row],[MEMBRANA CIELO]]=AY$2,100%,AVANCE[[#This Row],[MEMBRANA CIELO]])</f>
        <v>0</v>
      </c>
      <c r="CM279" s="3">
        <f>+IF(AVANCE[[#This Row],[LIMPIEZA FINAL]]=AZ$2,100%,AVANCE[[#This Row],[LIMPIEZA FINAL]])</f>
        <v>0</v>
      </c>
      <c r="CN279" s="3">
        <f>+IF(AVANCE[[#This Row],[PUERTAS DORMITORIO]]=BA$2,100%,AVANCE[[#This Row],[PUERTAS DORMITORIO]])</f>
        <v>0</v>
      </c>
      <c r="CO279" s="3">
        <f>+IF(AVANCE[[#This Row],[REVESTIMIENTO INTERIOR BANO]]=BB$2,100%,AVANCE[[#This Row],[REVESTIMIENTO INTERIOR BANO]])</f>
        <v>0</v>
      </c>
      <c r="CP279" s="3">
        <f>+IF(AVANCE[[#This Row],[MUEBLE LAVAPLATOS]]=BC$2,100%,AVANCE[[#This Row],[MUEBLE LAVAPLATOS]])</f>
        <v>0</v>
      </c>
      <c r="CQ279" s="3">
        <f>+IF(AVANCE[[#This Row],[IMPERMEABILIZACION BANO - COCINA LOGIA]]=BD$2,100%,AVANCE[[#This Row],[IMPERMEABILIZACION BANO - COCINA LOGIA]])</f>
        <v>0</v>
      </c>
      <c r="CR279" s="40">
        <f ca="1">+IF(AVANCE[[#This Row],[ESTADO MODULO]]="PENDIENTE",(TODAY()-AVANCE[[#This Row],[FECHA TERMINO  PLANIFICADO]]),0)</f>
        <v>0</v>
      </c>
      <c r="CS279" s="42" t="str" cm="1">
        <f t="array" ref="CS279">_xlfn.TEXTJOIN(" | ",TRUE,IF(SUMPRODUCT((BF279:CQ279&lt;1)*(PARTIDAS!$I$2:$AT$2="OBRA GRUESA"))&gt;0,"OBRA GRUESA: "&amp;_xlfn.TEXTJOIN(", ",TRUE,IF((BF279:CQ279&lt;1)*(PARTIDAS!$I$2:$AT$2="OBRA GRUESA"),PARTIDAS!$I$1:$AT$1,"")),""),IF(SUMPRODUCT((BF279:CQ279&lt;1)*(PARTIDAS!$I$2:$AT$2="SANITARIOS"))&gt;0,"SANITARIOS: "&amp;_xlfn.TEXTJOIN(", ",TRUE,IF((BF279:CQ279&lt;1)*(PARTIDAS!$I$2:$AT$2="SANITARIOS"),PARTIDAS!$I$1:$AT$1,"")),""),IF(SUMPRODUCT((BF279:CQ279&lt;1)*(PARTIDAS!$I$2:$AT$2="ELÉCTRICO"))&gt;0,"ELÉCTRICO: "&amp;_xlfn.TEXTJOIN(", ",TRUE,IF((BF279:CQ279&lt;1)*(PARTIDAS!$I$2:$AT$2="ELÉCTRICO"),PARTIDAS!$I$1:$AT$1,"")),""),IF(SUMPRODUCT((BF279:CQ279&lt;1)*(PARTIDAS!$I$2:$AT$2="TERMINACIONES"))&gt;0,"TERMINACIONES: "&amp;_xlfn.TEXTJOIN(", ",TRUE,IF((BF279:CQ279&lt;1)*(PARTIDAS!$I$2:$AT$2="TERMINACIONES"),PARTIDAS!$I$1:$AT$1,"")),""))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79" s="45" t="str" cm="1">
        <f t="array" ref="CT279">_xlfn.TEXTJOIN(", ",TRUE,IF(SUMPRODUCT((BF279:CQ279&lt;1)*(PARTIDAS!$I$2:$AT$2="OBRA GRUESA"))&gt;0,"OBRA GRUESA",""),IF(SUMPRODUCT((BF279:CQ279&lt;1)*(PARTIDAS!$I$2:$AT$2="SANITARIOS"))&gt;0,"SANITARIOS",""),IF(SUMPRODUCT((BF279:CQ279&lt;1)*(PARTIDAS!$I$2:$AT$2="ELÉCTRICO"))&gt;0,"ELÉCTRICO",""),IF(SUMPRODUCT((BF279:CQ279&lt;1)*(PARTIDAS!$I$2:$AT$2="TERMINACIONES"))&gt;0,"TERMINACIONES",""))</f>
        <v>OBRA GRUESA, SANITARIOS, ELÉCTRICO, TERMINACIONES</v>
      </c>
      <c r="CU279" s="46" cm="1">
        <f t="array" ref="CU279">SUMPRODUCT(--(BF279:CQ279&lt;1))</f>
        <v>38</v>
      </c>
    </row>
    <row r="280" spans="1:99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46181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 s="3" t="str">
        <f>+IF(AVANCE[[#This Row],[% AVANCE]]=100%,"MODULO TERMINADO",IF(AVANCE[[#This Row],[FECHA INICIO REAL]]="","MODULO NO INICIADO","PENDIENTE"))</f>
        <v>MODULO NO INICIADO</v>
      </c>
      <c r="BF280" s="3">
        <f>+IF(AVANCE[[#This Row],[VENTANAS]]=8.10810810810811%,100%,AVANCE[[#This Row],[VENTANAS]])</f>
        <v>0</v>
      </c>
      <c r="BG280" s="3">
        <f>+IF(AVANCE[[#This Row],[PISO]]=N$2,100%,AVANCE[[#This Row],[PISO]])</f>
        <v>0</v>
      </c>
      <c r="BH280" s="3">
        <f>+IF(AVANCE[[#This Row],[TABIQUES]]=O$2,100%,AVANCE[[#This Row],[TABIQUES]])</f>
        <v>0</v>
      </c>
      <c r="BI280" s="3">
        <f>+IF(AVANCE[[#This Row],[MUROS]]=P$2,100%,AVANCE[[#This Row],[MUROS]])</f>
        <v>0</v>
      </c>
      <c r="BJ280" s="3">
        <f>+IF(AVANCE[[#This Row],[CIELO]]=Q$2,100%,AVANCE[[#This Row],[CIELO]])</f>
        <v>0</v>
      </c>
      <c r="BK280" s="3">
        <f>+IF(AVANCE[[#This Row],[BALCÓN]]=R$2,100%,AVANCE[[#This Row],[BALCÓN]])</f>
        <v>0</v>
      </c>
      <c r="BL280" s="3">
        <f>+IF(AVANCE[[#This Row],[RED ALCANTARILLADO]]=U$2,100%,AVANCE[[#This Row],[RED ALCANTARILLADO]])</f>
        <v>0</v>
      </c>
      <c r="BM280" s="3">
        <f>+IF(AVANCE[[#This Row],[RED DE AGUA]]=V$2,100%,AVANCE[[#This Row],[RED DE AGUA]])</f>
        <v>0</v>
      </c>
      <c r="BN280" s="3">
        <f>+IF(AVANCE[[#This Row],[VENTILACIONES]]=W$2,100%,AVANCE[[#This Row],[VENTILACIONES]])</f>
        <v>0</v>
      </c>
      <c r="BO280" s="3">
        <f>+IF(AVANCE[[#This Row],[TINA]]=X$2,100%,AVANCE[[#This Row],[TINA]])</f>
        <v>0</v>
      </c>
      <c r="BP280" s="3">
        <f>+IF(AVANCE[[#This Row],[WC]]=Y$2,100%,AVANCE[[#This Row],[WC]])</f>
        <v>0</v>
      </c>
      <c r="BQ280" s="3">
        <f>+IF(AVANCE[[#This Row],[LAVAMANOS / LAVAPLATOS / LAVADERO]]=Z$2,100%,AVANCE[[#This Row],[LAVAMANOS / LAVAPLATOS / LAVADERO]])</f>
        <v>0</v>
      </c>
      <c r="BR280" s="3">
        <f>+IF(AVANCE[[#This Row],[CANALIZACIÓN]]=AC$2,100%,AVANCE[[#This Row],[CANALIZACIÓN]])</f>
        <v>0</v>
      </c>
      <c r="BS280" s="3">
        <f>+IF(AVANCE[[#This Row],[CABLEADO]]=AD$2,100%,AVANCE[[#This Row],[CABLEADO]])</f>
        <v>0</v>
      </c>
      <c r="BT280" s="3">
        <f>+IF(AVANCE[[#This Row],[ARTEFACTOS]]=AE$2,100%,AVANCE[[#This Row],[ARTEFACTOS]])</f>
        <v>0</v>
      </c>
      <c r="BU280" s="3">
        <f>+IF(AVANCE[[#This Row],[TABLERO]]=AF$2,100%,AVANCE[[#This Row],[TABLERO]])</f>
        <v>0</v>
      </c>
      <c r="BV280" s="3">
        <f>+IF(AVANCE[[#This Row],[CAJA PAU]]=AG$2,100%,AVANCE[[#This Row],[CAJA PAU]])</f>
        <v>0</v>
      </c>
      <c r="BW280" s="3">
        <f>+IF(AVANCE[[#This Row],[INSTALACION VINILICO]]=AJ$2,100%,AVANCE[[#This Row],[INSTALACION VINILICO]])</f>
        <v>0</v>
      </c>
      <c r="BX280" s="3">
        <f>+IF(AVANCE[[#This Row],[OSB CUBIERTA]]=AK$2,100%,AVANCE[[#This Row],[OSB CUBIERTA]])</f>
        <v>0</v>
      </c>
      <c r="BY280" s="3">
        <f>+IF(AVANCE[[#This Row],[BARANDA BALCON]]=AL$2,100%,AVANCE[[#This Row],[BARANDA BALCON]])</f>
        <v>0</v>
      </c>
      <c r="BZ280" s="3">
        <f>+IF(AVANCE[[#This Row],[OSB EXTERIOR]]=AM$2,100%,AVANCE[[#This Row],[OSB EXTERIOR]])</f>
        <v>0</v>
      </c>
      <c r="CA280" s="3">
        <f>+IF(AVANCE[[#This Row],[SMART PANEL]]=AN$2,100%,AVANCE[[#This Row],[SMART PANEL]])</f>
        <v>0</v>
      </c>
      <c r="CB280" s="3">
        <f>+IF(AVANCE[[#This Row],[PINTURA EXTERIOR]]=AO$2,100%,AVANCE[[#This Row],[PINTURA EXTERIOR]])</f>
        <v>0</v>
      </c>
      <c r="CC280" s="3">
        <f>+IF(AVANCE[[#This Row],[ZOCALOS LOGIA]]=AP$2,100%,AVANCE[[#This Row],[ZOCALOS LOGIA]])</f>
        <v>0</v>
      </c>
      <c r="CD280" s="3">
        <f>+IF(AVANCE[[#This Row],[MOLDURAS]]=AQ$2,100%,AVANCE[[#This Row],[MOLDURAS]])</f>
        <v>0</v>
      </c>
      <c r="CE280" s="3">
        <f>+IF(AVANCE[[#This Row],[PILASTREO]]=AR$2,100%,AVANCE[[#This Row],[PILASTREO]])</f>
        <v>0</v>
      </c>
      <c r="CF280" s="3">
        <f>+IF(AVANCE[[#This Row],[CELOSIAS]]=AS$2,100%,AVANCE[[#This Row],[CELOSIAS]])</f>
        <v>0</v>
      </c>
      <c r="CG280" s="3">
        <f>+IF(AVANCE[[#This Row],[VENTANAS]]=AT$2,100%,AVANCE[[#This Row],[VENTANAS]])</f>
        <v>0</v>
      </c>
      <c r="CH280" s="3">
        <f>+IF(AVANCE[[#This Row],[PUERTAS ACCESO - LOGIA - BANO]]=AU$2,100%,AVANCE[[#This Row],[PUERTAS ACCESO - LOGIA - BANO]])</f>
        <v>0</v>
      </c>
      <c r="CI280" s="3">
        <f>+IF(AVANCE[[#This Row],[CERRADURAS]]=AV$2,100%,AVANCE[[#This Row],[CERRADURAS]])</f>
        <v>0</v>
      </c>
      <c r="CJ280" s="3">
        <f>+IF(AVANCE[[#This Row],[REVESTIMIENTO INTERIOR ZONA SECA]]=AW$2,100%,AVANCE[[#This Row],[REVESTIMIENTO INTERIOR ZONA SECA]])</f>
        <v>0</v>
      </c>
      <c r="CK280" s="3">
        <f>+IF(AVANCE[[#This Row],[REVESTIMIENTO INTERIOR ZONAS HUMEDAS]]=AX$2,100%,AVANCE[[#This Row],[REVESTIMIENTO INTERIOR ZONAS HUMEDAS]])</f>
        <v>0</v>
      </c>
      <c r="CL280" s="3">
        <f>+IF(AVANCE[[#This Row],[MEMBRANA CIELO]]=AY$2,100%,AVANCE[[#This Row],[MEMBRANA CIELO]])</f>
        <v>0</v>
      </c>
      <c r="CM280" s="3">
        <f>+IF(AVANCE[[#This Row],[LIMPIEZA FINAL]]=AZ$2,100%,AVANCE[[#This Row],[LIMPIEZA FINAL]])</f>
        <v>0</v>
      </c>
      <c r="CN280" s="3">
        <f>+IF(AVANCE[[#This Row],[PUERTAS DORMITORIO]]=BA$2,100%,AVANCE[[#This Row],[PUERTAS DORMITORIO]])</f>
        <v>0</v>
      </c>
      <c r="CO280" s="3">
        <f>+IF(AVANCE[[#This Row],[REVESTIMIENTO INTERIOR BANO]]=BB$2,100%,AVANCE[[#This Row],[REVESTIMIENTO INTERIOR BANO]])</f>
        <v>0</v>
      </c>
      <c r="CP280" s="3">
        <f>+IF(AVANCE[[#This Row],[MUEBLE LAVAPLATOS]]=BC$2,100%,AVANCE[[#This Row],[MUEBLE LAVAPLATOS]])</f>
        <v>0</v>
      </c>
      <c r="CQ280" s="3">
        <f>+IF(AVANCE[[#This Row],[IMPERMEABILIZACION BANO - COCINA LOGIA]]=BD$2,100%,AVANCE[[#This Row],[IMPERMEABILIZACION BANO - COCINA LOGIA]])</f>
        <v>0</v>
      </c>
      <c r="CR280" s="40">
        <f ca="1">+IF(AVANCE[[#This Row],[ESTADO MODULO]]="PENDIENTE",(TODAY()-AVANCE[[#This Row],[FECHA TERMINO  PLANIFICADO]]),0)</f>
        <v>0</v>
      </c>
      <c r="CS280" s="42" t="str" cm="1">
        <f t="array" ref="CS280">_xlfn.TEXTJOIN(" | ",TRUE,IF(SUMPRODUCT((BF280:CQ280&lt;1)*(PARTIDAS!$I$2:$AT$2="OBRA GRUESA"))&gt;0,"OBRA GRUESA: "&amp;_xlfn.TEXTJOIN(", ",TRUE,IF((BF280:CQ280&lt;1)*(PARTIDAS!$I$2:$AT$2="OBRA GRUESA"),PARTIDAS!$I$1:$AT$1,"")),""),IF(SUMPRODUCT((BF280:CQ280&lt;1)*(PARTIDAS!$I$2:$AT$2="SANITARIOS"))&gt;0,"SANITARIOS: "&amp;_xlfn.TEXTJOIN(", ",TRUE,IF((BF280:CQ280&lt;1)*(PARTIDAS!$I$2:$AT$2="SANITARIOS"),PARTIDAS!$I$1:$AT$1,"")),""),IF(SUMPRODUCT((BF280:CQ280&lt;1)*(PARTIDAS!$I$2:$AT$2="ELÉCTRICO"))&gt;0,"ELÉCTRICO: "&amp;_xlfn.TEXTJOIN(", ",TRUE,IF((BF280:CQ280&lt;1)*(PARTIDAS!$I$2:$AT$2="ELÉCTRICO"),PARTIDAS!$I$1:$AT$1,"")),""),IF(SUMPRODUCT((BF280:CQ280&lt;1)*(PARTIDAS!$I$2:$AT$2="TERMINACIONES"))&gt;0,"TERMINACIONES: "&amp;_xlfn.TEXTJOIN(", ",TRUE,IF((BF280:CQ280&lt;1)*(PARTIDAS!$I$2:$AT$2="TERMINACIONES"),PARTIDAS!$I$1:$AT$1,"")),""))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0" s="45" t="str" cm="1">
        <f t="array" ref="CT280">_xlfn.TEXTJOIN(", ",TRUE,IF(SUMPRODUCT((BF280:CQ280&lt;1)*(PARTIDAS!$I$2:$AT$2="OBRA GRUESA"))&gt;0,"OBRA GRUESA",""),IF(SUMPRODUCT((BF280:CQ280&lt;1)*(PARTIDAS!$I$2:$AT$2="SANITARIOS"))&gt;0,"SANITARIOS",""),IF(SUMPRODUCT((BF280:CQ280&lt;1)*(PARTIDAS!$I$2:$AT$2="ELÉCTRICO"))&gt;0,"ELÉCTRICO",""),IF(SUMPRODUCT((BF280:CQ280&lt;1)*(PARTIDAS!$I$2:$AT$2="TERMINACIONES"))&gt;0,"TERMINACIONES",""))</f>
        <v>OBRA GRUESA, SANITARIOS, ELÉCTRICO, TERMINACIONES</v>
      </c>
      <c r="CU280" s="46" cm="1">
        <f t="array" ref="CU280">SUMPRODUCT(--(BF280:CQ280&lt;1))</f>
        <v>38</v>
      </c>
    </row>
    <row r="281" spans="1:99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46181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 s="3" t="str">
        <f>+IF(AVANCE[[#This Row],[% AVANCE]]=100%,"MODULO TERMINADO",IF(AVANCE[[#This Row],[FECHA INICIO REAL]]="","MODULO NO INICIADO","PENDIENTE"))</f>
        <v>MODULO NO INICIADO</v>
      </c>
      <c r="BF281" s="3">
        <f>+IF(AVANCE[[#This Row],[VENTANAS]]=8.10810810810811%,100%,AVANCE[[#This Row],[VENTANAS]])</f>
        <v>0</v>
      </c>
      <c r="BG281" s="3">
        <f>+IF(AVANCE[[#This Row],[PISO]]=N$2,100%,AVANCE[[#This Row],[PISO]])</f>
        <v>0</v>
      </c>
      <c r="BH281" s="3">
        <f>+IF(AVANCE[[#This Row],[TABIQUES]]=O$2,100%,AVANCE[[#This Row],[TABIQUES]])</f>
        <v>0</v>
      </c>
      <c r="BI281" s="3">
        <f>+IF(AVANCE[[#This Row],[MUROS]]=P$2,100%,AVANCE[[#This Row],[MUROS]])</f>
        <v>0</v>
      </c>
      <c r="BJ281" s="3">
        <f>+IF(AVANCE[[#This Row],[CIELO]]=Q$2,100%,AVANCE[[#This Row],[CIELO]])</f>
        <v>0</v>
      </c>
      <c r="BK281" s="3">
        <f>+IF(AVANCE[[#This Row],[BALCÓN]]=R$2,100%,AVANCE[[#This Row],[BALCÓN]])</f>
        <v>0</v>
      </c>
      <c r="BL281" s="3">
        <f>+IF(AVANCE[[#This Row],[RED ALCANTARILLADO]]=U$2,100%,AVANCE[[#This Row],[RED ALCANTARILLADO]])</f>
        <v>0</v>
      </c>
      <c r="BM281" s="3">
        <f>+IF(AVANCE[[#This Row],[RED DE AGUA]]=V$2,100%,AVANCE[[#This Row],[RED DE AGUA]])</f>
        <v>0</v>
      </c>
      <c r="BN281" s="3">
        <f>+IF(AVANCE[[#This Row],[VENTILACIONES]]=W$2,100%,AVANCE[[#This Row],[VENTILACIONES]])</f>
        <v>0</v>
      </c>
      <c r="BO281" s="3">
        <f>+IF(AVANCE[[#This Row],[TINA]]=X$2,100%,AVANCE[[#This Row],[TINA]])</f>
        <v>0</v>
      </c>
      <c r="BP281" s="3">
        <f>+IF(AVANCE[[#This Row],[WC]]=Y$2,100%,AVANCE[[#This Row],[WC]])</f>
        <v>0</v>
      </c>
      <c r="BQ281" s="3">
        <f>+IF(AVANCE[[#This Row],[LAVAMANOS / LAVAPLATOS / LAVADERO]]=Z$2,100%,AVANCE[[#This Row],[LAVAMANOS / LAVAPLATOS / LAVADERO]])</f>
        <v>0</v>
      </c>
      <c r="BR281" s="3">
        <f>+IF(AVANCE[[#This Row],[CANALIZACIÓN]]=AC$2,100%,AVANCE[[#This Row],[CANALIZACIÓN]])</f>
        <v>0</v>
      </c>
      <c r="BS281" s="3">
        <f>+IF(AVANCE[[#This Row],[CABLEADO]]=AD$2,100%,AVANCE[[#This Row],[CABLEADO]])</f>
        <v>0</v>
      </c>
      <c r="BT281" s="3">
        <f>+IF(AVANCE[[#This Row],[ARTEFACTOS]]=AE$2,100%,AVANCE[[#This Row],[ARTEFACTOS]])</f>
        <v>0</v>
      </c>
      <c r="BU281" s="3">
        <f>+IF(AVANCE[[#This Row],[TABLERO]]=AF$2,100%,AVANCE[[#This Row],[TABLERO]])</f>
        <v>0</v>
      </c>
      <c r="BV281" s="3">
        <f>+IF(AVANCE[[#This Row],[CAJA PAU]]=AG$2,100%,AVANCE[[#This Row],[CAJA PAU]])</f>
        <v>0</v>
      </c>
      <c r="BW281" s="3">
        <f>+IF(AVANCE[[#This Row],[INSTALACION VINILICO]]=AJ$2,100%,AVANCE[[#This Row],[INSTALACION VINILICO]])</f>
        <v>0</v>
      </c>
      <c r="BX281" s="3">
        <f>+IF(AVANCE[[#This Row],[OSB CUBIERTA]]=AK$2,100%,AVANCE[[#This Row],[OSB CUBIERTA]])</f>
        <v>0</v>
      </c>
      <c r="BY281" s="3">
        <f>+IF(AVANCE[[#This Row],[BARANDA BALCON]]=AL$2,100%,AVANCE[[#This Row],[BARANDA BALCON]])</f>
        <v>0</v>
      </c>
      <c r="BZ281" s="3">
        <f>+IF(AVANCE[[#This Row],[OSB EXTERIOR]]=AM$2,100%,AVANCE[[#This Row],[OSB EXTERIOR]])</f>
        <v>0</v>
      </c>
      <c r="CA281" s="3">
        <f>+IF(AVANCE[[#This Row],[SMART PANEL]]=AN$2,100%,AVANCE[[#This Row],[SMART PANEL]])</f>
        <v>0</v>
      </c>
      <c r="CB281" s="3">
        <f>+IF(AVANCE[[#This Row],[PINTURA EXTERIOR]]=AO$2,100%,AVANCE[[#This Row],[PINTURA EXTERIOR]])</f>
        <v>0</v>
      </c>
      <c r="CC281" s="3">
        <f>+IF(AVANCE[[#This Row],[ZOCALOS LOGIA]]=AP$2,100%,AVANCE[[#This Row],[ZOCALOS LOGIA]])</f>
        <v>0</v>
      </c>
      <c r="CD281" s="3">
        <f>+IF(AVANCE[[#This Row],[MOLDURAS]]=AQ$2,100%,AVANCE[[#This Row],[MOLDURAS]])</f>
        <v>0</v>
      </c>
      <c r="CE281" s="3">
        <f>+IF(AVANCE[[#This Row],[PILASTREO]]=AR$2,100%,AVANCE[[#This Row],[PILASTREO]])</f>
        <v>0</v>
      </c>
      <c r="CF281" s="3">
        <f>+IF(AVANCE[[#This Row],[CELOSIAS]]=AS$2,100%,AVANCE[[#This Row],[CELOSIAS]])</f>
        <v>0</v>
      </c>
      <c r="CG281" s="3">
        <f>+IF(AVANCE[[#This Row],[VENTANAS]]=AT$2,100%,AVANCE[[#This Row],[VENTANAS]])</f>
        <v>0</v>
      </c>
      <c r="CH281" s="3">
        <f>+IF(AVANCE[[#This Row],[PUERTAS ACCESO - LOGIA - BANO]]=AU$2,100%,AVANCE[[#This Row],[PUERTAS ACCESO - LOGIA - BANO]])</f>
        <v>0</v>
      </c>
      <c r="CI281" s="3">
        <f>+IF(AVANCE[[#This Row],[CERRADURAS]]=AV$2,100%,AVANCE[[#This Row],[CERRADURAS]])</f>
        <v>0</v>
      </c>
      <c r="CJ281" s="3">
        <f>+IF(AVANCE[[#This Row],[REVESTIMIENTO INTERIOR ZONA SECA]]=AW$2,100%,AVANCE[[#This Row],[REVESTIMIENTO INTERIOR ZONA SECA]])</f>
        <v>0</v>
      </c>
      <c r="CK281" s="3">
        <f>+IF(AVANCE[[#This Row],[REVESTIMIENTO INTERIOR ZONAS HUMEDAS]]=AX$2,100%,AVANCE[[#This Row],[REVESTIMIENTO INTERIOR ZONAS HUMEDAS]])</f>
        <v>0</v>
      </c>
      <c r="CL281" s="3">
        <f>+IF(AVANCE[[#This Row],[MEMBRANA CIELO]]=AY$2,100%,AVANCE[[#This Row],[MEMBRANA CIELO]])</f>
        <v>0</v>
      </c>
      <c r="CM281" s="3">
        <f>+IF(AVANCE[[#This Row],[LIMPIEZA FINAL]]=AZ$2,100%,AVANCE[[#This Row],[LIMPIEZA FINAL]])</f>
        <v>0</v>
      </c>
      <c r="CN281" s="3">
        <f>+IF(AVANCE[[#This Row],[PUERTAS DORMITORIO]]=BA$2,100%,AVANCE[[#This Row],[PUERTAS DORMITORIO]])</f>
        <v>0</v>
      </c>
      <c r="CO281" s="3">
        <f>+IF(AVANCE[[#This Row],[REVESTIMIENTO INTERIOR BANO]]=BB$2,100%,AVANCE[[#This Row],[REVESTIMIENTO INTERIOR BANO]])</f>
        <v>0</v>
      </c>
      <c r="CP281" s="3">
        <f>+IF(AVANCE[[#This Row],[MUEBLE LAVAPLATOS]]=BC$2,100%,AVANCE[[#This Row],[MUEBLE LAVAPLATOS]])</f>
        <v>0</v>
      </c>
      <c r="CQ281" s="3">
        <f>+IF(AVANCE[[#This Row],[IMPERMEABILIZACION BANO - COCINA LOGIA]]=BD$2,100%,AVANCE[[#This Row],[IMPERMEABILIZACION BANO - COCINA LOGIA]])</f>
        <v>0</v>
      </c>
      <c r="CR281" s="40">
        <f ca="1">+IF(AVANCE[[#This Row],[ESTADO MODULO]]="PENDIENTE",(TODAY()-AVANCE[[#This Row],[FECHA TERMINO  PLANIFICADO]]),0)</f>
        <v>0</v>
      </c>
      <c r="CS281" s="42" t="str" cm="1">
        <f t="array" ref="CS281">_xlfn.TEXTJOIN(" | ",TRUE,IF(SUMPRODUCT((BF281:CQ281&lt;1)*(PARTIDAS!$I$2:$AT$2="OBRA GRUESA"))&gt;0,"OBRA GRUESA: "&amp;_xlfn.TEXTJOIN(", ",TRUE,IF((BF281:CQ281&lt;1)*(PARTIDAS!$I$2:$AT$2="OBRA GRUESA"),PARTIDAS!$I$1:$AT$1,"")),""),IF(SUMPRODUCT((BF281:CQ281&lt;1)*(PARTIDAS!$I$2:$AT$2="SANITARIOS"))&gt;0,"SANITARIOS: "&amp;_xlfn.TEXTJOIN(", ",TRUE,IF((BF281:CQ281&lt;1)*(PARTIDAS!$I$2:$AT$2="SANITARIOS"),PARTIDAS!$I$1:$AT$1,"")),""),IF(SUMPRODUCT((BF281:CQ281&lt;1)*(PARTIDAS!$I$2:$AT$2="ELÉCTRICO"))&gt;0,"ELÉCTRICO: "&amp;_xlfn.TEXTJOIN(", ",TRUE,IF((BF281:CQ281&lt;1)*(PARTIDAS!$I$2:$AT$2="ELÉCTRICO"),PARTIDAS!$I$1:$AT$1,"")),""),IF(SUMPRODUCT((BF281:CQ281&lt;1)*(PARTIDAS!$I$2:$AT$2="TERMINACIONES"))&gt;0,"TERMINACIONES: "&amp;_xlfn.TEXTJOIN(", ",TRUE,IF((BF281:CQ281&lt;1)*(PARTIDAS!$I$2:$AT$2="TERMINACIONES"),PARTIDAS!$I$1:$AT$1,"")),""))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1" s="45" t="str" cm="1">
        <f t="array" ref="CT281">_xlfn.TEXTJOIN(", ",TRUE,IF(SUMPRODUCT((BF281:CQ281&lt;1)*(PARTIDAS!$I$2:$AT$2="OBRA GRUESA"))&gt;0,"OBRA GRUESA",""),IF(SUMPRODUCT((BF281:CQ281&lt;1)*(PARTIDAS!$I$2:$AT$2="SANITARIOS"))&gt;0,"SANITARIOS",""),IF(SUMPRODUCT((BF281:CQ281&lt;1)*(PARTIDAS!$I$2:$AT$2="ELÉCTRICO"))&gt;0,"ELÉCTRICO",""),IF(SUMPRODUCT((BF281:CQ281&lt;1)*(PARTIDAS!$I$2:$AT$2="TERMINACIONES"))&gt;0,"TERMINACIONES",""))</f>
        <v>OBRA GRUESA, SANITARIOS, ELÉCTRICO, TERMINACIONES</v>
      </c>
      <c r="CU281" s="46" cm="1">
        <f t="array" ref="CU281">SUMPRODUCT(--(BF281:CQ281&lt;1))</f>
        <v>38</v>
      </c>
    </row>
    <row r="282" spans="1:99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46181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 s="3" t="str">
        <f>+IF(AVANCE[[#This Row],[% AVANCE]]=100%,"MODULO TERMINADO",IF(AVANCE[[#This Row],[FECHA INICIO REAL]]="","MODULO NO INICIADO","PENDIENTE"))</f>
        <v>MODULO NO INICIADO</v>
      </c>
      <c r="BF282" s="3">
        <f>+IF(AVANCE[[#This Row],[VENTANAS]]=8.10810810810811%,100%,AVANCE[[#This Row],[VENTANAS]])</f>
        <v>0</v>
      </c>
      <c r="BG282" s="3">
        <f>+IF(AVANCE[[#This Row],[PISO]]=N$2,100%,AVANCE[[#This Row],[PISO]])</f>
        <v>0</v>
      </c>
      <c r="BH282" s="3">
        <f>+IF(AVANCE[[#This Row],[TABIQUES]]=O$2,100%,AVANCE[[#This Row],[TABIQUES]])</f>
        <v>0</v>
      </c>
      <c r="BI282" s="3">
        <f>+IF(AVANCE[[#This Row],[MUROS]]=P$2,100%,AVANCE[[#This Row],[MUROS]])</f>
        <v>0</v>
      </c>
      <c r="BJ282" s="3">
        <f>+IF(AVANCE[[#This Row],[CIELO]]=Q$2,100%,AVANCE[[#This Row],[CIELO]])</f>
        <v>0</v>
      </c>
      <c r="BK282" s="3">
        <f>+IF(AVANCE[[#This Row],[BALCÓN]]=R$2,100%,AVANCE[[#This Row],[BALCÓN]])</f>
        <v>0</v>
      </c>
      <c r="BL282" s="3">
        <f>+IF(AVANCE[[#This Row],[RED ALCANTARILLADO]]=U$2,100%,AVANCE[[#This Row],[RED ALCANTARILLADO]])</f>
        <v>0</v>
      </c>
      <c r="BM282" s="3">
        <f>+IF(AVANCE[[#This Row],[RED DE AGUA]]=V$2,100%,AVANCE[[#This Row],[RED DE AGUA]])</f>
        <v>0</v>
      </c>
      <c r="BN282" s="3">
        <f>+IF(AVANCE[[#This Row],[VENTILACIONES]]=W$2,100%,AVANCE[[#This Row],[VENTILACIONES]])</f>
        <v>0</v>
      </c>
      <c r="BO282" s="3">
        <f>+IF(AVANCE[[#This Row],[TINA]]=X$2,100%,AVANCE[[#This Row],[TINA]])</f>
        <v>0</v>
      </c>
      <c r="BP282" s="3">
        <f>+IF(AVANCE[[#This Row],[WC]]=Y$2,100%,AVANCE[[#This Row],[WC]])</f>
        <v>0</v>
      </c>
      <c r="BQ282" s="3">
        <f>+IF(AVANCE[[#This Row],[LAVAMANOS / LAVAPLATOS / LAVADERO]]=Z$2,100%,AVANCE[[#This Row],[LAVAMANOS / LAVAPLATOS / LAVADERO]])</f>
        <v>0</v>
      </c>
      <c r="BR282" s="3">
        <f>+IF(AVANCE[[#This Row],[CANALIZACIÓN]]=AC$2,100%,AVANCE[[#This Row],[CANALIZACIÓN]])</f>
        <v>0</v>
      </c>
      <c r="BS282" s="3">
        <f>+IF(AVANCE[[#This Row],[CABLEADO]]=AD$2,100%,AVANCE[[#This Row],[CABLEADO]])</f>
        <v>0</v>
      </c>
      <c r="BT282" s="3">
        <f>+IF(AVANCE[[#This Row],[ARTEFACTOS]]=AE$2,100%,AVANCE[[#This Row],[ARTEFACTOS]])</f>
        <v>0</v>
      </c>
      <c r="BU282" s="3">
        <f>+IF(AVANCE[[#This Row],[TABLERO]]=AF$2,100%,AVANCE[[#This Row],[TABLERO]])</f>
        <v>0</v>
      </c>
      <c r="BV282" s="3">
        <f>+IF(AVANCE[[#This Row],[CAJA PAU]]=AG$2,100%,AVANCE[[#This Row],[CAJA PAU]])</f>
        <v>0</v>
      </c>
      <c r="BW282" s="3">
        <f>+IF(AVANCE[[#This Row],[INSTALACION VINILICO]]=AJ$2,100%,AVANCE[[#This Row],[INSTALACION VINILICO]])</f>
        <v>0</v>
      </c>
      <c r="BX282" s="3">
        <f>+IF(AVANCE[[#This Row],[OSB CUBIERTA]]=AK$2,100%,AVANCE[[#This Row],[OSB CUBIERTA]])</f>
        <v>0</v>
      </c>
      <c r="BY282" s="3">
        <f>+IF(AVANCE[[#This Row],[BARANDA BALCON]]=AL$2,100%,AVANCE[[#This Row],[BARANDA BALCON]])</f>
        <v>0</v>
      </c>
      <c r="BZ282" s="3">
        <f>+IF(AVANCE[[#This Row],[OSB EXTERIOR]]=AM$2,100%,AVANCE[[#This Row],[OSB EXTERIOR]])</f>
        <v>0</v>
      </c>
      <c r="CA282" s="3">
        <f>+IF(AVANCE[[#This Row],[SMART PANEL]]=AN$2,100%,AVANCE[[#This Row],[SMART PANEL]])</f>
        <v>0</v>
      </c>
      <c r="CB282" s="3">
        <f>+IF(AVANCE[[#This Row],[PINTURA EXTERIOR]]=AO$2,100%,AVANCE[[#This Row],[PINTURA EXTERIOR]])</f>
        <v>0</v>
      </c>
      <c r="CC282" s="3">
        <f>+IF(AVANCE[[#This Row],[ZOCALOS LOGIA]]=AP$2,100%,AVANCE[[#This Row],[ZOCALOS LOGIA]])</f>
        <v>0</v>
      </c>
      <c r="CD282" s="3">
        <f>+IF(AVANCE[[#This Row],[MOLDURAS]]=AQ$2,100%,AVANCE[[#This Row],[MOLDURAS]])</f>
        <v>0</v>
      </c>
      <c r="CE282" s="3">
        <f>+IF(AVANCE[[#This Row],[PILASTREO]]=AR$2,100%,AVANCE[[#This Row],[PILASTREO]])</f>
        <v>0</v>
      </c>
      <c r="CF282" s="3">
        <f>+IF(AVANCE[[#This Row],[CELOSIAS]]=AS$2,100%,AVANCE[[#This Row],[CELOSIAS]])</f>
        <v>0</v>
      </c>
      <c r="CG282" s="3">
        <f>+IF(AVANCE[[#This Row],[VENTANAS]]=AT$2,100%,AVANCE[[#This Row],[VENTANAS]])</f>
        <v>0</v>
      </c>
      <c r="CH282" s="3">
        <f>+IF(AVANCE[[#This Row],[PUERTAS ACCESO - LOGIA - BANO]]=AU$2,100%,AVANCE[[#This Row],[PUERTAS ACCESO - LOGIA - BANO]])</f>
        <v>0</v>
      </c>
      <c r="CI282" s="3">
        <f>+IF(AVANCE[[#This Row],[CERRADURAS]]=AV$2,100%,AVANCE[[#This Row],[CERRADURAS]])</f>
        <v>0</v>
      </c>
      <c r="CJ282" s="3">
        <f>+IF(AVANCE[[#This Row],[REVESTIMIENTO INTERIOR ZONA SECA]]=AW$2,100%,AVANCE[[#This Row],[REVESTIMIENTO INTERIOR ZONA SECA]])</f>
        <v>0</v>
      </c>
      <c r="CK282" s="3">
        <f>+IF(AVANCE[[#This Row],[REVESTIMIENTO INTERIOR ZONAS HUMEDAS]]=AX$2,100%,AVANCE[[#This Row],[REVESTIMIENTO INTERIOR ZONAS HUMEDAS]])</f>
        <v>0</v>
      </c>
      <c r="CL282" s="3">
        <f>+IF(AVANCE[[#This Row],[MEMBRANA CIELO]]=AY$2,100%,AVANCE[[#This Row],[MEMBRANA CIELO]])</f>
        <v>0</v>
      </c>
      <c r="CM282" s="3">
        <f>+IF(AVANCE[[#This Row],[LIMPIEZA FINAL]]=AZ$2,100%,AVANCE[[#This Row],[LIMPIEZA FINAL]])</f>
        <v>0</v>
      </c>
      <c r="CN282" s="3">
        <f>+IF(AVANCE[[#This Row],[PUERTAS DORMITORIO]]=BA$2,100%,AVANCE[[#This Row],[PUERTAS DORMITORIO]])</f>
        <v>0</v>
      </c>
      <c r="CO282" s="3">
        <f>+IF(AVANCE[[#This Row],[REVESTIMIENTO INTERIOR BANO]]=BB$2,100%,AVANCE[[#This Row],[REVESTIMIENTO INTERIOR BANO]])</f>
        <v>0</v>
      </c>
      <c r="CP282" s="3">
        <f>+IF(AVANCE[[#This Row],[MUEBLE LAVAPLATOS]]=BC$2,100%,AVANCE[[#This Row],[MUEBLE LAVAPLATOS]])</f>
        <v>0</v>
      </c>
      <c r="CQ282" s="3">
        <f>+IF(AVANCE[[#This Row],[IMPERMEABILIZACION BANO - COCINA LOGIA]]=BD$2,100%,AVANCE[[#This Row],[IMPERMEABILIZACION BANO - COCINA LOGIA]])</f>
        <v>0</v>
      </c>
      <c r="CR282" s="40">
        <f ca="1">+IF(AVANCE[[#This Row],[ESTADO MODULO]]="PENDIENTE",(TODAY()-AVANCE[[#This Row],[FECHA TERMINO  PLANIFICADO]]),0)</f>
        <v>0</v>
      </c>
      <c r="CS282" s="42" t="str" cm="1">
        <f t="array" ref="CS282">_xlfn.TEXTJOIN(" | ",TRUE,IF(SUMPRODUCT((BF282:CQ282&lt;1)*(PARTIDAS!$I$2:$AT$2="OBRA GRUESA"))&gt;0,"OBRA GRUESA: "&amp;_xlfn.TEXTJOIN(", ",TRUE,IF((BF282:CQ282&lt;1)*(PARTIDAS!$I$2:$AT$2="OBRA GRUESA"),PARTIDAS!$I$1:$AT$1,"")),""),IF(SUMPRODUCT((BF282:CQ282&lt;1)*(PARTIDAS!$I$2:$AT$2="SANITARIOS"))&gt;0,"SANITARIOS: "&amp;_xlfn.TEXTJOIN(", ",TRUE,IF((BF282:CQ282&lt;1)*(PARTIDAS!$I$2:$AT$2="SANITARIOS"),PARTIDAS!$I$1:$AT$1,"")),""),IF(SUMPRODUCT((BF282:CQ282&lt;1)*(PARTIDAS!$I$2:$AT$2="ELÉCTRICO"))&gt;0,"ELÉCTRICO: "&amp;_xlfn.TEXTJOIN(", ",TRUE,IF((BF282:CQ282&lt;1)*(PARTIDAS!$I$2:$AT$2="ELÉCTRICO"),PARTIDAS!$I$1:$AT$1,"")),""),IF(SUMPRODUCT((BF282:CQ282&lt;1)*(PARTIDAS!$I$2:$AT$2="TERMINACIONES"))&gt;0,"TERMINACIONES: "&amp;_xlfn.TEXTJOIN(", ",TRUE,IF((BF282:CQ282&lt;1)*(PARTIDAS!$I$2:$AT$2="TERMINACIONES"),PARTIDAS!$I$1:$AT$1,"")),""))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2" s="45" t="str" cm="1">
        <f t="array" ref="CT282">_xlfn.TEXTJOIN(", ",TRUE,IF(SUMPRODUCT((BF282:CQ282&lt;1)*(PARTIDAS!$I$2:$AT$2="OBRA GRUESA"))&gt;0,"OBRA GRUESA",""),IF(SUMPRODUCT((BF282:CQ282&lt;1)*(PARTIDAS!$I$2:$AT$2="SANITARIOS"))&gt;0,"SANITARIOS",""),IF(SUMPRODUCT((BF282:CQ282&lt;1)*(PARTIDAS!$I$2:$AT$2="ELÉCTRICO"))&gt;0,"ELÉCTRICO",""),IF(SUMPRODUCT((BF282:CQ282&lt;1)*(PARTIDAS!$I$2:$AT$2="TERMINACIONES"))&gt;0,"TERMINACIONES",""))</f>
        <v>OBRA GRUESA, SANITARIOS, ELÉCTRICO, TERMINACIONES</v>
      </c>
      <c r="CU282" s="46" cm="1">
        <f t="array" ref="CU282">SUMPRODUCT(--(BF282:CQ282&lt;1))</f>
        <v>38</v>
      </c>
    </row>
    <row r="283" spans="1:99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46181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 s="3" t="str">
        <f>+IF(AVANCE[[#This Row],[% AVANCE]]=100%,"MODULO TERMINADO",IF(AVANCE[[#This Row],[FECHA INICIO REAL]]="","MODULO NO INICIADO","PENDIENTE"))</f>
        <v>MODULO NO INICIADO</v>
      </c>
      <c r="BF283" s="3">
        <f>+IF(AVANCE[[#This Row],[VENTANAS]]=8.10810810810811%,100%,AVANCE[[#This Row],[VENTANAS]])</f>
        <v>0</v>
      </c>
      <c r="BG283" s="3">
        <f>+IF(AVANCE[[#This Row],[PISO]]=N$2,100%,AVANCE[[#This Row],[PISO]])</f>
        <v>0</v>
      </c>
      <c r="BH283" s="3">
        <f>+IF(AVANCE[[#This Row],[TABIQUES]]=O$2,100%,AVANCE[[#This Row],[TABIQUES]])</f>
        <v>0</v>
      </c>
      <c r="BI283" s="3">
        <f>+IF(AVANCE[[#This Row],[MUROS]]=P$2,100%,AVANCE[[#This Row],[MUROS]])</f>
        <v>0</v>
      </c>
      <c r="BJ283" s="3">
        <f>+IF(AVANCE[[#This Row],[CIELO]]=Q$2,100%,AVANCE[[#This Row],[CIELO]])</f>
        <v>0</v>
      </c>
      <c r="BK283" s="3">
        <f>+IF(AVANCE[[#This Row],[BALCÓN]]=R$2,100%,AVANCE[[#This Row],[BALCÓN]])</f>
        <v>0</v>
      </c>
      <c r="BL283" s="3">
        <f>+IF(AVANCE[[#This Row],[RED ALCANTARILLADO]]=U$2,100%,AVANCE[[#This Row],[RED ALCANTARILLADO]])</f>
        <v>0</v>
      </c>
      <c r="BM283" s="3">
        <f>+IF(AVANCE[[#This Row],[RED DE AGUA]]=V$2,100%,AVANCE[[#This Row],[RED DE AGUA]])</f>
        <v>0</v>
      </c>
      <c r="BN283" s="3">
        <f>+IF(AVANCE[[#This Row],[VENTILACIONES]]=W$2,100%,AVANCE[[#This Row],[VENTILACIONES]])</f>
        <v>0</v>
      </c>
      <c r="BO283" s="3">
        <f>+IF(AVANCE[[#This Row],[TINA]]=X$2,100%,AVANCE[[#This Row],[TINA]])</f>
        <v>0</v>
      </c>
      <c r="BP283" s="3">
        <f>+IF(AVANCE[[#This Row],[WC]]=Y$2,100%,AVANCE[[#This Row],[WC]])</f>
        <v>0</v>
      </c>
      <c r="BQ283" s="3">
        <f>+IF(AVANCE[[#This Row],[LAVAMANOS / LAVAPLATOS / LAVADERO]]=Z$2,100%,AVANCE[[#This Row],[LAVAMANOS / LAVAPLATOS / LAVADERO]])</f>
        <v>0</v>
      </c>
      <c r="BR283" s="3">
        <f>+IF(AVANCE[[#This Row],[CANALIZACIÓN]]=AC$2,100%,AVANCE[[#This Row],[CANALIZACIÓN]])</f>
        <v>0</v>
      </c>
      <c r="BS283" s="3">
        <f>+IF(AVANCE[[#This Row],[CABLEADO]]=AD$2,100%,AVANCE[[#This Row],[CABLEADO]])</f>
        <v>0</v>
      </c>
      <c r="BT283" s="3">
        <f>+IF(AVANCE[[#This Row],[ARTEFACTOS]]=AE$2,100%,AVANCE[[#This Row],[ARTEFACTOS]])</f>
        <v>0</v>
      </c>
      <c r="BU283" s="3">
        <f>+IF(AVANCE[[#This Row],[TABLERO]]=AF$2,100%,AVANCE[[#This Row],[TABLERO]])</f>
        <v>0</v>
      </c>
      <c r="BV283" s="3">
        <f>+IF(AVANCE[[#This Row],[CAJA PAU]]=AG$2,100%,AVANCE[[#This Row],[CAJA PAU]])</f>
        <v>0</v>
      </c>
      <c r="BW283" s="3">
        <f>+IF(AVANCE[[#This Row],[INSTALACION VINILICO]]=AJ$2,100%,AVANCE[[#This Row],[INSTALACION VINILICO]])</f>
        <v>0</v>
      </c>
      <c r="BX283" s="3">
        <f>+IF(AVANCE[[#This Row],[OSB CUBIERTA]]=AK$2,100%,AVANCE[[#This Row],[OSB CUBIERTA]])</f>
        <v>0</v>
      </c>
      <c r="BY283" s="3">
        <f>+IF(AVANCE[[#This Row],[BARANDA BALCON]]=AL$2,100%,AVANCE[[#This Row],[BARANDA BALCON]])</f>
        <v>0</v>
      </c>
      <c r="BZ283" s="3">
        <f>+IF(AVANCE[[#This Row],[OSB EXTERIOR]]=AM$2,100%,AVANCE[[#This Row],[OSB EXTERIOR]])</f>
        <v>0</v>
      </c>
      <c r="CA283" s="3">
        <f>+IF(AVANCE[[#This Row],[SMART PANEL]]=AN$2,100%,AVANCE[[#This Row],[SMART PANEL]])</f>
        <v>0</v>
      </c>
      <c r="CB283" s="3">
        <f>+IF(AVANCE[[#This Row],[PINTURA EXTERIOR]]=AO$2,100%,AVANCE[[#This Row],[PINTURA EXTERIOR]])</f>
        <v>0</v>
      </c>
      <c r="CC283" s="3">
        <f>+IF(AVANCE[[#This Row],[ZOCALOS LOGIA]]=AP$2,100%,AVANCE[[#This Row],[ZOCALOS LOGIA]])</f>
        <v>0</v>
      </c>
      <c r="CD283" s="3">
        <f>+IF(AVANCE[[#This Row],[MOLDURAS]]=AQ$2,100%,AVANCE[[#This Row],[MOLDURAS]])</f>
        <v>0</v>
      </c>
      <c r="CE283" s="3">
        <f>+IF(AVANCE[[#This Row],[PILASTREO]]=AR$2,100%,AVANCE[[#This Row],[PILASTREO]])</f>
        <v>0</v>
      </c>
      <c r="CF283" s="3">
        <f>+IF(AVANCE[[#This Row],[CELOSIAS]]=AS$2,100%,AVANCE[[#This Row],[CELOSIAS]])</f>
        <v>0</v>
      </c>
      <c r="CG283" s="3">
        <f>+IF(AVANCE[[#This Row],[VENTANAS]]=AT$2,100%,AVANCE[[#This Row],[VENTANAS]])</f>
        <v>0</v>
      </c>
      <c r="CH283" s="3">
        <f>+IF(AVANCE[[#This Row],[PUERTAS ACCESO - LOGIA - BANO]]=AU$2,100%,AVANCE[[#This Row],[PUERTAS ACCESO - LOGIA - BANO]])</f>
        <v>0</v>
      </c>
      <c r="CI283" s="3">
        <f>+IF(AVANCE[[#This Row],[CERRADURAS]]=AV$2,100%,AVANCE[[#This Row],[CERRADURAS]])</f>
        <v>0</v>
      </c>
      <c r="CJ283" s="3">
        <f>+IF(AVANCE[[#This Row],[REVESTIMIENTO INTERIOR ZONA SECA]]=AW$2,100%,AVANCE[[#This Row],[REVESTIMIENTO INTERIOR ZONA SECA]])</f>
        <v>0</v>
      </c>
      <c r="CK283" s="3">
        <f>+IF(AVANCE[[#This Row],[REVESTIMIENTO INTERIOR ZONAS HUMEDAS]]=AX$2,100%,AVANCE[[#This Row],[REVESTIMIENTO INTERIOR ZONAS HUMEDAS]])</f>
        <v>0</v>
      </c>
      <c r="CL283" s="3">
        <f>+IF(AVANCE[[#This Row],[MEMBRANA CIELO]]=AY$2,100%,AVANCE[[#This Row],[MEMBRANA CIELO]])</f>
        <v>0</v>
      </c>
      <c r="CM283" s="3">
        <f>+IF(AVANCE[[#This Row],[LIMPIEZA FINAL]]=AZ$2,100%,AVANCE[[#This Row],[LIMPIEZA FINAL]])</f>
        <v>0</v>
      </c>
      <c r="CN283" s="3">
        <f>+IF(AVANCE[[#This Row],[PUERTAS DORMITORIO]]=BA$2,100%,AVANCE[[#This Row],[PUERTAS DORMITORIO]])</f>
        <v>0</v>
      </c>
      <c r="CO283" s="3">
        <f>+IF(AVANCE[[#This Row],[REVESTIMIENTO INTERIOR BANO]]=BB$2,100%,AVANCE[[#This Row],[REVESTIMIENTO INTERIOR BANO]])</f>
        <v>0</v>
      </c>
      <c r="CP283" s="3">
        <f>+IF(AVANCE[[#This Row],[MUEBLE LAVAPLATOS]]=BC$2,100%,AVANCE[[#This Row],[MUEBLE LAVAPLATOS]])</f>
        <v>0</v>
      </c>
      <c r="CQ283" s="3">
        <f>+IF(AVANCE[[#This Row],[IMPERMEABILIZACION BANO - COCINA LOGIA]]=BD$2,100%,AVANCE[[#This Row],[IMPERMEABILIZACION BANO - COCINA LOGIA]])</f>
        <v>0</v>
      </c>
      <c r="CR283" s="40">
        <f ca="1">+IF(AVANCE[[#This Row],[ESTADO MODULO]]="PENDIENTE",(TODAY()-AVANCE[[#This Row],[FECHA TERMINO  PLANIFICADO]]),0)</f>
        <v>0</v>
      </c>
      <c r="CS283" s="42" t="str" cm="1">
        <f t="array" ref="CS283">_xlfn.TEXTJOIN(" | ",TRUE,IF(SUMPRODUCT((BF283:CQ283&lt;1)*(PARTIDAS!$I$2:$AT$2="OBRA GRUESA"))&gt;0,"OBRA GRUESA: "&amp;_xlfn.TEXTJOIN(", ",TRUE,IF((BF283:CQ283&lt;1)*(PARTIDAS!$I$2:$AT$2="OBRA GRUESA"),PARTIDAS!$I$1:$AT$1,"")),""),IF(SUMPRODUCT((BF283:CQ283&lt;1)*(PARTIDAS!$I$2:$AT$2="SANITARIOS"))&gt;0,"SANITARIOS: "&amp;_xlfn.TEXTJOIN(", ",TRUE,IF((BF283:CQ283&lt;1)*(PARTIDAS!$I$2:$AT$2="SANITARIOS"),PARTIDAS!$I$1:$AT$1,"")),""),IF(SUMPRODUCT((BF283:CQ283&lt;1)*(PARTIDAS!$I$2:$AT$2="ELÉCTRICO"))&gt;0,"ELÉCTRICO: "&amp;_xlfn.TEXTJOIN(", ",TRUE,IF((BF283:CQ283&lt;1)*(PARTIDAS!$I$2:$AT$2="ELÉCTRICO"),PARTIDAS!$I$1:$AT$1,"")),""),IF(SUMPRODUCT((BF283:CQ283&lt;1)*(PARTIDAS!$I$2:$AT$2="TERMINACIONES"))&gt;0,"TERMINACIONES: "&amp;_xlfn.TEXTJOIN(", ",TRUE,IF((BF283:CQ283&lt;1)*(PARTIDAS!$I$2:$AT$2="TERMINACIONES"),PARTIDAS!$I$1:$AT$1,"")),""))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3" s="45" t="str" cm="1">
        <f t="array" ref="CT283">_xlfn.TEXTJOIN(", ",TRUE,IF(SUMPRODUCT((BF283:CQ283&lt;1)*(PARTIDAS!$I$2:$AT$2="OBRA GRUESA"))&gt;0,"OBRA GRUESA",""),IF(SUMPRODUCT((BF283:CQ283&lt;1)*(PARTIDAS!$I$2:$AT$2="SANITARIOS"))&gt;0,"SANITARIOS",""),IF(SUMPRODUCT((BF283:CQ283&lt;1)*(PARTIDAS!$I$2:$AT$2="ELÉCTRICO"))&gt;0,"ELÉCTRICO",""),IF(SUMPRODUCT((BF283:CQ283&lt;1)*(PARTIDAS!$I$2:$AT$2="TERMINACIONES"))&gt;0,"TERMINACIONES",""))</f>
        <v>OBRA GRUESA, SANITARIOS, ELÉCTRICO, TERMINACIONES</v>
      </c>
      <c r="CU283" s="46" cm="1">
        <f t="array" ref="CU283">SUMPRODUCT(--(BF283:CQ283&lt;1))</f>
        <v>38</v>
      </c>
    </row>
    <row r="284" spans="1:99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46181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 s="3" t="str">
        <f>+IF(AVANCE[[#This Row],[% AVANCE]]=100%,"MODULO TERMINADO",IF(AVANCE[[#This Row],[FECHA INICIO REAL]]="","MODULO NO INICIADO","PENDIENTE"))</f>
        <v>MODULO NO INICIADO</v>
      </c>
      <c r="BF284" s="3">
        <f>+IF(AVANCE[[#This Row],[VENTANAS]]=8.10810810810811%,100%,AVANCE[[#This Row],[VENTANAS]])</f>
        <v>0</v>
      </c>
      <c r="BG284" s="3">
        <f>+IF(AVANCE[[#This Row],[PISO]]=N$2,100%,AVANCE[[#This Row],[PISO]])</f>
        <v>0</v>
      </c>
      <c r="BH284" s="3">
        <f>+IF(AVANCE[[#This Row],[TABIQUES]]=O$2,100%,AVANCE[[#This Row],[TABIQUES]])</f>
        <v>0</v>
      </c>
      <c r="BI284" s="3">
        <f>+IF(AVANCE[[#This Row],[MUROS]]=P$2,100%,AVANCE[[#This Row],[MUROS]])</f>
        <v>0</v>
      </c>
      <c r="BJ284" s="3">
        <f>+IF(AVANCE[[#This Row],[CIELO]]=Q$2,100%,AVANCE[[#This Row],[CIELO]])</f>
        <v>0</v>
      </c>
      <c r="BK284" s="3">
        <f>+IF(AVANCE[[#This Row],[BALCÓN]]=R$2,100%,AVANCE[[#This Row],[BALCÓN]])</f>
        <v>0</v>
      </c>
      <c r="BL284" s="3">
        <f>+IF(AVANCE[[#This Row],[RED ALCANTARILLADO]]=U$2,100%,AVANCE[[#This Row],[RED ALCANTARILLADO]])</f>
        <v>0</v>
      </c>
      <c r="BM284" s="3">
        <f>+IF(AVANCE[[#This Row],[RED DE AGUA]]=V$2,100%,AVANCE[[#This Row],[RED DE AGUA]])</f>
        <v>0</v>
      </c>
      <c r="BN284" s="3">
        <f>+IF(AVANCE[[#This Row],[VENTILACIONES]]=W$2,100%,AVANCE[[#This Row],[VENTILACIONES]])</f>
        <v>0</v>
      </c>
      <c r="BO284" s="3">
        <f>+IF(AVANCE[[#This Row],[TINA]]=X$2,100%,AVANCE[[#This Row],[TINA]])</f>
        <v>0</v>
      </c>
      <c r="BP284" s="3">
        <f>+IF(AVANCE[[#This Row],[WC]]=Y$2,100%,AVANCE[[#This Row],[WC]])</f>
        <v>0</v>
      </c>
      <c r="BQ284" s="3">
        <f>+IF(AVANCE[[#This Row],[LAVAMANOS / LAVAPLATOS / LAVADERO]]=Z$2,100%,AVANCE[[#This Row],[LAVAMANOS / LAVAPLATOS / LAVADERO]])</f>
        <v>0</v>
      </c>
      <c r="BR284" s="3">
        <f>+IF(AVANCE[[#This Row],[CANALIZACIÓN]]=AC$2,100%,AVANCE[[#This Row],[CANALIZACIÓN]])</f>
        <v>0</v>
      </c>
      <c r="BS284" s="3">
        <f>+IF(AVANCE[[#This Row],[CABLEADO]]=AD$2,100%,AVANCE[[#This Row],[CABLEADO]])</f>
        <v>0</v>
      </c>
      <c r="BT284" s="3">
        <f>+IF(AVANCE[[#This Row],[ARTEFACTOS]]=AE$2,100%,AVANCE[[#This Row],[ARTEFACTOS]])</f>
        <v>0</v>
      </c>
      <c r="BU284" s="3">
        <f>+IF(AVANCE[[#This Row],[TABLERO]]=AF$2,100%,AVANCE[[#This Row],[TABLERO]])</f>
        <v>0</v>
      </c>
      <c r="BV284" s="3">
        <f>+IF(AVANCE[[#This Row],[CAJA PAU]]=AG$2,100%,AVANCE[[#This Row],[CAJA PAU]])</f>
        <v>0</v>
      </c>
      <c r="BW284" s="3">
        <f>+IF(AVANCE[[#This Row],[INSTALACION VINILICO]]=AJ$2,100%,AVANCE[[#This Row],[INSTALACION VINILICO]])</f>
        <v>0</v>
      </c>
      <c r="BX284" s="3">
        <f>+IF(AVANCE[[#This Row],[OSB CUBIERTA]]=AK$2,100%,AVANCE[[#This Row],[OSB CUBIERTA]])</f>
        <v>0</v>
      </c>
      <c r="BY284" s="3">
        <f>+IF(AVANCE[[#This Row],[BARANDA BALCON]]=AL$2,100%,AVANCE[[#This Row],[BARANDA BALCON]])</f>
        <v>0</v>
      </c>
      <c r="BZ284" s="3">
        <f>+IF(AVANCE[[#This Row],[OSB EXTERIOR]]=AM$2,100%,AVANCE[[#This Row],[OSB EXTERIOR]])</f>
        <v>0</v>
      </c>
      <c r="CA284" s="3">
        <f>+IF(AVANCE[[#This Row],[SMART PANEL]]=AN$2,100%,AVANCE[[#This Row],[SMART PANEL]])</f>
        <v>0</v>
      </c>
      <c r="CB284" s="3">
        <f>+IF(AVANCE[[#This Row],[PINTURA EXTERIOR]]=AO$2,100%,AVANCE[[#This Row],[PINTURA EXTERIOR]])</f>
        <v>0</v>
      </c>
      <c r="CC284" s="3">
        <f>+IF(AVANCE[[#This Row],[ZOCALOS LOGIA]]=AP$2,100%,AVANCE[[#This Row],[ZOCALOS LOGIA]])</f>
        <v>0</v>
      </c>
      <c r="CD284" s="3">
        <f>+IF(AVANCE[[#This Row],[MOLDURAS]]=AQ$2,100%,AVANCE[[#This Row],[MOLDURAS]])</f>
        <v>0</v>
      </c>
      <c r="CE284" s="3">
        <f>+IF(AVANCE[[#This Row],[PILASTREO]]=AR$2,100%,AVANCE[[#This Row],[PILASTREO]])</f>
        <v>0</v>
      </c>
      <c r="CF284" s="3">
        <f>+IF(AVANCE[[#This Row],[CELOSIAS]]=AS$2,100%,AVANCE[[#This Row],[CELOSIAS]])</f>
        <v>0</v>
      </c>
      <c r="CG284" s="3">
        <f>+IF(AVANCE[[#This Row],[VENTANAS]]=AT$2,100%,AVANCE[[#This Row],[VENTANAS]])</f>
        <v>0</v>
      </c>
      <c r="CH284" s="3">
        <f>+IF(AVANCE[[#This Row],[PUERTAS ACCESO - LOGIA - BANO]]=AU$2,100%,AVANCE[[#This Row],[PUERTAS ACCESO - LOGIA - BANO]])</f>
        <v>0</v>
      </c>
      <c r="CI284" s="3">
        <f>+IF(AVANCE[[#This Row],[CERRADURAS]]=AV$2,100%,AVANCE[[#This Row],[CERRADURAS]])</f>
        <v>0</v>
      </c>
      <c r="CJ284" s="3">
        <f>+IF(AVANCE[[#This Row],[REVESTIMIENTO INTERIOR ZONA SECA]]=AW$2,100%,AVANCE[[#This Row],[REVESTIMIENTO INTERIOR ZONA SECA]])</f>
        <v>0</v>
      </c>
      <c r="CK284" s="3">
        <f>+IF(AVANCE[[#This Row],[REVESTIMIENTO INTERIOR ZONAS HUMEDAS]]=AX$2,100%,AVANCE[[#This Row],[REVESTIMIENTO INTERIOR ZONAS HUMEDAS]])</f>
        <v>0</v>
      </c>
      <c r="CL284" s="3">
        <f>+IF(AVANCE[[#This Row],[MEMBRANA CIELO]]=AY$2,100%,AVANCE[[#This Row],[MEMBRANA CIELO]])</f>
        <v>0</v>
      </c>
      <c r="CM284" s="3">
        <f>+IF(AVANCE[[#This Row],[LIMPIEZA FINAL]]=AZ$2,100%,AVANCE[[#This Row],[LIMPIEZA FINAL]])</f>
        <v>0</v>
      </c>
      <c r="CN284" s="3">
        <f>+IF(AVANCE[[#This Row],[PUERTAS DORMITORIO]]=BA$2,100%,AVANCE[[#This Row],[PUERTAS DORMITORIO]])</f>
        <v>0</v>
      </c>
      <c r="CO284" s="3">
        <f>+IF(AVANCE[[#This Row],[REVESTIMIENTO INTERIOR BANO]]=BB$2,100%,AVANCE[[#This Row],[REVESTIMIENTO INTERIOR BANO]])</f>
        <v>0</v>
      </c>
      <c r="CP284" s="3">
        <f>+IF(AVANCE[[#This Row],[MUEBLE LAVAPLATOS]]=BC$2,100%,AVANCE[[#This Row],[MUEBLE LAVAPLATOS]])</f>
        <v>0</v>
      </c>
      <c r="CQ284" s="3">
        <f>+IF(AVANCE[[#This Row],[IMPERMEABILIZACION BANO - COCINA LOGIA]]=BD$2,100%,AVANCE[[#This Row],[IMPERMEABILIZACION BANO - COCINA LOGIA]])</f>
        <v>0</v>
      </c>
      <c r="CR284" s="40">
        <f ca="1">+IF(AVANCE[[#This Row],[ESTADO MODULO]]="PENDIENTE",(TODAY()-AVANCE[[#This Row],[FECHA TERMINO  PLANIFICADO]]),0)</f>
        <v>0</v>
      </c>
      <c r="CS284" s="42" t="str" cm="1">
        <f t="array" ref="CS284">_xlfn.TEXTJOIN(" | ",TRUE,IF(SUMPRODUCT((BF284:CQ284&lt;1)*(PARTIDAS!$I$2:$AT$2="OBRA GRUESA"))&gt;0,"OBRA GRUESA: "&amp;_xlfn.TEXTJOIN(", ",TRUE,IF((BF284:CQ284&lt;1)*(PARTIDAS!$I$2:$AT$2="OBRA GRUESA"),PARTIDAS!$I$1:$AT$1,"")),""),IF(SUMPRODUCT((BF284:CQ284&lt;1)*(PARTIDAS!$I$2:$AT$2="SANITARIOS"))&gt;0,"SANITARIOS: "&amp;_xlfn.TEXTJOIN(", ",TRUE,IF((BF284:CQ284&lt;1)*(PARTIDAS!$I$2:$AT$2="SANITARIOS"),PARTIDAS!$I$1:$AT$1,"")),""),IF(SUMPRODUCT((BF284:CQ284&lt;1)*(PARTIDAS!$I$2:$AT$2="ELÉCTRICO"))&gt;0,"ELÉCTRICO: "&amp;_xlfn.TEXTJOIN(", ",TRUE,IF((BF284:CQ284&lt;1)*(PARTIDAS!$I$2:$AT$2="ELÉCTRICO"),PARTIDAS!$I$1:$AT$1,"")),""),IF(SUMPRODUCT((BF284:CQ284&lt;1)*(PARTIDAS!$I$2:$AT$2="TERMINACIONES"))&gt;0,"TERMINACIONES: "&amp;_xlfn.TEXTJOIN(", ",TRUE,IF((BF284:CQ284&lt;1)*(PARTIDAS!$I$2:$AT$2="TERMINACIONES"),PARTIDAS!$I$1:$AT$1,"")),""))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4" s="45" t="str" cm="1">
        <f t="array" ref="CT284">_xlfn.TEXTJOIN(", ",TRUE,IF(SUMPRODUCT((BF284:CQ284&lt;1)*(PARTIDAS!$I$2:$AT$2="OBRA GRUESA"))&gt;0,"OBRA GRUESA",""),IF(SUMPRODUCT((BF284:CQ284&lt;1)*(PARTIDAS!$I$2:$AT$2="SANITARIOS"))&gt;0,"SANITARIOS",""),IF(SUMPRODUCT((BF284:CQ284&lt;1)*(PARTIDAS!$I$2:$AT$2="ELÉCTRICO"))&gt;0,"ELÉCTRICO",""),IF(SUMPRODUCT((BF284:CQ284&lt;1)*(PARTIDAS!$I$2:$AT$2="TERMINACIONES"))&gt;0,"TERMINACIONES",""))</f>
        <v>OBRA GRUESA, SANITARIOS, ELÉCTRICO, TERMINACIONES</v>
      </c>
      <c r="CU284" s="46" cm="1">
        <f t="array" ref="CU284">SUMPRODUCT(--(BF284:CQ284&lt;1))</f>
        <v>38</v>
      </c>
    </row>
    <row r="285" spans="1:99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46181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 s="3" t="str">
        <f>+IF(AVANCE[[#This Row],[% AVANCE]]=100%,"MODULO TERMINADO",IF(AVANCE[[#This Row],[FECHA INICIO REAL]]="","MODULO NO INICIADO","PENDIENTE"))</f>
        <v>MODULO NO INICIADO</v>
      </c>
      <c r="BF285" s="3">
        <f>+IF(AVANCE[[#This Row],[VENTANAS]]=8.10810810810811%,100%,AVANCE[[#This Row],[VENTANAS]])</f>
        <v>0</v>
      </c>
      <c r="BG285" s="3">
        <f>+IF(AVANCE[[#This Row],[PISO]]=N$2,100%,AVANCE[[#This Row],[PISO]])</f>
        <v>0</v>
      </c>
      <c r="BH285" s="3">
        <f>+IF(AVANCE[[#This Row],[TABIQUES]]=O$2,100%,AVANCE[[#This Row],[TABIQUES]])</f>
        <v>0</v>
      </c>
      <c r="BI285" s="3">
        <f>+IF(AVANCE[[#This Row],[MUROS]]=P$2,100%,AVANCE[[#This Row],[MUROS]])</f>
        <v>0</v>
      </c>
      <c r="BJ285" s="3">
        <f>+IF(AVANCE[[#This Row],[CIELO]]=Q$2,100%,AVANCE[[#This Row],[CIELO]])</f>
        <v>0</v>
      </c>
      <c r="BK285" s="3">
        <f>+IF(AVANCE[[#This Row],[BALCÓN]]=R$2,100%,AVANCE[[#This Row],[BALCÓN]])</f>
        <v>0</v>
      </c>
      <c r="BL285" s="3">
        <f>+IF(AVANCE[[#This Row],[RED ALCANTARILLADO]]=U$2,100%,AVANCE[[#This Row],[RED ALCANTARILLADO]])</f>
        <v>0</v>
      </c>
      <c r="BM285" s="3">
        <f>+IF(AVANCE[[#This Row],[RED DE AGUA]]=V$2,100%,AVANCE[[#This Row],[RED DE AGUA]])</f>
        <v>0</v>
      </c>
      <c r="BN285" s="3">
        <f>+IF(AVANCE[[#This Row],[VENTILACIONES]]=W$2,100%,AVANCE[[#This Row],[VENTILACIONES]])</f>
        <v>0</v>
      </c>
      <c r="BO285" s="3">
        <f>+IF(AVANCE[[#This Row],[TINA]]=X$2,100%,AVANCE[[#This Row],[TINA]])</f>
        <v>0</v>
      </c>
      <c r="BP285" s="3">
        <f>+IF(AVANCE[[#This Row],[WC]]=Y$2,100%,AVANCE[[#This Row],[WC]])</f>
        <v>0</v>
      </c>
      <c r="BQ285" s="3">
        <f>+IF(AVANCE[[#This Row],[LAVAMANOS / LAVAPLATOS / LAVADERO]]=Z$2,100%,AVANCE[[#This Row],[LAVAMANOS / LAVAPLATOS / LAVADERO]])</f>
        <v>0</v>
      </c>
      <c r="BR285" s="3">
        <f>+IF(AVANCE[[#This Row],[CANALIZACIÓN]]=AC$2,100%,AVANCE[[#This Row],[CANALIZACIÓN]])</f>
        <v>0</v>
      </c>
      <c r="BS285" s="3">
        <f>+IF(AVANCE[[#This Row],[CABLEADO]]=AD$2,100%,AVANCE[[#This Row],[CABLEADO]])</f>
        <v>0</v>
      </c>
      <c r="BT285" s="3">
        <f>+IF(AVANCE[[#This Row],[ARTEFACTOS]]=AE$2,100%,AVANCE[[#This Row],[ARTEFACTOS]])</f>
        <v>0</v>
      </c>
      <c r="BU285" s="3">
        <f>+IF(AVANCE[[#This Row],[TABLERO]]=AF$2,100%,AVANCE[[#This Row],[TABLERO]])</f>
        <v>0</v>
      </c>
      <c r="BV285" s="3">
        <f>+IF(AVANCE[[#This Row],[CAJA PAU]]=AG$2,100%,AVANCE[[#This Row],[CAJA PAU]])</f>
        <v>0</v>
      </c>
      <c r="BW285" s="3">
        <f>+IF(AVANCE[[#This Row],[INSTALACION VINILICO]]=AJ$2,100%,AVANCE[[#This Row],[INSTALACION VINILICO]])</f>
        <v>0</v>
      </c>
      <c r="BX285" s="3">
        <f>+IF(AVANCE[[#This Row],[OSB CUBIERTA]]=AK$2,100%,AVANCE[[#This Row],[OSB CUBIERTA]])</f>
        <v>0</v>
      </c>
      <c r="BY285" s="3">
        <f>+IF(AVANCE[[#This Row],[BARANDA BALCON]]=AL$2,100%,AVANCE[[#This Row],[BARANDA BALCON]])</f>
        <v>0</v>
      </c>
      <c r="BZ285" s="3">
        <f>+IF(AVANCE[[#This Row],[OSB EXTERIOR]]=AM$2,100%,AVANCE[[#This Row],[OSB EXTERIOR]])</f>
        <v>0</v>
      </c>
      <c r="CA285" s="3">
        <f>+IF(AVANCE[[#This Row],[SMART PANEL]]=AN$2,100%,AVANCE[[#This Row],[SMART PANEL]])</f>
        <v>0</v>
      </c>
      <c r="CB285" s="3">
        <f>+IF(AVANCE[[#This Row],[PINTURA EXTERIOR]]=AO$2,100%,AVANCE[[#This Row],[PINTURA EXTERIOR]])</f>
        <v>0</v>
      </c>
      <c r="CC285" s="3">
        <f>+IF(AVANCE[[#This Row],[ZOCALOS LOGIA]]=AP$2,100%,AVANCE[[#This Row],[ZOCALOS LOGIA]])</f>
        <v>0</v>
      </c>
      <c r="CD285" s="3">
        <f>+IF(AVANCE[[#This Row],[MOLDURAS]]=AQ$2,100%,AVANCE[[#This Row],[MOLDURAS]])</f>
        <v>0</v>
      </c>
      <c r="CE285" s="3">
        <f>+IF(AVANCE[[#This Row],[PILASTREO]]=AR$2,100%,AVANCE[[#This Row],[PILASTREO]])</f>
        <v>0</v>
      </c>
      <c r="CF285" s="3">
        <f>+IF(AVANCE[[#This Row],[CELOSIAS]]=AS$2,100%,AVANCE[[#This Row],[CELOSIAS]])</f>
        <v>0</v>
      </c>
      <c r="CG285" s="3">
        <f>+IF(AVANCE[[#This Row],[VENTANAS]]=AT$2,100%,AVANCE[[#This Row],[VENTANAS]])</f>
        <v>0</v>
      </c>
      <c r="CH285" s="3">
        <f>+IF(AVANCE[[#This Row],[PUERTAS ACCESO - LOGIA - BANO]]=AU$2,100%,AVANCE[[#This Row],[PUERTAS ACCESO - LOGIA - BANO]])</f>
        <v>0</v>
      </c>
      <c r="CI285" s="3">
        <f>+IF(AVANCE[[#This Row],[CERRADURAS]]=AV$2,100%,AVANCE[[#This Row],[CERRADURAS]])</f>
        <v>0</v>
      </c>
      <c r="CJ285" s="3">
        <f>+IF(AVANCE[[#This Row],[REVESTIMIENTO INTERIOR ZONA SECA]]=AW$2,100%,AVANCE[[#This Row],[REVESTIMIENTO INTERIOR ZONA SECA]])</f>
        <v>0</v>
      </c>
      <c r="CK285" s="3">
        <f>+IF(AVANCE[[#This Row],[REVESTIMIENTO INTERIOR ZONAS HUMEDAS]]=AX$2,100%,AVANCE[[#This Row],[REVESTIMIENTO INTERIOR ZONAS HUMEDAS]])</f>
        <v>0</v>
      </c>
      <c r="CL285" s="3">
        <f>+IF(AVANCE[[#This Row],[MEMBRANA CIELO]]=AY$2,100%,AVANCE[[#This Row],[MEMBRANA CIELO]])</f>
        <v>0</v>
      </c>
      <c r="CM285" s="3">
        <f>+IF(AVANCE[[#This Row],[LIMPIEZA FINAL]]=AZ$2,100%,AVANCE[[#This Row],[LIMPIEZA FINAL]])</f>
        <v>0</v>
      </c>
      <c r="CN285" s="3">
        <f>+IF(AVANCE[[#This Row],[PUERTAS DORMITORIO]]=BA$2,100%,AVANCE[[#This Row],[PUERTAS DORMITORIO]])</f>
        <v>0</v>
      </c>
      <c r="CO285" s="3">
        <f>+IF(AVANCE[[#This Row],[REVESTIMIENTO INTERIOR BANO]]=BB$2,100%,AVANCE[[#This Row],[REVESTIMIENTO INTERIOR BANO]])</f>
        <v>0</v>
      </c>
      <c r="CP285" s="3">
        <f>+IF(AVANCE[[#This Row],[MUEBLE LAVAPLATOS]]=BC$2,100%,AVANCE[[#This Row],[MUEBLE LAVAPLATOS]])</f>
        <v>0</v>
      </c>
      <c r="CQ285" s="3">
        <f>+IF(AVANCE[[#This Row],[IMPERMEABILIZACION BANO - COCINA LOGIA]]=BD$2,100%,AVANCE[[#This Row],[IMPERMEABILIZACION BANO - COCINA LOGIA]])</f>
        <v>0</v>
      </c>
      <c r="CR285" s="40">
        <f ca="1">+IF(AVANCE[[#This Row],[ESTADO MODULO]]="PENDIENTE",(TODAY()-AVANCE[[#This Row],[FECHA TERMINO  PLANIFICADO]]),0)</f>
        <v>0</v>
      </c>
      <c r="CS285" s="42" t="str" cm="1">
        <f t="array" ref="CS285">_xlfn.TEXTJOIN(" | ",TRUE,IF(SUMPRODUCT((BF285:CQ285&lt;1)*(PARTIDAS!$I$2:$AT$2="OBRA GRUESA"))&gt;0,"OBRA GRUESA: "&amp;_xlfn.TEXTJOIN(", ",TRUE,IF((BF285:CQ285&lt;1)*(PARTIDAS!$I$2:$AT$2="OBRA GRUESA"),PARTIDAS!$I$1:$AT$1,"")),""),IF(SUMPRODUCT((BF285:CQ285&lt;1)*(PARTIDAS!$I$2:$AT$2="SANITARIOS"))&gt;0,"SANITARIOS: "&amp;_xlfn.TEXTJOIN(", ",TRUE,IF((BF285:CQ285&lt;1)*(PARTIDAS!$I$2:$AT$2="SANITARIOS"),PARTIDAS!$I$1:$AT$1,"")),""),IF(SUMPRODUCT((BF285:CQ285&lt;1)*(PARTIDAS!$I$2:$AT$2="ELÉCTRICO"))&gt;0,"ELÉCTRICO: "&amp;_xlfn.TEXTJOIN(", ",TRUE,IF((BF285:CQ285&lt;1)*(PARTIDAS!$I$2:$AT$2="ELÉCTRICO"),PARTIDAS!$I$1:$AT$1,"")),""),IF(SUMPRODUCT((BF285:CQ285&lt;1)*(PARTIDAS!$I$2:$AT$2="TERMINACIONES"))&gt;0,"TERMINACIONES: "&amp;_xlfn.TEXTJOIN(", ",TRUE,IF((BF285:CQ285&lt;1)*(PARTIDAS!$I$2:$AT$2="TERMINACIONES"),PARTIDAS!$I$1:$AT$1,"")),""))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5" s="45" t="str" cm="1">
        <f t="array" ref="CT285">_xlfn.TEXTJOIN(", ",TRUE,IF(SUMPRODUCT((BF285:CQ285&lt;1)*(PARTIDAS!$I$2:$AT$2="OBRA GRUESA"))&gt;0,"OBRA GRUESA",""),IF(SUMPRODUCT((BF285:CQ285&lt;1)*(PARTIDAS!$I$2:$AT$2="SANITARIOS"))&gt;0,"SANITARIOS",""),IF(SUMPRODUCT((BF285:CQ285&lt;1)*(PARTIDAS!$I$2:$AT$2="ELÉCTRICO"))&gt;0,"ELÉCTRICO",""),IF(SUMPRODUCT((BF285:CQ285&lt;1)*(PARTIDAS!$I$2:$AT$2="TERMINACIONES"))&gt;0,"TERMINACIONES",""))</f>
        <v>OBRA GRUESA, SANITARIOS, ELÉCTRICO, TERMINACIONES</v>
      </c>
      <c r="CU285" s="46" cm="1">
        <f t="array" ref="CU285">SUMPRODUCT(--(BF285:CQ285&lt;1))</f>
        <v>38</v>
      </c>
    </row>
    <row r="286" spans="1:99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46181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 s="3" t="str">
        <f>+IF(AVANCE[[#This Row],[% AVANCE]]=100%,"MODULO TERMINADO",IF(AVANCE[[#This Row],[FECHA INICIO REAL]]="","MODULO NO INICIADO","PENDIENTE"))</f>
        <v>MODULO NO INICIADO</v>
      </c>
      <c r="BF286" s="3">
        <f>+IF(AVANCE[[#This Row],[VENTANAS]]=8.10810810810811%,100%,AVANCE[[#This Row],[VENTANAS]])</f>
        <v>0</v>
      </c>
      <c r="BG286" s="3">
        <f>+IF(AVANCE[[#This Row],[PISO]]=N$2,100%,AVANCE[[#This Row],[PISO]])</f>
        <v>0</v>
      </c>
      <c r="BH286" s="3">
        <f>+IF(AVANCE[[#This Row],[TABIQUES]]=O$2,100%,AVANCE[[#This Row],[TABIQUES]])</f>
        <v>0</v>
      </c>
      <c r="BI286" s="3">
        <f>+IF(AVANCE[[#This Row],[MUROS]]=P$2,100%,AVANCE[[#This Row],[MUROS]])</f>
        <v>0</v>
      </c>
      <c r="BJ286" s="3">
        <f>+IF(AVANCE[[#This Row],[CIELO]]=Q$2,100%,AVANCE[[#This Row],[CIELO]])</f>
        <v>0</v>
      </c>
      <c r="BK286" s="3">
        <f>+IF(AVANCE[[#This Row],[BALCÓN]]=R$2,100%,AVANCE[[#This Row],[BALCÓN]])</f>
        <v>0</v>
      </c>
      <c r="BL286" s="3">
        <f>+IF(AVANCE[[#This Row],[RED ALCANTARILLADO]]=U$2,100%,AVANCE[[#This Row],[RED ALCANTARILLADO]])</f>
        <v>0</v>
      </c>
      <c r="BM286" s="3">
        <f>+IF(AVANCE[[#This Row],[RED DE AGUA]]=V$2,100%,AVANCE[[#This Row],[RED DE AGUA]])</f>
        <v>0</v>
      </c>
      <c r="BN286" s="3">
        <f>+IF(AVANCE[[#This Row],[VENTILACIONES]]=W$2,100%,AVANCE[[#This Row],[VENTILACIONES]])</f>
        <v>0</v>
      </c>
      <c r="BO286" s="3">
        <f>+IF(AVANCE[[#This Row],[TINA]]=X$2,100%,AVANCE[[#This Row],[TINA]])</f>
        <v>0</v>
      </c>
      <c r="BP286" s="3">
        <f>+IF(AVANCE[[#This Row],[WC]]=Y$2,100%,AVANCE[[#This Row],[WC]])</f>
        <v>0</v>
      </c>
      <c r="BQ286" s="3">
        <f>+IF(AVANCE[[#This Row],[LAVAMANOS / LAVAPLATOS / LAVADERO]]=Z$2,100%,AVANCE[[#This Row],[LAVAMANOS / LAVAPLATOS / LAVADERO]])</f>
        <v>0</v>
      </c>
      <c r="BR286" s="3">
        <f>+IF(AVANCE[[#This Row],[CANALIZACIÓN]]=AC$2,100%,AVANCE[[#This Row],[CANALIZACIÓN]])</f>
        <v>0</v>
      </c>
      <c r="BS286" s="3">
        <f>+IF(AVANCE[[#This Row],[CABLEADO]]=AD$2,100%,AVANCE[[#This Row],[CABLEADO]])</f>
        <v>0</v>
      </c>
      <c r="BT286" s="3">
        <f>+IF(AVANCE[[#This Row],[ARTEFACTOS]]=AE$2,100%,AVANCE[[#This Row],[ARTEFACTOS]])</f>
        <v>0</v>
      </c>
      <c r="BU286" s="3">
        <f>+IF(AVANCE[[#This Row],[TABLERO]]=AF$2,100%,AVANCE[[#This Row],[TABLERO]])</f>
        <v>0</v>
      </c>
      <c r="BV286" s="3">
        <f>+IF(AVANCE[[#This Row],[CAJA PAU]]=AG$2,100%,AVANCE[[#This Row],[CAJA PAU]])</f>
        <v>0</v>
      </c>
      <c r="BW286" s="3">
        <f>+IF(AVANCE[[#This Row],[INSTALACION VINILICO]]=AJ$2,100%,AVANCE[[#This Row],[INSTALACION VINILICO]])</f>
        <v>0</v>
      </c>
      <c r="BX286" s="3">
        <f>+IF(AVANCE[[#This Row],[OSB CUBIERTA]]=AK$2,100%,AVANCE[[#This Row],[OSB CUBIERTA]])</f>
        <v>0</v>
      </c>
      <c r="BY286" s="3">
        <f>+IF(AVANCE[[#This Row],[BARANDA BALCON]]=AL$2,100%,AVANCE[[#This Row],[BARANDA BALCON]])</f>
        <v>0</v>
      </c>
      <c r="BZ286" s="3">
        <f>+IF(AVANCE[[#This Row],[OSB EXTERIOR]]=AM$2,100%,AVANCE[[#This Row],[OSB EXTERIOR]])</f>
        <v>0</v>
      </c>
      <c r="CA286" s="3">
        <f>+IF(AVANCE[[#This Row],[SMART PANEL]]=AN$2,100%,AVANCE[[#This Row],[SMART PANEL]])</f>
        <v>0</v>
      </c>
      <c r="CB286" s="3">
        <f>+IF(AVANCE[[#This Row],[PINTURA EXTERIOR]]=AO$2,100%,AVANCE[[#This Row],[PINTURA EXTERIOR]])</f>
        <v>0</v>
      </c>
      <c r="CC286" s="3">
        <f>+IF(AVANCE[[#This Row],[ZOCALOS LOGIA]]=AP$2,100%,AVANCE[[#This Row],[ZOCALOS LOGIA]])</f>
        <v>0</v>
      </c>
      <c r="CD286" s="3">
        <f>+IF(AVANCE[[#This Row],[MOLDURAS]]=AQ$2,100%,AVANCE[[#This Row],[MOLDURAS]])</f>
        <v>0</v>
      </c>
      <c r="CE286" s="3">
        <f>+IF(AVANCE[[#This Row],[PILASTREO]]=AR$2,100%,AVANCE[[#This Row],[PILASTREO]])</f>
        <v>0</v>
      </c>
      <c r="CF286" s="3">
        <f>+IF(AVANCE[[#This Row],[CELOSIAS]]=AS$2,100%,AVANCE[[#This Row],[CELOSIAS]])</f>
        <v>0</v>
      </c>
      <c r="CG286" s="3">
        <f>+IF(AVANCE[[#This Row],[VENTANAS]]=AT$2,100%,AVANCE[[#This Row],[VENTANAS]])</f>
        <v>0</v>
      </c>
      <c r="CH286" s="3">
        <f>+IF(AVANCE[[#This Row],[PUERTAS ACCESO - LOGIA - BANO]]=AU$2,100%,AVANCE[[#This Row],[PUERTAS ACCESO - LOGIA - BANO]])</f>
        <v>0</v>
      </c>
      <c r="CI286" s="3">
        <f>+IF(AVANCE[[#This Row],[CERRADURAS]]=AV$2,100%,AVANCE[[#This Row],[CERRADURAS]])</f>
        <v>0</v>
      </c>
      <c r="CJ286" s="3">
        <f>+IF(AVANCE[[#This Row],[REVESTIMIENTO INTERIOR ZONA SECA]]=AW$2,100%,AVANCE[[#This Row],[REVESTIMIENTO INTERIOR ZONA SECA]])</f>
        <v>0</v>
      </c>
      <c r="CK286" s="3">
        <f>+IF(AVANCE[[#This Row],[REVESTIMIENTO INTERIOR ZONAS HUMEDAS]]=AX$2,100%,AVANCE[[#This Row],[REVESTIMIENTO INTERIOR ZONAS HUMEDAS]])</f>
        <v>0</v>
      </c>
      <c r="CL286" s="3">
        <f>+IF(AVANCE[[#This Row],[MEMBRANA CIELO]]=AY$2,100%,AVANCE[[#This Row],[MEMBRANA CIELO]])</f>
        <v>0</v>
      </c>
      <c r="CM286" s="3">
        <f>+IF(AVANCE[[#This Row],[LIMPIEZA FINAL]]=AZ$2,100%,AVANCE[[#This Row],[LIMPIEZA FINAL]])</f>
        <v>0</v>
      </c>
      <c r="CN286" s="3">
        <f>+IF(AVANCE[[#This Row],[PUERTAS DORMITORIO]]=BA$2,100%,AVANCE[[#This Row],[PUERTAS DORMITORIO]])</f>
        <v>0</v>
      </c>
      <c r="CO286" s="3">
        <f>+IF(AVANCE[[#This Row],[REVESTIMIENTO INTERIOR BANO]]=BB$2,100%,AVANCE[[#This Row],[REVESTIMIENTO INTERIOR BANO]])</f>
        <v>0</v>
      </c>
      <c r="CP286" s="3">
        <f>+IF(AVANCE[[#This Row],[MUEBLE LAVAPLATOS]]=BC$2,100%,AVANCE[[#This Row],[MUEBLE LAVAPLATOS]])</f>
        <v>0</v>
      </c>
      <c r="CQ286" s="3">
        <f>+IF(AVANCE[[#This Row],[IMPERMEABILIZACION BANO - COCINA LOGIA]]=BD$2,100%,AVANCE[[#This Row],[IMPERMEABILIZACION BANO - COCINA LOGIA]])</f>
        <v>0</v>
      </c>
      <c r="CR286" s="40">
        <f ca="1">+IF(AVANCE[[#This Row],[ESTADO MODULO]]="PENDIENTE",(TODAY()-AVANCE[[#This Row],[FECHA TERMINO  PLANIFICADO]]),0)</f>
        <v>0</v>
      </c>
      <c r="CS286" s="42" t="str" cm="1">
        <f t="array" ref="CS286">_xlfn.TEXTJOIN(" | ",TRUE,IF(SUMPRODUCT((BF286:CQ286&lt;1)*(PARTIDAS!$I$2:$AT$2="OBRA GRUESA"))&gt;0,"OBRA GRUESA: "&amp;_xlfn.TEXTJOIN(", ",TRUE,IF((BF286:CQ286&lt;1)*(PARTIDAS!$I$2:$AT$2="OBRA GRUESA"),PARTIDAS!$I$1:$AT$1,"")),""),IF(SUMPRODUCT((BF286:CQ286&lt;1)*(PARTIDAS!$I$2:$AT$2="SANITARIOS"))&gt;0,"SANITARIOS: "&amp;_xlfn.TEXTJOIN(", ",TRUE,IF((BF286:CQ286&lt;1)*(PARTIDAS!$I$2:$AT$2="SANITARIOS"),PARTIDAS!$I$1:$AT$1,"")),""),IF(SUMPRODUCT((BF286:CQ286&lt;1)*(PARTIDAS!$I$2:$AT$2="ELÉCTRICO"))&gt;0,"ELÉCTRICO: "&amp;_xlfn.TEXTJOIN(", ",TRUE,IF((BF286:CQ286&lt;1)*(PARTIDAS!$I$2:$AT$2="ELÉCTRICO"),PARTIDAS!$I$1:$AT$1,"")),""),IF(SUMPRODUCT((BF286:CQ286&lt;1)*(PARTIDAS!$I$2:$AT$2="TERMINACIONES"))&gt;0,"TERMINACIONES: "&amp;_xlfn.TEXTJOIN(", ",TRUE,IF((BF286:CQ286&lt;1)*(PARTIDAS!$I$2:$AT$2="TERMINACIONES"),PARTIDAS!$I$1:$AT$1,"")),""))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6" s="45" t="str" cm="1">
        <f t="array" ref="CT286">_xlfn.TEXTJOIN(", ",TRUE,IF(SUMPRODUCT((BF286:CQ286&lt;1)*(PARTIDAS!$I$2:$AT$2="OBRA GRUESA"))&gt;0,"OBRA GRUESA",""),IF(SUMPRODUCT((BF286:CQ286&lt;1)*(PARTIDAS!$I$2:$AT$2="SANITARIOS"))&gt;0,"SANITARIOS",""),IF(SUMPRODUCT((BF286:CQ286&lt;1)*(PARTIDAS!$I$2:$AT$2="ELÉCTRICO"))&gt;0,"ELÉCTRICO",""),IF(SUMPRODUCT((BF286:CQ286&lt;1)*(PARTIDAS!$I$2:$AT$2="TERMINACIONES"))&gt;0,"TERMINACIONES",""))</f>
        <v>OBRA GRUESA, SANITARIOS, ELÉCTRICO, TERMINACIONES</v>
      </c>
      <c r="CU286" s="46" cm="1">
        <f t="array" ref="CU286">SUMPRODUCT(--(BF286:CQ286&lt;1))</f>
        <v>38</v>
      </c>
    </row>
    <row r="287" spans="1:99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46181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 s="3" t="str">
        <f>+IF(AVANCE[[#This Row],[% AVANCE]]=100%,"MODULO TERMINADO",IF(AVANCE[[#This Row],[FECHA INICIO REAL]]="","MODULO NO INICIADO","PENDIENTE"))</f>
        <v>MODULO NO INICIADO</v>
      </c>
      <c r="BF287" s="3">
        <f>+IF(AVANCE[[#This Row],[VENTANAS]]=8.10810810810811%,100%,AVANCE[[#This Row],[VENTANAS]])</f>
        <v>0</v>
      </c>
      <c r="BG287" s="3">
        <f>+IF(AVANCE[[#This Row],[PISO]]=N$2,100%,AVANCE[[#This Row],[PISO]])</f>
        <v>0</v>
      </c>
      <c r="BH287" s="3">
        <f>+IF(AVANCE[[#This Row],[TABIQUES]]=O$2,100%,AVANCE[[#This Row],[TABIQUES]])</f>
        <v>0</v>
      </c>
      <c r="BI287" s="3">
        <f>+IF(AVANCE[[#This Row],[MUROS]]=P$2,100%,AVANCE[[#This Row],[MUROS]])</f>
        <v>0</v>
      </c>
      <c r="BJ287" s="3">
        <f>+IF(AVANCE[[#This Row],[CIELO]]=Q$2,100%,AVANCE[[#This Row],[CIELO]])</f>
        <v>0</v>
      </c>
      <c r="BK287" s="3">
        <f>+IF(AVANCE[[#This Row],[BALCÓN]]=R$2,100%,AVANCE[[#This Row],[BALCÓN]])</f>
        <v>0</v>
      </c>
      <c r="BL287" s="3">
        <f>+IF(AVANCE[[#This Row],[RED ALCANTARILLADO]]=U$2,100%,AVANCE[[#This Row],[RED ALCANTARILLADO]])</f>
        <v>0</v>
      </c>
      <c r="BM287" s="3">
        <f>+IF(AVANCE[[#This Row],[RED DE AGUA]]=V$2,100%,AVANCE[[#This Row],[RED DE AGUA]])</f>
        <v>0</v>
      </c>
      <c r="BN287" s="3">
        <f>+IF(AVANCE[[#This Row],[VENTILACIONES]]=W$2,100%,AVANCE[[#This Row],[VENTILACIONES]])</f>
        <v>0</v>
      </c>
      <c r="BO287" s="3">
        <f>+IF(AVANCE[[#This Row],[TINA]]=X$2,100%,AVANCE[[#This Row],[TINA]])</f>
        <v>0</v>
      </c>
      <c r="BP287" s="3">
        <f>+IF(AVANCE[[#This Row],[WC]]=Y$2,100%,AVANCE[[#This Row],[WC]])</f>
        <v>0</v>
      </c>
      <c r="BQ287" s="3">
        <f>+IF(AVANCE[[#This Row],[LAVAMANOS / LAVAPLATOS / LAVADERO]]=Z$2,100%,AVANCE[[#This Row],[LAVAMANOS / LAVAPLATOS / LAVADERO]])</f>
        <v>0</v>
      </c>
      <c r="BR287" s="3">
        <f>+IF(AVANCE[[#This Row],[CANALIZACIÓN]]=AC$2,100%,AVANCE[[#This Row],[CANALIZACIÓN]])</f>
        <v>0</v>
      </c>
      <c r="BS287" s="3">
        <f>+IF(AVANCE[[#This Row],[CABLEADO]]=AD$2,100%,AVANCE[[#This Row],[CABLEADO]])</f>
        <v>0</v>
      </c>
      <c r="BT287" s="3">
        <f>+IF(AVANCE[[#This Row],[ARTEFACTOS]]=AE$2,100%,AVANCE[[#This Row],[ARTEFACTOS]])</f>
        <v>0</v>
      </c>
      <c r="BU287" s="3">
        <f>+IF(AVANCE[[#This Row],[TABLERO]]=AF$2,100%,AVANCE[[#This Row],[TABLERO]])</f>
        <v>0</v>
      </c>
      <c r="BV287" s="3">
        <f>+IF(AVANCE[[#This Row],[CAJA PAU]]=AG$2,100%,AVANCE[[#This Row],[CAJA PAU]])</f>
        <v>0</v>
      </c>
      <c r="BW287" s="3">
        <f>+IF(AVANCE[[#This Row],[INSTALACION VINILICO]]=AJ$2,100%,AVANCE[[#This Row],[INSTALACION VINILICO]])</f>
        <v>0</v>
      </c>
      <c r="BX287" s="3">
        <f>+IF(AVANCE[[#This Row],[OSB CUBIERTA]]=AK$2,100%,AVANCE[[#This Row],[OSB CUBIERTA]])</f>
        <v>0</v>
      </c>
      <c r="BY287" s="3">
        <f>+IF(AVANCE[[#This Row],[BARANDA BALCON]]=AL$2,100%,AVANCE[[#This Row],[BARANDA BALCON]])</f>
        <v>0</v>
      </c>
      <c r="BZ287" s="3">
        <f>+IF(AVANCE[[#This Row],[OSB EXTERIOR]]=AM$2,100%,AVANCE[[#This Row],[OSB EXTERIOR]])</f>
        <v>0</v>
      </c>
      <c r="CA287" s="3">
        <f>+IF(AVANCE[[#This Row],[SMART PANEL]]=AN$2,100%,AVANCE[[#This Row],[SMART PANEL]])</f>
        <v>0</v>
      </c>
      <c r="CB287" s="3">
        <f>+IF(AVANCE[[#This Row],[PINTURA EXTERIOR]]=AO$2,100%,AVANCE[[#This Row],[PINTURA EXTERIOR]])</f>
        <v>0</v>
      </c>
      <c r="CC287" s="3">
        <f>+IF(AVANCE[[#This Row],[ZOCALOS LOGIA]]=AP$2,100%,AVANCE[[#This Row],[ZOCALOS LOGIA]])</f>
        <v>0</v>
      </c>
      <c r="CD287" s="3">
        <f>+IF(AVANCE[[#This Row],[MOLDURAS]]=AQ$2,100%,AVANCE[[#This Row],[MOLDURAS]])</f>
        <v>0</v>
      </c>
      <c r="CE287" s="3">
        <f>+IF(AVANCE[[#This Row],[PILASTREO]]=AR$2,100%,AVANCE[[#This Row],[PILASTREO]])</f>
        <v>0</v>
      </c>
      <c r="CF287" s="3">
        <f>+IF(AVANCE[[#This Row],[CELOSIAS]]=AS$2,100%,AVANCE[[#This Row],[CELOSIAS]])</f>
        <v>0</v>
      </c>
      <c r="CG287" s="3">
        <f>+IF(AVANCE[[#This Row],[VENTANAS]]=AT$2,100%,AVANCE[[#This Row],[VENTANAS]])</f>
        <v>0</v>
      </c>
      <c r="CH287" s="3">
        <f>+IF(AVANCE[[#This Row],[PUERTAS ACCESO - LOGIA - BANO]]=AU$2,100%,AVANCE[[#This Row],[PUERTAS ACCESO - LOGIA - BANO]])</f>
        <v>0</v>
      </c>
      <c r="CI287" s="3">
        <f>+IF(AVANCE[[#This Row],[CERRADURAS]]=AV$2,100%,AVANCE[[#This Row],[CERRADURAS]])</f>
        <v>0</v>
      </c>
      <c r="CJ287" s="3">
        <f>+IF(AVANCE[[#This Row],[REVESTIMIENTO INTERIOR ZONA SECA]]=AW$2,100%,AVANCE[[#This Row],[REVESTIMIENTO INTERIOR ZONA SECA]])</f>
        <v>0</v>
      </c>
      <c r="CK287" s="3">
        <f>+IF(AVANCE[[#This Row],[REVESTIMIENTO INTERIOR ZONAS HUMEDAS]]=AX$2,100%,AVANCE[[#This Row],[REVESTIMIENTO INTERIOR ZONAS HUMEDAS]])</f>
        <v>0</v>
      </c>
      <c r="CL287" s="3">
        <f>+IF(AVANCE[[#This Row],[MEMBRANA CIELO]]=AY$2,100%,AVANCE[[#This Row],[MEMBRANA CIELO]])</f>
        <v>0</v>
      </c>
      <c r="CM287" s="3">
        <f>+IF(AVANCE[[#This Row],[LIMPIEZA FINAL]]=AZ$2,100%,AVANCE[[#This Row],[LIMPIEZA FINAL]])</f>
        <v>0</v>
      </c>
      <c r="CN287" s="3">
        <f>+IF(AVANCE[[#This Row],[PUERTAS DORMITORIO]]=BA$2,100%,AVANCE[[#This Row],[PUERTAS DORMITORIO]])</f>
        <v>0</v>
      </c>
      <c r="CO287" s="3">
        <f>+IF(AVANCE[[#This Row],[REVESTIMIENTO INTERIOR BANO]]=BB$2,100%,AVANCE[[#This Row],[REVESTIMIENTO INTERIOR BANO]])</f>
        <v>0</v>
      </c>
      <c r="CP287" s="3">
        <f>+IF(AVANCE[[#This Row],[MUEBLE LAVAPLATOS]]=BC$2,100%,AVANCE[[#This Row],[MUEBLE LAVAPLATOS]])</f>
        <v>0</v>
      </c>
      <c r="CQ287" s="3">
        <f>+IF(AVANCE[[#This Row],[IMPERMEABILIZACION BANO - COCINA LOGIA]]=BD$2,100%,AVANCE[[#This Row],[IMPERMEABILIZACION BANO - COCINA LOGIA]])</f>
        <v>0</v>
      </c>
      <c r="CR287" s="40">
        <f ca="1">+IF(AVANCE[[#This Row],[ESTADO MODULO]]="PENDIENTE",(TODAY()-AVANCE[[#This Row],[FECHA TERMINO  PLANIFICADO]]),0)</f>
        <v>0</v>
      </c>
      <c r="CS287" s="42" t="str" cm="1">
        <f t="array" ref="CS287">_xlfn.TEXTJOIN(" | ",TRUE,IF(SUMPRODUCT((BF287:CQ287&lt;1)*(PARTIDAS!$I$2:$AT$2="OBRA GRUESA"))&gt;0,"OBRA GRUESA: "&amp;_xlfn.TEXTJOIN(", ",TRUE,IF((BF287:CQ287&lt;1)*(PARTIDAS!$I$2:$AT$2="OBRA GRUESA"),PARTIDAS!$I$1:$AT$1,"")),""),IF(SUMPRODUCT((BF287:CQ287&lt;1)*(PARTIDAS!$I$2:$AT$2="SANITARIOS"))&gt;0,"SANITARIOS: "&amp;_xlfn.TEXTJOIN(", ",TRUE,IF((BF287:CQ287&lt;1)*(PARTIDAS!$I$2:$AT$2="SANITARIOS"),PARTIDAS!$I$1:$AT$1,"")),""),IF(SUMPRODUCT((BF287:CQ287&lt;1)*(PARTIDAS!$I$2:$AT$2="ELÉCTRICO"))&gt;0,"ELÉCTRICO: "&amp;_xlfn.TEXTJOIN(", ",TRUE,IF((BF287:CQ287&lt;1)*(PARTIDAS!$I$2:$AT$2="ELÉCTRICO"),PARTIDAS!$I$1:$AT$1,"")),""),IF(SUMPRODUCT((BF287:CQ287&lt;1)*(PARTIDAS!$I$2:$AT$2="TERMINACIONES"))&gt;0,"TERMINACIONES: "&amp;_xlfn.TEXTJOIN(", ",TRUE,IF((BF287:CQ287&lt;1)*(PARTIDAS!$I$2:$AT$2="TERMINACIONES"),PARTIDAS!$I$1:$AT$1,"")),""))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7" s="45" t="str" cm="1">
        <f t="array" ref="CT287">_xlfn.TEXTJOIN(", ",TRUE,IF(SUMPRODUCT((BF287:CQ287&lt;1)*(PARTIDAS!$I$2:$AT$2="OBRA GRUESA"))&gt;0,"OBRA GRUESA",""),IF(SUMPRODUCT((BF287:CQ287&lt;1)*(PARTIDAS!$I$2:$AT$2="SANITARIOS"))&gt;0,"SANITARIOS",""),IF(SUMPRODUCT((BF287:CQ287&lt;1)*(PARTIDAS!$I$2:$AT$2="ELÉCTRICO"))&gt;0,"ELÉCTRICO",""),IF(SUMPRODUCT((BF287:CQ287&lt;1)*(PARTIDAS!$I$2:$AT$2="TERMINACIONES"))&gt;0,"TERMINACIONES",""))</f>
        <v>OBRA GRUESA, SANITARIOS, ELÉCTRICO, TERMINACIONES</v>
      </c>
      <c r="CU287" s="46" cm="1">
        <f t="array" ref="CU287">SUMPRODUCT(--(BF287:CQ287&lt;1))</f>
        <v>38</v>
      </c>
    </row>
    <row r="288" spans="1:99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46181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 s="3" t="str">
        <f>+IF(AVANCE[[#This Row],[% AVANCE]]=100%,"MODULO TERMINADO",IF(AVANCE[[#This Row],[FECHA INICIO REAL]]="","MODULO NO INICIADO","PENDIENTE"))</f>
        <v>MODULO NO INICIADO</v>
      </c>
      <c r="BF288" s="3">
        <f>+IF(AVANCE[[#This Row],[VENTANAS]]=8.10810810810811%,100%,AVANCE[[#This Row],[VENTANAS]])</f>
        <v>0</v>
      </c>
      <c r="BG288" s="3">
        <f>+IF(AVANCE[[#This Row],[PISO]]=N$2,100%,AVANCE[[#This Row],[PISO]])</f>
        <v>0</v>
      </c>
      <c r="BH288" s="3">
        <f>+IF(AVANCE[[#This Row],[TABIQUES]]=O$2,100%,AVANCE[[#This Row],[TABIQUES]])</f>
        <v>0</v>
      </c>
      <c r="BI288" s="3">
        <f>+IF(AVANCE[[#This Row],[MUROS]]=P$2,100%,AVANCE[[#This Row],[MUROS]])</f>
        <v>0</v>
      </c>
      <c r="BJ288" s="3">
        <f>+IF(AVANCE[[#This Row],[CIELO]]=Q$2,100%,AVANCE[[#This Row],[CIELO]])</f>
        <v>0</v>
      </c>
      <c r="BK288" s="3">
        <f>+IF(AVANCE[[#This Row],[BALCÓN]]=R$2,100%,AVANCE[[#This Row],[BALCÓN]])</f>
        <v>0</v>
      </c>
      <c r="BL288" s="3">
        <f>+IF(AVANCE[[#This Row],[RED ALCANTARILLADO]]=U$2,100%,AVANCE[[#This Row],[RED ALCANTARILLADO]])</f>
        <v>0</v>
      </c>
      <c r="BM288" s="3">
        <f>+IF(AVANCE[[#This Row],[RED DE AGUA]]=V$2,100%,AVANCE[[#This Row],[RED DE AGUA]])</f>
        <v>0</v>
      </c>
      <c r="BN288" s="3">
        <f>+IF(AVANCE[[#This Row],[VENTILACIONES]]=W$2,100%,AVANCE[[#This Row],[VENTILACIONES]])</f>
        <v>0</v>
      </c>
      <c r="BO288" s="3">
        <f>+IF(AVANCE[[#This Row],[TINA]]=X$2,100%,AVANCE[[#This Row],[TINA]])</f>
        <v>0</v>
      </c>
      <c r="BP288" s="3">
        <f>+IF(AVANCE[[#This Row],[WC]]=Y$2,100%,AVANCE[[#This Row],[WC]])</f>
        <v>0</v>
      </c>
      <c r="BQ288" s="3">
        <f>+IF(AVANCE[[#This Row],[LAVAMANOS / LAVAPLATOS / LAVADERO]]=Z$2,100%,AVANCE[[#This Row],[LAVAMANOS / LAVAPLATOS / LAVADERO]])</f>
        <v>0</v>
      </c>
      <c r="BR288" s="3">
        <f>+IF(AVANCE[[#This Row],[CANALIZACIÓN]]=AC$2,100%,AVANCE[[#This Row],[CANALIZACIÓN]])</f>
        <v>0</v>
      </c>
      <c r="BS288" s="3">
        <f>+IF(AVANCE[[#This Row],[CABLEADO]]=AD$2,100%,AVANCE[[#This Row],[CABLEADO]])</f>
        <v>0</v>
      </c>
      <c r="BT288" s="3">
        <f>+IF(AVANCE[[#This Row],[ARTEFACTOS]]=AE$2,100%,AVANCE[[#This Row],[ARTEFACTOS]])</f>
        <v>0</v>
      </c>
      <c r="BU288" s="3">
        <f>+IF(AVANCE[[#This Row],[TABLERO]]=AF$2,100%,AVANCE[[#This Row],[TABLERO]])</f>
        <v>0</v>
      </c>
      <c r="BV288" s="3">
        <f>+IF(AVANCE[[#This Row],[CAJA PAU]]=AG$2,100%,AVANCE[[#This Row],[CAJA PAU]])</f>
        <v>0</v>
      </c>
      <c r="BW288" s="3">
        <f>+IF(AVANCE[[#This Row],[INSTALACION VINILICO]]=AJ$2,100%,AVANCE[[#This Row],[INSTALACION VINILICO]])</f>
        <v>0</v>
      </c>
      <c r="BX288" s="3">
        <f>+IF(AVANCE[[#This Row],[OSB CUBIERTA]]=AK$2,100%,AVANCE[[#This Row],[OSB CUBIERTA]])</f>
        <v>0</v>
      </c>
      <c r="BY288" s="3">
        <f>+IF(AVANCE[[#This Row],[BARANDA BALCON]]=AL$2,100%,AVANCE[[#This Row],[BARANDA BALCON]])</f>
        <v>0</v>
      </c>
      <c r="BZ288" s="3">
        <f>+IF(AVANCE[[#This Row],[OSB EXTERIOR]]=AM$2,100%,AVANCE[[#This Row],[OSB EXTERIOR]])</f>
        <v>0</v>
      </c>
      <c r="CA288" s="3">
        <f>+IF(AVANCE[[#This Row],[SMART PANEL]]=AN$2,100%,AVANCE[[#This Row],[SMART PANEL]])</f>
        <v>0</v>
      </c>
      <c r="CB288" s="3">
        <f>+IF(AVANCE[[#This Row],[PINTURA EXTERIOR]]=AO$2,100%,AVANCE[[#This Row],[PINTURA EXTERIOR]])</f>
        <v>0</v>
      </c>
      <c r="CC288" s="3">
        <f>+IF(AVANCE[[#This Row],[ZOCALOS LOGIA]]=AP$2,100%,AVANCE[[#This Row],[ZOCALOS LOGIA]])</f>
        <v>0</v>
      </c>
      <c r="CD288" s="3">
        <f>+IF(AVANCE[[#This Row],[MOLDURAS]]=AQ$2,100%,AVANCE[[#This Row],[MOLDURAS]])</f>
        <v>0</v>
      </c>
      <c r="CE288" s="3">
        <f>+IF(AVANCE[[#This Row],[PILASTREO]]=AR$2,100%,AVANCE[[#This Row],[PILASTREO]])</f>
        <v>0</v>
      </c>
      <c r="CF288" s="3">
        <f>+IF(AVANCE[[#This Row],[CELOSIAS]]=AS$2,100%,AVANCE[[#This Row],[CELOSIAS]])</f>
        <v>0</v>
      </c>
      <c r="CG288" s="3">
        <f>+IF(AVANCE[[#This Row],[VENTANAS]]=AT$2,100%,AVANCE[[#This Row],[VENTANAS]])</f>
        <v>0</v>
      </c>
      <c r="CH288" s="3">
        <f>+IF(AVANCE[[#This Row],[PUERTAS ACCESO - LOGIA - BANO]]=AU$2,100%,AVANCE[[#This Row],[PUERTAS ACCESO - LOGIA - BANO]])</f>
        <v>0</v>
      </c>
      <c r="CI288" s="3">
        <f>+IF(AVANCE[[#This Row],[CERRADURAS]]=AV$2,100%,AVANCE[[#This Row],[CERRADURAS]])</f>
        <v>0</v>
      </c>
      <c r="CJ288" s="3">
        <f>+IF(AVANCE[[#This Row],[REVESTIMIENTO INTERIOR ZONA SECA]]=AW$2,100%,AVANCE[[#This Row],[REVESTIMIENTO INTERIOR ZONA SECA]])</f>
        <v>0</v>
      </c>
      <c r="CK288" s="3">
        <f>+IF(AVANCE[[#This Row],[REVESTIMIENTO INTERIOR ZONAS HUMEDAS]]=AX$2,100%,AVANCE[[#This Row],[REVESTIMIENTO INTERIOR ZONAS HUMEDAS]])</f>
        <v>0</v>
      </c>
      <c r="CL288" s="3">
        <f>+IF(AVANCE[[#This Row],[MEMBRANA CIELO]]=AY$2,100%,AVANCE[[#This Row],[MEMBRANA CIELO]])</f>
        <v>0</v>
      </c>
      <c r="CM288" s="3">
        <f>+IF(AVANCE[[#This Row],[LIMPIEZA FINAL]]=AZ$2,100%,AVANCE[[#This Row],[LIMPIEZA FINAL]])</f>
        <v>0</v>
      </c>
      <c r="CN288" s="3">
        <f>+IF(AVANCE[[#This Row],[PUERTAS DORMITORIO]]=BA$2,100%,AVANCE[[#This Row],[PUERTAS DORMITORIO]])</f>
        <v>0</v>
      </c>
      <c r="CO288" s="3">
        <f>+IF(AVANCE[[#This Row],[REVESTIMIENTO INTERIOR BANO]]=BB$2,100%,AVANCE[[#This Row],[REVESTIMIENTO INTERIOR BANO]])</f>
        <v>0</v>
      </c>
      <c r="CP288" s="3">
        <f>+IF(AVANCE[[#This Row],[MUEBLE LAVAPLATOS]]=BC$2,100%,AVANCE[[#This Row],[MUEBLE LAVAPLATOS]])</f>
        <v>0</v>
      </c>
      <c r="CQ288" s="3">
        <f>+IF(AVANCE[[#This Row],[IMPERMEABILIZACION BANO - COCINA LOGIA]]=BD$2,100%,AVANCE[[#This Row],[IMPERMEABILIZACION BANO - COCINA LOGIA]])</f>
        <v>0</v>
      </c>
      <c r="CR288" s="40">
        <f ca="1">+IF(AVANCE[[#This Row],[ESTADO MODULO]]="PENDIENTE",(TODAY()-AVANCE[[#This Row],[FECHA TERMINO  PLANIFICADO]]),0)</f>
        <v>0</v>
      </c>
      <c r="CS288" s="42" t="str" cm="1">
        <f t="array" ref="CS288">_xlfn.TEXTJOIN(" | ",TRUE,IF(SUMPRODUCT((BF288:CQ288&lt;1)*(PARTIDAS!$I$2:$AT$2="OBRA GRUESA"))&gt;0,"OBRA GRUESA: "&amp;_xlfn.TEXTJOIN(", ",TRUE,IF((BF288:CQ288&lt;1)*(PARTIDAS!$I$2:$AT$2="OBRA GRUESA"),PARTIDAS!$I$1:$AT$1,"")),""),IF(SUMPRODUCT((BF288:CQ288&lt;1)*(PARTIDAS!$I$2:$AT$2="SANITARIOS"))&gt;0,"SANITARIOS: "&amp;_xlfn.TEXTJOIN(", ",TRUE,IF((BF288:CQ288&lt;1)*(PARTIDAS!$I$2:$AT$2="SANITARIOS"),PARTIDAS!$I$1:$AT$1,"")),""),IF(SUMPRODUCT((BF288:CQ288&lt;1)*(PARTIDAS!$I$2:$AT$2="ELÉCTRICO"))&gt;0,"ELÉCTRICO: "&amp;_xlfn.TEXTJOIN(", ",TRUE,IF((BF288:CQ288&lt;1)*(PARTIDAS!$I$2:$AT$2="ELÉCTRICO"),PARTIDAS!$I$1:$AT$1,"")),""),IF(SUMPRODUCT((BF288:CQ288&lt;1)*(PARTIDAS!$I$2:$AT$2="TERMINACIONES"))&gt;0,"TERMINACIONES: "&amp;_xlfn.TEXTJOIN(", ",TRUE,IF((BF288:CQ288&lt;1)*(PARTIDAS!$I$2:$AT$2="TERMINACIONES"),PARTIDAS!$I$1:$AT$1,"")),""))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8" s="45" t="str" cm="1">
        <f t="array" ref="CT288">_xlfn.TEXTJOIN(", ",TRUE,IF(SUMPRODUCT((BF288:CQ288&lt;1)*(PARTIDAS!$I$2:$AT$2="OBRA GRUESA"))&gt;0,"OBRA GRUESA",""),IF(SUMPRODUCT((BF288:CQ288&lt;1)*(PARTIDAS!$I$2:$AT$2="SANITARIOS"))&gt;0,"SANITARIOS",""),IF(SUMPRODUCT((BF288:CQ288&lt;1)*(PARTIDAS!$I$2:$AT$2="ELÉCTRICO"))&gt;0,"ELÉCTRICO",""),IF(SUMPRODUCT((BF288:CQ288&lt;1)*(PARTIDAS!$I$2:$AT$2="TERMINACIONES"))&gt;0,"TERMINACIONES",""))</f>
        <v>OBRA GRUESA, SANITARIOS, ELÉCTRICO, TERMINACIONES</v>
      </c>
      <c r="CU288" s="46" cm="1">
        <f t="array" ref="CU288">SUMPRODUCT(--(BF288:CQ288&lt;1))</f>
        <v>38</v>
      </c>
    </row>
    <row r="289" spans="1:99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46181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 s="3" t="str">
        <f>+IF(AVANCE[[#This Row],[% AVANCE]]=100%,"MODULO TERMINADO",IF(AVANCE[[#This Row],[FECHA INICIO REAL]]="","MODULO NO INICIADO","PENDIENTE"))</f>
        <v>MODULO NO INICIADO</v>
      </c>
      <c r="BF289" s="3">
        <f>+IF(AVANCE[[#This Row],[VENTANAS]]=8.10810810810811%,100%,AVANCE[[#This Row],[VENTANAS]])</f>
        <v>0</v>
      </c>
      <c r="BG289" s="3">
        <f>+IF(AVANCE[[#This Row],[PISO]]=N$2,100%,AVANCE[[#This Row],[PISO]])</f>
        <v>0</v>
      </c>
      <c r="BH289" s="3">
        <f>+IF(AVANCE[[#This Row],[TABIQUES]]=O$2,100%,AVANCE[[#This Row],[TABIQUES]])</f>
        <v>0</v>
      </c>
      <c r="BI289" s="3">
        <f>+IF(AVANCE[[#This Row],[MUROS]]=P$2,100%,AVANCE[[#This Row],[MUROS]])</f>
        <v>0</v>
      </c>
      <c r="BJ289" s="3">
        <f>+IF(AVANCE[[#This Row],[CIELO]]=Q$2,100%,AVANCE[[#This Row],[CIELO]])</f>
        <v>0</v>
      </c>
      <c r="BK289" s="3">
        <f>+IF(AVANCE[[#This Row],[BALCÓN]]=R$2,100%,AVANCE[[#This Row],[BALCÓN]])</f>
        <v>0</v>
      </c>
      <c r="BL289" s="3">
        <f>+IF(AVANCE[[#This Row],[RED ALCANTARILLADO]]=U$2,100%,AVANCE[[#This Row],[RED ALCANTARILLADO]])</f>
        <v>0</v>
      </c>
      <c r="BM289" s="3">
        <f>+IF(AVANCE[[#This Row],[RED DE AGUA]]=V$2,100%,AVANCE[[#This Row],[RED DE AGUA]])</f>
        <v>0</v>
      </c>
      <c r="BN289" s="3">
        <f>+IF(AVANCE[[#This Row],[VENTILACIONES]]=W$2,100%,AVANCE[[#This Row],[VENTILACIONES]])</f>
        <v>0</v>
      </c>
      <c r="BO289" s="3">
        <f>+IF(AVANCE[[#This Row],[TINA]]=X$2,100%,AVANCE[[#This Row],[TINA]])</f>
        <v>0</v>
      </c>
      <c r="BP289" s="3">
        <f>+IF(AVANCE[[#This Row],[WC]]=Y$2,100%,AVANCE[[#This Row],[WC]])</f>
        <v>0</v>
      </c>
      <c r="BQ289" s="3">
        <f>+IF(AVANCE[[#This Row],[LAVAMANOS / LAVAPLATOS / LAVADERO]]=Z$2,100%,AVANCE[[#This Row],[LAVAMANOS / LAVAPLATOS / LAVADERO]])</f>
        <v>0</v>
      </c>
      <c r="BR289" s="3">
        <f>+IF(AVANCE[[#This Row],[CANALIZACIÓN]]=AC$2,100%,AVANCE[[#This Row],[CANALIZACIÓN]])</f>
        <v>0</v>
      </c>
      <c r="BS289" s="3">
        <f>+IF(AVANCE[[#This Row],[CABLEADO]]=AD$2,100%,AVANCE[[#This Row],[CABLEADO]])</f>
        <v>0</v>
      </c>
      <c r="BT289" s="3">
        <f>+IF(AVANCE[[#This Row],[ARTEFACTOS]]=AE$2,100%,AVANCE[[#This Row],[ARTEFACTOS]])</f>
        <v>0</v>
      </c>
      <c r="BU289" s="3">
        <f>+IF(AVANCE[[#This Row],[TABLERO]]=AF$2,100%,AVANCE[[#This Row],[TABLERO]])</f>
        <v>0</v>
      </c>
      <c r="BV289" s="3">
        <f>+IF(AVANCE[[#This Row],[CAJA PAU]]=AG$2,100%,AVANCE[[#This Row],[CAJA PAU]])</f>
        <v>0</v>
      </c>
      <c r="BW289" s="3">
        <f>+IF(AVANCE[[#This Row],[INSTALACION VINILICO]]=AJ$2,100%,AVANCE[[#This Row],[INSTALACION VINILICO]])</f>
        <v>0</v>
      </c>
      <c r="BX289" s="3">
        <f>+IF(AVANCE[[#This Row],[OSB CUBIERTA]]=AK$2,100%,AVANCE[[#This Row],[OSB CUBIERTA]])</f>
        <v>0</v>
      </c>
      <c r="BY289" s="3">
        <f>+IF(AVANCE[[#This Row],[BARANDA BALCON]]=AL$2,100%,AVANCE[[#This Row],[BARANDA BALCON]])</f>
        <v>0</v>
      </c>
      <c r="BZ289" s="3">
        <f>+IF(AVANCE[[#This Row],[OSB EXTERIOR]]=AM$2,100%,AVANCE[[#This Row],[OSB EXTERIOR]])</f>
        <v>0</v>
      </c>
      <c r="CA289" s="3">
        <f>+IF(AVANCE[[#This Row],[SMART PANEL]]=AN$2,100%,AVANCE[[#This Row],[SMART PANEL]])</f>
        <v>0</v>
      </c>
      <c r="CB289" s="3">
        <f>+IF(AVANCE[[#This Row],[PINTURA EXTERIOR]]=AO$2,100%,AVANCE[[#This Row],[PINTURA EXTERIOR]])</f>
        <v>0</v>
      </c>
      <c r="CC289" s="3">
        <f>+IF(AVANCE[[#This Row],[ZOCALOS LOGIA]]=AP$2,100%,AVANCE[[#This Row],[ZOCALOS LOGIA]])</f>
        <v>0</v>
      </c>
      <c r="CD289" s="3">
        <f>+IF(AVANCE[[#This Row],[MOLDURAS]]=AQ$2,100%,AVANCE[[#This Row],[MOLDURAS]])</f>
        <v>0</v>
      </c>
      <c r="CE289" s="3">
        <f>+IF(AVANCE[[#This Row],[PILASTREO]]=AR$2,100%,AVANCE[[#This Row],[PILASTREO]])</f>
        <v>0</v>
      </c>
      <c r="CF289" s="3">
        <f>+IF(AVANCE[[#This Row],[CELOSIAS]]=AS$2,100%,AVANCE[[#This Row],[CELOSIAS]])</f>
        <v>0</v>
      </c>
      <c r="CG289" s="3">
        <f>+IF(AVANCE[[#This Row],[VENTANAS]]=AT$2,100%,AVANCE[[#This Row],[VENTANAS]])</f>
        <v>0</v>
      </c>
      <c r="CH289" s="3">
        <f>+IF(AVANCE[[#This Row],[PUERTAS ACCESO - LOGIA - BANO]]=AU$2,100%,AVANCE[[#This Row],[PUERTAS ACCESO - LOGIA - BANO]])</f>
        <v>0</v>
      </c>
      <c r="CI289" s="3">
        <f>+IF(AVANCE[[#This Row],[CERRADURAS]]=AV$2,100%,AVANCE[[#This Row],[CERRADURAS]])</f>
        <v>0</v>
      </c>
      <c r="CJ289" s="3">
        <f>+IF(AVANCE[[#This Row],[REVESTIMIENTO INTERIOR ZONA SECA]]=AW$2,100%,AVANCE[[#This Row],[REVESTIMIENTO INTERIOR ZONA SECA]])</f>
        <v>0</v>
      </c>
      <c r="CK289" s="3">
        <f>+IF(AVANCE[[#This Row],[REVESTIMIENTO INTERIOR ZONAS HUMEDAS]]=AX$2,100%,AVANCE[[#This Row],[REVESTIMIENTO INTERIOR ZONAS HUMEDAS]])</f>
        <v>0</v>
      </c>
      <c r="CL289" s="3">
        <f>+IF(AVANCE[[#This Row],[MEMBRANA CIELO]]=AY$2,100%,AVANCE[[#This Row],[MEMBRANA CIELO]])</f>
        <v>0</v>
      </c>
      <c r="CM289" s="3">
        <f>+IF(AVANCE[[#This Row],[LIMPIEZA FINAL]]=AZ$2,100%,AVANCE[[#This Row],[LIMPIEZA FINAL]])</f>
        <v>0</v>
      </c>
      <c r="CN289" s="3">
        <f>+IF(AVANCE[[#This Row],[PUERTAS DORMITORIO]]=BA$2,100%,AVANCE[[#This Row],[PUERTAS DORMITORIO]])</f>
        <v>0</v>
      </c>
      <c r="CO289" s="3">
        <f>+IF(AVANCE[[#This Row],[REVESTIMIENTO INTERIOR BANO]]=BB$2,100%,AVANCE[[#This Row],[REVESTIMIENTO INTERIOR BANO]])</f>
        <v>0</v>
      </c>
      <c r="CP289" s="3">
        <f>+IF(AVANCE[[#This Row],[MUEBLE LAVAPLATOS]]=BC$2,100%,AVANCE[[#This Row],[MUEBLE LAVAPLATOS]])</f>
        <v>0</v>
      </c>
      <c r="CQ289" s="3">
        <f>+IF(AVANCE[[#This Row],[IMPERMEABILIZACION BANO - COCINA LOGIA]]=BD$2,100%,AVANCE[[#This Row],[IMPERMEABILIZACION BANO - COCINA LOGIA]])</f>
        <v>0</v>
      </c>
      <c r="CR289" s="40">
        <f ca="1">+IF(AVANCE[[#This Row],[ESTADO MODULO]]="PENDIENTE",(TODAY()-AVANCE[[#This Row],[FECHA TERMINO  PLANIFICADO]]),0)</f>
        <v>0</v>
      </c>
      <c r="CS289" s="42" t="str" cm="1">
        <f t="array" ref="CS289">_xlfn.TEXTJOIN(" | ",TRUE,IF(SUMPRODUCT((BF289:CQ289&lt;1)*(PARTIDAS!$I$2:$AT$2="OBRA GRUESA"))&gt;0,"OBRA GRUESA: "&amp;_xlfn.TEXTJOIN(", ",TRUE,IF((BF289:CQ289&lt;1)*(PARTIDAS!$I$2:$AT$2="OBRA GRUESA"),PARTIDAS!$I$1:$AT$1,"")),""),IF(SUMPRODUCT((BF289:CQ289&lt;1)*(PARTIDAS!$I$2:$AT$2="SANITARIOS"))&gt;0,"SANITARIOS: "&amp;_xlfn.TEXTJOIN(", ",TRUE,IF((BF289:CQ289&lt;1)*(PARTIDAS!$I$2:$AT$2="SANITARIOS"),PARTIDAS!$I$1:$AT$1,"")),""),IF(SUMPRODUCT((BF289:CQ289&lt;1)*(PARTIDAS!$I$2:$AT$2="ELÉCTRICO"))&gt;0,"ELÉCTRICO: "&amp;_xlfn.TEXTJOIN(", ",TRUE,IF((BF289:CQ289&lt;1)*(PARTIDAS!$I$2:$AT$2="ELÉCTRICO"),PARTIDAS!$I$1:$AT$1,"")),""),IF(SUMPRODUCT((BF289:CQ289&lt;1)*(PARTIDAS!$I$2:$AT$2="TERMINACIONES"))&gt;0,"TERMINACIONES: "&amp;_xlfn.TEXTJOIN(", ",TRUE,IF((BF289:CQ289&lt;1)*(PARTIDAS!$I$2:$AT$2="TERMINACIONES"),PARTIDAS!$I$1:$AT$1,"")),""))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89" s="45" t="str" cm="1">
        <f t="array" ref="CT289">_xlfn.TEXTJOIN(", ",TRUE,IF(SUMPRODUCT((BF289:CQ289&lt;1)*(PARTIDAS!$I$2:$AT$2="OBRA GRUESA"))&gt;0,"OBRA GRUESA",""),IF(SUMPRODUCT((BF289:CQ289&lt;1)*(PARTIDAS!$I$2:$AT$2="SANITARIOS"))&gt;0,"SANITARIOS",""),IF(SUMPRODUCT((BF289:CQ289&lt;1)*(PARTIDAS!$I$2:$AT$2="ELÉCTRICO"))&gt;0,"ELÉCTRICO",""),IF(SUMPRODUCT((BF289:CQ289&lt;1)*(PARTIDAS!$I$2:$AT$2="TERMINACIONES"))&gt;0,"TERMINACIONES",""))</f>
        <v>OBRA GRUESA, SANITARIOS, ELÉCTRICO, TERMINACIONES</v>
      </c>
      <c r="CU289" s="46" cm="1">
        <f t="array" ref="CU289">SUMPRODUCT(--(BF289:CQ289&lt;1))</f>
        <v>38</v>
      </c>
    </row>
    <row r="290" spans="1:99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46181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 s="3" t="str">
        <f>+IF(AVANCE[[#This Row],[% AVANCE]]=100%,"MODULO TERMINADO",IF(AVANCE[[#This Row],[FECHA INICIO REAL]]="","MODULO NO INICIADO","PENDIENTE"))</f>
        <v>MODULO NO INICIADO</v>
      </c>
      <c r="BF290" s="3">
        <f>+IF(AVANCE[[#This Row],[VENTANAS]]=8.10810810810811%,100%,AVANCE[[#This Row],[VENTANAS]])</f>
        <v>0</v>
      </c>
      <c r="BG290" s="3">
        <f>+IF(AVANCE[[#This Row],[PISO]]=N$2,100%,AVANCE[[#This Row],[PISO]])</f>
        <v>0</v>
      </c>
      <c r="BH290" s="3">
        <f>+IF(AVANCE[[#This Row],[TABIQUES]]=O$2,100%,AVANCE[[#This Row],[TABIQUES]])</f>
        <v>0</v>
      </c>
      <c r="BI290" s="3">
        <f>+IF(AVANCE[[#This Row],[MUROS]]=P$2,100%,AVANCE[[#This Row],[MUROS]])</f>
        <v>0</v>
      </c>
      <c r="BJ290" s="3">
        <f>+IF(AVANCE[[#This Row],[CIELO]]=Q$2,100%,AVANCE[[#This Row],[CIELO]])</f>
        <v>0</v>
      </c>
      <c r="BK290" s="3">
        <f>+IF(AVANCE[[#This Row],[BALCÓN]]=R$2,100%,AVANCE[[#This Row],[BALCÓN]])</f>
        <v>0</v>
      </c>
      <c r="BL290" s="3">
        <f>+IF(AVANCE[[#This Row],[RED ALCANTARILLADO]]=U$2,100%,AVANCE[[#This Row],[RED ALCANTARILLADO]])</f>
        <v>0</v>
      </c>
      <c r="BM290" s="3">
        <f>+IF(AVANCE[[#This Row],[RED DE AGUA]]=V$2,100%,AVANCE[[#This Row],[RED DE AGUA]])</f>
        <v>0</v>
      </c>
      <c r="BN290" s="3">
        <f>+IF(AVANCE[[#This Row],[VENTILACIONES]]=W$2,100%,AVANCE[[#This Row],[VENTILACIONES]])</f>
        <v>0</v>
      </c>
      <c r="BO290" s="3">
        <f>+IF(AVANCE[[#This Row],[TINA]]=X$2,100%,AVANCE[[#This Row],[TINA]])</f>
        <v>0</v>
      </c>
      <c r="BP290" s="3">
        <f>+IF(AVANCE[[#This Row],[WC]]=Y$2,100%,AVANCE[[#This Row],[WC]])</f>
        <v>0</v>
      </c>
      <c r="BQ290" s="3">
        <f>+IF(AVANCE[[#This Row],[LAVAMANOS / LAVAPLATOS / LAVADERO]]=Z$2,100%,AVANCE[[#This Row],[LAVAMANOS / LAVAPLATOS / LAVADERO]])</f>
        <v>0</v>
      </c>
      <c r="BR290" s="3">
        <f>+IF(AVANCE[[#This Row],[CANALIZACIÓN]]=AC$2,100%,AVANCE[[#This Row],[CANALIZACIÓN]])</f>
        <v>0</v>
      </c>
      <c r="BS290" s="3">
        <f>+IF(AVANCE[[#This Row],[CABLEADO]]=AD$2,100%,AVANCE[[#This Row],[CABLEADO]])</f>
        <v>0</v>
      </c>
      <c r="BT290" s="3">
        <f>+IF(AVANCE[[#This Row],[ARTEFACTOS]]=AE$2,100%,AVANCE[[#This Row],[ARTEFACTOS]])</f>
        <v>0</v>
      </c>
      <c r="BU290" s="3">
        <f>+IF(AVANCE[[#This Row],[TABLERO]]=AF$2,100%,AVANCE[[#This Row],[TABLERO]])</f>
        <v>0</v>
      </c>
      <c r="BV290" s="3">
        <f>+IF(AVANCE[[#This Row],[CAJA PAU]]=AG$2,100%,AVANCE[[#This Row],[CAJA PAU]])</f>
        <v>0</v>
      </c>
      <c r="BW290" s="3">
        <f>+IF(AVANCE[[#This Row],[INSTALACION VINILICO]]=AJ$2,100%,AVANCE[[#This Row],[INSTALACION VINILICO]])</f>
        <v>0</v>
      </c>
      <c r="BX290" s="3">
        <f>+IF(AVANCE[[#This Row],[OSB CUBIERTA]]=AK$2,100%,AVANCE[[#This Row],[OSB CUBIERTA]])</f>
        <v>0</v>
      </c>
      <c r="BY290" s="3">
        <f>+IF(AVANCE[[#This Row],[BARANDA BALCON]]=AL$2,100%,AVANCE[[#This Row],[BARANDA BALCON]])</f>
        <v>0</v>
      </c>
      <c r="BZ290" s="3">
        <f>+IF(AVANCE[[#This Row],[OSB EXTERIOR]]=AM$2,100%,AVANCE[[#This Row],[OSB EXTERIOR]])</f>
        <v>0</v>
      </c>
      <c r="CA290" s="3">
        <f>+IF(AVANCE[[#This Row],[SMART PANEL]]=AN$2,100%,AVANCE[[#This Row],[SMART PANEL]])</f>
        <v>0</v>
      </c>
      <c r="CB290" s="3">
        <f>+IF(AVANCE[[#This Row],[PINTURA EXTERIOR]]=AO$2,100%,AVANCE[[#This Row],[PINTURA EXTERIOR]])</f>
        <v>0</v>
      </c>
      <c r="CC290" s="3">
        <f>+IF(AVANCE[[#This Row],[ZOCALOS LOGIA]]=AP$2,100%,AVANCE[[#This Row],[ZOCALOS LOGIA]])</f>
        <v>0</v>
      </c>
      <c r="CD290" s="3">
        <f>+IF(AVANCE[[#This Row],[MOLDURAS]]=AQ$2,100%,AVANCE[[#This Row],[MOLDURAS]])</f>
        <v>0</v>
      </c>
      <c r="CE290" s="3">
        <f>+IF(AVANCE[[#This Row],[PILASTREO]]=AR$2,100%,AVANCE[[#This Row],[PILASTREO]])</f>
        <v>0</v>
      </c>
      <c r="CF290" s="3">
        <f>+IF(AVANCE[[#This Row],[CELOSIAS]]=AS$2,100%,AVANCE[[#This Row],[CELOSIAS]])</f>
        <v>0</v>
      </c>
      <c r="CG290" s="3">
        <f>+IF(AVANCE[[#This Row],[VENTANAS]]=AT$2,100%,AVANCE[[#This Row],[VENTANAS]])</f>
        <v>0</v>
      </c>
      <c r="CH290" s="3">
        <f>+IF(AVANCE[[#This Row],[PUERTAS ACCESO - LOGIA - BANO]]=AU$2,100%,AVANCE[[#This Row],[PUERTAS ACCESO - LOGIA - BANO]])</f>
        <v>0</v>
      </c>
      <c r="CI290" s="3">
        <f>+IF(AVANCE[[#This Row],[CERRADURAS]]=AV$2,100%,AVANCE[[#This Row],[CERRADURAS]])</f>
        <v>0</v>
      </c>
      <c r="CJ290" s="3">
        <f>+IF(AVANCE[[#This Row],[REVESTIMIENTO INTERIOR ZONA SECA]]=AW$2,100%,AVANCE[[#This Row],[REVESTIMIENTO INTERIOR ZONA SECA]])</f>
        <v>0</v>
      </c>
      <c r="CK290" s="3">
        <f>+IF(AVANCE[[#This Row],[REVESTIMIENTO INTERIOR ZONAS HUMEDAS]]=AX$2,100%,AVANCE[[#This Row],[REVESTIMIENTO INTERIOR ZONAS HUMEDAS]])</f>
        <v>0</v>
      </c>
      <c r="CL290" s="3">
        <f>+IF(AVANCE[[#This Row],[MEMBRANA CIELO]]=AY$2,100%,AVANCE[[#This Row],[MEMBRANA CIELO]])</f>
        <v>0</v>
      </c>
      <c r="CM290" s="3">
        <f>+IF(AVANCE[[#This Row],[LIMPIEZA FINAL]]=AZ$2,100%,AVANCE[[#This Row],[LIMPIEZA FINAL]])</f>
        <v>0</v>
      </c>
      <c r="CN290" s="3">
        <f>+IF(AVANCE[[#This Row],[PUERTAS DORMITORIO]]=BA$2,100%,AVANCE[[#This Row],[PUERTAS DORMITORIO]])</f>
        <v>0</v>
      </c>
      <c r="CO290" s="3">
        <f>+IF(AVANCE[[#This Row],[REVESTIMIENTO INTERIOR BANO]]=BB$2,100%,AVANCE[[#This Row],[REVESTIMIENTO INTERIOR BANO]])</f>
        <v>0</v>
      </c>
      <c r="CP290" s="3">
        <f>+IF(AVANCE[[#This Row],[MUEBLE LAVAPLATOS]]=BC$2,100%,AVANCE[[#This Row],[MUEBLE LAVAPLATOS]])</f>
        <v>0</v>
      </c>
      <c r="CQ290" s="3">
        <f>+IF(AVANCE[[#This Row],[IMPERMEABILIZACION BANO - COCINA LOGIA]]=BD$2,100%,AVANCE[[#This Row],[IMPERMEABILIZACION BANO - COCINA LOGIA]])</f>
        <v>0</v>
      </c>
      <c r="CR290" s="40">
        <f ca="1">+IF(AVANCE[[#This Row],[ESTADO MODULO]]="PENDIENTE",(TODAY()-AVANCE[[#This Row],[FECHA TERMINO  PLANIFICADO]]),0)</f>
        <v>0</v>
      </c>
      <c r="CS290" s="42" t="str" cm="1">
        <f t="array" ref="CS290">_xlfn.TEXTJOIN(" | ",TRUE,IF(SUMPRODUCT((BF290:CQ290&lt;1)*(PARTIDAS!$I$2:$AT$2="OBRA GRUESA"))&gt;0,"OBRA GRUESA: "&amp;_xlfn.TEXTJOIN(", ",TRUE,IF((BF290:CQ290&lt;1)*(PARTIDAS!$I$2:$AT$2="OBRA GRUESA"),PARTIDAS!$I$1:$AT$1,"")),""),IF(SUMPRODUCT((BF290:CQ290&lt;1)*(PARTIDAS!$I$2:$AT$2="SANITARIOS"))&gt;0,"SANITARIOS: "&amp;_xlfn.TEXTJOIN(", ",TRUE,IF((BF290:CQ290&lt;1)*(PARTIDAS!$I$2:$AT$2="SANITARIOS"),PARTIDAS!$I$1:$AT$1,"")),""),IF(SUMPRODUCT((BF290:CQ290&lt;1)*(PARTIDAS!$I$2:$AT$2="ELÉCTRICO"))&gt;0,"ELÉCTRICO: "&amp;_xlfn.TEXTJOIN(", ",TRUE,IF((BF290:CQ290&lt;1)*(PARTIDAS!$I$2:$AT$2="ELÉCTRICO"),PARTIDAS!$I$1:$AT$1,"")),""),IF(SUMPRODUCT((BF290:CQ290&lt;1)*(PARTIDAS!$I$2:$AT$2="TERMINACIONES"))&gt;0,"TERMINACIONES: "&amp;_xlfn.TEXTJOIN(", ",TRUE,IF((BF290:CQ290&lt;1)*(PARTIDAS!$I$2:$AT$2="TERMINACIONES"),PARTIDAS!$I$1:$AT$1,"")),""))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0" s="45" t="str" cm="1">
        <f t="array" ref="CT290">_xlfn.TEXTJOIN(", ",TRUE,IF(SUMPRODUCT((BF290:CQ290&lt;1)*(PARTIDAS!$I$2:$AT$2="OBRA GRUESA"))&gt;0,"OBRA GRUESA",""),IF(SUMPRODUCT((BF290:CQ290&lt;1)*(PARTIDAS!$I$2:$AT$2="SANITARIOS"))&gt;0,"SANITARIOS",""),IF(SUMPRODUCT((BF290:CQ290&lt;1)*(PARTIDAS!$I$2:$AT$2="ELÉCTRICO"))&gt;0,"ELÉCTRICO",""),IF(SUMPRODUCT((BF290:CQ290&lt;1)*(PARTIDAS!$I$2:$AT$2="TERMINACIONES"))&gt;0,"TERMINACIONES",""))</f>
        <v>OBRA GRUESA, SANITARIOS, ELÉCTRICO, TERMINACIONES</v>
      </c>
      <c r="CU290" s="46" cm="1">
        <f t="array" ref="CU290">SUMPRODUCT(--(BF290:CQ290&lt;1))</f>
        <v>38</v>
      </c>
    </row>
    <row r="291" spans="1:99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46181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 s="3" t="str">
        <f>+IF(AVANCE[[#This Row],[% AVANCE]]=100%,"MODULO TERMINADO",IF(AVANCE[[#This Row],[FECHA INICIO REAL]]="","MODULO NO INICIADO","PENDIENTE"))</f>
        <v>MODULO NO INICIADO</v>
      </c>
      <c r="BF291" s="3">
        <f>+IF(AVANCE[[#This Row],[VENTANAS]]=8.10810810810811%,100%,AVANCE[[#This Row],[VENTANAS]])</f>
        <v>0</v>
      </c>
      <c r="BG291" s="3">
        <f>+IF(AVANCE[[#This Row],[PISO]]=N$2,100%,AVANCE[[#This Row],[PISO]])</f>
        <v>0</v>
      </c>
      <c r="BH291" s="3">
        <f>+IF(AVANCE[[#This Row],[TABIQUES]]=O$2,100%,AVANCE[[#This Row],[TABIQUES]])</f>
        <v>0</v>
      </c>
      <c r="BI291" s="3">
        <f>+IF(AVANCE[[#This Row],[MUROS]]=P$2,100%,AVANCE[[#This Row],[MUROS]])</f>
        <v>0</v>
      </c>
      <c r="BJ291" s="3">
        <f>+IF(AVANCE[[#This Row],[CIELO]]=Q$2,100%,AVANCE[[#This Row],[CIELO]])</f>
        <v>0</v>
      </c>
      <c r="BK291" s="3">
        <f>+IF(AVANCE[[#This Row],[BALCÓN]]=R$2,100%,AVANCE[[#This Row],[BALCÓN]])</f>
        <v>0</v>
      </c>
      <c r="BL291" s="3">
        <f>+IF(AVANCE[[#This Row],[RED ALCANTARILLADO]]=U$2,100%,AVANCE[[#This Row],[RED ALCANTARILLADO]])</f>
        <v>0</v>
      </c>
      <c r="BM291" s="3">
        <f>+IF(AVANCE[[#This Row],[RED DE AGUA]]=V$2,100%,AVANCE[[#This Row],[RED DE AGUA]])</f>
        <v>0</v>
      </c>
      <c r="BN291" s="3">
        <f>+IF(AVANCE[[#This Row],[VENTILACIONES]]=W$2,100%,AVANCE[[#This Row],[VENTILACIONES]])</f>
        <v>0</v>
      </c>
      <c r="BO291" s="3">
        <f>+IF(AVANCE[[#This Row],[TINA]]=X$2,100%,AVANCE[[#This Row],[TINA]])</f>
        <v>0</v>
      </c>
      <c r="BP291" s="3">
        <f>+IF(AVANCE[[#This Row],[WC]]=Y$2,100%,AVANCE[[#This Row],[WC]])</f>
        <v>0</v>
      </c>
      <c r="BQ291" s="3">
        <f>+IF(AVANCE[[#This Row],[LAVAMANOS / LAVAPLATOS / LAVADERO]]=Z$2,100%,AVANCE[[#This Row],[LAVAMANOS / LAVAPLATOS / LAVADERO]])</f>
        <v>0</v>
      </c>
      <c r="BR291" s="3">
        <f>+IF(AVANCE[[#This Row],[CANALIZACIÓN]]=AC$2,100%,AVANCE[[#This Row],[CANALIZACIÓN]])</f>
        <v>0</v>
      </c>
      <c r="BS291" s="3">
        <f>+IF(AVANCE[[#This Row],[CABLEADO]]=AD$2,100%,AVANCE[[#This Row],[CABLEADO]])</f>
        <v>0</v>
      </c>
      <c r="BT291" s="3">
        <f>+IF(AVANCE[[#This Row],[ARTEFACTOS]]=AE$2,100%,AVANCE[[#This Row],[ARTEFACTOS]])</f>
        <v>0</v>
      </c>
      <c r="BU291" s="3">
        <f>+IF(AVANCE[[#This Row],[TABLERO]]=AF$2,100%,AVANCE[[#This Row],[TABLERO]])</f>
        <v>0</v>
      </c>
      <c r="BV291" s="3">
        <f>+IF(AVANCE[[#This Row],[CAJA PAU]]=AG$2,100%,AVANCE[[#This Row],[CAJA PAU]])</f>
        <v>0</v>
      </c>
      <c r="BW291" s="3">
        <f>+IF(AVANCE[[#This Row],[INSTALACION VINILICO]]=AJ$2,100%,AVANCE[[#This Row],[INSTALACION VINILICO]])</f>
        <v>0</v>
      </c>
      <c r="BX291" s="3">
        <f>+IF(AVANCE[[#This Row],[OSB CUBIERTA]]=AK$2,100%,AVANCE[[#This Row],[OSB CUBIERTA]])</f>
        <v>0</v>
      </c>
      <c r="BY291" s="3">
        <f>+IF(AVANCE[[#This Row],[BARANDA BALCON]]=AL$2,100%,AVANCE[[#This Row],[BARANDA BALCON]])</f>
        <v>0</v>
      </c>
      <c r="BZ291" s="3">
        <f>+IF(AVANCE[[#This Row],[OSB EXTERIOR]]=AM$2,100%,AVANCE[[#This Row],[OSB EXTERIOR]])</f>
        <v>0</v>
      </c>
      <c r="CA291" s="3">
        <f>+IF(AVANCE[[#This Row],[SMART PANEL]]=AN$2,100%,AVANCE[[#This Row],[SMART PANEL]])</f>
        <v>0</v>
      </c>
      <c r="CB291" s="3">
        <f>+IF(AVANCE[[#This Row],[PINTURA EXTERIOR]]=AO$2,100%,AVANCE[[#This Row],[PINTURA EXTERIOR]])</f>
        <v>0</v>
      </c>
      <c r="CC291" s="3">
        <f>+IF(AVANCE[[#This Row],[ZOCALOS LOGIA]]=AP$2,100%,AVANCE[[#This Row],[ZOCALOS LOGIA]])</f>
        <v>0</v>
      </c>
      <c r="CD291" s="3">
        <f>+IF(AVANCE[[#This Row],[MOLDURAS]]=AQ$2,100%,AVANCE[[#This Row],[MOLDURAS]])</f>
        <v>0</v>
      </c>
      <c r="CE291" s="3">
        <f>+IF(AVANCE[[#This Row],[PILASTREO]]=AR$2,100%,AVANCE[[#This Row],[PILASTREO]])</f>
        <v>0</v>
      </c>
      <c r="CF291" s="3">
        <f>+IF(AVANCE[[#This Row],[CELOSIAS]]=AS$2,100%,AVANCE[[#This Row],[CELOSIAS]])</f>
        <v>0</v>
      </c>
      <c r="CG291" s="3">
        <f>+IF(AVANCE[[#This Row],[VENTANAS]]=AT$2,100%,AVANCE[[#This Row],[VENTANAS]])</f>
        <v>0</v>
      </c>
      <c r="CH291" s="3">
        <f>+IF(AVANCE[[#This Row],[PUERTAS ACCESO - LOGIA - BANO]]=AU$2,100%,AVANCE[[#This Row],[PUERTAS ACCESO - LOGIA - BANO]])</f>
        <v>0</v>
      </c>
      <c r="CI291" s="3">
        <f>+IF(AVANCE[[#This Row],[CERRADURAS]]=AV$2,100%,AVANCE[[#This Row],[CERRADURAS]])</f>
        <v>0</v>
      </c>
      <c r="CJ291" s="3">
        <f>+IF(AVANCE[[#This Row],[REVESTIMIENTO INTERIOR ZONA SECA]]=AW$2,100%,AVANCE[[#This Row],[REVESTIMIENTO INTERIOR ZONA SECA]])</f>
        <v>0</v>
      </c>
      <c r="CK291" s="3">
        <f>+IF(AVANCE[[#This Row],[REVESTIMIENTO INTERIOR ZONAS HUMEDAS]]=AX$2,100%,AVANCE[[#This Row],[REVESTIMIENTO INTERIOR ZONAS HUMEDAS]])</f>
        <v>0</v>
      </c>
      <c r="CL291" s="3">
        <f>+IF(AVANCE[[#This Row],[MEMBRANA CIELO]]=AY$2,100%,AVANCE[[#This Row],[MEMBRANA CIELO]])</f>
        <v>0</v>
      </c>
      <c r="CM291" s="3">
        <f>+IF(AVANCE[[#This Row],[LIMPIEZA FINAL]]=AZ$2,100%,AVANCE[[#This Row],[LIMPIEZA FINAL]])</f>
        <v>0</v>
      </c>
      <c r="CN291" s="3">
        <f>+IF(AVANCE[[#This Row],[PUERTAS DORMITORIO]]=BA$2,100%,AVANCE[[#This Row],[PUERTAS DORMITORIO]])</f>
        <v>0</v>
      </c>
      <c r="CO291" s="3">
        <f>+IF(AVANCE[[#This Row],[REVESTIMIENTO INTERIOR BANO]]=BB$2,100%,AVANCE[[#This Row],[REVESTIMIENTO INTERIOR BANO]])</f>
        <v>0</v>
      </c>
      <c r="CP291" s="3">
        <f>+IF(AVANCE[[#This Row],[MUEBLE LAVAPLATOS]]=BC$2,100%,AVANCE[[#This Row],[MUEBLE LAVAPLATOS]])</f>
        <v>0</v>
      </c>
      <c r="CQ291" s="3">
        <f>+IF(AVANCE[[#This Row],[IMPERMEABILIZACION BANO - COCINA LOGIA]]=BD$2,100%,AVANCE[[#This Row],[IMPERMEABILIZACION BANO - COCINA LOGIA]])</f>
        <v>0</v>
      </c>
      <c r="CR291" s="40">
        <f ca="1">+IF(AVANCE[[#This Row],[ESTADO MODULO]]="PENDIENTE",(TODAY()-AVANCE[[#This Row],[FECHA TERMINO  PLANIFICADO]]),0)</f>
        <v>0</v>
      </c>
      <c r="CS291" s="42" t="str" cm="1">
        <f t="array" ref="CS291">_xlfn.TEXTJOIN(" | ",TRUE,IF(SUMPRODUCT((BF291:CQ291&lt;1)*(PARTIDAS!$I$2:$AT$2="OBRA GRUESA"))&gt;0,"OBRA GRUESA: "&amp;_xlfn.TEXTJOIN(", ",TRUE,IF((BF291:CQ291&lt;1)*(PARTIDAS!$I$2:$AT$2="OBRA GRUESA"),PARTIDAS!$I$1:$AT$1,"")),""),IF(SUMPRODUCT((BF291:CQ291&lt;1)*(PARTIDAS!$I$2:$AT$2="SANITARIOS"))&gt;0,"SANITARIOS: "&amp;_xlfn.TEXTJOIN(", ",TRUE,IF((BF291:CQ291&lt;1)*(PARTIDAS!$I$2:$AT$2="SANITARIOS"),PARTIDAS!$I$1:$AT$1,"")),""),IF(SUMPRODUCT((BF291:CQ291&lt;1)*(PARTIDAS!$I$2:$AT$2="ELÉCTRICO"))&gt;0,"ELÉCTRICO: "&amp;_xlfn.TEXTJOIN(", ",TRUE,IF((BF291:CQ291&lt;1)*(PARTIDAS!$I$2:$AT$2="ELÉCTRICO"),PARTIDAS!$I$1:$AT$1,"")),""),IF(SUMPRODUCT((BF291:CQ291&lt;1)*(PARTIDAS!$I$2:$AT$2="TERMINACIONES"))&gt;0,"TERMINACIONES: "&amp;_xlfn.TEXTJOIN(", ",TRUE,IF((BF291:CQ291&lt;1)*(PARTIDAS!$I$2:$AT$2="TERMINACIONES"),PARTIDAS!$I$1:$AT$1,"")),""))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1" s="45" t="str" cm="1">
        <f t="array" ref="CT291">_xlfn.TEXTJOIN(", ",TRUE,IF(SUMPRODUCT((BF291:CQ291&lt;1)*(PARTIDAS!$I$2:$AT$2="OBRA GRUESA"))&gt;0,"OBRA GRUESA",""),IF(SUMPRODUCT((BF291:CQ291&lt;1)*(PARTIDAS!$I$2:$AT$2="SANITARIOS"))&gt;0,"SANITARIOS",""),IF(SUMPRODUCT((BF291:CQ291&lt;1)*(PARTIDAS!$I$2:$AT$2="ELÉCTRICO"))&gt;0,"ELÉCTRICO",""),IF(SUMPRODUCT((BF291:CQ291&lt;1)*(PARTIDAS!$I$2:$AT$2="TERMINACIONES"))&gt;0,"TERMINACIONES",""))</f>
        <v>OBRA GRUESA, SANITARIOS, ELÉCTRICO, TERMINACIONES</v>
      </c>
      <c r="CU291" s="46" cm="1">
        <f t="array" ref="CU291">SUMPRODUCT(--(BF291:CQ291&lt;1))</f>
        <v>38</v>
      </c>
    </row>
    <row r="292" spans="1:99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46181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 s="3" t="str">
        <f>+IF(AVANCE[[#This Row],[% AVANCE]]=100%,"MODULO TERMINADO",IF(AVANCE[[#This Row],[FECHA INICIO REAL]]="","MODULO NO INICIADO","PENDIENTE"))</f>
        <v>MODULO NO INICIADO</v>
      </c>
      <c r="BF292" s="3">
        <f>+IF(AVANCE[[#This Row],[VENTANAS]]=8.10810810810811%,100%,AVANCE[[#This Row],[VENTANAS]])</f>
        <v>0</v>
      </c>
      <c r="BG292" s="3">
        <f>+IF(AVANCE[[#This Row],[PISO]]=N$2,100%,AVANCE[[#This Row],[PISO]])</f>
        <v>0</v>
      </c>
      <c r="BH292" s="3">
        <f>+IF(AVANCE[[#This Row],[TABIQUES]]=O$2,100%,AVANCE[[#This Row],[TABIQUES]])</f>
        <v>0</v>
      </c>
      <c r="BI292" s="3">
        <f>+IF(AVANCE[[#This Row],[MUROS]]=P$2,100%,AVANCE[[#This Row],[MUROS]])</f>
        <v>0</v>
      </c>
      <c r="BJ292" s="3">
        <f>+IF(AVANCE[[#This Row],[CIELO]]=Q$2,100%,AVANCE[[#This Row],[CIELO]])</f>
        <v>0</v>
      </c>
      <c r="BK292" s="3">
        <f>+IF(AVANCE[[#This Row],[BALCÓN]]=R$2,100%,AVANCE[[#This Row],[BALCÓN]])</f>
        <v>0</v>
      </c>
      <c r="BL292" s="3">
        <f>+IF(AVANCE[[#This Row],[RED ALCANTARILLADO]]=U$2,100%,AVANCE[[#This Row],[RED ALCANTARILLADO]])</f>
        <v>0</v>
      </c>
      <c r="BM292" s="3">
        <f>+IF(AVANCE[[#This Row],[RED DE AGUA]]=V$2,100%,AVANCE[[#This Row],[RED DE AGUA]])</f>
        <v>0</v>
      </c>
      <c r="BN292" s="3">
        <f>+IF(AVANCE[[#This Row],[VENTILACIONES]]=W$2,100%,AVANCE[[#This Row],[VENTILACIONES]])</f>
        <v>0</v>
      </c>
      <c r="BO292" s="3">
        <f>+IF(AVANCE[[#This Row],[TINA]]=X$2,100%,AVANCE[[#This Row],[TINA]])</f>
        <v>0</v>
      </c>
      <c r="BP292" s="3">
        <f>+IF(AVANCE[[#This Row],[WC]]=Y$2,100%,AVANCE[[#This Row],[WC]])</f>
        <v>0</v>
      </c>
      <c r="BQ292" s="3">
        <f>+IF(AVANCE[[#This Row],[LAVAMANOS / LAVAPLATOS / LAVADERO]]=Z$2,100%,AVANCE[[#This Row],[LAVAMANOS / LAVAPLATOS / LAVADERO]])</f>
        <v>0</v>
      </c>
      <c r="BR292" s="3">
        <f>+IF(AVANCE[[#This Row],[CANALIZACIÓN]]=AC$2,100%,AVANCE[[#This Row],[CANALIZACIÓN]])</f>
        <v>0</v>
      </c>
      <c r="BS292" s="3">
        <f>+IF(AVANCE[[#This Row],[CABLEADO]]=AD$2,100%,AVANCE[[#This Row],[CABLEADO]])</f>
        <v>0</v>
      </c>
      <c r="BT292" s="3">
        <f>+IF(AVANCE[[#This Row],[ARTEFACTOS]]=AE$2,100%,AVANCE[[#This Row],[ARTEFACTOS]])</f>
        <v>0</v>
      </c>
      <c r="BU292" s="3">
        <f>+IF(AVANCE[[#This Row],[TABLERO]]=AF$2,100%,AVANCE[[#This Row],[TABLERO]])</f>
        <v>0</v>
      </c>
      <c r="BV292" s="3">
        <f>+IF(AVANCE[[#This Row],[CAJA PAU]]=AG$2,100%,AVANCE[[#This Row],[CAJA PAU]])</f>
        <v>0</v>
      </c>
      <c r="BW292" s="3">
        <f>+IF(AVANCE[[#This Row],[INSTALACION VINILICO]]=AJ$2,100%,AVANCE[[#This Row],[INSTALACION VINILICO]])</f>
        <v>0</v>
      </c>
      <c r="BX292" s="3">
        <f>+IF(AVANCE[[#This Row],[OSB CUBIERTA]]=AK$2,100%,AVANCE[[#This Row],[OSB CUBIERTA]])</f>
        <v>0</v>
      </c>
      <c r="BY292" s="3">
        <f>+IF(AVANCE[[#This Row],[BARANDA BALCON]]=AL$2,100%,AVANCE[[#This Row],[BARANDA BALCON]])</f>
        <v>0</v>
      </c>
      <c r="BZ292" s="3">
        <f>+IF(AVANCE[[#This Row],[OSB EXTERIOR]]=AM$2,100%,AVANCE[[#This Row],[OSB EXTERIOR]])</f>
        <v>0</v>
      </c>
      <c r="CA292" s="3">
        <f>+IF(AVANCE[[#This Row],[SMART PANEL]]=AN$2,100%,AVANCE[[#This Row],[SMART PANEL]])</f>
        <v>0</v>
      </c>
      <c r="CB292" s="3">
        <f>+IF(AVANCE[[#This Row],[PINTURA EXTERIOR]]=AO$2,100%,AVANCE[[#This Row],[PINTURA EXTERIOR]])</f>
        <v>0</v>
      </c>
      <c r="CC292" s="3">
        <f>+IF(AVANCE[[#This Row],[ZOCALOS LOGIA]]=AP$2,100%,AVANCE[[#This Row],[ZOCALOS LOGIA]])</f>
        <v>0</v>
      </c>
      <c r="CD292" s="3">
        <f>+IF(AVANCE[[#This Row],[MOLDURAS]]=AQ$2,100%,AVANCE[[#This Row],[MOLDURAS]])</f>
        <v>0</v>
      </c>
      <c r="CE292" s="3">
        <f>+IF(AVANCE[[#This Row],[PILASTREO]]=AR$2,100%,AVANCE[[#This Row],[PILASTREO]])</f>
        <v>0</v>
      </c>
      <c r="CF292" s="3">
        <f>+IF(AVANCE[[#This Row],[CELOSIAS]]=AS$2,100%,AVANCE[[#This Row],[CELOSIAS]])</f>
        <v>0</v>
      </c>
      <c r="CG292" s="3">
        <f>+IF(AVANCE[[#This Row],[VENTANAS]]=AT$2,100%,AVANCE[[#This Row],[VENTANAS]])</f>
        <v>0</v>
      </c>
      <c r="CH292" s="3">
        <f>+IF(AVANCE[[#This Row],[PUERTAS ACCESO - LOGIA - BANO]]=AU$2,100%,AVANCE[[#This Row],[PUERTAS ACCESO - LOGIA - BANO]])</f>
        <v>0</v>
      </c>
      <c r="CI292" s="3">
        <f>+IF(AVANCE[[#This Row],[CERRADURAS]]=AV$2,100%,AVANCE[[#This Row],[CERRADURAS]])</f>
        <v>0</v>
      </c>
      <c r="CJ292" s="3">
        <f>+IF(AVANCE[[#This Row],[REVESTIMIENTO INTERIOR ZONA SECA]]=AW$2,100%,AVANCE[[#This Row],[REVESTIMIENTO INTERIOR ZONA SECA]])</f>
        <v>0</v>
      </c>
      <c r="CK292" s="3">
        <f>+IF(AVANCE[[#This Row],[REVESTIMIENTO INTERIOR ZONAS HUMEDAS]]=AX$2,100%,AVANCE[[#This Row],[REVESTIMIENTO INTERIOR ZONAS HUMEDAS]])</f>
        <v>0</v>
      </c>
      <c r="CL292" s="3">
        <f>+IF(AVANCE[[#This Row],[MEMBRANA CIELO]]=AY$2,100%,AVANCE[[#This Row],[MEMBRANA CIELO]])</f>
        <v>0</v>
      </c>
      <c r="CM292" s="3">
        <f>+IF(AVANCE[[#This Row],[LIMPIEZA FINAL]]=AZ$2,100%,AVANCE[[#This Row],[LIMPIEZA FINAL]])</f>
        <v>0</v>
      </c>
      <c r="CN292" s="3">
        <f>+IF(AVANCE[[#This Row],[PUERTAS DORMITORIO]]=BA$2,100%,AVANCE[[#This Row],[PUERTAS DORMITORIO]])</f>
        <v>0</v>
      </c>
      <c r="CO292" s="3">
        <f>+IF(AVANCE[[#This Row],[REVESTIMIENTO INTERIOR BANO]]=BB$2,100%,AVANCE[[#This Row],[REVESTIMIENTO INTERIOR BANO]])</f>
        <v>0</v>
      </c>
      <c r="CP292" s="3">
        <f>+IF(AVANCE[[#This Row],[MUEBLE LAVAPLATOS]]=BC$2,100%,AVANCE[[#This Row],[MUEBLE LAVAPLATOS]])</f>
        <v>0</v>
      </c>
      <c r="CQ292" s="3">
        <f>+IF(AVANCE[[#This Row],[IMPERMEABILIZACION BANO - COCINA LOGIA]]=BD$2,100%,AVANCE[[#This Row],[IMPERMEABILIZACION BANO - COCINA LOGIA]])</f>
        <v>0</v>
      </c>
      <c r="CR292" s="40">
        <f ca="1">+IF(AVANCE[[#This Row],[ESTADO MODULO]]="PENDIENTE",(TODAY()-AVANCE[[#This Row],[FECHA TERMINO  PLANIFICADO]]),0)</f>
        <v>0</v>
      </c>
      <c r="CS292" s="42" t="str" cm="1">
        <f t="array" ref="CS292">_xlfn.TEXTJOIN(" | ",TRUE,IF(SUMPRODUCT((BF292:CQ292&lt;1)*(PARTIDAS!$I$2:$AT$2="OBRA GRUESA"))&gt;0,"OBRA GRUESA: "&amp;_xlfn.TEXTJOIN(", ",TRUE,IF((BF292:CQ292&lt;1)*(PARTIDAS!$I$2:$AT$2="OBRA GRUESA"),PARTIDAS!$I$1:$AT$1,"")),""),IF(SUMPRODUCT((BF292:CQ292&lt;1)*(PARTIDAS!$I$2:$AT$2="SANITARIOS"))&gt;0,"SANITARIOS: "&amp;_xlfn.TEXTJOIN(", ",TRUE,IF((BF292:CQ292&lt;1)*(PARTIDAS!$I$2:$AT$2="SANITARIOS"),PARTIDAS!$I$1:$AT$1,"")),""),IF(SUMPRODUCT((BF292:CQ292&lt;1)*(PARTIDAS!$I$2:$AT$2="ELÉCTRICO"))&gt;0,"ELÉCTRICO: "&amp;_xlfn.TEXTJOIN(", ",TRUE,IF((BF292:CQ292&lt;1)*(PARTIDAS!$I$2:$AT$2="ELÉCTRICO"),PARTIDAS!$I$1:$AT$1,"")),""),IF(SUMPRODUCT((BF292:CQ292&lt;1)*(PARTIDAS!$I$2:$AT$2="TERMINACIONES"))&gt;0,"TERMINACIONES: "&amp;_xlfn.TEXTJOIN(", ",TRUE,IF((BF292:CQ292&lt;1)*(PARTIDAS!$I$2:$AT$2="TERMINACIONES"),PARTIDAS!$I$1:$AT$1,"")),""))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2" s="45" t="str" cm="1">
        <f t="array" ref="CT292">_xlfn.TEXTJOIN(", ",TRUE,IF(SUMPRODUCT((BF292:CQ292&lt;1)*(PARTIDAS!$I$2:$AT$2="OBRA GRUESA"))&gt;0,"OBRA GRUESA",""),IF(SUMPRODUCT((BF292:CQ292&lt;1)*(PARTIDAS!$I$2:$AT$2="SANITARIOS"))&gt;0,"SANITARIOS",""),IF(SUMPRODUCT((BF292:CQ292&lt;1)*(PARTIDAS!$I$2:$AT$2="ELÉCTRICO"))&gt;0,"ELÉCTRICO",""),IF(SUMPRODUCT((BF292:CQ292&lt;1)*(PARTIDAS!$I$2:$AT$2="TERMINACIONES"))&gt;0,"TERMINACIONES",""))</f>
        <v>OBRA GRUESA, SANITARIOS, ELÉCTRICO, TERMINACIONES</v>
      </c>
      <c r="CU292" s="46" cm="1">
        <f t="array" ref="CU292">SUMPRODUCT(--(BF292:CQ292&lt;1))</f>
        <v>38</v>
      </c>
    </row>
    <row r="293" spans="1:99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46181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 s="3" t="str">
        <f>+IF(AVANCE[[#This Row],[% AVANCE]]=100%,"MODULO TERMINADO",IF(AVANCE[[#This Row],[FECHA INICIO REAL]]="","MODULO NO INICIADO","PENDIENTE"))</f>
        <v>MODULO NO INICIADO</v>
      </c>
      <c r="BF293" s="3">
        <f>+IF(AVANCE[[#This Row],[VENTANAS]]=8.10810810810811%,100%,AVANCE[[#This Row],[VENTANAS]])</f>
        <v>0</v>
      </c>
      <c r="BG293" s="3">
        <f>+IF(AVANCE[[#This Row],[PISO]]=N$2,100%,AVANCE[[#This Row],[PISO]])</f>
        <v>0</v>
      </c>
      <c r="BH293" s="3">
        <f>+IF(AVANCE[[#This Row],[TABIQUES]]=O$2,100%,AVANCE[[#This Row],[TABIQUES]])</f>
        <v>0</v>
      </c>
      <c r="BI293" s="3">
        <f>+IF(AVANCE[[#This Row],[MUROS]]=P$2,100%,AVANCE[[#This Row],[MUROS]])</f>
        <v>0</v>
      </c>
      <c r="BJ293" s="3">
        <f>+IF(AVANCE[[#This Row],[CIELO]]=Q$2,100%,AVANCE[[#This Row],[CIELO]])</f>
        <v>0</v>
      </c>
      <c r="BK293" s="3">
        <f>+IF(AVANCE[[#This Row],[BALCÓN]]=R$2,100%,AVANCE[[#This Row],[BALCÓN]])</f>
        <v>0</v>
      </c>
      <c r="BL293" s="3">
        <f>+IF(AVANCE[[#This Row],[RED ALCANTARILLADO]]=U$2,100%,AVANCE[[#This Row],[RED ALCANTARILLADO]])</f>
        <v>0</v>
      </c>
      <c r="BM293" s="3">
        <f>+IF(AVANCE[[#This Row],[RED DE AGUA]]=V$2,100%,AVANCE[[#This Row],[RED DE AGUA]])</f>
        <v>0</v>
      </c>
      <c r="BN293" s="3">
        <f>+IF(AVANCE[[#This Row],[VENTILACIONES]]=W$2,100%,AVANCE[[#This Row],[VENTILACIONES]])</f>
        <v>0</v>
      </c>
      <c r="BO293" s="3">
        <f>+IF(AVANCE[[#This Row],[TINA]]=X$2,100%,AVANCE[[#This Row],[TINA]])</f>
        <v>0</v>
      </c>
      <c r="BP293" s="3">
        <f>+IF(AVANCE[[#This Row],[WC]]=Y$2,100%,AVANCE[[#This Row],[WC]])</f>
        <v>0</v>
      </c>
      <c r="BQ293" s="3">
        <f>+IF(AVANCE[[#This Row],[LAVAMANOS / LAVAPLATOS / LAVADERO]]=Z$2,100%,AVANCE[[#This Row],[LAVAMANOS / LAVAPLATOS / LAVADERO]])</f>
        <v>0</v>
      </c>
      <c r="BR293" s="3">
        <f>+IF(AVANCE[[#This Row],[CANALIZACIÓN]]=AC$2,100%,AVANCE[[#This Row],[CANALIZACIÓN]])</f>
        <v>0</v>
      </c>
      <c r="BS293" s="3">
        <f>+IF(AVANCE[[#This Row],[CABLEADO]]=AD$2,100%,AVANCE[[#This Row],[CABLEADO]])</f>
        <v>0</v>
      </c>
      <c r="BT293" s="3">
        <f>+IF(AVANCE[[#This Row],[ARTEFACTOS]]=AE$2,100%,AVANCE[[#This Row],[ARTEFACTOS]])</f>
        <v>0</v>
      </c>
      <c r="BU293" s="3">
        <f>+IF(AVANCE[[#This Row],[TABLERO]]=AF$2,100%,AVANCE[[#This Row],[TABLERO]])</f>
        <v>0</v>
      </c>
      <c r="BV293" s="3">
        <f>+IF(AVANCE[[#This Row],[CAJA PAU]]=AG$2,100%,AVANCE[[#This Row],[CAJA PAU]])</f>
        <v>0</v>
      </c>
      <c r="BW293" s="3">
        <f>+IF(AVANCE[[#This Row],[INSTALACION VINILICO]]=AJ$2,100%,AVANCE[[#This Row],[INSTALACION VINILICO]])</f>
        <v>0</v>
      </c>
      <c r="BX293" s="3">
        <f>+IF(AVANCE[[#This Row],[OSB CUBIERTA]]=AK$2,100%,AVANCE[[#This Row],[OSB CUBIERTA]])</f>
        <v>0</v>
      </c>
      <c r="BY293" s="3">
        <f>+IF(AVANCE[[#This Row],[BARANDA BALCON]]=AL$2,100%,AVANCE[[#This Row],[BARANDA BALCON]])</f>
        <v>0</v>
      </c>
      <c r="BZ293" s="3">
        <f>+IF(AVANCE[[#This Row],[OSB EXTERIOR]]=AM$2,100%,AVANCE[[#This Row],[OSB EXTERIOR]])</f>
        <v>0</v>
      </c>
      <c r="CA293" s="3">
        <f>+IF(AVANCE[[#This Row],[SMART PANEL]]=AN$2,100%,AVANCE[[#This Row],[SMART PANEL]])</f>
        <v>0</v>
      </c>
      <c r="CB293" s="3">
        <f>+IF(AVANCE[[#This Row],[PINTURA EXTERIOR]]=AO$2,100%,AVANCE[[#This Row],[PINTURA EXTERIOR]])</f>
        <v>0</v>
      </c>
      <c r="CC293" s="3">
        <f>+IF(AVANCE[[#This Row],[ZOCALOS LOGIA]]=AP$2,100%,AVANCE[[#This Row],[ZOCALOS LOGIA]])</f>
        <v>0</v>
      </c>
      <c r="CD293" s="3">
        <f>+IF(AVANCE[[#This Row],[MOLDURAS]]=AQ$2,100%,AVANCE[[#This Row],[MOLDURAS]])</f>
        <v>0</v>
      </c>
      <c r="CE293" s="3">
        <f>+IF(AVANCE[[#This Row],[PILASTREO]]=AR$2,100%,AVANCE[[#This Row],[PILASTREO]])</f>
        <v>0</v>
      </c>
      <c r="CF293" s="3">
        <f>+IF(AVANCE[[#This Row],[CELOSIAS]]=AS$2,100%,AVANCE[[#This Row],[CELOSIAS]])</f>
        <v>0</v>
      </c>
      <c r="CG293" s="3">
        <f>+IF(AVANCE[[#This Row],[VENTANAS]]=AT$2,100%,AVANCE[[#This Row],[VENTANAS]])</f>
        <v>0</v>
      </c>
      <c r="CH293" s="3">
        <f>+IF(AVANCE[[#This Row],[PUERTAS ACCESO - LOGIA - BANO]]=AU$2,100%,AVANCE[[#This Row],[PUERTAS ACCESO - LOGIA - BANO]])</f>
        <v>0</v>
      </c>
      <c r="CI293" s="3">
        <f>+IF(AVANCE[[#This Row],[CERRADURAS]]=AV$2,100%,AVANCE[[#This Row],[CERRADURAS]])</f>
        <v>0</v>
      </c>
      <c r="CJ293" s="3">
        <f>+IF(AVANCE[[#This Row],[REVESTIMIENTO INTERIOR ZONA SECA]]=AW$2,100%,AVANCE[[#This Row],[REVESTIMIENTO INTERIOR ZONA SECA]])</f>
        <v>0</v>
      </c>
      <c r="CK293" s="3">
        <f>+IF(AVANCE[[#This Row],[REVESTIMIENTO INTERIOR ZONAS HUMEDAS]]=AX$2,100%,AVANCE[[#This Row],[REVESTIMIENTO INTERIOR ZONAS HUMEDAS]])</f>
        <v>0</v>
      </c>
      <c r="CL293" s="3">
        <f>+IF(AVANCE[[#This Row],[MEMBRANA CIELO]]=AY$2,100%,AVANCE[[#This Row],[MEMBRANA CIELO]])</f>
        <v>0</v>
      </c>
      <c r="CM293" s="3">
        <f>+IF(AVANCE[[#This Row],[LIMPIEZA FINAL]]=AZ$2,100%,AVANCE[[#This Row],[LIMPIEZA FINAL]])</f>
        <v>0</v>
      </c>
      <c r="CN293" s="3">
        <f>+IF(AVANCE[[#This Row],[PUERTAS DORMITORIO]]=BA$2,100%,AVANCE[[#This Row],[PUERTAS DORMITORIO]])</f>
        <v>0</v>
      </c>
      <c r="CO293" s="3">
        <f>+IF(AVANCE[[#This Row],[REVESTIMIENTO INTERIOR BANO]]=BB$2,100%,AVANCE[[#This Row],[REVESTIMIENTO INTERIOR BANO]])</f>
        <v>0</v>
      </c>
      <c r="CP293" s="3">
        <f>+IF(AVANCE[[#This Row],[MUEBLE LAVAPLATOS]]=BC$2,100%,AVANCE[[#This Row],[MUEBLE LAVAPLATOS]])</f>
        <v>0</v>
      </c>
      <c r="CQ293" s="3">
        <f>+IF(AVANCE[[#This Row],[IMPERMEABILIZACION BANO - COCINA LOGIA]]=BD$2,100%,AVANCE[[#This Row],[IMPERMEABILIZACION BANO - COCINA LOGIA]])</f>
        <v>0</v>
      </c>
      <c r="CR293" s="40">
        <f ca="1">+IF(AVANCE[[#This Row],[ESTADO MODULO]]="PENDIENTE",(TODAY()-AVANCE[[#This Row],[FECHA TERMINO  PLANIFICADO]]),0)</f>
        <v>0</v>
      </c>
      <c r="CS293" s="42" t="str" cm="1">
        <f t="array" ref="CS293">_xlfn.TEXTJOIN(" | ",TRUE,IF(SUMPRODUCT((BF293:CQ293&lt;1)*(PARTIDAS!$I$2:$AT$2="OBRA GRUESA"))&gt;0,"OBRA GRUESA: "&amp;_xlfn.TEXTJOIN(", ",TRUE,IF((BF293:CQ293&lt;1)*(PARTIDAS!$I$2:$AT$2="OBRA GRUESA"),PARTIDAS!$I$1:$AT$1,"")),""),IF(SUMPRODUCT((BF293:CQ293&lt;1)*(PARTIDAS!$I$2:$AT$2="SANITARIOS"))&gt;0,"SANITARIOS: "&amp;_xlfn.TEXTJOIN(", ",TRUE,IF((BF293:CQ293&lt;1)*(PARTIDAS!$I$2:$AT$2="SANITARIOS"),PARTIDAS!$I$1:$AT$1,"")),""),IF(SUMPRODUCT((BF293:CQ293&lt;1)*(PARTIDAS!$I$2:$AT$2="ELÉCTRICO"))&gt;0,"ELÉCTRICO: "&amp;_xlfn.TEXTJOIN(", ",TRUE,IF((BF293:CQ293&lt;1)*(PARTIDAS!$I$2:$AT$2="ELÉCTRICO"),PARTIDAS!$I$1:$AT$1,"")),""),IF(SUMPRODUCT((BF293:CQ293&lt;1)*(PARTIDAS!$I$2:$AT$2="TERMINACIONES"))&gt;0,"TERMINACIONES: "&amp;_xlfn.TEXTJOIN(", ",TRUE,IF((BF293:CQ293&lt;1)*(PARTIDAS!$I$2:$AT$2="TERMINACIONES"),PARTIDAS!$I$1:$AT$1,"")),""))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3" s="45" t="str" cm="1">
        <f t="array" ref="CT293">_xlfn.TEXTJOIN(", ",TRUE,IF(SUMPRODUCT((BF293:CQ293&lt;1)*(PARTIDAS!$I$2:$AT$2="OBRA GRUESA"))&gt;0,"OBRA GRUESA",""),IF(SUMPRODUCT((BF293:CQ293&lt;1)*(PARTIDAS!$I$2:$AT$2="SANITARIOS"))&gt;0,"SANITARIOS",""),IF(SUMPRODUCT((BF293:CQ293&lt;1)*(PARTIDAS!$I$2:$AT$2="ELÉCTRICO"))&gt;0,"ELÉCTRICO",""),IF(SUMPRODUCT((BF293:CQ293&lt;1)*(PARTIDAS!$I$2:$AT$2="TERMINACIONES"))&gt;0,"TERMINACIONES",""))</f>
        <v>OBRA GRUESA, SANITARIOS, ELÉCTRICO, TERMINACIONES</v>
      </c>
      <c r="CU293" s="46" cm="1">
        <f t="array" ref="CU293">SUMPRODUCT(--(BF293:CQ293&lt;1))</f>
        <v>38</v>
      </c>
    </row>
    <row r="294" spans="1:99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46181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 s="3" t="str">
        <f>+IF(AVANCE[[#This Row],[% AVANCE]]=100%,"MODULO TERMINADO",IF(AVANCE[[#This Row],[FECHA INICIO REAL]]="","MODULO NO INICIADO","PENDIENTE"))</f>
        <v>MODULO NO INICIADO</v>
      </c>
      <c r="BF294" s="3">
        <f>+IF(AVANCE[[#This Row],[VENTANAS]]=8.10810810810811%,100%,AVANCE[[#This Row],[VENTANAS]])</f>
        <v>0</v>
      </c>
      <c r="BG294" s="3">
        <f>+IF(AVANCE[[#This Row],[PISO]]=N$2,100%,AVANCE[[#This Row],[PISO]])</f>
        <v>0</v>
      </c>
      <c r="BH294" s="3">
        <f>+IF(AVANCE[[#This Row],[TABIQUES]]=O$2,100%,AVANCE[[#This Row],[TABIQUES]])</f>
        <v>0</v>
      </c>
      <c r="BI294" s="3">
        <f>+IF(AVANCE[[#This Row],[MUROS]]=P$2,100%,AVANCE[[#This Row],[MUROS]])</f>
        <v>0</v>
      </c>
      <c r="BJ294" s="3">
        <f>+IF(AVANCE[[#This Row],[CIELO]]=Q$2,100%,AVANCE[[#This Row],[CIELO]])</f>
        <v>0</v>
      </c>
      <c r="BK294" s="3">
        <f>+IF(AVANCE[[#This Row],[BALCÓN]]=R$2,100%,AVANCE[[#This Row],[BALCÓN]])</f>
        <v>0</v>
      </c>
      <c r="BL294" s="3">
        <f>+IF(AVANCE[[#This Row],[RED ALCANTARILLADO]]=U$2,100%,AVANCE[[#This Row],[RED ALCANTARILLADO]])</f>
        <v>0</v>
      </c>
      <c r="BM294" s="3">
        <f>+IF(AVANCE[[#This Row],[RED DE AGUA]]=V$2,100%,AVANCE[[#This Row],[RED DE AGUA]])</f>
        <v>0</v>
      </c>
      <c r="BN294" s="3">
        <f>+IF(AVANCE[[#This Row],[VENTILACIONES]]=W$2,100%,AVANCE[[#This Row],[VENTILACIONES]])</f>
        <v>0</v>
      </c>
      <c r="BO294" s="3">
        <f>+IF(AVANCE[[#This Row],[TINA]]=X$2,100%,AVANCE[[#This Row],[TINA]])</f>
        <v>0</v>
      </c>
      <c r="BP294" s="3">
        <f>+IF(AVANCE[[#This Row],[WC]]=Y$2,100%,AVANCE[[#This Row],[WC]])</f>
        <v>0</v>
      </c>
      <c r="BQ294" s="3">
        <f>+IF(AVANCE[[#This Row],[LAVAMANOS / LAVAPLATOS / LAVADERO]]=Z$2,100%,AVANCE[[#This Row],[LAVAMANOS / LAVAPLATOS / LAVADERO]])</f>
        <v>0</v>
      </c>
      <c r="BR294" s="3">
        <f>+IF(AVANCE[[#This Row],[CANALIZACIÓN]]=AC$2,100%,AVANCE[[#This Row],[CANALIZACIÓN]])</f>
        <v>0</v>
      </c>
      <c r="BS294" s="3">
        <f>+IF(AVANCE[[#This Row],[CABLEADO]]=AD$2,100%,AVANCE[[#This Row],[CABLEADO]])</f>
        <v>0</v>
      </c>
      <c r="BT294" s="3">
        <f>+IF(AVANCE[[#This Row],[ARTEFACTOS]]=AE$2,100%,AVANCE[[#This Row],[ARTEFACTOS]])</f>
        <v>0</v>
      </c>
      <c r="BU294" s="3">
        <f>+IF(AVANCE[[#This Row],[TABLERO]]=AF$2,100%,AVANCE[[#This Row],[TABLERO]])</f>
        <v>0</v>
      </c>
      <c r="BV294" s="3">
        <f>+IF(AVANCE[[#This Row],[CAJA PAU]]=AG$2,100%,AVANCE[[#This Row],[CAJA PAU]])</f>
        <v>0</v>
      </c>
      <c r="BW294" s="3">
        <f>+IF(AVANCE[[#This Row],[INSTALACION VINILICO]]=AJ$2,100%,AVANCE[[#This Row],[INSTALACION VINILICO]])</f>
        <v>0</v>
      </c>
      <c r="BX294" s="3">
        <f>+IF(AVANCE[[#This Row],[OSB CUBIERTA]]=AK$2,100%,AVANCE[[#This Row],[OSB CUBIERTA]])</f>
        <v>0</v>
      </c>
      <c r="BY294" s="3">
        <f>+IF(AVANCE[[#This Row],[BARANDA BALCON]]=AL$2,100%,AVANCE[[#This Row],[BARANDA BALCON]])</f>
        <v>0</v>
      </c>
      <c r="BZ294" s="3">
        <f>+IF(AVANCE[[#This Row],[OSB EXTERIOR]]=AM$2,100%,AVANCE[[#This Row],[OSB EXTERIOR]])</f>
        <v>0</v>
      </c>
      <c r="CA294" s="3">
        <f>+IF(AVANCE[[#This Row],[SMART PANEL]]=AN$2,100%,AVANCE[[#This Row],[SMART PANEL]])</f>
        <v>0</v>
      </c>
      <c r="CB294" s="3">
        <f>+IF(AVANCE[[#This Row],[PINTURA EXTERIOR]]=AO$2,100%,AVANCE[[#This Row],[PINTURA EXTERIOR]])</f>
        <v>0</v>
      </c>
      <c r="CC294" s="3">
        <f>+IF(AVANCE[[#This Row],[ZOCALOS LOGIA]]=AP$2,100%,AVANCE[[#This Row],[ZOCALOS LOGIA]])</f>
        <v>0</v>
      </c>
      <c r="CD294" s="3">
        <f>+IF(AVANCE[[#This Row],[MOLDURAS]]=AQ$2,100%,AVANCE[[#This Row],[MOLDURAS]])</f>
        <v>0</v>
      </c>
      <c r="CE294" s="3">
        <f>+IF(AVANCE[[#This Row],[PILASTREO]]=AR$2,100%,AVANCE[[#This Row],[PILASTREO]])</f>
        <v>0</v>
      </c>
      <c r="CF294" s="3">
        <f>+IF(AVANCE[[#This Row],[CELOSIAS]]=AS$2,100%,AVANCE[[#This Row],[CELOSIAS]])</f>
        <v>0</v>
      </c>
      <c r="CG294" s="3">
        <f>+IF(AVANCE[[#This Row],[VENTANAS]]=AT$2,100%,AVANCE[[#This Row],[VENTANAS]])</f>
        <v>0</v>
      </c>
      <c r="CH294" s="3">
        <f>+IF(AVANCE[[#This Row],[PUERTAS ACCESO - LOGIA - BANO]]=AU$2,100%,AVANCE[[#This Row],[PUERTAS ACCESO - LOGIA - BANO]])</f>
        <v>0</v>
      </c>
      <c r="CI294" s="3">
        <f>+IF(AVANCE[[#This Row],[CERRADURAS]]=AV$2,100%,AVANCE[[#This Row],[CERRADURAS]])</f>
        <v>0</v>
      </c>
      <c r="CJ294" s="3">
        <f>+IF(AVANCE[[#This Row],[REVESTIMIENTO INTERIOR ZONA SECA]]=AW$2,100%,AVANCE[[#This Row],[REVESTIMIENTO INTERIOR ZONA SECA]])</f>
        <v>0</v>
      </c>
      <c r="CK294" s="3">
        <f>+IF(AVANCE[[#This Row],[REVESTIMIENTO INTERIOR ZONAS HUMEDAS]]=AX$2,100%,AVANCE[[#This Row],[REVESTIMIENTO INTERIOR ZONAS HUMEDAS]])</f>
        <v>0</v>
      </c>
      <c r="CL294" s="3">
        <f>+IF(AVANCE[[#This Row],[MEMBRANA CIELO]]=AY$2,100%,AVANCE[[#This Row],[MEMBRANA CIELO]])</f>
        <v>0</v>
      </c>
      <c r="CM294" s="3">
        <f>+IF(AVANCE[[#This Row],[LIMPIEZA FINAL]]=AZ$2,100%,AVANCE[[#This Row],[LIMPIEZA FINAL]])</f>
        <v>0</v>
      </c>
      <c r="CN294" s="3">
        <f>+IF(AVANCE[[#This Row],[PUERTAS DORMITORIO]]=BA$2,100%,AVANCE[[#This Row],[PUERTAS DORMITORIO]])</f>
        <v>0</v>
      </c>
      <c r="CO294" s="3">
        <f>+IF(AVANCE[[#This Row],[REVESTIMIENTO INTERIOR BANO]]=BB$2,100%,AVANCE[[#This Row],[REVESTIMIENTO INTERIOR BANO]])</f>
        <v>0</v>
      </c>
      <c r="CP294" s="3">
        <f>+IF(AVANCE[[#This Row],[MUEBLE LAVAPLATOS]]=BC$2,100%,AVANCE[[#This Row],[MUEBLE LAVAPLATOS]])</f>
        <v>0</v>
      </c>
      <c r="CQ294" s="3">
        <f>+IF(AVANCE[[#This Row],[IMPERMEABILIZACION BANO - COCINA LOGIA]]=BD$2,100%,AVANCE[[#This Row],[IMPERMEABILIZACION BANO - COCINA LOGIA]])</f>
        <v>0</v>
      </c>
      <c r="CR294" s="40">
        <f ca="1">+IF(AVANCE[[#This Row],[ESTADO MODULO]]="PENDIENTE",(TODAY()-AVANCE[[#This Row],[FECHA TERMINO  PLANIFICADO]]),0)</f>
        <v>0</v>
      </c>
      <c r="CS294" s="42" t="str" cm="1">
        <f t="array" ref="CS294">_xlfn.TEXTJOIN(" | ",TRUE,IF(SUMPRODUCT((BF294:CQ294&lt;1)*(PARTIDAS!$I$2:$AT$2="OBRA GRUESA"))&gt;0,"OBRA GRUESA: "&amp;_xlfn.TEXTJOIN(", ",TRUE,IF((BF294:CQ294&lt;1)*(PARTIDAS!$I$2:$AT$2="OBRA GRUESA"),PARTIDAS!$I$1:$AT$1,"")),""),IF(SUMPRODUCT((BF294:CQ294&lt;1)*(PARTIDAS!$I$2:$AT$2="SANITARIOS"))&gt;0,"SANITARIOS: "&amp;_xlfn.TEXTJOIN(", ",TRUE,IF((BF294:CQ294&lt;1)*(PARTIDAS!$I$2:$AT$2="SANITARIOS"),PARTIDAS!$I$1:$AT$1,"")),""),IF(SUMPRODUCT((BF294:CQ294&lt;1)*(PARTIDAS!$I$2:$AT$2="ELÉCTRICO"))&gt;0,"ELÉCTRICO: "&amp;_xlfn.TEXTJOIN(", ",TRUE,IF((BF294:CQ294&lt;1)*(PARTIDAS!$I$2:$AT$2="ELÉCTRICO"),PARTIDAS!$I$1:$AT$1,"")),""),IF(SUMPRODUCT((BF294:CQ294&lt;1)*(PARTIDAS!$I$2:$AT$2="TERMINACIONES"))&gt;0,"TERMINACIONES: "&amp;_xlfn.TEXTJOIN(", ",TRUE,IF((BF294:CQ294&lt;1)*(PARTIDAS!$I$2:$AT$2="TERMINACIONES"),PARTIDAS!$I$1:$AT$1,"")),""))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4" s="45" t="str" cm="1">
        <f t="array" ref="CT294">_xlfn.TEXTJOIN(", ",TRUE,IF(SUMPRODUCT((BF294:CQ294&lt;1)*(PARTIDAS!$I$2:$AT$2="OBRA GRUESA"))&gt;0,"OBRA GRUESA",""),IF(SUMPRODUCT((BF294:CQ294&lt;1)*(PARTIDAS!$I$2:$AT$2="SANITARIOS"))&gt;0,"SANITARIOS",""),IF(SUMPRODUCT((BF294:CQ294&lt;1)*(PARTIDAS!$I$2:$AT$2="ELÉCTRICO"))&gt;0,"ELÉCTRICO",""),IF(SUMPRODUCT((BF294:CQ294&lt;1)*(PARTIDAS!$I$2:$AT$2="TERMINACIONES"))&gt;0,"TERMINACIONES",""))</f>
        <v>OBRA GRUESA, SANITARIOS, ELÉCTRICO, TERMINACIONES</v>
      </c>
      <c r="CU294" s="46" cm="1">
        <f t="array" ref="CU294">SUMPRODUCT(--(BF294:CQ294&lt;1))</f>
        <v>38</v>
      </c>
    </row>
    <row r="295" spans="1:99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46181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 s="3" t="str">
        <f>+IF(AVANCE[[#This Row],[% AVANCE]]=100%,"MODULO TERMINADO",IF(AVANCE[[#This Row],[FECHA INICIO REAL]]="","MODULO NO INICIADO","PENDIENTE"))</f>
        <v>MODULO NO INICIADO</v>
      </c>
      <c r="BF295" s="3">
        <f>+IF(AVANCE[[#This Row],[VENTANAS]]=8.10810810810811%,100%,AVANCE[[#This Row],[VENTANAS]])</f>
        <v>0</v>
      </c>
      <c r="BG295" s="3">
        <f>+IF(AVANCE[[#This Row],[PISO]]=N$2,100%,AVANCE[[#This Row],[PISO]])</f>
        <v>0</v>
      </c>
      <c r="BH295" s="3">
        <f>+IF(AVANCE[[#This Row],[TABIQUES]]=O$2,100%,AVANCE[[#This Row],[TABIQUES]])</f>
        <v>0</v>
      </c>
      <c r="BI295" s="3">
        <f>+IF(AVANCE[[#This Row],[MUROS]]=P$2,100%,AVANCE[[#This Row],[MUROS]])</f>
        <v>0</v>
      </c>
      <c r="BJ295" s="3">
        <f>+IF(AVANCE[[#This Row],[CIELO]]=Q$2,100%,AVANCE[[#This Row],[CIELO]])</f>
        <v>0</v>
      </c>
      <c r="BK295" s="3">
        <f>+IF(AVANCE[[#This Row],[BALCÓN]]=R$2,100%,AVANCE[[#This Row],[BALCÓN]])</f>
        <v>0</v>
      </c>
      <c r="BL295" s="3">
        <f>+IF(AVANCE[[#This Row],[RED ALCANTARILLADO]]=U$2,100%,AVANCE[[#This Row],[RED ALCANTARILLADO]])</f>
        <v>0</v>
      </c>
      <c r="BM295" s="3">
        <f>+IF(AVANCE[[#This Row],[RED DE AGUA]]=V$2,100%,AVANCE[[#This Row],[RED DE AGUA]])</f>
        <v>0</v>
      </c>
      <c r="BN295" s="3">
        <f>+IF(AVANCE[[#This Row],[VENTILACIONES]]=W$2,100%,AVANCE[[#This Row],[VENTILACIONES]])</f>
        <v>0</v>
      </c>
      <c r="BO295" s="3">
        <f>+IF(AVANCE[[#This Row],[TINA]]=X$2,100%,AVANCE[[#This Row],[TINA]])</f>
        <v>0</v>
      </c>
      <c r="BP295" s="3">
        <f>+IF(AVANCE[[#This Row],[WC]]=Y$2,100%,AVANCE[[#This Row],[WC]])</f>
        <v>0</v>
      </c>
      <c r="BQ295" s="3">
        <f>+IF(AVANCE[[#This Row],[LAVAMANOS / LAVAPLATOS / LAVADERO]]=Z$2,100%,AVANCE[[#This Row],[LAVAMANOS / LAVAPLATOS / LAVADERO]])</f>
        <v>0</v>
      </c>
      <c r="BR295" s="3">
        <f>+IF(AVANCE[[#This Row],[CANALIZACIÓN]]=AC$2,100%,AVANCE[[#This Row],[CANALIZACIÓN]])</f>
        <v>0</v>
      </c>
      <c r="BS295" s="3">
        <f>+IF(AVANCE[[#This Row],[CABLEADO]]=AD$2,100%,AVANCE[[#This Row],[CABLEADO]])</f>
        <v>0</v>
      </c>
      <c r="BT295" s="3">
        <f>+IF(AVANCE[[#This Row],[ARTEFACTOS]]=AE$2,100%,AVANCE[[#This Row],[ARTEFACTOS]])</f>
        <v>0</v>
      </c>
      <c r="BU295" s="3">
        <f>+IF(AVANCE[[#This Row],[TABLERO]]=AF$2,100%,AVANCE[[#This Row],[TABLERO]])</f>
        <v>0</v>
      </c>
      <c r="BV295" s="3">
        <f>+IF(AVANCE[[#This Row],[CAJA PAU]]=AG$2,100%,AVANCE[[#This Row],[CAJA PAU]])</f>
        <v>0</v>
      </c>
      <c r="BW295" s="3">
        <f>+IF(AVANCE[[#This Row],[INSTALACION VINILICO]]=AJ$2,100%,AVANCE[[#This Row],[INSTALACION VINILICO]])</f>
        <v>0</v>
      </c>
      <c r="BX295" s="3">
        <f>+IF(AVANCE[[#This Row],[OSB CUBIERTA]]=AK$2,100%,AVANCE[[#This Row],[OSB CUBIERTA]])</f>
        <v>0</v>
      </c>
      <c r="BY295" s="3">
        <f>+IF(AVANCE[[#This Row],[BARANDA BALCON]]=AL$2,100%,AVANCE[[#This Row],[BARANDA BALCON]])</f>
        <v>0</v>
      </c>
      <c r="BZ295" s="3">
        <f>+IF(AVANCE[[#This Row],[OSB EXTERIOR]]=AM$2,100%,AVANCE[[#This Row],[OSB EXTERIOR]])</f>
        <v>0</v>
      </c>
      <c r="CA295" s="3">
        <f>+IF(AVANCE[[#This Row],[SMART PANEL]]=AN$2,100%,AVANCE[[#This Row],[SMART PANEL]])</f>
        <v>0</v>
      </c>
      <c r="CB295" s="3">
        <f>+IF(AVANCE[[#This Row],[PINTURA EXTERIOR]]=AO$2,100%,AVANCE[[#This Row],[PINTURA EXTERIOR]])</f>
        <v>0</v>
      </c>
      <c r="CC295" s="3">
        <f>+IF(AVANCE[[#This Row],[ZOCALOS LOGIA]]=AP$2,100%,AVANCE[[#This Row],[ZOCALOS LOGIA]])</f>
        <v>0</v>
      </c>
      <c r="CD295" s="3">
        <f>+IF(AVANCE[[#This Row],[MOLDURAS]]=AQ$2,100%,AVANCE[[#This Row],[MOLDURAS]])</f>
        <v>0</v>
      </c>
      <c r="CE295" s="3">
        <f>+IF(AVANCE[[#This Row],[PILASTREO]]=AR$2,100%,AVANCE[[#This Row],[PILASTREO]])</f>
        <v>0</v>
      </c>
      <c r="CF295" s="3">
        <f>+IF(AVANCE[[#This Row],[CELOSIAS]]=AS$2,100%,AVANCE[[#This Row],[CELOSIAS]])</f>
        <v>0</v>
      </c>
      <c r="CG295" s="3">
        <f>+IF(AVANCE[[#This Row],[VENTANAS]]=AT$2,100%,AVANCE[[#This Row],[VENTANAS]])</f>
        <v>0</v>
      </c>
      <c r="CH295" s="3">
        <f>+IF(AVANCE[[#This Row],[PUERTAS ACCESO - LOGIA - BANO]]=AU$2,100%,AVANCE[[#This Row],[PUERTAS ACCESO - LOGIA - BANO]])</f>
        <v>0</v>
      </c>
      <c r="CI295" s="3">
        <f>+IF(AVANCE[[#This Row],[CERRADURAS]]=AV$2,100%,AVANCE[[#This Row],[CERRADURAS]])</f>
        <v>0</v>
      </c>
      <c r="CJ295" s="3">
        <f>+IF(AVANCE[[#This Row],[REVESTIMIENTO INTERIOR ZONA SECA]]=AW$2,100%,AVANCE[[#This Row],[REVESTIMIENTO INTERIOR ZONA SECA]])</f>
        <v>0</v>
      </c>
      <c r="CK295" s="3">
        <f>+IF(AVANCE[[#This Row],[REVESTIMIENTO INTERIOR ZONAS HUMEDAS]]=AX$2,100%,AVANCE[[#This Row],[REVESTIMIENTO INTERIOR ZONAS HUMEDAS]])</f>
        <v>0</v>
      </c>
      <c r="CL295" s="3">
        <f>+IF(AVANCE[[#This Row],[MEMBRANA CIELO]]=AY$2,100%,AVANCE[[#This Row],[MEMBRANA CIELO]])</f>
        <v>0</v>
      </c>
      <c r="CM295" s="3">
        <f>+IF(AVANCE[[#This Row],[LIMPIEZA FINAL]]=AZ$2,100%,AVANCE[[#This Row],[LIMPIEZA FINAL]])</f>
        <v>0</v>
      </c>
      <c r="CN295" s="3">
        <f>+IF(AVANCE[[#This Row],[PUERTAS DORMITORIO]]=BA$2,100%,AVANCE[[#This Row],[PUERTAS DORMITORIO]])</f>
        <v>0</v>
      </c>
      <c r="CO295" s="3">
        <f>+IF(AVANCE[[#This Row],[REVESTIMIENTO INTERIOR BANO]]=BB$2,100%,AVANCE[[#This Row],[REVESTIMIENTO INTERIOR BANO]])</f>
        <v>0</v>
      </c>
      <c r="CP295" s="3">
        <f>+IF(AVANCE[[#This Row],[MUEBLE LAVAPLATOS]]=BC$2,100%,AVANCE[[#This Row],[MUEBLE LAVAPLATOS]])</f>
        <v>0</v>
      </c>
      <c r="CQ295" s="3">
        <f>+IF(AVANCE[[#This Row],[IMPERMEABILIZACION BANO - COCINA LOGIA]]=BD$2,100%,AVANCE[[#This Row],[IMPERMEABILIZACION BANO - COCINA LOGIA]])</f>
        <v>0</v>
      </c>
      <c r="CR295" s="40">
        <f ca="1">+IF(AVANCE[[#This Row],[ESTADO MODULO]]="PENDIENTE",(TODAY()-AVANCE[[#This Row],[FECHA TERMINO  PLANIFICADO]]),0)</f>
        <v>0</v>
      </c>
      <c r="CS295" s="42" t="str" cm="1">
        <f t="array" ref="CS295">_xlfn.TEXTJOIN(" | ",TRUE,IF(SUMPRODUCT((BF295:CQ295&lt;1)*(PARTIDAS!$I$2:$AT$2="OBRA GRUESA"))&gt;0,"OBRA GRUESA: "&amp;_xlfn.TEXTJOIN(", ",TRUE,IF((BF295:CQ295&lt;1)*(PARTIDAS!$I$2:$AT$2="OBRA GRUESA"),PARTIDAS!$I$1:$AT$1,"")),""),IF(SUMPRODUCT((BF295:CQ295&lt;1)*(PARTIDAS!$I$2:$AT$2="SANITARIOS"))&gt;0,"SANITARIOS: "&amp;_xlfn.TEXTJOIN(", ",TRUE,IF((BF295:CQ295&lt;1)*(PARTIDAS!$I$2:$AT$2="SANITARIOS"),PARTIDAS!$I$1:$AT$1,"")),""),IF(SUMPRODUCT((BF295:CQ295&lt;1)*(PARTIDAS!$I$2:$AT$2="ELÉCTRICO"))&gt;0,"ELÉCTRICO: "&amp;_xlfn.TEXTJOIN(", ",TRUE,IF((BF295:CQ295&lt;1)*(PARTIDAS!$I$2:$AT$2="ELÉCTRICO"),PARTIDAS!$I$1:$AT$1,"")),""),IF(SUMPRODUCT((BF295:CQ295&lt;1)*(PARTIDAS!$I$2:$AT$2="TERMINACIONES"))&gt;0,"TERMINACIONES: "&amp;_xlfn.TEXTJOIN(", ",TRUE,IF((BF295:CQ295&lt;1)*(PARTIDAS!$I$2:$AT$2="TERMINACIONES"),PARTIDAS!$I$1:$AT$1,"")),""))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5" s="45" t="str" cm="1">
        <f t="array" ref="CT295">_xlfn.TEXTJOIN(", ",TRUE,IF(SUMPRODUCT((BF295:CQ295&lt;1)*(PARTIDAS!$I$2:$AT$2="OBRA GRUESA"))&gt;0,"OBRA GRUESA",""),IF(SUMPRODUCT((BF295:CQ295&lt;1)*(PARTIDAS!$I$2:$AT$2="SANITARIOS"))&gt;0,"SANITARIOS",""),IF(SUMPRODUCT((BF295:CQ295&lt;1)*(PARTIDAS!$I$2:$AT$2="ELÉCTRICO"))&gt;0,"ELÉCTRICO",""),IF(SUMPRODUCT((BF295:CQ295&lt;1)*(PARTIDAS!$I$2:$AT$2="TERMINACIONES"))&gt;0,"TERMINACIONES",""))</f>
        <v>OBRA GRUESA, SANITARIOS, ELÉCTRICO, TERMINACIONES</v>
      </c>
      <c r="CU295" s="46" cm="1">
        <f t="array" ref="CU295">SUMPRODUCT(--(BF295:CQ295&lt;1))</f>
        <v>38</v>
      </c>
    </row>
    <row r="296" spans="1:99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46181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 s="3" t="str">
        <f>+IF(AVANCE[[#This Row],[% AVANCE]]=100%,"MODULO TERMINADO",IF(AVANCE[[#This Row],[FECHA INICIO REAL]]="","MODULO NO INICIADO","PENDIENTE"))</f>
        <v>MODULO NO INICIADO</v>
      </c>
      <c r="BF296" s="3">
        <f>+IF(AVANCE[[#This Row],[VENTANAS]]=8.10810810810811%,100%,AVANCE[[#This Row],[VENTANAS]])</f>
        <v>0</v>
      </c>
      <c r="BG296" s="3">
        <f>+IF(AVANCE[[#This Row],[PISO]]=N$2,100%,AVANCE[[#This Row],[PISO]])</f>
        <v>0</v>
      </c>
      <c r="BH296" s="3">
        <f>+IF(AVANCE[[#This Row],[TABIQUES]]=O$2,100%,AVANCE[[#This Row],[TABIQUES]])</f>
        <v>0</v>
      </c>
      <c r="BI296" s="3">
        <f>+IF(AVANCE[[#This Row],[MUROS]]=P$2,100%,AVANCE[[#This Row],[MUROS]])</f>
        <v>0</v>
      </c>
      <c r="BJ296" s="3">
        <f>+IF(AVANCE[[#This Row],[CIELO]]=Q$2,100%,AVANCE[[#This Row],[CIELO]])</f>
        <v>0</v>
      </c>
      <c r="BK296" s="3">
        <f>+IF(AVANCE[[#This Row],[BALCÓN]]=R$2,100%,AVANCE[[#This Row],[BALCÓN]])</f>
        <v>0</v>
      </c>
      <c r="BL296" s="3">
        <f>+IF(AVANCE[[#This Row],[RED ALCANTARILLADO]]=U$2,100%,AVANCE[[#This Row],[RED ALCANTARILLADO]])</f>
        <v>0</v>
      </c>
      <c r="BM296" s="3">
        <f>+IF(AVANCE[[#This Row],[RED DE AGUA]]=V$2,100%,AVANCE[[#This Row],[RED DE AGUA]])</f>
        <v>0</v>
      </c>
      <c r="BN296" s="3">
        <f>+IF(AVANCE[[#This Row],[VENTILACIONES]]=W$2,100%,AVANCE[[#This Row],[VENTILACIONES]])</f>
        <v>0</v>
      </c>
      <c r="BO296" s="3">
        <f>+IF(AVANCE[[#This Row],[TINA]]=X$2,100%,AVANCE[[#This Row],[TINA]])</f>
        <v>0</v>
      </c>
      <c r="BP296" s="3">
        <f>+IF(AVANCE[[#This Row],[WC]]=Y$2,100%,AVANCE[[#This Row],[WC]])</f>
        <v>0</v>
      </c>
      <c r="BQ296" s="3">
        <f>+IF(AVANCE[[#This Row],[LAVAMANOS / LAVAPLATOS / LAVADERO]]=Z$2,100%,AVANCE[[#This Row],[LAVAMANOS / LAVAPLATOS / LAVADERO]])</f>
        <v>0</v>
      </c>
      <c r="BR296" s="3">
        <f>+IF(AVANCE[[#This Row],[CANALIZACIÓN]]=AC$2,100%,AVANCE[[#This Row],[CANALIZACIÓN]])</f>
        <v>0</v>
      </c>
      <c r="BS296" s="3">
        <f>+IF(AVANCE[[#This Row],[CABLEADO]]=AD$2,100%,AVANCE[[#This Row],[CABLEADO]])</f>
        <v>0</v>
      </c>
      <c r="BT296" s="3">
        <f>+IF(AVANCE[[#This Row],[ARTEFACTOS]]=AE$2,100%,AVANCE[[#This Row],[ARTEFACTOS]])</f>
        <v>0</v>
      </c>
      <c r="BU296" s="3">
        <f>+IF(AVANCE[[#This Row],[TABLERO]]=AF$2,100%,AVANCE[[#This Row],[TABLERO]])</f>
        <v>0</v>
      </c>
      <c r="BV296" s="3">
        <f>+IF(AVANCE[[#This Row],[CAJA PAU]]=AG$2,100%,AVANCE[[#This Row],[CAJA PAU]])</f>
        <v>0</v>
      </c>
      <c r="BW296" s="3">
        <f>+IF(AVANCE[[#This Row],[INSTALACION VINILICO]]=AJ$2,100%,AVANCE[[#This Row],[INSTALACION VINILICO]])</f>
        <v>0</v>
      </c>
      <c r="BX296" s="3">
        <f>+IF(AVANCE[[#This Row],[OSB CUBIERTA]]=AK$2,100%,AVANCE[[#This Row],[OSB CUBIERTA]])</f>
        <v>0</v>
      </c>
      <c r="BY296" s="3">
        <f>+IF(AVANCE[[#This Row],[BARANDA BALCON]]=AL$2,100%,AVANCE[[#This Row],[BARANDA BALCON]])</f>
        <v>0</v>
      </c>
      <c r="BZ296" s="3">
        <f>+IF(AVANCE[[#This Row],[OSB EXTERIOR]]=AM$2,100%,AVANCE[[#This Row],[OSB EXTERIOR]])</f>
        <v>0</v>
      </c>
      <c r="CA296" s="3">
        <f>+IF(AVANCE[[#This Row],[SMART PANEL]]=AN$2,100%,AVANCE[[#This Row],[SMART PANEL]])</f>
        <v>0</v>
      </c>
      <c r="CB296" s="3">
        <f>+IF(AVANCE[[#This Row],[PINTURA EXTERIOR]]=AO$2,100%,AVANCE[[#This Row],[PINTURA EXTERIOR]])</f>
        <v>0</v>
      </c>
      <c r="CC296" s="3">
        <f>+IF(AVANCE[[#This Row],[ZOCALOS LOGIA]]=AP$2,100%,AVANCE[[#This Row],[ZOCALOS LOGIA]])</f>
        <v>0</v>
      </c>
      <c r="CD296" s="3">
        <f>+IF(AVANCE[[#This Row],[MOLDURAS]]=AQ$2,100%,AVANCE[[#This Row],[MOLDURAS]])</f>
        <v>0</v>
      </c>
      <c r="CE296" s="3">
        <f>+IF(AVANCE[[#This Row],[PILASTREO]]=AR$2,100%,AVANCE[[#This Row],[PILASTREO]])</f>
        <v>0</v>
      </c>
      <c r="CF296" s="3">
        <f>+IF(AVANCE[[#This Row],[CELOSIAS]]=AS$2,100%,AVANCE[[#This Row],[CELOSIAS]])</f>
        <v>0</v>
      </c>
      <c r="CG296" s="3">
        <f>+IF(AVANCE[[#This Row],[VENTANAS]]=AT$2,100%,AVANCE[[#This Row],[VENTANAS]])</f>
        <v>0</v>
      </c>
      <c r="CH296" s="3">
        <f>+IF(AVANCE[[#This Row],[PUERTAS ACCESO - LOGIA - BANO]]=AU$2,100%,AVANCE[[#This Row],[PUERTAS ACCESO - LOGIA - BANO]])</f>
        <v>0</v>
      </c>
      <c r="CI296" s="3">
        <f>+IF(AVANCE[[#This Row],[CERRADURAS]]=AV$2,100%,AVANCE[[#This Row],[CERRADURAS]])</f>
        <v>0</v>
      </c>
      <c r="CJ296" s="3">
        <f>+IF(AVANCE[[#This Row],[REVESTIMIENTO INTERIOR ZONA SECA]]=AW$2,100%,AVANCE[[#This Row],[REVESTIMIENTO INTERIOR ZONA SECA]])</f>
        <v>0</v>
      </c>
      <c r="CK296" s="3">
        <f>+IF(AVANCE[[#This Row],[REVESTIMIENTO INTERIOR ZONAS HUMEDAS]]=AX$2,100%,AVANCE[[#This Row],[REVESTIMIENTO INTERIOR ZONAS HUMEDAS]])</f>
        <v>0</v>
      </c>
      <c r="CL296" s="3">
        <f>+IF(AVANCE[[#This Row],[MEMBRANA CIELO]]=AY$2,100%,AVANCE[[#This Row],[MEMBRANA CIELO]])</f>
        <v>0</v>
      </c>
      <c r="CM296" s="3">
        <f>+IF(AVANCE[[#This Row],[LIMPIEZA FINAL]]=AZ$2,100%,AVANCE[[#This Row],[LIMPIEZA FINAL]])</f>
        <v>0</v>
      </c>
      <c r="CN296" s="3">
        <f>+IF(AVANCE[[#This Row],[PUERTAS DORMITORIO]]=BA$2,100%,AVANCE[[#This Row],[PUERTAS DORMITORIO]])</f>
        <v>0</v>
      </c>
      <c r="CO296" s="3">
        <f>+IF(AVANCE[[#This Row],[REVESTIMIENTO INTERIOR BANO]]=BB$2,100%,AVANCE[[#This Row],[REVESTIMIENTO INTERIOR BANO]])</f>
        <v>0</v>
      </c>
      <c r="CP296" s="3">
        <f>+IF(AVANCE[[#This Row],[MUEBLE LAVAPLATOS]]=BC$2,100%,AVANCE[[#This Row],[MUEBLE LAVAPLATOS]])</f>
        <v>0</v>
      </c>
      <c r="CQ296" s="3">
        <f>+IF(AVANCE[[#This Row],[IMPERMEABILIZACION BANO - COCINA LOGIA]]=BD$2,100%,AVANCE[[#This Row],[IMPERMEABILIZACION BANO - COCINA LOGIA]])</f>
        <v>0</v>
      </c>
      <c r="CR296" s="40">
        <f ca="1">+IF(AVANCE[[#This Row],[ESTADO MODULO]]="PENDIENTE",(TODAY()-AVANCE[[#This Row],[FECHA TERMINO  PLANIFICADO]]),0)</f>
        <v>0</v>
      </c>
      <c r="CS296" s="42" t="str" cm="1">
        <f t="array" ref="CS296">_xlfn.TEXTJOIN(" | ",TRUE,IF(SUMPRODUCT((BF296:CQ296&lt;1)*(PARTIDAS!$I$2:$AT$2="OBRA GRUESA"))&gt;0,"OBRA GRUESA: "&amp;_xlfn.TEXTJOIN(", ",TRUE,IF((BF296:CQ296&lt;1)*(PARTIDAS!$I$2:$AT$2="OBRA GRUESA"),PARTIDAS!$I$1:$AT$1,"")),""),IF(SUMPRODUCT((BF296:CQ296&lt;1)*(PARTIDAS!$I$2:$AT$2="SANITARIOS"))&gt;0,"SANITARIOS: "&amp;_xlfn.TEXTJOIN(", ",TRUE,IF((BF296:CQ296&lt;1)*(PARTIDAS!$I$2:$AT$2="SANITARIOS"),PARTIDAS!$I$1:$AT$1,"")),""),IF(SUMPRODUCT((BF296:CQ296&lt;1)*(PARTIDAS!$I$2:$AT$2="ELÉCTRICO"))&gt;0,"ELÉCTRICO: "&amp;_xlfn.TEXTJOIN(", ",TRUE,IF((BF296:CQ296&lt;1)*(PARTIDAS!$I$2:$AT$2="ELÉCTRICO"),PARTIDAS!$I$1:$AT$1,"")),""),IF(SUMPRODUCT((BF296:CQ296&lt;1)*(PARTIDAS!$I$2:$AT$2="TERMINACIONES"))&gt;0,"TERMINACIONES: "&amp;_xlfn.TEXTJOIN(", ",TRUE,IF((BF296:CQ296&lt;1)*(PARTIDAS!$I$2:$AT$2="TERMINACIONES"),PARTIDAS!$I$1:$AT$1,"")),""))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6" s="45" t="str" cm="1">
        <f t="array" ref="CT296">_xlfn.TEXTJOIN(", ",TRUE,IF(SUMPRODUCT((BF296:CQ296&lt;1)*(PARTIDAS!$I$2:$AT$2="OBRA GRUESA"))&gt;0,"OBRA GRUESA",""),IF(SUMPRODUCT((BF296:CQ296&lt;1)*(PARTIDAS!$I$2:$AT$2="SANITARIOS"))&gt;0,"SANITARIOS",""),IF(SUMPRODUCT((BF296:CQ296&lt;1)*(PARTIDAS!$I$2:$AT$2="ELÉCTRICO"))&gt;0,"ELÉCTRICO",""),IF(SUMPRODUCT((BF296:CQ296&lt;1)*(PARTIDAS!$I$2:$AT$2="TERMINACIONES"))&gt;0,"TERMINACIONES",""))</f>
        <v>OBRA GRUESA, SANITARIOS, ELÉCTRICO, TERMINACIONES</v>
      </c>
      <c r="CU296" s="46" cm="1">
        <f t="array" ref="CU296">SUMPRODUCT(--(BF296:CQ296&lt;1))</f>
        <v>38</v>
      </c>
    </row>
    <row r="297" spans="1:99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46181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 s="3" t="str">
        <f>+IF(AVANCE[[#This Row],[% AVANCE]]=100%,"MODULO TERMINADO",IF(AVANCE[[#This Row],[FECHA INICIO REAL]]="","MODULO NO INICIADO","PENDIENTE"))</f>
        <v>MODULO NO INICIADO</v>
      </c>
      <c r="BF297" s="3">
        <f>+IF(AVANCE[[#This Row],[VENTANAS]]=8.10810810810811%,100%,AVANCE[[#This Row],[VENTANAS]])</f>
        <v>0</v>
      </c>
      <c r="BG297" s="3">
        <f>+IF(AVANCE[[#This Row],[PISO]]=N$2,100%,AVANCE[[#This Row],[PISO]])</f>
        <v>0</v>
      </c>
      <c r="BH297" s="3">
        <f>+IF(AVANCE[[#This Row],[TABIQUES]]=O$2,100%,AVANCE[[#This Row],[TABIQUES]])</f>
        <v>0</v>
      </c>
      <c r="BI297" s="3">
        <f>+IF(AVANCE[[#This Row],[MUROS]]=P$2,100%,AVANCE[[#This Row],[MUROS]])</f>
        <v>0</v>
      </c>
      <c r="BJ297" s="3">
        <f>+IF(AVANCE[[#This Row],[CIELO]]=Q$2,100%,AVANCE[[#This Row],[CIELO]])</f>
        <v>0</v>
      </c>
      <c r="BK297" s="3">
        <f>+IF(AVANCE[[#This Row],[BALCÓN]]=R$2,100%,AVANCE[[#This Row],[BALCÓN]])</f>
        <v>0</v>
      </c>
      <c r="BL297" s="3">
        <f>+IF(AVANCE[[#This Row],[RED ALCANTARILLADO]]=U$2,100%,AVANCE[[#This Row],[RED ALCANTARILLADO]])</f>
        <v>0</v>
      </c>
      <c r="BM297" s="3">
        <f>+IF(AVANCE[[#This Row],[RED DE AGUA]]=V$2,100%,AVANCE[[#This Row],[RED DE AGUA]])</f>
        <v>0</v>
      </c>
      <c r="BN297" s="3">
        <f>+IF(AVANCE[[#This Row],[VENTILACIONES]]=W$2,100%,AVANCE[[#This Row],[VENTILACIONES]])</f>
        <v>0</v>
      </c>
      <c r="BO297" s="3">
        <f>+IF(AVANCE[[#This Row],[TINA]]=X$2,100%,AVANCE[[#This Row],[TINA]])</f>
        <v>0</v>
      </c>
      <c r="BP297" s="3">
        <f>+IF(AVANCE[[#This Row],[WC]]=Y$2,100%,AVANCE[[#This Row],[WC]])</f>
        <v>0</v>
      </c>
      <c r="BQ297" s="3">
        <f>+IF(AVANCE[[#This Row],[LAVAMANOS / LAVAPLATOS / LAVADERO]]=Z$2,100%,AVANCE[[#This Row],[LAVAMANOS / LAVAPLATOS / LAVADERO]])</f>
        <v>0</v>
      </c>
      <c r="BR297" s="3">
        <f>+IF(AVANCE[[#This Row],[CANALIZACIÓN]]=AC$2,100%,AVANCE[[#This Row],[CANALIZACIÓN]])</f>
        <v>0</v>
      </c>
      <c r="BS297" s="3">
        <f>+IF(AVANCE[[#This Row],[CABLEADO]]=AD$2,100%,AVANCE[[#This Row],[CABLEADO]])</f>
        <v>0</v>
      </c>
      <c r="BT297" s="3">
        <f>+IF(AVANCE[[#This Row],[ARTEFACTOS]]=AE$2,100%,AVANCE[[#This Row],[ARTEFACTOS]])</f>
        <v>0</v>
      </c>
      <c r="BU297" s="3">
        <f>+IF(AVANCE[[#This Row],[TABLERO]]=AF$2,100%,AVANCE[[#This Row],[TABLERO]])</f>
        <v>0</v>
      </c>
      <c r="BV297" s="3">
        <f>+IF(AVANCE[[#This Row],[CAJA PAU]]=AG$2,100%,AVANCE[[#This Row],[CAJA PAU]])</f>
        <v>0</v>
      </c>
      <c r="BW297" s="3">
        <f>+IF(AVANCE[[#This Row],[INSTALACION VINILICO]]=AJ$2,100%,AVANCE[[#This Row],[INSTALACION VINILICO]])</f>
        <v>0</v>
      </c>
      <c r="BX297" s="3">
        <f>+IF(AVANCE[[#This Row],[OSB CUBIERTA]]=AK$2,100%,AVANCE[[#This Row],[OSB CUBIERTA]])</f>
        <v>0</v>
      </c>
      <c r="BY297" s="3">
        <f>+IF(AVANCE[[#This Row],[BARANDA BALCON]]=AL$2,100%,AVANCE[[#This Row],[BARANDA BALCON]])</f>
        <v>0</v>
      </c>
      <c r="BZ297" s="3">
        <f>+IF(AVANCE[[#This Row],[OSB EXTERIOR]]=AM$2,100%,AVANCE[[#This Row],[OSB EXTERIOR]])</f>
        <v>0</v>
      </c>
      <c r="CA297" s="3">
        <f>+IF(AVANCE[[#This Row],[SMART PANEL]]=AN$2,100%,AVANCE[[#This Row],[SMART PANEL]])</f>
        <v>0</v>
      </c>
      <c r="CB297" s="3">
        <f>+IF(AVANCE[[#This Row],[PINTURA EXTERIOR]]=AO$2,100%,AVANCE[[#This Row],[PINTURA EXTERIOR]])</f>
        <v>0</v>
      </c>
      <c r="CC297" s="3">
        <f>+IF(AVANCE[[#This Row],[ZOCALOS LOGIA]]=AP$2,100%,AVANCE[[#This Row],[ZOCALOS LOGIA]])</f>
        <v>0</v>
      </c>
      <c r="CD297" s="3">
        <f>+IF(AVANCE[[#This Row],[MOLDURAS]]=AQ$2,100%,AVANCE[[#This Row],[MOLDURAS]])</f>
        <v>0</v>
      </c>
      <c r="CE297" s="3">
        <f>+IF(AVANCE[[#This Row],[PILASTREO]]=AR$2,100%,AVANCE[[#This Row],[PILASTREO]])</f>
        <v>0</v>
      </c>
      <c r="CF297" s="3">
        <f>+IF(AVANCE[[#This Row],[CELOSIAS]]=AS$2,100%,AVANCE[[#This Row],[CELOSIAS]])</f>
        <v>0</v>
      </c>
      <c r="CG297" s="3">
        <f>+IF(AVANCE[[#This Row],[VENTANAS]]=AT$2,100%,AVANCE[[#This Row],[VENTANAS]])</f>
        <v>0</v>
      </c>
      <c r="CH297" s="3">
        <f>+IF(AVANCE[[#This Row],[PUERTAS ACCESO - LOGIA - BANO]]=AU$2,100%,AVANCE[[#This Row],[PUERTAS ACCESO - LOGIA - BANO]])</f>
        <v>0</v>
      </c>
      <c r="CI297" s="3">
        <f>+IF(AVANCE[[#This Row],[CERRADURAS]]=AV$2,100%,AVANCE[[#This Row],[CERRADURAS]])</f>
        <v>0</v>
      </c>
      <c r="CJ297" s="3">
        <f>+IF(AVANCE[[#This Row],[REVESTIMIENTO INTERIOR ZONA SECA]]=AW$2,100%,AVANCE[[#This Row],[REVESTIMIENTO INTERIOR ZONA SECA]])</f>
        <v>0</v>
      </c>
      <c r="CK297" s="3">
        <f>+IF(AVANCE[[#This Row],[REVESTIMIENTO INTERIOR ZONAS HUMEDAS]]=AX$2,100%,AVANCE[[#This Row],[REVESTIMIENTO INTERIOR ZONAS HUMEDAS]])</f>
        <v>0</v>
      </c>
      <c r="CL297" s="3">
        <f>+IF(AVANCE[[#This Row],[MEMBRANA CIELO]]=AY$2,100%,AVANCE[[#This Row],[MEMBRANA CIELO]])</f>
        <v>0</v>
      </c>
      <c r="CM297" s="3">
        <f>+IF(AVANCE[[#This Row],[LIMPIEZA FINAL]]=AZ$2,100%,AVANCE[[#This Row],[LIMPIEZA FINAL]])</f>
        <v>0</v>
      </c>
      <c r="CN297" s="3">
        <f>+IF(AVANCE[[#This Row],[PUERTAS DORMITORIO]]=BA$2,100%,AVANCE[[#This Row],[PUERTAS DORMITORIO]])</f>
        <v>0</v>
      </c>
      <c r="CO297" s="3">
        <f>+IF(AVANCE[[#This Row],[REVESTIMIENTO INTERIOR BANO]]=BB$2,100%,AVANCE[[#This Row],[REVESTIMIENTO INTERIOR BANO]])</f>
        <v>0</v>
      </c>
      <c r="CP297" s="3">
        <f>+IF(AVANCE[[#This Row],[MUEBLE LAVAPLATOS]]=BC$2,100%,AVANCE[[#This Row],[MUEBLE LAVAPLATOS]])</f>
        <v>0</v>
      </c>
      <c r="CQ297" s="3">
        <f>+IF(AVANCE[[#This Row],[IMPERMEABILIZACION BANO - COCINA LOGIA]]=BD$2,100%,AVANCE[[#This Row],[IMPERMEABILIZACION BANO - COCINA LOGIA]])</f>
        <v>0</v>
      </c>
      <c r="CR297" s="40">
        <f ca="1">+IF(AVANCE[[#This Row],[ESTADO MODULO]]="PENDIENTE",(TODAY()-AVANCE[[#This Row],[FECHA TERMINO  PLANIFICADO]]),0)</f>
        <v>0</v>
      </c>
      <c r="CS297" s="42" t="str" cm="1">
        <f t="array" ref="CS297">_xlfn.TEXTJOIN(" | ",TRUE,IF(SUMPRODUCT((BF297:CQ297&lt;1)*(PARTIDAS!$I$2:$AT$2="OBRA GRUESA"))&gt;0,"OBRA GRUESA: "&amp;_xlfn.TEXTJOIN(", ",TRUE,IF((BF297:CQ297&lt;1)*(PARTIDAS!$I$2:$AT$2="OBRA GRUESA"),PARTIDAS!$I$1:$AT$1,"")),""),IF(SUMPRODUCT((BF297:CQ297&lt;1)*(PARTIDAS!$I$2:$AT$2="SANITARIOS"))&gt;0,"SANITARIOS: "&amp;_xlfn.TEXTJOIN(", ",TRUE,IF((BF297:CQ297&lt;1)*(PARTIDAS!$I$2:$AT$2="SANITARIOS"),PARTIDAS!$I$1:$AT$1,"")),""),IF(SUMPRODUCT((BF297:CQ297&lt;1)*(PARTIDAS!$I$2:$AT$2="ELÉCTRICO"))&gt;0,"ELÉCTRICO: "&amp;_xlfn.TEXTJOIN(", ",TRUE,IF((BF297:CQ297&lt;1)*(PARTIDAS!$I$2:$AT$2="ELÉCTRICO"),PARTIDAS!$I$1:$AT$1,"")),""),IF(SUMPRODUCT((BF297:CQ297&lt;1)*(PARTIDAS!$I$2:$AT$2="TERMINACIONES"))&gt;0,"TERMINACIONES: "&amp;_xlfn.TEXTJOIN(", ",TRUE,IF((BF297:CQ297&lt;1)*(PARTIDAS!$I$2:$AT$2="TERMINACIONES"),PARTIDAS!$I$1:$AT$1,"")),""))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7" s="45" t="str" cm="1">
        <f t="array" ref="CT297">_xlfn.TEXTJOIN(", ",TRUE,IF(SUMPRODUCT((BF297:CQ297&lt;1)*(PARTIDAS!$I$2:$AT$2="OBRA GRUESA"))&gt;0,"OBRA GRUESA",""),IF(SUMPRODUCT((BF297:CQ297&lt;1)*(PARTIDAS!$I$2:$AT$2="SANITARIOS"))&gt;0,"SANITARIOS",""),IF(SUMPRODUCT((BF297:CQ297&lt;1)*(PARTIDAS!$I$2:$AT$2="ELÉCTRICO"))&gt;0,"ELÉCTRICO",""),IF(SUMPRODUCT((BF297:CQ297&lt;1)*(PARTIDAS!$I$2:$AT$2="TERMINACIONES"))&gt;0,"TERMINACIONES",""))</f>
        <v>OBRA GRUESA, SANITARIOS, ELÉCTRICO, TERMINACIONES</v>
      </c>
      <c r="CU297" s="46" cm="1">
        <f t="array" ref="CU297">SUMPRODUCT(--(BF297:CQ297&lt;1))</f>
        <v>38</v>
      </c>
    </row>
    <row r="298" spans="1:99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46181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 s="3" t="str">
        <f>+IF(AVANCE[[#This Row],[% AVANCE]]=100%,"MODULO TERMINADO",IF(AVANCE[[#This Row],[FECHA INICIO REAL]]="","MODULO NO INICIADO","PENDIENTE"))</f>
        <v>MODULO NO INICIADO</v>
      </c>
      <c r="BF298" s="3">
        <f>+IF(AVANCE[[#This Row],[VENTANAS]]=8.10810810810811%,100%,AVANCE[[#This Row],[VENTANAS]])</f>
        <v>0</v>
      </c>
      <c r="BG298" s="3">
        <f>+IF(AVANCE[[#This Row],[PISO]]=N$2,100%,AVANCE[[#This Row],[PISO]])</f>
        <v>0</v>
      </c>
      <c r="BH298" s="3">
        <f>+IF(AVANCE[[#This Row],[TABIQUES]]=O$2,100%,AVANCE[[#This Row],[TABIQUES]])</f>
        <v>0</v>
      </c>
      <c r="BI298" s="3">
        <f>+IF(AVANCE[[#This Row],[MUROS]]=P$2,100%,AVANCE[[#This Row],[MUROS]])</f>
        <v>0</v>
      </c>
      <c r="BJ298" s="3">
        <f>+IF(AVANCE[[#This Row],[CIELO]]=Q$2,100%,AVANCE[[#This Row],[CIELO]])</f>
        <v>0</v>
      </c>
      <c r="BK298" s="3">
        <f>+IF(AVANCE[[#This Row],[BALCÓN]]=R$2,100%,AVANCE[[#This Row],[BALCÓN]])</f>
        <v>0</v>
      </c>
      <c r="BL298" s="3">
        <f>+IF(AVANCE[[#This Row],[RED ALCANTARILLADO]]=U$2,100%,AVANCE[[#This Row],[RED ALCANTARILLADO]])</f>
        <v>0</v>
      </c>
      <c r="BM298" s="3">
        <f>+IF(AVANCE[[#This Row],[RED DE AGUA]]=V$2,100%,AVANCE[[#This Row],[RED DE AGUA]])</f>
        <v>0</v>
      </c>
      <c r="BN298" s="3">
        <f>+IF(AVANCE[[#This Row],[VENTILACIONES]]=W$2,100%,AVANCE[[#This Row],[VENTILACIONES]])</f>
        <v>0</v>
      </c>
      <c r="BO298" s="3">
        <f>+IF(AVANCE[[#This Row],[TINA]]=X$2,100%,AVANCE[[#This Row],[TINA]])</f>
        <v>0</v>
      </c>
      <c r="BP298" s="3">
        <f>+IF(AVANCE[[#This Row],[WC]]=Y$2,100%,AVANCE[[#This Row],[WC]])</f>
        <v>0</v>
      </c>
      <c r="BQ298" s="3">
        <f>+IF(AVANCE[[#This Row],[LAVAMANOS / LAVAPLATOS / LAVADERO]]=Z$2,100%,AVANCE[[#This Row],[LAVAMANOS / LAVAPLATOS / LAVADERO]])</f>
        <v>0</v>
      </c>
      <c r="BR298" s="3">
        <f>+IF(AVANCE[[#This Row],[CANALIZACIÓN]]=AC$2,100%,AVANCE[[#This Row],[CANALIZACIÓN]])</f>
        <v>0</v>
      </c>
      <c r="BS298" s="3">
        <f>+IF(AVANCE[[#This Row],[CABLEADO]]=AD$2,100%,AVANCE[[#This Row],[CABLEADO]])</f>
        <v>0</v>
      </c>
      <c r="BT298" s="3">
        <f>+IF(AVANCE[[#This Row],[ARTEFACTOS]]=AE$2,100%,AVANCE[[#This Row],[ARTEFACTOS]])</f>
        <v>0</v>
      </c>
      <c r="BU298" s="3">
        <f>+IF(AVANCE[[#This Row],[TABLERO]]=AF$2,100%,AVANCE[[#This Row],[TABLERO]])</f>
        <v>0</v>
      </c>
      <c r="BV298" s="3">
        <f>+IF(AVANCE[[#This Row],[CAJA PAU]]=AG$2,100%,AVANCE[[#This Row],[CAJA PAU]])</f>
        <v>0</v>
      </c>
      <c r="BW298" s="3">
        <f>+IF(AVANCE[[#This Row],[INSTALACION VINILICO]]=AJ$2,100%,AVANCE[[#This Row],[INSTALACION VINILICO]])</f>
        <v>0</v>
      </c>
      <c r="BX298" s="3">
        <f>+IF(AVANCE[[#This Row],[OSB CUBIERTA]]=AK$2,100%,AVANCE[[#This Row],[OSB CUBIERTA]])</f>
        <v>0</v>
      </c>
      <c r="BY298" s="3">
        <f>+IF(AVANCE[[#This Row],[BARANDA BALCON]]=AL$2,100%,AVANCE[[#This Row],[BARANDA BALCON]])</f>
        <v>0</v>
      </c>
      <c r="BZ298" s="3">
        <f>+IF(AVANCE[[#This Row],[OSB EXTERIOR]]=AM$2,100%,AVANCE[[#This Row],[OSB EXTERIOR]])</f>
        <v>0</v>
      </c>
      <c r="CA298" s="3">
        <f>+IF(AVANCE[[#This Row],[SMART PANEL]]=AN$2,100%,AVANCE[[#This Row],[SMART PANEL]])</f>
        <v>0</v>
      </c>
      <c r="CB298" s="3">
        <f>+IF(AVANCE[[#This Row],[PINTURA EXTERIOR]]=AO$2,100%,AVANCE[[#This Row],[PINTURA EXTERIOR]])</f>
        <v>0</v>
      </c>
      <c r="CC298" s="3">
        <f>+IF(AVANCE[[#This Row],[ZOCALOS LOGIA]]=AP$2,100%,AVANCE[[#This Row],[ZOCALOS LOGIA]])</f>
        <v>0</v>
      </c>
      <c r="CD298" s="3">
        <f>+IF(AVANCE[[#This Row],[MOLDURAS]]=AQ$2,100%,AVANCE[[#This Row],[MOLDURAS]])</f>
        <v>0</v>
      </c>
      <c r="CE298" s="3">
        <f>+IF(AVANCE[[#This Row],[PILASTREO]]=AR$2,100%,AVANCE[[#This Row],[PILASTREO]])</f>
        <v>0</v>
      </c>
      <c r="CF298" s="3">
        <f>+IF(AVANCE[[#This Row],[CELOSIAS]]=AS$2,100%,AVANCE[[#This Row],[CELOSIAS]])</f>
        <v>0</v>
      </c>
      <c r="CG298" s="3">
        <f>+IF(AVANCE[[#This Row],[VENTANAS]]=AT$2,100%,AVANCE[[#This Row],[VENTANAS]])</f>
        <v>0</v>
      </c>
      <c r="CH298" s="3">
        <f>+IF(AVANCE[[#This Row],[PUERTAS ACCESO - LOGIA - BANO]]=AU$2,100%,AVANCE[[#This Row],[PUERTAS ACCESO - LOGIA - BANO]])</f>
        <v>0</v>
      </c>
      <c r="CI298" s="3">
        <f>+IF(AVANCE[[#This Row],[CERRADURAS]]=AV$2,100%,AVANCE[[#This Row],[CERRADURAS]])</f>
        <v>0</v>
      </c>
      <c r="CJ298" s="3">
        <f>+IF(AVANCE[[#This Row],[REVESTIMIENTO INTERIOR ZONA SECA]]=AW$2,100%,AVANCE[[#This Row],[REVESTIMIENTO INTERIOR ZONA SECA]])</f>
        <v>0</v>
      </c>
      <c r="CK298" s="3">
        <f>+IF(AVANCE[[#This Row],[REVESTIMIENTO INTERIOR ZONAS HUMEDAS]]=AX$2,100%,AVANCE[[#This Row],[REVESTIMIENTO INTERIOR ZONAS HUMEDAS]])</f>
        <v>0</v>
      </c>
      <c r="CL298" s="3">
        <f>+IF(AVANCE[[#This Row],[MEMBRANA CIELO]]=AY$2,100%,AVANCE[[#This Row],[MEMBRANA CIELO]])</f>
        <v>0</v>
      </c>
      <c r="CM298" s="3">
        <f>+IF(AVANCE[[#This Row],[LIMPIEZA FINAL]]=AZ$2,100%,AVANCE[[#This Row],[LIMPIEZA FINAL]])</f>
        <v>0</v>
      </c>
      <c r="CN298" s="3">
        <f>+IF(AVANCE[[#This Row],[PUERTAS DORMITORIO]]=BA$2,100%,AVANCE[[#This Row],[PUERTAS DORMITORIO]])</f>
        <v>0</v>
      </c>
      <c r="CO298" s="3">
        <f>+IF(AVANCE[[#This Row],[REVESTIMIENTO INTERIOR BANO]]=BB$2,100%,AVANCE[[#This Row],[REVESTIMIENTO INTERIOR BANO]])</f>
        <v>0</v>
      </c>
      <c r="CP298" s="3">
        <f>+IF(AVANCE[[#This Row],[MUEBLE LAVAPLATOS]]=BC$2,100%,AVANCE[[#This Row],[MUEBLE LAVAPLATOS]])</f>
        <v>0</v>
      </c>
      <c r="CQ298" s="3">
        <f>+IF(AVANCE[[#This Row],[IMPERMEABILIZACION BANO - COCINA LOGIA]]=BD$2,100%,AVANCE[[#This Row],[IMPERMEABILIZACION BANO - COCINA LOGIA]])</f>
        <v>0</v>
      </c>
      <c r="CR298" s="40">
        <f ca="1">+IF(AVANCE[[#This Row],[ESTADO MODULO]]="PENDIENTE",(TODAY()-AVANCE[[#This Row],[FECHA TERMINO  PLANIFICADO]]),0)</f>
        <v>0</v>
      </c>
      <c r="CS298" s="42" t="str" cm="1">
        <f t="array" ref="CS298">_xlfn.TEXTJOIN(" | ",TRUE,IF(SUMPRODUCT((BF298:CQ298&lt;1)*(PARTIDAS!$I$2:$AT$2="OBRA GRUESA"))&gt;0,"OBRA GRUESA: "&amp;_xlfn.TEXTJOIN(", ",TRUE,IF((BF298:CQ298&lt;1)*(PARTIDAS!$I$2:$AT$2="OBRA GRUESA"),PARTIDAS!$I$1:$AT$1,"")),""),IF(SUMPRODUCT((BF298:CQ298&lt;1)*(PARTIDAS!$I$2:$AT$2="SANITARIOS"))&gt;0,"SANITARIOS: "&amp;_xlfn.TEXTJOIN(", ",TRUE,IF((BF298:CQ298&lt;1)*(PARTIDAS!$I$2:$AT$2="SANITARIOS"),PARTIDAS!$I$1:$AT$1,"")),""),IF(SUMPRODUCT((BF298:CQ298&lt;1)*(PARTIDAS!$I$2:$AT$2="ELÉCTRICO"))&gt;0,"ELÉCTRICO: "&amp;_xlfn.TEXTJOIN(", ",TRUE,IF((BF298:CQ298&lt;1)*(PARTIDAS!$I$2:$AT$2="ELÉCTRICO"),PARTIDAS!$I$1:$AT$1,"")),""),IF(SUMPRODUCT((BF298:CQ298&lt;1)*(PARTIDAS!$I$2:$AT$2="TERMINACIONES"))&gt;0,"TERMINACIONES: "&amp;_xlfn.TEXTJOIN(", ",TRUE,IF((BF298:CQ298&lt;1)*(PARTIDAS!$I$2:$AT$2="TERMINACIONES"),PARTIDAS!$I$1:$AT$1,"")),""))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8" s="45" t="str" cm="1">
        <f t="array" ref="CT298">_xlfn.TEXTJOIN(", ",TRUE,IF(SUMPRODUCT((BF298:CQ298&lt;1)*(PARTIDAS!$I$2:$AT$2="OBRA GRUESA"))&gt;0,"OBRA GRUESA",""),IF(SUMPRODUCT((BF298:CQ298&lt;1)*(PARTIDAS!$I$2:$AT$2="SANITARIOS"))&gt;0,"SANITARIOS",""),IF(SUMPRODUCT((BF298:CQ298&lt;1)*(PARTIDAS!$I$2:$AT$2="ELÉCTRICO"))&gt;0,"ELÉCTRICO",""),IF(SUMPRODUCT((BF298:CQ298&lt;1)*(PARTIDAS!$I$2:$AT$2="TERMINACIONES"))&gt;0,"TERMINACIONES",""))</f>
        <v>OBRA GRUESA, SANITARIOS, ELÉCTRICO, TERMINACIONES</v>
      </c>
      <c r="CU298" s="46" cm="1">
        <f t="array" ref="CU298">SUMPRODUCT(--(BF298:CQ298&lt;1))</f>
        <v>38</v>
      </c>
    </row>
    <row r="299" spans="1:99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46181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 s="3" t="str">
        <f>+IF(AVANCE[[#This Row],[% AVANCE]]=100%,"MODULO TERMINADO",IF(AVANCE[[#This Row],[FECHA INICIO REAL]]="","MODULO NO INICIADO","PENDIENTE"))</f>
        <v>MODULO NO INICIADO</v>
      </c>
      <c r="BF299" s="3">
        <f>+IF(AVANCE[[#This Row],[VENTANAS]]=8.10810810810811%,100%,AVANCE[[#This Row],[VENTANAS]])</f>
        <v>0</v>
      </c>
      <c r="BG299" s="3">
        <f>+IF(AVANCE[[#This Row],[PISO]]=N$2,100%,AVANCE[[#This Row],[PISO]])</f>
        <v>0</v>
      </c>
      <c r="BH299" s="3">
        <f>+IF(AVANCE[[#This Row],[TABIQUES]]=O$2,100%,AVANCE[[#This Row],[TABIQUES]])</f>
        <v>0</v>
      </c>
      <c r="BI299" s="3">
        <f>+IF(AVANCE[[#This Row],[MUROS]]=P$2,100%,AVANCE[[#This Row],[MUROS]])</f>
        <v>0</v>
      </c>
      <c r="BJ299" s="3">
        <f>+IF(AVANCE[[#This Row],[CIELO]]=Q$2,100%,AVANCE[[#This Row],[CIELO]])</f>
        <v>0</v>
      </c>
      <c r="BK299" s="3">
        <f>+IF(AVANCE[[#This Row],[BALCÓN]]=R$2,100%,AVANCE[[#This Row],[BALCÓN]])</f>
        <v>0</v>
      </c>
      <c r="BL299" s="3">
        <f>+IF(AVANCE[[#This Row],[RED ALCANTARILLADO]]=U$2,100%,AVANCE[[#This Row],[RED ALCANTARILLADO]])</f>
        <v>0</v>
      </c>
      <c r="BM299" s="3">
        <f>+IF(AVANCE[[#This Row],[RED DE AGUA]]=V$2,100%,AVANCE[[#This Row],[RED DE AGUA]])</f>
        <v>0</v>
      </c>
      <c r="BN299" s="3">
        <f>+IF(AVANCE[[#This Row],[VENTILACIONES]]=W$2,100%,AVANCE[[#This Row],[VENTILACIONES]])</f>
        <v>0</v>
      </c>
      <c r="BO299" s="3">
        <f>+IF(AVANCE[[#This Row],[TINA]]=X$2,100%,AVANCE[[#This Row],[TINA]])</f>
        <v>0</v>
      </c>
      <c r="BP299" s="3">
        <f>+IF(AVANCE[[#This Row],[WC]]=Y$2,100%,AVANCE[[#This Row],[WC]])</f>
        <v>0</v>
      </c>
      <c r="BQ299" s="3">
        <f>+IF(AVANCE[[#This Row],[LAVAMANOS / LAVAPLATOS / LAVADERO]]=Z$2,100%,AVANCE[[#This Row],[LAVAMANOS / LAVAPLATOS / LAVADERO]])</f>
        <v>0</v>
      </c>
      <c r="BR299" s="3">
        <f>+IF(AVANCE[[#This Row],[CANALIZACIÓN]]=AC$2,100%,AVANCE[[#This Row],[CANALIZACIÓN]])</f>
        <v>0</v>
      </c>
      <c r="BS299" s="3">
        <f>+IF(AVANCE[[#This Row],[CABLEADO]]=AD$2,100%,AVANCE[[#This Row],[CABLEADO]])</f>
        <v>0</v>
      </c>
      <c r="BT299" s="3">
        <f>+IF(AVANCE[[#This Row],[ARTEFACTOS]]=AE$2,100%,AVANCE[[#This Row],[ARTEFACTOS]])</f>
        <v>0</v>
      </c>
      <c r="BU299" s="3">
        <f>+IF(AVANCE[[#This Row],[TABLERO]]=AF$2,100%,AVANCE[[#This Row],[TABLERO]])</f>
        <v>0</v>
      </c>
      <c r="BV299" s="3">
        <f>+IF(AVANCE[[#This Row],[CAJA PAU]]=AG$2,100%,AVANCE[[#This Row],[CAJA PAU]])</f>
        <v>0</v>
      </c>
      <c r="BW299" s="3">
        <f>+IF(AVANCE[[#This Row],[INSTALACION VINILICO]]=AJ$2,100%,AVANCE[[#This Row],[INSTALACION VINILICO]])</f>
        <v>0</v>
      </c>
      <c r="BX299" s="3">
        <f>+IF(AVANCE[[#This Row],[OSB CUBIERTA]]=AK$2,100%,AVANCE[[#This Row],[OSB CUBIERTA]])</f>
        <v>0</v>
      </c>
      <c r="BY299" s="3">
        <f>+IF(AVANCE[[#This Row],[BARANDA BALCON]]=AL$2,100%,AVANCE[[#This Row],[BARANDA BALCON]])</f>
        <v>0</v>
      </c>
      <c r="BZ299" s="3">
        <f>+IF(AVANCE[[#This Row],[OSB EXTERIOR]]=AM$2,100%,AVANCE[[#This Row],[OSB EXTERIOR]])</f>
        <v>0</v>
      </c>
      <c r="CA299" s="3">
        <f>+IF(AVANCE[[#This Row],[SMART PANEL]]=AN$2,100%,AVANCE[[#This Row],[SMART PANEL]])</f>
        <v>0</v>
      </c>
      <c r="CB299" s="3">
        <f>+IF(AVANCE[[#This Row],[PINTURA EXTERIOR]]=AO$2,100%,AVANCE[[#This Row],[PINTURA EXTERIOR]])</f>
        <v>0</v>
      </c>
      <c r="CC299" s="3">
        <f>+IF(AVANCE[[#This Row],[ZOCALOS LOGIA]]=AP$2,100%,AVANCE[[#This Row],[ZOCALOS LOGIA]])</f>
        <v>0</v>
      </c>
      <c r="CD299" s="3">
        <f>+IF(AVANCE[[#This Row],[MOLDURAS]]=AQ$2,100%,AVANCE[[#This Row],[MOLDURAS]])</f>
        <v>0</v>
      </c>
      <c r="CE299" s="3">
        <f>+IF(AVANCE[[#This Row],[PILASTREO]]=AR$2,100%,AVANCE[[#This Row],[PILASTREO]])</f>
        <v>0</v>
      </c>
      <c r="CF299" s="3">
        <f>+IF(AVANCE[[#This Row],[CELOSIAS]]=AS$2,100%,AVANCE[[#This Row],[CELOSIAS]])</f>
        <v>0</v>
      </c>
      <c r="CG299" s="3">
        <f>+IF(AVANCE[[#This Row],[VENTANAS]]=AT$2,100%,AVANCE[[#This Row],[VENTANAS]])</f>
        <v>0</v>
      </c>
      <c r="CH299" s="3">
        <f>+IF(AVANCE[[#This Row],[PUERTAS ACCESO - LOGIA - BANO]]=AU$2,100%,AVANCE[[#This Row],[PUERTAS ACCESO - LOGIA - BANO]])</f>
        <v>0</v>
      </c>
      <c r="CI299" s="3">
        <f>+IF(AVANCE[[#This Row],[CERRADURAS]]=AV$2,100%,AVANCE[[#This Row],[CERRADURAS]])</f>
        <v>0</v>
      </c>
      <c r="CJ299" s="3">
        <f>+IF(AVANCE[[#This Row],[REVESTIMIENTO INTERIOR ZONA SECA]]=AW$2,100%,AVANCE[[#This Row],[REVESTIMIENTO INTERIOR ZONA SECA]])</f>
        <v>0</v>
      </c>
      <c r="CK299" s="3">
        <f>+IF(AVANCE[[#This Row],[REVESTIMIENTO INTERIOR ZONAS HUMEDAS]]=AX$2,100%,AVANCE[[#This Row],[REVESTIMIENTO INTERIOR ZONAS HUMEDAS]])</f>
        <v>0</v>
      </c>
      <c r="CL299" s="3">
        <f>+IF(AVANCE[[#This Row],[MEMBRANA CIELO]]=AY$2,100%,AVANCE[[#This Row],[MEMBRANA CIELO]])</f>
        <v>0</v>
      </c>
      <c r="CM299" s="3">
        <f>+IF(AVANCE[[#This Row],[LIMPIEZA FINAL]]=AZ$2,100%,AVANCE[[#This Row],[LIMPIEZA FINAL]])</f>
        <v>0</v>
      </c>
      <c r="CN299" s="3">
        <f>+IF(AVANCE[[#This Row],[PUERTAS DORMITORIO]]=BA$2,100%,AVANCE[[#This Row],[PUERTAS DORMITORIO]])</f>
        <v>0</v>
      </c>
      <c r="CO299" s="3">
        <f>+IF(AVANCE[[#This Row],[REVESTIMIENTO INTERIOR BANO]]=BB$2,100%,AVANCE[[#This Row],[REVESTIMIENTO INTERIOR BANO]])</f>
        <v>0</v>
      </c>
      <c r="CP299" s="3">
        <f>+IF(AVANCE[[#This Row],[MUEBLE LAVAPLATOS]]=BC$2,100%,AVANCE[[#This Row],[MUEBLE LAVAPLATOS]])</f>
        <v>0</v>
      </c>
      <c r="CQ299" s="3">
        <f>+IF(AVANCE[[#This Row],[IMPERMEABILIZACION BANO - COCINA LOGIA]]=BD$2,100%,AVANCE[[#This Row],[IMPERMEABILIZACION BANO - COCINA LOGIA]])</f>
        <v>0</v>
      </c>
      <c r="CR299" s="40">
        <f ca="1">+IF(AVANCE[[#This Row],[ESTADO MODULO]]="PENDIENTE",(TODAY()-AVANCE[[#This Row],[FECHA TERMINO  PLANIFICADO]]),0)</f>
        <v>0</v>
      </c>
      <c r="CS299" s="42" t="str" cm="1">
        <f t="array" ref="CS299">_xlfn.TEXTJOIN(" | ",TRUE,IF(SUMPRODUCT((BF299:CQ299&lt;1)*(PARTIDAS!$I$2:$AT$2="OBRA GRUESA"))&gt;0,"OBRA GRUESA: "&amp;_xlfn.TEXTJOIN(", ",TRUE,IF((BF299:CQ299&lt;1)*(PARTIDAS!$I$2:$AT$2="OBRA GRUESA"),PARTIDAS!$I$1:$AT$1,"")),""),IF(SUMPRODUCT((BF299:CQ299&lt;1)*(PARTIDAS!$I$2:$AT$2="SANITARIOS"))&gt;0,"SANITARIOS: "&amp;_xlfn.TEXTJOIN(", ",TRUE,IF((BF299:CQ299&lt;1)*(PARTIDAS!$I$2:$AT$2="SANITARIOS"),PARTIDAS!$I$1:$AT$1,"")),""),IF(SUMPRODUCT((BF299:CQ299&lt;1)*(PARTIDAS!$I$2:$AT$2="ELÉCTRICO"))&gt;0,"ELÉCTRICO: "&amp;_xlfn.TEXTJOIN(", ",TRUE,IF((BF299:CQ299&lt;1)*(PARTIDAS!$I$2:$AT$2="ELÉCTRICO"),PARTIDAS!$I$1:$AT$1,"")),""),IF(SUMPRODUCT((BF299:CQ299&lt;1)*(PARTIDAS!$I$2:$AT$2="TERMINACIONES"))&gt;0,"TERMINACIONES: "&amp;_xlfn.TEXTJOIN(", ",TRUE,IF((BF299:CQ299&lt;1)*(PARTIDAS!$I$2:$AT$2="TERMINACIONES"),PARTIDAS!$I$1:$AT$1,"")),""))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299" s="45" t="str" cm="1">
        <f t="array" ref="CT299">_xlfn.TEXTJOIN(", ",TRUE,IF(SUMPRODUCT((BF299:CQ299&lt;1)*(PARTIDAS!$I$2:$AT$2="OBRA GRUESA"))&gt;0,"OBRA GRUESA",""),IF(SUMPRODUCT((BF299:CQ299&lt;1)*(PARTIDAS!$I$2:$AT$2="SANITARIOS"))&gt;0,"SANITARIOS",""),IF(SUMPRODUCT((BF299:CQ299&lt;1)*(PARTIDAS!$I$2:$AT$2="ELÉCTRICO"))&gt;0,"ELÉCTRICO",""),IF(SUMPRODUCT((BF299:CQ299&lt;1)*(PARTIDAS!$I$2:$AT$2="TERMINACIONES"))&gt;0,"TERMINACIONES",""))</f>
        <v>OBRA GRUESA, SANITARIOS, ELÉCTRICO, TERMINACIONES</v>
      </c>
      <c r="CU299" s="46" cm="1">
        <f t="array" ref="CU299">SUMPRODUCT(--(BF299:CQ299&lt;1))</f>
        <v>38</v>
      </c>
    </row>
    <row r="300" spans="1:99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46181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 s="3" t="str">
        <f>+IF(AVANCE[[#This Row],[% AVANCE]]=100%,"MODULO TERMINADO",IF(AVANCE[[#This Row],[FECHA INICIO REAL]]="","MODULO NO INICIADO","PENDIENTE"))</f>
        <v>MODULO NO INICIADO</v>
      </c>
      <c r="BF300" s="3">
        <f>+IF(AVANCE[[#This Row],[VENTANAS]]=8.10810810810811%,100%,AVANCE[[#This Row],[VENTANAS]])</f>
        <v>0</v>
      </c>
      <c r="BG300" s="3">
        <f>+IF(AVANCE[[#This Row],[PISO]]=N$2,100%,AVANCE[[#This Row],[PISO]])</f>
        <v>0</v>
      </c>
      <c r="BH300" s="3">
        <f>+IF(AVANCE[[#This Row],[TABIQUES]]=O$2,100%,AVANCE[[#This Row],[TABIQUES]])</f>
        <v>0</v>
      </c>
      <c r="BI300" s="3">
        <f>+IF(AVANCE[[#This Row],[MUROS]]=P$2,100%,AVANCE[[#This Row],[MUROS]])</f>
        <v>0</v>
      </c>
      <c r="BJ300" s="3">
        <f>+IF(AVANCE[[#This Row],[CIELO]]=Q$2,100%,AVANCE[[#This Row],[CIELO]])</f>
        <v>0</v>
      </c>
      <c r="BK300" s="3">
        <f>+IF(AVANCE[[#This Row],[BALCÓN]]=R$2,100%,AVANCE[[#This Row],[BALCÓN]])</f>
        <v>0</v>
      </c>
      <c r="BL300" s="3">
        <f>+IF(AVANCE[[#This Row],[RED ALCANTARILLADO]]=U$2,100%,AVANCE[[#This Row],[RED ALCANTARILLADO]])</f>
        <v>0</v>
      </c>
      <c r="BM300" s="3">
        <f>+IF(AVANCE[[#This Row],[RED DE AGUA]]=V$2,100%,AVANCE[[#This Row],[RED DE AGUA]])</f>
        <v>0</v>
      </c>
      <c r="BN300" s="3">
        <f>+IF(AVANCE[[#This Row],[VENTILACIONES]]=W$2,100%,AVANCE[[#This Row],[VENTILACIONES]])</f>
        <v>0</v>
      </c>
      <c r="BO300" s="3">
        <f>+IF(AVANCE[[#This Row],[TINA]]=X$2,100%,AVANCE[[#This Row],[TINA]])</f>
        <v>0</v>
      </c>
      <c r="BP300" s="3">
        <f>+IF(AVANCE[[#This Row],[WC]]=Y$2,100%,AVANCE[[#This Row],[WC]])</f>
        <v>0</v>
      </c>
      <c r="BQ300" s="3">
        <f>+IF(AVANCE[[#This Row],[LAVAMANOS / LAVAPLATOS / LAVADERO]]=Z$2,100%,AVANCE[[#This Row],[LAVAMANOS / LAVAPLATOS / LAVADERO]])</f>
        <v>0</v>
      </c>
      <c r="BR300" s="3">
        <f>+IF(AVANCE[[#This Row],[CANALIZACIÓN]]=AC$2,100%,AVANCE[[#This Row],[CANALIZACIÓN]])</f>
        <v>0</v>
      </c>
      <c r="BS300" s="3">
        <f>+IF(AVANCE[[#This Row],[CABLEADO]]=AD$2,100%,AVANCE[[#This Row],[CABLEADO]])</f>
        <v>0</v>
      </c>
      <c r="BT300" s="3">
        <f>+IF(AVANCE[[#This Row],[ARTEFACTOS]]=AE$2,100%,AVANCE[[#This Row],[ARTEFACTOS]])</f>
        <v>0</v>
      </c>
      <c r="BU300" s="3">
        <f>+IF(AVANCE[[#This Row],[TABLERO]]=AF$2,100%,AVANCE[[#This Row],[TABLERO]])</f>
        <v>0</v>
      </c>
      <c r="BV300" s="3">
        <f>+IF(AVANCE[[#This Row],[CAJA PAU]]=AG$2,100%,AVANCE[[#This Row],[CAJA PAU]])</f>
        <v>0</v>
      </c>
      <c r="BW300" s="3">
        <f>+IF(AVANCE[[#This Row],[INSTALACION VINILICO]]=AJ$2,100%,AVANCE[[#This Row],[INSTALACION VINILICO]])</f>
        <v>0</v>
      </c>
      <c r="BX300" s="3">
        <f>+IF(AVANCE[[#This Row],[OSB CUBIERTA]]=AK$2,100%,AVANCE[[#This Row],[OSB CUBIERTA]])</f>
        <v>0</v>
      </c>
      <c r="BY300" s="3">
        <f>+IF(AVANCE[[#This Row],[BARANDA BALCON]]=AL$2,100%,AVANCE[[#This Row],[BARANDA BALCON]])</f>
        <v>0</v>
      </c>
      <c r="BZ300" s="3">
        <f>+IF(AVANCE[[#This Row],[OSB EXTERIOR]]=AM$2,100%,AVANCE[[#This Row],[OSB EXTERIOR]])</f>
        <v>0</v>
      </c>
      <c r="CA300" s="3">
        <f>+IF(AVANCE[[#This Row],[SMART PANEL]]=AN$2,100%,AVANCE[[#This Row],[SMART PANEL]])</f>
        <v>0</v>
      </c>
      <c r="CB300" s="3">
        <f>+IF(AVANCE[[#This Row],[PINTURA EXTERIOR]]=AO$2,100%,AVANCE[[#This Row],[PINTURA EXTERIOR]])</f>
        <v>0</v>
      </c>
      <c r="CC300" s="3">
        <f>+IF(AVANCE[[#This Row],[ZOCALOS LOGIA]]=AP$2,100%,AVANCE[[#This Row],[ZOCALOS LOGIA]])</f>
        <v>0</v>
      </c>
      <c r="CD300" s="3">
        <f>+IF(AVANCE[[#This Row],[MOLDURAS]]=AQ$2,100%,AVANCE[[#This Row],[MOLDURAS]])</f>
        <v>0</v>
      </c>
      <c r="CE300" s="3">
        <f>+IF(AVANCE[[#This Row],[PILASTREO]]=AR$2,100%,AVANCE[[#This Row],[PILASTREO]])</f>
        <v>0</v>
      </c>
      <c r="CF300" s="3">
        <f>+IF(AVANCE[[#This Row],[CELOSIAS]]=AS$2,100%,AVANCE[[#This Row],[CELOSIAS]])</f>
        <v>0</v>
      </c>
      <c r="CG300" s="3">
        <f>+IF(AVANCE[[#This Row],[VENTANAS]]=AT$2,100%,AVANCE[[#This Row],[VENTANAS]])</f>
        <v>0</v>
      </c>
      <c r="CH300" s="3">
        <f>+IF(AVANCE[[#This Row],[PUERTAS ACCESO - LOGIA - BANO]]=AU$2,100%,AVANCE[[#This Row],[PUERTAS ACCESO - LOGIA - BANO]])</f>
        <v>0</v>
      </c>
      <c r="CI300" s="3">
        <f>+IF(AVANCE[[#This Row],[CERRADURAS]]=AV$2,100%,AVANCE[[#This Row],[CERRADURAS]])</f>
        <v>0</v>
      </c>
      <c r="CJ300" s="3">
        <f>+IF(AVANCE[[#This Row],[REVESTIMIENTO INTERIOR ZONA SECA]]=AW$2,100%,AVANCE[[#This Row],[REVESTIMIENTO INTERIOR ZONA SECA]])</f>
        <v>0</v>
      </c>
      <c r="CK300" s="3">
        <f>+IF(AVANCE[[#This Row],[REVESTIMIENTO INTERIOR ZONAS HUMEDAS]]=AX$2,100%,AVANCE[[#This Row],[REVESTIMIENTO INTERIOR ZONAS HUMEDAS]])</f>
        <v>0</v>
      </c>
      <c r="CL300" s="3">
        <f>+IF(AVANCE[[#This Row],[MEMBRANA CIELO]]=AY$2,100%,AVANCE[[#This Row],[MEMBRANA CIELO]])</f>
        <v>0</v>
      </c>
      <c r="CM300" s="3">
        <f>+IF(AVANCE[[#This Row],[LIMPIEZA FINAL]]=AZ$2,100%,AVANCE[[#This Row],[LIMPIEZA FINAL]])</f>
        <v>0</v>
      </c>
      <c r="CN300" s="3">
        <f>+IF(AVANCE[[#This Row],[PUERTAS DORMITORIO]]=BA$2,100%,AVANCE[[#This Row],[PUERTAS DORMITORIO]])</f>
        <v>0</v>
      </c>
      <c r="CO300" s="3">
        <f>+IF(AVANCE[[#This Row],[REVESTIMIENTO INTERIOR BANO]]=BB$2,100%,AVANCE[[#This Row],[REVESTIMIENTO INTERIOR BANO]])</f>
        <v>0</v>
      </c>
      <c r="CP300" s="3">
        <f>+IF(AVANCE[[#This Row],[MUEBLE LAVAPLATOS]]=BC$2,100%,AVANCE[[#This Row],[MUEBLE LAVAPLATOS]])</f>
        <v>0</v>
      </c>
      <c r="CQ300" s="3">
        <f>+IF(AVANCE[[#This Row],[IMPERMEABILIZACION BANO - COCINA LOGIA]]=BD$2,100%,AVANCE[[#This Row],[IMPERMEABILIZACION BANO - COCINA LOGIA]])</f>
        <v>0</v>
      </c>
      <c r="CR300" s="40">
        <f ca="1">+IF(AVANCE[[#This Row],[ESTADO MODULO]]="PENDIENTE",(TODAY()-AVANCE[[#This Row],[FECHA TERMINO  PLANIFICADO]]),0)</f>
        <v>0</v>
      </c>
      <c r="CS300" s="42" t="str" cm="1">
        <f t="array" ref="CS300">_xlfn.TEXTJOIN(" | ",TRUE,IF(SUMPRODUCT((BF300:CQ300&lt;1)*(PARTIDAS!$I$2:$AT$2="OBRA GRUESA"))&gt;0,"OBRA GRUESA: "&amp;_xlfn.TEXTJOIN(", ",TRUE,IF((BF300:CQ300&lt;1)*(PARTIDAS!$I$2:$AT$2="OBRA GRUESA"),PARTIDAS!$I$1:$AT$1,"")),""),IF(SUMPRODUCT((BF300:CQ300&lt;1)*(PARTIDAS!$I$2:$AT$2="SANITARIOS"))&gt;0,"SANITARIOS: "&amp;_xlfn.TEXTJOIN(", ",TRUE,IF((BF300:CQ300&lt;1)*(PARTIDAS!$I$2:$AT$2="SANITARIOS"),PARTIDAS!$I$1:$AT$1,"")),""),IF(SUMPRODUCT((BF300:CQ300&lt;1)*(PARTIDAS!$I$2:$AT$2="ELÉCTRICO"))&gt;0,"ELÉCTRICO: "&amp;_xlfn.TEXTJOIN(", ",TRUE,IF((BF300:CQ300&lt;1)*(PARTIDAS!$I$2:$AT$2="ELÉCTRICO"),PARTIDAS!$I$1:$AT$1,"")),""),IF(SUMPRODUCT((BF300:CQ300&lt;1)*(PARTIDAS!$I$2:$AT$2="TERMINACIONES"))&gt;0,"TERMINACIONES: "&amp;_xlfn.TEXTJOIN(", ",TRUE,IF((BF300:CQ300&lt;1)*(PARTIDAS!$I$2:$AT$2="TERMINACIONES"),PARTIDAS!$I$1:$AT$1,"")),""))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0" s="45" t="str" cm="1">
        <f t="array" ref="CT300">_xlfn.TEXTJOIN(", ",TRUE,IF(SUMPRODUCT((BF300:CQ300&lt;1)*(PARTIDAS!$I$2:$AT$2="OBRA GRUESA"))&gt;0,"OBRA GRUESA",""),IF(SUMPRODUCT((BF300:CQ300&lt;1)*(PARTIDAS!$I$2:$AT$2="SANITARIOS"))&gt;0,"SANITARIOS",""),IF(SUMPRODUCT((BF300:CQ300&lt;1)*(PARTIDAS!$I$2:$AT$2="ELÉCTRICO"))&gt;0,"ELÉCTRICO",""),IF(SUMPRODUCT((BF300:CQ300&lt;1)*(PARTIDAS!$I$2:$AT$2="TERMINACIONES"))&gt;0,"TERMINACIONES",""))</f>
        <v>OBRA GRUESA, SANITARIOS, ELÉCTRICO, TERMINACIONES</v>
      </c>
      <c r="CU300" s="46" cm="1">
        <f t="array" ref="CU300">SUMPRODUCT(--(BF300:CQ300&lt;1))</f>
        <v>38</v>
      </c>
    </row>
    <row r="301" spans="1:99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46181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 s="3" t="str">
        <f>+IF(AVANCE[[#This Row],[% AVANCE]]=100%,"MODULO TERMINADO",IF(AVANCE[[#This Row],[FECHA INICIO REAL]]="","MODULO NO INICIADO","PENDIENTE"))</f>
        <v>MODULO NO INICIADO</v>
      </c>
      <c r="BF301" s="3">
        <f>+IF(AVANCE[[#This Row],[VENTANAS]]=8.10810810810811%,100%,AVANCE[[#This Row],[VENTANAS]])</f>
        <v>0</v>
      </c>
      <c r="BG301" s="3">
        <f>+IF(AVANCE[[#This Row],[PISO]]=N$2,100%,AVANCE[[#This Row],[PISO]])</f>
        <v>0</v>
      </c>
      <c r="BH301" s="3">
        <f>+IF(AVANCE[[#This Row],[TABIQUES]]=O$2,100%,AVANCE[[#This Row],[TABIQUES]])</f>
        <v>0</v>
      </c>
      <c r="BI301" s="3">
        <f>+IF(AVANCE[[#This Row],[MUROS]]=P$2,100%,AVANCE[[#This Row],[MUROS]])</f>
        <v>0</v>
      </c>
      <c r="BJ301" s="3">
        <f>+IF(AVANCE[[#This Row],[CIELO]]=Q$2,100%,AVANCE[[#This Row],[CIELO]])</f>
        <v>0</v>
      </c>
      <c r="BK301" s="3">
        <f>+IF(AVANCE[[#This Row],[BALCÓN]]=R$2,100%,AVANCE[[#This Row],[BALCÓN]])</f>
        <v>0</v>
      </c>
      <c r="BL301" s="3">
        <f>+IF(AVANCE[[#This Row],[RED ALCANTARILLADO]]=U$2,100%,AVANCE[[#This Row],[RED ALCANTARILLADO]])</f>
        <v>0</v>
      </c>
      <c r="BM301" s="3">
        <f>+IF(AVANCE[[#This Row],[RED DE AGUA]]=V$2,100%,AVANCE[[#This Row],[RED DE AGUA]])</f>
        <v>0</v>
      </c>
      <c r="BN301" s="3">
        <f>+IF(AVANCE[[#This Row],[VENTILACIONES]]=W$2,100%,AVANCE[[#This Row],[VENTILACIONES]])</f>
        <v>0</v>
      </c>
      <c r="BO301" s="3">
        <f>+IF(AVANCE[[#This Row],[TINA]]=X$2,100%,AVANCE[[#This Row],[TINA]])</f>
        <v>0</v>
      </c>
      <c r="BP301" s="3">
        <f>+IF(AVANCE[[#This Row],[WC]]=Y$2,100%,AVANCE[[#This Row],[WC]])</f>
        <v>0</v>
      </c>
      <c r="BQ301" s="3">
        <f>+IF(AVANCE[[#This Row],[LAVAMANOS / LAVAPLATOS / LAVADERO]]=Z$2,100%,AVANCE[[#This Row],[LAVAMANOS / LAVAPLATOS / LAVADERO]])</f>
        <v>0</v>
      </c>
      <c r="BR301" s="3">
        <f>+IF(AVANCE[[#This Row],[CANALIZACIÓN]]=AC$2,100%,AVANCE[[#This Row],[CANALIZACIÓN]])</f>
        <v>0</v>
      </c>
      <c r="BS301" s="3">
        <f>+IF(AVANCE[[#This Row],[CABLEADO]]=AD$2,100%,AVANCE[[#This Row],[CABLEADO]])</f>
        <v>0</v>
      </c>
      <c r="BT301" s="3">
        <f>+IF(AVANCE[[#This Row],[ARTEFACTOS]]=AE$2,100%,AVANCE[[#This Row],[ARTEFACTOS]])</f>
        <v>0</v>
      </c>
      <c r="BU301" s="3">
        <f>+IF(AVANCE[[#This Row],[TABLERO]]=AF$2,100%,AVANCE[[#This Row],[TABLERO]])</f>
        <v>0</v>
      </c>
      <c r="BV301" s="3">
        <f>+IF(AVANCE[[#This Row],[CAJA PAU]]=AG$2,100%,AVANCE[[#This Row],[CAJA PAU]])</f>
        <v>0</v>
      </c>
      <c r="BW301" s="3">
        <f>+IF(AVANCE[[#This Row],[INSTALACION VINILICO]]=AJ$2,100%,AVANCE[[#This Row],[INSTALACION VINILICO]])</f>
        <v>0</v>
      </c>
      <c r="BX301" s="3">
        <f>+IF(AVANCE[[#This Row],[OSB CUBIERTA]]=AK$2,100%,AVANCE[[#This Row],[OSB CUBIERTA]])</f>
        <v>0</v>
      </c>
      <c r="BY301" s="3">
        <f>+IF(AVANCE[[#This Row],[BARANDA BALCON]]=AL$2,100%,AVANCE[[#This Row],[BARANDA BALCON]])</f>
        <v>0</v>
      </c>
      <c r="BZ301" s="3">
        <f>+IF(AVANCE[[#This Row],[OSB EXTERIOR]]=AM$2,100%,AVANCE[[#This Row],[OSB EXTERIOR]])</f>
        <v>0</v>
      </c>
      <c r="CA301" s="3">
        <f>+IF(AVANCE[[#This Row],[SMART PANEL]]=AN$2,100%,AVANCE[[#This Row],[SMART PANEL]])</f>
        <v>0</v>
      </c>
      <c r="CB301" s="3">
        <f>+IF(AVANCE[[#This Row],[PINTURA EXTERIOR]]=AO$2,100%,AVANCE[[#This Row],[PINTURA EXTERIOR]])</f>
        <v>0</v>
      </c>
      <c r="CC301" s="3">
        <f>+IF(AVANCE[[#This Row],[ZOCALOS LOGIA]]=AP$2,100%,AVANCE[[#This Row],[ZOCALOS LOGIA]])</f>
        <v>0</v>
      </c>
      <c r="CD301" s="3">
        <f>+IF(AVANCE[[#This Row],[MOLDURAS]]=AQ$2,100%,AVANCE[[#This Row],[MOLDURAS]])</f>
        <v>0</v>
      </c>
      <c r="CE301" s="3">
        <f>+IF(AVANCE[[#This Row],[PILASTREO]]=AR$2,100%,AVANCE[[#This Row],[PILASTREO]])</f>
        <v>0</v>
      </c>
      <c r="CF301" s="3">
        <f>+IF(AVANCE[[#This Row],[CELOSIAS]]=AS$2,100%,AVANCE[[#This Row],[CELOSIAS]])</f>
        <v>0</v>
      </c>
      <c r="CG301" s="3">
        <f>+IF(AVANCE[[#This Row],[VENTANAS]]=AT$2,100%,AVANCE[[#This Row],[VENTANAS]])</f>
        <v>0</v>
      </c>
      <c r="CH301" s="3">
        <f>+IF(AVANCE[[#This Row],[PUERTAS ACCESO - LOGIA - BANO]]=AU$2,100%,AVANCE[[#This Row],[PUERTAS ACCESO - LOGIA - BANO]])</f>
        <v>0</v>
      </c>
      <c r="CI301" s="3">
        <f>+IF(AVANCE[[#This Row],[CERRADURAS]]=AV$2,100%,AVANCE[[#This Row],[CERRADURAS]])</f>
        <v>0</v>
      </c>
      <c r="CJ301" s="3">
        <f>+IF(AVANCE[[#This Row],[REVESTIMIENTO INTERIOR ZONA SECA]]=AW$2,100%,AVANCE[[#This Row],[REVESTIMIENTO INTERIOR ZONA SECA]])</f>
        <v>0</v>
      </c>
      <c r="CK301" s="3">
        <f>+IF(AVANCE[[#This Row],[REVESTIMIENTO INTERIOR ZONAS HUMEDAS]]=AX$2,100%,AVANCE[[#This Row],[REVESTIMIENTO INTERIOR ZONAS HUMEDAS]])</f>
        <v>0</v>
      </c>
      <c r="CL301" s="3">
        <f>+IF(AVANCE[[#This Row],[MEMBRANA CIELO]]=AY$2,100%,AVANCE[[#This Row],[MEMBRANA CIELO]])</f>
        <v>0</v>
      </c>
      <c r="CM301" s="3">
        <f>+IF(AVANCE[[#This Row],[LIMPIEZA FINAL]]=AZ$2,100%,AVANCE[[#This Row],[LIMPIEZA FINAL]])</f>
        <v>0</v>
      </c>
      <c r="CN301" s="3">
        <f>+IF(AVANCE[[#This Row],[PUERTAS DORMITORIO]]=BA$2,100%,AVANCE[[#This Row],[PUERTAS DORMITORIO]])</f>
        <v>0</v>
      </c>
      <c r="CO301" s="3">
        <f>+IF(AVANCE[[#This Row],[REVESTIMIENTO INTERIOR BANO]]=BB$2,100%,AVANCE[[#This Row],[REVESTIMIENTO INTERIOR BANO]])</f>
        <v>0</v>
      </c>
      <c r="CP301" s="3">
        <f>+IF(AVANCE[[#This Row],[MUEBLE LAVAPLATOS]]=BC$2,100%,AVANCE[[#This Row],[MUEBLE LAVAPLATOS]])</f>
        <v>0</v>
      </c>
      <c r="CQ301" s="3">
        <f>+IF(AVANCE[[#This Row],[IMPERMEABILIZACION BANO - COCINA LOGIA]]=BD$2,100%,AVANCE[[#This Row],[IMPERMEABILIZACION BANO - COCINA LOGIA]])</f>
        <v>0</v>
      </c>
      <c r="CR301" s="40">
        <f ca="1">+IF(AVANCE[[#This Row],[ESTADO MODULO]]="PENDIENTE",(TODAY()-AVANCE[[#This Row],[FECHA TERMINO  PLANIFICADO]]),0)</f>
        <v>0</v>
      </c>
      <c r="CS301" s="42" t="str" cm="1">
        <f t="array" ref="CS301">_xlfn.TEXTJOIN(" | ",TRUE,IF(SUMPRODUCT((BF301:CQ301&lt;1)*(PARTIDAS!$I$2:$AT$2="OBRA GRUESA"))&gt;0,"OBRA GRUESA: "&amp;_xlfn.TEXTJOIN(", ",TRUE,IF((BF301:CQ301&lt;1)*(PARTIDAS!$I$2:$AT$2="OBRA GRUESA"),PARTIDAS!$I$1:$AT$1,"")),""),IF(SUMPRODUCT((BF301:CQ301&lt;1)*(PARTIDAS!$I$2:$AT$2="SANITARIOS"))&gt;0,"SANITARIOS: "&amp;_xlfn.TEXTJOIN(", ",TRUE,IF((BF301:CQ301&lt;1)*(PARTIDAS!$I$2:$AT$2="SANITARIOS"),PARTIDAS!$I$1:$AT$1,"")),""),IF(SUMPRODUCT((BF301:CQ301&lt;1)*(PARTIDAS!$I$2:$AT$2="ELÉCTRICO"))&gt;0,"ELÉCTRICO: "&amp;_xlfn.TEXTJOIN(", ",TRUE,IF((BF301:CQ301&lt;1)*(PARTIDAS!$I$2:$AT$2="ELÉCTRICO"),PARTIDAS!$I$1:$AT$1,"")),""),IF(SUMPRODUCT((BF301:CQ301&lt;1)*(PARTIDAS!$I$2:$AT$2="TERMINACIONES"))&gt;0,"TERMINACIONES: "&amp;_xlfn.TEXTJOIN(", ",TRUE,IF((BF301:CQ301&lt;1)*(PARTIDAS!$I$2:$AT$2="TERMINACIONES"),PARTIDAS!$I$1:$AT$1,"")),""))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1" s="45" t="str" cm="1">
        <f t="array" ref="CT301">_xlfn.TEXTJOIN(", ",TRUE,IF(SUMPRODUCT((BF301:CQ301&lt;1)*(PARTIDAS!$I$2:$AT$2="OBRA GRUESA"))&gt;0,"OBRA GRUESA",""),IF(SUMPRODUCT((BF301:CQ301&lt;1)*(PARTIDAS!$I$2:$AT$2="SANITARIOS"))&gt;0,"SANITARIOS",""),IF(SUMPRODUCT((BF301:CQ301&lt;1)*(PARTIDAS!$I$2:$AT$2="ELÉCTRICO"))&gt;0,"ELÉCTRICO",""),IF(SUMPRODUCT((BF301:CQ301&lt;1)*(PARTIDAS!$I$2:$AT$2="TERMINACIONES"))&gt;0,"TERMINACIONES",""))</f>
        <v>OBRA GRUESA, SANITARIOS, ELÉCTRICO, TERMINACIONES</v>
      </c>
      <c r="CU301" s="46" cm="1">
        <f t="array" ref="CU301">SUMPRODUCT(--(BF301:CQ301&lt;1))</f>
        <v>38</v>
      </c>
    </row>
    <row r="302" spans="1:99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46181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 s="3" t="str">
        <f>+IF(AVANCE[[#This Row],[% AVANCE]]=100%,"MODULO TERMINADO",IF(AVANCE[[#This Row],[FECHA INICIO REAL]]="","MODULO NO INICIADO","PENDIENTE"))</f>
        <v>MODULO NO INICIADO</v>
      </c>
      <c r="BF302" s="3">
        <f>+IF(AVANCE[[#This Row],[VENTANAS]]=8.10810810810811%,100%,AVANCE[[#This Row],[VENTANAS]])</f>
        <v>0</v>
      </c>
      <c r="BG302" s="3">
        <f>+IF(AVANCE[[#This Row],[PISO]]=N$2,100%,AVANCE[[#This Row],[PISO]])</f>
        <v>0</v>
      </c>
      <c r="BH302" s="3">
        <f>+IF(AVANCE[[#This Row],[TABIQUES]]=O$2,100%,AVANCE[[#This Row],[TABIQUES]])</f>
        <v>0</v>
      </c>
      <c r="BI302" s="3">
        <f>+IF(AVANCE[[#This Row],[MUROS]]=P$2,100%,AVANCE[[#This Row],[MUROS]])</f>
        <v>0</v>
      </c>
      <c r="BJ302" s="3">
        <f>+IF(AVANCE[[#This Row],[CIELO]]=Q$2,100%,AVANCE[[#This Row],[CIELO]])</f>
        <v>0</v>
      </c>
      <c r="BK302" s="3">
        <f>+IF(AVANCE[[#This Row],[BALCÓN]]=R$2,100%,AVANCE[[#This Row],[BALCÓN]])</f>
        <v>0</v>
      </c>
      <c r="BL302" s="3">
        <f>+IF(AVANCE[[#This Row],[RED ALCANTARILLADO]]=U$2,100%,AVANCE[[#This Row],[RED ALCANTARILLADO]])</f>
        <v>0</v>
      </c>
      <c r="BM302" s="3">
        <f>+IF(AVANCE[[#This Row],[RED DE AGUA]]=V$2,100%,AVANCE[[#This Row],[RED DE AGUA]])</f>
        <v>0</v>
      </c>
      <c r="BN302" s="3">
        <f>+IF(AVANCE[[#This Row],[VENTILACIONES]]=W$2,100%,AVANCE[[#This Row],[VENTILACIONES]])</f>
        <v>0</v>
      </c>
      <c r="BO302" s="3">
        <f>+IF(AVANCE[[#This Row],[TINA]]=X$2,100%,AVANCE[[#This Row],[TINA]])</f>
        <v>0</v>
      </c>
      <c r="BP302" s="3">
        <f>+IF(AVANCE[[#This Row],[WC]]=Y$2,100%,AVANCE[[#This Row],[WC]])</f>
        <v>0</v>
      </c>
      <c r="BQ302" s="3">
        <f>+IF(AVANCE[[#This Row],[LAVAMANOS / LAVAPLATOS / LAVADERO]]=Z$2,100%,AVANCE[[#This Row],[LAVAMANOS / LAVAPLATOS / LAVADERO]])</f>
        <v>0</v>
      </c>
      <c r="BR302" s="3">
        <f>+IF(AVANCE[[#This Row],[CANALIZACIÓN]]=AC$2,100%,AVANCE[[#This Row],[CANALIZACIÓN]])</f>
        <v>0</v>
      </c>
      <c r="BS302" s="3">
        <f>+IF(AVANCE[[#This Row],[CABLEADO]]=AD$2,100%,AVANCE[[#This Row],[CABLEADO]])</f>
        <v>0</v>
      </c>
      <c r="BT302" s="3">
        <f>+IF(AVANCE[[#This Row],[ARTEFACTOS]]=AE$2,100%,AVANCE[[#This Row],[ARTEFACTOS]])</f>
        <v>0</v>
      </c>
      <c r="BU302" s="3">
        <f>+IF(AVANCE[[#This Row],[TABLERO]]=AF$2,100%,AVANCE[[#This Row],[TABLERO]])</f>
        <v>0</v>
      </c>
      <c r="BV302" s="3">
        <f>+IF(AVANCE[[#This Row],[CAJA PAU]]=AG$2,100%,AVANCE[[#This Row],[CAJA PAU]])</f>
        <v>0</v>
      </c>
      <c r="BW302" s="3">
        <f>+IF(AVANCE[[#This Row],[INSTALACION VINILICO]]=AJ$2,100%,AVANCE[[#This Row],[INSTALACION VINILICO]])</f>
        <v>0</v>
      </c>
      <c r="BX302" s="3">
        <f>+IF(AVANCE[[#This Row],[OSB CUBIERTA]]=AK$2,100%,AVANCE[[#This Row],[OSB CUBIERTA]])</f>
        <v>0</v>
      </c>
      <c r="BY302" s="3">
        <f>+IF(AVANCE[[#This Row],[BARANDA BALCON]]=AL$2,100%,AVANCE[[#This Row],[BARANDA BALCON]])</f>
        <v>0</v>
      </c>
      <c r="BZ302" s="3">
        <f>+IF(AVANCE[[#This Row],[OSB EXTERIOR]]=AM$2,100%,AVANCE[[#This Row],[OSB EXTERIOR]])</f>
        <v>0</v>
      </c>
      <c r="CA302" s="3">
        <f>+IF(AVANCE[[#This Row],[SMART PANEL]]=AN$2,100%,AVANCE[[#This Row],[SMART PANEL]])</f>
        <v>0</v>
      </c>
      <c r="CB302" s="3">
        <f>+IF(AVANCE[[#This Row],[PINTURA EXTERIOR]]=AO$2,100%,AVANCE[[#This Row],[PINTURA EXTERIOR]])</f>
        <v>0</v>
      </c>
      <c r="CC302" s="3">
        <f>+IF(AVANCE[[#This Row],[ZOCALOS LOGIA]]=AP$2,100%,AVANCE[[#This Row],[ZOCALOS LOGIA]])</f>
        <v>0</v>
      </c>
      <c r="CD302" s="3">
        <f>+IF(AVANCE[[#This Row],[MOLDURAS]]=AQ$2,100%,AVANCE[[#This Row],[MOLDURAS]])</f>
        <v>0</v>
      </c>
      <c r="CE302" s="3">
        <f>+IF(AVANCE[[#This Row],[PILASTREO]]=AR$2,100%,AVANCE[[#This Row],[PILASTREO]])</f>
        <v>0</v>
      </c>
      <c r="CF302" s="3">
        <f>+IF(AVANCE[[#This Row],[CELOSIAS]]=AS$2,100%,AVANCE[[#This Row],[CELOSIAS]])</f>
        <v>0</v>
      </c>
      <c r="CG302" s="3">
        <f>+IF(AVANCE[[#This Row],[VENTANAS]]=AT$2,100%,AVANCE[[#This Row],[VENTANAS]])</f>
        <v>0</v>
      </c>
      <c r="CH302" s="3">
        <f>+IF(AVANCE[[#This Row],[PUERTAS ACCESO - LOGIA - BANO]]=AU$2,100%,AVANCE[[#This Row],[PUERTAS ACCESO - LOGIA - BANO]])</f>
        <v>0</v>
      </c>
      <c r="CI302" s="3">
        <f>+IF(AVANCE[[#This Row],[CERRADURAS]]=AV$2,100%,AVANCE[[#This Row],[CERRADURAS]])</f>
        <v>0</v>
      </c>
      <c r="CJ302" s="3">
        <f>+IF(AVANCE[[#This Row],[REVESTIMIENTO INTERIOR ZONA SECA]]=AW$2,100%,AVANCE[[#This Row],[REVESTIMIENTO INTERIOR ZONA SECA]])</f>
        <v>0</v>
      </c>
      <c r="CK302" s="3">
        <f>+IF(AVANCE[[#This Row],[REVESTIMIENTO INTERIOR ZONAS HUMEDAS]]=AX$2,100%,AVANCE[[#This Row],[REVESTIMIENTO INTERIOR ZONAS HUMEDAS]])</f>
        <v>0</v>
      </c>
      <c r="CL302" s="3">
        <f>+IF(AVANCE[[#This Row],[MEMBRANA CIELO]]=AY$2,100%,AVANCE[[#This Row],[MEMBRANA CIELO]])</f>
        <v>0</v>
      </c>
      <c r="CM302" s="3">
        <f>+IF(AVANCE[[#This Row],[LIMPIEZA FINAL]]=AZ$2,100%,AVANCE[[#This Row],[LIMPIEZA FINAL]])</f>
        <v>0</v>
      </c>
      <c r="CN302" s="3">
        <f>+IF(AVANCE[[#This Row],[PUERTAS DORMITORIO]]=BA$2,100%,AVANCE[[#This Row],[PUERTAS DORMITORIO]])</f>
        <v>0</v>
      </c>
      <c r="CO302" s="3">
        <f>+IF(AVANCE[[#This Row],[REVESTIMIENTO INTERIOR BANO]]=BB$2,100%,AVANCE[[#This Row],[REVESTIMIENTO INTERIOR BANO]])</f>
        <v>0</v>
      </c>
      <c r="CP302" s="3">
        <f>+IF(AVANCE[[#This Row],[MUEBLE LAVAPLATOS]]=BC$2,100%,AVANCE[[#This Row],[MUEBLE LAVAPLATOS]])</f>
        <v>0</v>
      </c>
      <c r="CQ302" s="3">
        <f>+IF(AVANCE[[#This Row],[IMPERMEABILIZACION BANO - COCINA LOGIA]]=BD$2,100%,AVANCE[[#This Row],[IMPERMEABILIZACION BANO - COCINA LOGIA]])</f>
        <v>0</v>
      </c>
      <c r="CR302" s="40">
        <f ca="1">+IF(AVANCE[[#This Row],[ESTADO MODULO]]="PENDIENTE",(TODAY()-AVANCE[[#This Row],[FECHA TERMINO  PLANIFICADO]]),0)</f>
        <v>0</v>
      </c>
      <c r="CS302" s="42" t="str" cm="1">
        <f t="array" ref="CS302">_xlfn.TEXTJOIN(" | ",TRUE,IF(SUMPRODUCT((BF302:CQ302&lt;1)*(PARTIDAS!$I$2:$AT$2="OBRA GRUESA"))&gt;0,"OBRA GRUESA: "&amp;_xlfn.TEXTJOIN(", ",TRUE,IF((BF302:CQ302&lt;1)*(PARTIDAS!$I$2:$AT$2="OBRA GRUESA"),PARTIDAS!$I$1:$AT$1,"")),""),IF(SUMPRODUCT((BF302:CQ302&lt;1)*(PARTIDAS!$I$2:$AT$2="SANITARIOS"))&gt;0,"SANITARIOS: "&amp;_xlfn.TEXTJOIN(", ",TRUE,IF((BF302:CQ302&lt;1)*(PARTIDAS!$I$2:$AT$2="SANITARIOS"),PARTIDAS!$I$1:$AT$1,"")),""),IF(SUMPRODUCT((BF302:CQ302&lt;1)*(PARTIDAS!$I$2:$AT$2="ELÉCTRICO"))&gt;0,"ELÉCTRICO: "&amp;_xlfn.TEXTJOIN(", ",TRUE,IF((BF302:CQ302&lt;1)*(PARTIDAS!$I$2:$AT$2="ELÉCTRICO"),PARTIDAS!$I$1:$AT$1,"")),""),IF(SUMPRODUCT((BF302:CQ302&lt;1)*(PARTIDAS!$I$2:$AT$2="TERMINACIONES"))&gt;0,"TERMINACIONES: "&amp;_xlfn.TEXTJOIN(", ",TRUE,IF((BF302:CQ302&lt;1)*(PARTIDAS!$I$2:$AT$2="TERMINACIONES"),PARTIDAS!$I$1:$AT$1,"")),""))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2" s="45" t="str" cm="1">
        <f t="array" ref="CT302">_xlfn.TEXTJOIN(", ",TRUE,IF(SUMPRODUCT((BF302:CQ302&lt;1)*(PARTIDAS!$I$2:$AT$2="OBRA GRUESA"))&gt;0,"OBRA GRUESA",""),IF(SUMPRODUCT((BF302:CQ302&lt;1)*(PARTIDAS!$I$2:$AT$2="SANITARIOS"))&gt;0,"SANITARIOS",""),IF(SUMPRODUCT((BF302:CQ302&lt;1)*(PARTIDAS!$I$2:$AT$2="ELÉCTRICO"))&gt;0,"ELÉCTRICO",""),IF(SUMPRODUCT((BF302:CQ302&lt;1)*(PARTIDAS!$I$2:$AT$2="TERMINACIONES"))&gt;0,"TERMINACIONES",""))</f>
        <v>OBRA GRUESA, SANITARIOS, ELÉCTRICO, TERMINACIONES</v>
      </c>
      <c r="CU302" s="46" cm="1">
        <f t="array" ref="CU302">SUMPRODUCT(--(BF302:CQ302&lt;1))</f>
        <v>38</v>
      </c>
    </row>
    <row r="303" spans="1:99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46181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 s="3" t="str">
        <f>+IF(AVANCE[[#This Row],[% AVANCE]]=100%,"MODULO TERMINADO",IF(AVANCE[[#This Row],[FECHA INICIO REAL]]="","MODULO NO INICIADO","PENDIENTE"))</f>
        <v>MODULO NO INICIADO</v>
      </c>
      <c r="BF303" s="3">
        <f>+IF(AVANCE[[#This Row],[VENTANAS]]=8.10810810810811%,100%,AVANCE[[#This Row],[VENTANAS]])</f>
        <v>0</v>
      </c>
      <c r="BG303" s="3">
        <f>+IF(AVANCE[[#This Row],[PISO]]=N$2,100%,AVANCE[[#This Row],[PISO]])</f>
        <v>0</v>
      </c>
      <c r="BH303" s="3">
        <f>+IF(AVANCE[[#This Row],[TABIQUES]]=O$2,100%,AVANCE[[#This Row],[TABIQUES]])</f>
        <v>0</v>
      </c>
      <c r="BI303" s="3">
        <f>+IF(AVANCE[[#This Row],[MUROS]]=P$2,100%,AVANCE[[#This Row],[MUROS]])</f>
        <v>0</v>
      </c>
      <c r="BJ303" s="3">
        <f>+IF(AVANCE[[#This Row],[CIELO]]=Q$2,100%,AVANCE[[#This Row],[CIELO]])</f>
        <v>0</v>
      </c>
      <c r="BK303" s="3">
        <f>+IF(AVANCE[[#This Row],[BALCÓN]]=R$2,100%,AVANCE[[#This Row],[BALCÓN]])</f>
        <v>0</v>
      </c>
      <c r="BL303" s="3">
        <f>+IF(AVANCE[[#This Row],[RED ALCANTARILLADO]]=U$2,100%,AVANCE[[#This Row],[RED ALCANTARILLADO]])</f>
        <v>0</v>
      </c>
      <c r="BM303" s="3">
        <f>+IF(AVANCE[[#This Row],[RED DE AGUA]]=V$2,100%,AVANCE[[#This Row],[RED DE AGUA]])</f>
        <v>0</v>
      </c>
      <c r="BN303" s="3">
        <f>+IF(AVANCE[[#This Row],[VENTILACIONES]]=W$2,100%,AVANCE[[#This Row],[VENTILACIONES]])</f>
        <v>0</v>
      </c>
      <c r="BO303" s="3">
        <f>+IF(AVANCE[[#This Row],[TINA]]=X$2,100%,AVANCE[[#This Row],[TINA]])</f>
        <v>0</v>
      </c>
      <c r="BP303" s="3">
        <f>+IF(AVANCE[[#This Row],[WC]]=Y$2,100%,AVANCE[[#This Row],[WC]])</f>
        <v>0</v>
      </c>
      <c r="BQ303" s="3">
        <f>+IF(AVANCE[[#This Row],[LAVAMANOS / LAVAPLATOS / LAVADERO]]=Z$2,100%,AVANCE[[#This Row],[LAVAMANOS / LAVAPLATOS / LAVADERO]])</f>
        <v>0</v>
      </c>
      <c r="BR303" s="3">
        <f>+IF(AVANCE[[#This Row],[CANALIZACIÓN]]=AC$2,100%,AVANCE[[#This Row],[CANALIZACIÓN]])</f>
        <v>0</v>
      </c>
      <c r="BS303" s="3">
        <f>+IF(AVANCE[[#This Row],[CABLEADO]]=AD$2,100%,AVANCE[[#This Row],[CABLEADO]])</f>
        <v>0</v>
      </c>
      <c r="BT303" s="3">
        <f>+IF(AVANCE[[#This Row],[ARTEFACTOS]]=AE$2,100%,AVANCE[[#This Row],[ARTEFACTOS]])</f>
        <v>0</v>
      </c>
      <c r="BU303" s="3">
        <f>+IF(AVANCE[[#This Row],[TABLERO]]=AF$2,100%,AVANCE[[#This Row],[TABLERO]])</f>
        <v>0</v>
      </c>
      <c r="BV303" s="3">
        <f>+IF(AVANCE[[#This Row],[CAJA PAU]]=AG$2,100%,AVANCE[[#This Row],[CAJA PAU]])</f>
        <v>0</v>
      </c>
      <c r="BW303" s="3">
        <f>+IF(AVANCE[[#This Row],[INSTALACION VINILICO]]=AJ$2,100%,AVANCE[[#This Row],[INSTALACION VINILICO]])</f>
        <v>0</v>
      </c>
      <c r="BX303" s="3">
        <f>+IF(AVANCE[[#This Row],[OSB CUBIERTA]]=AK$2,100%,AVANCE[[#This Row],[OSB CUBIERTA]])</f>
        <v>0</v>
      </c>
      <c r="BY303" s="3">
        <f>+IF(AVANCE[[#This Row],[BARANDA BALCON]]=AL$2,100%,AVANCE[[#This Row],[BARANDA BALCON]])</f>
        <v>0</v>
      </c>
      <c r="BZ303" s="3">
        <f>+IF(AVANCE[[#This Row],[OSB EXTERIOR]]=AM$2,100%,AVANCE[[#This Row],[OSB EXTERIOR]])</f>
        <v>0</v>
      </c>
      <c r="CA303" s="3">
        <f>+IF(AVANCE[[#This Row],[SMART PANEL]]=AN$2,100%,AVANCE[[#This Row],[SMART PANEL]])</f>
        <v>0</v>
      </c>
      <c r="CB303" s="3">
        <f>+IF(AVANCE[[#This Row],[PINTURA EXTERIOR]]=AO$2,100%,AVANCE[[#This Row],[PINTURA EXTERIOR]])</f>
        <v>0</v>
      </c>
      <c r="CC303" s="3">
        <f>+IF(AVANCE[[#This Row],[ZOCALOS LOGIA]]=AP$2,100%,AVANCE[[#This Row],[ZOCALOS LOGIA]])</f>
        <v>0</v>
      </c>
      <c r="CD303" s="3">
        <f>+IF(AVANCE[[#This Row],[MOLDURAS]]=AQ$2,100%,AVANCE[[#This Row],[MOLDURAS]])</f>
        <v>0</v>
      </c>
      <c r="CE303" s="3">
        <f>+IF(AVANCE[[#This Row],[PILASTREO]]=AR$2,100%,AVANCE[[#This Row],[PILASTREO]])</f>
        <v>0</v>
      </c>
      <c r="CF303" s="3">
        <f>+IF(AVANCE[[#This Row],[CELOSIAS]]=AS$2,100%,AVANCE[[#This Row],[CELOSIAS]])</f>
        <v>0</v>
      </c>
      <c r="CG303" s="3">
        <f>+IF(AVANCE[[#This Row],[VENTANAS]]=AT$2,100%,AVANCE[[#This Row],[VENTANAS]])</f>
        <v>0</v>
      </c>
      <c r="CH303" s="3">
        <f>+IF(AVANCE[[#This Row],[PUERTAS ACCESO - LOGIA - BANO]]=AU$2,100%,AVANCE[[#This Row],[PUERTAS ACCESO - LOGIA - BANO]])</f>
        <v>0</v>
      </c>
      <c r="CI303" s="3">
        <f>+IF(AVANCE[[#This Row],[CERRADURAS]]=AV$2,100%,AVANCE[[#This Row],[CERRADURAS]])</f>
        <v>0</v>
      </c>
      <c r="CJ303" s="3">
        <f>+IF(AVANCE[[#This Row],[REVESTIMIENTO INTERIOR ZONA SECA]]=AW$2,100%,AVANCE[[#This Row],[REVESTIMIENTO INTERIOR ZONA SECA]])</f>
        <v>0</v>
      </c>
      <c r="CK303" s="3">
        <f>+IF(AVANCE[[#This Row],[REVESTIMIENTO INTERIOR ZONAS HUMEDAS]]=AX$2,100%,AVANCE[[#This Row],[REVESTIMIENTO INTERIOR ZONAS HUMEDAS]])</f>
        <v>0</v>
      </c>
      <c r="CL303" s="3">
        <f>+IF(AVANCE[[#This Row],[MEMBRANA CIELO]]=AY$2,100%,AVANCE[[#This Row],[MEMBRANA CIELO]])</f>
        <v>0</v>
      </c>
      <c r="CM303" s="3">
        <f>+IF(AVANCE[[#This Row],[LIMPIEZA FINAL]]=AZ$2,100%,AVANCE[[#This Row],[LIMPIEZA FINAL]])</f>
        <v>0</v>
      </c>
      <c r="CN303" s="3">
        <f>+IF(AVANCE[[#This Row],[PUERTAS DORMITORIO]]=BA$2,100%,AVANCE[[#This Row],[PUERTAS DORMITORIO]])</f>
        <v>0</v>
      </c>
      <c r="CO303" s="3">
        <f>+IF(AVANCE[[#This Row],[REVESTIMIENTO INTERIOR BANO]]=BB$2,100%,AVANCE[[#This Row],[REVESTIMIENTO INTERIOR BANO]])</f>
        <v>0</v>
      </c>
      <c r="CP303" s="3">
        <f>+IF(AVANCE[[#This Row],[MUEBLE LAVAPLATOS]]=BC$2,100%,AVANCE[[#This Row],[MUEBLE LAVAPLATOS]])</f>
        <v>0</v>
      </c>
      <c r="CQ303" s="3">
        <f>+IF(AVANCE[[#This Row],[IMPERMEABILIZACION BANO - COCINA LOGIA]]=BD$2,100%,AVANCE[[#This Row],[IMPERMEABILIZACION BANO - COCINA LOGIA]])</f>
        <v>0</v>
      </c>
      <c r="CR303" s="40">
        <f ca="1">+IF(AVANCE[[#This Row],[ESTADO MODULO]]="PENDIENTE",(TODAY()-AVANCE[[#This Row],[FECHA TERMINO  PLANIFICADO]]),0)</f>
        <v>0</v>
      </c>
      <c r="CS303" s="42" t="str" cm="1">
        <f t="array" ref="CS303">_xlfn.TEXTJOIN(" | ",TRUE,IF(SUMPRODUCT((BF303:CQ303&lt;1)*(PARTIDAS!$I$2:$AT$2="OBRA GRUESA"))&gt;0,"OBRA GRUESA: "&amp;_xlfn.TEXTJOIN(", ",TRUE,IF((BF303:CQ303&lt;1)*(PARTIDAS!$I$2:$AT$2="OBRA GRUESA"),PARTIDAS!$I$1:$AT$1,"")),""),IF(SUMPRODUCT((BF303:CQ303&lt;1)*(PARTIDAS!$I$2:$AT$2="SANITARIOS"))&gt;0,"SANITARIOS: "&amp;_xlfn.TEXTJOIN(", ",TRUE,IF((BF303:CQ303&lt;1)*(PARTIDAS!$I$2:$AT$2="SANITARIOS"),PARTIDAS!$I$1:$AT$1,"")),""),IF(SUMPRODUCT((BF303:CQ303&lt;1)*(PARTIDAS!$I$2:$AT$2="ELÉCTRICO"))&gt;0,"ELÉCTRICO: "&amp;_xlfn.TEXTJOIN(", ",TRUE,IF((BF303:CQ303&lt;1)*(PARTIDAS!$I$2:$AT$2="ELÉCTRICO"),PARTIDAS!$I$1:$AT$1,"")),""),IF(SUMPRODUCT((BF303:CQ303&lt;1)*(PARTIDAS!$I$2:$AT$2="TERMINACIONES"))&gt;0,"TERMINACIONES: "&amp;_xlfn.TEXTJOIN(", ",TRUE,IF((BF303:CQ303&lt;1)*(PARTIDAS!$I$2:$AT$2="TERMINACIONES"),PARTIDAS!$I$1:$AT$1,"")),""))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3" s="45" t="str" cm="1">
        <f t="array" ref="CT303">_xlfn.TEXTJOIN(", ",TRUE,IF(SUMPRODUCT((BF303:CQ303&lt;1)*(PARTIDAS!$I$2:$AT$2="OBRA GRUESA"))&gt;0,"OBRA GRUESA",""),IF(SUMPRODUCT((BF303:CQ303&lt;1)*(PARTIDAS!$I$2:$AT$2="SANITARIOS"))&gt;0,"SANITARIOS",""),IF(SUMPRODUCT((BF303:CQ303&lt;1)*(PARTIDAS!$I$2:$AT$2="ELÉCTRICO"))&gt;0,"ELÉCTRICO",""),IF(SUMPRODUCT((BF303:CQ303&lt;1)*(PARTIDAS!$I$2:$AT$2="TERMINACIONES"))&gt;0,"TERMINACIONES",""))</f>
        <v>OBRA GRUESA, SANITARIOS, ELÉCTRICO, TERMINACIONES</v>
      </c>
      <c r="CU303" s="46" cm="1">
        <f t="array" ref="CU303">SUMPRODUCT(--(BF303:CQ303&lt;1))</f>
        <v>38</v>
      </c>
    </row>
    <row r="304" spans="1:99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46181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 s="3" t="str">
        <f>+IF(AVANCE[[#This Row],[% AVANCE]]=100%,"MODULO TERMINADO",IF(AVANCE[[#This Row],[FECHA INICIO REAL]]="","MODULO NO INICIADO","PENDIENTE"))</f>
        <v>MODULO NO INICIADO</v>
      </c>
      <c r="BF304" s="3">
        <f>+IF(AVANCE[[#This Row],[VENTANAS]]=8.10810810810811%,100%,AVANCE[[#This Row],[VENTANAS]])</f>
        <v>0</v>
      </c>
      <c r="BG304" s="3">
        <f>+IF(AVANCE[[#This Row],[PISO]]=N$2,100%,AVANCE[[#This Row],[PISO]])</f>
        <v>0</v>
      </c>
      <c r="BH304" s="3">
        <f>+IF(AVANCE[[#This Row],[TABIQUES]]=O$2,100%,AVANCE[[#This Row],[TABIQUES]])</f>
        <v>0</v>
      </c>
      <c r="BI304" s="3">
        <f>+IF(AVANCE[[#This Row],[MUROS]]=P$2,100%,AVANCE[[#This Row],[MUROS]])</f>
        <v>0</v>
      </c>
      <c r="BJ304" s="3">
        <f>+IF(AVANCE[[#This Row],[CIELO]]=Q$2,100%,AVANCE[[#This Row],[CIELO]])</f>
        <v>0</v>
      </c>
      <c r="BK304" s="3">
        <f>+IF(AVANCE[[#This Row],[BALCÓN]]=R$2,100%,AVANCE[[#This Row],[BALCÓN]])</f>
        <v>0</v>
      </c>
      <c r="BL304" s="3">
        <f>+IF(AVANCE[[#This Row],[RED ALCANTARILLADO]]=U$2,100%,AVANCE[[#This Row],[RED ALCANTARILLADO]])</f>
        <v>0</v>
      </c>
      <c r="BM304" s="3">
        <f>+IF(AVANCE[[#This Row],[RED DE AGUA]]=V$2,100%,AVANCE[[#This Row],[RED DE AGUA]])</f>
        <v>0</v>
      </c>
      <c r="BN304" s="3">
        <f>+IF(AVANCE[[#This Row],[VENTILACIONES]]=W$2,100%,AVANCE[[#This Row],[VENTILACIONES]])</f>
        <v>0</v>
      </c>
      <c r="BO304" s="3">
        <f>+IF(AVANCE[[#This Row],[TINA]]=X$2,100%,AVANCE[[#This Row],[TINA]])</f>
        <v>0</v>
      </c>
      <c r="BP304" s="3">
        <f>+IF(AVANCE[[#This Row],[WC]]=Y$2,100%,AVANCE[[#This Row],[WC]])</f>
        <v>0</v>
      </c>
      <c r="BQ304" s="3">
        <f>+IF(AVANCE[[#This Row],[LAVAMANOS / LAVAPLATOS / LAVADERO]]=Z$2,100%,AVANCE[[#This Row],[LAVAMANOS / LAVAPLATOS / LAVADERO]])</f>
        <v>0</v>
      </c>
      <c r="BR304" s="3">
        <f>+IF(AVANCE[[#This Row],[CANALIZACIÓN]]=AC$2,100%,AVANCE[[#This Row],[CANALIZACIÓN]])</f>
        <v>0</v>
      </c>
      <c r="BS304" s="3">
        <f>+IF(AVANCE[[#This Row],[CABLEADO]]=AD$2,100%,AVANCE[[#This Row],[CABLEADO]])</f>
        <v>0</v>
      </c>
      <c r="BT304" s="3">
        <f>+IF(AVANCE[[#This Row],[ARTEFACTOS]]=AE$2,100%,AVANCE[[#This Row],[ARTEFACTOS]])</f>
        <v>0</v>
      </c>
      <c r="BU304" s="3">
        <f>+IF(AVANCE[[#This Row],[TABLERO]]=AF$2,100%,AVANCE[[#This Row],[TABLERO]])</f>
        <v>0</v>
      </c>
      <c r="BV304" s="3">
        <f>+IF(AVANCE[[#This Row],[CAJA PAU]]=AG$2,100%,AVANCE[[#This Row],[CAJA PAU]])</f>
        <v>0</v>
      </c>
      <c r="BW304" s="3">
        <f>+IF(AVANCE[[#This Row],[INSTALACION VINILICO]]=AJ$2,100%,AVANCE[[#This Row],[INSTALACION VINILICO]])</f>
        <v>0</v>
      </c>
      <c r="BX304" s="3">
        <f>+IF(AVANCE[[#This Row],[OSB CUBIERTA]]=AK$2,100%,AVANCE[[#This Row],[OSB CUBIERTA]])</f>
        <v>0</v>
      </c>
      <c r="BY304" s="3">
        <f>+IF(AVANCE[[#This Row],[BARANDA BALCON]]=AL$2,100%,AVANCE[[#This Row],[BARANDA BALCON]])</f>
        <v>0</v>
      </c>
      <c r="BZ304" s="3">
        <f>+IF(AVANCE[[#This Row],[OSB EXTERIOR]]=AM$2,100%,AVANCE[[#This Row],[OSB EXTERIOR]])</f>
        <v>0</v>
      </c>
      <c r="CA304" s="3">
        <f>+IF(AVANCE[[#This Row],[SMART PANEL]]=AN$2,100%,AVANCE[[#This Row],[SMART PANEL]])</f>
        <v>0</v>
      </c>
      <c r="CB304" s="3">
        <f>+IF(AVANCE[[#This Row],[PINTURA EXTERIOR]]=AO$2,100%,AVANCE[[#This Row],[PINTURA EXTERIOR]])</f>
        <v>0</v>
      </c>
      <c r="CC304" s="3">
        <f>+IF(AVANCE[[#This Row],[ZOCALOS LOGIA]]=AP$2,100%,AVANCE[[#This Row],[ZOCALOS LOGIA]])</f>
        <v>0</v>
      </c>
      <c r="CD304" s="3">
        <f>+IF(AVANCE[[#This Row],[MOLDURAS]]=AQ$2,100%,AVANCE[[#This Row],[MOLDURAS]])</f>
        <v>0</v>
      </c>
      <c r="CE304" s="3">
        <f>+IF(AVANCE[[#This Row],[PILASTREO]]=AR$2,100%,AVANCE[[#This Row],[PILASTREO]])</f>
        <v>0</v>
      </c>
      <c r="CF304" s="3">
        <f>+IF(AVANCE[[#This Row],[CELOSIAS]]=AS$2,100%,AVANCE[[#This Row],[CELOSIAS]])</f>
        <v>0</v>
      </c>
      <c r="CG304" s="3">
        <f>+IF(AVANCE[[#This Row],[VENTANAS]]=AT$2,100%,AVANCE[[#This Row],[VENTANAS]])</f>
        <v>0</v>
      </c>
      <c r="CH304" s="3">
        <f>+IF(AVANCE[[#This Row],[PUERTAS ACCESO - LOGIA - BANO]]=AU$2,100%,AVANCE[[#This Row],[PUERTAS ACCESO - LOGIA - BANO]])</f>
        <v>0</v>
      </c>
      <c r="CI304" s="3">
        <f>+IF(AVANCE[[#This Row],[CERRADURAS]]=AV$2,100%,AVANCE[[#This Row],[CERRADURAS]])</f>
        <v>0</v>
      </c>
      <c r="CJ304" s="3">
        <f>+IF(AVANCE[[#This Row],[REVESTIMIENTO INTERIOR ZONA SECA]]=AW$2,100%,AVANCE[[#This Row],[REVESTIMIENTO INTERIOR ZONA SECA]])</f>
        <v>0</v>
      </c>
      <c r="CK304" s="3">
        <f>+IF(AVANCE[[#This Row],[REVESTIMIENTO INTERIOR ZONAS HUMEDAS]]=AX$2,100%,AVANCE[[#This Row],[REVESTIMIENTO INTERIOR ZONAS HUMEDAS]])</f>
        <v>0</v>
      </c>
      <c r="CL304" s="3">
        <f>+IF(AVANCE[[#This Row],[MEMBRANA CIELO]]=AY$2,100%,AVANCE[[#This Row],[MEMBRANA CIELO]])</f>
        <v>0</v>
      </c>
      <c r="CM304" s="3">
        <f>+IF(AVANCE[[#This Row],[LIMPIEZA FINAL]]=AZ$2,100%,AVANCE[[#This Row],[LIMPIEZA FINAL]])</f>
        <v>0</v>
      </c>
      <c r="CN304" s="3">
        <f>+IF(AVANCE[[#This Row],[PUERTAS DORMITORIO]]=BA$2,100%,AVANCE[[#This Row],[PUERTAS DORMITORIO]])</f>
        <v>0</v>
      </c>
      <c r="CO304" s="3">
        <f>+IF(AVANCE[[#This Row],[REVESTIMIENTO INTERIOR BANO]]=BB$2,100%,AVANCE[[#This Row],[REVESTIMIENTO INTERIOR BANO]])</f>
        <v>0</v>
      </c>
      <c r="CP304" s="3">
        <f>+IF(AVANCE[[#This Row],[MUEBLE LAVAPLATOS]]=BC$2,100%,AVANCE[[#This Row],[MUEBLE LAVAPLATOS]])</f>
        <v>0</v>
      </c>
      <c r="CQ304" s="3">
        <f>+IF(AVANCE[[#This Row],[IMPERMEABILIZACION BANO - COCINA LOGIA]]=BD$2,100%,AVANCE[[#This Row],[IMPERMEABILIZACION BANO - COCINA LOGIA]])</f>
        <v>0</v>
      </c>
      <c r="CR304" s="40">
        <f ca="1">+IF(AVANCE[[#This Row],[ESTADO MODULO]]="PENDIENTE",(TODAY()-AVANCE[[#This Row],[FECHA TERMINO  PLANIFICADO]]),0)</f>
        <v>0</v>
      </c>
      <c r="CS304" s="42" t="str" cm="1">
        <f t="array" ref="CS304">_xlfn.TEXTJOIN(" | ",TRUE,IF(SUMPRODUCT((BF304:CQ304&lt;1)*(PARTIDAS!$I$2:$AT$2="OBRA GRUESA"))&gt;0,"OBRA GRUESA: "&amp;_xlfn.TEXTJOIN(", ",TRUE,IF((BF304:CQ304&lt;1)*(PARTIDAS!$I$2:$AT$2="OBRA GRUESA"),PARTIDAS!$I$1:$AT$1,"")),""),IF(SUMPRODUCT((BF304:CQ304&lt;1)*(PARTIDAS!$I$2:$AT$2="SANITARIOS"))&gt;0,"SANITARIOS: "&amp;_xlfn.TEXTJOIN(", ",TRUE,IF((BF304:CQ304&lt;1)*(PARTIDAS!$I$2:$AT$2="SANITARIOS"),PARTIDAS!$I$1:$AT$1,"")),""),IF(SUMPRODUCT((BF304:CQ304&lt;1)*(PARTIDAS!$I$2:$AT$2="ELÉCTRICO"))&gt;0,"ELÉCTRICO: "&amp;_xlfn.TEXTJOIN(", ",TRUE,IF((BF304:CQ304&lt;1)*(PARTIDAS!$I$2:$AT$2="ELÉCTRICO"),PARTIDAS!$I$1:$AT$1,"")),""),IF(SUMPRODUCT((BF304:CQ304&lt;1)*(PARTIDAS!$I$2:$AT$2="TERMINACIONES"))&gt;0,"TERMINACIONES: "&amp;_xlfn.TEXTJOIN(", ",TRUE,IF((BF304:CQ304&lt;1)*(PARTIDAS!$I$2:$AT$2="TERMINACIONES"),PARTIDAS!$I$1:$AT$1,"")),""))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4" s="45" t="str" cm="1">
        <f t="array" ref="CT304">_xlfn.TEXTJOIN(", ",TRUE,IF(SUMPRODUCT((BF304:CQ304&lt;1)*(PARTIDAS!$I$2:$AT$2="OBRA GRUESA"))&gt;0,"OBRA GRUESA",""),IF(SUMPRODUCT((BF304:CQ304&lt;1)*(PARTIDAS!$I$2:$AT$2="SANITARIOS"))&gt;0,"SANITARIOS",""),IF(SUMPRODUCT((BF304:CQ304&lt;1)*(PARTIDAS!$I$2:$AT$2="ELÉCTRICO"))&gt;0,"ELÉCTRICO",""),IF(SUMPRODUCT((BF304:CQ304&lt;1)*(PARTIDAS!$I$2:$AT$2="TERMINACIONES"))&gt;0,"TERMINACIONES",""))</f>
        <v>OBRA GRUESA, SANITARIOS, ELÉCTRICO, TERMINACIONES</v>
      </c>
      <c r="CU304" s="46" cm="1">
        <f t="array" ref="CU304">SUMPRODUCT(--(BF304:CQ304&lt;1))</f>
        <v>38</v>
      </c>
    </row>
    <row r="305" spans="1:99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46181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 s="3" t="str">
        <f>+IF(AVANCE[[#This Row],[% AVANCE]]=100%,"MODULO TERMINADO",IF(AVANCE[[#This Row],[FECHA INICIO REAL]]="","MODULO NO INICIADO","PENDIENTE"))</f>
        <v>MODULO NO INICIADO</v>
      </c>
      <c r="BF305" s="3">
        <f>+IF(AVANCE[[#This Row],[VENTANAS]]=8.10810810810811%,100%,AVANCE[[#This Row],[VENTANAS]])</f>
        <v>0</v>
      </c>
      <c r="BG305" s="3">
        <f>+IF(AVANCE[[#This Row],[PISO]]=N$2,100%,AVANCE[[#This Row],[PISO]])</f>
        <v>0</v>
      </c>
      <c r="BH305" s="3">
        <f>+IF(AVANCE[[#This Row],[TABIQUES]]=O$2,100%,AVANCE[[#This Row],[TABIQUES]])</f>
        <v>0</v>
      </c>
      <c r="BI305" s="3">
        <f>+IF(AVANCE[[#This Row],[MUROS]]=P$2,100%,AVANCE[[#This Row],[MUROS]])</f>
        <v>0</v>
      </c>
      <c r="BJ305" s="3">
        <f>+IF(AVANCE[[#This Row],[CIELO]]=Q$2,100%,AVANCE[[#This Row],[CIELO]])</f>
        <v>0</v>
      </c>
      <c r="BK305" s="3">
        <f>+IF(AVANCE[[#This Row],[BALCÓN]]=R$2,100%,AVANCE[[#This Row],[BALCÓN]])</f>
        <v>0</v>
      </c>
      <c r="BL305" s="3">
        <f>+IF(AVANCE[[#This Row],[RED ALCANTARILLADO]]=U$2,100%,AVANCE[[#This Row],[RED ALCANTARILLADO]])</f>
        <v>0</v>
      </c>
      <c r="BM305" s="3">
        <f>+IF(AVANCE[[#This Row],[RED DE AGUA]]=V$2,100%,AVANCE[[#This Row],[RED DE AGUA]])</f>
        <v>0</v>
      </c>
      <c r="BN305" s="3">
        <f>+IF(AVANCE[[#This Row],[VENTILACIONES]]=W$2,100%,AVANCE[[#This Row],[VENTILACIONES]])</f>
        <v>0</v>
      </c>
      <c r="BO305" s="3">
        <f>+IF(AVANCE[[#This Row],[TINA]]=X$2,100%,AVANCE[[#This Row],[TINA]])</f>
        <v>0</v>
      </c>
      <c r="BP305" s="3">
        <f>+IF(AVANCE[[#This Row],[WC]]=Y$2,100%,AVANCE[[#This Row],[WC]])</f>
        <v>0</v>
      </c>
      <c r="BQ305" s="3">
        <f>+IF(AVANCE[[#This Row],[LAVAMANOS / LAVAPLATOS / LAVADERO]]=Z$2,100%,AVANCE[[#This Row],[LAVAMANOS / LAVAPLATOS / LAVADERO]])</f>
        <v>0</v>
      </c>
      <c r="BR305" s="3">
        <f>+IF(AVANCE[[#This Row],[CANALIZACIÓN]]=AC$2,100%,AVANCE[[#This Row],[CANALIZACIÓN]])</f>
        <v>0</v>
      </c>
      <c r="BS305" s="3">
        <f>+IF(AVANCE[[#This Row],[CABLEADO]]=AD$2,100%,AVANCE[[#This Row],[CABLEADO]])</f>
        <v>0</v>
      </c>
      <c r="BT305" s="3">
        <f>+IF(AVANCE[[#This Row],[ARTEFACTOS]]=AE$2,100%,AVANCE[[#This Row],[ARTEFACTOS]])</f>
        <v>0</v>
      </c>
      <c r="BU305" s="3">
        <f>+IF(AVANCE[[#This Row],[TABLERO]]=AF$2,100%,AVANCE[[#This Row],[TABLERO]])</f>
        <v>0</v>
      </c>
      <c r="BV305" s="3">
        <f>+IF(AVANCE[[#This Row],[CAJA PAU]]=AG$2,100%,AVANCE[[#This Row],[CAJA PAU]])</f>
        <v>0</v>
      </c>
      <c r="BW305" s="3">
        <f>+IF(AVANCE[[#This Row],[INSTALACION VINILICO]]=AJ$2,100%,AVANCE[[#This Row],[INSTALACION VINILICO]])</f>
        <v>0</v>
      </c>
      <c r="BX305" s="3">
        <f>+IF(AVANCE[[#This Row],[OSB CUBIERTA]]=AK$2,100%,AVANCE[[#This Row],[OSB CUBIERTA]])</f>
        <v>0</v>
      </c>
      <c r="BY305" s="3">
        <f>+IF(AVANCE[[#This Row],[BARANDA BALCON]]=AL$2,100%,AVANCE[[#This Row],[BARANDA BALCON]])</f>
        <v>0</v>
      </c>
      <c r="BZ305" s="3">
        <f>+IF(AVANCE[[#This Row],[OSB EXTERIOR]]=AM$2,100%,AVANCE[[#This Row],[OSB EXTERIOR]])</f>
        <v>0</v>
      </c>
      <c r="CA305" s="3">
        <f>+IF(AVANCE[[#This Row],[SMART PANEL]]=AN$2,100%,AVANCE[[#This Row],[SMART PANEL]])</f>
        <v>0</v>
      </c>
      <c r="CB305" s="3">
        <f>+IF(AVANCE[[#This Row],[PINTURA EXTERIOR]]=AO$2,100%,AVANCE[[#This Row],[PINTURA EXTERIOR]])</f>
        <v>0</v>
      </c>
      <c r="CC305" s="3">
        <f>+IF(AVANCE[[#This Row],[ZOCALOS LOGIA]]=AP$2,100%,AVANCE[[#This Row],[ZOCALOS LOGIA]])</f>
        <v>0</v>
      </c>
      <c r="CD305" s="3">
        <f>+IF(AVANCE[[#This Row],[MOLDURAS]]=AQ$2,100%,AVANCE[[#This Row],[MOLDURAS]])</f>
        <v>0</v>
      </c>
      <c r="CE305" s="3">
        <f>+IF(AVANCE[[#This Row],[PILASTREO]]=AR$2,100%,AVANCE[[#This Row],[PILASTREO]])</f>
        <v>0</v>
      </c>
      <c r="CF305" s="3">
        <f>+IF(AVANCE[[#This Row],[CELOSIAS]]=AS$2,100%,AVANCE[[#This Row],[CELOSIAS]])</f>
        <v>0</v>
      </c>
      <c r="CG305" s="3">
        <f>+IF(AVANCE[[#This Row],[VENTANAS]]=AT$2,100%,AVANCE[[#This Row],[VENTANAS]])</f>
        <v>0</v>
      </c>
      <c r="CH305" s="3">
        <f>+IF(AVANCE[[#This Row],[PUERTAS ACCESO - LOGIA - BANO]]=AU$2,100%,AVANCE[[#This Row],[PUERTAS ACCESO - LOGIA - BANO]])</f>
        <v>0</v>
      </c>
      <c r="CI305" s="3">
        <f>+IF(AVANCE[[#This Row],[CERRADURAS]]=AV$2,100%,AVANCE[[#This Row],[CERRADURAS]])</f>
        <v>0</v>
      </c>
      <c r="CJ305" s="3">
        <f>+IF(AVANCE[[#This Row],[REVESTIMIENTO INTERIOR ZONA SECA]]=AW$2,100%,AVANCE[[#This Row],[REVESTIMIENTO INTERIOR ZONA SECA]])</f>
        <v>0</v>
      </c>
      <c r="CK305" s="3">
        <f>+IF(AVANCE[[#This Row],[REVESTIMIENTO INTERIOR ZONAS HUMEDAS]]=AX$2,100%,AVANCE[[#This Row],[REVESTIMIENTO INTERIOR ZONAS HUMEDAS]])</f>
        <v>0</v>
      </c>
      <c r="CL305" s="3">
        <f>+IF(AVANCE[[#This Row],[MEMBRANA CIELO]]=AY$2,100%,AVANCE[[#This Row],[MEMBRANA CIELO]])</f>
        <v>0</v>
      </c>
      <c r="CM305" s="3">
        <f>+IF(AVANCE[[#This Row],[LIMPIEZA FINAL]]=AZ$2,100%,AVANCE[[#This Row],[LIMPIEZA FINAL]])</f>
        <v>0</v>
      </c>
      <c r="CN305" s="3">
        <f>+IF(AVANCE[[#This Row],[PUERTAS DORMITORIO]]=BA$2,100%,AVANCE[[#This Row],[PUERTAS DORMITORIO]])</f>
        <v>0</v>
      </c>
      <c r="CO305" s="3">
        <f>+IF(AVANCE[[#This Row],[REVESTIMIENTO INTERIOR BANO]]=BB$2,100%,AVANCE[[#This Row],[REVESTIMIENTO INTERIOR BANO]])</f>
        <v>0</v>
      </c>
      <c r="CP305" s="3">
        <f>+IF(AVANCE[[#This Row],[MUEBLE LAVAPLATOS]]=BC$2,100%,AVANCE[[#This Row],[MUEBLE LAVAPLATOS]])</f>
        <v>0</v>
      </c>
      <c r="CQ305" s="3">
        <f>+IF(AVANCE[[#This Row],[IMPERMEABILIZACION BANO - COCINA LOGIA]]=BD$2,100%,AVANCE[[#This Row],[IMPERMEABILIZACION BANO - COCINA LOGIA]])</f>
        <v>0</v>
      </c>
      <c r="CR305" s="40">
        <f ca="1">+IF(AVANCE[[#This Row],[ESTADO MODULO]]="PENDIENTE",(TODAY()-AVANCE[[#This Row],[FECHA TERMINO  PLANIFICADO]]),0)</f>
        <v>0</v>
      </c>
      <c r="CS305" s="42" t="str" cm="1">
        <f t="array" ref="CS305">_xlfn.TEXTJOIN(" | ",TRUE,IF(SUMPRODUCT((BF305:CQ305&lt;1)*(PARTIDAS!$I$2:$AT$2="OBRA GRUESA"))&gt;0,"OBRA GRUESA: "&amp;_xlfn.TEXTJOIN(", ",TRUE,IF((BF305:CQ305&lt;1)*(PARTIDAS!$I$2:$AT$2="OBRA GRUESA"),PARTIDAS!$I$1:$AT$1,"")),""),IF(SUMPRODUCT((BF305:CQ305&lt;1)*(PARTIDAS!$I$2:$AT$2="SANITARIOS"))&gt;0,"SANITARIOS: "&amp;_xlfn.TEXTJOIN(", ",TRUE,IF((BF305:CQ305&lt;1)*(PARTIDAS!$I$2:$AT$2="SANITARIOS"),PARTIDAS!$I$1:$AT$1,"")),""),IF(SUMPRODUCT((BF305:CQ305&lt;1)*(PARTIDAS!$I$2:$AT$2="ELÉCTRICO"))&gt;0,"ELÉCTRICO: "&amp;_xlfn.TEXTJOIN(", ",TRUE,IF((BF305:CQ305&lt;1)*(PARTIDAS!$I$2:$AT$2="ELÉCTRICO"),PARTIDAS!$I$1:$AT$1,"")),""),IF(SUMPRODUCT((BF305:CQ305&lt;1)*(PARTIDAS!$I$2:$AT$2="TERMINACIONES"))&gt;0,"TERMINACIONES: "&amp;_xlfn.TEXTJOIN(", ",TRUE,IF((BF305:CQ305&lt;1)*(PARTIDAS!$I$2:$AT$2="TERMINACIONES"),PARTIDAS!$I$1:$AT$1,"")),""))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5" s="45" t="str" cm="1">
        <f t="array" ref="CT305">_xlfn.TEXTJOIN(", ",TRUE,IF(SUMPRODUCT((BF305:CQ305&lt;1)*(PARTIDAS!$I$2:$AT$2="OBRA GRUESA"))&gt;0,"OBRA GRUESA",""),IF(SUMPRODUCT((BF305:CQ305&lt;1)*(PARTIDAS!$I$2:$AT$2="SANITARIOS"))&gt;0,"SANITARIOS",""),IF(SUMPRODUCT((BF305:CQ305&lt;1)*(PARTIDAS!$I$2:$AT$2="ELÉCTRICO"))&gt;0,"ELÉCTRICO",""),IF(SUMPRODUCT((BF305:CQ305&lt;1)*(PARTIDAS!$I$2:$AT$2="TERMINACIONES"))&gt;0,"TERMINACIONES",""))</f>
        <v>OBRA GRUESA, SANITARIOS, ELÉCTRICO, TERMINACIONES</v>
      </c>
      <c r="CU305" s="46" cm="1">
        <f t="array" ref="CU305">SUMPRODUCT(--(BF305:CQ305&lt;1))</f>
        <v>38</v>
      </c>
    </row>
    <row r="306" spans="1:99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46181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 s="3" t="str">
        <f>+IF(AVANCE[[#This Row],[% AVANCE]]=100%,"MODULO TERMINADO",IF(AVANCE[[#This Row],[FECHA INICIO REAL]]="","MODULO NO INICIADO","PENDIENTE"))</f>
        <v>MODULO NO INICIADO</v>
      </c>
      <c r="BF306" s="3">
        <f>+IF(AVANCE[[#This Row],[VENTANAS]]=8.10810810810811%,100%,AVANCE[[#This Row],[VENTANAS]])</f>
        <v>0</v>
      </c>
      <c r="BG306" s="3">
        <f>+IF(AVANCE[[#This Row],[PISO]]=N$2,100%,AVANCE[[#This Row],[PISO]])</f>
        <v>0</v>
      </c>
      <c r="BH306" s="3">
        <f>+IF(AVANCE[[#This Row],[TABIQUES]]=O$2,100%,AVANCE[[#This Row],[TABIQUES]])</f>
        <v>0</v>
      </c>
      <c r="BI306" s="3">
        <f>+IF(AVANCE[[#This Row],[MUROS]]=P$2,100%,AVANCE[[#This Row],[MUROS]])</f>
        <v>0</v>
      </c>
      <c r="BJ306" s="3">
        <f>+IF(AVANCE[[#This Row],[CIELO]]=Q$2,100%,AVANCE[[#This Row],[CIELO]])</f>
        <v>0</v>
      </c>
      <c r="BK306" s="3">
        <f>+IF(AVANCE[[#This Row],[BALCÓN]]=R$2,100%,AVANCE[[#This Row],[BALCÓN]])</f>
        <v>0</v>
      </c>
      <c r="BL306" s="3">
        <f>+IF(AVANCE[[#This Row],[RED ALCANTARILLADO]]=U$2,100%,AVANCE[[#This Row],[RED ALCANTARILLADO]])</f>
        <v>0</v>
      </c>
      <c r="BM306" s="3">
        <f>+IF(AVANCE[[#This Row],[RED DE AGUA]]=V$2,100%,AVANCE[[#This Row],[RED DE AGUA]])</f>
        <v>0</v>
      </c>
      <c r="BN306" s="3">
        <f>+IF(AVANCE[[#This Row],[VENTILACIONES]]=W$2,100%,AVANCE[[#This Row],[VENTILACIONES]])</f>
        <v>0</v>
      </c>
      <c r="BO306" s="3">
        <f>+IF(AVANCE[[#This Row],[TINA]]=X$2,100%,AVANCE[[#This Row],[TINA]])</f>
        <v>0</v>
      </c>
      <c r="BP306" s="3">
        <f>+IF(AVANCE[[#This Row],[WC]]=Y$2,100%,AVANCE[[#This Row],[WC]])</f>
        <v>0</v>
      </c>
      <c r="BQ306" s="3">
        <f>+IF(AVANCE[[#This Row],[LAVAMANOS / LAVAPLATOS / LAVADERO]]=Z$2,100%,AVANCE[[#This Row],[LAVAMANOS / LAVAPLATOS / LAVADERO]])</f>
        <v>0</v>
      </c>
      <c r="BR306" s="3">
        <f>+IF(AVANCE[[#This Row],[CANALIZACIÓN]]=AC$2,100%,AVANCE[[#This Row],[CANALIZACIÓN]])</f>
        <v>0</v>
      </c>
      <c r="BS306" s="3">
        <f>+IF(AVANCE[[#This Row],[CABLEADO]]=AD$2,100%,AVANCE[[#This Row],[CABLEADO]])</f>
        <v>0</v>
      </c>
      <c r="BT306" s="3">
        <f>+IF(AVANCE[[#This Row],[ARTEFACTOS]]=AE$2,100%,AVANCE[[#This Row],[ARTEFACTOS]])</f>
        <v>0</v>
      </c>
      <c r="BU306" s="3">
        <f>+IF(AVANCE[[#This Row],[TABLERO]]=AF$2,100%,AVANCE[[#This Row],[TABLERO]])</f>
        <v>0</v>
      </c>
      <c r="BV306" s="3">
        <f>+IF(AVANCE[[#This Row],[CAJA PAU]]=AG$2,100%,AVANCE[[#This Row],[CAJA PAU]])</f>
        <v>0</v>
      </c>
      <c r="BW306" s="3">
        <f>+IF(AVANCE[[#This Row],[INSTALACION VINILICO]]=AJ$2,100%,AVANCE[[#This Row],[INSTALACION VINILICO]])</f>
        <v>0</v>
      </c>
      <c r="BX306" s="3">
        <f>+IF(AVANCE[[#This Row],[OSB CUBIERTA]]=AK$2,100%,AVANCE[[#This Row],[OSB CUBIERTA]])</f>
        <v>0</v>
      </c>
      <c r="BY306" s="3">
        <f>+IF(AVANCE[[#This Row],[BARANDA BALCON]]=AL$2,100%,AVANCE[[#This Row],[BARANDA BALCON]])</f>
        <v>0</v>
      </c>
      <c r="BZ306" s="3">
        <f>+IF(AVANCE[[#This Row],[OSB EXTERIOR]]=AM$2,100%,AVANCE[[#This Row],[OSB EXTERIOR]])</f>
        <v>0</v>
      </c>
      <c r="CA306" s="3">
        <f>+IF(AVANCE[[#This Row],[SMART PANEL]]=AN$2,100%,AVANCE[[#This Row],[SMART PANEL]])</f>
        <v>0</v>
      </c>
      <c r="CB306" s="3">
        <f>+IF(AVANCE[[#This Row],[PINTURA EXTERIOR]]=AO$2,100%,AVANCE[[#This Row],[PINTURA EXTERIOR]])</f>
        <v>0</v>
      </c>
      <c r="CC306" s="3">
        <f>+IF(AVANCE[[#This Row],[ZOCALOS LOGIA]]=AP$2,100%,AVANCE[[#This Row],[ZOCALOS LOGIA]])</f>
        <v>0</v>
      </c>
      <c r="CD306" s="3">
        <f>+IF(AVANCE[[#This Row],[MOLDURAS]]=AQ$2,100%,AVANCE[[#This Row],[MOLDURAS]])</f>
        <v>0</v>
      </c>
      <c r="CE306" s="3">
        <f>+IF(AVANCE[[#This Row],[PILASTREO]]=AR$2,100%,AVANCE[[#This Row],[PILASTREO]])</f>
        <v>0</v>
      </c>
      <c r="CF306" s="3">
        <f>+IF(AVANCE[[#This Row],[CELOSIAS]]=AS$2,100%,AVANCE[[#This Row],[CELOSIAS]])</f>
        <v>0</v>
      </c>
      <c r="CG306" s="3">
        <f>+IF(AVANCE[[#This Row],[VENTANAS]]=AT$2,100%,AVANCE[[#This Row],[VENTANAS]])</f>
        <v>0</v>
      </c>
      <c r="CH306" s="3">
        <f>+IF(AVANCE[[#This Row],[PUERTAS ACCESO - LOGIA - BANO]]=AU$2,100%,AVANCE[[#This Row],[PUERTAS ACCESO - LOGIA - BANO]])</f>
        <v>0</v>
      </c>
      <c r="CI306" s="3">
        <f>+IF(AVANCE[[#This Row],[CERRADURAS]]=AV$2,100%,AVANCE[[#This Row],[CERRADURAS]])</f>
        <v>0</v>
      </c>
      <c r="CJ306" s="3">
        <f>+IF(AVANCE[[#This Row],[REVESTIMIENTO INTERIOR ZONA SECA]]=AW$2,100%,AVANCE[[#This Row],[REVESTIMIENTO INTERIOR ZONA SECA]])</f>
        <v>0</v>
      </c>
      <c r="CK306" s="3">
        <f>+IF(AVANCE[[#This Row],[REVESTIMIENTO INTERIOR ZONAS HUMEDAS]]=AX$2,100%,AVANCE[[#This Row],[REVESTIMIENTO INTERIOR ZONAS HUMEDAS]])</f>
        <v>0</v>
      </c>
      <c r="CL306" s="3">
        <f>+IF(AVANCE[[#This Row],[MEMBRANA CIELO]]=AY$2,100%,AVANCE[[#This Row],[MEMBRANA CIELO]])</f>
        <v>0</v>
      </c>
      <c r="CM306" s="3">
        <f>+IF(AVANCE[[#This Row],[LIMPIEZA FINAL]]=AZ$2,100%,AVANCE[[#This Row],[LIMPIEZA FINAL]])</f>
        <v>0</v>
      </c>
      <c r="CN306" s="3">
        <f>+IF(AVANCE[[#This Row],[PUERTAS DORMITORIO]]=BA$2,100%,AVANCE[[#This Row],[PUERTAS DORMITORIO]])</f>
        <v>0</v>
      </c>
      <c r="CO306" s="3">
        <f>+IF(AVANCE[[#This Row],[REVESTIMIENTO INTERIOR BANO]]=BB$2,100%,AVANCE[[#This Row],[REVESTIMIENTO INTERIOR BANO]])</f>
        <v>0</v>
      </c>
      <c r="CP306" s="3">
        <f>+IF(AVANCE[[#This Row],[MUEBLE LAVAPLATOS]]=BC$2,100%,AVANCE[[#This Row],[MUEBLE LAVAPLATOS]])</f>
        <v>0</v>
      </c>
      <c r="CQ306" s="3">
        <f>+IF(AVANCE[[#This Row],[IMPERMEABILIZACION BANO - COCINA LOGIA]]=BD$2,100%,AVANCE[[#This Row],[IMPERMEABILIZACION BANO - COCINA LOGIA]])</f>
        <v>0</v>
      </c>
      <c r="CR306" s="40">
        <f ca="1">+IF(AVANCE[[#This Row],[ESTADO MODULO]]="PENDIENTE",(TODAY()-AVANCE[[#This Row],[FECHA TERMINO  PLANIFICADO]]),0)</f>
        <v>0</v>
      </c>
      <c r="CS306" s="42" t="str" cm="1">
        <f t="array" ref="CS306">_xlfn.TEXTJOIN(" | ",TRUE,IF(SUMPRODUCT((BF306:CQ306&lt;1)*(PARTIDAS!$I$2:$AT$2="OBRA GRUESA"))&gt;0,"OBRA GRUESA: "&amp;_xlfn.TEXTJOIN(", ",TRUE,IF((BF306:CQ306&lt;1)*(PARTIDAS!$I$2:$AT$2="OBRA GRUESA"),PARTIDAS!$I$1:$AT$1,"")),""),IF(SUMPRODUCT((BF306:CQ306&lt;1)*(PARTIDAS!$I$2:$AT$2="SANITARIOS"))&gt;0,"SANITARIOS: "&amp;_xlfn.TEXTJOIN(", ",TRUE,IF((BF306:CQ306&lt;1)*(PARTIDAS!$I$2:$AT$2="SANITARIOS"),PARTIDAS!$I$1:$AT$1,"")),""),IF(SUMPRODUCT((BF306:CQ306&lt;1)*(PARTIDAS!$I$2:$AT$2="ELÉCTRICO"))&gt;0,"ELÉCTRICO: "&amp;_xlfn.TEXTJOIN(", ",TRUE,IF((BF306:CQ306&lt;1)*(PARTIDAS!$I$2:$AT$2="ELÉCTRICO"),PARTIDAS!$I$1:$AT$1,"")),""),IF(SUMPRODUCT((BF306:CQ306&lt;1)*(PARTIDAS!$I$2:$AT$2="TERMINACIONES"))&gt;0,"TERMINACIONES: "&amp;_xlfn.TEXTJOIN(", ",TRUE,IF((BF306:CQ306&lt;1)*(PARTIDAS!$I$2:$AT$2="TERMINACIONES"),PARTIDAS!$I$1:$AT$1,"")),""))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6" s="45" t="str" cm="1">
        <f t="array" ref="CT306">_xlfn.TEXTJOIN(", ",TRUE,IF(SUMPRODUCT((BF306:CQ306&lt;1)*(PARTIDAS!$I$2:$AT$2="OBRA GRUESA"))&gt;0,"OBRA GRUESA",""),IF(SUMPRODUCT((BF306:CQ306&lt;1)*(PARTIDAS!$I$2:$AT$2="SANITARIOS"))&gt;0,"SANITARIOS",""),IF(SUMPRODUCT((BF306:CQ306&lt;1)*(PARTIDAS!$I$2:$AT$2="ELÉCTRICO"))&gt;0,"ELÉCTRICO",""),IF(SUMPRODUCT((BF306:CQ306&lt;1)*(PARTIDAS!$I$2:$AT$2="TERMINACIONES"))&gt;0,"TERMINACIONES",""))</f>
        <v>OBRA GRUESA, SANITARIOS, ELÉCTRICO, TERMINACIONES</v>
      </c>
      <c r="CU306" s="46" cm="1">
        <f t="array" ref="CU306">SUMPRODUCT(--(BF306:CQ306&lt;1))</f>
        <v>38</v>
      </c>
    </row>
    <row r="307" spans="1:99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46181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 s="3" t="str">
        <f>+IF(AVANCE[[#This Row],[% AVANCE]]=100%,"MODULO TERMINADO",IF(AVANCE[[#This Row],[FECHA INICIO REAL]]="","MODULO NO INICIADO","PENDIENTE"))</f>
        <v>MODULO NO INICIADO</v>
      </c>
      <c r="BF307" s="3">
        <f>+IF(AVANCE[[#This Row],[VENTANAS]]=8.10810810810811%,100%,AVANCE[[#This Row],[VENTANAS]])</f>
        <v>0</v>
      </c>
      <c r="BG307" s="3">
        <f>+IF(AVANCE[[#This Row],[PISO]]=N$2,100%,AVANCE[[#This Row],[PISO]])</f>
        <v>0</v>
      </c>
      <c r="BH307" s="3">
        <f>+IF(AVANCE[[#This Row],[TABIQUES]]=O$2,100%,AVANCE[[#This Row],[TABIQUES]])</f>
        <v>0</v>
      </c>
      <c r="BI307" s="3">
        <f>+IF(AVANCE[[#This Row],[MUROS]]=P$2,100%,AVANCE[[#This Row],[MUROS]])</f>
        <v>0</v>
      </c>
      <c r="BJ307" s="3">
        <f>+IF(AVANCE[[#This Row],[CIELO]]=Q$2,100%,AVANCE[[#This Row],[CIELO]])</f>
        <v>0</v>
      </c>
      <c r="BK307" s="3">
        <f>+IF(AVANCE[[#This Row],[BALCÓN]]=R$2,100%,AVANCE[[#This Row],[BALCÓN]])</f>
        <v>0</v>
      </c>
      <c r="BL307" s="3">
        <f>+IF(AVANCE[[#This Row],[RED ALCANTARILLADO]]=U$2,100%,AVANCE[[#This Row],[RED ALCANTARILLADO]])</f>
        <v>0</v>
      </c>
      <c r="BM307" s="3">
        <f>+IF(AVANCE[[#This Row],[RED DE AGUA]]=V$2,100%,AVANCE[[#This Row],[RED DE AGUA]])</f>
        <v>0</v>
      </c>
      <c r="BN307" s="3">
        <f>+IF(AVANCE[[#This Row],[VENTILACIONES]]=W$2,100%,AVANCE[[#This Row],[VENTILACIONES]])</f>
        <v>0</v>
      </c>
      <c r="BO307" s="3">
        <f>+IF(AVANCE[[#This Row],[TINA]]=X$2,100%,AVANCE[[#This Row],[TINA]])</f>
        <v>0</v>
      </c>
      <c r="BP307" s="3">
        <f>+IF(AVANCE[[#This Row],[WC]]=Y$2,100%,AVANCE[[#This Row],[WC]])</f>
        <v>0</v>
      </c>
      <c r="BQ307" s="3">
        <f>+IF(AVANCE[[#This Row],[LAVAMANOS / LAVAPLATOS / LAVADERO]]=Z$2,100%,AVANCE[[#This Row],[LAVAMANOS / LAVAPLATOS / LAVADERO]])</f>
        <v>0</v>
      </c>
      <c r="BR307" s="3">
        <f>+IF(AVANCE[[#This Row],[CANALIZACIÓN]]=AC$2,100%,AVANCE[[#This Row],[CANALIZACIÓN]])</f>
        <v>0</v>
      </c>
      <c r="BS307" s="3">
        <f>+IF(AVANCE[[#This Row],[CABLEADO]]=AD$2,100%,AVANCE[[#This Row],[CABLEADO]])</f>
        <v>0</v>
      </c>
      <c r="BT307" s="3">
        <f>+IF(AVANCE[[#This Row],[ARTEFACTOS]]=AE$2,100%,AVANCE[[#This Row],[ARTEFACTOS]])</f>
        <v>0</v>
      </c>
      <c r="BU307" s="3">
        <f>+IF(AVANCE[[#This Row],[TABLERO]]=AF$2,100%,AVANCE[[#This Row],[TABLERO]])</f>
        <v>0</v>
      </c>
      <c r="BV307" s="3">
        <f>+IF(AVANCE[[#This Row],[CAJA PAU]]=AG$2,100%,AVANCE[[#This Row],[CAJA PAU]])</f>
        <v>0</v>
      </c>
      <c r="BW307" s="3">
        <f>+IF(AVANCE[[#This Row],[INSTALACION VINILICO]]=AJ$2,100%,AVANCE[[#This Row],[INSTALACION VINILICO]])</f>
        <v>0</v>
      </c>
      <c r="BX307" s="3">
        <f>+IF(AVANCE[[#This Row],[OSB CUBIERTA]]=AK$2,100%,AVANCE[[#This Row],[OSB CUBIERTA]])</f>
        <v>0</v>
      </c>
      <c r="BY307" s="3">
        <f>+IF(AVANCE[[#This Row],[BARANDA BALCON]]=AL$2,100%,AVANCE[[#This Row],[BARANDA BALCON]])</f>
        <v>0</v>
      </c>
      <c r="BZ307" s="3">
        <f>+IF(AVANCE[[#This Row],[OSB EXTERIOR]]=AM$2,100%,AVANCE[[#This Row],[OSB EXTERIOR]])</f>
        <v>0</v>
      </c>
      <c r="CA307" s="3">
        <f>+IF(AVANCE[[#This Row],[SMART PANEL]]=AN$2,100%,AVANCE[[#This Row],[SMART PANEL]])</f>
        <v>0</v>
      </c>
      <c r="CB307" s="3">
        <f>+IF(AVANCE[[#This Row],[PINTURA EXTERIOR]]=AO$2,100%,AVANCE[[#This Row],[PINTURA EXTERIOR]])</f>
        <v>0</v>
      </c>
      <c r="CC307" s="3">
        <f>+IF(AVANCE[[#This Row],[ZOCALOS LOGIA]]=AP$2,100%,AVANCE[[#This Row],[ZOCALOS LOGIA]])</f>
        <v>0</v>
      </c>
      <c r="CD307" s="3">
        <f>+IF(AVANCE[[#This Row],[MOLDURAS]]=AQ$2,100%,AVANCE[[#This Row],[MOLDURAS]])</f>
        <v>0</v>
      </c>
      <c r="CE307" s="3">
        <f>+IF(AVANCE[[#This Row],[PILASTREO]]=AR$2,100%,AVANCE[[#This Row],[PILASTREO]])</f>
        <v>0</v>
      </c>
      <c r="CF307" s="3">
        <f>+IF(AVANCE[[#This Row],[CELOSIAS]]=AS$2,100%,AVANCE[[#This Row],[CELOSIAS]])</f>
        <v>0</v>
      </c>
      <c r="CG307" s="3">
        <f>+IF(AVANCE[[#This Row],[VENTANAS]]=AT$2,100%,AVANCE[[#This Row],[VENTANAS]])</f>
        <v>0</v>
      </c>
      <c r="CH307" s="3">
        <f>+IF(AVANCE[[#This Row],[PUERTAS ACCESO - LOGIA - BANO]]=AU$2,100%,AVANCE[[#This Row],[PUERTAS ACCESO - LOGIA - BANO]])</f>
        <v>0</v>
      </c>
      <c r="CI307" s="3">
        <f>+IF(AVANCE[[#This Row],[CERRADURAS]]=AV$2,100%,AVANCE[[#This Row],[CERRADURAS]])</f>
        <v>0</v>
      </c>
      <c r="CJ307" s="3">
        <f>+IF(AVANCE[[#This Row],[REVESTIMIENTO INTERIOR ZONA SECA]]=AW$2,100%,AVANCE[[#This Row],[REVESTIMIENTO INTERIOR ZONA SECA]])</f>
        <v>0</v>
      </c>
      <c r="CK307" s="3">
        <f>+IF(AVANCE[[#This Row],[REVESTIMIENTO INTERIOR ZONAS HUMEDAS]]=AX$2,100%,AVANCE[[#This Row],[REVESTIMIENTO INTERIOR ZONAS HUMEDAS]])</f>
        <v>0</v>
      </c>
      <c r="CL307" s="3">
        <f>+IF(AVANCE[[#This Row],[MEMBRANA CIELO]]=AY$2,100%,AVANCE[[#This Row],[MEMBRANA CIELO]])</f>
        <v>0</v>
      </c>
      <c r="CM307" s="3">
        <f>+IF(AVANCE[[#This Row],[LIMPIEZA FINAL]]=AZ$2,100%,AVANCE[[#This Row],[LIMPIEZA FINAL]])</f>
        <v>0</v>
      </c>
      <c r="CN307" s="3">
        <f>+IF(AVANCE[[#This Row],[PUERTAS DORMITORIO]]=BA$2,100%,AVANCE[[#This Row],[PUERTAS DORMITORIO]])</f>
        <v>0</v>
      </c>
      <c r="CO307" s="3">
        <f>+IF(AVANCE[[#This Row],[REVESTIMIENTO INTERIOR BANO]]=BB$2,100%,AVANCE[[#This Row],[REVESTIMIENTO INTERIOR BANO]])</f>
        <v>0</v>
      </c>
      <c r="CP307" s="3">
        <f>+IF(AVANCE[[#This Row],[MUEBLE LAVAPLATOS]]=BC$2,100%,AVANCE[[#This Row],[MUEBLE LAVAPLATOS]])</f>
        <v>0</v>
      </c>
      <c r="CQ307" s="3">
        <f>+IF(AVANCE[[#This Row],[IMPERMEABILIZACION BANO - COCINA LOGIA]]=BD$2,100%,AVANCE[[#This Row],[IMPERMEABILIZACION BANO - COCINA LOGIA]])</f>
        <v>0</v>
      </c>
      <c r="CR307" s="40">
        <f ca="1">+IF(AVANCE[[#This Row],[ESTADO MODULO]]="PENDIENTE",(TODAY()-AVANCE[[#This Row],[FECHA TERMINO  PLANIFICADO]]),0)</f>
        <v>0</v>
      </c>
      <c r="CS307" s="42" t="str" cm="1">
        <f t="array" ref="CS307">_xlfn.TEXTJOIN(" | ",TRUE,IF(SUMPRODUCT((BF307:CQ307&lt;1)*(PARTIDAS!$I$2:$AT$2="OBRA GRUESA"))&gt;0,"OBRA GRUESA: "&amp;_xlfn.TEXTJOIN(", ",TRUE,IF((BF307:CQ307&lt;1)*(PARTIDAS!$I$2:$AT$2="OBRA GRUESA"),PARTIDAS!$I$1:$AT$1,"")),""),IF(SUMPRODUCT((BF307:CQ307&lt;1)*(PARTIDAS!$I$2:$AT$2="SANITARIOS"))&gt;0,"SANITARIOS: "&amp;_xlfn.TEXTJOIN(", ",TRUE,IF((BF307:CQ307&lt;1)*(PARTIDAS!$I$2:$AT$2="SANITARIOS"),PARTIDAS!$I$1:$AT$1,"")),""),IF(SUMPRODUCT((BF307:CQ307&lt;1)*(PARTIDAS!$I$2:$AT$2="ELÉCTRICO"))&gt;0,"ELÉCTRICO: "&amp;_xlfn.TEXTJOIN(", ",TRUE,IF((BF307:CQ307&lt;1)*(PARTIDAS!$I$2:$AT$2="ELÉCTRICO"),PARTIDAS!$I$1:$AT$1,"")),""),IF(SUMPRODUCT((BF307:CQ307&lt;1)*(PARTIDAS!$I$2:$AT$2="TERMINACIONES"))&gt;0,"TERMINACIONES: "&amp;_xlfn.TEXTJOIN(", ",TRUE,IF((BF307:CQ307&lt;1)*(PARTIDAS!$I$2:$AT$2="TERMINACIONES"),PARTIDAS!$I$1:$AT$1,"")),""))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7" s="45" t="str" cm="1">
        <f t="array" ref="CT307">_xlfn.TEXTJOIN(", ",TRUE,IF(SUMPRODUCT((BF307:CQ307&lt;1)*(PARTIDAS!$I$2:$AT$2="OBRA GRUESA"))&gt;0,"OBRA GRUESA",""),IF(SUMPRODUCT((BF307:CQ307&lt;1)*(PARTIDAS!$I$2:$AT$2="SANITARIOS"))&gt;0,"SANITARIOS",""),IF(SUMPRODUCT((BF307:CQ307&lt;1)*(PARTIDAS!$I$2:$AT$2="ELÉCTRICO"))&gt;0,"ELÉCTRICO",""),IF(SUMPRODUCT((BF307:CQ307&lt;1)*(PARTIDAS!$I$2:$AT$2="TERMINACIONES"))&gt;0,"TERMINACIONES",""))</f>
        <v>OBRA GRUESA, SANITARIOS, ELÉCTRICO, TERMINACIONES</v>
      </c>
      <c r="CU307" s="46" cm="1">
        <f t="array" ref="CU307">SUMPRODUCT(--(BF307:CQ307&lt;1))</f>
        <v>38</v>
      </c>
    </row>
    <row r="308" spans="1:99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46181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 s="3" t="str">
        <f>+IF(AVANCE[[#This Row],[% AVANCE]]=100%,"MODULO TERMINADO",IF(AVANCE[[#This Row],[FECHA INICIO REAL]]="","MODULO NO INICIADO","PENDIENTE"))</f>
        <v>MODULO NO INICIADO</v>
      </c>
      <c r="BF308" s="3">
        <f>+IF(AVANCE[[#This Row],[VENTANAS]]=8.10810810810811%,100%,AVANCE[[#This Row],[VENTANAS]])</f>
        <v>0</v>
      </c>
      <c r="BG308" s="3">
        <f>+IF(AVANCE[[#This Row],[PISO]]=N$2,100%,AVANCE[[#This Row],[PISO]])</f>
        <v>0</v>
      </c>
      <c r="BH308" s="3">
        <f>+IF(AVANCE[[#This Row],[TABIQUES]]=O$2,100%,AVANCE[[#This Row],[TABIQUES]])</f>
        <v>0</v>
      </c>
      <c r="BI308" s="3">
        <f>+IF(AVANCE[[#This Row],[MUROS]]=P$2,100%,AVANCE[[#This Row],[MUROS]])</f>
        <v>0</v>
      </c>
      <c r="BJ308" s="3">
        <f>+IF(AVANCE[[#This Row],[CIELO]]=Q$2,100%,AVANCE[[#This Row],[CIELO]])</f>
        <v>0</v>
      </c>
      <c r="BK308" s="3">
        <f>+IF(AVANCE[[#This Row],[BALCÓN]]=R$2,100%,AVANCE[[#This Row],[BALCÓN]])</f>
        <v>0</v>
      </c>
      <c r="BL308" s="3">
        <f>+IF(AVANCE[[#This Row],[RED ALCANTARILLADO]]=U$2,100%,AVANCE[[#This Row],[RED ALCANTARILLADO]])</f>
        <v>0</v>
      </c>
      <c r="BM308" s="3">
        <f>+IF(AVANCE[[#This Row],[RED DE AGUA]]=V$2,100%,AVANCE[[#This Row],[RED DE AGUA]])</f>
        <v>0</v>
      </c>
      <c r="BN308" s="3">
        <f>+IF(AVANCE[[#This Row],[VENTILACIONES]]=W$2,100%,AVANCE[[#This Row],[VENTILACIONES]])</f>
        <v>0</v>
      </c>
      <c r="BO308" s="3">
        <f>+IF(AVANCE[[#This Row],[TINA]]=X$2,100%,AVANCE[[#This Row],[TINA]])</f>
        <v>0</v>
      </c>
      <c r="BP308" s="3">
        <f>+IF(AVANCE[[#This Row],[WC]]=Y$2,100%,AVANCE[[#This Row],[WC]])</f>
        <v>0</v>
      </c>
      <c r="BQ308" s="3">
        <f>+IF(AVANCE[[#This Row],[LAVAMANOS / LAVAPLATOS / LAVADERO]]=Z$2,100%,AVANCE[[#This Row],[LAVAMANOS / LAVAPLATOS / LAVADERO]])</f>
        <v>0</v>
      </c>
      <c r="BR308" s="3">
        <f>+IF(AVANCE[[#This Row],[CANALIZACIÓN]]=AC$2,100%,AVANCE[[#This Row],[CANALIZACIÓN]])</f>
        <v>0</v>
      </c>
      <c r="BS308" s="3">
        <f>+IF(AVANCE[[#This Row],[CABLEADO]]=AD$2,100%,AVANCE[[#This Row],[CABLEADO]])</f>
        <v>0</v>
      </c>
      <c r="BT308" s="3">
        <f>+IF(AVANCE[[#This Row],[ARTEFACTOS]]=AE$2,100%,AVANCE[[#This Row],[ARTEFACTOS]])</f>
        <v>0</v>
      </c>
      <c r="BU308" s="3">
        <f>+IF(AVANCE[[#This Row],[TABLERO]]=AF$2,100%,AVANCE[[#This Row],[TABLERO]])</f>
        <v>0</v>
      </c>
      <c r="BV308" s="3">
        <f>+IF(AVANCE[[#This Row],[CAJA PAU]]=AG$2,100%,AVANCE[[#This Row],[CAJA PAU]])</f>
        <v>0</v>
      </c>
      <c r="BW308" s="3">
        <f>+IF(AVANCE[[#This Row],[INSTALACION VINILICO]]=AJ$2,100%,AVANCE[[#This Row],[INSTALACION VINILICO]])</f>
        <v>0</v>
      </c>
      <c r="BX308" s="3">
        <f>+IF(AVANCE[[#This Row],[OSB CUBIERTA]]=AK$2,100%,AVANCE[[#This Row],[OSB CUBIERTA]])</f>
        <v>0</v>
      </c>
      <c r="BY308" s="3">
        <f>+IF(AVANCE[[#This Row],[BARANDA BALCON]]=AL$2,100%,AVANCE[[#This Row],[BARANDA BALCON]])</f>
        <v>0</v>
      </c>
      <c r="BZ308" s="3">
        <f>+IF(AVANCE[[#This Row],[OSB EXTERIOR]]=AM$2,100%,AVANCE[[#This Row],[OSB EXTERIOR]])</f>
        <v>0</v>
      </c>
      <c r="CA308" s="3">
        <f>+IF(AVANCE[[#This Row],[SMART PANEL]]=AN$2,100%,AVANCE[[#This Row],[SMART PANEL]])</f>
        <v>0</v>
      </c>
      <c r="CB308" s="3">
        <f>+IF(AVANCE[[#This Row],[PINTURA EXTERIOR]]=AO$2,100%,AVANCE[[#This Row],[PINTURA EXTERIOR]])</f>
        <v>0</v>
      </c>
      <c r="CC308" s="3">
        <f>+IF(AVANCE[[#This Row],[ZOCALOS LOGIA]]=AP$2,100%,AVANCE[[#This Row],[ZOCALOS LOGIA]])</f>
        <v>0</v>
      </c>
      <c r="CD308" s="3">
        <f>+IF(AVANCE[[#This Row],[MOLDURAS]]=AQ$2,100%,AVANCE[[#This Row],[MOLDURAS]])</f>
        <v>0</v>
      </c>
      <c r="CE308" s="3">
        <f>+IF(AVANCE[[#This Row],[PILASTREO]]=AR$2,100%,AVANCE[[#This Row],[PILASTREO]])</f>
        <v>0</v>
      </c>
      <c r="CF308" s="3">
        <f>+IF(AVANCE[[#This Row],[CELOSIAS]]=AS$2,100%,AVANCE[[#This Row],[CELOSIAS]])</f>
        <v>0</v>
      </c>
      <c r="CG308" s="3">
        <f>+IF(AVANCE[[#This Row],[VENTANAS]]=AT$2,100%,AVANCE[[#This Row],[VENTANAS]])</f>
        <v>0</v>
      </c>
      <c r="CH308" s="3">
        <f>+IF(AVANCE[[#This Row],[PUERTAS ACCESO - LOGIA - BANO]]=AU$2,100%,AVANCE[[#This Row],[PUERTAS ACCESO - LOGIA - BANO]])</f>
        <v>0</v>
      </c>
      <c r="CI308" s="3">
        <f>+IF(AVANCE[[#This Row],[CERRADURAS]]=AV$2,100%,AVANCE[[#This Row],[CERRADURAS]])</f>
        <v>0</v>
      </c>
      <c r="CJ308" s="3">
        <f>+IF(AVANCE[[#This Row],[REVESTIMIENTO INTERIOR ZONA SECA]]=AW$2,100%,AVANCE[[#This Row],[REVESTIMIENTO INTERIOR ZONA SECA]])</f>
        <v>0</v>
      </c>
      <c r="CK308" s="3">
        <f>+IF(AVANCE[[#This Row],[REVESTIMIENTO INTERIOR ZONAS HUMEDAS]]=AX$2,100%,AVANCE[[#This Row],[REVESTIMIENTO INTERIOR ZONAS HUMEDAS]])</f>
        <v>0</v>
      </c>
      <c r="CL308" s="3">
        <f>+IF(AVANCE[[#This Row],[MEMBRANA CIELO]]=AY$2,100%,AVANCE[[#This Row],[MEMBRANA CIELO]])</f>
        <v>0</v>
      </c>
      <c r="CM308" s="3">
        <f>+IF(AVANCE[[#This Row],[LIMPIEZA FINAL]]=AZ$2,100%,AVANCE[[#This Row],[LIMPIEZA FINAL]])</f>
        <v>0</v>
      </c>
      <c r="CN308" s="3">
        <f>+IF(AVANCE[[#This Row],[PUERTAS DORMITORIO]]=BA$2,100%,AVANCE[[#This Row],[PUERTAS DORMITORIO]])</f>
        <v>0</v>
      </c>
      <c r="CO308" s="3">
        <f>+IF(AVANCE[[#This Row],[REVESTIMIENTO INTERIOR BANO]]=BB$2,100%,AVANCE[[#This Row],[REVESTIMIENTO INTERIOR BANO]])</f>
        <v>0</v>
      </c>
      <c r="CP308" s="3">
        <f>+IF(AVANCE[[#This Row],[MUEBLE LAVAPLATOS]]=BC$2,100%,AVANCE[[#This Row],[MUEBLE LAVAPLATOS]])</f>
        <v>0</v>
      </c>
      <c r="CQ308" s="3">
        <f>+IF(AVANCE[[#This Row],[IMPERMEABILIZACION BANO - COCINA LOGIA]]=BD$2,100%,AVANCE[[#This Row],[IMPERMEABILIZACION BANO - COCINA LOGIA]])</f>
        <v>0</v>
      </c>
      <c r="CR308" s="40">
        <f ca="1">+IF(AVANCE[[#This Row],[ESTADO MODULO]]="PENDIENTE",(TODAY()-AVANCE[[#This Row],[FECHA TERMINO  PLANIFICADO]]),0)</f>
        <v>0</v>
      </c>
      <c r="CS308" s="42" t="str" cm="1">
        <f t="array" ref="CS308">_xlfn.TEXTJOIN(" | ",TRUE,IF(SUMPRODUCT((BF308:CQ308&lt;1)*(PARTIDAS!$I$2:$AT$2="OBRA GRUESA"))&gt;0,"OBRA GRUESA: "&amp;_xlfn.TEXTJOIN(", ",TRUE,IF((BF308:CQ308&lt;1)*(PARTIDAS!$I$2:$AT$2="OBRA GRUESA"),PARTIDAS!$I$1:$AT$1,"")),""),IF(SUMPRODUCT((BF308:CQ308&lt;1)*(PARTIDAS!$I$2:$AT$2="SANITARIOS"))&gt;0,"SANITARIOS: "&amp;_xlfn.TEXTJOIN(", ",TRUE,IF((BF308:CQ308&lt;1)*(PARTIDAS!$I$2:$AT$2="SANITARIOS"),PARTIDAS!$I$1:$AT$1,"")),""),IF(SUMPRODUCT((BF308:CQ308&lt;1)*(PARTIDAS!$I$2:$AT$2="ELÉCTRICO"))&gt;0,"ELÉCTRICO: "&amp;_xlfn.TEXTJOIN(", ",TRUE,IF((BF308:CQ308&lt;1)*(PARTIDAS!$I$2:$AT$2="ELÉCTRICO"),PARTIDAS!$I$1:$AT$1,"")),""),IF(SUMPRODUCT((BF308:CQ308&lt;1)*(PARTIDAS!$I$2:$AT$2="TERMINACIONES"))&gt;0,"TERMINACIONES: "&amp;_xlfn.TEXTJOIN(", ",TRUE,IF((BF308:CQ308&lt;1)*(PARTIDAS!$I$2:$AT$2="TERMINACIONES"),PARTIDAS!$I$1:$AT$1,"")),""))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8" s="45" t="str" cm="1">
        <f t="array" ref="CT308">_xlfn.TEXTJOIN(", ",TRUE,IF(SUMPRODUCT((BF308:CQ308&lt;1)*(PARTIDAS!$I$2:$AT$2="OBRA GRUESA"))&gt;0,"OBRA GRUESA",""),IF(SUMPRODUCT((BF308:CQ308&lt;1)*(PARTIDAS!$I$2:$AT$2="SANITARIOS"))&gt;0,"SANITARIOS",""),IF(SUMPRODUCT((BF308:CQ308&lt;1)*(PARTIDAS!$I$2:$AT$2="ELÉCTRICO"))&gt;0,"ELÉCTRICO",""),IF(SUMPRODUCT((BF308:CQ308&lt;1)*(PARTIDAS!$I$2:$AT$2="TERMINACIONES"))&gt;0,"TERMINACIONES",""))</f>
        <v>OBRA GRUESA, SANITARIOS, ELÉCTRICO, TERMINACIONES</v>
      </c>
      <c r="CU308" s="46" cm="1">
        <f t="array" ref="CU308">SUMPRODUCT(--(BF308:CQ308&lt;1))</f>
        <v>38</v>
      </c>
    </row>
    <row r="309" spans="1:99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46181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 s="3" t="str">
        <f>+IF(AVANCE[[#This Row],[% AVANCE]]=100%,"MODULO TERMINADO",IF(AVANCE[[#This Row],[FECHA INICIO REAL]]="","MODULO NO INICIADO","PENDIENTE"))</f>
        <v>MODULO NO INICIADO</v>
      </c>
      <c r="BF309" s="3">
        <f>+IF(AVANCE[[#This Row],[VENTANAS]]=8.10810810810811%,100%,AVANCE[[#This Row],[VENTANAS]])</f>
        <v>0</v>
      </c>
      <c r="BG309" s="3">
        <f>+IF(AVANCE[[#This Row],[PISO]]=N$2,100%,AVANCE[[#This Row],[PISO]])</f>
        <v>0</v>
      </c>
      <c r="BH309" s="3">
        <f>+IF(AVANCE[[#This Row],[TABIQUES]]=O$2,100%,AVANCE[[#This Row],[TABIQUES]])</f>
        <v>0</v>
      </c>
      <c r="BI309" s="3">
        <f>+IF(AVANCE[[#This Row],[MUROS]]=P$2,100%,AVANCE[[#This Row],[MUROS]])</f>
        <v>0</v>
      </c>
      <c r="BJ309" s="3">
        <f>+IF(AVANCE[[#This Row],[CIELO]]=Q$2,100%,AVANCE[[#This Row],[CIELO]])</f>
        <v>0</v>
      </c>
      <c r="BK309" s="3">
        <f>+IF(AVANCE[[#This Row],[BALCÓN]]=R$2,100%,AVANCE[[#This Row],[BALCÓN]])</f>
        <v>0</v>
      </c>
      <c r="BL309" s="3">
        <f>+IF(AVANCE[[#This Row],[RED ALCANTARILLADO]]=U$2,100%,AVANCE[[#This Row],[RED ALCANTARILLADO]])</f>
        <v>0</v>
      </c>
      <c r="BM309" s="3">
        <f>+IF(AVANCE[[#This Row],[RED DE AGUA]]=V$2,100%,AVANCE[[#This Row],[RED DE AGUA]])</f>
        <v>0</v>
      </c>
      <c r="BN309" s="3">
        <f>+IF(AVANCE[[#This Row],[VENTILACIONES]]=W$2,100%,AVANCE[[#This Row],[VENTILACIONES]])</f>
        <v>0</v>
      </c>
      <c r="BO309" s="3">
        <f>+IF(AVANCE[[#This Row],[TINA]]=X$2,100%,AVANCE[[#This Row],[TINA]])</f>
        <v>0</v>
      </c>
      <c r="BP309" s="3">
        <f>+IF(AVANCE[[#This Row],[WC]]=Y$2,100%,AVANCE[[#This Row],[WC]])</f>
        <v>0</v>
      </c>
      <c r="BQ309" s="3">
        <f>+IF(AVANCE[[#This Row],[LAVAMANOS / LAVAPLATOS / LAVADERO]]=Z$2,100%,AVANCE[[#This Row],[LAVAMANOS / LAVAPLATOS / LAVADERO]])</f>
        <v>0</v>
      </c>
      <c r="BR309" s="3">
        <f>+IF(AVANCE[[#This Row],[CANALIZACIÓN]]=AC$2,100%,AVANCE[[#This Row],[CANALIZACIÓN]])</f>
        <v>0</v>
      </c>
      <c r="BS309" s="3">
        <f>+IF(AVANCE[[#This Row],[CABLEADO]]=AD$2,100%,AVANCE[[#This Row],[CABLEADO]])</f>
        <v>0</v>
      </c>
      <c r="BT309" s="3">
        <f>+IF(AVANCE[[#This Row],[ARTEFACTOS]]=AE$2,100%,AVANCE[[#This Row],[ARTEFACTOS]])</f>
        <v>0</v>
      </c>
      <c r="BU309" s="3">
        <f>+IF(AVANCE[[#This Row],[TABLERO]]=AF$2,100%,AVANCE[[#This Row],[TABLERO]])</f>
        <v>0</v>
      </c>
      <c r="BV309" s="3">
        <f>+IF(AVANCE[[#This Row],[CAJA PAU]]=AG$2,100%,AVANCE[[#This Row],[CAJA PAU]])</f>
        <v>0</v>
      </c>
      <c r="BW309" s="3">
        <f>+IF(AVANCE[[#This Row],[INSTALACION VINILICO]]=AJ$2,100%,AVANCE[[#This Row],[INSTALACION VINILICO]])</f>
        <v>0</v>
      </c>
      <c r="BX309" s="3">
        <f>+IF(AVANCE[[#This Row],[OSB CUBIERTA]]=AK$2,100%,AVANCE[[#This Row],[OSB CUBIERTA]])</f>
        <v>0</v>
      </c>
      <c r="BY309" s="3">
        <f>+IF(AVANCE[[#This Row],[BARANDA BALCON]]=AL$2,100%,AVANCE[[#This Row],[BARANDA BALCON]])</f>
        <v>0</v>
      </c>
      <c r="BZ309" s="3">
        <f>+IF(AVANCE[[#This Row],[OSB EXTERIOR]]=AM$2,100%,AVANCE[[#This Row],[OSB EXTERIOR]])</f>
        <v>0</v>
      </c>
      <c r="CA309" s="3">
        <f>+IF(AVANCE[[#This Row],[SMART PANEL]]=AN$2,100%,AVANCE[[#This Row],[SMART PANEL]])</f>
        <v>0</v>
      </c>
      <c r="CB309" s="3">
        <f>+IF(AVANCE[[#This Row],[PINTURA EXTERIOR]]=AO$2,100%,AVANCE[[#This Row],[PINTURA EXTERIOR]])</f>
        <v>0</v>
      </c>
      <c r="CC309" s="3">
        <f>+IF(AVANCE[[#This Row],[ZOCALOS LOGIA]]=AP$2,100%,AVANCE[[#This Row],[ZOCALOS LOGIA]])</f>
        <v>0</v>
      </c>
      <c r="CD309" s="3">
        <f>+IF(AVANCE[[#This Row],[MOLDURAS]]=AQ$2,100%,AVANCE[[#This Row],[MOLDURAS]])</f>
        <v>0</v>
      </c>
      <c r="CE309" s="3">
        <f>+IF(AVANCE[[#This Row],[PILASTREO]]=AR$2,100%,AVANCE[[#This Row],[PILASTREO]])</f>
        <v>0</v>
      </c>
      <c r="CF309" s="3">
        <f>+IF(AVANCE[[#This Row],[CELOSIAS]]=AS$2,100%,AVANCE[[#This Row],[CELOSIAS]])</f>
        <v>0</v>
      </c>
      <c r="CG309" s="3">
        <f>+IF(AVANCE[[#This Row],[VENTANAS]]=AT$2,100%,AVANCE[[#This Row],[VENTANAS]])</f>
        <v>0</v>
      </c>
      <c r="CH309" s="3">
        <f>+IF(AVANCE[[#This Row],[PUERTAS ACCESO - LOGIA - BANO]]=AU$2,100%,AVANCE[[#This Row],[PUERTAS ACCESO - LOGIA - BANO]])</f>
        <v>0</v>
      </c>
      <c r="CI309" s="3">
        <f>+IF(AVANCE[[#This Row],[CERRADURAS]]=AV$2,100%,AVANCE[[#This Row],[CERRADURAS]])</f>
        <v>0</v>
      </c>
      <c r="CJ309" s="3">
        <f>+IF(AVANCE[[#This Row],[REVESTIMIENTO INTERIOR ZONA SECA]]=AW$2,100%,AVANCE[[#This Row],[REVESTIMIENTO INTERIOR ZONA SECA]])</f>
        <v>0</v>
      </c>
      <c r="CK309" s="3">
        <f>+IF(AVANCE[[#This Row],[REVESTIMIENTO INTERIOR ZONAS HUMEDAS]]=AX$2,100%,AVANCE[[#This Row],[REVESTIMIENTO INTERIOR ZONAS HUMEDAS]])</f>
        <v>0</v>
      </c>
      <c r="CL309" s="3">
        <f>+IF(AVANCE[[#This Row],[MEMBRANA CIELO]]=AY$2,100%,AVANCE[[#This Row],[MEMBRANA CIELO]])</f>
        <v>0</v>
      </c>
      <c r="CM309" s="3">
        <f>+IF(AVANCE[[#This Row],[LIMPIEZA FINAL]]=AZ$2,100%,AVANCE[[#This Row],[LIMPIEZA FINAL]])</f>
        <v>0</v>
      </c>
      <c r="CN309" s="3">
        <f>+IF(AVANCE[[#This Row],[PUERTAS DORMITORIO]]=BA$2,100%,AVANCE[[#This Row],[PUERTAS DORMITORIO]])</f>
        <v>0</v>
      </c>
      <c r="CO309" s="3">
        <f>+IF(AVANCE[[#This Row],[REVESTIMIENTO INTERIOR BANO]]=BB$2,100%,AVANCE[[#This Row],[REVESTIMIENTO INTERIOR BANO]])</f>
        <v>0</v>
      </c>
      <c r="CP309" s="3">
        <f>+IF(AVANCE[[#This Row],[MUEBLE LAVAPLATOS]]=BC$2,100%,AVANCE[[#This Row],[MUEBLE LAVAPLATOS]])</f>
        <v>0</v>
      </c>
      <c r="CQ309" s="3">
        <f>+IF(AVANCE[[#This Row],[IMPERMEABILIZACION BANO - COCINA LOGIA]]=BD$2,100%,AVANCE[[#This Row],[IMPERMEABILIZACION BANO - COCINA LOGIA]])</f>
        <v>0</v>
      </c>
      <c r="CR309" s="40">
        <f ca="1">+IF(AVANCE[[#This Row],[ESTADO MODULO]]="PENDIENTE",(TODAY()-AVANCE[[#This Row],[FECHA TERMINO  PLANIFICADO]]),0)</f>
        <v>0</v>
      </c>
      <c r="CS309" s="42" t="str" cm="1">
        <f t="array" ref="CS309">_xlfn.TEXTJOIN(" | ",TRUE,IF(SUMPRODUCT((BF309:CQ309&lt;1)*(PARTIDAS!$I$2:$AT$2="OBRA GRUESA"))&gt;0,"OBRA GRUESA: "&amp;_xlfn.TEXTJOIN(", ",TRUE,IF((BF309:CQ309&lt;1)*(PARTIDAS!$I$2:$AT$2="OBRA GRUESA"),PARTIDAS!$I$1:$AT$1,"")),""),IF(SUMPRODUCT((BF309:CQ309&lt;1)*(PARTIDAS!$I$2:$AT$2="SANITARIOS"))&gt;0,"SANITARIOS: "&amp;_xlfn.TEXTJOIN(", ",TRUE,IF((BF309:CQ309&lt;1)*(PARTIDAS!$I$2:$AT$2="SANITARIOS"),PARTIDAS!$I$1:$AT$1,"")),""),IF(SUMPRODUCT((BF309:CQ309&lt;1)*(PARTIDAS!$I$2:$AT$2="ELÉCTRICO"))&gt;0,"ELÉCTRICO: "&amp;_xlfn.TEXTJOIN(", ",TRUE,IF((BF309:CQ309&lt;1)*(PARTIDAS!$I$2:$AT$2="ELÉCTRICO"),PARTIDAS!$I$1:$AT$1,"")),""),IF(SUMPRODUCT((BF309:CQ309&lt;1)*(PARTIDAS!$I$2:$AT$2="TERMINACIONES"))&gt;0,"TERMINACIONES: "&amp;_xlfn.TEXTJOIN(", ",TRUE,IF((BF309:CQ309&lt;1)*(PARTIDAS!$I$2:$AT$2="TERMINACIONES"),PARTIDAS!$I$1:$AT$1,"")),""))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09" s="45" t="str" cm="1">
        <f t="array" ref="CT309">_xlfn.TEXTJOIN(", ",TRUE,IF(SUMPRODUCT((BF309:CQ309&lt;1)*(PARTIDAS!$I$2:$AT$2="OBRA GRUESA"))&gt;0,"OBRA GRUESA",""),IF(SUMPRODUCT((BF309:CQ309&lt;1)*(PARTIDAS!$I$2:$AT$2="SANITARIOS"))&gt;0,"SANITARIOS",""),IF(SUMPRODUCT((BF309:CQ309&lt;1)*(PARTIDAS!$I$2:$AT$2="ELÉCTRICO"))&gt;0,"ELÉCTRICO",""),IF(SUMPRODUCT((BF309:CQ309&lt;1)*(PARTIDAS!$I$2:$AT$2="TERMINACIONES"))&gt;0,"TERMINACIONES",""))</f>
        <v>OBRA GRUESA, SANITARIOS, ELÉCTRICO, TERMINACIONES</v>
      </c>
      <c r="CU309" s="46" cm="1">
        <f t="array" ref="CU309">SUMPRODUCT(--(BF309:CQ309&lt;1))</f>
        <v>38</v>
      </c>
    </row>
    <row r="310" spans="1:99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46181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 s="3" t="str">
        <f>+IF(AVANCE[[#This Row],[% AVANCE]]=100%,"MODULO TERMINADO",IF(AVANCE[[#This Row],[FECHA INICIO REAL]]="","MODULO NO INICIADO","PENDIENTE"))</f>
        <v>MODULO NO INICIADO</v>
      </c>
      <c r="BF310" s="3">
        <f>+IF(AVANCE[[#This Row],[VENTANAS]]=8.10810810810811%,100%,AVANCE[[#This Row],[VENTANAS]])</f>
        <v>0</v>
      </c>
      <c r="BG310" s="3">
        <f>+IF(AVANCE[[#This Row],[PISO]]=N$2,100%,AVANCE[[#This Row],[PISO]])</f>
        <v>0</v>
      </c>
      <c r="BH310" s="3">
        <f>+IF(AVANCE[[#This Row],[TABIQUES]]=O$2,100%,AVANCE[[#This Row],[TABIQUES]])</f>
        <v>0</v>
      </c>
      <c r="BI310" s="3">
        <f>+IF(AVANCE[[#This Row],[MUROS]]=P$2,100%,AVANCE[[#This Row],[MUROS]])</f>
        <v>0</v>
      </c>
      <c r="BJ310" s="3">
        <f>+IF(AVANCE[[#This Row],[CIELO]]=Q$2,100%,AVANCE[[#This Row],[CIELO]])</f>
        <v>0</v>
      </c>
      <c r="BK310" s="3">
        <f>+IF(AVANCE[[#This Row],[BALCÓN]]=R$2,100%,AVANCE[[#This Row],[BALCÓN]])</f>
        <v>0</v>
      </c>
      <c r="BL310" s="3">
        <f>+IF(AVANCE[[#This Row],[RED ALCANTARILLADO]]=U$2,100%,AVANCE[[#This Row],[RED ALCANTARILLADO]])</f>
        <v>0</v>
      </c>
      <c r="BM310" s="3">
        <f>+IF(AVANCE[[#This Row],[RED DE AGUA]]=V$2,100%,AVANCE[[#This Row],[RED DE AGUA]])</f>
        <v>0</v>
      </c>
      <c r="BN310" s="3">
        <f>+IF(AVANCE[[#This Row],[VENTILACIONES]]=W$2,100%,AVANCE[[#This Row],[VENTILACIONES]])</f>
        <v>0</v>
      </c>
      <c r="BO310" s="3">
        <f>+IF(AVANCE[[#This Row],[TINA]]=X$2,100%,AVANCE[[#This Row],[TINA]])</f>
        <v>0</v>
      </c>
      <c r="BP310" s="3">
        <f>+IF(AVANCE[[#This Row],[WC]]=Y$2,100%,AVANCE[[#This Row],[WC]])</f>
        <v>0</v>
      </c>
      <c r="BQ310" s="3">
        <f>+IF(AVANCE[[#This Row],[LAVAMANOS / LAVAPLATOS / LAVADERO]]=Z$2,100%,AVANCE[[#This Row],[LAVAMANOS / LAVAPLATOS / LAVADERO]])</f>
        <v>0</v>
      </c>
      <c r="BR310" s="3">
        <f>+IF(AVANCE[[#This Row],[CANALIZACIÓN]]=AC$2,100%,AVANCE[[#This Row],[CANALIZACIÓN]])</f>
        <v>0</v>
      </c>
      <c r="BS310" s="3">
        <f>+IF(AVANCE[[#This Row],[CABLEADO]]=AD$2,100%,AVANCE[[#This Row],[CABLEADO]])</f>
        <v>0</v>
      </c>
      <c r="BT310" s="3">
        <f>+IF(AVANCE[[#This Row],[ARTEFACTOS]]=AE$2,100%,AVANCE[[#This Row],[ARTEFACTOS]])</f>
        <v>0</v>
      </c>
      <c r="BU310" s="3">
        <f>+IF(AVANCE[[#This Row],[TABLERO]]=AF$2,100%,AVANCE[[#This Row],[TABLERO]])</f>
        <v>0</v>
      </c>
      <c r="BV310" s="3">
        <f>+IF(AVANCE[[#This Row],[CAJA PAU]]=AG$2,100%,AVANCE[[#This Row],[CAJA PAU]])</f>
        <v>0</v>
      </c>
      <c r="BW310" s="3">
        <f>+IF(AVANCE[[#This Row],[INSTALACION VINILICO]]=AJ$2,100%,AVANCE[[#This Row],[INSTALACION VINILICO]])</f>
        <v>0</v>
      </c>
      <c r="BX310" s="3">
        <f>+IF(AVANCE[[#This Row],[OSB CUBIERTA]]=AK$2,100%,AVANCE[[#This Row],[OSB CUBIERTA]])</f>
        <v>0</v>
      </c>
      <c r="BY310" s="3">
        <f>+IF(AVANCE[[#This Row],[BARANDA BALCON]]=AL$2,100%,AVANCE[[#This Row],[BARANDA BALCON]])</f>
        <v>0</v>
      </c>
      <c r="BZ310" s="3">
        <f>+IF(AVANCE[[#This Row],[OSB EXTERIOR]]=AM$2,100%,AVANCE[[#This Row],[OSB EXTERIOR]])</f>
        <v>0</v>
      </c>
      <c r="CA310" s="3">
        <f>+IF(AVANCE[[#This Row],[SMART PANEL]]=AN$2,100%,AVANCE[[#This Row],[SMART PANEL]])</f>
        <v>0</v>
      </c>
      <c r="CB310" s="3">
        <f>+IF(AVANCE[[#This Row],[PINTURA EXTERIOR]]=AO$2,100%,AVANCE[[#This Row],[PINTURA EXTERIOR]])</f>
        <v>0</v>
      </c>
      <c r="CC310" s="3">
        <f>+IF(AVANCE[[#This Row],[ZOCALOS LOGIA]]=AP$2,100%,AVANCE[[#This Row],[ZOCALOS LOGIA]])</f>
        <v>0</v>
      </c>
      <c r="CD310" s="3">
        <f>+IF(AVANCE[[#This Row],[MOLDURAS]]=AQ$2,100%,AVANCE[[#This Row],[MOLDURAS]])</f>
        <v>0</v>
      </c>
      <c r="CE310" s="3">
        <f>+IF(AVANCE[[#This Row],[PILASTREO]]=AR$2,100%,AVANCE[[#This Row],[PILASTREO]])</f>
        <v>0</v>
      </c>
      <c r="CF310" s="3">
        <f>+IF(AVANCE[[#This Row],[CELOSIAS]]=AS$2,100%,AVANCE[[#This Row],[CELOSIAS]])</f>
        <v>0</v>
      </c>
      <c r="CG310" s="3">
        <f>+IF(AVANCE[[#This Row],[VENTANAS]]=AT$2,100%,AVANCE[[#This Row],[VENTANAS]])</f>
        <v>0</v>
      </c>
      <c r="CH310" s="3">
        <f>+IF(AVANCE[[#This Row],[PUERTAS ACCESO - LOGIA - BANO]]=AU$2,100%,AVANCE[[#This Row],[PUERTAS ACCESO - LOGIA - BANO]])</f>
        <v>0</v>
      </c>
      <c r="CI310" s="3">
        <f>+IF(AVANCE[[#This Row],[CERRADURAS]]=AV$2,100%,AVANCE[[#This Row],[CERRADURAS]])</f>
        <v>0</v>
      </c>
      <c r="CJ310" s="3">
        <f>+IF(AVANCE[[#This Row],[REVESTIMIENTO INTERIOR ZONA SECA]]=AW$2,100%,AVANCE[[#This Row],[REVESTIMIENTO INTERIOR ZONA SECA]])</f>
        <v>0</v>
      </c>
      <c r="CK310" s="3">
        <f>+IF(AVANCE[[#This Row],[REVESTIMIENTO INTERIOR ZONAS HUMEDAS]]=AX$2,100%,AVANCE[[#This Row],[REVESTIMIENTO INTERIOR ZONAS HUMEDAS]])</f>
        <v>0</v>
      </c>
      <c r="CL310" s="3">
        <f>+IF(AVANCE[[#This Row],[MEMBRANA CIELO]]=AY$2,100%,AVANCE[[#This Row],[MEMBRANA CIELO]])</f>
        <v>0</v>
      </c>
      <c r="CM310" s="3">
        <f>+IF(AVANCE[[#This Row],[LIMPIEZA FINAL]]=AZ$2,100%,AVANCE[[#This Row],[LIMPIEZA FINAL]])</f>
        <v>0</v>
      </c>
      <c r="CN310" s="3">
        <f>+IF(AVANCE[[#This Row],[PUERTAS DORMITORIO]]=BA$2,100%,AVANCE[[#This Row],[PUERTAS DORMITORIO]])</f>
        <v>0</v>
      </c>
      <c r="CO310" s="3">
        <f>+IF(AVANCE[[#This Row],[REVESTIMIENTO INTERIOR BANO]]=BB$2,100%,AVANCE[[#This Row],[REVESTIMIENTO INTERIOR BANO]])</f>
        <v>0</v>
      </c>
      <c r="CP310" s="3">
        <f>+IF(AVANCE[[#This Row],[MUEBLE LAVAPLATOS]]=BC$2,100%,AVANCE[[#This Row],[MUEBLE LAVAPLATOS]])</f>
        <v>0</v>
      </c>
      <c r="CQ310" s="3">
        <f>+IF(AVANCE[[#This Row],[IMPERMEABILIZACION BANO - COCINA LOGIA]]=BD$2,100%,AVANCE[[#This Row],[IMPERMEABILIZACION BANO - COCINA LOGIA]])</f>
        <v>0</v>
      </c>
      <c r="CR310" s="40">
        <f ca="1">+IF(AVANCE[[#This Row],[ESTADO MODULO]]="PENDIENTE",(TODAY()-AVANCE[[#This Row],[FECHA TERMINO  PLANIFICADO]]),0)</f>
        <v>0</v>
      </c>
      <c r="CS310" s="42" t="str" cm="1">
        <f t="array" ref="CS310">_xlfn.TEXTJOIN(" | ",TRUE,IF(SUMPRODUCT((BF310:CQ310&lt;1)*(PARTIDAS!$I$2:$AT$2="OBRA GRUESA"))&gt;0,"OBRA GRUESA: "&amp;_xlfn.TEXTJOIN(", ",TRUE,IF((BF310:CQ310&lt;1)*(PARTIDAS!$I$2:$AT$2="OBRA GRUESA"),PARTIDAS!$I$1:$AT$1,"")),""),IF(SUMPRODUCT((BF310:CQ310&lt;1)*(PARTIDAS!$I$2:$AT$2="SANITARIOS"))&gt;0,"SANITARIOS: "&amp;_xlfn.TEXTJOIN(", ",TRUE,IF((BF310:CQ310&lt;1)*(PARTIDAS!$I$2:$AT$2="SANITARIOS"),PARTIDAS!$I$1:$AT$1,"")),""),IF(SUMPRODUCT((BF310:CQ310&lt;1)*(PARTIDAS!$I$2:$AT$2="ELÉCTRICO"))&gt;0,"ELÉCTRICO: "&amp;_xlfn.TEXTJOIN(", ",TRUE,IF((BF310:CQ310&lt;1)*(PARTIDAS!$I$2:$AT$2="ELÉCTRICO"),PARTIDAS!$I$1:$AT$1,"")),""),IF(SUMPRODUCT((BF310:CQ310&lt;1)*(PARTIDAS!$I$2:$AT$2="TERMINACIONES"))&gt;0,"TERMINACIONES: "&amp;_xlfn.TEXTJOIN(", ",TRUE,IF((BF310:CQ310&lt;1)*(PARTIDAS!$I$2:$AT$2="TERMINACIONES"),PARTIDAS!$I$1:$AT$1,"")),""))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0" s="45" t="str" cm="1">
        <f t="array" ref="CT310">_xlfn.TEXTJOIN(", ",TRUE,IF(SUMPRODUCT((BF310:CQ310&lt;1)*(PARTIDAS!$I$2:$AT$2="OBRA GRUESA"))&gt;0,"OBRA GRUESA",""),IF(SUMPRODUCT((BF310:CQ310&lt;1)*(PARTIDAS!$I$2:$AT$2="SANITARIOS"))&gt;0,"SANITARIOS",""),IF(SUMPRODUCT((BF310:CQ310&lt;1)*(PARTIDAS!$I$2:$AT$2="ELÉCTRICO"))&gt;0,"ELÉCTRICO",""),IF(SUMPRODUCT((BF310:CQ310&lt;1)*(PARTIDAS!$I$2:$AT$2="TERMINACIONES"))&gt;0,"TERMINACIONES",""))</f>
        <v>OBRA GRUESA, SANITARIOS, ELÉCTRICO, TERMINACIONES</v>
      </c>
      <c r="CU310" s="46" cm="1">
        <f t="array" ref="CU310">SUMPRODUCT(--(BF310:CQ310&lt;1))</f>
        <v>38</v>
      </c>
    </row>
    <row r="311" spans="1:99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46181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 s="3" t="str">
        <f>+IF(AVANCE[[#This Row],[% AVANCE]]=100%,"MODULO TERMINADO",IF(AVANCE[[#This Row],[FECHA INICIO REAL]]="","MODULO NO INICIADO","PENDIENTE"))</f>
        <v>MODULO NO INICIADO</v>
      </c>
      <c r="BF311" s="3">
        <f>+IF(AVANCE[[#This Row],[VENTANAS]]=8.10810810810811%,100%,AVANCE[[#This Row],[VENTANAS]])</f>
        <v>0</v>
      </c>
      <c r="BG311" s="3">
        <f>+IF(AVANCE[[#This Row],[PISO]]=N$2,100%,AVANCE[[#This Row],[PISO]])</f>
        <v>0</v>
      </c>
      <c r="BH311" s="3">
        <f>+IF(AVANCE[[#This Row],[TABIQUES]]=O$2,100%,AVANCE[[#This Row],[TABIQUES]])</f>
        <v>0</v>
      </c>
      <c r="BI311" s="3">
        <f>+IF(AVANCE[[#This Row],[MUROS]]=P$2,100%,AVANCE[[#This Row],[MUROS]])</f>
        <v>0</v>
      </c>
      <c r="BJ311" s="3">
        <f>+IF(AVANCE[[#This Row],[CIELO]]=Q$2,100%,AVANCE[[#This Row],[CIELO]])</f>
        <v>0</v>
      </c>
      <c r="BK311" s="3">
        <f>+IF(AVANCE[[#This Row],[BALCÓN]]=R$2,100%,AVANCE[[#This Row],[BALCÓN]])</f>
        <v>0</v>
      </c>
      <c r="BL311" s="3">
        <f>+IF(AVANCE[[#This Row],[RED ALCANTARILLADO]]=U$2,100%,AVANCE[[#This Row],[RED ALCANTARILLADO]])</f>
        <v>0</v>
      </c>
      <c r="BM311" s="3">
        <f>+IF(AVANCE[[#This Row],[RED DE AGUA]]=V$2,100%,AVANCE[[#This Row],[RED DE AGUA]])</f>
        <v>0</v>
      </c>
      <c r="BN311" s="3">
        <f>+IF(AVANCE[[#This Row],[VENTILACIONES]]=W$2,100%,AVANCE[[#This Row],[VENTILACIONES]])</f>
        <v>0</v>
      </c>
      <c r="BO311" s="3">
        <f>+IF(AVANCE[[#This Row],[TINA]]=X$2,100%,AVANCE[[#This Row],[TINA]])</f>
        <v>0</v>
      </c>
      <c r="BP311" s="3">
        <f>+IF(AVANCE[[#This Row],[WC]]=Y$2,100%,AVANCE[[#This Row],[WC]])</f>
        <v>0</v>
      </c>
      <c r="BQ311" s="3">
        <f>+IF(AVANCE[[#This Row],[LAVAMANOS / LAVAPLATOS / LAVADERO]]=Z$2,100%,AVANCE[[#This Row],[LAVAMANOS / LAVAPLATOS / LAVADERO]])</f>
        <v>0</v>
      </c>
      <c r="BR311" s="3">
        <f>+IF(AVANCE[[#This Row],[CANALIZACIÓN]]=AC$2,100%,AVANCE[[#This Row],[CANALIZACIÓN]])</f>
        <v>0</v>
      </c>
      <c r="BS311" s="3">
        <f>+IF(AVANCE[[#This Row],[CABLEADO]]=AD$2,100%,AVANCE[[#This Row],[CABLEADO]])</f>
        <v>0</v>
      </c>
      <c r="BT311" s="3">
        <f>+IF(AVANCE[[#This Row],[ARTEFACTOS]]=AE$2,100%,AVANCE[[#This Row],[ARTEFACTOS]])</f>
        <v>0</v>
      </c>
      <c r="BU311" s="3">
        <f>+IF(AVANCE[[#This Row],[TABLERO]]=AF$2,100%,AVANCE[[#This Row],[TABLERO]])</f>
        <v>0</v>
      </c>
      <c r="BV311" s="3">
        <f>+IF(AVANCE[[#This Row],[CAJA PAU]]=AG$2,100%,AVANCE[[#This Row],[CAJA PAU]])</f>
        <v>0</v>
      </c>
      <c r="BW311" s="3">
        <f>+IF(AVANCE[[#This Row],[INSTALACION VINILICO]]=AJ$2,100%,AVANCE[[#This Row],[INSTALACION VINILICO]])</f>
        <v>0</v>
      </c>
      <c r="BX311" s="3">
        <f>+IF(AVANCE[[#This Row],[OSB CUBIERTA]]=AK$2,100%,AVANCE[[#This Row],[OSB CUBIERTA]])</f>
        <v>0</v>
      </c>
      <c r="BY311" s="3">
        <f>+IF(AVANCE[[#This Row],[BARANDA BALCON]]=AL$2,100%,AVANCE[[#This Row],[BARANDA BALCON]])</f>
        <v>0</v>
      </c>
      <c r="BZ311" s="3">
        <f>+IF(AVANCE[[#This Row],[OSB EXTERIOR]]=AM$2,100%,AVANCE[[#This Row],[OSB EXTERIOR]])</f>
        <v>0</v>
      </c>
      <c r="CA311" s="3">
        <f>+IF(AVANCE[[#This Row],[SMART PANEL]]=AN$2,100%,AVANCE[[#This Row],[SMART PANEL]])</f>
        <v>0</v>
      </c>
      <c r="CB311" s="3">
        <f>+IF(AVANCE[[#This Row],[PINTURA EXTERIOR]]=AO$2,100%,AVANCE[[#This Row],[PINTURA EXTERIOR]])</f>
        <v>0</v>
      </c>
      <c r="CC311" s="3">
        <f>+IF(AVANCE[[#This Row],[ZOCALOS LOGIA]]=AP$2,100%,AVANCE[[#This Row],[ZOCALOS LOGIA]])</f>
        <v>0</v>
      </c>
      <c r="CD311" s="3">
        <f>+IF(AVANCE[[#This Row],[MOLDURAS]]=AQ$2,100%,AVANCE[[#This Row],[MOLDURAS]])</f>
        <v>0</v>
      </c>
      <c r="CE311" s="3">
        <f>+IF(AVANCE[[#This Row],[PILASTREO]]=AR$2,100%,AVANCE[[#This Row],[PILASTREO]])</f>
        <v>0</v>
      </c>
      <c r="CF311" s="3">
        <f>+IF(AVANCE[[#This Row],[CELOSIAS]]=AS$2,100%,AVANCE[[#This Row],[CELOSIAS]])</f>
        <v>0</v>
      </c>
      <c r="CG311" s="3">
        <f>+IF(AVANCE[[#This Row],[VENTANAS]]=AT$2,100%,AVANCE[[#This Row],[VENTANAS]])</f>
        <v>0</v>
      </c>
      <c r="CH311" s="3">
        <f>+IF(AVANCE[[#This Row],[PUERTAS ACCESO - LOGIA - BANO]]=AU$2,100%,AVANCE[[#This Row],[PUERTAS ACCESO - LOGIA - BANO]])</f>
        <v>0</v>
      </c>
      <c r="CI311" s="3">
        <f>+IF(AVANCE[[#This Row],[CERRADURAS]]=AV$2,100%,AVANCE[[#This Row],[CERRADURAS]])</f>
        <v>0</v>
      </c>
      <c r="CJ311" s="3">
        <f>+IF(AVANCE[[#This Row],[REVESTIMIENTO INTERIOR ZONA SECA]]=AW$2,100%,AVANCE[[#This Row],[REVESTIMIENTO INTERIOR ZONA SECA]])</f>
        <v>0</v>
      </c>
      <c r="CK311" s="3">
        <f>+IF(AVANCE[[#This Row],[REVESTIMIENTO INTERIOR ZONAS HUMEDAS]]=AX$2,100%,AVANCE[[#This Row],[REVESTIMIENTO INTERIOR ZONAS HUMEDAS]])</f>
        <v>0</v>
      </c>
      <c r="CL311" s="3">
        <f>+IF(AVANCE[[#This Row],[MEMBRANA CIELO]]=AY$2,100%,AVANCE[[#This Row],[MEMBRANA CIELO]])</f>
        <v>0</v>
      </c>
      <c r="CM311" s="3">
        <f>+IF(AVANCE[[#This Row],[LIMPIEZA FINAL]]=AZ$2,100%,AVANCE[[#This Row],[LIMPIEZA FINAL]])</f>
        <v>0</v>
      </c>
      <c r="CN311" s="3">
        <f>+IF(AVANCE[[#This Row],[PUERTAS DORMITORIO]]=BA$2,100%,AVANCE[[#This Row],[PUERTAS DORMITORIO]])</f>
        <v>0</v>
      </c>
      <c r="CO311" s="3">
        <f>+IF(AVANCE[[#This Row],[REVESTIMIENTO INTERIOR BANO]]=BB$2,100%,AVANCE[[#This Row],[REVESTIMIENTO INTERIOR BANO]])</f>
        <v>0</v>
      </c>
      <c r="CP311" s="3">
        <f>+IF(AVANCE[[#This Row],[MUEBLE LAVAPLATOS]]=BC$2,100%,AVANCE[[#This Row],[MUEBLE LAVAPLATOS]])</f>
        <v>0</v>
      </c>
      <c r="CQ311" s="3">
        <f>+IF(AVANCE[[#This Row],[IMPERMEABILIZACION BANO - COCINA LOGIA]]=BD$2,100%,AVANCE[[#This Row],[IMPERMEABILIZACION BANO - COCINA LOGIA]])</f>
        <v>0</v>
      </c>
      <c r="CR311" s="40">
        <f ca="1">+IF(AVANCE[[#This Row],[ESTADO MODULO]]="PENDIENTE",(TODAY()-AVANCE[[#This Row],[FECHA TERMINO  PLANIFICADO]]),0)</f>
        <v>0</v>
      </c>
      <c r="CS311" s="42" t="str" cm="1">
        <f t="array" ref="CS311">_xlfn.TEXTJOIN(" | ",TRUE,IF(SUMPRODUCT((BF311:CQ311&lt;1)*(PARTIDAS!$I$2:$AT$2="OBRA GRUESA"))&gt;0,"OBRA GRUESA: "&amp;_xlfn.TEXTJOIN(", ",TRUE,IF((BF311:CQ311&lt;1)*(PARTIDAS!$I$2:$AT$2="OBRA GRUESA"),PARTIDAS!$I$1:$AT$1,"")),""),IF(SUMPRODUCT((BF311:CQ311&lt;1)*(PARTIDAS!$I$2:$AT$2="SANITARIOS"))&gt;0,"SANITARIOS: "&amp;_xlfn.TEXTJOIN(", ",TRUE,IF((BF311:CQ311&lt;1)*(PARTIDAS!$I$2:$AT$2="SANITARIOS"),PARTIDAS!$I$1:$AT$1,"")),""),IF(SUMPRODUCT((BF311:CQ311&lt;1)*(PARTIDAS!$I$2:$AT$2="ELÉCTRICO"))&gt;0,"ELÉCTRICO: "&amp;_xlfn.TEXTJOIN(", ",TRUE,IF((BF311:CQ311&lt;1)*(PARTIDAS!$I$2:$AT$2="ELÉCTRICO"),PARTIDAS!$I$1:$AT$1,"")),""),IF(SUMPRODUCT((BF311:CQ311&lt;1)*(PARTIDAS!$I$2:$AT$2="TERMINACIONES"))&gt;0,"TERMINACIONES: "&amp;_xlfn.TEXTJOIN(", ",TRUE,IF((BF311:CQ311&lt;1)*(PARTIDAS!$I$2:$AT$2="TERMINACIONES"),PARTIDAS!$I$1:$AT$1,"")),""))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1" s="45" t="str" cm="1">
        <f t="array" ref="CT311">_xlfn.TEXTJOIN(", ",TRUE,IF(SUMPRODUCT((BF311:CQ311&lt;1)*(PARTIDAS!$I$2:$AT$2="OBRA GRUESA"))&gt;0,"OBRA GRUESA",""),IF(SUMPRODUCT((BF311:CQ311&lt;1)*(PARTIDAS!$I$2:$AT$2="SANITARIOS"))&gt;0,"SANITARIOS",""),IF(SUMPRODUCT((BF311:CQ311&lt;1)*(PARTIDAS!$I$2:$AT$2="ELÉCTRICO"))&gt;0,"ELÉCTRICO",""),IF(SUMPRODUCT((BF311:CQ311&lt;1)*(PARTIDAS!$I$2:$AT$2="TERMINACIONES"))&gt;0,"TERMINACIONES",""))</f>
        <v>OBRA GRUESA, SANITARIOS, ELÉCTRICO, TERMINACIONES</v>
      </c>
      <c r="CU311" s="46" cm="1">
        <f t="array" ref="CU311">SUMPRODUCT(--(BF311:CQ311&lt;1))</f>
        <v>38</v>
      </c>
    </row>
    <row r="312" spans="1:99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46181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 s="3" t="str">
        <f>+IF(AVANCE[[#This Row],[% AVANCE]]=100%,"MODULO TERMINADO",IF(AVANCE[[#This Row],[FECHA INICIO REAL]]="","MODULO NO INICIADO","PENDIENTE"))</f>
        <v>MODULO NO INICIADO</v>
      </c>
      <c r="BF312" s="3">
        <f>+IF(AVANCE[[#This Row],[VENTANAS]]=8.10810810810811%,100%,AVANCE[[#This Row],[VENTANAS]])</f>
        <v>0</v>
      </c>
      <c r="BG312" s="3">
        <f>+IF(AVANCE[[#This Row],[PISO]]=N$2,100%,AVANCE[[#This Row],[PISO]])</f>
        <v>0</v>
      </c>
      <c r="BH312" s="3">
        <f>+IF(AVANCE[[#This Row],[TABIQUES]]=O$2,100%,AVANCE[[#This Row],[TABIQUES]])</f>
        <v>0</v>
      </c>
      <c r="BI312" s="3">
        <f>+IF(AVANCE[[#This Row],[MUROS]]=P$2,100%,AVANCE[[#This Row],[MUROS]])</f>
        <v>0</v>
      </c>
      <c r="BJ312" s="3">
        <f>+IF(AVANCE[[#This Row],[CIELO]]=Q$2,100%,AVANCE[[#This Row],[CIELO]])</f>
        <v>0</v>
      </c>
      <c r="BK312" s="3">
        <f>+IF(AVANCE[[#This Row],[BALCÓN]]=R$2,100%,AVANCE[[#This Row],[BALCÓN]])</f>
        <v>0</v>
      </c>
      <c r="BL312" s="3">
        <f>+IF(AVANCE[[#This Row],[RED ALCANTARILLADO]]=U$2,100%,AVANCE[[#This Row],[RED ALCANTARILLADO]])</f>
        <v>0</v>
      </c>
      <c r="BM312" s="3">
        <f>+IF(AVANCE[[#This Row],[RED DE AGUA]]=V$2,100%,AVANCE[[#This Row],[RED DE AGUA]])</f>
        <v>0</v>
      </c>
      <c r="BN312" s="3">
        <f>+IF(AVANCE[[#This Row],[VENTILACIONES]]=W$2,100%,AVANCE[[#This Row],[VENTILACIONES]])</f>
        <v>0</v>
      </c>
      <c r="BO312" s="3">
        <f>+IF(AVANCE[[#This Row],[TINA]]=X$2,100%,AVANCE[[#This Row],[TINA]])</f>
        <v>0</v>
      </c>
      <c r="BP312" s="3">
        <f>+IF(AVANCE[[#This Row],[WC]]=Y$2,100%,AVANCE[[#This Row],[WC]])</f>
        <v>0</v>
      </c>
      <c r="BQ312" s="3">
        <f>+IF(AVANCE[[#This Row],[LAVAMANOS / LAVAPLATOS / LAVADERO]]=Z$2,100%,AVANCE[[#This Row],[LAVAMANOS / LAVAPLATOS / LAVADERO]])</f>
        <v>0</v>
      </c>
      <c r="BR312" s="3">
        <f>+IF(AVANCE[[#This Row],[CANALIZACIÓN]]=AC$2,100%,AVANCE[[#This Row],[CANALIZACIÓN]])</f>
        <v>0</v>
      </c>
      <c r="BS312" s="3">
        <f>+IF(AVANCE[[#This Row],[CABLEADO]]=AD$2,100%,AVANCE[[#This Row],[CABLEADO]])</f>
        <v>0</v>
      </c>
      <c r="BT312" s="3">
        <f>+IF(AVANCE[[#This Row],[ARTEFACTOS]]=AE$2,100%,AVANCE[[#This Row],[ARTEFACTOS]])</f>
        <v>0</v>
      </c>
      <c r="BU312" s="3">
        <f>+IF(AVANCE[[#This Row],[TABLERO]]=AF$2,100%,AVANCE[[#This Row],[TABLERO]])</f>
        <v>0</v>
      </c>
      <c r="BV312" s="3">
        <f>+IF(AVANCE[[#This Row],[CAJA PAU]]=AG$2,100%,AVANCE[[#This Row],[CAJA PAU]])</f>
        <v>0</v>
      </c>
      <c r="BW312" s="3">
        <f>+IF(AVANCE[[#This Row],[INSTALACION VINILICO]]=AJ$2,100%,AVANCE[[#This Row],[INSTALACION VINILICO]])</f>
        <v>0</v>
      </c>
      <c r="BX312" s="3">
        <f>+IF(AVANCE[[#This Row],[OSB CUBIERTA]]=AK$2,100%,AVANCE[[#This Row],[OSB CUBIERTA]])</f>
        <v>0</v>
      </c>
      <c r="BY312" s="3">
        <f>+IF(AVANCE[[#This Row],[BARANDA BALCON]]=AL$2,100%,AVANCE[[#This Row],[BARANDA BALCON]])</f>
        <v>0</v>
      </c>
      <c r="BZ312" s="3">
        <f>+IF(AVANCE[[#This Row],[OSB EXTERIOR]]=AM$2,100%,AVANCE[[#This Row],[OSB EXTERIOR]])</f>
        <v>0</v>
      </c>
      <c r="CA312" s="3">
        <f>+IF(AVANCE[[#This Row],[SMART PANEL]]=AN$2,100%,AVANCE[[#This Row],[SMART PANEL]])</f>
        <v>0</v>
      </c>
      <c r="CB312" s="3">
        <f>+IF(AVANCE[[#This Row],[PINTURA EXTERIOR]]=AO$2,100%,AVANCE[[#This Row],[PINTURA EXTERIOR]])</f>
        <v>0</v>
      </c>
      <c r="CC312" s="3">
        <f>+IF(AVANCE[[#This Row],[ZOCALOS LOGIA]]=AP$2,100%,AVANCE[[#This Row],[ZOCALOS LOGIA]])</f>
        <v>0</v>
      </c>
      <c r="CD312" s="3">
        <f>+IF(AVANCE[[#This Row],[MOLDURAS]]=AQ$2,100%,AVANCE[[#This Row],[MOLDURAS]])</f>
        <v>0</v>
      </c>
      <c r="CE312" s="3">
        <f>+IF(AVANCE[[#This Row],[PILASTREO]]=AR$2,100%,AVANCE[[#This Row],[PILASTREO]])</f>
        <v>0</v>
      </c>
      <c r="CF312" s="3">
        <f>+IF(AVANCE[[#This Row],[CELOSIAS]]=AS$2,100%,AVANCE[[#This Row],[CELOSIAS]])</f>
        <v>0</v>
      </c>
      <c r="CG312" s="3">
        <f>+IF(AVANCE[[#This Row],[VENTANAS]]=AT$2,100%,AVANCE[[#This Row],[VENTANAS]])</f>
        <v>0</v>
      </c>
      <c r="CH312" s="3">
        <f>+IF(AVANCE[[#This Row],[PUERTAS ACCESO - LOGIA - BANO]]=AU$2,100%,AVANCE[[#This Row],[PUERTAS ACCESO - LOGIA - BANO]])</f>
        <v>0</v>
      </c>
      <c r="CI312" s="3">
        <f>+IF(AVANCE[[#This Row],[CERRADURAS]]=AV$2,100%,AVANCE[[#This Row],[CERRADURAS]])</f>
        <v>0</v>
      </c>
      <c r="CJ312" s="3">
        <f>+IF(AVANCE[[#This Row],[REVESTIMIENTO INTERIOR ZONA SECA]]=AW$2,100%,AVANCE[[#This Row],[REVESTIMIENTO INTERIOR ZONA SECA]])</f>
        <v>0</v>
      </c>
      <c r="CK312" s="3">
        <f>+IF(AVANCE[[#This Row],[REVESTIMIENTO INTERIOR ZONAS HUMEDAS]]=AX$2,100%,AVANCE[[#This Row],[REVESTIMIENTO INTERIOR ZONAS HUMEDAS]])</f>
        <v>0</v>
      </c>
      <c r="CL312" s="3">
        <f>+IF(AVANCE[[#This Row],[MEMBRANA CIELO]]=AY$2,100%,AVANCE[[#This Row],[MEMBRANA CIELO]])</f>
        <v>0</v>
      </c>
      <c r="CM312" s="3">
        <f>+IF(AVANCE[[#This Row],[LIMPIEZA FINAL]]=AZ$2,100%,AVANCE[[#This Row],[LIMPIEZA FINAL]])</f>
        <v>0</v>
      </c>
      <c r="CN312" s="3">
        <f>+IF(AVANCE[[#This Row],[PUERTAS DORMITORIO]]=BA$2,100%,AVANCE[[#This Row],[PUERTAS DORMITORIO]])</f>
        <v>0</v>
      </c>
      <c r="CO312" s="3">
        <f>+IF(AVANCE[[#This Row],[REVESTIMIENTO INTERIOR BANO]]=BB$2,100%,AVANCE[[#This Row],[REVESTIMIENTO INTERIOR BANO]])</f>
        <v>0</v>
      </c>
      <c r="CP312" s="3">
        <f>+IF(AVANCE[[#This Row],[MUEBLE LAVAPLATOS]]=BC$2,100%,AVANCE[[#This Row],[MUEBLE LAVAPLATOS]])</f>
        <v>0</v>
      </c>
      <c r="CQ312" s="3">
        <f>+IF(AVANCE[[#This Row],[IMPERMEABILIZACION BANO - COCINA LOGIA]]=BD$2,100%,AVANCE[[#This Row],[IMPERMEABILIZACION BANO - COCINA LOGIA]])</f>
        <v>0</v>
      </c>
      <c r="CR312" s="40">
        <f ca="1">+IF(AVANCE[[#This Row],[ESTADO MODULO]]="PENDIENTE",(TODAY()-AVANCE[[#This Row],[FECHA TERMINO  PLANIFICADO]]),0)</f>
        <v>0</v>
      </c>
      <c r="CS312" s="42" t="str" cm="1">
        <f t="array" ref="CS312">_xlfn.TEXTJOIN(" | ",TRUE,IF(SUMPRODUCT((BF312:CQ312&lt;1)*(PARTIDAS!$I$2:$AT$2="OBRA GRUESA"))&gt;0,"OBRA GRUESA: "&amp;_xlfn.TEXTJOIN(", ",TRUE,IF((BF312:CQ312&lt;1)*(PARTIDAS!$I$2:$AT$2="OBRA GRUESA"),PARTIDAS!$I$1:$AT$1,"")),""),IF(SUMPRODUCT((BF312:CQ312&lt;1)*(PARTIDAS!$I$2:$AT$2="SANITARIOS"))&gt;0,"SANITARIOS: "&amp;_xlfn.TEXTJOIN(", ",TRUE,IF((BF312:CQ312&lt;1)*(PARTIDAS!$I$2:$AT$2="SANITARIOS"),PARTIDAS!$I$1:$AT$1,"")),""),IF(SUMPRODUCT((BF312:CQ312&lt;1)*(PARTIDAS!$I$2:$AT$2="ELÉCTRICO"))&gt;0,"ELÉCTRICO: "&amp;_xlfn.TEXTJOIN(", ",TRUE,IF((BF312:CQ312&lt;1)*(PARTIDAS!$I$2:$AT$2="ELÉCTRICO"),PARTIDAS!$I$1:$AT$1,"")),""),IF(SUMPRODUCT((BF312:CQ312&lt;1)*(PARTIDAS!$I$2:$AT$2="TERMINACIONES"))&gt;0,"TERMINACIONES: "&amp;_xlfn.TEXTJOIN(", ",TRUE,IF((BF312:CQ312&lt;1)*(PARTIDAS!$I$2:$AT$2="TERMINACIONES"),PARTIDAS!$I$1:$AT$1,"")),""))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2" s="45" t="str" cm="1">
        <f t="array" ref="CT312">_xlfn.TEXTJOIN(", ",TRUE,IF(SUMPRODUCT((BF312:CQ312&lt;1)*(PARTIDAS!$I$2:$AT$2="OBRA GRUESA"))&gt;0,"OBRA GRUESA",""),IF(SUMPRODUCT((BF312:CQ312&lt;1)*(PARTIDAS!$I$2:$AT$2="SANITARIOS"))&gt;0,"SANITARIOS",""),IF(SUMPRODUCT((BF312:CQ312&lt;1)*(PARTIDAS!$I$2:$AT$2="ELÉCTRICO"))&gt;0,"ELÉCTRICO",""),IF(SUMPRODUCT((BF312:CQ312&lt;1)*(PARTIDAS!$I$2:$AT$2="TERMINACIONES"))&gt;0,"TERMINACIONES",""))</f>
        <v>OBRA GRUESA, SANITARIOS, ELÉCTRICO, TERMINACIONES</v>
      </c>
      <c r="CU312" s="46" cm="1">
        <f t="array" ref="CU312">SUMPRODUCT(--(BF312:CQ312&lt;1))</f>
        <v>38</v>
      </c>
    </row>
    <row r="313" spans="1:99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46181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 s="3" t="str">
        <f>+IF(AVANCE[[#This Row],[% AVANCE]]=100%,"MODULO TERMINADO",IF(AVANCE[[#This Row],[FECHA INICIO REAL]]="","MODULO NO INICIADO","PENDIENTE"))</f>
        <v>MODULO NO INICIADO</v>
      </c>
      <c r="BF313" s="3">
        <f>+IF(AVANCE[[#This Row],[VENTANAS]]=8.10810810810811%,100%,AVANCE[[#This Row],[VENTANAS]])</f>
        <v>0</v>
      </c>
      <c r="BG313" s="3">
        <f>+IF(AVANCE[[#This Row],[PISO]]=N$2,100%,AVANCE[[#This Row],[PISO]])</f>
        <v>0</v>
      </c>
      <c r="BH313" s="3">
        <f>+IF(AVANCE[[#This Row],[TABIQUES]]=O$2,100%,AVANCE[[#This Row],[TABIQUES]])</f>
        <v>0</v>
      </c>
      <c r="BI313" s="3">
        <f>+IF(AVANCE[[#This Row],[MUROS]]=P$2,100%,AVANCE[[#This Row],[MUROS]])</f>
        <v>0</v>
      </c>
      <c r="BJ313" s="3">
        <f>+IF(AVANCE[[#This Row],[CIELO]]=Q$2,100%,AVANCE[[#This Row],[CIELO]])</f>
        <v>0</v>
      </c>
      <c r="BK313" s="3">
        <f>+IF(AVANCE[[#This Row],[BALCÓN]]=R$2,100%,AVANCE[[#This Row],[BALCÓN]])</f>
        <v>0</v>
      </c>
      <c r="BL313" s="3">
        <f>+IF(AVANCE[[#This Row],[RED ALCANTARILLADO]]=U$2,100%,AVANCE[[#This Row],[RED ALCANTARILLADO]])</f>
        <v>0</v>
      </c>
      <c r="BM313" s="3">
        <f>+IF(AVANCE[[#This Row],[RED DE AGUA]]=V$2,100%,AVANCE[[#This Row],[RED DE AGUA]])</f>
        <v>0</v>
      </c>
      <c r="BN313" s="3">
        <f>+IF(AVANCE[[#This Row],[VENTILACIONES]]=W$2,100%,AVANCE[[#This Row],[VENTILACIONES]])</f>
        <v>0</v>
      </c>
      <c r="BO313" s="3">
        <f>+IF(AVANCE[[#This Row],[TINA]]=X$2,100%,AVANCE[[#This Row],[TINA]])</f>
        <v>0</v>
      </c>
      <c r="BP313" s="3">
        <f>+IF(AVANCE[[#This Row],[WC]]=Y$2,100%,AVANCE[[#This Row],[WC]])</f>
        <v>0</v>
      </c>
      <c r="BQ313" s="3">
        <f>+IF(AVANCE[[#This Row],[LAVAMANOS / LAVAPLATOS / LAVADERO]]=Z$2,100%,AVANCE[[#This Row],[LAVAMANOS / LAVAPLATOS / LAVADERO]])</f>
        <v>0</v>
      </c>
      <c r="BR313" s="3">
        <f>+IF(AVANCE[[#This Row],[CANALIZACIÓN]]=AC$2,100%,AVANCE[[#This Row],[CANALIZACIÓN]])</f>
        <v>0</v>
      </c>
      <c r="BS313" s="3">
        <f>+IF(AVANCE[[#This Row],[CABLEADO]]=AD$2,100%,AVANCE[[#This Row],[CABLEADO]])</f>
        <v>0</v>
      </c>
      <c r="BT313" s="3">
        <f>+IF(AVANCE[[#This Row],[ARTEFACTOS]]=AE$2,100%,AVANCE[[#This Row],[ARTEFACTOS]])</f>
        <v>0</v>
      </c>
      <c r="BU313" s="3">
        <f>+IF(AVANCE[[#This Row],[TABLERO]]=AF$2,100%,AVANCE[[#This Row],[TABLERO]])</f>
        <v>0</v>
      </c>
      <c r="BV313" s="3">
        <f>+IF(AVANCE[[#This Row],[CAJA PAU]]=AG$2,100%,AVANCE[[#This Row],[CAJA PAU]])</f>
        <v>0</v>
      </c>
      <c r="BW313" s="3">
        <f>+IF(AVANCE[[#This Row],[INSTALACION VINILICO]]=AJ$2,100%,AVANCE[[#This Row],[INSTALACION VINILICO]])</f>
        <v>0</v>
      </c>
      <c r="BX313" s="3">
        <f>+IF(AVANCE[[#This Row],[OSB CUBIERTA]]=AK$2,100%,AVANCE[[#This Row],[OSB CUBIERTA]])</f>
        <v>0</v>
      </c>
      <c r="BY313" s="3">
        <f>+IF(AVANCE[[#This Row],[BARANDA BALCON]]=AL$2,100%,AVANCE[[#This Row],[BARANDA BALCON]])</f>
        <v>0</v>
      </c>
      <c r="BZ313" s="3">
        <f>+IF(AVANCE[[#This Row],[OSB EXTERIOR]]=AM$2,100%,AVANCE[[#This Row],[OSB EXTERIOR]])</f>
        <v>0</v>
      </c>
      <c r="CA313" s="3">
        <f>+IF(AVANCE[[#This Row],[SMART PANEL]]=AN$2,100%,AVANCE[[#This Row],[SMART PANEL]])</f>
        <v>0</v>
      </c>
      <c r="CB313" s="3">
        <f>+IF(AVANCE[[#This Row],[PINTURA EXTERIOR]]=AO$2,100%,AVANCE[[#This Row],[PINTURA EXTERIOR]])</f>
        <v>0</v>
      </c>
      <c r="CC313" s="3">
        <f>+IF(AVANCE[[#This Row],[ZOCALOS LOGIA]]=AP$2,100%,AVANCE[[#This Row],[ZOCALOS LOGIA]])</f>
        <v>0</v>
      </c>
      <c r="CD313" s="3">
        <f>+IF(AVANCE[[#This Row],[MOLDURAS]]=AQ$2,100%,AVANCE[[#This Row],[MOLDURAS]])</f>
        <v>0</v>
      </c>
      <c r="CE313" s="3">
        <f>+IF(AVANCE[[#This Row],[PILASTREO]]=AR$2,100%,AVANCE[[#This Row],[PILASTREO]])</f>
        <v>0</v>
      </c>
      <c r="CF313" s="3">
        <f>+IF(AVANCE[[#This Row],[CELOSIAS]]=AS$2,100%,AVANCE[[#This Row],[CELOSIAS]])</f>
        <v>0</v>
      </c>
      <c r="CG313" s="3">
        <f>+IF(AVANCE[[#This Row],[VENTANAS]]=AT$2,100%,AVANCE[[#This Row],[VENTANAS]])</f>
        <v>0</v>
      </c>
      <c r="CH313" s="3">
        <f>+IF(AVANCE[[#This Row],[PUERTAS ACCESO - LOGIA - BANO]]=AU$2,100%,AVANCE[[#This Row],[PUERTAS ACCESO - LOGIA - BANO]])</f>
        <v>0</v>
      </c>
      <c r="CI313" s="3">
        <f>+IF(AVANCE[[#This Row],[CERRADURAS]]=AV$2,100%,AVANCE[[#This Row],[CERRADURAS]])</f>
        <v>0</v>
      </c>
      <c r="CJ313" s="3">
        <f>+IF(AVANCE[[#This Row],[REVESTIMIENTO INTERIOR ZONA SECA]]=AW$2,100%,AVANCE[[#This Row],[REVESTIMIENTO INTERIOR ZONA SECA]])</f>
        <v>0</v>
      </c>
      <c r="CK313" s="3">
        <f>+IF(AVANCE[[#This Row],[REVESTIMIENTO INTERIOR ZONAS HUMEDAS]]=AX$2,100%,AVANCE[[#This Row],[REVESTIMIENTO INTERIOR ZONAS HUMEDAS]])</f>
        <v>0</v>
      </c>
      <c r="CL313" s="3">
        <f>+IF(AVANCE[[#This Row],[MEMBRANA CIELO]]=AY$2,100%,AVANCE[[#This Row],[MEMBRANA CIELO]])</f>
        <v>0</v>
      </c>
      <c r="CM313" s="3">
        <f>+IF(AVANCE[[#This Row],[LIMPIEZA FINAL]]=AZ$2,100%,AVANCE[[#This Row],[LIMPIEZA FINAL]])</f>
        <v>0</v>
      </c>
      <c r="CN313" s="3">
        <f>+IF(AVANCE[[#This Row],[PUERTAS DORMITORIO]]=BA$2,100%,AVANCE[[#This Row],[PUERTAS DORMITORIO]])</f>
        <v>0</v>
      </c>
      <c r="CO313" s="3">
        <f>+IF(AVANCE[[#This Row],[REVESTIMIENTO INTERIOR BANO]]=BB$2,100%,AVANCE[[#This Row],[REVESTIMIENTO INTERIOR BANO]])</f>
        <v>0</v>
      </c>
      <c r="CP313" s="3">
        <f>+IF(AVANCE[[#This Row],[MUEBLE LAVAPLATOS]]=BC$2,100%,AVANCE[[#This Row],[MUEBLE LAVAPLATOS]])</f>
        <v>0</v>
      </c>
      <c r="CQ313" s="3">
        <f>+IF(AVANCE[[#This Row],[IMPERMEABILIZACION BANO - COCINA LOGIA]]=BD$2,100%,AVANCE[[#This Row],[IMPERMEABILIZACION BANO - COCINA LOGIA]])</f>
        <v>0</v>
      </c>
      <c r="CR313" s="40">
        <f ca="1">+IF(AVANCE[[#This Row],[ESTADO MODULO]]="PENDIENTE",(TODAY()-AVANCE[[#This Row],[FECHA TERMINO  PLANIFICADO]]),0)</f>
        <v>0</v>
      </c>
      <c r="CS313" s="42" t="str" cm="1">
        <f t="array" ref="CS313">_xlfn.TEXTJOIN(" | ",TRUE,IF(SUMPRODUCT((BF313:CQ313&lt;1)*(PARTIDAS!$I$2:$AT$2="OBRA GRUESA"))&gt;0,"OBRA GRUESA: "&amp;_xlfn.TEXTJOIN(", ",TRUE,IF((BF313:CQ313&lt;1)*(PARTIDAS!$I$2:$AT$2="OBRA GRUESA"),PARTIDAS!$I$1:$AT$1,"")),""),IF(SUMPRODUCT((BF313:CQ313&lt;1)*(PARTIDAS!$I$2:$AT$2="SANITARIOS"))&gt;0,"SANITARIOS: "&amp;_xlfn.TEXTJOIN(", ",TRUE,IF((BF313:CQ313&lt;1)*(PARTIDAS!$I$2:$AT$2="SANITARIOS"),PARTIDAS!$I$1:$AT$1,"")),""),IF(SUMPRODUCT((BF313:CQ313&lt;1)*(PARTIDAS!$I$2:$AT$2="ELÉCTRICO"))&gt;0,"ELÉCTRICO: "&amp;_xlfn.TEXTJOIN(", ",TRUE,IF((BF313:CQ313&lt;1)*(PARTIDAS!$I$2:$AT$2="ELÉCTRICO"),PARTIDAS!$I$1:$AT$1,"")),""),IF(SUMPRODUCT((BF313:CQ313&lt;1)*(PARTIDAS!$I$2:$AT$2="TERMINACIONES"))&gt;0,"TERMINACIONES: "&amp;_xlfn.TEXTJOIN(", ",TRUE,IF((BF313:CQ313&lt;1)*(PARTIDAS!$I$2:$AT$2="TERMINACIONES"),PARTIDAS!$I$1:$AT$1,"")),""))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3" s="45" t="str" cm="1">
        <f t="array" ref="CT313">_xlfn.TEXTJOIN(", ",TRUE,IF(SUMPRODUCT((BF313:CQ313&lt;1)*(PARTIDAS!$I$2:$AT$2="OBRA GRUESA"))&gt;0,"OBRA GRUESA",""),IF(SUMPRODUCT((BF313:CQ313&lt;1)*(PARTIDAS!$I$2:$AT$2="SANITARIOS"))&gt;0,"SANITARIOS",""),IF(SUMPRODUCT((BF313:CQ313&lt;1)*(PARTIDAS!$I$2:$AT$2="ELÉCTRICO"))&gt;0,"ELÉCTRICO",""),IF(SUMPRODUCT((BF313:CQ313&lt;1)*(PARTIDAS!$I$2:$AT$2="TERMINACIONES"))&gt;0,"TERMINACIONES",""))</f>
        <v>OBRA GRUESA, SANITARIOS, ELÉCTRICO, TERMINACIONES</v>
      </c>
      <c r="CU313" s="46" cm="1">
        <f t="array" ref="CU313">SUMPRODUCT(--(BF313:CQ313&lt;1))</f>
        <v>38</v>
      </c>
    </row>
    <row r="314" spans="1:99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46181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 s="3" t="str">
        <f>+IF(AVANCE[[#This Row],[% AVANCE]]=100%,"MODULO TERMINADO",IF(AVANCE[[#This Row],[FECHA INICIO REAL]]="","MODULO NO INICIADO","PENDIENTE"))</f>
        <v>MODULO NO INICIADO</v>
      </c>
      <c r="BF314" s="3">
        <f>+IF(AVANCE[[#This Row],[VENTANAS]]=8.10810810810811%,100%,AVANCE[[#This Row],[VENTANAS]])</f>
        <v>0</v>
      </c>
      <c r="BG314" s="3">
        <f>+IF(AVANCE[[#This Row],[PISO]]=N$2,100%,AVANCE[[#This Row],[PISO]])</f>
        <v>0</v>
      </c>
      <c r="BH314" s="3">
        <f>+IF(AVANCE[[#This Row],[TABIQUES]]=O$2,100%,AVANCE[[#This Row],[TABIQUES]])</f>
        <v>0</v>
      </c>
      <c r="BI314" s="3">
        <f>+IF(AVANCE[[#This Row],[MUROS]]=P$2,100%,AVANCE[[#This Row],[MUROS]])</f>
        <v>0</v>
      </c>
      <c r="BJ314" s="3">
        <f>+IF(AVANCE[[#This Row],[CIELO]]=Q$2,100%,AVANCE[[#This Row],[CIELO]])</f>
        <v>0</v>
      </c>
      <c r="BK314" s="3">
        <f>+IF(AVANCE[[#This Row],[BALCÓN]]=R$2,100%,AVANCE[[#This Row],[BALCÓN]])</f>
        <v>0</v>
      </c>
      <c r="BL314" s="3">
        <f>+IF(AVANCE[[#This Row],[RED ALCANTARILLADO]]=U$2,100%,AVANCE[[#This Row],[RED ALCANTARILLADO]])</f>
        <v>0</v>
      </c>
      <c r="BM314" s="3">
        <f>+IF(AVANCE[[#This Row],[RED DE AGUA]]=V$2,100%,AVANCE[[#This Row],[RED DE AGUA]])</f>
        <v>0</v>
      </c>
      <c r="BN314" s="3">
        <f>+IF(AVANCE[[#This Row],[VENTILACIONES]]=W$2,100%,AVANCE[[#This Row],[VENTILACIONES]])</f>
        <v>0</v>
      </c>
      <c r="BO314" s="3">
        <f>+IF(AVANCE[[#This Row],[TINA]]=X$2,100%,AVANCE[[#This Row],[TINA]])</f>
        <v>0</v>
      </c>
      <c r="BP314" s="3">
        <f>+IF(AVANCE[[#This Row],[WC]]=Y$2,100%,AVANCE[[#This Row],[WC]])</f>
        <v>0</v>
      </c>
      <c r="BQ314" s="3">
        <f>+IF(AVANCE[[#This Row],[LAVAMANOS / LAVAPLATOS / LAVADERO]]=Z$2,100%,AVANCE[[#This Row],[LAVAMANOS / LAVAPLATOS / LAVADERO]])</f>
        <v>0</v>
      </c>
      <c r="BR314" s="3">
        <f>+IF(AVANCE[[#This Row],[CANALIZACIÓN]]=AC$2,100%,AVANCE[[#This Row],[CANALIZACIÓN]])</f>
        <v>0</v>
      </c>
      <c r="BS314" s="3">
        <f>+IF(AVANCE[[#This Row],[CABLEADO]]=AD$2,100%,AVANCE[[#This Row],[CABLEADO]])</f>
        <v>0</v>
      </c>
      <c r="BT314" s="3">
        <f>+IF(AVANCE[[#This Row],[ARTEFACTOS]]=AE$2,100%,AVANCE[[#This Row],[ARTEFACTOS]])</f>
        <v>0</v>
      </c>
      <c r="BU314" s="3">
        <f>+IF(AVANCE[[#This Row],[TABLERO]]=AF$2,100%,AVANCE[[#This Row],[TABLERO]])</f>
        <v>0</v>
      </c>
      <c r="BV314" s="3">
        <f>+IF(AVANCE[[#This Row],[CAJA PAU]]=AG$2,100%,AVANCE[[#This Row],[CAJA PAU]])</f>
        <v>0</v>
      </c>
      <c r="BW314" s="3">
        <f>+IF(AVANCE[[#This Row],[INSTALACION VINILICO]]=AJ$2,100%,AVANCE[[#This Row],[INSTALACION VINILICO]])</f>
        <v>0</v>
      </c>
      <c r="BX314" s="3">
        <f>+IF(AVANCE[[#This Row],[OSB CUBIERTA]]=AK$2,100%,AVANCE[[#This Row],[OSB CUBIERTA]])</f>
        <v>0</v>
      </c>
      <c r="BY314" s="3">
        <f>+IF(AVANCE[[#This Row],[BARANDA BALCON]]=AL$2,100%,AVANCE[[#This Row],[BARANDA BALCON]])</f>
        <v>0</v>
      </c>
      <c r="BZ314" s="3">
        <f>+IF(AVANCE[[#This Row],[OSB EXTERIOR]]=AM$2,100%,AVANCE[[#This Row],[OSB EXTERIOR]])</f>
        <v>0</v>
      </c>
      <c r="CA314" s="3">
        <f>+IF(AVANCE[[#This Row],[SMART PANEL]]=AN$2,100%,AVANCE[[#This Row],[SMART PANEL]])</f>
        <v>0</v>
      </c>
      <c r="CB314" s="3">
        <f>+IF(AVANCE[[#This Row],[PINTURA EXTERIOR]]=AO$2,100%,AVANCE[[#This Row],[PINTURA EXTERIOR]])</f>
        <v>0</v>
      </c>
      <c r="CC314" s="3">
        <f>+IF(AVANCE[[#This Row],[ZOCALOS LOGIA]]=AP$2,100%,AVANCE[[#This Row],[ZOCALOS LOGIA]])</f>
        <v>0</v>
      </c>
      <c r="CD314" s="3">
        <f>+IF(AVANCE[[#This Row],[MOLDURAS]]=AQ$2,100%,AVANCE[[#This Row],[MOLDURAS]])</f>
        <v>0</v>
      </c>
      <c r="CE314" s="3">
        <f>+IF(AVANCE[[#This Row],[PILASTREO]]=AR$2,100%,AVANCE[[#This Row],[PILASTREO]])</f>
        <v>0</v>
      </c>
      <c r="CF314" s="3">
        <f>+IF(AVANCE[[#This Row],[CELOSIAS]]=AS$2,100%,AVANCE[[#This Row],[CELOSIAS]])</f>
        <v>0</v>
      </c>
      <c r="CG314" s="3">
        <f>+IF(AVANCE[[#This Row],[VENTANAS]]=AT$2,100%,AVANCE[[#This Row],[VENTANAS]])</f>
        <v>0</v>
      </c>
      <c r="CH314" s="3">
        <f>+IF(AVANCE[[#This Row],[PUERTAS ACCESO - LOGIA - BANO]]=AU$2,100%,AVANCE[[#This Row],[PUERTAS ACCESO - LOGIA - BANO]])</f>
        <v>0</v>
      </c>
      <c r="CI314" s="3">
        <f>+IF(AVANCE[[#This Row],[CERRADURAS]]=AV$2,100%,AVANCE[[#This Row],[CERRADURAS]])</f>
        <v>0</v>
      </c>
      <c r="CJ314" s="3">
        <f>+IF(AVANCE[[#This Row],[REVESTIMIENTO INTERIOR ZONA SECA]]=AW$2,100%,AVANCE[[#This Row],[REVESTIMIENTO INTERIOR ZONA SECA]])</f>
        <v>0</v>
      </c>
      <c r="CK314" s="3">
        <f>+IF(AVANCE[[#This Row],[REVESTIMIENTO INTERIOR ZONAS HUMEDAS]]=AX$2,100%,AVANCE[[#This Row],[REVESTIMIENTO INTERIOR ZONAS HUMEDAS]])</f>
        <v>0</v>
      </c>
      <c r="CL314" s="3">
        <f>+IF(AVANCE[[#This Row],[MEMBRANA CIELO]]=AY$2,100%,AVANCE[[#This Row],[MEMBRANA CIELO]])</f>
        <v>0</v>
      </c>
      <c r="CM314" s="3">
        <f>+IF(AVANCE[[#This Row],[LIMPIEZA FINAL]]=AZ$2,100%,AVANCE[[#This Row],[LIMPIEZA FINAL]])</f>
        <v>0</v>
      </c>
      <c r="CN314" s="3">
        <f>+IF(AVANCE[[#This Row],[PUERTAS DORMITORIO]]=BA$2,100%,AVANCE[[#This Row],[PUERTAS DORMITORIO]])</f>
        <v>0</v>
      </c>
      <c r="CO314" s="3">
        <f>+IF(AVANCE[[#This Row],[REVESTIMIENTO INTERIOR BANO]]=BB$2,100%,AVANCE[[#This Row],[REVESTIMIENTO INTERIOR BANO]])</f>
        <v>0</v>
      </c>
      <c r="CP314" s="3">
        <f>+IF(AVANCE[[#This Row],[MUEBLE LAVAPLATOS]]=BC$2,100%,AVANCE[[#This Row],[MUEBLE LAVAPLATOS]])</f>
        <v>0</v>
      </c>
      <c r="CQ314" s="3">
        <f>+IF(AVANCE[[#This Row],[IMPERMEABILIZACION BANO - COCINA LOGIA]]=BD$2,100%,AVANCE[[#This Row],[IMPERMEABILIZACION BANO - COCINA LOGIA]])</f>
        <v>0</v>
      </c>
      <c r="CR314" s="40">
        <f ca="1">+IF(AVANCE[[#This Row],[ESTADO MODULO]]="PENDIENTE",(TODAY()-AVANCE[[#This Row],[FECHA TERMINO  PLANIFICADO]]),0)</f>
        <v>0</v>
      </c>
      <c r="CS314" s="42" t="str" cm="1">
        <f t="array" ref="CS314">_xlfn.TEXTJOIN(" | ",TRUE,IF(SUMPRODUCT((BF314:CQ314&lt;1)*(PARTIDAS!$I$2:$AT$2="OBRA GRUESA"))&gt;0,"OBRA GRUESA: "&amp;_xlfn.TEXTJOIN(", ",TRUE,IF((BF314:CQ314&lt;1)*(PARTIDAS!$I$2:$AT$2="OBRA GRUESA"),PARTIDAS!$I$1:$AT$1,"")),""),IF(SUMPRODUCT((BF314:CQ314&lt;1)*(PARTIDAS!$I$2:$AT$2="SANITARIOS"))&gt;0,"SANITARIOS: "&amp;_xlfn.TEXTJOIN(", ",TRUE,IF((BF314:CQ314&lt;1)*(PARTIDAS!$I$2:$AT$2="SANITARIOS"),PARTIDAS!$I$1:$AT$1,"")),""),IF(SUMPRODUCT((BF314:CQ314&lt;1)*(PARTIDAS!$I$2:$AT$2="ELÉCTRICO"))&gt;0,"ELÉCTRICO: "&amp;_xlfn.TEXTJOIN(", ",TRUE,IF((BF314:CQ314&lt;1)*(PARTIDAS!$I$2:$AT$2="ELÉCTRICO"),PARTIDAS!$I$1:$AT$1,"")),""),IF(SUMPRODUCT((BF314:CQ314&lt;1)*(PARTIDAS!$I$2:$AT$2="TERMINACIONES"))&gt;0,"TERMINACIONES: "&amp;_xlfn.TEXTJOIN(", ",TRUE,IF((BF314:CQ314&lt;1)*(PARTIDAS!$I$2:$AT$2="TERMINACIONES"),PARTIDAS!$I$1:$AT$1,"")),""))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4" s="45" t="str" cm="1">
        <f t="array" ref="CT314">_xlfn.TEXTJOIN(", ",TRUE,IF(SUMPRODUCT((BF314:CQ314&lt;1)*(PARTIDAS!$I$2:$AT$2="OBRA GRUESA"))&gt;0,"OBRA GRUESA",""),IF(SUMPRODUCT((BF314:CQ314&lt;1)*(PARTIDAS!$I$2:$AT$2="SANITARIOS"))&gt;0,"SANITARIOS",""),IF(SUMPRODUCT((BF314:CQ314&lt;1)*(PARTIDAS!$I$2:$AT$2="ELÉCTRICO"))&gt;0,"ELÉCTRICO",""),IF(SUMPRODUCT((BF314:CQ314&lt;1)*(PARTIDAS!$I$2:$AT$2="TERMINACIONES"))&gt;0,"TERMINACIONES",""))</f>
        <v>OBRA GRUESA, SANITARIOS, ELÉCTRICO, TERMINACIONES</v>
      </c>
      <c r="CU314" s="46" cm="1">
        <f t="array" ref="CU314">SUMPRODUCT(--(BF314:CQ314&lt;1))</f>
        <v>38</v>
      </c>
    </row>
    <row r="315" spans="1:99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46181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 s="3" t="str">
        <f>+IF(AVANCE[[#This Row],[% AVANCE]]=100%,"MODULO TERMINADO",IF(AVANCE[[#This Row],[FECHA INICIO REAL]]="","MODULO NO INICIADO","PENDIENTE"))</f>
        <v>MODULO NO INICIADO</v>
      </c>
      <c r="BF315" s="3">
        <f>+IF(AVANCE[[#This Row],[VENTANAS]]=8.10810810810811%,100%,AVANCE[[#This Row],[VENTANAS]])</f>
        <v>0</v>
      </c>
      <c r="BG315" s="3">
        <f>+IF(AVANCE[[#This Row],[PISO]]=N$2,100%,AVANCE[[#This Row],[PISO]])</f>
        <v>0</v>
      </c>
      <c r="BH315" s="3">
        <f>+IF(AVANCE[[#This Row],[TABIQUES]]=O$2,100%,AVANCE[[#This Row],[TABIQUES]])</f>
        <v>0</v>
      </c>
      <c r="BI315" s="3">
        <f>+IF(AVANCE[[#This Row],[MUROS]]=P$2,100%,AVANCE[[#This Row],[MUROS]])</f>
        <v>0</v>
      </c>
      <c r="BJ315" s="3">
        <f>+IF(AVANCE[[#This Row],[CIELO]]=Q$2,100%,AVANCE[[#This Row],[CIELO]])</f>
        <v>0</v>
      </c>
      <c r="BK315" s="3">
        <f>+IF(AVANCE[[#This Row],[BALCÓN]]=R$2,100%,AVANCE[[#This Row],[BALCÓN]])</f>
        <v>0</v>
      </c>
      <c r="BL315" s="3">
        <f>+IF(AVANCE[[#This Row],[RED ALCANTARILLADO]]=U$2,100%,AVANCE[[#This Row],[RED ALCANTARILLADO]])</f>
        <v>0</v>
      </c>
      <c r="BM315" s="3">
        <f>+IF(AVANCE[[#This Row],[RED DE AGUA]]=V$2,100%,AVANCE[[#This Row],[RED DE AGUA]])</f>
        <v>0</v>
      </c>
      <c r="BN315" s="3">
        <f>+IF(AVANCE[[#This Row],[VENTILACIONES]]=W$2,100%,AVANCE[[#This Row],[VENTILACIONES]])</f>
        <v>0</v>
      </c>
      <c r="BO315" s="3">
        <f>+IF(AVANCE[[#This Row],[TINA]]=X$2,100%,AVANCE[[#This Row],[TINA]])</f>
        <v>0</v>
      </c>
      <c r="BP315" s="3">
        <f>+IF(AVANCE[[#This Row],[WC]]=Y$2,100%,AVANCE[[#This Row],[WC]])</f>
        <v>0</v>
      </c>
      <c r="BQ315" s="3">
        <f>+IF(AVANCE[[#This Row],[LAVAMANOS / LAVAPLATOS / LAVADERO]]=Z$2,100%,AVANCE[[#This Row],[LAVAMANOS / LAVAPLATOS / LAVADERO]])</f>
        <v>0</v>
      </c>
      <c r="BR315" s="3">
        <f>+IF(AVANCE[[#This Row],[CANALIZACIÓN]]=AC$2,100%,AVANCE[[#This Row],[CANALIZACIÓN]])</f>
        <v>0</v>
      </c>
      <c r="BS315" s="3">
        <f>+IF(AVANCE[[#This Row],[CABLEADO]]=AD$2,100%,AVANCE[[#This Row],[CABLEADO]])</f>
        <v>0</v>
      </c>
      <c r="BT315" s="3">
        <f>+IF(AVANCE[[#This Row],[ARTEFACTOS]]=AE$2,100%,AVANCE[[#This Row],[ARTEFACTOS]])</f>
        <v>0</v>
      </c>
      <c r="BU315" s="3">
        <f>+IF(AVANCE[[#This Row],[TABLERO]]=AF$2,100%,AVANCE[[#This Row],[TABLERO]])</f>
        <v>0</v>
      </c>
      <c r="BV315" s="3">
        <f>+IF(AVANCE[[#This Row],[CAJA PAU]]=AG$2,100%,AVANCE[[#This Row],[CAJA PAU]])</f>
        <v>0</v>
      </c>
      <c r="BW315" s="3">
        <f>+IF(AVANCE[[#This Row],[INSTALACION VINILICO]]=AJ$2,100%,AVANCE[[#This Row],[INSTALACION VINILICO]])</f>
        <v>0</v>
      </c>
      <c r="BX315" s="3">
        <f>+IF(AVANCE[[#This Row],[OSB CUBIERTA]]=AK$2,100%,AVANCE[[#This Row],[OSB CUBIERTA]])</f>
        <v>0</v>
      </c>
      <c r="BY315" s="3">
        <f>+IF(AVANCE[[#This Row],[BARANDA BALCON]]=AL$2,100%,AVANCE[[#This Row],[BARANDA BALCON]])</f>
        <v>0</v>
      </c>
      <c r="BZ315" s="3">
        <f>+IF(AVANCE[[#This Row],[OSB EXTERIOR]]=AM$2,100%,AVANCE[[#This Row],[OSB EXTERIOR]])</f>
        <v>0</v>
      </c>
      <c r="CA315" s="3">
        <f>+IF(AVANCE[[#This Row],[SMART PANEL]]=AN$2,100%,AVANCE[[#This Row],[SMART PANEL]])</f>
        <v>0</v>
      </c>
      <c r="CB315" s="3">
        <f>+IF(AVANCE[[#This Row],[PINTURA EXTERIOR]]=AO$2,100%,AVANCE[[#This Row],[PINTURA EXTERIOR]])</f>
        <v>0</v>
      </c>
      <c r="CC315" s="3">
        <f>+IF(AVANCE[[#This Row],[ZOCALOS LOGIA]]=AP$2,100%,AVANCE[[#This Row],[ZOCALOS LOGIA]])</f>
        <v>0</v>
      </c>
      <c r="CD315" s="3">
        <f>+IF(AVANCE[[#This Row],[MOLDURAS]]=AQ$2,100%,AVANCE[[#This Row],[MOLDURAS]])</f>
        <v>0</v>
      </c>
      <c r="CE315" s="3">
        <f>+IF(AVANCE[[#This Row],[PILASTREO]]=AR$2,100%,AVANCE[[#This Row],[PILASTREO]])</f>
        <v>0</v>
      </c>
      <c r="CF315" s="3">
        <f>+IF(AVANCE[[#This Row],[CELOSIAS]]=AS$2,100%,AVANCE[[#This Row],[CELOSIAS]])</f>
        <v>0</v>
      </c>
      <c r="CG315" s="3">
        <f>+IF(AVANCE[[#This Row],[VENTANAS]]=AT$2,100%,AVANCE[[#This Row],[VENTANAS]])</f>
        <v>0</v>
      </c>
      <c r="CH315" s="3">
        <f>+IF(AVANCE[[#This Row],[PUERTAS ACCESO - LOGIA - BANO]]=AU$2,100%,AVANCE[[#This Row],[PUERTAS ACCESO - LOGIA - BANO]])</f>
        <v>0</v>
      </c>
      <c r="CI315" s="3">
        <f>+IF(AVANCE[[#This Row],[CERRADURAS]]=AV$2,100%,AVANCE[[#This Row],[CERRADURAS]])</f>
        <v>0</v>
      </c>
      <c r="CJ315" s="3">
        <f>+IF(AVANCE[[#This Row],[REVESTIMIENTO INTERIOR ZONA SECA]]=AW$2,100%,AVANCE[[#This Row],[REVESTIMIENTO INTERIOR ZONA SECA]])</f>
        <v>0</v>
      </c>
      <c r="CK315" s="3">
        <f>+IF(AVANCE[[#This Row],[REVESTIMIENTO INTERIOR ZONAS HUMEDAS]]=AX$2,100%,AVANCE[[#This Row],[REVESTIMIENTO INTERIOR ZONAS HUMEDAS]])</f>
        <v>0</v>
      </c>
      <c r="CL315" s="3">
        <f>+IF(AVANCE[[#This Row],[MEMBRANA CIELO]]=AY$2,100%,AVANCE[[#This Row],[MEMBRANA CIELO]])</f>
        <v>0</v>
      </c>
      <c r="CM315" s="3">
        <f>+IF(AVANCE[[#This Row],[LIMPIEZA FINAL]]=AZ$2,100%,AVANCE[[#This Row],[LIMPIEZA FINAL]])</f>
        <v>0</v>
      </c>
      <c r="CN315" s="3">
        <f>+IF(AVANCE[[#This Row],[PUERTAS DORMITORIO]]=BA$2,100%,AVANCE[[#This Row],[PUERTAS DORMITORIO]])</f>
        <v>0</v>
      </c>
      <c r="CO315" s="3">
        <f>+IF(AVANCE[[#This Row],[REVESTIMIENTO INTERIOR BANO]]=BB$2,100%,AVANCE[[#This Row],[REVESTIMIENTO INTERIOR BANO]])</f>
        <v>0</v>
      </c>
      <c r="CP315" s="3">
        <f>+IF(AVANCE[[#This Row],[MUEBLE LAVAPLATOS]]=BC$2,100%,AVANCE[[#This Row],[MUEBLE LAVAPLATOS]])</f>
        <v>0</v>
      </c>
      <c r="CQ315" s="3">
        <f>+IF(AVANCE[[#This Row],[IMPERMEABILIZACION BANO - COCINA LOGIA]]=BD$2,100%,AVANCE[[#This Row],[IMPERMEABILIZACION BANO - COCINA LOGIA]])</f>
        <v>0</v>
      </c>
      <c r="CR315" s="40">
        <f ca="1">+IF(AVANCE[[#This Row],[ESTADO MODULO]]="PENDIENTE",(TODAY()-AVANCE[[#This Row],[FECHA TERMINO  PLANIFICADO]]),0)</f>
        <v>0</v>
      </c>
      <c r="CS315" s="42" t="str" cm="1">
        <f t="array" ref="CS315">_xlfn.TEXTJOIN(" | ",TRUE,IF(SUMPRODUCT((BF315:CQ315&lt;1)*(PARTIDAS!$I$2:$AT$2="OBRA GRUESA"))&gt;0,"OBRA GRUESA: "&amp;_xlfn.TEXTJOIN(", ",TRUE,IF((BF315:CQ315&lt;1)*(PARTIDAS!$I$2:$AT$2="OBRA GRUESA"),PARTIDAS!$I$1:$AT$1,"")),""),IF(SUMPRODUCT((BF315:CQ315&lt;1)*(PARTIDAS!$I$2:$AT$2="SANITARIOS"))&gt;0,"SANITARIOS: "&amp;_xlfn.TEXTJOIN(", ",TRUE,IF((BF315:CQ315&lt;1)*(PARTIDAS!$I$2:$AT$2="SANITARIOS"),PARTIDAS!$I$1:$AT$1,"")),""),IF(SUMPRODUCT((BF315:CQ315&lt;1)*(PARTIDAS!$I$2:$AT$2="ELÉCTRICO"))&gt;0,"ELÉCTRICO: "&amp;_xlfn.TEXTJOIN(", ",TRUE,IF((BF315:CQ315&lt;1)*(PARTIDAS!$I$2:$AT$2="ELÉCTRICO"),PARTIDAS!$I$1:$AT$1,"")),""),IF(SUMPRODUCT((BF315:CQ315&lt;1)*(PARTIDAS!$I$2:$AT$2="TERMINACIONES"))&gt;0,"TERMINACIONES: "&amp;_xlfn.TEXTJOIN(", ",TRUE,IF((BF315:CQ315&lt;1)*(PARTIDAS!$I$2:$AT$2="TERMINACIONES"),PARTIDAS!$I$1:$AT$1,"")),""))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5" s="45" t="str" cm="1">
        <f t="array" ref="CT315">_xlfn.TEXTJOIN(", ",TRUE,IF(SUMPRODUCT((BF315:CQ315&lt;1)*(PARTIDAS!$I$2:$AT$2="OBRA GRUESA"))&gt;0,"OBRA GRUESA",""),IF(SUMPRODUCT((BF315:CQ315&lt;1)*(PARTIDAS!$I$2:$AT$2="SANITARIOS"))&gt;0,"SANITARIOS",""),IF(SUMPRODUCT((BF315:CQ315&lt;1)*(PARTIDAS!$I$2:$AT$2="ELÉCTRICO"))&gt;0,"ELÉCTRICO",""),IF(SUMPRODUCT((BF315:CQ315&lt;1)*(PARTIDAS!$I$2:$AT$2="TERMINACIONES"))&gt;0,"TERMINACIONES",""))</f>
        <v>OBRA GRUESA, SANITARIOS, ELÉCTRICO, TERMINACIONES</v>
      </c>
      <c r="CU315" s="46" cm="1">
        <f t="array" ref="CU315">SUMPRODUCT(--(BF315:CQ315&lt;1))</f>
        <v>38</v>
      </c>
    </row>
    <row r="316" spans="1:99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46181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 s="3" t="str">
        <f>+IF(AVANCE[[#This Row],[% AVANCE]]=100%,"MODULO TERMINADO",IF(AVANCE[[#This Row],[FECHA INICIO REAL]]="","MODULO NO INICIADO","PENDIENTE"))</f>
        <v>MODULO NO INICIADO</v>
      </c>
      <c r="BF316" s="3">
        <f>+IF(AVANCE[[#This Row],[VENTANAS]]=8.10810810810811%,100%,AVANCE[[#This Row],[VENTANAS]])</f>
        <v>0</v>
      </c>
      <c r="BG316" s="3">
        <f>+IF(AVANCE[[#This Row],[PISO]]=N$2,100%,AVANCE[[#This Row],[PISO]])</f>
        <v>0</v>
      </c>
      <c r="BH316" s="3">
        <f>+IF(AVANCE[[#This Row],[TABIQUES]]=O$2,100%,AVANCE[[#This Row],[TABIQUES]])</f>
        <v>0</v>
      </c>
      <c r="BI316" s="3">
        <f>+IF(AVANCE[[#This Row],[MUROS]]=P$2,100%,AVANCE[[#This Row],[MUROS]])</f>
        <v>0</v>
      </c>
      <c r="BJ316" s="3">
        <f>+IF(AVANCE[[#This Row],[CIELO]]=Q$2,100%,AVANCE[[#This Row],[CIELO]])</f>
        <v>0</v>
      </c>
      <c r="BK316" s="3">
        <f>+IF(AVANCE[[#This Row],[BALCÓN]]=R$2,100%,AVANCE[[#This Row],[BALCÓN]])</f>
        <v>0</v>
      </c>
      <c r="BL316" s="3">
        <f>+IF(AVANCE[[#This Row],[RED ALCANTARILLADO]]=U$2,100%,AVANCE[[#This Row],[RED ALCANTARILLADO]])</f>
        <v>0</v>
      </c>
      <c r="BM316" s="3">
        <f>+IF(AVANCE[[#This Row],[RED DE AGUA]]=V$2,100%,AVANCE[[#This Row],[RED DE AGUA]])</f>
        <v>0</v>
      </c>
      <c r="BN316" s="3">
        <f>+IF(AVANCE[[#This Row],[VENTILACIONES]]=W$2,100%,AVANCE[[#This Row],[VENTILACIONES]])</f>
        <v>0</v>
      </c>
      <c r="BO316" s="3">
        <f>+IF(AVANCE[[#This Row],[TINA]]=X$2,100%,AVANCE[[#This Row],[TINA]])</f>
        <v>0</v>
      </c>
      <c r="BP316" s="3">
        <f>+IF(AVANCE[[#This Row],[WC]]=Y$2,100%,AVANCE[[#This Row],[WC]])</f>
        <v>0</v>
      </c>
      <c r="BQ316" s="3">
        <f>+IF(AVANCE[[#This Row],[LAVAMANOS / LAVAPLATOS / LAVADERO]]=Z$2,100%,AVANCE[[#This Row],[LAVAMANOS / LAVAPLATOS / LAVADERO]])</f>
        <v>0</v>
      </c>
      <c r="BR316" s="3">
        <f>+IF(AVANCE[[#This Row],[CANALIZACIÓN]]=AC$2,100%,AVANCE[[#This Row],[CANALIZACIÓN]])</f>
        <v>0</v>
      </c>
      <c r="BS316" s="3">
        <f>+IF(AVANCE[[#This Row],[CABLEADO]]=AD$2,100%,AVANCE[[#This Row],[CABLEADO]])</f>
        <v>0</v>
      </c>
      <c r="BT316" s="3">
        <f>+IF(AVANCE[[#This Row],[ARTEFACTOS]]=AE$2,100%,AVANCE[[#This Row],[ARTEFACTOS]])</f>
        <v>0</v>
      </c>
      <c r="BU316" s="3">
        <f>+IF(AVANCE[[#This Row],[TABLERO]]=AF$2,100%,AVANCE[[#This Row],[TABLERO]])</f>
        <v>0</v>
      </c>
      <c r="BV316" s="3">
        <f>+IF(AVANCE[[#This Row],[CAJA PAU]]=AG$2,100%,AVANCE[[#This Row],[CAJA PAU]])</f>
        <v>0</v>
      </c>
      <c r="BW316" s="3">
        <f>+IF(AVANCE[[#This Row],[INSTALACION VINILICO]]=AJ$2,100%,AVANCE[[#This Row],[INSTALACION VINILICO]])</f>
        <v>0</v>
      </c>
      <c r="BX316" s="3">
        <f>+IF(AVANCE[[#This Row],[OSB CUBIERTA]]=AK$2,100%,AVANCE[[#This Row],[OSB CUBIERTA]])</f>
        <v>0</v>
      </c>
      <c r="BY316" s="3">
        <f>+IF(AVANCE[[#This Row],[BARANDA BALCON]]=AL$2,100%,AVANCE[[#This Row],[BARANDA BALCON]])</f>
        <v>0</v>
      </c>
      <c r="BZ316" s="3">
        <f>+IF(AVANCE[[#This Row],[OSB EXTERIOR]]=AM$2,100%,AVANCE[[#This Row],[OSB EXTERIOR]])</f>
        <v>0</v>
      </c>
      <c r="CA316" s="3">
        <f>+IF(AVANCE[[#This Row],[SMART PANEL]]=AN$2,100%,AVANCE[[#This Row],[SMART PANEL]])</f>
        <v>0</v>
      </c>
      <c r="CB316" s="3">
        <f>+IF(AVANCE[[#This Row],[PINTURA EXTERIOR]]=AO$2,100%,AVANCE[[#This Row],[PINTURA EXTERIOR]])</f>
        <v>0</v>
      </c>
      <c r="CC316" s="3">
        <f>+IF(AVANCE[[#This Row],[ZOCALOS LOGIA]]=AP$2,100%,AVANCE[[#This Row],[ZOCALOS LOGIA]])</f>
        <v>0</v>
      </c>
      <c r="CD316" s="3">
        <f>+IF(AVANCE[[#This Row],[MOLDURAS]]=AQ$2,100%,AVANCE[[#This Row],[MOLDURAS]])</f>
        <v>0</v>
      </c>
      <c r="CE316" s="3">
        <f>+IF(AVANCE[[#This Row],[PILASTREO]]=AR$2,100%,AVANCE[[#This Row],[PILASTREO]])</f>
        <v>0</v>
      </c>
      <c r="CF316" s="3">
        <f>+IF(AVANCE[[#This Row],[CELOSIAS]]=AS$2,100%,AVANCE[[#This Row],[CELOSIAS]])</f>
        <v>0</v>
      </c>
      <c r="CG316" s="3">
        <f>+IF(AVANCE[[#This Row],[VENTANAS]]=AT$2,100%,AVANCE[[#This Row],[VENTANAS]])</f>
        <v>0</v>
      </c>
      <c r="CH316" s="3">
        <f>+IF(AVANCE[[#This Row],[PUERTAS ACCESO - LOGIA - BANO]]=AU$2,100%,AVANCE[[#This Row],[PUERTAS ACCESO - LOGIA - BANO]])</f>
        <v>0</v>
      </c>
      <c r="CI316" s="3">
        <f>+IF(AVANCE[[#This Row],[CERRADURAS]]=AV$2,100%,AVANCE[[#This Row],[CERRADURAS]])</f>
        <v>0</v>
      </c>
      <c r="CJ316" s="3">
        <f>+IF(AVANCE[[#This Row],[REVESTIMIENTO INTERIOR ZONA SECA]]=AW$2,100%,AVANCE[[#This Row],[REVESTIMIENTO INTERIOR ZONA SECA]])</f>
        <v>0</v>
      </c>
      <c r="CK316" s="3">
        <f>+IF(AVANCE[[#This Row],[REVESTIMIENTO INTERIOR ZONAS HUMEDAS]]=AX$2,100%,AVANCE[[#This Row],[REVESTIMIENTO INTERIOR ZONAS HUMEDAS]])</f>
        <v>0</v>
      </c>
      <c r="CL316" s="3">
        <f>+IF(AVANCE[[#This Row],[MEMBRANA CIELO]]=AY$2,100%,AVANCE[[#This Row],[MEMBRANA CIELO]])</f>
        <v>0</v>
      </c>
      <c r="CM316" s="3">
        <f>+IF(AVANCE[[#This Row],[LIMPIEZA FINAL]]=AZ$2,100%,AVANCE[[#This Row],[LIMPIEZA FINAL]])</f>
        <v>0</v>
      </c>
      <c r="CN316" s="3">
        <f>+IF(AVANCE[[#This Row],[PUERTAS DORMITORIO]]=BA$2,100%,AVANCE[[#This Row],[PUERTAS DORMITORIO]])</f>
        <v>0</v>
      </c>
      <c r="CO316" s="3">
        <f>+IF(AVANCE[[#This Row],[REVESTIMIENTO INTERIOR BANO]]=BB$2,100%,AVANCE[[#This Row],[REVESTIMIENTO INTERIOR BANO]])</f>
        <v>0</v>
      </c>
      <c r="CP316" s="3">
        <f>+IF(AVANCE[[#This Row],[MUEBLE LAVAPLATOS]]=BC$2,100%,AVANCE[[#This Row],[MUEBLE LAVAPLATOS]])</f>
        <v>0</v>
      </c>
      <c r="CQ316" s="3">
        <f>+IF(AVANCE[[#This Row],[IMPERMEABILIZACION BANO - COCINA LOGIA]]=BD$2,100%,AVANCE[[#This Row],[IMPERMEABILIZACION BANO - COCINA LOGIA]])</f>
        <v>0</v>
      </c>
      <c r="CR316" s="40">
        <f ca="1">+IF(AVANCE[[#This Row],[ESTADO MODULO]]="PENDIENTE",(TODAY()-AVANCE[[#This Row],[FECHA TERMINO  PLANIFICADO]]),0)</f>
        <v>0</v>
      </c>
      <c r="CS316" s="42" t="str" cm="1">
        <f t="array" ref="CS316">_xlfn.TEXTJOIN(" | ",TRUE,IF(SUMPRODUCT((BF316:CQ316&lt;1)*(PARTIDAS!$I$2:$AT$2="OBRA GRUESA"))&gt;0,"OBRA GRUESA: "&amp;_xlfn.TEXTJOIN(", ",TRUE,IF((BF316:CQ316&lt;1)*(PARTIDAS!$I$2:$AT$2="OBRA GRUESA"),PARTIDAS!$I$1:$AT$1,"")),""),IF(SUMPRODUCT((BF316:CQ316&lt;1)*(PARTIDAS!$I$2:$AT$2="SANITARIOS"))&gt;0,"SANITARIOS: "&amp;_xlfn.TEXTJOIN(", ",TRUE,IF((BF316:CQ316&lt;1)*(PARTIDAS!$I$2:$AT$2="SANITARIOS"),PARTIDAS!$I$1:$AT$1,"")),""),IF(SUMPRODUCT((BF316:CQ316&lt;1)*(PARTIDAS!$I$2:$AT$2="ELÉCTRICO"))&gt;0,"ELÉCTRICO: "&amp;_xlfn.TEXTJOIN(", ",TRUE,IF((BF316:CQ316&lt;1)*(PARTIDAS!$I$2:$AT$2="ELÉCTRICO"),PARTIDAS!$I$1:$AT$1,"")),""),IF(SUMPRODUCT((BF316:CQ316&lt;1)*(PARTIDAS!$I$2:$AT$2="TERMINACIONES"))&gt;0,"TERMINACIONES: "&amp;_xlfn.TEXTJOIN(", ",TRUE,IF((BF316:CQ316&lt;1)*(PARTIDAS!$I$2:$AT$2="TERMINACIONES"),PARTIDAS!$I$1:$AT$1,"")),""))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6" s="45" t="str" cm="1">
        <f t="array" ref="CT316">_xlfn.TEXTJOIN(", ",TRUE,IF(SUMPRODUCT((BF316:CQ316&lt;1)*(PARTIDAS!$I$2:$AT$2="OBRA GRUESA"))&gt;0,"OBRA GRUESA",""),IF(SUMPRODUCT((BF316:CQ316&lt;1)*(PARTIDAS!$I$2:$AT$2="SANITARIOS"))&gt;0,"SANITARIOS",""),IF(SUMPRODUCT((BF316:CQ316&lt;1)*(PARTIDAS!$I$2:$AT$2="ELÉCTRICO"))&gt;0,"ELÉCTRICO",""),IF(SUMPRODUCT((BF316:CQ316&lt;1)*(PARTIDAS!$I$2:$AT$2="TERMINACIONES"))&gt;0,"TERMINACIONES",""))</f>
        <v>OBRA GRUESA, SANITARIOS, ELÉCTRICO, TERMINACIONES</v>
      </c>
      <c r="CU316" s="46" cm="1">
        <f t="array" ref="CU316">SUMPRODUCT(--(BF316:CQ316&lt;1))</f>
        <v>38</v>
      </c>
    </row>
    <row r="317" spans="1:99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46181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 s="3" t="str">
        <f>+IF(AVANCE[[#This Row],[% AVANCE]]=100%,"MODULO TERMINADO",IF(AVANCE[[#This Row],[FECHA INICIO REAL]]="","MODULO NO INICIADO","PENDIENTE"))</f>
        <v>MODULO NO INICIADO</v>
      </c>
      <c r="BF317" s="3">
        <f>+IF(AVANCE[[#This Row],[VENTANAS]]=8.10810810810811%,100%,AVANCE[[#This Row],[VENTANAS]])</f>
        <v>0</v>
      </c>
      <c r="BG317" s="3">
        <f>+IF(AVANCE[[#This Row],[PISO]]=N$2,100%,AVANCE[[#This Row],[PISO]])</f>
        <v>0</v>
      </c>
      <c r="BH317" s="3">
        <f>+IF(AVANCE[[#This Row],[TABIQUES]]=O$2,100%,AVANCE[[#This Row],[TABIQUES]])</f>
        <v>0</v>
      </c>
      <c r="BI317" s="3">
        <f>+IF(AVANCE[[#This Row],[MUROS]]=P$2,100%,AVANCE[[#This Row],[MUROS]])</f>
        <v>0</v>
      </c>
      <c r="BJ317" s="3">
        <f>+IF(AVANCE[[#This Row],[CIELO]]=Q$2,100%,AVANCE[[#This Row],[CIELO]])</f>
        <v>0</v>
      </c>
      <c r="BK317" s="3">
        <f>+IF(AVANCE[[#This Row],[BALCÓN]]=R$2,100%,AVANCE[[#This Row],[BALCÓN]])</f>
        <v>0</v>
      </c>
      <c r="BL317" s="3">
        <f>+IF(AVANCE[[#This Row],[RED ALCANTARILLADO]]=U$2,100%,AVANCE[[#This Row],[RED ALCANTARILLADO]])</f>
        <v>0</v>
      </c>
      <c r="BM317" s="3">
        <f>+IF(AVANCE[[#This Row],[RED DE AGUA]]=V$2,100%,AVANCE[[#This Row],[RED DE AGUA]])</f>
        <v>0</v>
      </c>
      <c r="BN317" s="3">
        <f>+IF(AVANCE[[#This Row],[VENTILACIONES]]=W$2,100%,AVANCE[[#This Row],[VENTILACIONES]])</f>
        <v>0</v>
      </c>
      <c r="BO317" s="3">
        <f>+IF(AVANCE[[#This Row],[TINA]]=X$2,100%,AVANCE[[#This Row],[TINA]])</f>
        <v>0</v>
      </c>
      <c r="BP317" s="3">
        <f>+IF(AVANCE[[#This Row],[WC]]=Y$2,100%,AVANCE[[#This Row],[WC]])</f>
        <v>0</v>
      </c>
      <c r="BQ317" s="3">
        <f>+IF(AVANCE[[#This Row],[LAVAMANOS / LAVAPLATOS / LAVADERO]]=Z$2,100%,AVANCE[[#This Row],[LAVAMANOS / LAVAPLATOS / LAVADERO]])</f>
        <v>0</v>
      </c>
      <c r="BR317" s="3">
        <f>+IF(AVANCE[[#This Row],[CANALIZACIÓN]]=AC$2,100%,AVANCE[[#This Row],[CANALIZACIÓN]])</f>
        <v>0</v>
      </c>
      <c r="BS317" s="3">
        <f>+IF(AVANCE[[#This Row],[CABLEADO]]=AD$2,100%,AVANCE[[#This Row],[CABLEADO]])</f>
        <v>0</v>
      </c>
      <c r="BT317" s="3">
        <f>+IF(AVANCE[[#This Row],[ARTEFACTOS]]=AE$2,100%,AVANCE[[#This Row],[ARTEFACTOS]])</f>
        <v>0</v>
      </c>
      <c r="BU317" s="3">
        <f>+IF(AVANCE[[#This Row],[TABLERO]]=AF$2,100%,AVANCE[[#This Row],[TABLERO]])</f>
        <v>0</v>
      </c>
      <c r="BV317" s="3">
        <f>+IF(AVANCE[[#This Row],[CAJA PAU]]=AG$2,100%,AVANCE[[#This Row],[CAJA PAU]])</f>
        <v>0</v>
      </c>
      <c r="BW317" s="3">
        <f>+IF(AVANCE[[#This Row],[INSTALACION VINILICO]]=AJ$2,100%,AVANCE[[#This Row],[INSTALACION VINILICO]])</f>
        <v>0</v>
      </c>
      <c r="BX317" s="3">
        <f>+IF(AVANCE[[#This Row],[OSB CUBIERTA]]=AK$2,100%,AVANCE[[#This Row],[OSB CUBIERTA]])</f>
        <v>0</v>
      </c>
      <c r="BY317" s="3">
        <f>+IF(AVANCE[[#This Row],[BARANDA BALCON]]=AL$2,100%,AVANCE[[#This Row],[BARANDA BALCON]])</f>
        <v>0</v>
      </c>
      <c r="BZ317" s="3">
        <f>+IF(AVANCE[[#This Row],[OSB EXTERIOR]]=AM$2,100%,AVANCE[[#This Row],[OSB EXTERIOR]])</f>
        <v>0</v>
      </c>
      <c r="CA317" s="3">
        <f>+IF(AVANCE[[#This Row],[SMART PANEL]]=AN$2,100%,AVANCE[[#This Row],[SMART PANEL]])</f>
        <v>0</v>
      </c>
      <c r="CB317" s="3">
        <f>+IF(AVANCE[[#This Row],[PINTURA EXTERIOR]]=AO$2,100%,AVANCE[[#This Row],[PINTURA EXTERIOR]])</f>
        <v>0</v>
      </c>
      <c r="CC317" s="3">
        <f>+IF(AVANCE[[#This Row],[ZOCALOS LOGIA]]=AP$2,100%,AVANCE[[#This Row],[ZOCALOS LOGIA]])</f>
        <v>0</v>
      </c>
      <c r="CD317" s="3">
        <f>+IF(AVANCE[[#This Row],[MOLDURAS]]=AQ$2,100%,AVANCE[[#This Row],[MOLDURAS]])</f>
        <v>0</v>
      </c>
      <c r="CE317" s="3">
        <f>+IF(AVANCE[[#This Row],[PILASTREO]]=AR$2,100%,AVANCE[[#This Row],[PILASTREO]])</f>
        <v>0</v>
      </c>
      <c r="CF317" s="3">
        <f>+IF(AVANCE[[#This Row],[CELOSIAS]]=AS$2,100%,AVANCE[[#This Row],[CELOSIAS]])</f>
        <v>0</v>
      </c>
      <c r="CG317" s="3">
        <f>+IF(AVANCE[[#This Row],[VENTANAS]]=AT$2,100%,AVANCE[[#This Row],[VENTANAS]])</f>
        <v>0</v>
      </c>
      <c r="CH317" s="3">
        <f>+IF(AVANCE[[#This Row],[PUERTAS ACCESO - LOGIA - BANO]]=AU$2,100%,AVANCE[[#This Row],[PUERTAS ACCESO - LOGIA - BANO]])</f>
        <v>0</v>
      </c>
      <c r="CI317" s="3">
        <f>+IF(AVANCE[[#This Row],[CERRADURAS]]=AV$2,100%,AVANCE[[#This Row],[CERRADURAS]])</f>
        <v>0</v>
      </c>
      <c r="CJ317" s="3">
        <f>+IF(AVANCE[[#This Row],[REVESTIMIENTO INTERIOR ZONA SECA]]=AW$2,100%,AVANCE[[#This Row],[REVESTIMIENTO INTERIOR ZONA SECA]])</f>
        <v>0</v>
      </c>
      <c r="CK317" s="3">
        <f>+IF(AVANCE[[#This Row],[REVESTIMIENTO INTERIOR ZONAS HUMEDAS]]=AX$2,100%,AVANCE[[#This Row],[REVESTIMIENTO INTERIOR ZONAS HUMEDAS]])</f>
        <v>0</v>
      </c>
      <c r="CL317" s="3">
        <f>+IF(AVANCE[[#This Row],[MEMBRANA CIELO]]=AY$2,100%,AVANCE[[#This Row],[MEMBRANA CIELO]])</f>
        <v>0</v>
      </c>
      <c r="CM317" s="3">
        <f>+IF(AVANCE[[#This Row],[LIMPIEZA FINAL]]=AZ$2,100%,AVANCE[[#This Row],[LIMPIEZA FINAL]])</f>
        <v>0</v>
      </c>
      <c r="CN317" s="3">
        <f>+IF(AVANCE[[#This Row],[PUERTAS DORMITORIO]]=BA$2,100%,AVANCE[[#This Row],[PUERTAS DORMITORIO]])</f>
        <v>0</v>
      </c>
      <c r="CO317" s="3">
        <f>+IF(AVANCE[[#This Row],[REVESTIMIENTO INTERIOR BANO]]=BB$2,100%,AVANCE[[#This Row],[REVESTIMIENTO INTERIOR BANO]])</f>
        <v>0</v>
      </c>
      <c r="CP317" s="3">
        <f>+IF(AVANCE[[#This Row],[MUEBLE LAVAPLATOS]]=BC$2,100%,AVANCE[[#This Row],[MUEBLE LAVAPLATOS]])</f>
        <v>0</v>
      </c>
      <c r="CQ317" s="3">
        <f>+IF(AVANCE[[#This Row],[IMPERMEABILIZACION BANO - COCINA LOGIA]]=BD$2,100%,AVANCE[[#This Row],[IMPERMEABILIZACION BANO - COCINA LOGIA]])</f>
        <v>0</v>
      </c>
      <c r="CR317" s="40">
        <f ca="1">+IF(AVANCE[[#This Row],[ESTADO MODULO]]="PENDIENTE",(TODAY()-AVANCE[[#This Row],[FECHA TERMINO  PLANIFICADO]]),0)</f>
        <v>0</v>
      </c>
      <c r="CS317" s="42" t="str" cm="1">
        <f t="array" ref="CS317">_xlfn.TEXTJOIN(" | ",TRUE,IF(SUMPRODUCT((BF317:CQ317&lt;1)*(PARTIDAS!$I$2:$AT$2="OBRA GRUESA"))&gt;0,"OBRA GRUESA: "&amp;_xlfn.TEXTJOIN(", ",TRUE,IF((BF317:CQ317&lt;1)*(PARTIDAS!$I$2:$AT$2="OBRA GRUESA"),PARTIDAS!$I$1:$AT$1,"")),""),IF(SUMPRODUCT((BF317:CQ317&lt;1)*(PARTIDAS!$I$2:$AT$2="SANITARIOS"))&gt;0,"SANITARIOS: "&amp;_xlfn.TEXTJOIN(", ",TRUE,IF((BF317:CQ317&lt;1)*(PARTIDAS!$I$2:$AT$2="SANITARIOS"),PARTIDAS!$I$1:$AT$1,"")),""),IF(SUMPRODUCT((BF317:CQ317&lt;1)*(PARTIDAS!$I$2:$AT$2="ELÉCTRICO"))&gt;0,"ELÉCTRICO: "&amp;_xlfn.TEXTJOIN(", ",TRUE,IF((BF317:CQ317&lt;1)*(PARTIDAS!$I$2:$AT$2="ELÉCTRICO"),PARTIDAS!$I$1:$AT$1,"")),""),IF(SUMPRODUCT((BF317:CQ317&lt;1)*(PARTIDAS!$I$2:$AT$2="TERMINACIONES"))&gt;0,"TERMINACIONES: "&amp;_xlfn.TEXTJOIN(", ",TRUE,IF((BF317:CQ317&lt;1)*(PARTIDAS!$I$2:$AT$2="TERMINACIONES"),PARTIDAS!$I$1:$AT$1,"")),""))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7" s="45" t="str" cm="1">
        <f t="array" ref="CT317">_xlfn.TEXTJOIN(", ",TRUE,IF(SUMPRODUCT((BF317:CQ317&lt;1)*(PARTIDAS!$I$2:$AT$2="OBRA GRUESA"))&gt;0,"OBRA GRUESA",""),IF(SUMPRODUCT((BF317:CQ317&lt;1)*(PARTIDAS!$I$2:$AT$2="SANITARIOS"))&gt;0,"SANITARIOS",""),IF(SUMPRODUCT((BF317:CQ317&lt;1)*(PARTIDAS!$I$2:$AT$2="ELÉCTRICO"))&gt;0,"ELÉCTRICO",""),IF(SUMPRODUCT((BF317:CQ317&lt;1)*(PARTIDAS!$I$2:$AT$2="TERMINACIONES"))&gt;0,"TERMINACIONES",""))</f>
        <v>OBRA GRUESA, SANITARIOS, ELÉCTRICO, TERMINACIONES</v>
      </c>
      <c r="CU317" s="46" cm="1">
        <f t="array" ref="CU317">SUMPRODUCT(--(BF317:CQ317&lt;1))</f>
        <v>38</v>
      </c>
    </row>
    <row r="318" spans="1:99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46181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 s="3" t="str">
        <f>+IF(AVANCE[[#This Row],[% AVANCE]]=100%,"MODULO TERMINADO",IF(AVANCE[[#This Row],[FECHA INICIO REAL]]="","MODULO NO INICIADO","PENDIENTE"))</f>
        <v>MODULO NO INICIADO</v>
      </c>
      <c r="BF318" s="3">
        <f>+IF(AVANCE[[#This Row],[VENTANAS]]=8.10810810810811%,100%,AVANCE[[#This Row],[VENTANAS]])</f>
        <v>0</v>
      </c>
      <c r="BG318" s="3">
        <f>+IF(AVANCE[[#This Row],[PISO]]=N$2,100%,AVANCE[[#This Row],[PISO]])</f>
        <v>0</v>
      </c>
      <c r="BH318" s="3">
        <f>+IF(AVANCE[[#This Row],[TABIQUES]]=O$2,100%,AVANCE[[#This Row],[TABIQUES]])</f>
        <v>0</v>
      </c>
      <c r="BI318" s="3">
        <f>+IF(AVANCE[[#This Row],[MUROS]]=P$2,100%,AVANCE[[#This Row],[MUROS]])</f>
        <v>0</v>
      </c>
      <c r="BJ318" s="3">
        <f>+IF(AVANCE[[#This Row],[CIELO]]=Q$2,100%,AVANCE[[#This Row],[CIELO]])</f>
        <v>0</v>
      </c>
      <c r="BK318" s="3">
        <f>+IF(AVANCE[[#This Row],[BALCÓN]]=R$2,100%,AVANCE[[#This Row],[BALCÓN]])</f>
        <v>0</v>
      </c>
      <c r="BL318" s="3">
        <f>+IF(AVANCE[[#This Row],[RED ALCANTARILLADO]]=U$2,100%,AVANCE[[#This Row],[RED ALCANTARILLADO]])</f>
        <v>0</v>
      </c>
      <c r="BM318" s="3">
        <f>+IF(AVANCE[[#This Row],[RED DE AGUA]]=V$2,100%,AVANCE[[#This Row],[RED DE AGUA]])</f>
        <v>0</v>
      </c>
      <c r="BN318" s="3">
        <f>+IF(AVANCE[[#This Row],[VENTILACIONES]]=W$2,100%,AVANCE[[#This Row],[VENTILACIONES]])</f>
        <v>0</v>
      </c>
      <c r="BO318" s="3">
        <f>+IF(AVANCE[[#This Row],[TINA]]=X$2,100%,AVANCE[[#This Row],[TINA]])</f>
        <v>0</v>
      </c>
      <c r="BP318" s="3">
        <f>+IF(AVANCE[[#This Row],[WC]]=Y$2,100%,AVANCE[[#This Row],[WC]])</f>
        <v>0</v>
      </c>
      <c r="BQ318" s="3">
        <f>+IF(AVANCE[[#This Row],[LAVAMANOS / LAVAPLATOS / LAVADERO]]=Z$2,100%,AVANCE[[#This Row],[LAVAMANOS / LAVAPLATOS / LAVADERO]])</f>
        <v>0</v>
      </c>
      <c r="BR318" s="3">
        <f>+IF(AVANCE[[#This Row],[CANALIZACIÓN]]=AC$2,100%,AVANCE[[#This Row],[CANALIZACIÓN]])</f>
        <v>0</v>
      </c>
      <c r="BS318" s="3">
        <f>+IF(AVANCE[[#This Row],[CABLEADO]]=AD$2,100%,AVANCE[[#This Row],[CABLEADO]])</f>
        <v>0</v>
      </c>
      <c r="BT318" s="3">
        <f>+IF(AVANCE[[#This Row],[ARTEFACTOS]]=AE$2,100%,AVANCE[[#This Row],[ARTEFACTOS]])</f>
        <v>0</v>
      </c>
      <c r="BU318" s="3">
        <f>+IF(AVANCE[[#This Row],[TABLERO]]=AF$2,100%,AVANCE[[#This Row],[TABLERO]])</f>
        <v>0</v>
      </c>
      <c r="BV318" s="3">
        <f>+IF(AVANCE[[#This Row],[CAJA PAU]]=AG$2,100%,AVANCE[[#This Row],[CAJA PAU]])</f>
        <v>0</v>
      </c>
      <c r="BW318" s="3">
        <f>+IF(AVANCE[[#This Row],[INSTALACION VINILICO]]=AJ$2,100%,AVANCE[[#This Row],[INSTALACION VINILICO]])</f>
        <v>0</v>
      </c>
      <c r="BX318" s="3">
        <f>+IF(AVANCE[[#This Row],[OSB CUBIERTA]]=AK$2,100%,AVANCE[[#This Row],[OSB CUBIERTA]])</f>
        <v>0</v>
      </c>
      <c r="BY318" s="3">
        <f>+IF(AVANCE[[#This Row],[BARANDA BALCON]]=AL$2,100%,AVANCE[[#This Row],[BARANDA BALCON]])</f>
        <v>0</v>
      </c>
      <c r="BZ318" s="3">
        <f>+IF(AVANCE[[#This Row],[OSB EXTERIOR]]=AM$2,100%,AVANCE[[#This Row],[OSB EXTERIOR]])</f>
        <v>0</v>
      </c>
      <c r="CA318" s="3">
        <f>+IF(AVANCE[[#This Row],[SMART PANEL]]=AN$2,100%,AVANCE[[#This Row],[SMART PANEL]])</f>
        <v>0</v>
      </c>
      <c r="CB318" s="3">
        <f>+IF(AVANCE[[#This Row],[PINTURA EXTERIOR]]=AO$2,100%,AVANCE[[#This Row],[PINTURA EXTERIOR]])</f>
        <v>0</v>
      </c>
      <c r="CC318" s="3">
        <f>+IF(AVANCE[[#This Row],[ZOCALOS LOGIA]]=AP$2,100%,AVANCE[[#This Row],[ZOCALOS LOGIA]])</f>
        <v>0</v>
      </c>
      <c r="CD318" s="3">
        <f>+IF(AVANCE[[#This Row],[MOLDURAS]]=AQ$2,100%,AVANCE[[#This Row],[MOLDURAS]])</f>
        <v>0</v>
      </c>
      <c r="CE318" s="3">
        <f>+IF(AVANCE[[#This Row],[PILASTREO]]=AR$2,100%,AVANCE[[#This Row],[PILASTREO]])</f>
        <v>0</v>
      </c>
      <c r="CF318" s="3">
        <f>+IF(AVANCE[[#This Row],[CELOSIAS]]=AS$2,100%,AVANCE[[#This Row],[CELOSIAS]])</f>
        <v>0</v>
      </c>
      <c r="CG318" s="3">
        <f>+IF(AVANCE[[#This Row],[VENTANAS]]=AT$2,100%,AVANCE[[#This Row],[VENTANAS]])</f>
        <v>0</v>
      </c>
      <c r="CH318" s="3">
        <f>+IF(AVANCE[[#This Row],[PUERTAS ACCESO - LOGIA - BANO]]=AU$2,100%,AVANCE[[#This Row],[PUERTAS ACCESO - LOGIA - BANO]])</f>
        <v>0</v>
      </c>
      <c r="CI318" s="3">
        <f>+IF(AVANCE[[#This Row],[CERRADURAS]]=AV$2,100%,AVANCE[[#This Row],[CERRADURAS]])</f>
        <v>0</v>
      </c>
      <c r="CJ318" s="3">
        <f>+IF(AVANCE[[#This Row],[REVESTIMIENTO INTERIOR ZONA SECA]]=AW$2,100%,AVANCE[[#This Row],[REVESTIMIENTO INTERIOR ZONA SECA]])</f>
        <v>0</v>
      </c>
      <c r="CK318" s="3">
        <f>+IF(AVANCE[[#This Row],[REVESTIMIENTO INTERIOR ZONAS HUMEDAS]]=AX$2,100%,AVANCE[[#This Row],[REVESTIMIENTO INTERIOR ZONAS HUMEDAS]])</f>
        <v>0</v>
      </c>
      <c r="CL318" s="3">
        <f>+IF(AVANCE[[#This Row],[MEMBRANA CIELO]]=AY$2,100%,AVANCE[[#This Row],[MEMBRANA CIELO]])</f>
        <v>0</v>
      </c>
      <c r="CM318" s="3">
        <f>+IF(AVANCE[[#This Row],[LIMPIEZA FINAL]]=AZ$2,100%,AVANCE[[#This Row],[LIMPIEZA FINAL]])</f>
        <v>0</v>
      </c>
      <c r="CN318" s="3">
        <f>+IF(AVANCE[[#This Row],[PUERTAS DORMITORIO]]=BA$2,100%,AVANCE[[#This Row],[PUERTAS DORMITORIO]])</f>
        <v>0</v>
      </c>
      <c r="CO318" s="3">
        <f>+IF(AVANCE[[#This Row],[REVESTIMIENTO INTERIOR BANO]]=BB$2,100%,AVANCE[[#This Row],[REVESTIMIENTO INTERIOR BANO]])</f>
        <v>0</v>
      </c>
      <c r="CP318" s="3">
        <f>+IF(AVANCE[[#This Row],[MUEBLE LAVAPLATOS]]=BC$2,100%,AVANCE[[#This Row],[MUEBLE LAVAPLATOS]])</f>
        <v>0</v>
      </c>
      <c r="CQ318" s="3">
        <f>+IF(AVANCE[[#This Row],[IMPERMEABILIZACION BANO - COCINA LOGIA]]=BD$2,100%,AVANCE[[#This Row],[IMPERMEABILIZACION BANO - COCINA LOGIA]])</f>
        <v>0</v>
      </c>
      <c r="CR318" s="40">
        <f ca="1">+IF(AVANCE[[#This Row],[ESTADO MODULO]]="PENDIENTE",(TODAY()-AVANCE[[#This Row],[FECHA TERMINO  PLANIFICADO]]),0)</f>
        <v>0</v>
      </c>
      <c r="CS318" s="42" t="str" cm="1">
        <f t="array" ref="CS318">_xlfn.TEXTJOIN(" | ",TRUE,IF(SUMPRODUCT((BF318:CQ318&lt;1)*(PARTIDAS!$I$2:$AT$2="OBRA GRUESA"))&gt;0,"OBRA GRUESA: "&amp;_xlfn.TEXTJOIN(", ",TRUE,IF((BF318:CQ318&lt;1)*(PARTIDAS!$I$2:$AT$2="OBRA GRUESA"),PARTIDAS!$I$1:$AT$1,"")),""),IF(SUMPRODUCT((BF318:CQ318&lt;1)*(PARTIDAS!$I$2:$AT$2="SANITARIOS"))&gt;0,"SANITARIOS: "&amp;_xlfn.TEXTJOIN(", ",TRUE,IF((BF318:CQ318&lt;1)*(PARTIDAS!$I$2:$AT$2="SANITARIOS"),PARTIDAS!$I$1:$AT$1,"")),""),IF(SUMPRODUCT((BF318:CQ318&lt;1)*(PARTIDAS!$I$2:$AT$2="ELÉCTRICO"))&gt;0,"ELÉCTRICO: "&amp;_xlfn.TEXTJOIN(", ",TRUE,IF((BF318:CQ318&lt;1)*(PARTIDAS!$I$2:$AT$2="ELÉCTRICO"),PARTIDAS!$I$1:$AT$1,"")),""),IF(SUMPRODUCT((BF318:CQ318&lt;1)*(PARTIDAS!$I$2:$AT$2="TERMINACIONES"))&gt;0,"TERMINACIONES: "&amp;_xlfn.TEXTJOIN(", ",TRUE,IF((BF318:CQ318&lt;1)*(PARTIDAS!$I$2:$AT$2="TERMINACIONES"),PARTIDAS!$I$1:$AT$1,"")),""))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8" s="45" t="str" cm="1">
        <f t="array" ref="CT318">_xlfn.TEXTJOIN(", ",TRUE,IF(SUMPRODUCT((BF318:CQ318&lt;1)*(PARTIDAS!$I$2:$AT$2="OBRA GRUESA"))&gt;0,"OBRA GRUESA",""),IF(SUMPRODUCT((BF318:CQ318&lt;1)*(PARTIDAS!$I$2:$AT$2="SANITARIOS"))&gt;0,"SANITARIOS",""),IF(SUMPRODUCT((BF318:CQ318&lt;1)*(PARTIDAS!$I$2:$AT$2="ELÉCTRICO"))&gt;0,"ELÉCTRICO",""),IF(SUMPRODUCT((BF318:CQ318&lt;1)*(PARTIDAS!$I$2:$AT$2="TERMINACIONES"))&gt;0,"TERMINACIONES",""))</f>
        <v>OBRA GRUESA, SANITARIOS, ELÉCTRICO, TERMINACIONES</v>
      </c>
      <c r="CU318" s="46" cm="1">
        <f t="array" ref="CU318">SUMPRODUCT(--(BF318:CQ318&lt;1))</f>
        <v>38</v>
      </c>
    </row>
    <row r="319" spans="1:99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46181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 s="3" t="str">
        <f>+IF(AVANCE[[#This Row],[% AVANCE]]=100%,"MODULO TERMINADO",IF(AVANCE[[#This Row],[FECHA INICIO REAL]]="","MODULO NO INICIADO","PENDIENTE"))</f>
        <v>MODULO NO INICIADO</v>
      </c>
      <c r="BF319" s="3">
        <f>+IF(AVANCE[[#This Row],[VENTANAS]]=8.10810810810811%,100%,AVANCE[[#This Row],[VENTANAS]])</f>
        <v>0</v>
      </c>
      <c r="BG319" s="3">
        <f>+IF(AVANCE[[#This Row],[PISO]]=N$2,100%,AVANCE[[#This Row],[PISO]])</f>
        <v>0</v>
      </c>
      <c r="BH319" s="3">
        <f>+IF(AVANCE[[#This Row],[TABIQUES]]=O$2,100%,AVANCE[[#This Row],[TABIQUES]])</f>
        <v>0</v>
      </c>
      <c r="BI319" s="3">
        <f>+IF(AVANCE[[#This Row],[MUROS]]=P$2,100%,AVANCE[[#This Row],[MUROS]])</f>
        <v>0</v>
      </c>
      <c r="BJ319" s="3">
        <f>+IF(AVANCE[[#This Row],[CIELO]]=Q$2,100%,AVANCE[[#This Row],[CIELO]])</f>
        <v>0</v>
      </c>
      <c r="BK319" s="3">
        <f>+IF(AVANCE[[#This Row],[BALCÓN]]=R$2,100%,AVANCE[[#This Row],[BALCÓN]])</f>
        <v>0</v>
      </c>
      <c r="BL319" s="3">
        <f>+IF(AVANCE[[#This Row],[RED ALCANTARILLADO]]=U$2,100%,AVANCE[[#This Row],[RED ALCANTARILLADO]])</f>
        <v>0</v>
      </c>
      <c r="BM319" s="3">
        <f>+IF(AVANCE[[#This Row],[RED DE AGUA]]=V$2,100%,AVANCE[[#This Row],[RED DE AGUA]])</f>
        <v>0</v>
      </c>
      <c r="BN319" s="3">
        <f>+IF(AVANCE[[#This Row],[VENTILACIONES]]=W$2,100%,AVANCE[[#This Row],[VENTILACIONES]])</f>
        <v>0</v>
      </c>
      <c r="BO319" s="3">
        <f>+IF(AVANCE[[#This Row],[TINA]]=X$2,100%,AVANCE[[#This Row],[TINA]])</f>
        <v>0</v>
      </c>
      <c r="BP319" s="3">
        <f>+IF(AVANCE[[#This Row],[WC]]=Y$2,100%,AVANCE[[#This Row],[WC]])</f>
        <v>0</v>
      </c>
      <c r="BQ319" s="3">
        <f>+IF(AVANCE[[#This Row],[LAVAMANOS / LAVAPLATOS / LAVADERO]]=Z$2,100%,AVANCE[[#This Row],[LAVAMANOS / LAVAPLATOS / LAVADERO]])</f>
        <v>0</v>
      </c>
      <c r="BR319" s="3">
        <f>+IF(AVANCE[[#This Row],[CANALIZACIÓN]]=AC$2,100%,AVANCE[[#This Row],[CANALIZACIÓN]])</f>
        <v>0</v>
      </c>
      <c r="BS319" s="3">
        <f>+IF(AVANCE[[#This Row],[CABLEADO]]=AD$2,100%,AVANCE[[#This Row],[CABLEADO]])</f>
        <v>0</v>
      </c>
      <c r="BT319" s="3">
        <f>+IF(AVANCE[[#This Row],[ARTEFACTOS]]=AE$2,100%,AVANCE[[#This Row],[ARTEFACTOS]])</f>
        <v>0</v>
      </c>
      <c r="BU319" s="3">
        <f>+IF(AVANCE[[#This Row],[TABLERO]]=AF$2,100%,AVANCE[[#This Row],[TABLERO]])</f>
        <v>0</v>
      </c>
      <c r="BV319" s="3">
        <f>+IF(AVANCE[[#This Row],[CAJA PAU]]=AG$2,100%,AVANCE[[#This Row],[CAJA PAU]])</f>
        <v>0</v>
      </c>
      <c r="BW319" s="3">
        <f>+IF(AVANCE[[#This Row],[INSTALACION VINILICO]]=AJ$2,100%,AVANCE[[#This Row],[INSTALACION VINILICO]])</f>
        <v>0</v>
      </c>
      <c r="BX319" s="3">
        <f>+IF(AVANCE[[#This Row],[OSB CUBIERTA]]=AK$2,100%,AVANCE[[#This Row],[OSB CUBIERTA]])</f>
        <v>0</v>
      </c>
      <c r="BY319" s="3">
        <f>+IF(AVANCE[[#This Row],[BARANDA BALCON]]=AL$2,100%,AVANCE[[#This Row],[BARANDA BALCON]])</f>
        <v>0</v>
      </c>
      <c r="BZ319" s="3">
        <f>+IF(AVANCE[[#This Row],[OSB EXTERIOR]]=AM$2,100%,AVANCE[[#This Row],[OSB EXTERIOR]])</f>
        <v>0</v>
      </c>
      <c r="CA319" s="3">
        <f>+IF(AVANCE[[#This Row],[SMART PANEL]]=AN$2,100%,AVANCE[[#This Row],[SMART PANEL]])</f>
        <v>0</v>
      </c>
      <c r="CB319" s="3">
        <f>+IF(AVANCE[[#This Row],[PINTURA EXTERIOR]]=AO$2,100%,AVANCE[[#This Row],[PINTURA EXTERIOR]])</f>
        <v>0</v>
      </c>
      <c r="CC319" s="3">
        <f>+IF(AVANCE[[#This Row],[ZOCALOS LOGIA]]=AP$2,100%,AVANCE[[#This Row],[ZOCALOS LOGIA]])</f>
        <v>0</v>
      </c>
      <c r="CD319" s="3">
        <f>+IF(AVANCE[[#This Row],[MOLDURAS]]=AQ$2,100%,AVANCE[[#This Row],[MOLDURAS]])</f>
        <v>0</v>
      </c>
      <c r="CE319" s="3">
        <f>+IF(AVANCE[[#This Row],[PILASTREO]]=AR$2,100%,AVANCE[[#This Row],[PILASTREO]])</f>
        <v>0</v>
      </c>
      <c r="CF319" s="3">
        <f>+IF(AVANCE[[#This Row],[CELOSIAS]]=AS$2,100%,AVANCE[[#This Row],[CELOSIAS]])</f>
        <v>0</v>
      </c>
      <c r="CG319" s="3">
        <f>+IF(AVANCE[[#This Row],[VENTANAS]]=AT$2,100%,AVANCE[[#This Row],[VENTANAS]])</f>
        <v>0</v>
      </c>
      <c r="CH319" s="3">
        <f>+IF(AVANCE[[#This Row],[PUERTAS ACCESO - LOGIA - BANO]]=AU$2,100%,AVANCE[[#This Row],[PUERTAS ACCESO - LOGIA - BANO]])</f>
        <v>0</v>
      </c>
      <c r="CI319" s="3">
        <f>+IF(AVANCE[[#This Row],[CERRADURAS]]=AV$2,100%,AVANCE[[#This Row],[CERRADURAS]])</f>
        <v>0</v>
      </c>
      <c r="CJ319" s="3">
        <f>+IF(AVANCE[[#This Row],[REVESTIMIENTO INTERIOR ZONA SECA]]=AW$2,100%,AVANCE[[#This Row],[REVESTIMIENTO INTERIOR ZONA SECA]])</f>
        <v>0</v>
      </c>
      <c r="CK319" s="3">
        <f>+IF(AVANCE[[#This Row],[REVESTIMIENTO INTERIOR ZONAS HUMEDAS]]=AX$2,100%,AVANCE[[#This Row],[REVESTIMIENTO INTERIOR ZONAS HUMEDAS]])</f>
        <v>0</v>
      </c>
      <c r="CL319" s="3">
        <f>+IF(AVANCE[[#This Row],[MEMBRANA CIELO]]=AY$2,100%,AVANCE[[#This Row],[MEMBRANA CIELO]])</f>
        <v>0</v>
      </c>
      <c r="CM319" s="3">
        <f>+IF(AVANCE[[#This Row],[LIMPIEZA FINAL]]=AZ$2,100%,AVANCE[[#This Row],[LIMPIEZA FINAL]])</f>
        <v>0</v>
      </c>
      <c r="CN319" s="3">
        <f>+IF(AVANCE[[#This Row],[PUERTAS DORMITORIO]]=BA$2,100%,AVANCE[[#This Row],[PUERTAS DORMITORIO]])</f>
        <v>0</v>
      </c>
      <c r="CO319" s="3">
        <f>+IF(AVANCE[[#This Row],[REVESTIMIENTO INTERIOR BANO]]=BB$2,100%,AVANCE[[#This Row],[REVESTIMIENTO INTERIOR BANO]])</f>
        <v>0</v>
      </c>
      <c r="CP319" s="3">
        <f>+IF(AVANCE[[#This Row],[MUEBLE LAVAPLATOS]]=BC$2,100%,AVANCE[[#This Row],[MUEBLE LAVAPLATOS]])</f>
        <v>0</v>
      </c>
      <c r="CQ319" s="3">
        <f>+IF(AVANCE[[#This Row],[IMPERMEABILIZACION BANO - COCINA LOGIA]]=BD$2,100%,AVANCE[[#This Row],[IMPERMEABILIZACION BANO - COCINA LOGIA]])</f>
        <v>0</v>
      </c>
      <c r="CR319" s="40">
        <f ca="1">+IF(AVANCE[[#This Row],[ESTADO MODULO]]="PENDIENTE",(TODAY()-AVANCE[[#This Row],[FECHA TERMINO  PLANIFICADO]]),0)</f>
        <v>0</v>
      </c>
      <c r="CS319" s="42" t="str" cm="1">
        <f t="array" ref="CS319">_xlfn.TEXTJOIN(" | ",TRUE,IF(SUMPRODUCT((BF319:CQ319&lt;1)*(PARTIDAS!$I$2:$AT$2="OBRA GRUESA"))&gt;0,"OBRA GRUESA: "&amp;_xlfn.TEXTJOIN(", ",TRUE,IF((BF319:CQ319&lt;1)*(PARTIDAS!$I$2:$AT$2="OBRA GRUESA"),PARTIDAS!$I$1:$AT$1,"")),""),IF(SUMPRODUCT((BF319:CQ319&lt;1)*(PARTIDAS!$I$2:$AT$2="SANITARIOS"))&gt;0,"SANITARIOS: "&amp;_xlfn.TEXTJOIN(", ",TRUE,IF((BF319:CQ319&lt;1)*(PARTIDAS!$I$2:$AT$2="SANITARIOS"),PARTIDAS!$I$1:$AT$1,"")),""),IF(SUMPRODUCT((BF319:CQ319&lt;1)*(PARTIDAS!$I$2:$AT$2="ELÉCTRICO"))&gt;0,"ELÉCTRICO: "&amp;_xlfn.TEXTJOIN(", ",TRUE,IF((BF319:CQ319&lt;1)*(PARTIDAS!$I$2:$AT$2="ELÉCTRICO"),PARTIDAS!$I$1:$AT$1,"")),""),IF(SUMPRODUCT((BF319:CQ319&lt;1)*(PARTIDAS!$I$2:$AT$2="TERMINACIONES"))&gt;0,"TERMINACIONES: "&amp;_xlfn.TEXTJOIN(", ",TRUE,IF((BF319:CQ319&lt;1)*(PARTIDAS!$I$2:$AT$2="TERMINACIONES"),PARTIDAS!$I$1:$AT$1,"")),""))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19" s="45" t="str" cm="1">
        <f t="array" ref="CT319">_xlfn.TEXTJOIN(", ",TRUE,IF(SUMPRODUCT((BF319:CQ319&lt;1)*(PARTIDAS!$I$2:$AT$2="OBRA GRUESA"))&gt;0,"OBRA GRUESA",""),IF(SUMPRODUCT((BF319:CQ319&lt;1)*(PARTIDAS!$I$2:$AT$2="SANITARIOS"))&gt;0,"SANITARIOS",""),IF(SUMPRODUCT((BF319:CQ319&lt;1)*(PARTIDAS!$I$2:$AT$2="ELÉCTRICO"))&gt;0,"ELÉCTRICO",""),IF(SUMPRODUCT((BF319:CQ319&lt;1)*(PARTIDAS!$I$2:$AT$2="TERMINACIONES"))&gt;0,"TERMINACIONES",""))</f>
        <v>OBRA GRUESA, SANITARIOS, ELÉCTRICO, TERMINACIONES</v>
      </c>
      <c r="CU319" s="46" cm="1">
        <f t="array" ref="CU319">SUMPRODUCT(--(BF319:CQ319&lt;1))</f>
        <v>38</v>
      </c>
    </row>
    <row r="320" spans="1:99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46181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 s="3" t="str">
        <f>+IF(AVANCE[[#This Row],[% AVANCE]]=100%,"MODULO TERMINADO",IF(AVANCE[[#This Row],[FECHA INICIO REAL]]="","MODULO NO INICIADO","PENDIENTE"))</f>
        <v>MODULO NO INICIADO</v>
      </c>
      <c r="BF320" s="3">
        <f>+IF(AVANCE[[#This Row],[VENTANAS]]=8.10810810810811%,100%,AVANCE[[#This Row],[VENTANAS]])</f>
        <v>0</v>
      </c>
      <c r="BG320" s="3">
        <f>+IF(AVANCE[[#This Row],[PISO]]=N$2,100%,AVANCE[[#This Row],[PISO]])</f>
        <v>0</v>
      </c>
      <c r="BH320" s="3">
        <f>+IF(AVANCE[[#This Row],[TABIQUES]]=O$2,100%,AVANCE[[#This Row],[TABIQUES]])</f>
        <v>0</v>
      </c>
      <c r="BI320" s="3">
        <f>+IF(AVANCE[[#This Row],[MUROS]]=P$2,100%,AVANCE[[#This Row],[MUROS]])</f>
        <v>0</v>
      </c>
      <c r="BJ320" s="3">
        <f>+IF(AVANCE[[#This Row],[CIELO]]=Q$2,100%,AVANCE[[#This Row],[CIELO]])</f>
        <v>0</v>
      </c>
      <c r="BK320" s="3">
        <f>+IF(AVANCE[[#This Row],[BALCÓN]]=R$2,100%,AVANCE[[#This Row],[BALCÓN]])</f>
        <v>0</v>
      </c>
      <c r="BL320" s="3">
        <f>+IF(AVANCE[[#This Row],[RED ALCANTARILLADO]]=U$2,100%,AVANCE[[#This Row],[RED ALCANTARILLADO]])</f>
        <v>0</v>
      </c>
      <c r="BM320" s="3">
        <f>+IF(AVANCE[[#This Row],[RED DE AGUA]]=V$2,100%,AVANCE[[#This Row],[RED DE AGUA]])</f>
        <v>0</v>
      </c>
      <c r="BN320" s="3">
        <f>+IF(AVANCE[[#This Row],[VENTILACIONES]]=W$2,100%,AVANCE[[#This Row],[VENTILACIONES]])</f>
        <v>0</v>
      </c>
      <c r="BO320" s="3">
        <f>+IF(AVANCE[[#This Row],[TINA]]=X$2,100%,AVANCE[[#This Row],[TINA]])</f>
        <v>0</v>
      </c>
      <c r="BP320" s="3">
        <f>+IF(AVANCE[[#This Row],[WC]]=Y$2,100%,AVANCE[[#This Row],[WC]])</f>
        <v>0</v>
      </c>
      <c r="BQ320" s="3">
        <f>+IF(AVANCE[[#This Row],[LAVAMANOS / LAVAPLATOS / LAVADERO]]=Z$2,100%,AVANCE[[#This Row],[LAVAMANOS / LAVAPLATOS / LAVADERO]])</f>
        <v>0</v>
      </c>
      <c r="BR320" s="3">
        <f>+IF(AVANCE[[#This Row],[CANALIZACIÓN]]=AC$2,100%,AVANCE[[#This Row],[CANALIZACIÓN]])</f>
        <v>0</v>
      </c>
      <c r="BS320" s="3">
        <f>+IF(AVANCE[[#This Row],[CABLEADO]]=AD$2,100%,AVANCE[[#This Row],[CABLEADO]])</f>
        <v>0</v>
      </c>
      <c r="BT320" s="3">
        <f>+IF(AVANCE[[#This Row],[ARTEFACTOS]]=AE$2,100%,AVANCE[[#This Row],[ARTEFACTOS]])</f>
        <v>0</v>
      </c>
      <c r="BU320" s="3">
        <f>+IF(AVANCE[[#This Row],[TABLERO]]=AF$2,100%,AVANCE[[#This Row],[TABLERO]])</f>
        <v>0</v>
      </c>
      <c r="BV320" s="3">
        <f>+IF(AVANCE[[#This Row],[CAJA PAU]]=AG$2,100%,AVANCE[[#This Row],[CAJA PAU]])</f>
        <v>0</v>
      </c>
      <c r="BW320" s="3">
        <f>+IF(AVANCE[[#This Row],[INSTALACION VINILICO]]=AJ$2,100%,AVANCE[[#This Row],[INSTALACION VINILICO]])</f>
        <v>0</v>
      </c>
      <c r="BX320" s="3">
        <f>+IF(AVANCE[[#This Row],[OSB CUBIERTA]]=AK$2,100%,AVANCE[[#This Row],[OSB CUBIERTA]])</f>
        <v>0</v>
      </c>
      <c r="BY320" s="3">
        <f>+IF(AVANCE[[#This Row],[BARANDA BALCON]]=AL$2,100%,AVANCE[[#This Row],[BARANDA BALCON]])</f>
        <v>0</v>
      </c>
      <c r="BZ320" s="3">
        <f>+IF(AVANCE[[#This Row],[OSB EXTERIOR]]=AM$2,100%,AVANCE[[#This Row],[OSB EXTERIOR]])</f>
        <v>0</v>
      </c>
      <c r="CA320" s="3">
        <f>+IF(AVANCE[[#This Row],[SMART PANEL]]=AN$2,100%,AVANCE[[#This Row],[SMART PANEL]])</f>
        <v>0</v>
      </c>
      <c r="CB320" s="3">
        <f>+IF(AVANCE[[#This Row],[PINTURA EXTERIOR]]=AO$2,100%,AVANCE[[#This Row],[PINTURA EXTERIOR]])</f>
        <v>0</v>
      </c>
      <c r="CC320" s="3">
        <f>+IF(AVANCE[[#This Row],[ZOCALOS LOGIA]]=AP$2,100%,AVANCE[[#This Row],[ZOCALOS LOGIA]])</f>
        <v>0</v>
      </c>
      <c r="CD320" s="3">
        <f>+IF(AVANCE[[#This Row],[MOLDURAS]]=AQ$2,100%,AVANCE[[#This Row],[MOLDURAS]])</f>
        <v>0</v>
      </c>
      <c r="CE320" s="3">
        <f>+IF(AVANCE[[#This Row],[PILASTREO]]=AR$2,100%,AVANCE[[#This Row],[PILASTREO]])</f>
        <v>0</v>
      </c>
      <c r="CF320" s="3">
        <f>+IF(AVANCE[[#This Row],[CELOSIAS]]=AS$2,100%,AVANCE[[#This Row],[CELOSIAS]])</f>
        <v>0</v>
      </c>
      <c r="CG320" s="3">
        <f>+IF(AVANCE[[#This Row],[VENTANAS]]=AT$2,100%,AVANCE[[#This Row],[VENTANAS]])</f>
        <v>0</v>
      </c>
      <c r="CH320" s="3">
        <f>+IF(AVANCE[[#This Row],[PUERTAS ACCESO - LOGIA - BANO]]=AU$2,100%,AVANCE[[#This Row],[PUERTAS ACCESO - LOGIA - BANO]])</f>
        <v>0</v>
      </c>
      <c r="CI320" s="3">
        <f>+IF(AVANCE[[#This Row],[CERRADURAS]]=AV$2,100%,AVANCE[[#This Row],[CERRADURAS]])</f>
        <v>0</v>
      </c>
      <c r="CJ320" s="3">
        <f>+IF(AVANCE[[#This Row],[REVESTIMIENTO INTERIOR ZONA SECA]]=AW$2,100%,AVANCE[[#This Row],[REVESTIMIENTO INTERIOR ZONA SECA]])</f>
        <v>0</v>
      </c>
      <c r="CK320" s="3">
        <f>+IF(AVANCE[[#This Row],[REVESTIMIENTO INTERIOR ZONAS HUMEDAS]]=AX$2,100%,AVANCE[[#This Row],[REVESTIMIENTO INTERIOR ZONAS HUMEDAS]])</f>
        <v>0</v>
      </c>
      <c r="CL320" s="3">
        <f>+IF(AVANCE[[#This Row],[MEMBRANA CIELO]]=AY$2,100%,AVANCE[[#This Row],[MEMBRANA CIELO]])</f>
        <v>0</v>
      </c>
      <c r="CM320" s="3">
        <f>+IF(AVANCE[[#This Row],[LIMPIEZA FINAL]]=AZ$2,100%,AVANCE[[#This Row],[LIMPIEZA FINAL]])</f>
        <v>0</v>
      </c>
      <c r="CN320" s="3">
        <f>+IF(AVANCE[[#This Row],[PUERTAS DORMITORIO]]=BA$2,100%,AVANCE[[#This Row],[PUERTAS DORMITORIO]])</f>
        <v>0</v>
      </c>
      <c r="CO320" s="3">
        <f>+IF(AVANCE[[#This Row],[REVESTIMIENTO INTERIOR BANO]]=BB$2,100%,AVANCE[[#This Row],[REVESTIMIENTO INTERIOR BANO]])</f>
        <v>0</v>
      </c>
      <c r="CP320" s="3">
        <f>+IF(AVANCE[[#This Row],[MUEBLE LAVAPLATOS]]=BC$2,100%,AVANCE[[#This Row],[MUEBLE LAVAPLATOS]])</f>
        <v>0</v>
      </c>
      <c r="CQ320" s="3">
        <f>+IF(AVANCE[[#This Row],[IMPERMEABILIZACION BANO - COCINA LOGIA]]=BD$2,100%,AVANCE[[#This Row],[IMPERMEABILIZACION BANO - COCINA LOGIA]])</f>
        <v>0</v>
      </c>
      <c r="CR320" s="40">
        <f ca="1">+IF(AVANCE[[#This Row],[ESTADO MODULO]]="PENDIENTE",(TODAY()-AVANCE[[#This Row],[FECHA TERMINO  PLANIFICADO]]),0)</f>
        <v>0</v>
      </c>
      <c r="CS320" s="42" t="str" cm="1">
        <f t="array" ref="CS320">_xlfn.TEXTJOIN(" | ",TRUE,IF(SUMPRODUCT((BF320:CQ320&lt;1)*(PARTIDAS!$I$2:$AT$2="OBRA GRUESA"))&gt;0,"OBRA GRUESA: "&amp;_xlfn.TEXTJOIN(", ",TRUE,IF((BF320:CQ320&lt;1)*(PARTIDAS!$I$2:$AT$2="OBRA GRUESA"),PARTIDAS!$I$1:$AT$1,"")),""),IF(SUMPRODUCT((BF320:CQ320&lt;1)*(PARTIDAS!$I$2:$AT$2="SANITARIOS"))&gt;0,"SANITARIOS: "&amp;_xlfn.TEXTJOIN(", ",TRUE,IF((BF320:CQ320&lt;1)*(PARTIDAS!$I$2:$AT$2="SANITARIOS"),PARTIDAS!$I$1:$AT$1,"")),""),IF(SUMPRODUCT((BF320:CQ320&lt;1)*(PARTIDAS!$I$2:$AT$2="ELÉCTRICO"))&gt;0,"ELÉCTRICO: "&amp;_xlfn.TEXTJOIN(", ",TRUE,IF((BF320:CQ320&lt;1)*(PARTIDAS!$I$2:$AT$2="ELÉCTRICO"),PARTIDAS!$I$1:$AT$1,"")),""),IF(SUMPRODUCT((BF320:CQ320&lt;1)*(PARTIDAS!$I$2:$AT$2="TERMINACIONES"))&gt;0,"TERMINACIONES: "&amp;_xlfn.TEXTJOIN(", ",TRUE,IF((BF320:CQ320&lt;1)*(PARTIDAS!$I$2:$AT$2="TERMINACIONES"),PARTIDAS!$I$1:$AT$1,"")),""))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0" s="45" t="str" cm="1">
        <f t="array" ref="CT320">_xlfn.TEXTJOIN(", ",TRUE,IF(SUMPRODUCT((BF320:CQ320&lt;1)*(PARTIDAS!$I$2:$AT$2="OBRA GRUESA"))&gt;0,"OBRA GRUESA",""),IF(SUMPRODUCT((BF320:CQ320&lt;1)*(PARTIDAS!$I$2:$AT$2="SANITARIOS"))&gt;0,"SANITARIOS",""),IF(SUMPRODUCT((BF320:CQ320&lt;1)*(PARTIDAS!$I$2:$AT$2="ELÉCTRICO"))&gt;0,"ELÉCTRICO",""),IF(SUMPRODUCT((BF320:CQ320&lt;1)*(PARTIDAS!$I$2:$AT$2="TERMINACIONES"))&gt;0,"TERMINACIONES",""))</f>
        <v>OBRA GRUESA, SANITARIOS, ELÉCTRICO, TERMINACIONES</v>
      </c>
      <c r="CU320" s="46" cm="1">
        <f t="array" ref="CU320">SUMPRODUCT(--(BF320:CQ320&lt;1))</f>
        <v>38</v>
      </c>
    </row>
    <row r="321" spans="1:99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46181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 s="3" t="str">
        <f>+IF(AVANCE[[#This Row],[% AVANCE]]=100%,"MODULO TERMINADO",IF(AVANCE[[#This Row],[FECHA INICIO REAL]]="","MODULO NO INICIADO","PENDIENTE"))</f>
        <v>MODULO NO INICIADO</v>
      </c>
      <c r="BF321" s="3">
        <f>+IF(AVANCE[[#This Row],[VENTANAS]]=8.10810810810811%,100%,AVANCE[[#This Row],[VENTANAS]])</f>
        <v>0</v>
      </c>
      <c r="BG321" s="3">
        <f>+IF(AVANCE[[#This Row],[PISO]]=N$2,100%,AVANCE[[#This Row],[PISO]])</f>
        <v>0</v>
      </c>
      <c r="BH321" s="3">
        <f>+IF(AVANCE[[#This Row],[TABIQUES]]=O$2,100%,AVANCE[[#This Row],[TABIQUES]])</f>
        <v>0</v>
      </c>
      <c r="BI321" s="3">
        <f>+IF(AVANCE[[#This Row],[MUROS]]=P$2,100%,AVANCE[[#This Row],[MUROS]])</f>
        <v>0</v>
      </c>
      <c r="BJ321" s="3">
        <f>+IF(AVANCE[[#This Row],[CIELO]]=Q$2,100%,AVANCE[[#This Row],[CIELO]])</f>
        <v>0</v>
      </c>
      <c r="BK321" s="3">
        <f>+IF(AVANCE[[#This Row],[BALCÓN]]=R$2,100%,AVANCE[[#This Row],[BALCÓN]])</f>
        <v>0</v>
      </c>
      <c r="BL321" s="3">
        <f>+IF(AVANCE[[#This Row],[RED ALCANTARILLADO]]=U$2,100%,AVANCE[[#This Row],[RED ALCANTARILLADO]])</f>
        <v>0</v>
      </c>
      <c r="BM321" s="3">
        <f>+IF(AVANCE[[#This Row],[RED DE AGUA]]=V$2,100%,AVANCE[[#This Row],[RED DE AGUA]])</f>
        <v>0</v>
      </c>
      <c r="BN321" s="3">
        <f>+IF(AVANCE[[#This Row],[VENTILACIONES]]=W$2,100%,AVANCE[[#This Row],[VENTILACIONES]])</f>
        <v>0</v>
      </c>
      <c r="BO321" s="3">
        <f>+IF(AVANCE[[#This Row],[TINA]]=X$2,100%,AVANCE[[#This Row],[TINA]])</f>
        <v>0</v>
      </c>
      <c r="BP321" s="3">
        <f>+IF(AVANCE[[#This Row],[WC]]=Y$2,100%,AVANCE[[#This Row],[WC]])</f>
        <v>0</v>
      </c>
      <c r="BQ321" s="3">
        <f>+IF(AVANCE[[#This Row],[LAVAMANOS / LAVAPLATOS / LAVADERO]]=Z$2,100%,AVANCE[[#This Row],[LAVAMANOS / LAVAPLATOS / LAVADERO]])</f>
        <v>0</v>
      </c>
      <c r="BR321" s="3">
        <f>+IF(AVANCE[[#This Row],[CANALIZACIÓN]]=AC$2,100%,AVANCE[[#This Row],[CANALIZACIÓN]])</f>
        <v>0</v>
      </c>
      <c r="BS321" s="3">
        <f>+IF(AVANCE[[#This Row],[CABLEADO]]=AD$2,100%,AVANCE[[#This Row],[CABLEADO]])</f>
        <v>0</v>
      </c>
      <c r="BT321" s="3">
        <f>+IF(AVANCE[[#This Row],[ARTEFACTOS]]=AE$2,100%,AVANCE[[#This Row],[ARTEFACTOS]])</f>
        <v>0</v>
      </c>
      <c r="BU321" s="3">
        <f>+IF(AVANCE[[#This Row],[TABLERO]]=AF$2,100%,AVANCE[[#This Row],[TABLERO]])</f>
        <v>0</v>
      </c>
      <c r="BV321" s="3">
        <f>+IF(AVANCE[[#This Row],[CAJA PAU]]=AG$2,100%,AVANCE[[#This Row],[CAJA PAU]])</f>
        <v>0</v>
      </c>
      <c r="BW321" s="3">
        <f>+IF(AVANCE[[#This Row],[INSTALACION VINILICO]]=AJ$2,100%,AVANCE[[#This Row],[INSTALACION VINILICO]])</f>
        <v>0</v>
      </c>
      <c r="BX321" s="3">
        <f>+IF(AVANCE[[#This Row],[OSB CUBIERTA]]=AK$2,100%,AVANCE[[#This Row],[OSB CUBIERTA]])</f>
        <v>0</v>
      </c>
      <c r="BY321" s="3">
        <f>+IF(AVANCE[[#This Row],[BARANDA BALCON]]=AL$2,100%,AVANCE[[#This Row],[BARANDA BALCON]])</f>
        <v>0</v>
      </c>
      <c r="BZ321" s="3">
        <f>+IF(AVANCE[[#This Row],[OSB EXTERIOR]]=AM$2,100%,AVANCE[[#This Row],[OSB EXTERIOR]])</f>
        <v>0</v>
      </c>
      <c r="CA321" s="3">
        <f>+IF(AVANCE[[#This Row],[SMART PANEL]]=AN$2,100%,AVANCE[[#This Row],[SMART PANEL]])</f>
        <v>0</v>
      </c>
      <c r="CB321" s="3">
        <f>+IF(AVANCE[[#This Row],[PINTURA EXTERIOR]]=AO$2,100%,AVANCE[[#This Row],[PINTURA EXTERIOR]])</f>
        <v>0</v>
      </c>
      <c r="CC321" s="3">
        <f>+IF(AVANCE[[#This Row],[ZOCALOS LOGIA]]=AP$2,100%,AVANCE[[#This Row],[ZOCALOS LOGIA]])</f>
        <v>0</v>
      </c>
      <c r="CD321" s="3">
        <f>+IF(AVANCE[[#This Row],[MOLDURAS]]=AQ$2,100%,AVANCE[[#This Row],[MOLDURAS]])</f>
        <v>0</v>
      </c>
      <c r="CE321" s="3">
        <f>+IF(AVANCE[[#This Row],[PILASTREO]]=AR$2,100%,AVANCE[[#This Row],[PILASTREO]])</f>
        <v>0</v>
      </c>
      <c r="CF321" s="3">
        <f>+IF(AVANCE[[#This Row],[CELOSIAS]]=AS$2,100%,AVANCE[[#This Row],[CELOSIAS]])</f>
        <v>0</v>
      </c>
      <c r="CG321" s="3">
        <f>+IF(AVANCE[[#This Row],[VENTANAS]]=AT$2,100%,AVANCE[[#This Row],[VENTANAS]])</f>
        <v>0</v>
      </c>
      <c r="CH321" s="3">
        <f>+IF(AVANCE[[#This Row],[PUERTAS ACCESO - LOGIA - BANO]]=AU$2,100%,AVANCE[[#This Row],[PUERTAS ACCESO - LOGIA - BANO]])</f>
        <v>0</v>
      </c>
      <c r="CI321" s="3">
        <f>+IF(AVANCE[[#This Row],[CERRADURAS]]=AV$2,100%,AVANCE[[#This Row],[CERRADURAS]])</f>
        <v>0</v>
      </c>
      <c r="CJ321" s="3">
        <f>+IF(AVANCE[[#This Row],[REVESTIMIENTO INTERIOR ZONA SECA]]=AW$2,100%,AVANCE[[#This Row],[REVESTIMIENTO INTERIOR ZONA SECA]])</f>
        <v>0</v>
      </c>
      <c r="CK321" s="3">
        <f>+IF(AVANCE[[#This Row],[REVESTIMIENTO INTERIOR ZONAS HUMEDAS]]=AX$2,100%,AVANCE[[#This Row],[REVESTIMIENTO INTERIOR ZONAS HUMEDAS]])</f>
        <v>0</v>
      </c>
      <c r="CL321" s="3">
        <f>+IF(AVANCE[[#This Row],[MEMBRANA CIELO]]=AY$2,100%,AVANCE[[#This Row],[MEMBRANA CIELO]])</f>
        <v>0</v>
      </c>
      <c r="CM321" s="3">
        <f>+IF(AVANCE[[#This Row],[LIMPIEZA FINAL]]=AZ$2,100%,AVANCE[[#This Row],[LIMPIEZA FINAL]])</f>
        <v>0</v>
      </c>
      <c r="CN321" s="3">
        <f>+IF(AVANCE[[#This Row],[PUERTAS DORMITORIO]]=BA$2,100%,AVANCE[[#This Row],[PUERTAS DORMITORIO]])</f>
        <v>0</v>
      </c>
      <c r="CO321" s="3">
        <f>+IF(AVANCE[[#This Row],[REVESTIMIENTO INTERIOR BANO]]=BB$2,100%,AVANCE[[#This Row],[REVESTIMIENTO INTERIOR BANO]])</f>
        <v>0</v>
      </c>
      <c r="CP321" s="3">
        <f>+IF(AVANCE[[#This Row],[MUEBLE LAVAPLATOS]]=BC$2,100%,AVANCE[[#This Row],[MUEBLE LAVAPLATOS]])</f>
        <v>0</v>
      </c>
      <c r="CQ321" s="3">
        <f>+IF(AVANCE[[#This Row],[IMPERMEABILIZACION BANO - COCINA LOGIA]]=BD$2,100%,AVANCE[[#This Row],[IMPERMEABILIZACION BANO - COCINA LOGIA]])</f>
        <v>0</v>
      </c>
      <c r="CR321" s="40">
        <f ca="1">+IF(AVANCE[[#This Row],[ESTADO MODULO]]="PENDIENTE",(TODAY()-AVANCE[[#This Row],[FECHA TERMINO  PLANIFICADO]]),0)</f>
        <v>0</v>
      </c>
      <c r="CS321" s="42" t="str" cm="1">
        <f t="array" ref="CS321">_xlfn.TEXTJOIN(" | ",TRUE,IF(SUMPRODUCT((BF321:CQ321&lt;1)*(PARTIDAS!$I$2:$AT$2="OBRA GRUESA"))&gt;0,"OBRA GRUESA: "&amp;_xlfn.TEXTJOIN(", ",TRUE,IF((BF321:CQ321&lt;1)*(PARTIDAS!$I$2:$AT$2="OBRA GRUESA"),PARTIDAS!$I$1:$AT$1,"")),""),IF(SUMPRODUCT((BF321:CQ321&lt;1)*(PARTIDAS!$I$2:$AT$2="SANITARIOS"))&gt;0,"SANITARIOS: "&amp;_xlfn.TEXTJOIN(", ",TRUE,IF((BF321:CQ321&lt;1)*(PARTIDAS!$I$2:$AT$2="SANITARIOS"),PARTIDAS!$I$1:$AT$1,"")),""),IF(SUMPRODUCT((BF321:CQ321&lt;1)*(PARTIDAS!$I$2:$AT$2="ELÉCTRICO"))&gt;0,"ELÉCTRICO: "&amp;_xlfn.TEXTJOIN(", ",TRUE,IF((BF321:CQ321&lt;1)*(PARTIDAS!$I$2:$AT$2="ELÉCTRICO"),PARTIDAS!$I$1:$AT$1,"")),""),IF(SUMPRODUCT((BF321:CQ321&lt;1)*(PARTIDAS!$I$2:$AT$2="TERMINACIONES"))&gt;0,"TERMINACIONES: "&amp;_xlfn.TEXTJOIN(", ",TRUE,IF((BF321:CQ321&lt;1)*(PARTIDAS!$I$2:$AT$2="TERMINACIONES"),PARTIDAS!$I$1:$AT$1,"")),""))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1" s="45" t="str" cm="1">
        <f t="array" ref="CT321">_xlfn.TEXTJOIN(", ",TRUE,IF(SUMPRODUCT((BF321:CQ321&lt;1)*(PARTIDAS!$I$2:$AT$2="OBRA GRUESA"))&gt;0,"OBRA GRUESA",""),IF(SUMPRODUCT((BF321:CQ321&lt;1)*(PARTIDAS!$I$2:$AT$2="SANITARIOS"))&gt;0,"SANITARIOS",""),IF(SUMPRODUCT((BF321:CQ321&lt;1)*(PARTIDAS!$I$2:$AT$2="ELÉCTRICO"))&gt;0,"ELÉCTRICO",""),IF(SUMPRODUCT((BF321:CQ321&lt;1)*(PARTIDAS!$I$2:$AT$2="TERMINACIONES"))&gt;0,"TERMINACIONES",""))</f>
        <v>OBRA GRUESA, SANITARIOS, ELÉCTRICO, TERMINACIONES</v>
      </c>
      <c r="CU321" s="46" cm="1">
        <f t="array" ref="CU321">SUMPRODUCT(--(BF321:CQ321&lt;1))</f>
        <v>38</v>
      </c>
    </row>
    <row r="322" spans="1:99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46181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 s="3" t="str">
        <f>+IF(AVANCE[[#This Row],[% AVANCE]]=100%,"MODULO TERMINADO",IF(AVANCE[[#This Row],[FECHA INICIO REAL]]="","MODULO NO INICIADO","PENDIENTE"))</f>
        <v>MODULO NO INICIADO</v>
      </c>
      <c r="BF322" s="3">
        <f>+IF(AVANCE[[#This Row],[VENTANAS]]=8.10810810810811%,100%,AVANCE[[#This Row],[VENTANAS]])</f>
        <v>0</v>
      </c>
      <c r="BG322" s="3">
        <f>+IF(AVANCE[[#This Row],[PISO]]=N$2,100%,AVANCE[[#This Row],[PISO]])</f>
        <v>0</v>
      </c>
      <c r="BH322" s="3">
        <f>+IF(AVANCE[[#This Row],[TABIQUES]]=O$2,100%,AVANCE[[#This Row],[TABIQUES]])</f>
        <v>0</v>
      </c>
      <c r="BI322" s="3">
        <f>+IF(AVANCE[[#This Row],[MUROS]]=P$2,100%,AVANCE[[#This Row],[MUROS]])</f>
        <v>0</v>
      </c>
      <c r="BJ322" s="3">
        <f>+IF(AVANCE[[#This Row],[CIELO]]=Q$2,100%,AVANCE[[#This Row],[CIELO]])</f>
        <v>0</v>
      </c>
      <c r="BK322" s="3">
        <f>+IF(AVANCE[[#This Row],[BALCÓN]]=R$2,100%,AVANCE[[#This Row],[BALCÓN]])</f>
        <v>0</v>
      </c>
      <c r="BL322" s="3">
        <f>+IF(AVANCE[[#This Row],[RED ALCANTARILLADO]]=U$2,100%,AVANCE[[#This Row],[RED ALCANTARILLADO]])</f>
        <v>0</v>
      </c>
      <c r="BM322" s="3">
        <f>+IF(AVANCE[[#This Row],[RED DE AGUA]]=V$2,100%,AVANCE[[#This Row],[RED DE AGUA]])</f>
        <v>0</v>
      </c>
      <c r="BN322" s="3">
        <f>+IF(AVANCE[[#This Row],[VENTILACIONES]]=W$2,100%,AVANCE[[#This Row],[VENTILACIONES]])</f>
        <v>0</v>
      </c>
      <c r="BO322" s="3">
        <f>+IF(AVANCE[[#This Row],[TINA]]=X$2,100%,AVANCE[[#This Row],[TINA]])</f>
        <v>0</v>
      </c>
      <c r="BP322" s="3">
        <f>+IF(AVANCE[[#This Row],[WC]]=Y$2,100%,AVANCE[[#This Row],[WC]])</f>
        <v>0</v>
      </c>
      <c r="BQ322" s="3">
        <f>+IF(AVANCE[[#This Row],[LAVAMANOS / LAVAPLATOS / LAVADERO]]=Z$2,100%,AVANCE[[#This Row],[LAVAMANOS / LAVAPLATOS / LAVADERO]])</f>
        <v>0</v>
      </c>
      <c r="BR322" s="3">
        <f>+IF(AVANCE[[#This Row],[CANALIZACIÓN]]=AC$2,100%,AVANCE[[#This Row],[CANALIZACIÓN]])</f>
        <v>0</v>
      </c>
      <c r="BS322" s="3">
        <f>+IF(AVANCE[[#This Row],[CABLEADO]]=AD$2,100%,AVANCE[[#This Row],[CABLEADO]])</f>
        <v>0</v>
      </c>
      <c r="BT322" s="3">
        <f>+IF(AVANCE[[#This Row],[ARTEFACTOS]]=AE$2,100%,AVANCE[[#This Row],[ARTEFACTOS]])</f>
        <v>0</v>
      </c>
      <c r="BU322" s="3">
        <f>+IF(AVANCE[[#This Row],[TABLERO]]=AF$2,100%,AVANCE[[#This Row],[TABLERO]])</f>
        <v>0</v>
      </c>
      <c r="BV322" s="3">
        <f>+IF(AVANCE[[#This Row],[CAJA PAU]]=AG$2,100%,AVANCE[[#This Row],[CAJA PAU]])</f>
        <v>0</v>
      </c>
      <c r="BW322" s="3">
        <f>+IF(AVANCE[[#This Row],[INSTALACION VINILICO]]=AJ$2,100%,AVANCE[[#This Row],[INSTALACION VINILICO]])</f>
        <v>0</v>
      </c>
      <c r="BX322" s="3">
        <f>+IF(AVANCE[[#This Row],[OSB CUBIERTA]]=AK$2,100%,AVANCE[[#This Row],[OSB CUBIERTA]])</f>
        <v>0</v>
      </c>
      <c r="BY322" s="3">
        <f>+IF(AVANCE[[#This Row],[BARANDA BALCON]]=AL$2,100%,AVANCE[[#This Row],[BARANDA BALCON]])</f>
        <v>0</v>
      </c>
      <c r="BZ322" s="3">
        <f>+IF(AVANCE[[#This Row],[OSB EXTERIOR]]=AM$2,100%,AVANCE[[#This Row],[OSB EXTERIOR]])</f>
        <v>0</v>
      </c>
      <c r="CA322" s="3">
        <f>+IF(AVANCE[[#This Row],[SMART PANEL]]=AN$2,100%,AVANCE[[#This Row],[SMART PANEL]])</f>
        <v>0</v>
      </c>
      <c r="CB322" s="3">
        <f>+IF(AVANCE[[#This Row],[PINTURA EXTERIOR]]=AO$2,100%,AVANCE[[#This Row],[PINTURA EXTERIOR]])</f>
        <v>0</v>
      </c>
      <c r="CC322" s="3">
        <f>+IF(AVANCE[[#This Row],[ZOCALOS LOGIA]]=AP$2,100%,AVANCE[[#This Row],[ZOCALOS LOGIA]])</f>
        <v>0</v>
      </c>
      <c r="CD322" s="3">
        <f>+IF(AVANCE[[#This Row],[MOLDURAS]]=AQ$2,100%,AVANCE[[#This Row],[MOLDURAS]])</f>
        <v>0</v>
      </c>
      <c r="CE322" s="3">
        <f>+IF(AVANCE[[#This Row],[PILASTREO]]=AR$2,100%,AVANCE[[#This Row],[PILASTREO]])</f>
        <v>0</v>
      </c>
      <c r="CF322" s="3">
        <f>+IF(AVANCE[[#This Row],[CELOSIAS]]=AS$2,100%,AVANCE[[#This Row],[CELOSIAS]])</f>
        <v>0</v>
      </c>
      <c r="CG322" s="3">
        <f>+IF(AVANCE[[#This Row],[VENTANAS]]=AT$2,100%,AVANCE[[#This Row],[VENTANAS]])</f>
        <v>0</v>
      </c>
      <c r="CH322" s="3">
        <f>+IF(AVANCE[[#This Row],[PUERTAS ACCESO - LOGIA - BANO]]=AU$2,100%,AVANCE[[#This Row],[PUERTAS ACCESO - LOGIA - BANO]])</f>
        <v>0</v>
      </c>
      <c r="CI322" s="3">
        <f>+IF(AVANCE[[#This Row],[CERRADURAS]]=AV$2,100%,AVANCE[[#This Row],[CERRADURAS]])</f>
        <v>0</v>
      </c>
      <c r="CJ322" s="3">
        <f>+IF(AVANCE[[#This Row],[REVESTIMIENTO INTERIOR ZONA SECA]]=AW$2,100%,AVANCE[[#This Row],[REVESTIMIENTO INTERIOR ZONA SECA]])</f>
        <v>0</v>
      </c>
      <c r="CK322" s="3">
        <f>+IF(AVANCE[[#This Row],[REVESTIMIENTO INTERIOR ZONAS HUMEDAS]]=AX$2,100%,AVANCE[[#This Row],[REVESTIMIENTO INTERIOR ZONAS HUMEDAS]])</f>
        <v>0</v>
      </c>
      <c r="CL322" s="3">
        <f>+IF(AVANCE[[#This Row],[MEMBRANA CIELO]]=AY$2,100%,AVANCE[[#This Row],[MEMBRANA CIELO]])</f>
        <v>0</v>
      </c>
      <c r="CM322" s="3">
        <f>+IF(AVANCE[[#This Row],[LIMPIEZA FINAL]]=AZ$2,100%,AVANCE[[#This Row],[LIMPIEZA FINAL]])</f>
        <v>0</v>
      </c>
      <c r="CN322" s="3">
        <f>+IF(AVANCE[[#This Row],[PUERTAS DORMITORIO]]=BA$2,100%,AVANCE[[#This Row],[PUERTAS DORMITORIO]])</f>
        <v>0</v>
      </c>
      <c r="CO322" s="3">
        <f>+IF(AVANCE[[#This Row],[REVESTIMIENTO INTERIOR BANO]]=BB$2,100%,AVANCE[[#This Row],[REVESTIMIENTO INTERIOR BANO]])</f>
        <v>0</v>
      </c>
      <c r="CP322" s="3">
        <f>+IF(AVANCE[[#This Row],[MUEBLE LAVAPLATOS]]=BC$2,100%,AVANCE[[#This Row],[MUEBLE LAVAPLATOS]])</f>
        <v>0</v>
      </c>
      <c r="CQ322" s="3">
        <f>+IF(AVANCE[[#This Row],[IMPERMEABILIZACION BANO - COCINA LOGIA]]=BD$2,100%,AVANCE[[#This Row],[IMPERMEABILIZACION BANO - COCINA LOGIA]])</f>
        <v>0</v>
      </c>
      <c r="CR322" s="40">
        <f ca="1">+IF(AVANCE[[#This Row],[ESTADO MODULO]]="PENDIENTE",(TODAY()-AVANCE[[#This Row],[FECHA TERMINO  PLANIFICADO]]),0)</f>
        <v>0</v>
      </c>
      <c r="CS322" s="42" t="str" cm="1">
        <f t="array" ref="CS322">_xlfn.TEXTJOIN(" | ",TRUE,IF(SUMPRODUCT((BF322:CQ322&lt;1)*(PARTIDAS!$I$2:$AT$2="OBRA GRUESA"))&gt;0,"OBRA GRUESA: "&amp;_xlfn.TEXTJOIN(", ",TRUE,IF((BF322:CQ322&lt;1)*(PARTIDAS!$I$2:$AT$2="OBRA GRUESA"),PARTIDAS!$I$1:$AT$1,"")),""),IF(SUMPRODUCT((BF322:CQ322&lt;1)*(PARTIDAS!$I$2:$AT$2="SANITARIOS"))&gt;0,"SANITARIOS: "&amp;_xlfn.TEXTJOIN(", ",TRUE,IF((BF322:CQ322&lt;1)*(PARTIDAS!$I$2:$AT$2="SANITARIOS"),PARTIDAS!$I$1:$AT$1,"")),""),IF(SUMPRODUCT((BF322:CQ322&lt;1)*(PARTIDAS!$I$2:$AT$2="ELÉCTRICO"))&gt;0,"ELÉCTRICO: "&amp;_xlfn.TEXTJOIN(", ",TRUE,IF((BF322:CQ322&lt;1)*(PARTIDAS!$I$2:$AT$2="ELÉCTRICO"),PARTIDAS!$I$1:$AT$1,"")),""),IF(SUMPRODUCT((BF322:CQ322&lt;1)*(PARTIDAS!$I$2:$AT$2="TERMINACIONES"))&gt;0,"TERMINACIONES: "&amp;_xlfn.TEXTJOIN(", ",TRUE,IF((BF322:CQ322&lt;1)*(PARTIDAS!$I$2:$AT$2="TERMINACIONES"),PARTIDAS!$I$1:$AT$1,"")),""))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2" s="45" t="str" cm="1">
        <f t="array" ref="CT322">_xlfn.TEXTJOIN(", ",TRUE,IF(SUMPRODUCT((BF322:CQ322&lt;1)*(PARTIDAS!$I$2:$AT$2="OBRA GRUESA"))&gt;0,"OBRA GRUESA",""),IF(SUMPRODUCT((BF322:CQ322&lt;1)*(PARTIDAS!$I$2:$AT$2="SANITARIOS"))&gt;0,"SANITARIOS",""),IF(SUMPRODUCT((BF322:CQ322&lt;1)*(PARTIDAS!$I$2:$AT$2="ELÉCTRICO"))&gt;0,"ELÉCTRICO",""),IF(SUMPRODUCT((BF322:CQ322&lt;1)*(PARTIDAS!$I$2:$AT$2="TERMINACIONES"))&gt;0,"TERMINACIONES",""))</f>
        <v>OBRA GRUESA, SANITARIOS, ELÉCTRICO, TERMINACIONES</v>
      </c>
      <c r="CU322" s="46" cm="1">
        <f t="array" ref="CU322">SUMPRODUCT(--(BF322:CQ322&lt;1))</f>
        <v>38</v>
      </c>
    </row>
    <row r="323" spans="1:99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46181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 s="3" t="str">
        <f>+IF(AVANCE[[#This Row],[% AVANCE]]=100%,"MODULO TERMINADO",IF(AVANCE[[#This Row],[FECHA INICIO REAL]]="","MODULO NO INICIADO","PENDIENTE"))</f>
        <v>MODULO NO INICIADO</v>
      </c>
      <c r="BF323" s="3">
        <f>+IF(AVANCE[[#This Row],[VENTANAS]]=8.10810810810811%,100%,AVANCE[[#This Row],[VENTANAS]])</f>
        <v>0</v>
      </c>
      <c r="BG323" s="3">
        <f>+IF(AVANCE[[#This Row],[PISO]]=N$2,100%,AVANCE[[#This Row],[PISO]])</f>
        <v>0</v>
      </c>
      <c r="BH323" s="3">
        <f>+IF(AVANCE[[#This Row],[TABIQUES]]=O$2,100%,AVANCE[[#This Row],[TABIQUES]])</f>
        <v>0</v>
      </c>
      <c r="BI323" s="3">
        <f>+IF(AVANCE[[#This Row],[MUROS]]=P$2,100%,AVANCE[[#This Row],[MUROS]])</f>
        <v>0</v>
      </c>
      <c r="BJ323" s="3">
        <f>+IF(AVANCE[[#This Row],[CIELO]]=Q$2,100%,AVANCE[[#This Row],[CIELO]])</f>
        <v>0</v>
      </c>
      <c r="BK323" s="3">
        <f>+IF(AVANCE[[#This Row],[BALCÓN]]=R$2,100%,AVANCE[[#This Row],[BALCÓN]])</f>
        <v>0</v>
      </c>
      <c r="BL323" s="3">
        <f>+IF(AVANCE[[#This Row],[RED ALCANTARILLADO]]=U$2,100%,AVANCE[[#This Row],[RED ALCANTARILLADO]])</f>
        <v>0</v>
      </c>
      <c r="BM323" s="3">
        <f>+IF(AVANCE[[#This Row],[RED DE AGUA]]=V$2,100%,AVANCE[[#This Row],[RED DE AGUA]])</f>
        <v>0</v>
      </c>
      <c r="BN323" s="3">
        <f>+IF(AVANCE[[#This Row],[VENTILACIONES]]=W$2,100%,AVANCE[[#This Row],[VENTILACIONES]])</f>
        <v>0</v>
      </c>
      <c r="BO323" s="3">
        <f>+IF(AVANCE[[#This Row],[TINA]]=X$2,100%,AVANCE[[#This Row],[TINA]])</f>
        <v>0</v>
      </c>
      <c r="BP323" s="3">
        <f>+IF(AVANCE[[#This Row],[WC]]=Y$2,100%,AVANCE[[#This Row],[WC]])</f>
        <v>0</v>
      </c>
      <c r="BQ323" s="3">
        <f>+IF(AVANCE[[#This Row],[LAVAMANOS / LAVAPLATOS / LAVADERO]]=Z$2,100%,AVANCE[[#This Row],[LAVAMANOS / LAVAPLATOS / LAVADERO]])</f>
        <v>0</v>
      </c>
      <c r="BR323" s="3">
        <f>+IF(AVANCE[[#This Row],[CANALIZACIÓN]]=AC$2,100%,AVANCE[[#This Row],[CANALIZACIÓN]])</f>
        <v>0</v>
      </c>
      <c r="BS323" s="3">
        <f>+IF(AVANCE[[#This Row],[CABLEADO]]=AD$2,100%,AVANCE[[#This Row],[CABLEADO]])</f>
        <v>0</v>
      </c>
      <c r="BT323" s="3">
        <f>+IF(AVANCE[[#This Row],[ARTEFACTOS]]=AE$2,100%,AVANCE[[#This Row],[ARTEFACTOS]])</f>
        <v>0</v>
      </c>
      <c r="BU323" s="3">
        <f>+IF(AVANCE[[#This Row],[TABLERO]]=AF$2,100%,AVANCE[[#This Row],[TABLERO]])</f>
        <v>0</v>
      </c>
      <c r="BV323" s="3">
        <f>+IF(AVANCE[[#This Row],[CAJA PAU]]=AG$2,100%,AVANCE[[#This Row],[CAJA PAU]])</f>
        <v>0</v>
      </c>
      <c r="BW323" s="3">
        <f>+IF(AVANCE[[#This Row],[INSTALACION VINILICO]]=AJ$2,100%,AVANCE[[#This Row],[INSTALACION VINILICO]])</f>
        <v>0</v>
      </c>
      <c r="BX323" s="3">
        <f>+IF(AVANCE[[#This Row],[OSB CUBIERTA]]=AK$2,100%,AVANCE[[#This Row],[OSB CUBIERTA]])</f>
        <v>0</v>
      </c>
      <c r="BY323" s="3">
        <f>+IF(AVANCE[[#This Row],[BARANDA BALCON]]=AL$2,100%,AVANCE[[#This Row],[BARANDA BALCON]])</f>
        <v>0</v>
      </c>
      <c r="BZ323" s="3">
        <f>+IF(AVANCE[[#This Row],[OSB EXTERIOR]]=AM$2,100%,AVANCE[[#This Row],[OSB EXTERIOR]])</f>
        <v>0</v>
      </c>
      <c r="CA323" s="3">
        <f>+IF(AVANCE[[#This Row],[SMART PANEL]]=AN$2,100%,AVANCE[[#This Row],[SMART PANEL]])</f>
        <v>0</v>
      </c>
      <c r="CB323" s="3">
        <f>+IF(AVANCE[[#This Row],[PINTURA EXTERIOR]]=AO$2,100%,AVANCE[[#This Row],[PINTURA EXTERIOR]])</f>
        <v>0</v>
      </c>
      <c r="CC323" s="3">
        <f>+IF(AVANCE[[#This Row],[ZOCALOS LOGIA]]=AP$2,100%,AVANCE[[#This Row],[ZOCALOS LOGIA]])</f>
        <v>0</v>
      </c>
      <c r="CD323" s="3">
        <f>+IF(AVANCE[[#This Row],[MOLDURAS]]=AQ$2,100%,AVANCE[[#This Row],[MOLDURAS]])</f>
        <v>0</v>
      </c>
      <c r="CE323" s="3">
        <f>+IF(AVANCE[[#This Row],[PILASTREO]]=AR$2,100%,AVANCE[[#This Row],[PILASTREO]])</f>
        <v>0</v>
      </c>
      <c r="CF323" s="3">
        <f>+IF(AVANCE[[#This Row],[CELOSIAS]]=AS$2,100%,AVANCE[[#This Row],[CELOSIAS]])</f>
        <v>0</v>
      </c>
      <c r="CG323" s="3">
        <f>+IF(AVANCE[[#This Row],[VENTANAS]]=AT$2,100%,AVANCE[[#This Row],[VENTANAS]])</f>
        <v>0</v>
      </c>
      <c r="CH323" s="3">
        <f>+IF(AVANCE[[#This Row],[PUERTAS ACCESO - LOGIA - BANO]]=AU$2,100%,AVANCE[[#This Row],[PUERTAS ACCESO - LOGIA - BANO]])</f>
        <v>0</v>
      </c>
      <c r="CI323" s="3">
        <f>+IF(AVANCE[[#This Row],[CERRADURAS]]=AV$2,100%,AVANCE[[#This Row],[CERRADURAS]])</f>
        <v>0</v>
      </c>
      <c r="CJ323" s="3">
        <f>+IF(AVANCE[[#This Row],[REVESTIMIENTO INTERIOR ZONA SECA]]=AW$2,100%,AVANCE[[#This Row],[REVESTIMIENTO INTERIOR ZONA SECA]])</f>
        <v>0</v>
      </c>
      <c r="CK323" s="3">
        <f>+IF(AVANCE[[#This Row],[REVESTIMIENTO INTERIOR ZONAS HUMEDAS]]=AX$2,100%,AVANCE[[#This Row],[REVESTIMIENTO INTERIOR ZONAS HUMEDAS]])</f>
        <v>0</v>
      </c>
      <c r="CL323" s="3">
        <f>+IF(AVANCE[[#This Row],[MEMBRANA CIELO]]=AY$2,100%,AVANCE[[#This Row],[MEMBRANA CIELO]])</f>
        <v>0</v>
      </c>
      <c r="CM323" s="3">
        <f>+IF(AVANCE[[#This Row],[LIMPIEZA FINAL]]=AZ$2,100%,AVANCE[[#This Row],[LIMPIEZA FINAL]])</f>
        <v>0</v>
      </c>
      <c r="CN323" s="3">
        <f>+IF(AVANCE[[#This Row],[PUERTAS DORMITORIO]]=BA$2,100%,AVANCE[[#This Row],[PUERTAS DORMITORIO]])</f>
        <v>0</v>
      </c>
      <c r="CO323" s="3">
        <f>+IF(AVANCE[[#This Row],[REVESTIMIENTO INTERIOR BANO]]=BB$2,100%,AVANCE[[#This Row],[REVESTIMIENTO INTERIOR BANO]])</f>
        <v>0</v>
      </c>
      <c r="CP323" s="3">
        <f>+IF(AVANCE[[#This Row],[MUEBLE LAVAPLATOS]]=BC$2,100%,AVANCE[[#This Row],[MUEBLE LAVAPLATOS]])</f>
        <v>0</v>
      </c>
      <c r="CQ323" s="3">
        <f>+IF(AVANCE[[#This Row],[IMPERMEABILIZACION BANO - COCINA LOGIA]]=BD$2,100%,AVANCE[[#This Row],[IMPERMEABILIZACION BANO - COCINA LOGIA]])</f>
        <v>0</v>
      </c>
      <c r="CR323" s="40">
        <f ca="1">+IF(AVANCE[[#This Row],[ESTADO MODULO]]="PENDIENTE",(TODAY()-AVANCE[[#This Row],[FECHA TERMINO  PLANIFICADO]]),0)</f>
        <v>0</v>
      </c>
      <c r="CS323" s="42" t="str" cm="1">
        <f t="array" ref="CS323">_xlfn.TEXTJOIN(" | ",TRUE,IF(SUMPRODUCT((BF323:CQ323&lt;1)*(PARTIDAS!$I$2:$AT$2="OBRA GRUESA"))&gt;0,"OBRA GRUESA: "&amp;_xlfn.TEXTJOIN(", ",TRUE,IF((BF323:CQ323&lt;1)*(PARTIDAS!$I$2:$AT$2="OBRA GRUESA"),PARTIDAS!$I$1:$AT$1,"")),""),IF(SUMPRODUCT((BF323:CQ323&lt;1)*(PARTIDAS!$I$2:$AT$2="SANITARIOS"))&gt;0,"SANITARIOS: "&amp;_xlfn.TEXTJOIN(", ",TRUE,IF((BF323:CQ323&lt;1)*(PARTIDAS!$I$2:$AT$2="SANITARIOS"),PARTIDAS!$I$1:$AT$1,"")),""),IF(SUMPRODUCT((BF323:CQ323&lt;1)*(PARTIDAS!$I$2:$AT$2="ELÉCTRICO"))&gt;0,"ELÉCTRICO: "&amp;_xlfn.TEXTJOIN(", ",TRUE,IF((BF323:CQ323&lt;1)*(PARTIDAS!$I$2:$AT$2="ELÉCTRICO"),PARTIDAS!$I$1:$AT$1,"")),""),IF(SUMPRODUCT((BF323:CQ323&lt;1)*(PARTIDAS!$I$2:$AT$2="TERMINACIONES"))&gt;0,"TERMINACIONES: "&amp;_xlfn.TEXTJOIN(", ",TRUE,IF((BF323:CQ323&lt;1)*(PARTIDAS!$I$2:$AT$2="TERMINACIONES"),PARTIDAS!$I$1:$AT$1,"")),""))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3" s="45" t="str" cm="1">
        <f t="array" ref="CT323">_xlfn.TEXTJOIN(", ",TRUE,IF(SUMPRODUCT((BF323:CQ323&lt;1)*(PARTIDAS!$I$2:$AT$2="OBRA GRUESA"))&gt;0,"OBRA GRUESA",""),IF(SUMPRODUCT((BF323:CQ323&lt;1)*(PARTIDAS!$I$2:$AT$2="SANITARIOS"))&gt;0,"SANITARIOS",""),IF(SUMPRODUCT((BF323:CQ323&lt;1)*(PARTIDAS!$I$2:$AT$2="ELÉCTRICO"))&gt;0,"ELÉCTRICO",""),IF(SUMPRODUCT((BF323:CQ323&lt;1)*(PARTIDAS!$I$2:$AT$2="TERMINACIONES"))&gt;0,"TERMINACIONES",""))</f>
        <v>OBRA GRUESA, SANITARIOS, ELÉCTRICO, TERMINACIONES</v>
      </c>
      <c r="CU323" s="46" cm="1">
        <f t="array" ref="CU323">SUMPRODUCT(--(BF323:CQ323&lt;1))</f>
        <v>38</v>
      </c>
    </row>
    <row r="324" spans="1:99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46181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 s="3" t="str">
        <f>+IF(AVANCE[[#This Row],[% AVANCE]]=100%,"MODULO TERMINADO",IF(AVANCE[[#This Row],[FECHA INICIO REAL]]="","MODULO NO INICIADO","PENDIENTE"))</f>
        <v>MODULO NO INICIADO</v>
      </c>
      <c r="BF324" s="3">
        <f>+IF(AVANCE[[#This Row],[VENTANAS]]=8.10810810810811%,100%,AVANCE[[#This Row],[VENTANAS]])</f>
        <v>0</v>
      </c>
      <c r="BG324" s="3">
        <f>+IF(AVANCE[[#This Row],[PISO]]=N$2,100%,AVANCE[[#This Row],[PISO]])</f>
        <v>0</v>
      </c>
      <c r="BH324" s="3">
        <f>+IF(AVANCE[[#This Row],[TABIQUES]]=O$2,100%,AVANCE[[#This Row],[TABIQUES]])</f>
        <v>0</v>
      </c>
      <c r="BI324" s="3">
        <f>+IF(AVANCE[[#This Row],[MUROS]]=P$2,100%,AVANCE[[#This Row],[MUROS]])</f>
        <v>0</v>
      </c>
      <c r="BJ324" s="3">
        <f>+IF(AVANCE[[#This Row],[CIELO]]=Q$2,100%,AVANCE[[#This Row],[CIELO]])</f>
        <v>0</v>
      </c>
      <c r="BK324" s="3">
        <f>+IF(AVANCE[[#This Row],[BALCÓN]]=R$2,100%,AVANCE[[#This Row],[BALCÓN]])</f>
        <v>0</v>
      </c>
      <c r="BL324" s="3">
        <f>+IF(AVANCE[[#This Row],[RED ALCANTARILLADO]]=U$2,100%,AVANCE[[#This Row],[RED ALCANTARILLADO]])</f>
        <v>0</v>
      </c>
      <c r="BM324" s="3">
        <f>+IF(AVANCE[[#This Row],[RED DE AGUA]]=V$2,100%,AVANCE[[#This Row],[RED DE AGUA]])</f>
        <v>0</v>
      </c>
      <c r="BN324" s="3">
        <f>+IF(AVANCE[[#This Row],[VENTILACIONES]]=W$2,100%,AVANCE[[#This Row],[VENTILACIONES]])</f>
        <v>0</v>
      </c>
      <c r="BO324" s="3">
        <f>+IF(AVANCE[[#This Row],[TINA]]=X$2,100%,AVANCE[[#This Row],[TINA]])</f>
        <v>0</v>
      </c>
      <c r="BP324" s="3">
        <f>+IF(AVANCE[[#This Row],[WC]]=Y$2,100%,AVANCE[[#This Row],[WC]])</f>
        <v>0</v>
      </c>
      <c r="BQ324" s="3">
        <f>+IF(AVANCE[[#This Row],[LAVAMANOS / LAVAPLATOS / LAVADERO]]=Z$2,100%,AVANCE[[#This Row],[LAVAMANOS / LAVAPLATOS / LAVADERO]])</f>
        <v>0</v>
      </c>
      <c r="BR324" s="3">
        <f>+IF(AVANCE[[#This Row],[CANALIZACIÓN]]=AC$2,100%,AVANCE[[#This Row],[CANALIZACIÓN]])</f>
        <v>0</v>
      </c>
      <c r="BS324" s="3">
        <f>+IF(AVANCE[[#This Row],[CABLEADO]]=AD$2,100%,AVANCE[[#This Row],[CABLEADO]])</f>
        <v>0</v>
      </c>
      <c r="BT324" s="3">
        <f>+IF(AVANCE[[#This Row],[ARTEFACTOS]]=AE$2,100%,AVANCE[[#This Row],[ARTEFACTOS]])</f>
        <v>0</v>
      </c>
      <c r="BU324" s="3">
        <f>+IF(AVANCE[[#This Row],[TABLERO]]=AF$2,100%,AVANCE[[#This Row],[TABLERO]])</f>
        <v>0</v>
      </c>
      <c r="BV324" s="3">
        <f>+IF(AVANCE[[#This Row],[CAJA PAU]]=AG$2,100%,AVANCE[[#This Row],[CAJA PAU]])</f>
        <v>0</v>
      </c>
      <c r="BW324" s="3">
        <f>+IF(AVANCE[[#This Row],[INSTALACION VINILICO]]=AJ$2,100%,AVANCE[[#This Row],[INSTALACION VINILICO]])</f>
        <v>0</v>
      </c>
      <c r="BX324" s="3">
        <f>+IF(AVANCE[[#This Row],[OSB CUBIERTA]]=AK$2,100%,AVANCE[[#This Row],[OSB CUBIERTA]])</f>
        <v>0</v>
      </c>
      <c r="BY324" s="3">
        <f>+IF(AVANCE[[#This Row],[BARANDA BALCON]]=AL$2,100%,AVANCE[[#This Row],[BARANDA BALCON]])</f>
        <v>0</v>
      </c>
      <c r="BZ324" s="3">
        <f>+IF(AVANCE[[#This Row],[OSB EXTERIOR]]=AM$2,100%,AVANCE[[#This Row],[OSB EXTERIOR]])</f>
        <v>0</v>
      </c>
      <c r="CA324" s="3">
        <f>+IF(AVANCE[[#This Row],[SMART PANEL]]=AN$2,100%,AVANCE[[#This Row],[SMART PANEL]])</f>
        <v>0</v>
      </c>
      <c r="CB324" s="3">
        <f>+IF(AVANCE[[#This Row],[PINTURA EXTERIOR]]=AO$2,100%,AVANCE[[#This Row],[PINTURA EXTERIOR]])</f>
        <v>0</v>
      </c>
      <c r="CC324" s="3">
        <f>+IF(AVANCE[[#This Row],[ZOCALOS LOGIA]]=AP$2,100%,AVANCE[[#This Row],[ZOCALOS LOGIA]])</f>
        <v>0</v>
      </c>
      <c r="CD324" s="3">
        <f>+IF(AVANCE[[#This Row],[MOLDURAS]]=AQ$2,100%,AVANCE[[#This Row],[MOLDURAS]])</f>
        <v>0</v>
      </c>
      <c r="CE324" s="3">
        <f>+IF(AVANCE[[#This Row],[PILASTREO]]=AR$2,100%,AVANCE[[#This Row],[PILASTREO]])</f>
        <v>0</v>
      </c>
      <c r="CF324" s="3">
        <f>+IF(AVANCE[[#This Row],[CELOSIAS]]=AS$2,100%,AVANCE[[#This Row],[CELOSIAS]])</f>
        <v>0</v>
      </c>
      <c r="CG324" s="3">
        <f>+IF(AVANCE[[#This Row],[VENTANAS]]=AT$2,100%,AVANCE[[#This Row],[VENTANAS]])</f>
        <v>0</v>
      </c>
      <c r="CH324" s="3">
        <f>+IF(AVANCE[[#This Row],[PUERTAS ACCESO - LOGIA - BANO]]=AU$2,100%,AVANCE[[#This Row],[PUERTAS ACCESO - LOGIA - BANO]])</f>
        <v>0</v>
      </c>
      <c r="CI324" s="3">
        <f>+IF(AVANCE[[#This Row],[CERRADURAS]]=AV$2,100%,AVANCE[[#This Row],[CERRADURAS]])</f>
        <v>0</v>
      </c>
      <c r="CJ324" s="3">
        <f>+IF(AVANCE[[#This Row],[REVESTIMIENTO INTERIOR ZONA SECA]]=AW$2,100%,AVANCE[[#This Row],[REVESTIMIENTO INTERIOR ZONA SECA]])</f>
        <v>0</v>
      </c>
      <c r="CK324" s="3">
        <f>+IF(AVANCE[[#This Row],[REVESTIMIENTO INTERIOR ZONAS HUMEDAS]]=AX$2,100%,AVANCE[[#This Row],[REVESTIMIENTO INTERIOR ZONAS HUMEDAS]])</f>
        <v>0</v>
      </c>
      <c r="CL324" s="3">
        <f>+IF(AVANCE[[#This Row],[MEMBRANA CIELO]]=AY$2,100%,AVANCE[[#This Row],[MEMBRANA CIELO]])</f>
        <v>0</v>
      </c>
      <c r="CM324" s="3">
        <f>+IF(AVANCE[[#This Row],[LIMPIEZA FINAL]]=AZ$2,100%,AVANCE[[#This Row],[LIMPIEZA FINAL]])</f>
        <v>0</v>
      </c>
      <c r="CN324" s="3">
        <f>+IF(AVANCE[[#This Row],[PUERTAS DORMITORIO]]=BA$2,100%,AVANCE[[#This Row],[PUERTAS DORMITORIO]])</f>
        <v>0</v>
      </c>
      <c r="CO324" s="3">
        <f>+IF(AVANCE[[#This Row],[REVESTIMIENTO INTERIOR BANO]]=BB$2,100%,AVANCE[[#This Row],[REVESTIMIENTO INTERIOR BANO]])</f>
        <v>0</v>
      </c>
      <c r="CP324" s="3">
        <f>+IF(AVANCE[[#This Row],[MUEBLE LAVAPLATOS]]=BC$2,100%,AVANCE[[#This Row],[MUEBLE LAVAPLATOS]])</f>
        <v>0</v>
      </c>
      <c r="CQ324" s="3">
        <f>+IF(AVANCE[[#This Row],[IMPERMEABILIZACION BANO - COCINA LOGIA]]=BD$2,100%,AVANCE[[#This Row],[IMPERMEABILIZACION BANO - COCINA LOGIA]])</f>
        <v>0</v>
      </c>
      <c r="CR324" s="40">
        <f ca="1">+IF(AVANCE[[#This Row],[ESTADO MODULO]]="PENDIENTE",(TODAY()-AVANCE[[#This Row],[FECHA TERMINO  PLANIFICADO]]),0)</f>
        <v>0</v>
      </c>
      <c r="CS324" s="42" t="str" cm="1">
        <f t="array" ref="CS324">_xlfn.TEXTJOIN(" | ",TRUE,IF(SUMPRODUCT((BF324:CQ324&lt;1)*(PARTIDAS!$I$2:$AT$2="OBRA GRUESA"))&gt;0,"OBRA GRUESA: "&amp;_xlfn.TEXTJOIN(", ",TRUE,IF((BF324:CQ324&lt;1)*(PARTIDAS!$I$2:$AT$2="OBRA GRUESA"),PARTIDAS!$I$1:$AT$1,"")),""),IF(SUMPRODUCT((BF324:CQ324&lt;1)*(PARTIDAS!$I$2:$AT$2="SANITARIOS"))&gt;0,"SANITARIOS: "&amp;_xlfn.TEXTJOIN(", ",TRUE,IF((BF324:CQ324&lt;1)*(PARTIDAS!$I$2:$AT$2="SANITARIOS"),PARTIDAS!$I$1:$AT$1,"")),""),IF(SUMPRODUCT((BF324:CQ324&lt;1)*(PARTIDAS!$I$2:$AT$2="ELÉCTRICO"))&gt;0,"ELÉCTRICO: "&amp;_xlfn.TEXTJOIN(", ",TRUE,IF((BF324:CQ324&lt;1)*(PARTIDAS!$I$2:$AT$2="ELÉCTRICO"),PARTIDAS!$I$1:$AT$1,"")),""),IF(SUMPRODUCT((BF324:CQ324&lt;1)*(PARTIDAS!$I$2:$AT$2="TERMINACIONES"))&gt;0,"TERMINACIONES: "&amp;_xlfn.TEXTJOIN(", ",TRUE,IF((BF324:CQ324&lt;1)*(PARTIDAS!$I$2:$AT$2="TERMINACIONES"),PARTIDAS!$I$1:$AT$1,"")),""))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4" s="45" t="str" cm="1">
        <f t="array" ref="CT324">_xlfn.TEXTJOIN(", ",TRUE,IF(SUMPRODUCT((BF324:CQ324&lt;1)*(PARTIDAS!$I$2:$AT$2="OBRA GRUESA"))&gt;0,"OBRA GRUESA",""),IF(SUMPRODUCT((BF324:CQ324&lt;1)*(PARTIDAS!$I$2:$AT$2="SANITARIOS"))&gt;0,"SANITARIOS",""),IF(SUMPRODUCT((BF324:CQ324&lt;1)*(PARTIDAS!$I$2:$AT$2="ELÉCTRICO"))&gt;0,"ELÉCTRICO",""),IF(SUMPRODUCT((BF324:CQ324&lt;1)*(PARTIDAS!$I$2:$AT$2="TERMINACIONES"))&gt;0,"TERMINACIONES",""))</f>
        <v>OBRA GRUESA, SANITARIOS, ELÉCTRICO, TERMINACIONES</v>
      </c>
      <c r="CU324" s="46" cm="1">
        <f t="array" ref="CU324">SUMPRODUCT(--(BF324:CQ324&lt;1))</f>
        <v>38</v>
      </c>
    </row>
    <row r="325" spans="1:99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46181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 s="3" t="str">
        <f>+IF(AVANCE[[#This Row],[% AVANCE]]=100%,"MODULO TERMINADO",IF(AVANCE[[#This Row],[FECHA INICIO REAL]]="","MODULO NO INICIADO","PENDIENTE"))</f>
        <v>MODULO NO INICIADO</v>
      </c>
      <c r="BF325" s="3">
        <f>+IF(AVANCE[[#This Row],[VENTANAS]]=8.10810810810811%,100%,AVANCE[[#This Row],[VENTANAS]])</f>
        <v>0</v>
      </c>
      <c r="BG325" s="3">
        <f>+IF(AVANCE[[#This Row],[PISO]]=N$2,100%,AVANCE[[#This Row],[PISO]])</f>
        <v>0</v>
      </c>
      <c r="BH325" s="3">
        <f>+IF(AVANCE[[#This Row],[TABIQUES]]=O$2,100%,AVANCE[[#This Row],[TABIQUES]])</f>
        <v>0</v>
      </c>
      <c r="BI325" s="3">
        <f>+IF(AVANCE[[#This Row],[MUROS]]=P$2,100%,AVANCE[[#This Row],[MUROS]])</f>
        <v>0</v>
      </c>
      <c r="BJ325" s="3">
        <f>+IF(AVANCE[[#This Row],[CIELO]]=Q$2,100%,AVANCE[[#This Row],[CIELO]])</f>
        <v>0</v>
      </c>
      <c r="BK325" s="3">
        <f>+IF(AVANCE[[#This Row],[BALCÓN]]=R$2,100%,AVANCE[[#This Row],[BALCÓN]])</f>
        <v>0</v>
      </c>
      <c r="BL325" s="3">
        <f>+IF(AVANCE[[#This Row],[RED ALCANTARILLADO]]=U$2,100%,AVANCE[[#This Row],[RED ALCANTARILLADO]])</f>
        <v>0</v>
      </c>
      <c r="BM325" s="3">
        <f>+IF(AVANCE[[#This Row],[RED DE AGUA]]=V$2,100%,AVANCE[[#This Row],[RED DE AGUA]])</f>
        <v>0</v>
      </c>
      <c r="BN325" s="3">
        <f>+IF(AVANCE[[#This Row],[VENTILACIONES]]=W$2,100%,AVANCE[[#This Row],[VENTILACIONES]])</f>
        <v>0</v>
      </c>
      <c r="BO325" s="3">
        <f>+IF(AVANCE[[#This Row],[TINA]]=X$2,100%,AVANCE[[#This Row],[TINA]])</f>
        <v>0</v>
      </c>
      <c r="BP325" s="3">
        <f>+IF(AVANCE[[#This Row],[WC]]=Y$2,100%,AVANCE[[#This Row],[WC]])</f>
        <v>0</v>
      </c>
      <c r="BQ325" s="3">
        <f>+IF(AVANCE[[#This Row],[LAVAMANOS / LAVAPLATOS / LAVADERO]]=Z$2,100%,AVANCE[[#This Row],[LAVAMANOS / LAVAPLATOS / LAVADERO]])</f>
        <v>0</v>
      </c>
      <c r="BR325" s="3">
        <f>+IF(AVANCE[[#This Row],[CANALIZACIÓN]]=AC$2,100%,AVANCE[[#This Row],[CANALIZACIÓN]])</f>
        <v>0</v>
      </c>
      <c r="BS325" s="3">
        <f>+IF(AVANCE[[#This Row],[CABLEADO]]=AD$2,100%,AVANCE[[#This Row],[CABLEADO]])</f>
        <v>0</v>
      </c>
      <c r="BT325" s="3">
        <f>+IF(AVANCE[[#This Row],[ARTEFACTOS]]=AE$2,100%,AVANCE[[#This Row],[ARTEFACTOS]])</f>
        <v>0</v>
      </c>
      <c r="BU325" s="3">
        <f>+IF(AVANCE[[#This Row],[TABLERO]]=AF$2,100%,AVANCE[[#This Row],[TABLERO]])</f>
        <v>0</v>
      </c>
      <c r="BV325" s="3">
        <f>+IF(AVANCE[[#This Row],[CAJA PAU]]=AG$2,100%,AVANCE[[#This Row],[CAJA PAU]])</f>
        <v>0</v>
      </c>
      <c r="BW325" s="3">
        <f>+IF(AVANCE[[#This Row],[INSTALACION VINILICO]]=AJ$2,100%,AVANCE[[#This Row],[INSTALACION VINILICO]])</f>
        <v>0</v>
      </c>
      <c r="BX325" s="3">
        <f>+IF(AVANCE[[#This Row],[OSB CUBIERTA]]=AK$2,100%,AVANCE[[#This Row],[OSB CUBIERTA]])</f>
        <v>0</v>
      </c>
      <c r="BY325" s="3">
        <f>+IF(AVANCE[[#This Row],[BARANDA BALCON]]=AL$2,100%,AVANCE[[#This Row],[BARANDA BALCON]])</f>
        <v>0</v>
      </c>
      <c r="BZ325" s="3">
        <f>+IF(AVANCE[[#This Row],[OSB EXTERIOR]]=AM$2,100%,AVANCE[[#This Row],[OSB EXTERIOR]])</f>
        <v>0</v>
      </c>
      <c r="CA325" s="3">
        <f>+IF(AVANCE[[#This Row],[SMART PANEL]]=AN$2,100%,AVANCE[[#This Row],[SMART PANEL]])</f>
        <v>0</v>
      </c>
      <c r="CB325" s="3">
        <f>+IF(AVANCE[[#This Row],[PINTURA EXTERIOR]]=AO$2,100%,AVANCE[[#This Row],[PINTURA EXTERIOR]])</f>
        <v>0</v>
      </c>
      <c r="CC325" s="3">
        <f>+IF(AVANCE[[#This Row],[ZOCALOS LOGIA]]=AP$2,100%,AVANCE[[#This Row],[ZOCALOS LOGIA]])</f>
        <v>0</v>
      </c>
      <c r="CD325" s="3">
        <f>+IF(AVANCE[[#This Row],[MOLDURAS]]=AQ$2,100%,AVANCE[[#This Row],[MOLDURAS]])</f>
        <v>0</v>
      </c>
      <c r="CE325" s="3">
        <f>+IF(AVANCE[[#This Row],[PILASTREO]]=AR$2,100%,AVANCE[[#This Row],[PILASTREO]])</f>
        <v>0</v>
      </c>
      <c r="CF325" s="3">
        <f>+IF(AVANCE[[#This Row],[CELOSIAS]]=AS$2,100%,AVANCE[[#This Row],[CELOSIAS]])</f>
        <v>0</v>
      </c>
      <c r="CG325" s="3">
        <f>+IF(AVANCE[[#This Row],[VENTANAS]]=AT$2,100%,AVANCE[[#This Row],[VENTANAS]])</f>
        <v>0</v>
      </c>
      <c r="CH325" s="3">
        <f>+IF(AVANCE[[#This Row],[PUERTAS ACCESO - LOGIA - BANO]]=AU$2,100%,AVANCE[[#This Row],[PUERTAS ACCESO - LOGIA - BANO]])</f>
        <v>0</v>
      </c>
      <c r="CI325" s="3">
        <f>+IF(AVANCE[[#This Row],[CERRADURAS]]=AV$2,100%,AVANCE[[#This Row],[CERRADURAS]])</f>
        <v>0</v>
      </c>
      <c r="CJ325" s="3">
        <f>+IF(AVANCE[[#This Row],[REVESTIMIENTO INTERIOR ZONA SECA]]=AW$2,100%,AVANCE[[#This Row],[REVESTIMIENTO INTERIOR ZONA SECA]])</f>
        <v>0</v>
      </c>
      <c r="CK325" s="3">
        <f>+IF(AVANCE[[#This Row],[REVESTIMIENTO INTERIOR ZONAS HUMEDAS]]=AX$2,100%,AVANCE[[#This Row],[REVESTIMIENTO INTERIOR ZONAS HUMEDAS]])</f>
        <v>0</v>
      </c>
      <c r="CL325" s="3">
        <f>+IF(AVANCE[[#This Row],[MEMBRANA CIELO]]=AY$2,100%,AVANCE[[#This Row],[MEMBRANA CIELO]])</f>
        <v>0</v>
      </c>
      <c r="CM325" s="3">
        <f>+IF(AVANCE[[#This Row],[LIMPIEZA FINAL]]=AZ$2,100%,AVANCE[[#This Row],[LIMPIEZA FINAL]])</f>
        <v>0</v>
      </c>
      <c r="CN325" s="3">
        <f>+IF(AVANCE[[#This Row],[PUERTAS DORMITORIO]]=BA$2,100%,AVANCE[[#This Row],[PUERTAS DORMITORIO]])</f>
        <v>0</v>
      </c>
      <c r="CO325" s="3">
        <f>+IF(AVANCE[[#This Row],[REVESTIMIENTO INTERIOR BANO]]=BB$2,100%,AVANCE[[#This Row],[REVESTIMIENTO INTERIOR BANO]])</f>
        <v>0</v>
      </c>
      <c r="CP325" s="3">
        <f>+IF(AVANCE[[#This Row],[MUEBLE LAVAPLATOS]]=BC$2,100%,AVANCE[[#This Row],[MUEBLE LAVAPLATOS]])</f>
        <v>0</v>
      </c>
      <c r="CQ325" s="3">
        <f>+IF(AVANCE[[#This Row],[IMPERMEABILIZACION BANO - COCINA LOGIA]]=BD$2,100%,AVANCE[[#This Row],[IMPERMEABILIZACION BANO - COCINA LOGIA]])</f>
        <v>0</v>
      </c>
      <c r="CR325" s="40">
        <f ca="1">+IF(AVANCE[[#This Row],[ESTADO MODULO]]="PENDIENTE",(TODAY()-AVANCE[[#This Row],[FECHA TERMINO  PLANIFICADO]]),0)</f>
        <v>0</v>
      </c>
      <c r="CS325" s="42" t="str" cm="1">
        <f t="array" ref="CS325">_xlfn.TEXTJOIN(" | ",TRUE,IF(SUMPRODUCT((BF325:CQ325&lt;1)*(PARTIDAS!$I$2:$AT$2="OBRA GRUESA"))&gt;0,"OBRA GRUESA: "&amp;_xlfn.TEXTJOIN(", ",TRUE,IF((BF325:CQ325&lt;1)*(PARTIDAS!$I$2:$AT$2="OBRA GRUESA"),PARTIDAS!$I$1:$AT$1,"")),""),IF(SUMPRODUCT((BF325:CQ325&lt;1)*(PARTIDAS!$I$2:$AT$2="SANITARIOS"))&gt;0,"SANITARIOS: "&amp;_xlfn.TEXTJOIN(", ",TRUE,IF((BF325:CQ325&lt;1)*(PARTIDAS!$I$2:$AT$2="SANITARIOS"),PARTIDAS!$I$1:$AT$1,"")),""),IF(SUMPRODUCT((BF325:CQ325&lt;1)*(PARTIDAS!$I$2:$AT$2="ELÉCTRICO"))&gt;0,"ELÉCTRICO: "&amp;_xlfn.TEXTJOIN(", ",TRUE,IF((BF325:CQ325&lt;1)*(PARTIDAS!$I$2:$AT$2="ELÉCTRICO"),PARTIDAS!$I$1:$AT$1,"")),""),IF(SUMPRODUCT((BF325:CQ325&lt;1)*(PARTIDAS!$I$2:$AT$2="TERMINACIONES"))&gt;0,"TERMINACIONES: "&amp;_xlfn.TEXTJOIN(", ",TRUE,IF((BF325:CQ325&lt;1)*(PARTIDAS!$I$2:$AT$2="TERMINACIONES"),PARTIDAS!$I$1:$AT$1,"")),""))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5" s="45" t="str" cm="1">
        <f t="array" ref="CT325">_xlfn.TEXTJOIN(", ",TRUE,IF(SUMPRODUCT((BF325:CQ325&lt;1)*(PARTIDAS!$I$2:$AT$2="OBRA GRUESA"))&gt;0,"OBRA GRUESA",""),IF(SUMPRODUCT((BF325:CQ325&lt;1)*(PARTIDAS!$I$2:$AT$2="SANITARIOS"))&gt;0,"SANITARIOS",""),IF(SUMPRODUCT((BF325:CQ325&lt;1)*(PARTIDAS!$I$2:$AT$2="ELÉCTRICO"))&gt;0,"ELÉCTRICO",""),IF(SUMPRODUCT((BF325:CQ325&lt;1)*(PARTIDAS!$I$2:$AT$2="TERMINACIONES"))&gt;0,"TERMINACIONES",""))</f>
        <v>OBRA GRUESA, SANITARIOS, ELÉCTRICO, TERMINACIONES</v>
      </c>
      <c r="CU325" s="46" cm="1">
        <f t="array" ref="CU325">SUMPRODUCT(--(BF325:CQ325&lt;1))</f>
        <v>38</v>
      </c>
    </row>
    <row r="326" spans="1:99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46181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 s="3" t="str">
        <f>+IF(AVANCE[[#This Row],[% AVANCE]]=100%,"MODULO TERMINADO",IF(AVANCE[[#This Row],[FECHA INICIO REAL]]="","MODULO NO INICIADO","PENDIENTE"))</f>
        <v>MODULO NO INICIADO</v>
      </c>
      <c r="BF326" s="3">
        <f>+IF(AVANCE[[#This Row],[VENTANAS]]=8.10810810810811%,100%,AVANCE[[#This Row],[VENTANAS]])</f>
        <v>0</v>
      </c>
      <c r="BG326" s="3">
        <f>+IF(AVANCE[[#This Row],[PISO]]=N$2,100%,AVANCE[[#This Row],[PISO]])</f>
        <v>0</v>
      </c>
      <c r="BH326" s="3">
        <f>+IF(AVANCE[[#This Row],[TABIQUES]]=O$2,100%,AVANCE[[#This Row],[TABIQUES]])</f>
        <v>0</v>
      </c>
      <c r="BI326" s="3">
        <f>+IF(AVANCE[[#This Row],[MUROS]]=P$2,100%,AVANCE[[#This Row],[MUROS]])</f>
        <v>0</v>
      </c>
      <c r="BJ326" s="3">
        <f>+IF(AVANCE[[#This Row],[CIELO]]=Q$2,100%,AVANCE[[#This Row],[CIELO]])</f>
        <v>0</v>
      </c>
      <c r="BK326" s="3">
        <f>+IF(AVANCE[[#This Row],[BALCÓN]]=R$2,100%,AVANCE[[#This Row],[BALCÓN]])</f>
        <v>0</v>
      </c>
      <c r="BL326" s="3">
        <f>+IF(AVANCE[[#This Row],[RED ALCANTARILLADO]]=U$2,100%,AVANCE[[#This Row],[RED ALCANTARILLADO]])</f>
        <v>0</v>
      </c>
      <c r="BM326" s="3">
        <f>+IF(AVANCE[[#This Row],[RED DE AGUA]]=V$2,100%,AVANCE[[#This Row],[RED DE AGUA]])</f>
        <v>0</v>
      </c>
      <c r="BN326" s="3">
        <f>+IF(AVANCE[[#This Row],[VENTILACIONES]]=W$2,100%,AVANCE[[#This Row],[VENTILACIONES]])</f>
        <v>0</v>
      </c>
      <c r="BO326" s="3">
        <f>+IF(AVANCE[[#This Row],[TINA]]=X$2,100%,AVANCE[[#This Row],[TINA]])</f>
        <v>0</v>
      </c>
      <c r="BP326" s="3">
        <f>+IF(AVANCE[[#This Row],[WC]]=Y$2,100%,AVANCE[[#This Row],[WC]])</f>
        <v>0</v>
      </c>
      <c r="BQ326" s="3">
        <f>+IF(AVANCE[[#This Row],[LAVAMANOS / LAVAPLATOS / LAVADERO]]=Z$2,100%,AVANCE[[#This Row],[LAVAMANOS / LAVAPLATOS / LAVADERO]])</f>
        <v>0</v>
      </c>
      <c r="BR326" s="3">
        <f>+IF(AVANCE[[#This Row],[CANALIZACIÓN]]=AC$2,100%,AVANCE[[#This Row],[CANALIZACIÓN]])</f>
        <v>0</v>
      </c>
      <c r="BS326" s="3">
        <f>+IF(AVANCE[[#This Row],[CABLEADO]]=AD$2,100%,AVANCE[[#This Row],[CABLEADO]])</f>
        <v>0</v>
      </c>
      <c r="BT326" s="3">
        <f>+IF(AVANCE[[#This Row],[ARTEFACTOS]]=AE$2,100%,AVANCE[[#This Row],[ARTEFACTOS]])</f>
        <v>0</v>
      </c>
      <c r="BU326" s="3">
        <f>+IF(AVANCE[[#This Row],[TABLERO]]=AF$2,100%,AVANCE[[#This Row],[TABLERO]])</f>
        <v>0</v>
      </c>
      <c r="BV326" s="3">
        <f>+IF(AVANCE[[#This Row],[CAJA PAU]]=AG$2,100%,AVANCE[[#This Row],[CAJA PAU]])</f>
        <v>0</v>
      </c>
      <c r="BW326" s="3">
        <f>+IF(AVANCE[[#This Row],[INSTALACION VINILICO]]=AJ$2,100%,AVANCE[[#This Row],[INSTALACION VINILICO]])</f>
        <v>0</v>
      </c>
      <c r="BX326" s="3">
        <f>+IF(AVANCE[[#This Row],[OSB CUBIERTA]]=AK$2,100%,AVANCE[[#This Row],[OSB CUBIERTA]])</f>
        <v>0</v>
      </c>
      <c r="BY326" s="3">
        <f>+IF(AVANCE[[#This Row],[BARANDA BALCON]]=AL$2,100%,AVANCE[[#This Row],[BARANDA BALCON]])</f>
        <v>0</v>
      </c>
      <c r="BZ326" s="3">
        <f>+IF(AVANCE[[#This Row],[OSB EXTERIOR]]=AM$2,100%,AVANCE[[#This Row],[OSB EXTERIOR]])</f>
        <v>0</v>
      </c>
      <c r="CA326" s="3">
        <f>+IF(AVANCE[[#This Row],[SMART PANEL]]=AN$2,100%,AVANCE[[#This Row],[SMART PANEL]])</f>
        <v>0</v>
      </c>
      <c r="CB326" s="3">
        <f>+IF(AVANCE[[#This Row],[PINTURA EXTERIOR]]=AO$2,100%,AVANCE[[#This Row],[PINTURA EXTERIOR]])</f>
        <v>0</v>
      </c>
      <c r="CC326" s="3">
        <f>+IF(AVANCE[[#This Row],[ZOCALOS LOGIA]]=AP$2,100%,AVANCE[[#This Row],[ZOCALOS LOGIA]])</f>
        <v>0</v>
      </c>
      <c r="CD326" s="3">
        <f>+IF(AVANCE[[#This Row],[MOLDURAS]]=AQ$2,100%,AVANCE[[#This Row],[MOLDURAS]])</f>
        <v>0</v>
      </c>
      <c r="CE326" s="3">
        <f>+IF(AVANCE[[#This Row],[PILASTREO]]=AR$2,100%,AVANCE[[#This Row],[PILASTREO]])</f>
        <v>0</v>
      </c>
      <c r="CF326" s="3">
        <f>+IF(AVANCE[[#This Row],[CELOSIAS]]=AS$2,100%,AVANCE[[#This Row],[CELOSIAS]])</f>
        <v>0</v>
      </c>
      <c r="CG326" s="3">
        <f>+IF(AVANCE[[#This Row],[VENTANAS]]=AT$2,100%,AVANCE[[#This Row],[VENTANAS]])</f>
        <v>0</v>
      </c>
      <c r="CH326" s="3">
        <f>+IF(AVANCE[[#This Row],[PUERTAS ACCESO - LOGIA - BANO]]=AU$2,100%,AVANCE[[#This Row],[PUERTAS ACCESO - LOGIA - BANO]])</f>
        <v>0</v>
      </c>
      <c r="CI326" s="3">
        <f>+IF(AVANCE[[#This Row],[CERRADURAS]]=AV$2,100%,AVANCE[[#This Row],[CERRADURAS]])</f>
        <v>0</v>
      </c>
      <c r="CJ326" s="3">
        <f>+IF(AVANCE[[#This Row],[REVESTIMIENTO INTERIOR ZONA SECA]]=AW$2,100%,AVANCE[[#This Row],[REVESTIMIENTO INTERIOR ZONA SECA]])</f>
        <v>0</v>
      </c>
      <c r="CK326" s="3">
        <f>+IF(AVANCE[[#This Row],[REVESTIMIENTO INTERIOR ZONAS HUMEDAS]]=AX$2,100%,AVANCE[[#This Row],[REVESTIMIENTO INTERIOR ZONAS HUMEDAS]])</f>
        <v>0</v>
      </c>
      <c r="CL326" s="3">
        <f>+IF(AVANCE[[#This Row],[MEMBRANA CIELO]]=AY$2,100%,AVANCE[[#This Row],[MEMBRANA CIELO]])</f>
        <v>0</v>
      </c>
      <c r="CM326" s="3">
        <f>+IF(AVANCE[[#This Row],[LIMPIEZA FINAL]]=AZ$2,100%,AVANCE[[#This Row],[LIMPIEZA FINAL]])</f>
        <v>0</v>
      </c>
      <c r="CN326" s="3">
        <f>+IF(AVANCE[[#This Row],[PUERTAS DORMITORIO]]=BA$2,100%,AVANCE[[#This Row],[PUERTAS DORMITORIO]])</f>
        <v>0</v>
      </c>
      <c r="CO326" s="3">
        <f>+IF(AVANCE[[#This Row],[REVESTIMIENTO INTERIOR BANO]]=BB$2,100%,AVANCE[[#This Row],[REVESTIMIENTO INTERIOR BANO]])</f>
        <v>0</v>
      </c>
      <c r="CP326" s="3">
        <f>+IF(AVANCE[[#This Row],[MUEBLE LAVAPLATOS]]=BC$2,100%,AVANCE[[#This Row],[MUEBLE LAVAPLATOS]])</f>
        <v>0</v>
      </c>
      <c r="CQ326" s="3">
        <f>+IF(AVANCE[[#This Row],[IMPERMEABILIZACION BANO - COCINA LOGIA]]=BD$2,100%,AVANCE[[#This Row],[IMPERMEABILIZACION BANO - COCINA LOGIA]])</f>
        <v>0</v>
      </c>
      <c r="CR326" s="40">
        <f ca="1">+IF(AVANCE[[#This Row],[ESTADO MODULO]]="PENDIENTE",(TODAY()-AVANCE[[#This Row],[FECHA TERMINO  PLANIFICADO]]),0)</f>
        <v>0</v>
      </c>
      <c r="CS326" s="42" t="str" cm="1">
        <f t="array" ref="CS326">_xlfn.TEXTJOIN(" | ",TRUE,IF(SUMPRODUCT((BF326:CQ326&lt;1)*(PARTIDAS!$I$2:$AT$2="OBRA GRUESA"))&gt;0,"OBRA GRUESA: "&amp;_xlfn.TEXTJOIN(", ",TRUE,IF((BF326:CQ326&lt;1)*(PARTIDAS!$I$2:$AT$2="OBRA GRUESA"),PARTIDAS!$I$1:$AT$1,"")),""),IF(SUMPRODUCT((BF326:CQ326&lt;1)*(PARTIDAS!$I$2:$AT$2="SANITARIOS"))&gt;0,"SANITARIOS: "&amp;_xlfn.TEXTJOIN(", ",TRUE,IF((BF326:CQ326&lt;1)*(PARTIDAS!$I$2:$AT$2="SANITARIOS"),PARTIDAS!$I$1:$AT$1,"")),""),IF(SUMPRODUCT((BF326:CQ326&lt;1)*(PARTIDAS!$I$2:$AT$2="ELÉCTRICO"))&gt;0,"ELÉCTRICO: "&amp;_xlfn.TEXTJOIN(", ",TRUE,IF((BF326:CQ326&lt;1)*(PARTIDAS!$I$2:$AT$2="ELÉCTRICO"),PARTIDAS!$I$1:$AT$1,"")),""),IF(SUMPRODUCT((BF326:CQ326&lt;1)*(PARTIDAS!$I$2:$AT$2="TERMINACIONES"))&gt;0,"TERMINACIONES: "&amp;_xlfn.TEXTJOIN(", ",TRUE,IF((BF326:CQ326&lt;1)*(PARTIDAS!$I$2:$AT$2="TERMINACIONES"),PARTIDAS!$I$1:$AT$1,"")),""))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6" s="45" t="str" cm="1">
        <f t="array" ref="CT326">_xlfn.TEXTJOIN(", ",TRUE,IF(SUMPRODUCT((BF326:CQ326&lt;1)*(PARTIDAS!$I$2:$AT$2="OBRA GRUESA"))&gt;0,"OBRA GRUESA",""),IF(SUMPRODUCT((BF326:CQ326&lt;1)*(PARTIDAS!$I$2:$AT$2="SANITARIOS"))&gt;0,"SANITARIOS",""),IF(SUMPRODUCT((BF326:CQ326&lt;1)*(PARTIDAS!$I$2:$AT$2="ELÉCTRICO"))&gt;0,"ELÉCTRICO",""),IF(SUMPRODUCT((BF326:CQ326&lt;1)*(PARTIDAS!$I$2:$AT$2="TERMINACIONES"))&gt;0,"TERMINACIONES",""))</f>
        <v>OBRA GRUESA, SANITARIOS, ELÉCTRICO, TERMINACIONES</v>
      </c>
      <c r="CU326" s="46" cm="1">
        <f t="array" ref="CU326">SUMPRODUCT(--(BF326:CQ326&lt;1))</f>
        <v>38</v>
      </c>
    </row>
    <row r="327" spans="1:99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46181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 s="3" t="str">
        <f>+IF(AVANCE[[#This Row],[% AVANCE]]=100%,"MODULO TERMINADO",IF(AVANCE[[#This Row],[FECHA INICIO REAL]]="","MODULO NO INICIADO","PENDIENTE"))</f>
        <v>MODULO NO INICIADO</v>
      </c>
      <c r="BF327" s="3">
        <f>+IF(AVANCE[[#This Row],[VENTANAS]]=8.10810810810811%,100%,AVANCE[[#This Row],[VENTANAS]])</f>
        <v>0</v>
      </c>
      <c r="BG327" s="3">
        <f>+IF(AVANCE[[#This Row],[PISO]]=N$2,100%,AVANCE[[#This Row],[PISO]])</f>
        <v>0</v>
      </c>
      <c r="BH327" s="3">
        <f>+IF(AVANCE[[#This Row],[TABIQUES]]=O$2,100%,AVANCE[[#This Row],[TABIQUES]])</f>
        <v>0</v>
      </c>
      <c r="BI327" s="3">
        <f>+IF(AVANCE[[#This Row],[MUROS]]=P$2,100%,AVANCE[[#This Row],[MUROS]])</f>
        <v>0</v>
      </c>
      <c r="BJ327" s="3">
        <f>+IF(AVANCE[[#This Row],[CIELO]]=Q$2,100%,AVANCE[[#This Row],[CIELO]])</f>
        <v>0</v>
      </c>
      <c r="BK327" s="3">
        <f>+IF(AVANCE[[#This Row],[BALCÓN]]=R$2,100%,AVANCE[[#This Row],[BALCÓN]])</f>
        <v>0</v>
      </c>
      <c r="BL327" s="3">
        <f>+IF(AVANCE[[#This Row],[RED ALCANTARILLADO]]=U$2,100%,AVANCE[[#This Row],[RED ALCANTARILLADO]])</f>
        <v>0</v>
      </c>
      <c r="BM327" s="3">
        <f>+IF(AVANCE[[#This Row],[RED DE AGUA]]=V$2,100%,AVANCE[[#This Row],[RED DE AGUA]])</f>
        <v>0</v>
      </c>
      <c r="BN327" s="3">
        <f>+IF(AVANCE[[#This Row],[VENTILACIONES]]=W$2,100%,AVANCE[[#This Row],[VENTILACIONES]])</f>
        <v>0</v>
      </c>
      <c r="BO327" s="3">
        <f>+IF(AVANCE[[#This Row],[TINA]]=X$2,100%,AVANCE[[#This Row],[TINA]])</f>
        <v>0</v>
      </c>
      <c r="BP327" s="3">
        <f>+IF(AVANCE[[#This Row],[WC]]=Y$2,100%,AVANCE[[#This Row],[WC]])</f>
        <v>0</v>
      </c>
      <c r="BQ327" s="3">
        <f>+IF(AVANCE[[#This Row],[LAVAMANOS / LAVAPLATOS / LAVADERO]]=Z$2,100%,AVANCE[[#This Row],[LAVAMANOS / LAVAPLATOS / LAVADERO]])</f>
        <v>0</v>
      </c>
      <c r="BR327" s="3">
        <f>+IF(AVANCE[[#This Row],[CANALIZACIÓN]]=AC$2,100%,AVANCE[[#This Row],[CANALIZACIÓN]])</f>
        <v>0</v>
      </c>
      <c r="BS327" s="3">
        <f>+IF(AVANCE[[#This Row],[CABLEADO]]=AD$2,100%,AVANCE[[#This Row],[CABLEADO]])</f>
        <v>0</v>
      </c>
      <c r="BT327" s="3">
        <f>+IF(AVANCE[[#This Row],[ARTEFACTOS]]=AE$2,100%,AVANCE[[#This Row],[ARTEFACTOS]])</f>
        <v>0</v>
      </c>
      <c r="BU327" s="3">
        <f>+IF(AVANCE[[#This Row],[TABLERO]]=AF$2,100%,AVANCE[[#This Row],[TABLERO]])</f>
        <v>0</v>
      </c>
      <c r="BV327" s="3">
        <f>+IF(AVANCE[[#This Row],[CAJA PAU]]=AG$2,100%,AVANCE[[#This Row],[CAJA PAU]])</f>
        <v>0</v>
      </c>
      <c r="BW327" s="3">
        <f>+IF(AVANCE[[#This Row],[INSTALACION VINILICO]]=AJ$2,100%,AVANCE[[#This Row],[INSTALACION VINILICO]])</f>
        <v>0</v>
      </c>
      <c r="BX327" s="3">
        <f>+IF(AVANCE[[#This Row],[OSB CUBIERTA]]=AK$2,100%,AVANCE[[#This Row],[OSB CUBIERTA]])</f>
        <v>0</v>
      </c>
      <c r="BY327" s="3">
        <f>+IF(AVANCE[[#This Row],[BARANDA BALCON]]=AL$2,100%,AVANCE[[#This Row],[BARANDA BALCON]])</f>
        <v>0</v>
      </c>
      <c r="BZ327" s="3">
        <f>+IF(AVANCE[[#This Row],[OSB EXTERIOR]]=AM$2,100%,AVANCE[[#This Row],[OSB EXTERIOR]])</f>
        <v>0</v>
      </c>
      <c r="CA327" s="3">
        <f>+IF(AVANCE[[#This Row],[SMART PANEL]]=AN$2,100%,AVANCE[[#This Row],[SMART PANEL]])</f>
        <v>0</v>
      </c>
      <c r="CB327" s="3">
        <f>+IF(AVANCE[[#This Row],[PINTURA EXTERIOR]]=AO$2,100%,AVANCE[[#This Row],[PINTURA EXTERIOR]])</f>
        <v>0</v>
      </c>
      <c r="CC327" s="3">
        <f>+IF(AVANCE[[#This Row],[ZOCALOS LOGIA]]=AP$2,100%,AVANCE[[#This Row],[ZOCALOS LOGIA]])</f>
        <v>0</v>
      </c>
      <c r="CD327" s="3">
        <f>+IF(AVANCE[[#This Row],[MOLDURAS]]=AQ$2,100%,AVANCE[[#This Row],[MOLDURAS]])</f>
        <v>0</v>
      </c>
      <c r="CE327" s="3">
        <f>+IF(AVANCE[[#This Row],[PILASTREO]]=AR$2,100%,AVANCE[[#This Row],[PILASTREO]])</f>
        <v>0</v>
      </c>
      <c r="CF327" s="3">
        <f>+IF(AVANCE[[#This Row],[CELOSIAS]]=AS$2,100%,AVANCE[[#This Row],[CELOSIAS]])</f>
        <v>0</v>
      </c>
      <c r="CG327" s="3">
        <f>+IF(AVANCE[[#This Row],[VENTANAS]]=AT$2,100%,AVANCE[[#This Row],[VENTANAS]])</f>
        <v>0</v>
      </c>
      <c r="CH327" s="3">
        <f>+IF(AVANCE[[#This Row],[PUERTAS ACCESO - LOGIA - BANO]]=AU$2,100%,AVANCE[[#This Row],[PUERTAS ACCESO - LOGIA - BANO]])</f>
        <v>0</v>
      </c>
      <c r="CI327" s="3">
        <f>+IF(AVANCE[[#This Row],[CERRADURAS]]=AV$2,100%,AVANCE[[#This Row],[CERRADURAS]])</f>
        <v>0</v>
      </c>
      <c r="CJ327" s="3">
        <f>+IF(AVANCE[[#This Row],[REVESTIMIENTO INTERIOR ZONA SECA]]=AW$2,100%,AVANCE[[#This Row],[REVESTIMIENTO INTERIOR ZONA SECA]])</f>
        <v>0</v>
      </c>
      <c r="CK327" s="3">
        <f>+IF(AVANCE[[#This Row],[REVESTIMIENTO INTERIOR ZONAS HUMEDAS]]=AX$2,100%,AVANCE[[#This Row],[REVESTIMIENTO INTERIOR ZONAS HUMEDAS]])</f>
        <v>0</v>
      </c>
      <c r="CL327" s="3">
        <f>+IF(AVANCE[[#This Row],[MEMBRANA CIELO]]=AY$2,100%,AVANCE[[#This Row],[MEMBRANA CIELO]])</f>
        <v>0</v>
      </c>
      <c r="CM327" s="3">
        <f>+IF(AVANCE[[#This Row],[LIMPIEZA FINAL]]=AZ$2,100%,AVANCE[[#This Row],[LIMPIEZA FINAL]])</f>
        <v>0</v>
      </c>
      <c r="CN327" s="3">
        <f>+IF(AVANCE[[#This Row],[PUERTAS DORMITORIO]]=BA$2,100%,AVANCE[[#This Row],[PUERTAS DORMITORIO]])</f>
        <v>0</v>
      </c>
      <c r="CO327" s="3">
        <f>+IF(AVANCE[[#This Row],[REVESTIMIENTO INTERIOR BANO]]=BB$2,100%,AVANCE[[#This Row],[REVESTIMIENTO INTERIOR BANO]])</f>
        <v>0</v>
      </c>
      <c r="CP327" s="3">
        <f>+IF(AVANCE[[#This Row],[MUEBLE LAVAPLATOS]]=BC$2,100%,AVANCE[[#This Row],[MUEBLE LAVAPLATOS]])</f>
        <v>0</v>
      </c>
      <c r="CQ327" s="3">
        <f>+IF(AVANCE[[#This Row],[IMPERMEABILIZACION BANO - COCINA LOGIA]]=BD$2,100%,AVANCE[[#This Row],[IMPERMEABILIZACION BANO - COCINA LOGIA]])</f>
        <v>0</v>
      </c>
      <c r="CR327" s="40">
        <f ca="1">+IF(AVANCE[[#This Row],[ESTADO MODULO]]="PENDIENTE",(TODAY()-AVANCE[[#This Row],[FECHA TERMINO  PLANIFICADO]]),0)</f>
        <v>0</v>
      </c>
      <c r="CS327" s="42" t="str" cm="1">
        <f t="array" ref="CS327">_xlfn.TEXTJOIN(" | ",TRUE,IF(SUMPRODUCT((BF327:CQ327&lt;1)*(PARTIDAS!$I$2:$AT$2="OBRA GRUESA"))&gt;0,"OBRA GRUESA: "&amp;_xlfn.TEXTJOIN(", ",TRUE,IF((BF327:CQ327&lt;1)*(PARTIDAS!$I$2:$AT$2="OBRA GRUESA"),PARTIDAS!$I$1:$AT$1,"")),""),IF(SUMPRODUCT((BF327:CQ327&lt;1)*(PARTIDAS!$I$2:$AT$2="SANITARIOS"))&gt;0,"SANITARIOS: "&amp;_xlfn.TEXTJOIN(", ",TRUE,IF((BF327:CQ327&lt;1)*(PARTIDAS!$I$2:$AT$2="SANITARIOS"),PARTIDAS!$I$1:$AT$1,"")),""),IF(SUMPRODUCT((BF327:CQ327&lt;1)*(PARTIDAS!$I$2:$AT$2="ELÉCTRICO"))&gt;0,"ELÉCTRICO: "&amp;_xlfn.TEXTJOIN(", ",TRUE,IF((BF327:CQ327&lt;1)*(PARTIDAS!$I$2:$AT$2="ELÉCTRICO"),PARTIDAS!$I$1:$AT$1,"")),""),IF(SUMPRODUCT((BF327:CQ327&lt;1)*(PARTIDAS!$I$2:$AT$2="TERMINACIONES"))&gt;0,"TERMINACIONES: "&amp;_xlfn.TEXTJOIN(", ",TRUE,IF((BF327:CQ327&lt;1)*(PARTIDAS!$I$2:$AT$2="TERMINACIONES"),PARTIDAS!$I$1:$AT$1,"")),""))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7" s="45" t="str" cm="1">
        <f t="array" ref="CT327">_xlfn.TEXTJOIN(", ",TRUE,IF(SUMPRODUCT((BF327:CQ327&lt;1)*(PARTIDAS!$I$2:$AT$2="OBRA GRUESA"))&gt;0,"OBRA GRUESA",""),IF(SUMPRODUCT((BF327:CQ327&lt;1)*(PARTIDAS!$I$2:$AT$2="SANITARIOS"))&gt;0,"SANITARIOS",""),IF(SUMPRODUCT((BF327:CQ327&lt;1)*(PARTIDAS!$I$2:$AT$2="ELÉCTRICO"))&gt;0,"ELÉCTRICO",""),IF(SUMPRODUCT((BF327:CQ327&lt;1)*(PARTIDAS!$I$2:$AT$2="TERMINACIONES"))&gt;0,"TERMINACIONES",""))</f>
        <v>OBRA GRUESA, SANITARIOS, ELÉCTRICO, TERMINACIONES</v>
      </c>
      <c r="CU327" s="46" cm="1">
        <f t="array" ref="CU327">SUMPRODUCT(--(BF327:CQ327&lt;1))</f>
        <v>38</v>
      </c>
    </row>
    <row r="328" spans="1:99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46181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 s="3" t="str">
        <f>+IF(AVANCE[[#This Row],[% AVANCE]]=100%,"MODULO TERMINADO",IF(AVANCE[[#This Row],[FECHA INICIO REAL]]="","MODULO NO INICIADO","PENDIENTE"))</f>
        <v>MODULO NO INICIADO</v>
      </c>
      <c r="BF328" s="3">
        <f>+IF(AVANCE[[#This Row],[VENTANAS]]=8.10810810810811%,100%,AVANCE[[#This Row],[VENTANAS]])</f>
        <v>0</v>
      </c>
      <c r="BG328" s="3">
        <f>+IF(AVANCE[[#This Row],[PISO]]=N$2,100%,AVANCE[[#This Row],[PISO]])</f>
        <v>0</v>
      </c>
      <c r="BH328" s="3">
        <f>+IF(AVANCE[[#This Row],[TABIQUES]]=O$2,100%,AVANCE[[#This Row],[TABIQUES]])</f>
        <v>0</v>
      </c>
      <c r="BI328" s="3">
        <f>+IF(AVANCE[[#This Row],[MUROS]]=P$2,100%,AVANCE[[#This Row],[MUROS]])</f>
        <v>0</v>
      </c>
      <c r="BJ328" s="3">
        <f>+IF(AVANCE[[#This Row],[CIELO]]=Q$2,100%,AVANCE[[#This Row],[CIELO]])</f>
        <v>0</v>
      </c>
      <c r="BK328" s="3">
        <f>+IF(AVANCE[[#This Row],[BALCÓN]]=R$2,100%,AVANCE[[#This Row],[BALCÓN]])</f>
        <v>0</v>
      </c>
      <c r="BL328" s="3">
        <f>+IF(AVANCE[[#This Row],[RED ALCANTARILLADO]]=U$2,100%,AVANCE[[#This Row],[RED ALCANTARILLADO]])</f>
        <v>0</v>
      </c>
      <c r="BM328" s="3">
        <f>+IF(AVANCE[[#This Row],[RED DE AGUA]]=V$2,100%,AVANCE[[#This Row],[RED DE AGUA]])</f>
        <v>0</v>
      </c>
      <c r="BN328" s="3">
        <f>+IF(AVANCE[[#This Row],[VENTILACIONES]]=W$2,100%,AVANCE[[#This Row],[VENTILACIONES]])</f>
        <v>0</v>
      </c>
      <c r="BO328" s="3">
        <f>+IF(AVANCE[[#This Row],[TINA]]=X$2,100%,AVANCE[[#This Row],[TINA]])</f>
        <v>0</v>
      </c>
      <c r="BP328" s="3">
        <f>+IF(AVANCE[[#This Row],[WC]]=Y$2,100%,AVANCE[[#This Row],[WC]])</f>
        <v>0</v>
      </c>
      <c r="BQ328" s="3">
        <f>+IF(AVANCE[[#This Row],[LAVAMANOS / LAVAPLATOS / LAVADERO]]=Z$2,100%,AVANCE[[#This Row],[LAVAMANOS / LAVAPLATOS / LAVADERO]])</f>
        <v>0</v>
      </c>
      <c r="BR328" s="3">
        <f>+IF(AVANCE[[#This Row],[CANALIZACIÓN]]=AC$2,100%,AVANCE[[#This Row],[CANALIZACIÓN]])</f>
        <v>0</v>
      </c>
      <c r="BS328" s="3">
        <f>+IF(AVANCE[[#This Row],[CABLEADO]]=AD$2,100%,AVANCE[[#This Row],[CABLEADO]])</f>
        <v>0</v>
      </c>
      <c r="BT328" s="3">
        <f>+IF(AVANCE[[#This Row],[ARTEFACTOS]]=AE$2,100%,AVANCE[[#This Row],[ARTEFACTOS]])</f>
        <v>0</v>
      </c>
      <c r="BU328" s="3">
        <f>+IF(AVANCE[[#This Row],[TABLERO]]=AF$2,100%,AVANCE[[#This Row],[TABLERO]])</f>
        <v>0</v>
      </c>
      <c r="BV328" s="3">
        <f>+IF(AVANCE[[#This Row],[CAJA PAU]]=AG$2,100%,AVANCE[[#This Row],[CAJA PAU]])</f>
        <v>0</v>
      </c>
      <c r="BW328" s="3">
        <f>+IF(AVANCE[[#This Row],[INSTALACION VINILICO]]=AJ$2,100%,AVANCE[[#This Row],[INSTALACION VINILICO]])</f>
        <v>0</v>
      </c>
      <c r="BX328" s="3">
        <f>+IF(AVANCE[[#This Row],[OSB CUBIERTA]]=AK$2,100%,AVANCE[[#This Row],[OSB CUBIERTA]])</f>
        <v>0</v>
      </c>
      <c r="BY328" s="3">
        <f>+IF(AVANCE[[#This Row],[BARANDA BALCON]]=AL$2,100%,AVANCE[[#This Row],[BARANDA BALCON]])</f>
        <v>0</v>
      </c>
      <c r="BZ328" s="3">
        <f>+IF(AVANCE[[#This Row],[OSB EXTERIOR]]=AM$2,100%,AVANCE[[#This Row],[OSB EXTERIOR]])</f>
        <v>0</v>
      </c>
      <c r="CA328" s="3">
        <f>+IF(AVANCE[[#This Row],[SMART PANEL]]=AN$2,100%,AVANCE[[#This Row],[SMART PANEL]])</f>
        <v>0</v>
      </c>
      <c r="CB328" s="3">
        <f>+IF(AVANCE[[#This Row],[PINTURA EXTERIOR]]=AO$2,100%,AVANCE[[#This Row],[PINTURA EXTERIOR]])</f>
        <v>0</v>
      </c>
      <c r="CC328" s="3">
        <f>+IF(AVANCE[[#This Row],[ZOCALOS LOGIA]]=AP$2,100%,AVANCE[[#This Row],[ZOCALOS LOGIA]])</f>
        <v>0</v>
      </c>
      <c r="CD328" s="3">
        <f>+IF(AVANCE[[#This Row],[MOLDURAS]]=AQ$2,100%,AVANCE[[#This Row],[MOLDURAS]])</f>
        <v>0</v>
      </c>
      <c r="CE328" s="3">
        <f>+IF(AVANCE[[#This Row],[PILASTREO]]=AR$2,100%,AVANCE[[#This Row],[PILASTREO]])</f>
        <v>0</v>
      </c>
      <c r="CF328" s="3">
        <f>+IF(AVANCE[[#This Row],[CELOSIAS]]=AS$2,100%,AVANCE[[#This Row],[CELOSIAS]])</f>
        <v>0</v>
      </c>
      <c r="CG328" s="3">
        <f>+IF(AVANCE[[#This Row],[VENTANAS]]=AT$2,100%,AVANCE[[#This Row],[VENTANAS]])</f>
        <v>0</v>
      </c>
      <c r="CH328" s="3">
        <f>+IF(AVANCE[[#This Row],[PUERTAS ACCESO - LOGIA - BANO]]=AU$2,100%,AVANCE[[#This Row],[PUERTAS ACCESO - LOGIA - BANO]])</f>
        <v>0</v>
      </c>
      <c r="CI328" s="3">
        <f>+IF(AVANCE[[#This Row],[CERRADURAS]]=AV$2,100%,AVANCE[[#This Row],[CERRADURAS]])</f>
        <v>0</v>
      </c>
      <c r="CJ328" s="3">
        <f>+IF(AVANCE[[#This Row],[REVESTIMIENTO INTERIOR ZONA SECA]]=AW$2,100%,AVANCE[[#This Row],[REVESTIMIENTO INTERIOR ZONA SECA]])</f>
        <v>0</v>
      </c>
      <c r="CK328" s="3">
        <f>+IF(AVANCE[[#This Row],[REVESTIMIENTO INTERIOR ZONAS HUMEDAS]]=AX$2,100%,AVANCE[[#This Row],[REVESTIMIENTO INTERIOR ZONAS HUMEDAS]])</f>
        <v>0</v>
      </c>
      <c r="CL328" s="3">
        <f>+IF(AVANCE[[#This Row],[MEMBRANA CIELO]]=AY$2,100%,AVANCE[[#This Row],[MEMBRANA CIELO]])</f>
        <v>0</v>
      </c>
      <c r="CM328" s="3">
        <f>+IF(AVANCE[[#This Row],[LIMPIEZA FINAL]]=AZ$2,100%,AVANCE[[#This Row],[LIMPIEZA FINAL]])</f>
        <v>0</v>
      </c>
      <c r="CN328" s="3">
        <f>+IF(AVANCE[[#This Row],[PUERTAS DORMITORIO]]=BA$2,100%,AVANCE[[#This Row],[PUERTAS DORMITORIO]])</f>
        <v>0</v>
      </c>
      <c r="CO328" s="3">
        <f>+IF(AVANCE[[#This Row],[REVESTIMIENTO INTERIOR BANO]]=BB$2,100%,AVANCE[[#This Row],[REVESTIMIENTO INTERIOR BANO]])</f>
        <v>0</v>
      </c>
      <c r="CP328" s="3">
        <f>+IF(AVANCE[[#This Row],[MUEBLE LAVAPLATOS]]=BC$2,100%,AVANCE[[#This Row],[MUEBLE LAVAPLATOS]])</f>
        <v>0</v>
      </c>
      <c r="CQ328" s="3">
        <f>+IF(AVANCE[[#This Row],[IMPERMEABILIZACION BANO - COCINA LOGIA]]=BD$2,100%,AVANCE[[#This Row],[IMPERMEABILIZACION BANO - COCINA LOGIA]])</f>
        <v>0</v>
      </c>
      <c r="CR328" s="40">
        <f ca="1">+IF(AVANCE[[#This Row],[ESTADO MODULO]]="PENDIENTE",(TODAY()-AVANCE[[#This Row],[FECHA TERMINO  PLANIFICADO]]),0)</f>
        <v>0</v>
      </c>
      <c r="CS328" s="42" t="str" cm="1">
        <f t="array" ref="CS328">_xlfn.TEXTJOIN(" | ",TRUE,IF(SUMPRODUCT((BF328:CQ328&lt;1)*(PARTIDAS!$I$2:$AT$2="OBRA GRUESA"))&gt;0,"OBRA GRUESA: "&amp;_xlfn.TEXTJOIN(", ",TRUE,IF((BF328:CQ328&lt;1)*(PARTIDAS!$I$2:$AT$2="OBRA GRUESA"),PARTIDAS!$I$1:$AT$1,"")),""),IF(SUMPRODUCT((BF328:CQ328&lt;1)*(PARTIDAS!$I$2:$AT$2="SANITARIOS"))&gt;0,"SANITARIOS: "&amp;_xlfn.TEXTJOIN(", ",TRUE,IF((BF328:CQ328&lt;1)*(PARTIDAS!$I$2:$AT$2="SANITARIOS"),PARTIDAS!$I$1:$AT$1,"")),""),IF(SUMPRODUCT((BF328:CQ328&lt;1)*(PARTIDAS!$I$2:$AT$2="ELÉCTRICO"))&gt;0,"ELÉCTRICO: "&amp;_xlfn.TEXTJOIN(", ",TRUE,IF((BF328:CQ328&lt;1)*(PARTIDAS!$I$2:$AT$2="ELÉCTRICO"),PARTIDAS!$I$1:$AT$1,"")),""),IF(SUMPRODUCT((BF328:CQ328&lt;1)*(PARTIDAS!$I$2:$AT$2="TERMINACIONES"))&gt;0,"TERMINACIONES: "&amp;_xlfn.TEXTJOIN(", ",TRUE,IF((BF328:CQ328&lt;1)*(PARTIDAS!$I$2:$AT$2="TERMINACIONES"),PARTIDAS!$I$1:$AT$1,"")),""))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8" s="45" t="str" cm="1">
        <f t="array" ref="CT328">_xlfn.TEXTJOIN(", ",TRUE,IF(SUMPRODUCT((BF328:CQ328&lt;1)*(PARTIDAS!$I$2:$AT$2="OBRA GRUESA"))&gt;0,"OBRA GRUESA",""),IF(SUMPRODUCT((BF328:CQ328&lt;1)*(PARTIDAS!$I$2:$AT$2="SANITARIOS"))&gt;0,"SANITARIOS",""),IF(SUMPRODUCT((BF328:CQ328&lt;1)*(PARTIDAS!$I$2:$AT$2="ELÉCTRICO"))&gt;0,"ELÉCTRICO",""),IF(SUMPRODUCT((BF328:CQ328&lt;1)*(PARTIDAS!$I$2:$AT$2="TERMINACIONES"))&gt;0,"TERMINACIONES",""))</f>
        <v>OBRA GRUESA, SANITARIOS, ELÉCTRICO, TERMINACIONES</v>
      </c>
      <c r="CU328" s="46" cm="1">
        <f t="array" ref="CU328">SUMPRODUCT(--(BF328:CQ328&lt;1))</f>
        <v>38</v>
      </c>
    </row>
    <row r="329" spans="1:99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46181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 s="3" t="str">
        <f>+IF(AVANCE[[#This Row],[% AVANCE]]=100%,"MODULO TERMINADO",IF(AVANCE[[#This Row],[FECHA INICIO REAL]]="","MODULO NO INICIADO","PENDIENTE"))</f>
        <v>MODULO NO INICIADO</v>
      </c>
      <c r="BF329" s="3">
        <f>+IF(AVANCE[[#This Row],[VENTANAS]]=8.10810810810811%,100%,AVANCE[[#This Row],[VENTANAS]])</f>
        <v>0</v>
      </c>
      <c r="BG329" s="3">
        <f>+IF(AVANCE[[#This Row],[PISO]]=N$2,100%,AVANCE[[#This Row],[PISO]])</f>
        <v>0</v>
      </c>
      <c r="BH329" s="3">
        <f>+IF(AVANCE[[#This Row],[TABIQUES]]=O$2,100%,AVANCE[[#This Row],[TABIQUES]])</f>
        <v>0</v>
      </c>
      <c r="BI329" s="3">
        <f>+IF(AVANCE[[#This Row],[MUROS]]=P$2,100%,AVANCE[[#This Row],[MUROS]])</f>
        <v>0</v>
      </c>
      <c r="BJ329" s="3">
        <f>+IF(AVANCE[[#This Row],[CIELO]]=Q$2,100%,AVANCE[[#This Row],[CIELO]])</f>
        <v>0</v>
      </c>
      <c r="BK329" s="3">
        <f>+IF(AVANCE[[#This Row],[BALCÓN]]=R$2,100%,AVANCE[[#This Row],[BALCÓN]])</f>
        <v>0</v>
      </c>
      <c r="BL329" s="3">
        <f>+IF(AVANCE[[#This Row],[RED ALCANTARILLADO]]=U$2,100%,AVANCE[[#This Row],[RED ALCANTARILLADO]])</f>
        <v>0</v>
      </c>
      <c r="BM329" s="3">
        <f>+IF(AVANCE[[#This Row],[RED DE AGUA]]=V$2,100%,AVANCE[[#This Row],[RED DE AGUA]])</f>
        <v>0</v>
      </c>
      <c r="BN329" s="3">
        <f>+IF(AVANCE[[#This Row],[VENTILACIONES]]=W$2,100%,AVANCE[[#This Row],[VENTILACIONES]])</f>
        <v>0</v>
      </c>
      <c r="BO329" s="3">
        <f>+IF(AVANCE[[#This Row],[TINA]]=X$2,100%,AVANCE[[#This Row],[TINA]])</f>
        <v>0</v>
      </c>
      <c r="BP329" s="3">
        <f>+IF(AVANCE[[#This Row],[WC]]=Y$2,100%,AVANCE[[#This Row],[WC]])</f>
        <v>0</v>
      </c>
      <c r="BQ329" s="3">
        <f>+IF(AVANCE[[#This Row],[LAVAMANOS / LAVAPLATOS / LAVADERO]]=Z$2,100%,AVANCE[[#This Row],[LAVAMANOS / LAVAPLATOS / LAVADERO]])</f>
        <v>0</v>
      </c>
      <c r="BR329" s="3">
        <f>+IF(AVANCE[[#This Row],[CANALIZACIÓN]]=AC$2,100%,AVANCE[[#This Row],[CANALIZACIÓN]])</f>
        <v>0</v>
      </c>
      <c r="BS329" s="3">
        <f>+IF(AVANCE[[#This Row],[CABLEADO]]=AD$2,100%,AVANCE[[#This Row],[CABLEADO]])</f>
        <v>0</v>
      </c>
      <c r="BT329" s="3">
        <f>+IF(AVANCE[[#This Row],[ARTEFACTOS]]=AE$2,100%,AVANCE[[#This Row],[ARTEFACTOS]])</f>
        <v>0</v>
      </c>
      <c r="BU329" s="3">
        <f>+IF(AVANCE[[#This Row],[TABLERO]]=AF$2,100%,AVANCE[[#This Row],[TABLERO]])</f>
        <v>0</v>
      </c>
      <c r="BV329" s="3">
        <f>+IF(AVANCE[[#This Row],[CAJA PAU]]=AG$2,100%,AVANCE[[#This Row],[CAJA PAU]])</f>
        <v>0</v>
      </c>
      <c r="BW329" s="3">
        <f>+IF(AVANCE[[#This Row],[INSTALACION VINILICO]]=AJ$2,100%,AVANCE[[#This Row],[INSTALACION VINILICO]])</f>
        <v>0</v>
      </c>
      <c r="BX329" s="3">
        <f>+IF(AVANCE[[#This Row],[OSB CUBIERTA]]=AK$2,100%,AVANCE[[#This Row],[OSB CUBIERTA]])</f>
        <v>0</v>
      </c>
      <c r="BY329" s="3">
        <f>+IF(AVANCE[[#This Row],[BARANDA BALCON]]=AL$2,100%,AVANCE[[#This Row],[BARANDA BALCON]])</f>
        <v>0</v>
      </c>
      <c r="BZ329" s="3">
        <f>+IF(AVANCE[[#This Row],[OSB EXTERIOR]]=AM$2,100%,AVANCE[[#This Row],[OSB EXTERIOR]])</f>
        <v>0</v>
      </c>
      <c r="CA329" s="3">
        <f>+IF(AVANCE[[#This Row],[SMART PANEL]]=AN$2,100%,AVANCE[[#This Row],[SMART PANEL]])</f>
        <v>0</v>
      </c>
      <c r="CB329" s="3">
        <f>+IF(AVANCE[[#This Row],[PINTURA EXTERIOR]]=AO$2,100%,AVANCE[[#This Row],[PINTURA EXTERIOR]])</f>
        <v>0</v>
      </c>
      <c r="CC329" s="3">
        <f>+IF(AVANCE[[#This Row],[ZOCALOS LOGIA]]=AP$2,100%,AVANCE[[#This Row],[ZOCALOS LOGIA]])</f>
        <v>0</v>
      </c>
      <c r="CD329" s="3">
        <f>+IF(AVANCE[[#This Row],[MOLDURAS]]=AQ$2,100%,AVANCE[[#This Row],[MOLDURAS]])</f>
        <v>0</v>
      </c>
      <c r="CE329" s="3">
        <f>+IF(AVANCE[[#This Row],[PILASTREO]]=AR$2,100%,AVANCE[[#This Row],[PILASTREO]])</f>
        <v>0</v>
      </c>
      <c r="CF329" s="3">
        <f>+IF(AVANCE[[#This Row],[CELOSIAS]]=AS$2,100%,AVANCE[[#This Row],[CELOSIAS]])</f>
        <v>0</v>
      </c>
      <c r="CG329" s="3">
        <f>+IF(AVANCE[[#This Row],[VENTANAS]]=AT$2,100%,AVANCE[[#This Row],[VENTANAS]])</f>
        <v>0</v>
      </c>
      <c r="CH329" s="3">
        <f>+IF(AVANCE[[#This Row],[PUERTAS ACCESO - LOGIA - BANO]]=AU$2,100%,AVANCE[[#This Row],[PUERTAS ACCESO - LOGIA - BANO]])</f>
        <v>0</v>
      </c>
      <c r="CI329" s="3">
        <f>+IF(AVANCE[[#This Row],[CERRADURAS]]=AV$2,100%,AVANCE[[#This Row],[CERRADURAS]])</f>
        <v>0</v>
      </c>
      <c r="CJ329" s="3">
        <f>+IF(AVANCE[[#This Row],[REVESTIMIENTO INTERIOR ZONA SECA]]=AW$2,100%,AVANCE[[#This Row],[REVESTIMIENTO INTERIOR ZONA SECA]])</f>
        <v>0</v>
      </c>
      <c r="CK329" s="3">
        <f>+IF(AVANCE[[#This Row],[REVESTIMIENTO INTERIOR ZONAS HUMEDAS]]=AX$2,100%,AVANCE[[#This Row],[REVESTIMIENTO INTERIOR ZONAS HUMEDAS]])</f>
        <v>0</v>
      </c>
      <c r="CL329" s="3">
        <f>+IF(AVANCE[[#This Row],[MEMBRANA CIELO]]=AY$2,100%,AVANCE[[#This Row],[MEMBRANA CIELO]])</f>
        <v>0</v>
      </c>
      <c r="CM329" s="3">
        <f>+IF(AVANCE[[#This Row],[LIMPIEZA FINAL]]=AZ$2,100%,AVANCE[[#This Row],[LIMPIEZA FINAL]])</f>
        <v>0</v>
      </c>
      <c r="CN329" s="3">
        <f>+IF(AVANCE[[#This Row],[PUERTAS DORMITORIO]]=BA$2,100%,AVANCE[[#This Row],[PUERTAS DORMITORIO]])</f>
        <v>0</v>
      </c>
      <c r="CO329" s="3">
        <f>+IF(AVANCE[[#This Row],[REVESTIMIENTO INTERIOR BANO]]=BB$2,100%,AVANCE[[#This Row],[REVESTIMIENTO INTERIOR BANO]])</f>
        <v>0</v>
      </c>
      <c r="CP329" s="3">
        <f>+IF(AVANCE[[#This Row],[MUEBLE LAVAPLATOS]]=BC$2,100%,AVANCE[[#This Row],[MUEBLE LAVAPLATOS]])</f>
        <v>0</v>
      </c>
      <c r="CQ329" s="3">
        <f>+IF(AVANCE[[#This Row],[IMPERMEABILIZACION BANO - COCINA LOGIA]]=BD$2,100%,AVANCE[[#This Row],[IMPERMEABILIZACION BANO - COCINA LOGIA]])</f>
        <v>0</v>
      </c>
      <c r="CR329" s="40">
        <f ca="1">+IF(AVANCE[[#This Row],[ESTADO MODULO]]="PENDIENTE",(TODAY()-AVANCE[[#This Row],[FECHA TERMINO  PLANIFICADO]]),0)</f>
        <v>0</v>
      </c>
      <c r="CS329" s="42" t="str" cm="1">
        <f t="array" ref="CS329">_xlfn.TEXTJOIN(" | ",TRUE,IF(SUMPRODUCT((BF329:CQ329&lt;1)*(PARTIDAS!$I$2:$AT$2="OBRA GRUESA"))&gt;0,"OBRA GRUESA: "&amp;_xlfn.TEXTJOIN(", ",TRUE,IF((BF329:CQ329&lt;1)*(PARTIDAS!$I$2:$AT$2="OBRA GRUESA"),PARTIDAS!$I$1:$AT$1,"")),""),IF(SUMPRODUCT((BF329:CQ329&lt;1)*(PARTIDAS!$I$2:$AT$2="SANITARIOS"))&gt;0,"SANITARIOS: "&amp;_xlfn.TEXTJOIN(", ",TRUE,IF((BF329:CQ329&lt;1)*(PARTIDAS!$I$2:$AT$2="SANITARIOS"),PARTIDAS!$I$1:$AT$1,"")),""),IF(SUMPRODUCT((BF329:CQ329&lt;1)*(PARTIDAS!$I$2:$AT$2="ELÉCTRICO"))&gt;0,"ELÉCTRICO: "&amp;_xlfn.TEXTJOIN(", ",TRUE,IF((BF329:CQ329&lt;1)*(PARTIDAS!$I$2:$AT$2="ELÉCTRICO"),PARTIDAS!$I$1:$AT$1,"")),""),IF(SUMPRODUCT((BF329:CQ329&lt;1)*(PARTIDAS!$I$2:$AT$2="TERMINACIONES"))&gt;0,"TERMINACIONES: "&amp;_xlfn.TEXTJOIN(", ",TRUE,IF((BF329:CQ329&lt;1)*(PARTIDAS!$I$2:$AT$2="TERMINACIONES"),PARTIDAS!$I$1:$AT$1,"")),""))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29" s="45" t="str" cm="1">
        <f t="array" ref="CT329">_xlfn.TEXTJOIN(", ",TRUE,IF(SUMPRODUCT((BF329:CQ329&lt;1)*(PARTIDAS!$I$2:$AT$2="OBRA GRUESA"))&gt;0,"OBRA GRUESA",""),IF(SUMPRODUCT((BF329:CQ329&lt;1)*(PARTIDAS!$I$2:$AT$2="SANITARIOS"))&gt;0,"SANITARIOS",""),IF(SUMPRODUCT((BF329:CQ329&lt;1)*(PARTIDAS!$I$2:$AT$2="ELÉCTRICO"))&gt;0,"ELÉCTRICO",""),IF(SUMPRODUCT((BF329:CQ329&lt;1)*(PARTIDAS!$I$2:$AT$2="TERMINACIONES"))&gt;0,"TERMINACIONES",""))</f>
        <v>OBRA GRUESA, SANITARIOS, ELÉCTRICO, TERMINACIONES</v>
      </c>
      <c r="CU329" s="46" cm="1">
        <f t="array" ref="CU329">SUMPRODUCT(--(BF329:CQ329&lt;1))</f>
        <v>38</v>
      </c>
    </row>
    <row r="330" spans="1:99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46181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 s="3" t="str">
        <f>+IF(AVANCE[[#This Row],[% AVANCE]]=100%,"MODULO TERMINADO",IF(AVANCE[[#This Row],[FECHA INICIO REAL]]="","MODULO NO INICIADO","PENDIENTE"))</f>
        <v>MODULO NO INICIADO</v>
      </c>
      <c r="BF330" s="3">
        <f>+IF(AVANCE[[#This Row],[VENTANAS]]=8.10810810810811%,100%,AVANCE[[#This Row],[VENTANAS]])</f>
        <v>0</v>
      </c>
      <c r="BG330" s="3">
        <f>+IF(AVANCE[[#This Row],[PISO]]=N$2,100%,AVANCE[[#This Row],[PISO]])</f>
        <v>0</v>
      </c>
      <c r="BH330" s="3">
        <f>+IF(AVANCE[[#This Row],[TABIQUES]]=O$2,100%,AVANCE[[#This Row],[TABIQUES]])</f>
        <v>0</v>
      </c>
      <c r="BI330" s="3">
        <f>+IF(AVANCE[[#This Row],[MUROS]]=P$2,100%,AVANCE[[#This Row],[MUROS]])</f>
        <v>0</v>
      </c>
      <c r="BJ330" s="3">
        <f>+IF(AVANCE[[#This Row],[CIELO]]=Q$2,100%,AVANCE[[#This Row],[CIELO]])</f>
        <v>0</v>
      </c>
      <c r="BK330" s="3">
        <f>+IF(AVANCE[[#This Row],[BALCÓN]]=R$2,100%,AVANCE[[#This Row],[BALCÓN]])</f>
        <v>0</v>
      </c>
      <c r="BL330" s="3">
        <f>+IF(AVANCE[[#This Row],[RED ALCANTARILLADO]]=U$2,100%,AVANCE[[#This Row],[RED ALCANTARILLADO]])</f>
        <v>0</v>
      </c>
      <c r="BM330" s="3">
        <f>+IF(AVANCE[[#This Row],[RED DE AGUA]]=V$2,100%,AVANCE[[#This Row],[RED DE AGUA]])</f>
        <v>0</v>
      </c>
      <c r="BN330" s="3">
        <f>+IF(AVANCE[[#This Row],[VENTILACIONES]]=W$2,100%,AVANCE[[#This Row],[VENTILACIONES]])</f>
        <v>0</v>
      </c>
      <c r="BO330" s="3">
        <f>+IF(AVANCE[[#This Row],[TINA]]=X$2,100%,AVANCE[[#This Row],[TINA]])</f>
        <v>0</v>
      </c>
      <c r="BP330" s="3">
        <f>+IF(AVANCE[[#This Row],[WC]]=Y$2,100%,AVANCE[[#This Row],[WC]])</f>
        <v>0</v>
      </c>
      <c r="BQ330" s="3">
        <f>+IF(AVANCE[[#This Row],[LAVAMANOS / LAVAPLATOS / LAVADERO]]=Z$2,100%,AVANCE[[#This Row],[LAVAMANOS / LAVAPLATOS / LAVADERO]])</f>
        <v>0</v>
      </c>
      <c r="BR330" s="3">
        <f>+IF(AVANCE[[#This Row],[CANALIZACIÓN]]=AC$2,100%,AVANCE[[#This Row],[CANALIZACIÓN]])</f>
        <v>0</v>
      </c>
      <c r="BS330" s="3">
        <f>+IF(AVANCE[[#This Row],[CABLEADO]]=AD$2,100%,AVANCE[[#This Row],[CABLEADO]])</f>
        <v>0</v>
      </c>
      <c r="BT330" s="3">
        <f>+IF(AVANCE[[#This Row],[ARTEFACTOS]]=AE$2,100%,AVANCE[[#This Row],[ARTEFACTOS]])</f>
        <v>0</v>
      </c>
      <c r="BU330" s="3">
        <f>+IF(AVANCE[[#This Row],[TABLERO]]=AF$2,100%,AVANCE[[#This Row],[TABLERO]])</f>
        <v>0</v>
      </c>
      <c r="BV330" s="3">
        <f>+IF(AVANCE[[#This Row],[CAJA PAU]]=AG$2,100%,AVANCE[[#This Row],[CAJA PAU]])</f>
        <v>0</v>
      </c>
      <c r="BW330" s="3">
        <f>+IF(AVANCE[[#This Row],[INSTALACION VINILICO]]=AJ$2,100%,AVANCE[[#This Row],[INSTALACION VINILICO]])</f>
        <v>0</v>
      </c>
      <c r="BX330" s="3">
        <f>+IF(AVANCE[[#This Row],[OSB CUBIERTA]]=AK$2,100%,AVANCE[[#This Row],[OSB CUBIERTA]])</f>
        <v>0</v>
      </c>
      <c r="BY330" s="3">
        <f>+IF(AVANCE[[#This Row],[BARANDA BALCON]]=AL$2,100%,AVANCE[[#This Row],[BARANDA BALCON]])</f>
        <v>0</v>
      </c>
      <c r="BZ330" s="3">
        <f>+IF(AVANCE[[#This Row],[OSB EXTERIOR]]=AM$2,100%,AVANCE[[#This Row],[OSB EXTERIOR]])</f>
        <v>0</v>
      </c>
      <c r="CA330" s="3">
        <f>+IF(AVANCE[[#This Row],[SMART PANEL]]=AN$2,100%,AVANCE[[#This Row],[SMART PANEL]])</f>
        <v>0</v>
      </c>
      <c r="CB330" s="3">
        <f>+IF(AVANCE[[#This Row],[PINTURA EXTERIOR]]=AO$2,100%,AVANCE[[#This Row],[PINTURA EXTERIOR]])</f>
        <v>0</v>
      </c>
      <c r="CC330" s="3">
        <f>+IF(AVANCE[[#This Row],[ZOCALOS LOGIA]]=AP$2,100%,AVANCE[[#This Row],[ZOCALOS LOGIA]])</f>
        <v>0</v>
      </c>
      <c r="CD330" s="3">
        <f>+IF(AVANCE[[#This Row],[MOLDURAS]]=AQ$2,100%,AVANCE[[#This Row],[MOLDURAS]])</f>
        <v>0</v>
      </c>
      <c r="CE330" s="3">
        <f>+IF(AVANCE[[#This Row],[PILASTREO]]=AR$2,100%,AVANCE[[#This Row],[PILASTREO]])</f>
        <v>0</v>
      </c>
      <c r="CF330" s="3">
        <f>+IF(AVANCE[[#This Row],[CELOSIAS]]=AS$2,100%,AVANCE[[#This Row],[CELOSIAS]])</f>
        <v>0</v>
      </c>
      <c r="CG330" s="3">
        <f>+IF(AVANCE[[#This Row],[VENTANAS]]=AT$2,100%,AVANCE[[#This Row],[VENTANAS]])</f>
        <v>0</v>
      </c>
      <c r="CH330" s="3">
        <f>+IF(AVANCE[[#This Row],[PUERTAS ACCESO - LOGIA - BANO]]=AU$2,100%,AVANCE[[#This Row],[PUERTAS ACCESO - LOGIA - BANO]])</f>
        <v>0</v>
      </c>
      <c r="CI330" s="3">
        <f>+IF(AVANCE[[#This Row],[CERRADURAS]]=AV$2,100%,AVANCE[[#This Row],[CERRADURAS]])</f>
        <v>0</v>
      </c>
      <c r="CJ330" s="3">
        <f>+IF(AVANCE[[#This Row],[REVESTIMIENTO INTERIOR ZONA SECA]]=AW$2,100%,AVANCE[[#This Row],[REVESTIMIENTO INTERIOR ZONA SECA]])</f>
        <v>0</v>
      </c>
      <c r="CK330" s="3">
        <f>+IF(AVANCE[[#This Row],[REVESTIMIENTO INTERIOR ZONAS HUMEDAS]]=AX$2,100%,AVANCE[[#This Row],[REVESTIMIENTO INTERIOR ZONAS HUMEDAS]])</f>
        <v>0</v>
      </c>
      <c r="CL330" s="3">
        <f>+IF(AVANCE[[#This Row],[MEMBRANA CIELO]]=AY$2,100%,AVANCE[[#This Row],[MEMBRANA CIELO]])</f>
        <v>0</v>
      </c>
      <c r="CM330" s="3">
        <f>+IF(AVANCE[[#This Row],[LIMPIEZA FINAL]]=AZ$2,100%,AVANCE[[#This Row],[LIMPIEZA FINAL]])</f>
        <v>0</v>
      </c>
      <c r="CN330" s="3">
        <f>+IF(AVANCE[[#This Row],[PUERTAS DORMITORIO]]=BA$2,100%,AVANCE[[#This Row],[PUERTAS DORMITORIO]])</f>
        <v>0</v>
      </c>
      <c r="CO330" s="3">
        <f>+IF(AVANCE[[#This Row],[REVESTIMIENTO INTERIOR BANO]]=BB$2,100%,AVANCE[[#This Row],[REVESTIMIENTO INTERIOR BANO]])</f>
        <v>0</v>
      </c>
      <c r="CP330" s="3">
        <f>+IF(AVANCE[[#This Row],[MUEBLE LAVAPLATOS]]=BC$2,100%,AVANCE[[#This Row],[MUEBLE LAVAPLATOS]])</f>
        <v>0</v>
      </c>
      <c r="CQ330" s="3">
        <f>+IF(AVANCE[[#This Row],[IMPERMEABILIZACION BANO - COCINA LOGIA]]=BD$2,100%,AVANCE[[#This Row],[IMPERMEABILIZACION BANO - COCINA LOGIA]])</f>
        <v>0</v>
      </c>
      <c r="CR330" s="40">
        <f ca="1">+IF(AVANCE[[#This Row],[ESTADO MODULO]]="PENDIENTE",(TODAY()-AVANCE[[#This Row],[FECHA TERMINO  PLANIFICADO]]),0)</f>
        <v>0</v>
      </c>
      <c r="CS330" s="42" t="str" cm="1">
        <f t="array" ref="CS330">_xlfn.TEXTJOIN(" | ",TRUE,IF(SUMPRODUCT((BF330:CQ330&lt;1)*(PARTIDAS!$I$2:$AT$2="OBRA GRUESA"))&gt;0,"OBRA GRUESA: "&amp;_xlfn.TEXTJOIN(", ",TRUE,IF((BF330:CQ330&lt;1)*(PARTIDAS!$I$2:$AT$2="OBRA GRUESA"),PARTIDAS!$I$1:$AT$1,"")),""),IF(SUMPRODUCT((BF330:CQ330&lt;1)*(PARTIDAS!$I$2:$AT$2="SANITARIOS"))&gt;0,"SANITARIOS: "&amp;_xlfn.TEXTJOIN(", ",TRUE,IF((BF330:CQ330&lt;1)*(PARTIDAS!$I$2:$AT$2="SANITARIOS"),PARTIDAS!$I$1:$AT$1,"")),""),IF(SUMPRODUCT((BF330:CQ330&lt;1)*(PARTIDAS!$I$2:$AT$2="ELÉCTRICO"))&gt;0,"ELÉCTRICO: "&amp;_xlfn.TEXTJOIN(", ",TRUE,IF((BF330:CQ330&lt;1)*(PARTIDAS!$I$2:$AT$2="ELÉCTRICO"),PARTIDAS!$I$1:$AT$1,"")),""),IF(SUMPRODUCT((BF330:CQ330&lt;1)*(PARTIDAS!$I$2:$AT$2="TERMINACIONES"))&gt;0,"TERMINACIONES: "&amp;_xlfn.TEXTJOIN(", ",TRUE,IF((BF330:CQ330&lt;1)*(PARTIDAS!$I$2:$AT$2="TERMINACIONES"),PARTIDAS!$I$1:$AT$1,"")),""))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0" s="45" t="str" cm="1">
        <f t="array" ref="CT330">_xlfn.TEXTJOIN(", ",TRUE,IF(SUMPRODUCT((BF330:CQ330&lt;1)*(PARTIDAS!$I$2:$AT$2="OBRA GRUESA"))&gt;0,"OBRA GRUESA",""),IF(SUMPRODUCT((BF330:CQ330&lt;1)*(PARTIDAS!$I$2:$AT$2="SANITARIOS"))&gt;0,"SANITARIOS",""),IF(SUMPRODUCT((BF330:CQ330&lt;1)*(PARTIDAS!$I$2:$AT$2="ELÉCTRICO"))&gt;0,"ELÉCTRICO",""),IF(SUMPRODUCT((BF330:CQ330&lt;1)*(PARTIDAS!$I$2:$AT$2="TERMINACIONES"))&gt;0,"TERMINACIONES",""))</f>
        <v>OBRA GRUESA, SANITARIOS, ELÉCTRICO, TERMINACIONES</v>
      </c>
      <c r="CU330" s="46" cm="1">
        <f t="array" ref="CU330">SUMPRODUCT(--(BF330:CQ330&lt;1))</f>
        <v>38</v>
      </c>
    </row>
    <row r="331" spans="1:99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46181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 s="3" t="str">
        <f>+IF(AVANCE[[#This Row],[% AVANCE]]=100%,"MODULO TERMINADO",IF(AVANCE[[#This Row],[FECHA INICIO REAL]]="","MODULO NO INICIADO","PENDIENTE"))</f>
        <v>MODULO NO INICIADO</v>
      </c>
      <c r="BF331" s="3">
        <f>+IF(AVANCE[[#This Row],[VENTANAS]]=8.10810810810811%,100%,AVANCE[[#This Row],[VENTANAS]])</f>
        <v>0</v>
      </c>
      <c r="BG331" s="3">
        <f>+IF(AVANCE[[#This Row],[PISO]]=N$2,100%,AVANCE[[#This Row],[PISO]])</f>
        <v>0</v>
      </c>
      <c r="BH331" s="3">
        <f>+IF(AVANCE[[#This Row],[TABIQUES]]=O$2,100%,AVANCE[[#This Row],[TABIQUES]])</f>
        <v>0</v>
      </c>
      <c r="BI331" s="3">
        <f>+IF(AVANCE[[#This Row],[MUROS]]=P$2,100%,AVANCE[[#This Row],[MUROS]])</f>
        <v>0</v>
      </c>
      <c r="BJ331" s="3">
        <f>+IF(AVANCE[[#This Row],[CIELO]]=Q$2,100%,AVANCE[[#This Row],[CIELO]])</f>
        <v>0</v>
      </c>
      <c r="BK331" s="3">
        <f>+IF(AVANCE[[#This Row],[BALCÓN]]=R$2,100%,AVANCE[[#This Row],[BALCÓN]])</f>
        <v>0</v>
      </c>
      <c r="BL331" s="3">
        <f>+IF(AVANCE[[#This Row],[RED ALCANTARILLADO]]=U$2,100%,AVANCE[[#This Row],[RED ALCANTARILLADO]])</f>
        <v>0</v>
      </c>
      <c r="BM331" s="3">
        <f>+IF(AVANCE[[#This Row],[RED DE AGUA]]=V$2,100%,AVANCE[[#This Row],[RED DE AGUA]])</f>
        <v>0</v>
      </c>
      <c r="BN331" s="3">
        <f>+IF(AVANCE[[#This Row],[VENTILACIONES]]=W$2,100%,AVANCE[[#This Row],[VENTILACIONES]])</f>
        <v>0</v>
      </c>
      <c r="BO331" s="3">
        <f>+IF(AVANCE[[#This Row],[TINA]]=X$2,100%,AVANCE[[#This Row],[TINA]])</f>
        <v>0</v>
      </c>
      <c r="BP331" s="3">
        <f>+IF(AVANCE[[#This Row],[WC]]=Y$2,100%,AVANCE[[#This Row],[WC]])</f>
        <v>0</v>
      </c>
      <c r="BQ331" s="3">
        <f>+IF(AVANCE[[#This Row],[LAVAMANOS / LAVAPLATOS / LAVADERO]]=Z$2,100%,AVANCE[[#This Row],[LAVAMANOS / LAVAPLATOS / LAVADERO]])</f>
        <v>0</v>
      </c>
      <c r="BR331" s="3">
        <f>+IF(AVANCE[[#This Row],[CANALIZACIÓN]]=AC$2,100%,AVANCE[[#This Row],[CANALIZACIÓN]])</f>
        <v>0</v>
      </c>
      <c r="BS331" s="3">
        <f>+IF(AVANCE[[#This Row],[CABLEADO]]=AD$2,100%,AVANCE[[#This Row],[CABLEADO]])</f>
        <v>0</v>
      </c>
      <c r="BT331" s="3">
        <f>+IF(AVANCE[[#This Row],[ARTEFACTOS]]=AE$2,100%,AVANCE[[#This Row],[ARTEFACTOS]])</f>
        <v>0</v>
      </c>
      <c r="BU331" s="3">
        <f>+IF(AVANCE[[#This Row],[TABLERO]]=AF$2,100%,AVANCE[[#This Row],[TABLERO]])</f>
        <v>0</v>
      </c>
      <c r="BV331" s="3">
        <f>+IF(AVANCE[[#This Row],[CAJA PAU]]=AG$2,100%,AVANCE[[#This Row],[CAJA PAU]])</f>
        <v>0</v>
      </c>
      <c r="BW331" s="3">
        <f>+IF(AVANCE[[#This Row],[INSTALACION VINILICO]]=AJ$2,100%,AVANCE[[#This Row],[INSTALACION VINILICO]])</f>
        <v>0</v>
      </c>
      <c r="BX331" s="3">
        <f>+IF(AVANCE[[#This Row],[OSB CUBIERTA]]=AK$2,100%,AVANCE[[#This Row],[OSB CUBIERTA]])</f>
        <v>0</v>
      </c>
      <c r="BY331" s="3">
        <f>+IF(AVANCE[[#This Row],[BARANDA BALCON]]=AL$2,100%,AVANCE[[#This Row],[BARANDA BALCON]])</f>
        <v>0</v>
      </c>
      <c r="BZ331" s="3">
        <f>+IF(AVANCE[[#This Row],[OSB EXTERIOR]]=AM$2,100%,AVANCE[[#This Row],[OSB EXTERIOR]])</f>
        <v>0</v>
      </c>
      <c r="CA331" s="3">
        <f>+IF(AVANCE[[#This Row],[SMART PANEL]]=AN$2,100%,AVANCE[[#This Row],[SMART PANEL]])</f>
        <v>0</v>
      </c>
      <c r="CB331" s="3">
        <f>+IF(AVANCE[[#This Row],[PINTURA EXTERIOR]]=AO$2,100%,AVANCE[[#This Row],[PINTURA EXTERIOR]])</f>
        <v>0</v>
      </c>
      <c r="CC331" s="3">
        <f>+IF(AVANCE[[#This Row],[ZOCALOS LOGIA]]=AP$2,100%,AVANCE[[#This Row],[ZOCALOS LOGIA]])</f>
        <v>0</v>
      </c>
      <c r="CD331" s="3">
        <f>+IF(AVANCE[[#This Row],[MOLDURAS]]=AQ$2,100%,AVANCE[[#This Row],[MOLDURAS]])</f>
        <v>0</v>
      </c>
      <c r="CE331" s="3">
        <f>+IF(AVANCE[[#This Row],[PILASTREO]]=AR$2,100%,AVANCE[[#This Row],[PILASTREO]])</f>
        <v>0</v>
      </c>
      <c r="CF331" s="3">
        <f>+IF(AVANCE[[#This Row],[CELOSIAS]]=AS$2,100%,AVANCE[[#This Row],[CELOSIAS]])</f>
        <v>0</v>
      </c>
      <c r="CG331" s="3">
        <f>+IF(AVANCE[[#This Row],[VENTANAS]]=AT$2,100%,AVANCE[[#This Row],[VENTANAS]])</f>
        <v>0</v>
      </c>
      <c r="CH331" s="3">
        <f>+IF(AVANCE[[#This Row],[PUERTAS ACCESO - LOGIA - BANO]]=AU$2,100%,AVANCE[[#This Row],[PUERTAS ACCESO - LOGIA - BANO]])</f>
        <v>0</v>
      </c>
      <c r="CI331" s="3">
        <f>+IF(AVANCE[[#This Row],[CERRADURAS]]=AV$2,100%,AVANCE[[#This Row],[CERRADURAS]])</f>
        <v>0</v>
      </c>
      <c r="CJ331" s="3">
        <f>+IF(AVANCE[[#This Row],[REVESTIMIENTO INTERIOR ZONA SECA]]=AW$2,100%,AVANCE[[#This Row],[REVESTIMIENTO INTERIOR ZONA SECA]])</f>
        <v>0</v>
      </c>
      <c r="CK331" s="3">
        <f>+IF(AVANCE[[#This Row],[REVESTIMIENTO INTERIOR ZONAS HUMEDAS]]=AX$2,100%,AVANCE[[#This Row],[REVESTIMIENTO INTERIOR ZONAS HUMEDAS]])</f>
        <v>0</v>
      </c>
      <c r="CL331" s="3">
        <f>+IF(AVANCE[[#This Row],[MEMBRANA CIELO]]=AY$2,100%,AVANCE[[#This Row],[MEMBRANA CIELO]])</f>
        <v>0</v>
      </c>
      <c r="CM331" s="3">
        <f>+IF(AVANCE[[#This Row],[LIMPIEZA FINAL]]=AZ$2,100%,AVANCE[[#This Row],[LIMPIEZA FINAL]])</f>
        <v>0</v>
      </c>
      <c r="CN331" s="3">
        <f>+IF(AVANCE[[#This Row],[PUERTAS DORMITORIO]]=BA$2,100%,AVANCE[[#This Row],[PUERTAS DORMITORIO]])</f>
        <v>0</v>
      </c>
      <c r="CO331" s="3">
        <f>+IF(AVANCE[[#This Row],[REVESTIMIENTO INTERIOR BANO]]=BB$2,100%,AVANCE[[#This Row],[REVESTIMIENTO INTERIOR BANO]])</f>
        <v>0</v>
      </c>
      <c r="CP331" s="3">
        <f>+IF(AVANCE[[#This Row],[MUEBLE LAVAPLATOS]]=BC$2,100%,AVANCE[[#This Row],[MUEBLE LAVAPLATOS]])</f>
        <v>0</v>
      </c>
      <c r="CQ331" s="3">
        <f>+IF(AVANCE[[#This Row],[IMPERMEABILIZACION BANO - COCINA LOGIA]]=BD$2,100%,AVANCE[[#This Row],[IMPERMEABILIZACION BANO - COCINA LOGIA]])</f>
        <v>0</v>
      </c>
      <c r="CR331" s="40">
        <f ca="1">+IF(AVANCE[[#This Row],[ESTADO MODULO]]="PENDIENTE",(TODAY()-AVANCE[[#This Row],[FECHA TERMINO  PLANIFICADO]]),0)</f>
        <v>0</v>
      </c>
      <c r="CS331" s="42" t="str" cm="1">
        <f t="array" ref="CS331">_xlfn.TEXTJOIN(" | ",TRUE,IF(SUMPRODUCT((BF331:CQ331&lt;1)*(PARTIDAS!$I$2:$AT$2="OBRA GRUESA"))&gt;0,"OBRA GRUESA: "&amp;_xlfn.TEXTJOIN(", ",TRUE,IF((BF331:CQ331&lt;1)*(PARTIDAS!$I$2:$AT$2="OBRA GRUESA"),PARTIDAS!$I$1:$AT$1,"")),""),IF(SUMPRODUCT((BF331:CQ331&lt;1)*(PARTIDAS!$I$2:$AT$2="SANITARIOS"))&gt;0,"SANITARIOS: "&amp;_xlfn.TEXTJOIN(", ",TRUE,IF((BF331:CQ331&lt;1)*(PARTIDAS!$I$2:$AT$2="SANITARIOS"),PARTIDAS!$I$1:$AT$1,"")),""),IF(SUMPRODUCT((BF331:CQ331&lt;1)*(PARTIDAS!$I$2:$AT$2="ELÉCTRICO"))&gt;0,"ELÉCTRICO: "&amp;_xlfn.TEXTJOIN(", ",TRUE,IF((BF331:CQ331&lt;1)*(PARTIDAS!$I$2:$AT$2="ELÉCTRICO"),PARTIDAS!$I$1:$AT$1,"")),""),IF(SUMPRODUCT((BF331:CQ331&lt;1)*(PARTIDAS!$I$2:$AT$2="TERMINACIONES"))&gt;0,"TERMINACIONES: "&amp;_xlfn.TEXTJOIN(", ",TRUE,IF((BF331:CQ331&lt;1)*(PARTIDAS!$I$2:$AT$2="TERMINACIONES"),PARTIDAS!$I$1:$AT$1,"")),""))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1" s="45" t="str" cm="1">
        <f t="array" ref="CT331">_xlfn.TEXTJOIN(", ",TRUE,IF(SUMPRODUCT((BF331:CQ331&lt;1)*(PARTIDAS!$I$2:$AT$2="OBRA GRUESA"))&gt;0,"OBRA GRUESA",""),IF(SUMPRODUCT((BF331:CQ331&lt;1)*(PARTIDAS!$I$2:$AT$2="SANITARIOS"))&gt;0,"SANITARIOS",""),IF(SUMPRODUCT((BF331:CQ331&lt;1)*(PARTIDAS!$I$2:$AT$2="ELÉCTRICO"))&gt;0,"ELÉCTRICO",""),IF(SUMPRODUCT((BF331:CQ331&lt;1)*(PARTIDAS!$I$2:$AT$2="TERMINACIONES"))&gt;0,"TERMINACIONES",""))</f>
        <v>OBRA GRUESA, SANITARIOS, ELÉCTRICO, TERMINACIONES</v>
      </c>
      <c r="CU331" s="46" cm="1">
        <f t="array" ref="CU331">SUMPRODUCT(--(BF331:CQ331&lt;1))</f>
        <v>38</v>
      </c>
    </row>
    <row r="332" spans="1:99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46181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 s="3" t="str">
        <f>+IF(AVANCE[[#This Row],[% AVANCE]]=100%,"MODULO TERMINADO",IF(AVANCE[[#This Row],[FECHA INICIO REAL]]="","MODULO NO INICIADO","PENDIENTE"))</f>
        <v>MODULO NO INICIADO</v>
      </c>
      <c r="BF332" s="3">
        <f>+IF(AVANCE[[#This Row],[VENTANAS]]=8.10810810810811%,100%,AVANCE[[#This Row],[VENTANAS]])</f>
        <v>0</v>
      </c>
      <c r="BG332" s="3">
        <f>+IF(AVANCE[[#This Row],[PISO]]=N$2,100%,AVANCE[[#This Row],[PISO]])</f>
        <v>0</v>
      </c>
      <c r="BH332" s="3">
        <f>+IF(AVANCE[[#This Row],[TABIQUES]]=O$2,100%,AVANCE[[#This Row],[TABIQUES]])</f>
        <v>0</v>
      </c>
      <c r="BI332" s="3">
        <f>+IF(AVANCE[[#This Row],[MUROS]]=P$2,100%,AVANCE[[#This Row],[MUROS]])</f>
        <v>0</v>
      </c>
      <c r="BJ332" s="3">
        <f>+IF(AVANCE[[#This Row],[CIELO]]=Q$2,100%,AVANCE[[#This Row],[CIELO]])</f>
        <v>0</v>
      </c>
      <c r="BK332" s="3">
        <f>+IF(AVANCE[[#This Row],[BALCÓN]]=R$2,100%,AVANCE[[#This Row],[BALCÓN]])</f>
        <v>0</v>
      </c>
      <c r="BL332" s="3">
        <f>+IF(AVANCE[[#This Row],[RED ALCANTARILLADO]]=U$2,100%,AVANCE[[#This Row],[RED ALCANTARILLADO]])</f>
        <v>0</v>
      </c>
      <c r="BM332" s="3">
        <f>+IF(AVANCE[[#This Row],[RED DE AGUA]]=V$2,100%,AVANCE[[#This Row],[RED DE AGUA]])</f>
        <v>0</v>
      </c>
      <c r="BN332" s="3">
        <f>+IF(AVANCE[[#This Row],[VENTILACIONES]]=W$2,100%,AVANCE[[#This Row],[VENTILACIONES]])</f>
        <v>0</v>
      </c>
      <c r="BO332" s="3">
        <f>+IF(AVANCE[[#This Row],[TINA]]=X$2,100%,AVANCE[[#This Row],[TINA]])</f>
        <v>0</v>
      </c>
      <c r="BP332" s="3">
        <f>+IF(AVANCE[[#This Row],[WC]]=Y$2,100%,AVANCE[[#This Row],[WC]])</f>
        <v>0</v>
      </c>
      <c r="BQ332" s="3">
        <f>+IF(AVANCE[[#This Row],[LAVAMANOS / LAVAPLATOS / LAVADERO]]=Z$2,100%,AVANCE[[#This Row],[LAVAMANOS / LAVAPLATOS / LAVADERO]])</f>
        <v>0</v>
      </c>
      <c r="BR332" s="3">
        <f>+IF(AVANCE[[#This Row],[CANALIZACIÓN]]=AC$2,100%,AVANCE[[#This Row],[CANALIZACIÓN]])</f>
        <v>0</v>
      </c>
      <c r="BS332" s="3">
        <f>+IF(AVANCE[[#This Row],[CABLEADO]]=AD$2,100%,AVANCE[[#This Row],[CABLEADO]])</f>
        <v>0</v>
      </c>
      <c r="BT332" s="3">
        <f>+IF(AVANCE[[#This Row],[ARTEFACTOS]]=AE$2,100%,AVANCE[[#This Row],[ARTEFACTOS]])</f>
        <v>0</v>
      </c>
      <c r="BU332" s="3">
        <f>+IF(AVANCE[[#This Row],[TABLERO]]=AF$2,100%,AVANCE[[#This Row],[TABLERO]])</f>
        <v>0</v>
      </c>
      <c r="BV332" s="3">
        <f>+IF(AVANCE[[#This Row],[CAJA PAU]]=AG$2,100%,AVANCE[[#This Row],[CAJA PAU]])</f>
        <v>0</v>
      </c>
      <c r="BW332" s="3">
        <f>+IF(AVANCE[[#This Row],[INSTALACION VINILICO]]=AJ$2,100%,AVANCE[[#This Row],[INSTALACION VINILICO]])</f>
        <v>0</v>
      </c>
      <c r="BX332" s="3">
        <f>+IF(AVANCE[[#This Row],[OSB CUBIERTA]]=AK$2,100%,AVANCE[[#This Row],[OSB CUBIERTA]])</f>
        <v>0</v>
      </c>
      <c r="BY332" s="3">
        <f>+IF(AVANCE[[#This Row],[BARANDA BALCON]]=AL$2,100%,AVANCE[[#This Row],[BARANDA BALCON]])</f>
        <v>0</v>
      </c>
      <c r="BZ332" s="3">
        <f>+IF(AVANCE[[#This Row],[OSB EXTERIOR]]=AM$2,100%,AVANCE[[#This Row],[OSB EXTERIOR]])</f>
        <v>0</v>
      </c>
      <c r="CA332" s="3">
        <f>+IF(AVANCE[[#This Row],[SMART PANEL]]=AN$2,100%,AVANCE[[#This Row],[SMART PANEL]])</f>
        <v>0</v>
      </c>
      <c r="CB332" s="3">
        <f>+IF(AVANCE[[#This Row],[PINTURA EXTERIOR]]=AO$2,100%,AVANCE[[#This Row],[PINTURA EXTERIOR]])</f>
        <v>0</v>
      </c>
      <c r="CC332" s="3">
        <f>+IF(AVANCE[[#This Row],[ZOCALOS LOGIA]]=AP$2,100%,AVANCE[[#This Row],[ZOCALOS LOGIA]])</f>
        <v>0</v>
      </c>
      <c r="CD332" s="3">
        <f>+IF(AVANCE[[#This Row],[MOLDURAS]]=AQ$2,100%,AVANCE[[#This Row],[MOLDURAS]])</f>
        <v>0</v>
      </c>
      <c r="CE332" s="3">
        <f>+IF(AVANCE[[#This Row],[PILASTREO]]=AR$2,100%,AVANCE[[#This Row],[PILASTREO]])</f>
        <v>0</v>
      </c>
      <c r="CF332" s="3">
        <f>+IF(AVANCE[[#This Row],[CELOSIAS]]=AS$2,100%,AVANCE[[#This Row],[CELOSIAS]])</f>
        <v>0</v>
      </c>
      <c r="CG332" s="3">
        <f>+IF(AVANCE[[#This Row],[VENTANAS]]=AT$2,100%,AVANCE[[#This Row],[VENTANAS]])</f>
        <v>0</v>
      </c>
      <c r="CH332" s="3">
        <f>+IF(AVANCE[[#This Row],[PUERTAS ACCESO - LOGIA - BANO]]=AU$2,100%,AVANCE[[#This Row],[PUERTAS ACCESO - LOGIA - BANO]])</f>
        <v>0</v>
      </c>
      <c r="CI332" s="3">
        <f>+IF(AVANCE[[#This Row],[CERRADURAS]]=AV$2,100%,AVANCE[[#This Row],[CERRADURAS]])</f>
        <v>0</v>
      </c>
      <c r="CJ332" s="3">
        <f>+IF(AVANCE[[#This Row],[REVESTIMIENTO INTERIOR ZONA SECA]]=AW$2,100%,AVANCE[[#This Row],[REVESTIMIENTO INTERIOR ZONA SECA]])</f>
        <v>0</v>
      </c>
      <c r="CK332" s="3">
        <f>+IF(AVANCE[[#This Row],[REVESTIMIENTO INTERIOR ZONAS HUMEDAS]]=AX$2,100%,AVANCE[[#This Row],[REVESTIMIENTO INTERIOR ZONAS HUMEDAS]])</f>
        <v>0</v>
      </c>
      <c r="CL332" s="3">
        <f>+IF(AVANCE[[#This Row],[MEMBRANA CIELO]]=AY$2,100%,AVANCE[[#This Row],[MEMBRANA CIELO]])</f>
        <v>0</v>
      </c>
      <c r="CM332" s="3">
        <f>+IF(AVANCE[[#This Row],[LIMPIEZA FINAL]]=AZ$2,100%,AVANCE[[#This Row],[LIMPIEZA FINAL]])</f>
        <v>0</v>
      </c>
      <c r="CN332" s="3">
        <f>+IF(AVANCE[[#This Row],[PUERTAS DORMITORIO]]=BA$2,100%,AVANCE[[#This Row],[PUERTAS DORMITORIO]])</f>
        <v>0</v>
      </c>
      <c r="CO332" s="3">
        <f>+IF(AVANCE[[#This Row],[REVESTIMIENTO INTERIOR BANO]]=BB$2,100%,AVANCE[[#This Row],[REVESTIMIENTO INTERIOR BANO]])</f>
        <v>0</v>
      </c>
      <c r="CP332" s="3">
        <f>+IF(AVANCE[[#This Row],[MUEBLE LAVAPLATOS]]=BC$2,100%,AVANCE[[#This Row],[MUEBLE LAVAPLATOS]])</f>
        <v>0</v>
      </c>
      <c r="CQ332" s="3">
        <f>+IF(AVANCE[[#This Row],[IMPERMEABILIZACION BANO - COCINA LOGIA]]=BD$2,100%,AVANCE[[#This Row],[IMPERMEABILIZACION BANO - COCINA LOGIA]])</f>
        <v>0</v>
      </c>
      <c r="CR332" s="40">
        <f ca="1">+IF(AVANCE[[#This Row],[ESTADO MODULO]]="PENDIENTE",(TODAY()-AVANCE[[#This Row],[FECHA TERMINO  PLANIFICADO]]),0)</f>
        <v>0</v>
      </c>
      <c r="CS332" s="42" t="str" cm="1">
        <f t="array" ref="CS332">_xlfn.TEXTJOIN(" | ",TRUE,IF(SUMPRODUCT((BF332:CQ332&lt;1)*(PARTIDAS!$I$2:$AT$2="OBRA GRUESA"))&gt;0,"OBRA GRUESA: "&amp;_xlfn.TEXTJOIN(", ",TRUE,IF((BF332:CQ332&lt;1)*(PARTIDAS!$I$2:$AT$2="OBRA GRUESA"),PARTIDAS!$I$1:$AT$1,"")),""),IF(SUMPRODUCT((BF332:CQ332&lt;1)*(PARTIDAS!$I$2:$AT$2="SANITARIOS"))&gt;0,"SANITARIOS: "&amp;_xlfn.TEXTJOIN(", ",TRUE,IF((BF332:CQ332&lt;1)*(PARTIDAS!$I$2:$AT$2="SANITARIOS"),PARTIDAS!$I$1:$AT$1,"")),""),IF(SUMPRODUCT((BF332:CQ332&lt;1)*(PARTIDAS!$I$2:$AT$2="ELÉCTRICO"))&gt;0,"ELÉCTRICO: "&amp;_xlfn.TEXTJOIN(", ",TRUE,IF((BF332:CQ332&lt;1)*(PARTIDAS!$I$2:$AT$2="ELÉCTRICO"),PARTIDAS!$I$1:$AT$1,"")),""),IF(SUMPRODUCT((BF332:CQ332&lt;1)*(PARTIDAS!$I$2:$AT$2="TERMINACIONES"))&gt;0,"TERMINACIONES: "&amp;_xlfn.TEXTJOIN(", ",TRUE,IF((BF332:CQ332&lt;1)*(PARTIDAS!$I$2:$AT$2="TERMINACIONES"),PARTIDAS!$I$1:$AT$1,"")),""))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2" s="45" t="str" cm="1">
        <f t="array" ref="CT332">_xlfn.TEXTJOIN(", ",TRUE,IF(SUMPRODUCT((BF332:CQ332&lt;1)*(PARTIDAS!$I$2:$AT$2="OBRA GRUESA"))&gt;0,"OBRA GRUESA",""),IF(SUMPRODUCT((BF332:CQ332&lt;1)*(PARTIDAS!$I$2:$AT$2="SANITARIOS"))&gt;0,"SANITARIOS",""),IF(SUMPRODUCT((BF332:CQ332&lt;1)*(PARTIDAS!$I$2:$AT$2="ELÉCTRICO"))&gt;0,"ELÉCTRICO",""),IF(SUMPRODUCT((BF332:CQ332&lt;1)*(PARTIDAS!$I$2:$AT$2="TERMINACIONES"))&gt;0,"TERMINACIONES",""))</f>
        <v>OBRA GRUESA, SANITARIOS, ELÉCTRICO, TERMINACIONES</v>
      </c>
      <c r="CU332" s="46" cm="1">
        <f t="array" ref="CU332">SUMPRODUCT(--(BF332:CQ332&lt;1))</f>
        <v>38</v>
      </c>
    </row>
    <row r="333" spans="1:99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46181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 s="3" t="str">
        <f>+IF(AVANCE[[#This Row],[% AVANCE]]=100%,"MODULO TERMINADO",IF(AVANCE[[#This Row],[FECHA INICIO REAL]]="","MODULO NO INICIADO","PENDIENTE"))</f>
        <v>MODULO NO INICIADO</v>
      </c>
      <c r="BF333" s="3">
        <f>+IF(AVANCE[[#This Row],[VENTANAS]]=8.10810810810811%,100%,AVANCE[[#This Row],[VENTANAS]])</f>
        <v>0</v>
      </c>
      <c r="BG333" s="3">
        <f>+IF(AVANCE[[#This Row],[PISO]]=N$2,100%,AVANCE[[#This Row],[PISO]])</f>
        <v>0</v>
      </c>
      <c r="BH333" s="3">
        <f>+IF(AVANCE[[#This Row],[TABIQUES]]=O$2,100%,AVANCE[[#This Row],[TABIQUES]])</f>
        <v>0</v>
      </c>
      <c r="BI333" s="3">
        <f>+IF(AVANCE[[#This Row],[MUROS]]=P$2,100%,AVANCE[[#This Row],[MUROS]])</f>
        <v>0</v>
      </c>
      <c r="BJ333" s="3">
        <f>+IF(AVANCE[[#This Row],[CIELO]]=Q$2,100%,AVANCE[[#This Row],[CIELO]])</f>
        <v>0</v>
      </c>
      <c r="BK333" s="3">
        <f>+IF(AVANCE[[#This Row],[BALCÓN]]=R$2,100%,AVANCE[[#This Row],[BALCÓN]])</f>
        <v>0</v>
      </c>
      <c r="BL333" s="3">
        <f>+IF(AVANCE[[#This Row],[RED ALCANTARILLADO]]=U$2,100%,AVANCE[[#This Row],[RED ALCANTARILLADO]])</f>
        <v>0</v>
      </c>
      <c r="BM333" s="3">
        <f>+IF(AVANCE[[#This Row],[RED DE AGUA]]=V$2,100%,AVANCE[[#This Row],[RED DE AGUA]])</f>
        <v>0</v>
      </c>
      <c r="BN333" s="3">
        <f>+IF(AVANCE[[#This Row],[VENTILACIONES]]=W$2,100%,AVANCE[[#This Row],[VENTILACIONES]])</f>
        <v>0</v>
      </c>
      <c r="BO333" s="3">
        <f>+IF(AVANCE[[#This Row],[TINA]]=X$2,100%,AVANCE[[#This Row],[TINA]])</f>
        <v>0</v>
      </c>
      <c r="BP333" s="3">
        <f>+IF(AVANCE[[#This Row],[WC]]=Y$2,100%,AVANCE[[#This Row],[WC]])</f>
        <v>0</v>
      </c>
      <c r="BQ333" s="3">
        <f>+IF(AVANCE[[#This Row],[LAVAMANOS / LAVAPLATOS / LAVADERO]]=Z$2,100%,AVANCE[[#This Row],[LAVAMANOS / LAVAPLATOS / LAVADERO]])</f>
        <v>0</v>
      </c>
      <c r="BR333" s="3">
        <f>+IF(AVANCE[[#This Row],[CANALIZACIÓN]]=AC$2,100%,AVANCE[[#This Row],[CANALIZACIÓN]])</f>
        <v>0</v>
      </c>
      <c r="BS333" s="3">
        <f>+IF(AVANCE[[#This Row],[CABLEADO]]=AD$2,100%,AVANCE[[#This Row],[CABLEADO]])</f>
        <v>0</v>
      </c>
      <c r="BT333" s="3">
        <f>+IF(AVANCE[[#This Row],[ARTEFACTOS]]=AE$2,100%,AVANCE[[#This Row],[ARTEFACTOS]])</f>
        <v>0</v>
      </c>
      <c r="BU333" s="3">
        <f>+IF(AVANCE[[#This Row],[TABLERO]]=AF$2,100%,AVANCE[[#This Row],[TABLERO]])</f>
        <v>0</v>
      </c>
      <c r="BV333" s="3">
        <f>+IF(AVANCE[[#This Row],[CAJA PAU]]=AG$2,100%,AVANCE[[#This Row],[CAJA PAU]])</f>
        <v>0</v>
      </c>
      <c r="BW333" s="3">
        <f>+IF(AVANCE[[#This Row],[INSTALACION VINILICO]]=AJ$2,100%,AVANCE[[#This Row],[INSTALACION VINILICO]])</f>
        <v>0</v>
      </c>
      <c r="BX333" s="3">
        <f>+IF(AVANCE[[#This Row],[OSB CUBIERTA]]=AK$2,100%,AVANCE[[#This Row],[OSB CUBIERTA]])</f>
        <v>0</v>
      </c>
      <c r="BY333" s="3">
        <f>+IF(AVANCE[[#This Row],[BARANDA BALCON]]=AL$2,100%,AVANCE[[#This Row],[BARANDA BALCON]])</f>
        <v>0</v>
      </c>
      <c r="BZ333" s="3">
        <f>+IF(AVANCE[[#This Row],[OSB EXTERIOR]]=AM$2,100%,AVANCE[[#This Row],[OSB EXTERIOR]])</f>
        <v>0</v>
      </c>
      <c r="CA333" s="3">
        <f>+IF(AVANCE[[#This Row],[SMART PANEL]]=AN$2,100%,AVANCE[[#This Row],[SMART PANEL]])</f>
        <v>0</v>
      </c>
      <c r="CB333" s="3">
        <f>+IF(AVANCE[[#This Row],[PINTURA EXTERIOR]]=AO$2,100%,AVANCE[[#This Row],[PINTURA EXTERIOR]])</f>
        <v>0</v>
      </c>
      <c r="CC333" s="3">
        <f>+IF(AVANCE[[#This Row],[ZOCALOS LOGIA]]=AP$2,100%,AVANCE[[#This Row],[ZOCALOS LOGIA]])</f>
        <v>0</v>
      </c>
      <c r="CD333" s="3">
        <f>+IF(AVANCE[[#This Row],[MOLDURAS]]=AQ$2,100%,AVANCE[[#This Row],[MOLDURAS]])</f>
        <v>0</v>
      </c>
      <c r="CE333" s="3">
        <f>+IF(AVANCE[[#This Row],[PILASTREO]]=AR$2,100%,AVANCE[[#This Row],[PILASTREO]])</f>
        <v>0</v>
      </c>
      <c r="CF333" s="3">
        <f>+IF(AVANCE[[#This Row],[CELOSIAS]]=AS$2,100%,AVANCE[[#This Row],[CELOSIAS]])</f>
        <v>0</v>
      </c>
      <c r="CG333" s="3">
        <f>+IF(AVANCE[[#This Row],[VENTANAS]]=AT$2,100%,AVANCE[[#This Row],[VENTANAS]])</f>
        <v>0</v>
      </c>
      <c r="CH333" s="3">
        <f>+IF(AVANCE[[#This Row],[PUERTAS ACCESO - LOGIA - BANO]]=AU$2,100%,AVANCE[[#This Row],[PUERTAS ACCESO - LOGIA - BANO]])</f>
        <v>0</v>
      </c>
      <c r="CI333" s="3">
        <f>+IF(AVANCE[[#This Row],[CERRADURAS]]=AV$2,100%,AVANCE[[#This Row],[CERRADURAS]])</f>
        <v>0</v>
      </c>
      <c r="CJ333" s="3">
        <f>+IF(AVANCE[[#This Row],[REVESTIMIENTO INTERIOR ZONA SECA]]=AW$2,100%,AVANCE[[#This Row],[REVESTIMIENTO INTERIOR ZONA SECA]])</f>
        <v>0</v>
      </c>
      <c r="CK333" s="3">
        <f>+IF(AVANCE[[#This Row],[REVESTIMIENTO INTERIOR ZONAS HUMEDAS]]=AX$2,100%,AVANCE[[#This Row],[REVESTIMIENTO INTERIOR ZONAS HUMEDAS]])</f>
        <v>0</v>
      </c>
      <c r="CL333" s="3">
        <f>+IF(AVANCE[[#This Row],[MEMBRANA CIELO]]=AY$2,100%,AVANCE[[#This Row],[MEMBRANA CIELO]])</f>
        <v>0</v>
      </c>
      <c r="CM333" s="3">
        <f>+IF(AVANCE[[#This Row],[LIMPIEZA FINAL]]=AZ$2,100%,AVANCE[[#This Row],[LIMPIEZA FINAL]])</f>
        <v>0</v>
      </c>
      <c r="CN333" s="3">
        <f>+IF(AVANCE[[#This Row],[PUERTAS DORMITORIO]]=BA$2,100%,AVANCE[[#This Row],[PUERTAS DORMITORIO]])</f>
        <v>0</v>
      </c>
      <c r="CO333" s="3">
        <f>+IF(AVANCE[[#This Row],[REVESTIMIENTO INTERIOR BANO]]=BB$2,100%,AVANCE[[#This Row],[REVESTIMIENTO INTERIOR BANO]])</f>
        <v>0</v>
      </c>
      <c r="CP333" s="3">
        <f>+IF(AVANCE[[#This Row],[MUEBLE LAVAPLATOS]]=BC$2,100%,AVANCE[[#This Row],[MUEBLE LAVAPLATOS]])</f>
        <v>0</v>
      </c>
      <c r="CQ333" s="3">
        <f>+IF(AVANCE[[#This Row],[IMPERMEABILIZACION BANO - COCINA LOGIA]]=BD$2,100%,AVANCE[[#This Row],[IMPERMEABILIZACION BANO - COCINA LOGIA]])</f>
        <v>0</v>
      </c>
      <c r="CR333" s="40">
        <f ca="1">+IF(AVANCE[[#This Row],[ESTADO MODULO]]="PENDIENTE",(TODAY()-AVANCE[[#This Row],[FECHA TERMINO  PLANIFICADO]]),0)</f>
        <v>0</v>
      </c>
      <c r="CS333" s="42" t="str" cm="1">
        <f t="array" ref="CS333">_xlfn.TEXTJOIN(" | ",TRUE,IF(SUMPRODUCT((BF333:CQ333&lt;1)*(PARTIDAS!$I$2:$AT$2="OBRA GRUESA"))&gt;0,"OBRA GRUESA: "&amp;_xlfn.TEXTJOIN(", ",TRUE,IF((BF333:CQ333&lt;1)*(PARTIDAS!$I$2:$AT$2="OBRA GRUESA"),PARTIDAS!$I$1:$AT$1,"")),""),IF(SUMPRODUCT((BF333:CQ333&lt;1)*(PARTIDAS!$I$2:$AT$2="SANITARIOS"))&gt;0,"SANITARIOS: "&amp;_xlfn.TEXTJOIN(", ",TRUE,IF((BF333:CQ333&lt;1)*(PARTIDAS!$I$2:$AT$2="SANITARIOS"),PARTIDAS!$I$1:$AT$1,"")),""),IF(SUMPRODUCT((BF333:CQ333&lt;1)*(PARTIDAS!$I$2:$AT$2="ELÉCTRICO"))&gt;0,"ELÉCTRICO: "&amp;_xlfn.TEXTJOIN(", ",TRUE,IF((BF333:CQ333&lt;1)*(PARTIDAS!$I$2:$AT$2="ELÉCTRICO"),PARTIDAS!$I$1:$AT$1,"")),""),IF(SUMPRODUCT((BF333:CQ333&lt;1)*(PARTIDAS!$I$2:$AT$2="TERMINACIONES"))&gt;0,"TERMINACIONES: "&amp;_xlfn.TEXTJOIN(", ",TRUE,IF((BF333:CQ333&lt;1)*(PARTIDAS!$I$2:$AT$2="TERMINACIONES"),PARTIDAS!$I$1:$AT$1,"")),""))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3" s="45" t="str" cm="1">
        <f t="array" ref="CT333">_xlfn.TEXTJOIN(", ",TRUE,IF(SUMPRODUCT((BF333:CQ333&lt;1)*(PARTIDAS!$I$2:$AT$2="OBRA GRUESA"))&gt;0,"OBRA GRUESA",""),IF(SUMPRODUCT((BF333:CQ333&lt;1)*(PARTIDAS!$I$2:$AT$2="SANITARIOS"))&gt;0,"SANITARIOS",""),IF(SUMPRODUCT((BF333:CQ333&lt;1)*(PARTIDAS!$I$2:$AT$2="ELÉCTRICO"))&gt;0,"ELÉCTRICO",""),IF(SUMPRODUCT((BF333:CQ333&lt;1)*(PARTIDAS!$I$2:$AT$2="TERMINACIONES"))&gt;0,"TERMINACIONES",""))</f>
        <v>OBRA GRUESA, SANITARIOS, ELÉCTRICO, TERMINACIONES</v>
      </c>
      <c r="CU333" s="46" cm="1">
        <f t="array" ref="CU333">SUMPRODUCT(--(BF333:CQ333&lt;1))</f>
        <v>38</v>
      </c>
    </row>
    <row r="334" spans="1:99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46181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 s="3" t="str">
        <f>+IF(AVANCE[[#This Row],[% AVANCE]]=100%,"MODULO TERMINADO",IF(AVANCE[[#This Row],[FECHA INICIO REAL]]="","MODULO NO INICIADO","PENDIENTE"))</f>
        <v>MODULO NO INICIADO</v>
      </c>
      <c r="BF334" s="3">
        <f>+IF(AVANCE[[#This Row],[VENTANAS]]=8.10810810810811%,100%,AVANCE[[#This Row],[VENTANAS]])</f>
        <v>0</v>
      </c>
      <c r="BG334" s="3">
        <f>+IF(AVANCE[[#This Row],[PISO]]=N$2,100%,AVANCE[[#This Row],[PISO]])</f>
        <v>0</v>
      </c>
      <c r="BH334" s="3">
        <f>+IF(AVANCE[[#This Row],[TABIQUES]]=O$2,100%,AVANCE[[#This Row],[TABIQUES]])</f>
        <v>0</v>
      </c>
      <c r="BI334" s="3">
        <f>+IF(AVANCE[[#This Row],[MUROS]]=P$2,100%,AVANCE[[#This Row],[MUROS]])</f>
        <v>0</v>
      </c>
      <c r="BJ334" s="3">
        <f>+IF(AVANCE[[#This Row],[CIELO]]=Q$2,100%,AVANCE[[#This Row],[CIELO]])</f>
        <v>0</v>
      </c>
      <c r="BK334" s="3">
        <f>+IF(AVANCE[[#This Row],[BALCÓN]]=R$2,100%,AVANCE[[#This Row],[BALCÓN]])</f>
        <v>0</v>
      </c>
      <c r="BL334" s="3">
        <f>+IF(AVANCE[[#This Row],[RED ALCANTARILLADO]]=U$2,100%,AVANCE[[#This Row],[RED ALCANTARILLADO]])</f>
        <v>0</v>
      </c>
      <c r="BM334" s="3">
        <f>+IF(AVANCE[[#This Row],[RED DE AGUA]]=V$2,100%,AVANCE[[#This Row],[RED DE AGUA]])</f>
        <v>0</v>
      </c>
      <c r="BN334" s="3">
        <f>+IF(AVANCE[[#This Row],[VENTILACIONES]]=W$2,100%,AVANCE[[#This Row],[VENTILACIONES]])</f>
        <v>0</v>
      </c>
      <c r="BO334" s="3">
        <f>+IF(AVANCE[[#This Row],[TINA]]=X$2,100%,AVANCE[[#This Row],[TINA]])</f>
        <v>0</v>
      </c>
      <c r="BP334" s="3">
        <f>+IF(AVANCE[[#This Row],[WC]]=Y$2,100%,AVANCE[[#This Row],[WC]])</f>
        <v>0</v>
      </c>
      <c r="BQ334" s="3">
        <f>+IF(AVANCE[[#This Row],[LAVAMANOS / LAVAPLATOS / LAVADERO]]=Z$2,100%,AVANCE[[#This Row],[LAVAMANOS / LAVAPLATOS / LAVADERO]])</f>
        <v>0</v>
      </c>
      <c r="BR334" s="3">
        <f>+IF(AVANCE[[#This Row],[CANALIZACIÓN]]=AC$2,100%,AVANCE[[#This Row],[CANALIZACIÓN]])</f>
        <v>0</v>
      </c>
      <c r="BS334" s="3">
        <f>+IF(AVANCE[[#This Row],[CABLEADO]]=AD$2,100%,AVANCE[[#This Row],[CABLEADO]])</f>
        <v>0</v>
      </c>
      <c r="BT334" s="3">
        <f>+IF(AVANCE[[#This Row],[ARTEFACTOS]]=AE$2,100%,AVANCE[[#This Row],[ARTEFACTOS]])</f>
        <v>0</v>
      </c>
      <c r="BU334" s="3">
        <f>+IF(AVANCE[[#This Row],[TABLERO]]=AF$2,100%,AVANCE[[#This Row],[TABLERO]])</f>
        <v>0</v>
      </c>
      <c r="BV334" s="3">
        <f>+IF(AVANCE[[#This Row],[CAJA PAU]]=AG$2,100%,AVANCE[[#This Row],[CAJA PAU]])</f>
        <v>0</v>
      </c>
      <c r="BW334" s="3">
        <f>+IF(AVANCE[[#This Row],[INSTALACION VINILICO]]=AJ$2,100%,AVANCE[[#This Row],[INSTALACION VINILICO]])</f>
        <v>0</v>
      </c>
      <c r="BX334" s="3">
        <f>+IF(AVANCE[[#This Row],[OSB CUBIERTA]]=AK$2,100%,AVANCE[[#This Row],[OSB CUBIERTA]])</f>
        <v>0</v>
      </c>
      <c r="BY334" s="3">
        <f>+IF(AVANCE[[#This Row],[BARANDA BALCON]]=AL$2,100%,AVANCE[[#This Row],[BARANDA BALCON]])</f>
        <v>0</v>
      </c>
      <c r="BZ334" s="3">
        <f>+IF(AVANCE[[#This Row],[OSB EXTERIOR]]=AM$2,100%,AVANCE[[#This Row],[OSB EXTERIOR]])</f>
        <v>0</v>
      </c>
      <c r="CA334" s="3">
        <f>+IF(AVANCE[[#This Row],[SMART PANEL]]=AN$2,100%,AVANCE[[#This Row],[SMART PANEL]])</f>
        <v>0</v>
      </c>
      <c r="CB334" s="3">
        <f>+IF(AVANCE[[#This Row],[PINTURA EXTERIOR]]=AO$2,100%,AVANCE[[#This Row],[PINTURA EXTERIOR]])</f>
        <v>0</v>
      </c>
      <c r="CC334" s="3">
        <f>+IF(AVANCE[[#This Row],[ZOCALOS LOGIA]]=AP$2,100%,AVANCE[[#This Row],[ZOCALOS LOGIA]])</f>
        <v>0</v>
      </c>
      <c r="CD334" s="3">
        <f>+IF(AVANCE[[#This Row],[MOLDURAS]]=AQ$2,100%,AVANCE[[#This Row],[MOLDURAS]])</f>
        <v>0</v>
      </c>
      <c r="CE334" s="3">
        <f>+IF(AVANCE[[#This Row],[PILASTREO]]=AR$2,100%,AVANCE[[#This Row],[PILASTREO]])</f>
        <v>0</v>
      </c>
      <c r="CF334" s="3">
        <f>+IF(AVANCE[[#This Row],[CELOSIAS]]=AS$2,100%,AVANCE[[#This Row],[CELOSIAS]])</f>
        <v>0</v>
      </c>
      <c r="CG334" s="3">
        <f>+IF(AVANCE[[#This Row],[VENTANAS]]=AT$2,100%,AVANCE[[#This Row],[VENTANAS]])</f>
        <v>0</v>
      </c>
      <c r="CH334" s="3">
        <f>+IF(AVANCE[[#This Row],[PUERTAS ACCESO - LOGIA - BANO]]=AU$2,100%,AVANCE[[#This Row],[PUERTAS ACCESO - LOGIA - BANO]])</f>
        <v>0</v>
      </c>
      <c r="CI334" s="3">
        <f>+IF(AVANCE[[#This Row],[CERRADURAS]]=AV$2,100%,AVANCE[[#This Row],[CERRADURAS]])</f>
        <v>0</v>
      </c>
      <c r="CJ334" s="3">
        <f>+IF(AVANCE[[#This Row],[REVESTIMIENTO INTERIOR ZONA SECA]]=AW$2,100%,AVANCE[[#This Row],[REVESTIMIENTO INTERIOR ZONA SECA]])</f>
        <v>0</v>
      </c>
      <c r="CK334" s="3">
        <f>+IF(AVANCE[[#This Row],[REVESTIMIENTO INTERIOR ZONAS HUMEDAS]]=AX$2,100%,AVANCE[[#This Row],[REVESTIMIENTO INTERIOR ZONAS HUMEDAS]])</f>
        <v>0</v>
      </c>
      <c r="CL334" s="3">
        <f>+IF(AVANCE[[#This Row],[MEMBRANA CIELO]]=AY$2,100%,AVANCE[[#This Row],[MEMBRANA CIELO]])</f>
        <v>0</v>
      </c>
      <c r="CM334" s="3">
        <f>+IF(AVANCE[[#This Row],[LIMPIEZA FINAL]]=AZ$2,100%,AVANCE[[#This Row],[LIMPIEZA FINAL]])</f>
        <v>0</v>
      </c>
      <c r="CN334" s="3">
        <f>+IF(AVANCE[[#This Row],[PUERTAS DORMITORIO]]=BA$2,100%,AVANCE[[#This Row],[PUERTAS DORMITORIO]])</f>
        <v>0</v>
      </c>
      <c r="CO334" s="3">
        <f>+IF(AVANCE[[#This Row],[REVESTIMIENTO INTERIOR BANO]]=BB$2,100%,AVANCE[[#This Row],[REVESTIMIENTO INTERIOR BANO]])</f>
        <v>0</v>
      </c>
      <c r="CP334" s="3">
        <f>+IF(AVANCE[[#This Row],[MUEBLE LAVAPLATOS]]=BC$2,100%,AVANCE[[#This Row],[MUEBLE LAVAPLATOS]])</f>
        <v>0</v>
      </c>
      <c r="CQ334" s="3">
        <f>+IF(AVANCE[[#This Row],[IMPERMEABILIZACION BANO - COCINA LOGIA]]=BD$2,100%,AVANCE[[#This Row],[IMPERMEABILIZACION BANO - COCINA LOGIA]])</f>
        <v>0</v>
      </c>
      <c r="CR334" s="40">
        <f ca="1">+IF(AVANCE[[#This Row],[ESTADO MODULO]]="PENDIENTE",(TODAY()-AVANCE[[#This Row],[FECHA TERMINO  PLANIFICADO]]),0)</f>
        <v>0</v>
      </c>
      <c r="CS334" s="42" t="str" cm="1">
        <f t="array" ref="CS334">_xlfn.TEXTJOIN(" | ",TRUE,IF(SUMPRODUCT((BF334:CQ334&lt;1)*(PARTIDAS!$I$2:$AT$2="OBRA GRUESA"))&gt;0,"OBRA GRUESA: "&amp;_xlfn.TEXTJOIN(", ",TRUE,IF((BF334:CQ334&lt;1)*(PARTIDAS!$I$2:$AT$2="OBRA GRUESA"),PARTIDAS!$I$1:$AT$1,"")),""),IF(SUMPRODUCT((BF334:CQ334&lt;1)*(PARTIDAS!$I$2:$AT$2="SANITARIOS"))&gt;0,"SANITARIOS: "&amp;_xlfn.TEXTJOIN(", ",TRUE,IF((BF334:CQ334&lt;1)*(PARTIDAS!$I$2:$AT$2="SANITARIOS"),PARTIDAS!$I$1:$AT$1,"")),""),IF(SUMPRODUCT((BF334:CQ334&lt;1)*(PARTIDAS!$I$2:$AT$2="ELÉCTRICO"))&gt;0,"ELÉCTRICO: "&amp;_xlfn.TEXTJOIN(", ",TRUE,IF((BF334:CQ334&lt;1)*(PARTIDAS!$I$2:$AT$2="ELÉCTRICO"),PARTIDAS!$I$1:$AT$1,"")),""),IF(SUMPRODUCT((BF334:CQ334&lt;1)*(PARTIDAS!$I$2:$AT$2="TERMINACIONES"))&gt;0,"TERMINACIONES: "&amp;_xlfn.TEXTJOIN(", ",TRUE,IF((BF334:CQ334&lt;1)*(PARTIDAS!$I$2:$AT$2="TERMINACIONES"),PARTIDAS!$I$1:$AT$1,"")),""))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4" s="45" t="str" cm="1">
        <f t="array" ref="CT334">_xlfn.TEXTJOIN(", ",TRUE,IF(SUMPRODUCT((BF334:CQ334&lt;1)*(PARTIDAS!$I$2:$AT$2="OBRA GRUESA"))&gt;0,"OBRA GRUESA",""),IF(SUMPRODUCT((BF334:CQ334&lt;1)*(PARTIDAS!$I$2:$AT$2="SANITARIOS"))&gt;0,"SANITARIOS",""),IF(SUMPRODUCT((BF334:CQ334&lt;1)*(PARTIDAS!$I$2:$AT$2="ELÉCTRICO"))&gt;0,"ELÉCTRICO",""),IF(SUMPRODUCT((BF334:CQ334&lt;1)*(PARTIDAS!$I$2:$AT$2="TERMINACIONES"))&gt;0,"TERMINACIONES",""))</f>
        <v>OBRA GRUESA, SANITARIOS, ELÉCTRICO, TERMINACIONES</v>
      </c>
      <c r="CU334" s="46" cm="1">
        <f t="array" ref="CU334">SUMPRODUCT(--(BF334:CQ334&lt;1))</f>
        <v>38</v>
      </c>
    </row>
    <row r="335" spans="1:99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46181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 s="3" t="str">
        <f>+IF(AVANCE[[#This Row],[% AVANCE]]=100%,"MODULO TERMINADO",IF(AVANCE[[#This Row],[FECHA INICIO REAL]]="","MODULO NO INICIADO","PENDIENTE"))</f>
        <v>MODULO NO INICIADO</v>
      </c>
      <c r="BF335" s="3">
        <f>+IF(AVANCE[[#This Row],[VENTANAS]]=8.10810810810811%,100%,AVANCE[[#This Row],[VENTANAS]])</f>
        <v>0</v>
      </c>
      <c r="BG335" s="3">
        <f>+IF(AVANCE[[#This Row],[PISO]]=N$2,100%,AVANCE[[#This Row],[PISO]])</f>
        <v>0</v>
      </c>
      <c r="BH335" s="3">
        <f>+IF(AVANCE[[#This Row],[TABIQUES]]=O$2,100%,AVANCE[[#This Row],[TABIQUES]])</f>
        <v>0</v>
      </c>
      <c r="BI335" s="3">
        <f>+IF(AVANCE[[#This Row],[MUROS]]=P$2,100%,AVANCE[[#This Row],[MUROS]])</f>
        <v>0</v>
      </c>
      <c r="BJ335" s="3">
        <f>+IF(AVANCE[[#This Row],[CIELO]]=Q$2,100%,AVANCE[[#This Row],[CIELO]])</f>
        <v>0</v>
      </c>
      <c r="BK335" s="3">
        <f>+IF(AVANCE[[#This Row],[BALCÓN]]=R$2,100%,AVANCE[[#This Row],[BALCÓN]])</f>
        <v>0</v>
      </c>
      <c r="BL335" s="3">
        <f>+IF(AVANCE[[#This Row],[RED ALCANTARILLADO]]=U$2,100%,AVANCE[[#This Row],[RED ALCANTARILLADO]])</f>
        <v>0</v>
      </c>
      <c r="BM335" s="3">
        <f>+IF(AVANCE[[#This Row],[RED DE AGUA]]=V$2,100%,AVANCE[[#This Row],[RED DE AGUA]])</f>
        <v>0</v>
      </c>
      <c r="BN335" s="3">
        <f>+IF(AVANCE[[#This Row],[VENTILACIONES]]=W$2,100%,AVANCE[[#This Row],[VENTILACIONES]])</f>
        <v>0</v>
      </c>
      <c r="BO335" s="3">
        <f>+IF(AVANCE[[#This Row],[TINA]]=X$2,100%,AVANCE[[#This Row],[TINA]])</f>
        <v>0</v>
      </c>
      <c r="BP335" s="3">
        <f>+IF(AVANCE[[#This Row],[WC]]=Y$2,100%,AVANCE[[#This Row],[WC]])</f>
        <v>0</v>
      </c>
      <c r="BQ335" s="3">
        <f>+IF(AVANCE[[#This Row],[LAVAMANOS / LAVAPLATOS / LAVADERO]]=Z$2,100%,AVANCE[[#This Row],[LAVAMANOS / LAVAPLATOS / LAVADERO]])</f>
        <v>0</v>
      </c>
      <c r="BR335" s="3">
        <f>+IF(AVANCE[[#This Row],[CANALIZACIÓN]]=AC$2,100%,AVANCE[[#This Row],[CANALIZACIÓN]])</f>
        <v>0</v>
      </c>
      <c r="BS335" s="3">
        <f>+IF(AVANCE[[#This Row],[CABLEADO]]=AD$2,100%,AVANCE[[#This Row],[CABLEADO]])</f>
        <v>0</v>
      </c>
      <c r="BT335" s="3">
        <f>+IF(AVANCE[[#This Row],[ARTEFACTOS]]=AE$2,100%,AVANCE[[#This Row],[ARTEFACTOS]])</f>
        <v>0</v>
      </c>
      <c r="BU335" s="3">
        <f>+IF(AVANCE[[#This Row],[TABLERO]]=AF$2,100%,AVANCE[[#This Row],[TABLERO]])</f>
        <v>0</v>
      </c>
      <c r="BV335" s="3">
        <f>+IF(AVANCE[[#This Row],[CAJA PAU]]=AG$2,100%,AVANCE[[#This Row],[CAJA PAU]])</f>
        <v>0</v>
      </c>
      <c r="BW335" s="3">
        <f>+IF(AVANCE[[#This Row],[INSTALACION VINILICO]]=AJ$2,100%,AVANCE[[#This Row],[INSTALACION VINILICO]])</f>
        <v>0</v>
      </c>
      <c r="BX335" s="3">
        <f>+IF(AVANCE[[#This Row],[OSB CUBIERTA]]=AK$2,100%,AVANCE[[#This Row],[OSB CUBIERTA]])</f>
        <v>0</v>
      </c>
      <c r="BY335" s="3">
        <f>+IF(AVANCE[[#This Row],[BARANDA BALCON]]=AL$2,100%,AVANCE[[#This Row],[BARANDA BALCON]])</f>
        <v>0</v>
      </c>
      <c r="BZ335" s="3">
        <f>+IF(AVANCE[[#This Row],[OSB EXTERIOR]]=AM$2,100%,AVANCE[[#This Row],[OSB EXTERIOR]])</f>
        <v>0</v>
      </c>
      <c r="CA335" s="3">
        <f>+IF(AVANCE[[#This Row],[SMART PANEL]]=AN$2,100%,AVANCE[[#This Row],[SMART PANEL]])</f>
        <v>0</v>
      </c>
      <c r="CB335" s="3">
        <f>+IF(AVANCE[[#This Row],[PINTURA EXTERIOR]]=AO$2,100%,AVANCE[[#This Row],[PINTURA EXTERIOR]])</f>
        <v>0</v>
      </c>
      <c r="CC335" s="3">
        <f>+IF(AVANCE[[#This Row],[ZOCALOS LOGIA]]=AP$2,100%,AVANCE[[#This Row],[ZOCALOS LOGIA]])</f>
        <v>0</v>
      </c>
      <c r="CD335" s="3">
        <f>+IF(AVANCE[[#This Row],[MOLDURAS]]=AQ$2,100%,AVANCE[[#This Row],[MOLDURAS]])</f>
        <v>0</v>
      </c>
      <c r="CE335" s="3">
        <f>+IF(AVANCE[[#This Row],[PILASTREO]]=AR$2,100%,AVANCE[[#This Row],[PILASTREO]])</f>
        <v>0</v>
      </c>
      <c r="CF335" s="3">
        <f>+IF(AVANCE[[#This Row],[CELOSIAS]]=AS$2,100%,AVANCE[[#This Row],[CELOSIAS]])</f>
        <v>0</v>
      </c>
      <c r="CG335" s="3">
        <f>+IF(AVANCE[[#This Row],[VENTANAS]]=AT$2,100%,AVANCE[[#This Row],[VENTANAS]])</f>
        <v>0</v>
      </c>
      <c r="CH335" s="3">
        <f>+IF(AVANCE[[#This Row],[PUERTAS ACCESO - LOGIA - BANO]]=AU$2,100%,AVANCE[[#This Row],[PUERTAS ACCESO - LOGIA - BANO]])</f>
        <v>0</v>
      </c>
      <c r="CI335" s="3">
        <f>+IF(AVANCE[[#This Row],[CERRADURAS]]=AV$2,100%,AVANCE[[#This Row],[CERRADURAS]])</f>
        <v>0</v>
      </c>
      <c r="CJ335" s="3">
        <f>+IF(AVANCE[[#This Row],[REVESTIMIENTO INTERIOR ZONA SECA]]=AW$2,100%,AVANCE[[#This Row],[REVESTIMIENTO INTERIOR ZONA SECA]])</f>
        <v>0</v>
      </c>
      <c r="CK335" s="3">
        <f>+IF(AVANCE[[#This Row],[REVESTIMIENTO INTERIOR ZONAS HUMEDAS]]=AX$2,100%,AVANCE[[#This Row],[REVESTIMIENTO INTERIOR ZONAS HUMEDAS]])</f>
        <v>0</v>
      </c>
      <c r="CL335" s="3">
        <f>+IF(AVANCE[[#This Row],[MEMBRANA CIELO]]=AY$2,100%,AVANCE[[#This Row],[MEMBRANA CIELO]])</f>
        <v>0</v>
      </c>
      <c r="CM335" s="3">
        <f>+IF(AVANCE[[#This Row],[LIMPIEZA FINAL]]=AZ$2,100%,AVANCE[[#This Row],[LIMPIEZA FINAL]])</f>
        <v>0</v>
      </c>
      <c r="CN335" s="3">
        <f>+IF(AVANCE[[#This Row],[PUERTAS DORMITORIO]]=BA$2,100%,AVANCE[[#This Row],[PUERTAS DORMITORIO]])</f>
        <v>0</v>
      </c>
      <c r="CO335" s="3">
        <f>+IF(AVANCE[[#This Row],[REVESTIMIENTO INTERIOR BANO]]=BB$2,100%,AVANCE[[#This Row],[REVESTIMIENTO INTERIOR BANO]])</f>
        <v>0</v>
      </c>
      <c r="CP335" s="3">
        <f>+IF(AVANCE[[#This Row],[MUEBLE LAVAPLATOS]]=BC$2,100%,AVANCE[[#This Row],[MUEBLE LAVAPLATOS]])</f>
        <v>0</v>
      </c>
      <c r="CQ335" s="3">
        <f>+IF(AVANCE[[#This Row],[IMPERMEABILIZACION BANO - COCINA LOGIA]]=BD$2,100%,AVANCE[[#This Row],[IMPERMEABILIZACION BANO - COCINA LOGIA]])</f>
        <v>0</v>
      </c>
      <c r="CR335" s="40">
        <f ca="1">+IF(AVANCE[[#This Row],[ESTADO MODULO]]="PENDIENTE",(TODAY()-AVANCE[[#This Row],[FECHA TERMINO  PLANIFICADO]]),0)</f>
        <v>0</v>
      </c>
      <c r="CS335" s="42" t="str" cm="1">
        <f t="array" ref="CS335">_xlfn.TEXTJOIN(" | ",TRUE,IF(SUMPRODUCT((BF335:CQ335&lt;1)*(PARTIDAS!$I$2:$AT$2="OBRA GRUESA"))&gt;0,"OBRA GRUESA: "&amp;_xlfn.TEXTJOIN(", ",TRUE,IF((BF335:CQ335&lt;1)*(PARTIDAS!$I$2:$AT$2="OBRA GRUESA"),PARTIDAS!$I$1:$AT$1,"")),""),IF(SUMPRODUCT((BF335:CQ335&lt;1)*(PARTIDAS!$I$2:$AT$2="SANITARIOS"))&gt;0,"SANITARIOS: "&amp;_xlfn.TEXTJOIN(", ",TRUE,IF((BF335:CQ335&lt;1)*(PARTIDAS!$I$2:$AT$2="SANITARIOS"),PARTIDAS!$I$1:$AT$1,"")),""),IF(SUMPRODUCT((BF335:CQ335&lt;1)*(PARTIDAS!$I$2:$AT$2="ELÉCTRICO"))&gt;0,"ELÉCTRICO: "&amp;_xlfn.TEXTJOIN(", ",TRUE,IF((BF335:CQ335&lt;1)*(PARTIDAS!$I$2:$AT$2="ELÉCTRICO"),PARTIDAS!$I$1:$AT$1,"")),""),IF(SUMPRODUCT((BF335:CQ335&lt;1)*(PARTIDAS!$I$2:$AT$2="TERMINACIONES"))&gt;0,"TERMINACIONES: "&amp;_xlfn.TEXTJOIN(", ",TRUE,IF((BF335:CQ335&lt;1)*(PARTIDAS!$I$2:$AT$2="TERMINACIONES"),PARTIDAS!$I$1:$AT$1,"")),""))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5" s="45" t="str" cm="1">
        <f t="array" ref="CT335">_xlfn.TEXTJOIN(", ",TRUE,IF(SUMPRODUCT((BF335:CQ335&lt;1)*(PARTIDAS!$I$2:$AT$2="OBRA GRUESA"))&gt;0,"OBRA GRUESA",""),IF(SUMPRODUCT((BF335:CQ335&lt;1)*(PARTIDAS!$I$2:$AT$2="SANITARIOS"))&gt;0,"SANITARIOS",""),IF(SUMPRODUCT((BF335:CQ335&lt;1)*(PARTIDAS!$I$2:$AT$2="ELÉCTRICO"))&gt;0,"ELÉCTRICO",""),IF(SUMPRODUCT((BF335:CQ335&lt;1)*(PARTIDAS!$I$2:$AT$2="TERMINACIONES"))&gt;0,"TERMINACIONES",""))</f>
        <v>OBRA GRUESA, SANITARIOS, ELÉCTRICO, TERMINACIONES</v>
      </c>
      <c r="CU335" s="46" cm="1">
        <f t="array" ref="CU335">SUMPRODUCT(--(BF335:CQ335&lt;1))</f>
        <v>38</v>
      </c>
    </row>
    <row r="336" spans="1:99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46181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 s="3" t="str">
        <f>+IF(AVANCE[[#This Row],[% AVANCE]]=100%,"MODULO TERMINADO",IF(AVANCE[[#This Row],[FECHA INICIO REAL]]="","MODULO NO INICIADO","PENDIENTE"))</f>
        <v>MODULO NO INICIADO</v>
      </c>
      <c r="BF336" s="3">
        <f>+IF(AVANCE[[#This Row],[VENTANAS]]=8.10810810810811%,100%,AVANCE[[#This Row],[VENTANAS]])</f>
        <v>0</v>
      </c>
      <c r="BG336" s="3">
        <f>+IF(AVANCE[[#This Row],[PISO]]=N$2,100%,AVANCE[[#This Row],[PISO]])</f>
        <v>0</v>
      </c>
      <c r="BH336" s="3">
        <f>+IF(AVANCE[[#This Row],[TABIQUES]]=O$2,100%,AVANCE[[#This Row],[TABIQUES]])</f>
        <v>0</v>
      </c>
      <c r="BI336" s="3">
        <f>+IF(AVANCE[[#This Row],[MUROS]]=P$2,100%,AVANCE[[#This Row],[MUROS]])</f>
        <v>0</v>
      </c>
      <c r="BJ336" s="3">
        <f>+IF(AVANCE[[#This Row],[CIELO]]=Q$2,100%,AVANCE[[#This Row],[CIELO]])</f>
        <v>0</v>
      </c>
      <c r="BK336" s="3">
        <f>+IF(AVANCE[[#This Row],[BALCÓN]]=R$2,100%,AVANCE[[#This Row],[BALCÓN]])</f>
        <v>0</v>
      </c>
      <c r="BL336" s="3">
        <f>+IF(AVANCE[[#This Row],[RED ALCANTARILLADO]]=U$2,100%,AVANCE[[#This Row],[RED ALCANTARILLADO]])</f>
        <v>0</v>
      </c>
      <c r="BM336" s="3">
        <f>+IF(AVANCE[[#This Row],[RED DE AGUA]]=V$2,100%,AVANCE[[#This Row],[RED DE AGUA]])</f>
        <v>0</v>
      </c>
      <c r="BN336" s="3">
        <f>+IF(AVANCE[[#This Row],[VENTILACIONES]]=W$2,100%,AVANCE[[#This Row],[VENTILACIONES]])</f>
        <v>0</v>
      </c>
      <c r="BO336" s="3">
        <f>+IF(AVANCE[[#This Row],[TINA]]=X$2,100%,AVANCE[[#This Row],[TINA]])</f>
        <v>0</v>
      </c>
      <c r="BP336" s="3">
        <f>+IF(AVANCE[[#This Row],[WC]]=Y$2,100%,AVANCE[[#This Row],[WC]])</f>
        <v>0</v>
      </c>
      <c r="BQ336" s="3">
        <f>+IF(AVANCE[[#This Row],[LAVAMANOS / LAVAPLATOS / LAVADERO]]=Z$2,100%,AVANCE[[#This Row],[LAVAMANOS / LAVAPLATOS / LAVADERO]])</f>
        <v>0</v>
      </c>
      <c r="BR336" s="3">
        <f>+IF(AVANCE[[#This Row],[CANALIZACIÓN]]=AC$2,100%,AVANCE[[#This Row],[CANALIZACIÓN]])</f>
        <v>0</v>
      </c>
      <c r="BS336" s="3">
        <f>+IF(AVANCE[[#This Row],[CABLEADO]]=AD$2,100%,AVANCE[[#This Row],[CABLEADO]])</f>
        <v>0</v>
      </c>
      <c r="BT336" s="3">
        <f>+IF(AVANCE[[#This Row],[ARTEFACTOS]]=AE$2,100%,AVANCE[[#This Row],[ARTEFACTOS]])</f>
        <v>0</v>
      </c>
      <c r="BU336" s="3">
        <f>+IF(AVANCE[[#This Row],[TABLERO]]=AF$2,100%,AVANCE[[#This Row],[TABLERO]])</f>
        <v>0</v>
      </c>
      <c r="BV336" s="3">
        <f>+IF(AVANCE[[#This Row],[CAJA PAU]]=AG$2,100%,AVANCE[[#This Row],[CAJA PAU]])</f>
        <v>0</v>
      </c>
      <c r="BW336" s="3">
        <f>+IF(AVANCE[[#This Row],[INSTALACION VINILICO]]=AJ$2,100%,AVANCE[[#This Row],[INSTALACION VINILICO]])</f>
        <v>0</v>
      </c>
      <c r="BX336" s="3">
        <f>+IF(AVANCE[[#This Row],[OSB CUBIERTA]]=AK$2,100%,AVANCE[[#This Row],[OSB CUBIERTA]])</f>
        <v>0</v>
      </c>
      <c r="BY336" s="3">
        <f>+IF(AVANCE[[#This Row],[BARANDA BALCON]]=AL$2,100%,AVANCE[[#This Row],[BARANDA BALCON]])</f>
        <v>0</v>
      </c>
      <c r="BZ336" s="3">
        <f>+IF(AVANCE[[#This Row],[OSB EXTERIOR]]=AM$2,100%,AVANCE[[#This Row],[OSB EXTERIOR]])</f>
        <v>0</v>
      </c>
      <c r="CA336" s="3">
        <f>+IF(AVANCE[[#This Row],[SMART PANEL]]=AN$2,100%,AVANCE[[#This Row],[SMART PANEL]])</f>
        <v>0</v>
      </c>
      <c r="CB336" s="3">
        <f>+IF(AVANCE[[#This Row],[PINTURA EXTERIOR]]=AO$2,100%,AVANCE[[#This Row],[PINTURA EXTERIOR]])</f>
        <v>0</v>
      </c>
      <c r="CC336" s="3">
        <f>+IF(AVANCE[[#This Row],[ZOCALOS LOGIA]]=AP$2,100%,AVANCE[[#This Row],[ZOCALOS LOGIA]])</f>
        <v>0</v>
      </c>
      <c r="CD336" s="3">
        <f>+IF(AVANCE[[#This Row],[MOLDURAS]]=AQ$2,100%,AVANCE[[#This Row],[MOLDURAS]])</f>
        <v>0</v>
      </c>
      <c r="CE336" s="3">
        <f>+IF(AVANCE[[#This Row],[PILASTREO]]=AR$2,100%,AVANCE[[#This Row],[PILASTREO]])</f>
        <v>0</v>
      </c>
      <c r="CF336" s="3">
        <f>+IF(AVANCE[[#This Row],[CELOSIAS]]=AS$2,100%,AVANCE[[#This Row],[CELOSIAS]])</f>
        <v>0</v>
      </c>
      <c r="CG336" s="3">
        <f>+IF(AVANCE[[#This Row],[VENTANAS]]=AT$2,100%,AVANCE[[#This Row],[VENTANAS]])</f>
        <v>0</v>
      </c>
      <c r="CH336" s="3">
        <f>+IF(AVANCE[[#This Row],[PUERTAS ACCESO - LOGIA - BANO]]=AU$2,100%,AVANCE[[#This Row],[PUERTAS ACCESO - LOGIA - BANO]])</f>
        <v>0</v>
      </c>
      <c r="CI336" s="3">
        <f>+IF(AVANCE[[#This Row],[CERRADURAS]]=AV$2,100%,AVANCE[[#This Row],[CERRADURAS]])</f>
        <v>0</v>
      </c>
      <c r="CJ336" s="3">
        <f>+IF(AVANCE[[#This Row],[REVESTIMIENTO INTERIOR ZONA SECA]]=AW$2,100%,AVANCE[[#This Row],[REVESTIMIENTO INTERIOR ZONA SECA]])</f>
        <v>0</v>
      </c>
      <c r="CK336" s="3">
        <f>+IF(AVANCE[[#This Row],[REVESTIMIENTO INTERIOR ZONAS HUMEDAS]]=AX$2,100%,AVANCE[[#This Row],[REVESTIMIENTO INTERIOR ZONAS HUMEDAS]])</f>
        <v>0</v>
      </c>
      <c r="CL336" s="3">
        <f>+IF(AVANCE[[#This Row],[MEMBRANA CIELO]]=AY$2,100%,AVANCE[[#This Row],[MEMBRANA CIELO]])</f>
        <v>0</v>
      </c>
      <c r="CM336" s="3">
        <f>+IF(AVANCE[[#This Row],[LIMPIEZA FINAL]]=AZ$2,100%,AVANCE[[#This Row],[LIMPIEZA FINAL]])</f>
        <v>0</v>
      </c>
      <c r="CN336" s="3">
        <f>+IF(AVANCE[[#This Row],[PUERTAS DORMITORIO]]=BA$2,100%,AVANCE[[#This Row],[PUERTAS DORMITORIO]])</f>
        <v>0</v>
      </c>
      <c r="CO336" s="3">
        <f>+IF(AVANCE[[#This Row],[REVESTIMIENTO INTERIOR BANO]]=BB$2,100%,AVANCE[[#This Row],[REVESTIMIENTO INTERIOR BANO]])</f>
        <v>0</v>
      </c>
      <c r="CP336" s="3">
        <f>+IF(AVANCE[[#This Row],[MUEBLE LAVAPLATOS]]=BC$2,100%,AVANCE[[#This Row],[MUEBLE LAVAPLATOS]])</f>
        <v>0</v>
      </c>
      <c r="CQ336" s="3">
        <f>+IF(AVANCE[[#This Row],[IMPERMEABILIZACION BANO - COCINA LOGIA]]=BD$2,100%,AVANCE[[#This Row],[IMPERMEABILIZACION BANO - COCINA LOGIA]])</f>
        <v>0</v>
      </c>
      <c r="CR336" s="40">
        <f ca="1">+IF(AVANCE[[#This Row],[ESTADO MODULO]]="PENDIENTE",(TODAY()-AVANCE[[#This Row],[FECHA TERMINO  PLANIFICADO]]),0)</f>
        <v>0</v>
      </c>
      <c r="CS336" s="42" t="str" cm="1">
        <f t="array" ref="CS336">_xlfn.TEXTJOIN(" | ",TRUE,IF(SUMPRODUCT((BF336:CQ336&lt;1)*(PARTIDAS!$I$2:$AT$2="OBRA GRUESA"))&gt;0,"OBRA GRUESA: "&amp;_xlfn.TEXTJOIN(", ",TRUE,IF((BF336:CQ336&lt;1)*(PARTIDAS!$I$2:$AT$2="OBRA GRUESA"),PARTIDAS!$I$1:$AT$1,"")),""),IF(SUMPRODUCT((BF336:CQ336&lt;1)*(PARTIDAS!$I$2:$AT$2="SANITARIOS"))&gt;0,"SANITARIOS: "&amp;_xlfn.TEXTJOIN(", ",TRUE,IF((BF336:CQ336&lt;1)*(PARTIDAS!$I$2:$AT$2="SANITARIOS"),PARTIDAS!$I$1:$AT$1,"")),""),IF(SUMPRODUCT((BF336:CQ336&lt;1)*(PARTIDAS!$I$2:$AT$2="ELÉCTRICO"))&gt;0,"ELÉCTRICO: "&amp;_xlfn.TEXTJOIN(", ",TRUE,IF((BF336:CQ336&lt;1)*(PARTIDAS!$I$2:$AT$2="ELÉCTRICO"),PARTIDAS!$I$1:$AT$1,"")),""),IF(SUMPRODUCT((BF336:CQ336&lt;1)*(PARTIDAS!$I$2:$AT$2="TERMINACIONES"))&gt;0,"TERMINACIONES: "&amp;_xlfn.TEXTJOIN(", ",TRUE,IF((BF336:CQ336&lt;1)*(PARTIDAS!$I$2:$AT$2="TERMINACIONES"),PARTIDAS!$I$1:$AT$1,"")),""))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6" s="45" t="str" cm="1">
        <f t="array" ref="CT336">_xlfn.TEXTJOIN(", ",TRUE,IF(SUMPRODUCT((BF336:CQ336&lt;1)*(PARTIDAS!$I$2:$AT$2="OBRA GRUESA"))&gt;0,"OBRA GRUESA",""),IF(SUMPRODUCT((BF336:CQ336&lt;1)*(PARTIDAS!$I$2:$AT$2="SANITARIOS"))&gt;0,"SANITARIOS",""),IF(SUMPRODUCT((BF336:CQ336&lt;1)*(PARTIDAS!$I$2:$AT$2="ELÉCTRICO"))&gt;0,"ELÉCTRICO",""),IF(SUMPRODUCT((BF336:CQ336&lt;1)*(PARTIDAS!$I$2:$AT$2="TERMINACIONES"))&gt;0,"TERMINACIONES",""))</f>
        <v>OBRA GRUESA, SANITARIOS, ELÉCTRICO, TERMINACIONES</v>
      </c>
      <c r="CU336" s="46" cm="1">
        <f t="array" ref="CU336">SUMPRODUCT(--(BF336:CQ336&lt;1))</f>
        <v>38</v>
      </c>
    </row>
    <row r="337" spans="1:99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46181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 s="3" t="str">
        <f>+IF(AVANCE[[#This Row],[% AVANCE]]=100%,"MODULO TERMINADO",IF(AVANCE[[#This Row],[FECHA INICIO REAL]]="","MODULO NO INICIADO","PENDIENTE"))</f>
        <v>MODULO NO INICIADO</v>
      </c>
      <c r="BF337" s="3">
        <f>+IF(AVANCE[[#This Row],[VENTANAS]]=8.10810810810811%,100%,AVANCE[[#This Row],[VENTANAS]])</f>
        <v>0</v>
      </c>
      <c r="BG337" s="3">
        <f>+IF(AVANCE[[#This Row],[PISO]]=N$2,100%,AVANCE[[#This Row],[PISO]])</f>
        <v>0</v>
      </c>
      <c r="BH337" s="3">
        <f>+IF(AVANCE[[#This Row],[TABIQUES]]=O$2,100%,AVANCE[[#This Row],[TABIQUES]])</f>
        <v>0</v>
      </c>
      <c r="BI337" s="3">
        <f>+IF(AVANCE[[#This Row],[MUROS]]=P$2,100%,AVANCE[[#This Row],[MUROS]])</f>
        <v>0</v>
      </c>
      <c r="BJ337" s="3">
        <f>+IF(AVANCE[[#This Row],[CIELO]]=Q$2,100%,AVANCE[[#This Row],[CIELO]])</f>
        <v>0</v>
      </c>
      <c r="BK337" s="3">
        <f>+IF(AVANCE[[#This Row],[BALCÓN]]=R$2,100%,AVANCE[[#This Row],[BALCÓN]])</f>
        <v>0</v>
      </c>
      <c r="BL337" s="3">
        <f>+IF(AVANCE[[#This Row],[RED ALCANTARILLADO]]=U$2,100%,AVANCE[[#This Row],[RED ALCANTARILLADO]])</f>
        <v>0</v>
      </c>
      <c r="BM337" s="3">
        <f>+IF(AVANCE[[#This Row],[RED DE AGUA]]=V$2,100%,AVANCE[[#This Row],[RED DE AGUA]])</f>
        <v>0</v>
      </c>
      <c r="BN337" s="3">
        <f>+IF(AVANCE[[#This Row],[VENTILACIONES]]=W$2,100%,AVANCE[[#This Row],[VENTILACIONES]])</f>
        <v>0</v>
      </c>
      <c r="BO337" s="3">
        <f>+IF(AVANCE[[#This Row],[TINA]]=X$2,100%,AVANCE[[#This Row],[TINA]])</f>
        <v>0</v>
      </c>
      <c r="BP337" s="3">
        <f>+IF(AVANCE[[#This Row],[WC]]=Y$2,100%,AVANCE[[#This Row],[WC]])</f>
        <v>0</v>
      </c>
      <c r="BQ337" s="3">
        <f>+IF(AVANCE[[#This Row],[LAVAMANOS / LAVAPLATOS / LAVADERO]]=Z$2,100%,AVANCE[[#This Row],[LAVAMANOS / LAVAPLATOS / LAVADERO]])</f>
        <v>0</v>
      </c>
      <c r="BR337" s="3">
        <f>+IF(AVANCE[[#This Row],[CANALIZACIÓN]]=AC$2,100%,AVANCE[[#This Row],[CANALIZACIÓN]])</f>
        <v>0</v>
      </c>
      <c r="BS337" s="3">
        <f>+IF(AVANCE[[#This Row],[CABLEADO]]=AD$2,100%,AVANCE[[#This Row],[CABLEADO]])</f>
        <v>0</v>
      </c>
      <c r="BT337" s="3">
        <f>+IF(AVANCE[[#This Row],[ARTEFACTOS]]=AE$2,100%,AVANCE[[#This Row],[ARTEFACTOS]])</f>
        <v>0</v>
      </c>
      <c r="BU337" s="3">
        <f>+IF(AVANCE[[#This Row],[TABLERO]]=AF$2,100%,AVANCE[[#This Row],[TABLERO]])</f>
        <v>0</v>
      </c>
      <c r="BV337" s="3">
        <f>+IF(AVANCE[[#This Row],[CAJA PAU]]=AG$2,100%,AVANCE[[#This Row],[CAJA PAU]])</f>
        <v>0</v>
      </c>
      <c r="BW337" s="3">
        <f>+IF(AVANCE[[#This Row],[INSTALACION VINILICO]]=AJ$2,100%,AVANCE[[#This Row],[INSTALACION VINILICO]])</f>
        <v>0</v>
      </c>
      <c r="BX337" s="3">
        <f>+IF(AVANCE[[#This Row],[OSB CUBIERTA]]=AK$2,100%,AVANCE[[#This Row],[OSB CUBIERTA]])</f>
        <v>0</v>
      </c>
      <c r="BY337" s="3">
        <f>+IF(AVANCE[[#This Row],[BARANDA BALCON]]=AL$2,100%,AVANCE[[#This Row],[BARANDA BALCON]])</f>
        <v>0</v>
      </c>
      <c r="BZ337" s="3">
        <f>+IF(AVANCE[[#This Row],[OSB EXTERIOR]]=AM$2,100%,AVANCE[[#This Row],[OSB EXTERIOR]])</f>
        <v>0</v>
      </c>
      <c r="CA337" s="3">
        <f>+IF(AVANCE[[#This Row],[SMART PANEL]]=AN$2,100%,AVANCE[[#This Row],[SMART PANEL]])</f>
        <v>0</v>
      </c>
      <c r="CB337" s="3">
        <f>+IF(AVANCE[[#This Row],[PINTURA EXTERIOR]]=AO$2,100%,AVANCE[[#This Row],[PINTURA EXTERIOR]])</f>
        <v>0</v>
      </c>
      <c r="CC337" s="3">
        <f>+IF(AVANCE[[#This Row],[ZOCALOS LOGIA]]=AP$2,100%,AVANCE[[#This Row],[ZOCALOS LOGIA]])</f>
        <v>0</v>
      </c>
      <c r="CD337" s="3">
        <f>+IF(AVANCE[[#This Row],[MOLDURAS]]=AQ$2,100%,AVANCE[[#This Row],[MOLDURAS]])</f>
        <v>0</v>
      </c>
      <c r="CE337" s="3">
        <f>+IF(AVANCE[[#This Row],[PILASTREO]]=AR$2,100%,AVANCE[[#This Row],[PILASTREO]])</f>
        <v>0</v>
      </c>
      <c r="CF337" s="3">
        <f>+IF(AVANCE[[#This Row],[CELOSIAS]]=AS$2,100%,AVANCE[[#This Row],[CELOSIAS]])</f>
        <v>0</v>
      </c>
      <c r="CG337" s="3">
        <f>+IF(AVANCE[[#This Row],[VENTANAS]]=AT$2,100%,AVANCE[[#This Row],[VENTANAS]])</f>
        <v>0</v>
      </c>
      <c r="CH337" s="3">
        <f>+IF(AVANCE[[#This Row],[PUERTAS ACCESO - LOGIA - BANO]]=AU$2,100%,AVANCE[[#This Row],[PUERTAS ACCESO - LOGIA - BANO]])</f>
        <v>0</v>
      </c>
      <c r="CI337" s="3">
        <f>+IF(AVANCE[[#This Row],[CERRADURAS]]=AV$2,100%,AVANCE[[#This Row],[CERRADURAS]])</f>
        <v>0</v>
      </c>
      <c r="CJ337" s="3">
        <f>+IF(AVANCE[[#This Row],[REVESTIMIENTO INTERIOR ZONA SECA]]=AW$2,100%,AVANCE[[#This Row],[REVESTIMIENTO INTERIOR ZONA SECA]])</f>
        <v>0</v>
      </c>
      <c r="CK337" s="3">
        <f>+IF(AVANCE[[#This Row],[REVESTIMIENTO INTERIOR ZONAS HUMEDAS]]=AX$2,100%,AVANCE[[#This Row],[REVESTIMIENTO INTERIOR ZONAS HUMEDAS]])</f>
        <v>0</v>
      </c>
      <c r="CL337" s="3">
        <f>+IF(AVANCE[[#This Row],[MEMBRANA CIELO]]=AY$2,100%,AVANCE[[#This Row],[MEMBRANA CIELO]])</f>
        <v>0</v>
      </c>
      <c r="CM337" s="3">
        <f>+IF(AVANCE[[#This Row],[LIMPIEZA FINAL]]=AZ$2,100%,AVANCE[[#This Row],[LIMPIEZA FINAL]])</f>
        <v>0</v>
      </c>
      <c r="CN337" s="3">
        <f>+IF(AVANCE[[#This Row],[PUERTAS DORMITORIO]]=BA$2,100%,AVANCE[[#This Row],[PUERTAS DORMITORIO]])</f>
        <v>0</v>
      </c>
      <c r="CO337" s="3">
        <f>+IF(AVANCE[[#This Row],[REVESTIMIENTO INTERIOR BANO]]=BB$2,100%,AVANCE[[#This Row],[REVESTIMIENTO INTERIOR BANO]])</f>
        <v>0</v>
      </c>
      <c r="CP337" s="3">
        <f>+IF(AVANCE[[#This Row],[MUEBLE LAVAPLATOS]]=BC$2,100%,AVANCE[[#This Row],[MUEBLE LAVAPLATOS]])</f>
        <v>0</v>
      </c>
      <c r="CQ337" s="3">
        <f>+IF(AVANCE[[#This Row],[IMPERMEABILIZACION BANO - COCINA LOGIA]]=BD$2,100%,AVANCE[[#This Row],[IMPERMEABILIZACION BANO - COCINA LOGIA]])</f>
        <v>0</v>
      </c>
      <c r="CR337" s="40">
        <f ca="1">+IF(AVANCE[[#This Row],[ESTADO MODULO]]="PENDIENTE",(TODAY()-AVANCE[[#This Row],[FECHA TERMINO  PLANIFICADO]]),0)</f>
        <v>0</v>
      </c>
      <c r="CS337" s="42" t="str" cm="1">
        <f t="array" ref="CS337">_xlfn.TEXTJOIN(" | ",TRUE,IF(SUMPRODUCT((BF337:CQ337&lt;1)*(PARTIDAS!$I$2:$AT$2="OBRA GRUESA"))&gt;0,"OBRA GRUESA: "&amp;_xlfn.TEXTJOIN(", ",TRUE,IF((BF337:CQ337&lt;1)*(PARTIDAS!$I$2:$AT$2="OBRA GRUESA"),PARTIDAS!$I$1:$AT$1,"")),""),IF(SUMPRODUCT((BF337:CQ337&lt;1)*(PARTIDAS!$I$2:$AT$2="SANITARIOS"))&gt;0,"SANITARIOS: "&amp;_xlfn.TEXTJOIN(", ",TRUE,IF((BF337:CQ337&lt;1)*(PARTIDAS!$I$2:$AT$2="SANITARIOS"),PARTIDAS!$I$1:$AT$1,"")),""),IF(SUMPRODUCT((BF337:CQ337&lt;1)*(PARTIDAS!$I$2:$AT$2="ELÉCTRICO"))&gt;0,"ELÉCTRICO: "&amp;_xlfn.TEXTJOIN(", ",TRUE,IF((BF337:CQ337&lt;1)*(PARTIDAS!$I$2:$AT$2="ELÉCTRICO"),PARTIDAS!$I$1:$AT$1,"")),""),IF(SUMPRODUCT((BF337:CQ337&lt;1)*(PARTIDAS!$I$2:$AT$2="TERMINACIONES"))&gt;0,"TERMINACIONES: "&amp;_xlfn.TEXTJOIN(", ",TRUE,IF((BF337:CQ337&lt;1)*(PARTIDAS!$I$2:$AT$2="TERMINACIONES"),PARTIDAS!$I$1:$AT$1,"")),""))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7" s="45" t="str" cm="1">
        <f t="array" ref="CT337">_xlfn.TEXTJOIN(", ",TRUE,IF(SUMPRODUCT((BF337:CQ337&lt;1)*(PARTIDAS!$I$2:$AT$2="OBRA GRUESA"))&gt;0,"OBRA GRUESA",""),IF(SUMPRODUCT((BF337:CQ337&lt;1)*(PARTIDAS!$I$2:$AT$2="SANITARIOS"))&gt;0,"SANITARIOS",""),IF(SUMPRODUCT((BF337:CQ337&lt;1)*(PARTIDAS!$I$2:$AT$2="ELÉCTRICO"))&gt;0,"ELÉCTRICO",""),IF(SUMPRODUCT((BF337:CQ337&lt;1)*(PARTIDAS!$I$2:$AT$2="TERMINACIONES"))&gt;0,"TERMINACIONES",""))</f>
        <v>OBRA GRUESA, SANITARIOS, ELÉCTRICO, TERMINACIONES</v>
      </c>
      <c r="CU337" s="46" cm="1">
        <f t="array" ref="CU337">SUMPRODUCT(--(BF337:CQ337&lt;1))</f>
        <v>38</v>
      </c>
    </row>
    <row r="338" spans="1:99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46181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 s="3" t="str">
        <f>+IF(AVANCE[[#This Row],[% AVANCE]]=100%,"MODULO TERMINADO",IF(AVANCE[[#This Row],[FECHA INICIO REAL]]="","MODULO NO INICIADO","PENDIENTE"))</f>
        <v>MODULO NO INICIADO</v>
      </c>
      <c r="BF338" s="3">
        <f>+IF(AVANCE[[#This Row],[VENTANAS]]=8.10810810810811%,100%,AVANCE[[#This Row],[VENTANAS]])</f>
        <v>0</v>
      </c>
      <c r="BG338" s="3">
        <f>+IF(AVANCE[[#This Row],[PISO]]=N$2,100%,AVANCE[[#This Row],[PISO]])</f>
        <v>0</v>
      </c>
      <c r="BH338" s="3">
        <f>+IF(AVANCE[[#This Row],[TABIQUES]]=O$2,100%,AVANCE[[#This Row],[TABIQUES]])</f>
        <v>0</v>
      </c>
      <c r="BI338" s="3">
        <f>+IF(AVANCE[[#This Row],[MUROS]]=P$2,100%,AVANCE[[#This Row],[MUROS]])</f>
        <v>0</v>
      </c>
      <c r="BJ338" s="3">
        <f>+IF(AVANCE[[#This Row],[CIELO]]=Q$2,100%,AVANCE[[#This Row],[CIELO]])</f>
        <v>0</v>
      </c>
      <c r="BK338" s="3">
        <f>+IF(AVANCE[[#This Row],[BALCÓN]]=R$2,100%,AVANCE[[#This Row],[BALCÓN]])</f>
        <v>0</v>
      </c>
      <c r="BL338" s="3">
        <f>+IF(AVANCE[[#This Row],[RED ALCANTARILLADO]]=U$2,100%,AVANCE[[#This Row],[RED ALCANTARILLADO]])</f>
        <v>0</v>
      </c>
      <c r="BM338" s="3">
        <f>+IF(AVANCE[[#This Row],[RED DE AGUA]]=V$2,100%,AVANCE[[#This Row],[RED DE AGUA]])</f>
        <v>0</v>
      </c>
      <c r="BN338" s="3">
        <f>+IF(AVANCE[[#This Row],[VENTILACIONES]]=W$2,100%,AVANCE[[#This Row],[VENTILACIONES]])</f>
        <v>0</v>
      </c>
      <c r="BO338" s="3">
        <f>+IF(AVANCE[[#This Row],[TINA]]=X$2,100%,AVANCE[[#This Row],[TINA]])</f>
        <v>0</v>
      </c>
      <c r="BP338" s="3">
        <f>+IF(AVANCE[[#This Row],[WC]]=Y$2,100%,AVANCE[[#This Row],[WC]])</f>
        <v>0</v>
      </c>
      <c r="BQ338" s="3">
        <f>+IF(AVANCE[[#This Row],[LAVAMANOS / LAVAPLATOS / LAVADERO]]=Z$2,100%,AVANCE[[#This Row],[LAVAMANOS / LAVAPLATOS / LAVADERO]])</f>
        <v>0</v>
      </c>
      <c r="BR338" s="3">
        <f>+IF(AVANCE[[#This Row],[CANALIZACIÓN]]=AC$2,100%,AVANCE[[#This Row],[CANALIZACIÓN]])</f>
        <v>0</v>
      </c>
      <c r="BS338" s="3">
        <f>+IF(AVANCE[[#This Row],[CABLEADO]]=AD$2,100%,AVANCE[[#This Row],[CABLEADO]])</f>
        <v>0</v>
      </c>
      <c r="BT338" s="3">
        <f>+IF(AVANCE[[#This Row],[ARTEFACTOS]]=AE$2,100%,AVANCE[[#This Row],[ARTEFACTOS]])</f>
        <v>0</v>
      </c>
      <c r="BU338" s="3">
        <f>+IF(AVANCE[[#This Row],[TABLERO]]=AF$2,100%,AVANCE[[#This Row],[TABLERO]])</f>
        <v>0</v>
      </c>
      <c r="BV338" s="3">
        <f>+IF(AVANCE[[#This Row],[CAJA PAU]]=AG$2,100%,AVANCE[[#This Row],[CAJA PAU]])</f>
        <v>0</v>
      </c>
      <c r="BW338" s="3">
        <f>+IF(AVANCE[[#This Row],[INSTALACION VINILICO]]=AJ$2,100%,AVANCE[[#This Row],[INSTALACION VINILICO]])</f>
        <v>0</v>
      </c>
      <c r="BX338" s="3">
        <f>+IF(AVANCE[[#This Row],[OSB CUBIERTA]]=AK$2,100%,AVANCE[[#This Row],[OSB CUBIERTA]])</f>
        <v>0</v>
      </c>
      <c r="BY338" s="3">
        <f>+IF(AVANCE[[#This Row],[BARANDA BALCON]]=AL$2,100%,AVANCE[[#This Row],[BARANDA BALCON]])</f>
        <v>0</v>
      </c>
      <c r="BZ338" s="3">
        <f>+IF(AVANCE[[#This Row],[OSB EXTERIOR]]=AM$2,100%,AVANCE[[#This Row],[OSB EXTERIOR]])</f>
        <v>0</v>
      </c>
      <c r="CA338" s="3">
        <f>+IF(AVANCE[[#This Row],[SMART PANEL]]=AN$2,100%,AVANCE[[#This Row],[SMART PANEL]])</f>
        <v>0</v>
      </c>
      <c r="CB338" s="3">
        <f>+IF(AVANCE[[#This Row],[PINTURA EXTERIOR]]=AO$2,100%,AVANCE[[#This Row],[PINTURA EXTERIOR]])</f>
        <v>0</v>
      </c>
      <c r="CC338" s="3">
        <f>+IF(AVANCE[[#This Row],[ZOCALOS LOGIA]]=AP$2,100%,AVANCE[[#This Row],[ZOCALOS LOGIA]])</f>
        <v>0</v>
      </c>
      <c r="CD338" s="3">
        <f>+IF(AVANCE[[#This Row],[MOLDURAS]]=AQ$2,100%,AVANCE[[#This Row],[MOLDURAS]])</f>
        <v>0</v>
      </c>
      <c r="CE338" s="3">
        <f>+IF(AVANCE[[#This Row],[PILASTREO]]=AR$2,100%,AVANCE[[#This Row],[PILASTREO]])</f>
        <v>0</v>
      </c>
      <c r="CF338" s="3">
        <f>+IF(AVANCE[[#This Row],[CELOSIAS]]=AS$2,100%,AVANCE[[#This Row],[CELOSIAS]])</f>
        <v>0</v>
      </c>
      <c r="CG338" s="3">
        <f>+IF(AVANCE[[#This Row],[VENTANAS]]=AT$2,100%,AVANCE[[#This Row],[VENTANAS]])</f>
        <v>0</v>
      </c>
      <c r="CH338" s="3">
        <f>+IF(AVANCE[[#This Row],[PUERTAS ACCESO - LOGIA - BANO]]=AU$2,100%,AVANCE[[#This Row],[PUERTAS ACCESO - LOGIA - BANO]])</f>
        <v>0</v>
      </c>
      <c r="CI338" s="3">
        <f>+IF(AVANCE[[#This Row],[CERRADURAS]]=AV$2,100%,AVANCE[[#This Row],[CERRADURAS]])</f>
        <v>0</v>
      </c>
      <c r="CJ338" s="3">
        <f>+IF(AVANCE[[#This Row],[REVESTIMIENTO INTERIOR ZONA SECA]]=AW$2,100%,AVANCE[[#This Row],[REVESTIMIENTO INTERIOR ZONA SECA]])</f>
        <v>0</v>
      </c>
      <c r="CK338" s="3">
        <f>+IF(AVANCE[[#This Row],[REVESTIMIENTO INTERIOR ZONAS HUMEDAS]]=AX$2,100%,AVANCE[[#This Row],[REVESTIMIENTO INTERIOR ZONAS HUMEDAS]])</f>
        <v>0</v>
      </c>
      <c r="CL338" s="3">
        <f>+IF(AVANCE[[#This Row],[MEMBRANA CIELO]]=AY$2,100%,AVANCE[[#This Row],[MEMBRANA CIELO]])</f>
        <v>0</v>
      </c>
      <c r="CM338" s="3">
        <f>+IF(AVANCE[[#This Row],[LIMPIEZA FINAL]]=AZ$2,100%,AVANCE[[#This Row],[LIMPIEZA FINAL]])</f>
        <v>0</v>
      </c>
      <c r="CN338" s="3">
        <f>+IF(AVANCE[[#This Row],[PUERTAS DORMITORIO]]=BA$2,100%,AVANCE[[#This Row],[PUERTAS DORMITORIO]])</f>
        <v>0</v>
      </c>
      <c r="CO338" s="3">
        <f>+IF(AVANCE[[#This Row],[REVESTIMIENTO INTERIOR BANO]]=BB$2,100%,AVANCE[[#This Row],[REVESTIMIENTO INTERIOR BANO]])</f>
        <v>0</v>
      </c>
      <c r="CP338" s="3">
        <f>+IF(AVANCE[[#This Row],[MUEBLE LAVAPLATOS]]=BC$2,100%,AVANCE[[#This Row],[MUEBLE LAVAPLATOS]])</f>
        <v>0</v>
      </c>
      <c r="CQ338" s="3">
        <f>+IF(AVANCE[[#This Row],[IMPERMEABILIZACION BANO - COCINA LOGIA]]=BD$2,100%,AVANCE[[#This Row],[IMPERMEABILIZACION BANO - COCINA LOGIA]])</f>
        <v>0</v>
      </c>
      <c r="CR338" s="40">
        <f ca="1">+IF(AVANCE[[#This Row],[ESTADO MODULO]]="PENDIENTE",(TODAY()-AVANCE[[#This Row],[FECHA TERMINO  PLANIFICADO]]),0)</f>
        <v>0</v>
      </c>
      <c r="CS338" s="42" t="str" cm="1">
        <f t="array" ref="CS338">_xlfn.TEXTJOIN(" | ",TRUE,IF(SUMPRODUCT((BF338:CQ338&lt;1)*(PARTIDAS!$I$2:$AT$2="OBRA GRUESA"))&gt;0,"OBRA GRUESA: "&amp;_xlfn.TEXTJOIN(", ",TRUE,IF((BF338:CQ338&lt;1)*(PARTIDAS!$I$2:$AT$2="OBRA GRUESA"),PARTIDAS!$I$1:$AT$1,"")),""),IF(SUMPRODUCT((BF338:CQ338&lt;1)*(PARTIDAS!$I$2:$AT$2="SANITARIOS"))&gt;0,"SANITARIOS: "&amp;_xlfn.TEXTJOIN(", ",TRUE,IF((BF338:CQ338&lt;1)*(PARTIDAS!$I$2:$AT$2="SANITARIOS"),PARTIDAS!$I$1:$AT$1,"")),""),IF(SUMPRODUCT((BF338:CQ338&lt;1)*(PARTIDAS!$I$2:$AT$2="ELÉCTRICO"))&gt;0,"ELÉCTRICO: "&amp;_xlfn.TEXTJOIN(", ",TRUE,IF((BF338:CQ338&lt;1)*(PARTIDAS!$I$2:$AT$2="ELÉCTRICO"),PARTIDAS!$I$1:$AT$1,"")),""),IF(SUMPRODUCT((BF338:CQ338&lt;1)*(PARTIDAS!$I$2:$AT$2="TERMINACIONES"))&gt;0,"TERMINACIONES: "&amp;_xlfn.TEXTJOIN(", ",TRUE,IF((BF338:CQ338&lt;1)*(PARTIDAS!$I$2:$AT$2="TERMINACIONES"),PARTIDAS!$I$1:$AT$1,"")),""))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8" s="45" t="str" cm="1">
        <f t="array" ref="CT338">_xlfn.TEXTJOIN(", ",TRUE,IF(SUMPRODUCT((BF338:CQ338&lt;1)*(PARTIDAS!$I$2:$AT$2="OBRA GRUESA"))&gt;0,"OBRA GRUESA",""),IF(SUMPRODUCT((BF338:CQ338&lt;1)*(PARTIDAS!$I$2:$AT$2="SANITARIOS"))&gt;0,"SANITARIOS",""),IF(SUMPRODUCT((BF338:CQ338&lt;1)*(PARTIDAS!$I$2:$AT$2="ELÉCTRICO"))&gt;0,"ELÉCTRICO",""),IF(SUMPRODUCT((BF338:CQ338&lt;1)*(PARTIDAS!$I$2:$AT$2="TERMINACIONES"))&gt;0,"TERMINACIONES",""))</f>
        <v>OBRA GRUESA, SANITARIOS, ELÉCTRICO, TERMINACIONES</v>
      </c>
      <c r="CU338" s="46" cm="1">
        <f t="array" ref="CU338">SUMPRODUCT(--(BF338:CQ338&lt;1))</f>
        <v>38</v>
      </c>
    </row>
    <row r="339" spans="1:99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46181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 s="3" t="str">
        <f>+IF(AVANCE[[#This Row],[% AVANCE]]=100%,"MODULO TERMINADO",IF(AVANCE[[#This Row],[FECHA INICIO REAL]]="","MODULO NO INICIADO","PENDIENTE"))</f>
        <v>MODULO NO INICIADO</v>
      </c>
      <c r="BF339" s="3">
        <f>+IF(AVANCE[[#This Row],[VENTANAS]]=8.10810810810811%,100%,AVANCE[[#This Row],[VENTANAS]])</f>
        <v>0</v>
      </c>
      <c r="BG339" s="3">
        <f>+IF(AVANCE[[#This Row],[PISO]]=N$2,100%,AVANCE[[#This Row],[PISO]])</f>
        <v>0</v>
      </c>
      <c r="BH339" s="3">
        <f>+IF(AVANCE[[#This Row],[TABIQUES]]=O$2,100%,AVANCE[[#This Row],[TABIQUES]])</f>
        <v>0</v>
      </c>
      <c r="BI339" s="3">
        <f>+IF(AVANCE[[#This Row],[MUROS]]=P$2,100%,AVANCE[[#This Row],[MUROS]])</f>
        <v>0</v>
      </c>
      <c r="BJ339" s="3">
        <f>+IF(AVANCE[[#This Row],[CIELO]]=Q$2,100%,AVANCE[[#This Row],[CIELO]])</f>
        <v>0</v>
      </c>
      <c r="BK339" s="3">
        <f>+IF(AVANCE[[#This Row],[BALCÓN]]=R$2,100%,AVANCE[[#This Row],[BALCÓN]])</f>
        <v>0</v>
      </c>
      <c r="BL339" s="3">
        <f>+IF(AVANCE[[#This Row],[RED ALCANTARILLADO]]=U$2,100%,AVANCE[[#This Row],[RED ALCANTARILLADO]])</f>
        <v>0</v>
      </c>
      <c r="BM339" s="3">
        <f>+IF(AVANCE[[#This Row],[RED DE AGUA]]=V$2,100%,AVANCE[[#This Row],[RED DE AGUA]])</f>
        <v>0</v>
      </c>
      <c r="BN339" s="3">
        <f>+IF(AVANCE[[#This Row],[VENTILACIONES]]=W$2,100%,AVANCE[[#This Row],[VENTILACIONES]])</f>
        <v>0</v>
      </c>
      <c r="BO339" s="3">
        <f>+IF(AVANCE[[#This Row],[TINA]]=X$2,100%,AVANCE[[#This Row],[TINA]])</f>
        <v>0</v>
      </c>
      <c r="BP339" s="3">
        <f>+IF(AVANCE[[#This Row],[WC]]=Y$2,100%,AVANCE[[#This Row],[WC]])</f>
        <v>0</v>
      </c>
      <c r="BQ339" s="3">
        <f>+IF(AVANCE[[#This Row],[LAVAMANOS / LAVAPLATOS / LAVADERO]]=Z$2,100%,AVANCE[[#This Row],[LAVAMANOS / LAVAPLATOS / LAVADERO]])</f>
        <v>0</v>
      </c>
      <c r="BR339" s="3">
        <f>+IF(AVANCE[[#This Row],[CANALIZACIÓN]]=AC$2,100%,AVANCE[[#This Row],[CANALIZACIÓN]])</f>
        <v>0</v>
      </c>
      <c r="BS339" s="3">
        <f>+IF(AVANCE[[#This Row],[CABLEADO]]=AD$2,100%,AVANCE[[#This Row],[CABLEADO]])</f>
        <v>0</v>
      </c>
      <c r="BT339" s="3">
        <f>+IF(AVANCE[[#This Row],[ARTEFACTOS]]=AE$2,100%,AVANCE[[#This Row],[ARTEFACTOS]])</f>
        <v>0</v>
      </c>
      <c r="BU339" s="3">
        <f>+IF(AVANCE[[#This Row],[TABLERO]]=AF$2,100%,AVANCE[[#This Row],[TABLERO]])</f>
        <v>0</v>
      </c>
      <c r="BV339" s="3">
        <f>+IF(AVANCE[[#This Row],[CAJA PAU]]=AG$2,100%,AVANCE[[#This Row],[CAJA PAU]])</f>
        <v>0</v>
      </c>
      <c r="BW339" s="3">
        <f>+IF(AVANCE[[#This Row],[INSTALACION VINILICO]]=AJ$2,100%,AVANCE[[#This Row],[INSTALACION VINILICO]])</f>
        <v>0</v>
      </c>
      <c r="BX339" s="3">
        <f>+IF(AVANCE[[#This Row],[OSB CUBIERTA]]=AK$2,100%,AVANCE[[#This Row],[OSB CUBIERTA]])</f>
        <v>0</v>
      </c>
      <c r="BY339" s="3">
        <f>+IF(AVANCE[[#This Row],[BARANDA BALCON]]=AL$2,100%,AVANCE[[#This Row],[BARANDA BALCON]])</f>
        <v>0</v>
      </c>
      <c r="BZ339" s="3">
        <f>+IF(AVANCE[[#This Row],[OSB EXTERIOR]]=AM$2,100%,AVANCE[[#This Row],[OSB EXTERIOR]])</f>
        <v>0</v>
      </c>
      <c r="CA339" s="3">
        <f>+IF(AVANCE[[#This Row],[SMART PANEL]]=AN$2,100%,AVANCE[[#This Row],[SMART PANEL]])</f>
        <v>0</v>
      </c>
      <c r="CB339" s="3">
        <f>+IF(AVANCE[[#This Row],[PINTURA EXTERIOR]]=AO$2,100%,AVANCE[[#This Row],[PINTURA EXTERIOR]])</f>
        <v>0</v>
      </c>
      <c r="CC339" s="3">
        <f>+IF(AVANCE[[#This Row],[ZOCALOS LOGIA]]=AP$2,100%,AVANCE[[#This Row],[ZOCALOS LOGIA]])</f>
        <v>0</v>
      </c>
      <c r="CD339" s="3">
        <f>+IF(AVANCE[[#This Row],[MOLDURAS]]=AQ$2,100%,AVANCE[[#This Row],[MOLDURAS]])</f>
        <v>0</v>
      </c>
      <c r="CE339" s="3">
        <f>+IF(AVANCE[[#This Row],[PILASTREO]]=AR$2,100%,AVANCE[[#This Row],[PILASTREO]])</f>
        <v>0</v>
      </c>
      <c r="CF339" s="3">
        <f>+IF(AVANCE[[#This Row],[CELOSIAS]]=AS$2,100%,AVANCE[[#This Row],[CELOSIAS]])</f>
        <v>0</v>
      </c>
      <c r="CG339" s="3">
        <f>+IF(AVANCE[[#This Row],[VENTANAS]]=AT$2,100%,AVANCE[[#This Row],[VENTANAS]])</f>
        <v>0</v>
      </c>
      <c r="CH339" s="3">
        <f>+IF(AVANCE[[#This Row],[PUERTAS ACCESO - LOGIA - BANO]]=AU$2,100%,AVANCE[[#This Row],[PUERTAS ACCESO - LOGIA - BANO]])</f>
        <v>0</v>
      </c>
      <c r="CI339" s="3">
        <f>+IF(AVANCE[[#This Row],[CERRADURAS]]=AV$2,100%,AVANCE[[#This Row],[CERRADURAS]])</f>
        <v>0</v>
      </c>
      <c r="CJ339" s="3">
        <f>+IF(AVANCE[[#This Row],[REVESTIMIENTO INTERIOR ZONA SECA]]=AW$2,100%,AVANCE[[#This Row],[REVESTIMIENTO INTERIOR ZONA SECA]])</f>
        <v>0</v>
      </c>
      <c r="CK339" s="3">
        <f>+IF(AVANCE[[#This Row],[REVESTIMIENTO INTERIOR ZONAS HUMEDAS]]=AX$2,100%,AVANCE[[#This Row],[REVESTIMIENTO INTERIOR ZONAS HUMEDAS]])</f>
        <v>0</v>
      </c>
      <c r="CL339" s="3">
        <f>+IF(AVANCE[[#This Row],[MEMBRANA CIELO]]=AY$2,100%,AVANCE[[#This Row],[MEMBRANA CIELO]])</f>
        <v>0</v>
      </c>
      <c r="CM339" s="3">
        <f>+IF(AVANCE[[#This Row],[LIMPIEZA FINAL]]=AZ$2,100%,AVANCE[[#This Row],[LIMPIEZA FINAL]])</f>
        <v>0</v>
      </c>
      <c r="CN339" s="3">
        <f>+IF(AVANCE[[#This Row],[PUERTAS DORMITORIO]]=BA$2,100%,AVANCE[[#This Row],[PUERTAS DORMITORIO]])</f>
        <v>0</v>
      </c>
      <c r="CO339" s="3">
        <f>+IF(AVANCE[[#This Row],[REVESTIMIENTO INTERIOR BANO]]=BB$2,100%,AVANCE[[#This Row],[REVESTIMIENTO INTERIOR BANO]])</f>
        <v>0</v>
      </c>
      <c r="CP339" s="3">
        <f>+IF(AVANCE[[#This Row],[MUEBLE LAVAPLATOS]]=BC$2,100%,AVANCE[[#This Row],[MUEBLE LAVAPLATOS]])</f>
        <v>0</v>
      </c>
      <c r="CQ339" s="3">
        <f>+IF(AVANCE[[#This Row],[IMPERMEABILIZACION BANO - COCINA LOGIA]]=BD$2,100%,AVANCE[[#This Row],[IMPERMEABILIZACION BANO - COCINA LOGIA]])</f>
        <v>0</v>
      </c>
      <c r="CR339" s="40">
        <f ca="1">+IF(AVANCE[[#This Row],[ESTADO MODULO]]="PENDIENTE",(TODAY()-AVANCE[[#This Row],[FECHA TERMINO  PLANIFICADO]]),0)</f>
        <v>0</v>
      </c>
      <c r="CS339" s="42" t="str" cm="1">
        <f t="array" ref="CS339">_xlfn.TEXTJOIN(" | ",TRUE,IF(SUMPRODUCT((BF339:CQ339&lt;1)*(PARTIDAS!$I$2:$AT$2="OBRA GRUESA"))&gt;0,"OBRA GRUESA: "&amp;_xlfn.TEXTJOIN(", ",TRUE,IF((BF339:CQ339&lt;1)*(PARTIDAS!$I$2:$AT$2="OBRA GRUESA"),PARTIDAS!$I$1:$AT$1,"")),""),IF(SUMPRODUCT((BF339:CQ339&lt;1)*(PARTIDAS!$I$2:$AT$2="SANITARIOS"))&gt;0,"SANITARIOS: "&amp;_xlfn.TEXTJOIN(", ",TRUE,IF((BF339:CQ339&lt;1)*(PARTIDAS!$I$2:$AT$2="SANITARIOS"),PARTIDAS!$I$1:$AT$1,"")),""),IF(SUMPRODUCT((BF339:CQ339&lt;1)*(PARTIDAS!$I$2:$AT$2="ELÉCTRICO"))&gt;0,"ELÉCTRICO: "&amp;_xlfn.TEXTJOIN(", ",TRUE,IF((BF339:CQ339&lt;1)*(PARTIDAS!$I$2:$AT$2="ELÉCTRICO"),PARTIDAS!$I$1:$AT$1,"")),""),IF(SUMPRODUCT((BF339:CQ339&lt;1)*(PARTIDAS!$I$2:$AT$2="TERMINACIONES"))&gt;0,"TERMINACIONES: "&amp;_xlfn.TEXTJOIN(", ",TRUE,IF((BF339:CQ339&lt;1)*(PARTIDAS!$I$2:$AT$2="TERMINACIONES"),PARTIDAS!$I$1:$AT$1,"")),""))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39" s="45" t="str" cm="1">
        <f t="array" ref="CT339">_xlfn.TEXTJOIN(", ",TRUE,IF(SUMPRODUCT((BF339:CQ339&lt;1)*(PARTIDAS!$I$2:$AT$2="OBRA GRUESA"))&gt;0,"OBRA GRUESA",""),IF(SUMPRODUCT((BF339:CQ339&lt;1)*(PARTIDAS!$I$2:$AT$2="SANITARIOS"))&gt;0,"SANITARIOS",""),IF(SUMPRODUCT((BF339:CQ339&lt;1)*(PARTIDAS!$I$2:$AT$2="ELÉCTRICO"))&gt;0,"ELÉCTRICO",""),IF(SUMPRODUCT((BF339:CQ339&lt;1)*(PARTIDAS!$I$2:$AT$2="TERMINACIONES"))&gt;0,"TERMINACIONES",""))</f>
        <v>OBRA GRUESA, SANITARIOS, ELÉCTRICO, TERMINACIONES</v>
      </c>
      <c r="CU339" s="46" cm="1">
        <f t="array" ref="CU339">SUMPRODUCT(--(BF339:CQ339&lt;1))</f>
        <v>38</v>
      </c>
    </row>
    <row r="340" spans="1:99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46181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 s="3" t="str">
        <f>+IF(AVANCE[[#This Row],[% AVANCE]]=100%,"MODULO TERMINADO",IF(AVANCE[[#This Row],[FECHA INICIO REAL]]="","MODULO NO INICIADO","PENDIENTE"))</f>
        <v>MODULO NO INICIADO</v>
      </c>
      <c r="BF340" s="3">
        <f>+IF(AVANCE[[#This Row],[VENTANAS]]=8.10810810810811%,100%,AVANCE[[#This Row],[VENTANAS]])</f>
        <v>0</v>
      </c>
      <c r="BG340" s="3">
        <f>+IF(AVANCE[[#This Row],[PISO]]=N$2,100%,AVANCE[[#This Row],[PISO]])</f>
        <v>0</v>
      </c>
      <c r="BH340" s="3">
        <f>+IF(AVANCE[[#This Row],[TABIQUES]]=O$2,100%,AVANCE[[#This Row],[TABIQUES]])</f>
        <v>0</v>
      </c>
      <c r="BI340" s="3">
        <f>+IF(AVANCE[[#This Row],[MUROS]]=P$2,100%,AVANCE[[#This Row],[MUROS]])</f>
        <v>0</v>
      </c>
      <c r="BJ340" s="3">
        <f>+IF(AVANCE[[#This Row],[CIELO]]=Q$2,100%,AVANCE[[#This Row],[CIELO]])</f>
        <v>0</v>
      </c>
      <c r="BK340" s="3">
        <f>+IF(AVANCE[[#This Row],[BALCÓN]]=R$2,100%,AVANCE[[#This Row],[BALCÓN]])</f>
        <v>0</v>
      </c>
      <c r="BL340" s="3">
        <f>+IF(AVANCE[[#This Row],[RED ALCANTARILLADO]]=U$2,100%,AVANCE[[#This Row],[RED ALCANTARILLADO]])</f>
        <v>0</v>
      </c>
      <c r="BM340" s="3">
        <f>+IF(AVANCE[[#This Row],[RED DE AGUA]]=V$2,100%,AVANCE[[#This Row],[RED DE AGUA]])</f>
        <v>0</v>
      </c>
      <c r="BN340" s="3">
        <f>+IF(AVANCE[[#This Row],[VENTILACIONES]]=W$2,100%,AVANCE[[#This Row],[VENTILACIONES]])</f>
        <v>0</v>
      </c>
      <c r="BO340" s="3">
        <f>+IF(AVANCE[[#This Row],[TINA]]=X$2,100%,AVANCE[[#This Row],[TINA]])</f>
        <v>0</v>
      </c>
      <c r="BP340" s="3">
        <f>+IF(AVANCE[[#This Row],[WC]]=Y$2,100%,AVANCE[[#This Row],[WC]])</f>
        <v>0</v>
      </c>
      <c r="BQ340" s="3">
        <f>+IF(AVANCE[[#This Row],[LAVAMANOS / LAVAPLATOS / LAVADERO]]=Z$2,100%,AVANCE[[#This Row],[LAVAMANOS / LAVAPLATOS / LAVADERO]])</f>
        <v>0</v>
      </c>
      <c r="BR340" s="3">
        <f>+IF(AVANCE[[#This Row],[CANALIZACIÓN]]=AC$2,100%,AVANCE[[#This Row],[CANALIZACIÓN]])</f>
        <v>0</v>
      </c>
      <c r="BS340" s="3">
        <f>+IF(AVANCE[[#This Row],[CABLEADO]]=AD$2,100%,AVANCE[[#This Row],[CABLEADO]])</f>
        <v>0</v>
      </c>
      <c r="BT340" s="3">
        <f>+IF(AVANCE[[#This Row],[ARTEFACTOS]]=AE$2,100%,AVANCE[[#This Row],[ARTEFACTOS]])</f>
        <v>0</v>
      </c>
      <c r="BU340" s="3">
        <f>+IF(AVANCE[[#This Row],[TABLERO]]=AF$2,100%,AVANCE[[#This Row],[TABLERO]])</f>
        <v>0</v>
      </c>
      <c r="BV340" s="3">
        <f>+IF(AVANCE[[#This Row],[CAJA PAU]]=AG$2,100%,AVANCE[[#This Row],[CAJA PAU]])</f>
        <v>0</v>
      </c>
      <c r="BW340" s="3">
        <f>+IF(AVANCE[[#This Row],[INSTALACION VINILICO]]=AJ$2,100%,AVANCE[[#This Row],[INSTALACION VINILICO]])</f>
        <v>0</v>
      </c>
      <c r="BX340" s="3">
        <f>+IF(AVANCE[[#This Row],[OSB CUBIERTA]]=AK$2,100%,AVANCE[[#This Row],[OSB CUBIERTA]])</f>
        <v>0</v>
      </c>
      <c r="BY340" s="3">
        <f>+IF(AVANCE[[#This Row],[BARANDA BALCON]]=AL$2,100%,AVANCE[[#This Row],[BARANDA BALCON]])</f>
        <v>0</v>
      </c>
      <c r="BZ340" s="3">
        <f>+IF(AVANCE[[#This Row],[OSB EXTERIOR]]=AM$2,100%,AVANCE[[#This Row],[OSB EXTERIOR]])</f>
        <v>0</v>
      </c>
      <c r="CA340" s="3">
        <f>+IF(AVANCE[[#This Row],[SMART PANEL]]=AN$2,100%,AVANCE[[#This Row],[SMART PANEL]])</f>
        <v>0</v>
      </c>
      <c r="CB340" s="3">
        <f>+IF(AVANCE[[#This Row],[PINTURA EXTERIOR]]=AO$2,100%,AVANCE[[#This Row],[PINTURA EXTERIOR]])</f>
        <v>0</v>
      </c>
      <c r="CC340" s="3">
        <f>+IF(AVANCE[[#This Row],[ZOCALOS LOGIA]]=AP$2,100%,AVANCE[[#This Row],[ZOCALOS LOGIA]])</f>
        <v>0</v>
      </c>
      <c r="CD340" s="3">
        <f>+IF(AVANCE[[#This Row],[MOLDURAS]]=AQ$2,100%,AVANCE[[#This Row],[MOLDURAS]])</f>
        <v>0</v>
      </c>
      <c r="CE340" s="3">
        <f>+IF(AVANCE[[#This Row],[PILASTREO]]=AR$2,100%,AVANCE[[#This Row],[PILASTREO]])</f>
        <v>0</v>
      </c>
      <c r="CF340" s="3">
        <f>+IF(AVANCE[[#This Row],[CELOSIAS]]=AS$2,100%,AVANCE[[#This Row],[CELOSIAS]])</f>
        <v>0</v>
      </c>
      <c r="CG340" s="3">
        <f>+IF(AVANCE[[#This Row],[VENTANAS]]=AT$2,100%,AVANCE[[#This Row],[VENTANAS]])</f>
        <v>0</v>
      </c>
      <c r="CH340" s="3">
        <f>+IF(AVANCE[[#This Row],[PUERTAS ACCESO - LOGIA - BANO]]=AU$2,100%,AVANCE[[#This Row],[PUERTAS ACCESO - LOGIA - BANO]])</f>
        <v>0</v>
      </c>
      <c r="CI340" s="3">
        <f>+IF(AVANCE[[#This Row],[CERRADURAS]]=AV$2,100%,AVANCE[[#This Row],[CERRADURAS]])</f>
        <v>0</v>
      </c>
      <c r="CJ340" s="3">
        <f>+IF(AVANCE[[#This Row],[REVESTIMIENTO INTERIOR ZONA SECA]]=AW$2,100%,AVANCE[[#This Row],[REVESTIMIENTO INTERIOR ZONA SECA]])</f>
        <v>0</v>
      </c>
      <c r="CK340" s="3">
        <f>+IF(AVANCE[[#This Row],[REVESTIMIENTO INTERIOR ZONAS HUMEDAS]]=AX$2,100%,AVANCE[[#This Row],[REVESTIMIENTO INTERIOR ZONAS HUMEDAS]])</f>
        <v>0</v>
      </c>
      <c r="CL340" s="3">
        <f>+IF(AVANCE[[#This Row],[MEMBRANA CIELO]]=AY$2,100%,AVANCE[[#This Row],[MEMBRANA CIELO]])</f>
        <v>0</v>
      </c>
      <c r="CM340" s="3">
        <f>+IF(AVANCE[[#This Row],[LIMPIEZA FINAL]]=AZ$2,100%,AVANCE[[#This Row],[LIMPIEZA FINAL]])</f>
        <v>0</v>
      </c>
      <c r="CN340" s="3">
        <f>+IF(AVANCE[[#This Row],[PUERTAS DORMITORIO]]=BA$2,100%,AVANCE[[#This Row],[PUERTAS DORMITORIO]])</f>
        <v>0</v>
      </c>
      <c r="CO340" s="3">
        <f>+IF(AVANCE[[#This Row],[REVESTIMIENTO INTERIOR BANO]]=BB$2,100%,AVANCE[[#This Row],[REVESTIMIENTO INTERIOR BANO]])</f>
        <v>0</v>
      </c>
      <c r="CP340" s="3">
        <f>+IF(AVANCE[[#This Row],[MUEBLE LAVAPLATOS]]=BC$2,100%,AVANCE[[#This Row],[MUEBLE LAVAPLATOS]])</f>
        <v>0</v>
      </c>
      <c r="CQ340" s="3">
        <f>+IF(AVANCE[[#This Row],[IMPERMEABILIZACION BANO - COCINA LOGIA]]=BD$2,100%,AVANCE[[#This Row],[IMPERMEABILIZACION BANO - COCINA LOGIA]])</f>
        <v>0</v>
      </c>
      <c r="CR340" s="40">
        <f ca="1">+IF(AVANCE[[#This Row],[ESTADO MODULO]]="PENDIENTE",(TODAY()-AVANCE[[#This Row],[FECHA TERMINO  PLANIFICADO]]),0)</f>
        <v>0</v>
      </c>
      <c r="CS340" s="42" t="str" cm="1">
        <f t="array" ref="CS340">_xlfn.TEXTJOIN(" | ",TRUE,IF(SUMPRODUCT((BF340:CQ340&lt;1)*(PARTIDAS!$I$2:$AT$2="OBRA GRUESA"))&gt;0,"OBRA GRUESA: "&amp;_xlfn.TEXTJOIN(", ",TRUE,IF((BF340:CQ340&lt;1)*(PARTIDAS!$I$2:$AT$2="OBRA GRUESA"),PARTIDAS!$I$1:$AT$1,"")),""),IF(SUMPRODUCT((BF340:CQ340&lt;1)*(PARTIDAS!$I$2:$AT$2="SANITARIOS"))&gt;0,"SANITARIOS: "&amp;_xlfn.TEXTJOIN(", ",TRUE,IF((BF340:CQ340&lt;1)*(PARTIDAS!$I$2:$AT$2="SANITARIOS"),PARTIDAS!$I$1:$AT$1,"")),""),IF(SUMPRODUCT((BF340:CQ340&lt;1)*(PARTIDAS!$I$2:$AT$2="ELÉCTRICO"))&gt;0,"ELÉCTRICO: "&amp;_xlfn.TEXTJOIN(", ",TRUE,IF((BF340:CQ340&lt;1)*(PARTIDAS!$I$2:$AT$2="ELÉCTRICO"),PARTIDAS!$I$1:$AT$1,"")),""),IF(SUMPRODUCT((BF340:CQ340&lt;1)*(PARTIDAS!$I$2:$AT$2="TERMINACIONES"))&gt;0,"TERMINACIONES: "&amp;_xlfn.TEXTJOIN(", ",TRUE,IF((BF340:CQ340&lt;1)*(PARTIDAS!$I$2:$AT$2="TERMINACIONES"),PARTIDAS!$I$1:$AT$1,"")),""))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0" s="45" t="str" cm="1">
        <f t="array" ref="CT340">_xlfn.TEXTJOIN(", ",TRUE,IF(SUMPRODUCT((BF340:CQ340&lt;1)*(PARTIDAS!$I$2:$AT$2="OBRA GRUESA"))&gt;0,"OBRA GRUESA",""),IF(SUMPRODUCT((BF340:CQ340&lt;1)*(PARTIDAS!$I$2:$AT$2="SANITARIOS"))&gt;0,"SANITARIOS",""),IF(SUMPRODUCT((BF340:CQ340&lt;1)*(PARTIDAS!$I$2:$AT$2="ELÉCTRICO"))&gt;0,"ELÉCTRICO",""),IF(SUMPRODUCT((BF340:CQ340&lt;1)*(PARTIDAS!$I$2:$AT$2="TERMINACIONES"))&gt;0,"TERMINACIONES",""))</f>
        <v>OBRA GRUESA, SANITARIOS, ELÉCTRICO, TERMINACIONES</v>
      </c>
      <c r="CU340" s="46" cm="1">
        <f t="array" ref="CU340">SUMPRODUCT(--(BF340:CQ340&lt;1))</f>
        <v>38</v>
      </c>
    </row>
    <row r="341" spans="1:99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46181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 s="3" t="str">
        <f>+IF(AVANCE[[#This Row],[% AVANCE]]=100%,"MODULO TERMINADO",IF(AVANCE[[#This Row],[FECHA INICIO REAL]]="","MODULO NO INICIADO","PENDIENTE"))</f>
        <v>MODULO NO INICIADO</v>
      </c>
      <c r="BF341" s="3">
        <f>+IF(AVANCE[[#This Row],[VENTANAS]]=8.10810810810811%,100%,AVANCE[[#This Row],[VENTANAS]])</f>
        <v>0</v>
      </c>
      <c r="BG341" s="3">
        <f>+IF(AVANCE[[#This Row],[PISO]]=N$2,100%,AVANCE[[#This Row],[PISO]])</f>
        <v>0</v>
      </c>
      <c r="BH341" s="3">
        <f>+IF(AVANCE[[#This Row],[TABIQUES]]=O$2,100%,AVANCE[[#This Row],[TABIQUES]])</f>
        <v>0</v>
      </c>
      <c r="BI341" s="3">
        <f>+IF(AVANCE[[#This Row],[MUROS]]=P$2,100%,AVANCE[[#This Row],[MUROS]])</f>
        <v>0</v>
      </c>
      <c r="BJ341" s="3">
        <f>+IF(AVANCE[[#This Row],[CIELO]]=Q$2,100%,AVANCE[[#This Row],[CIELO]])</f>
        <v>0</v>
      </c>
      <c r="BK341" s="3">
        <f>+IF(AVANCE[[#This Row],[BALCÓN]]=R$2,100%,AVANCE[[#This Row],[BALCÓN]])</f>
        <v>0</v>
      </c>
      <c r="BL341" s="3">
        <f>+IF(AVANCE[[#This Row],[RED ALCANTARILLADO]]=U$2,100%,AVANCE[[#This Row],[RED ALCANTARILLADO]])</f>
        <v>0</v>
      </c>
      <c r="BM341" s="3">
        <f>+IF(AVANCE[[#This Row],[RED DE AGUA]]=V$2,100%,AVANCE[[#This Row],[RED DE AGUA]])</f>
        <v>0</v>
      </c>
      <c r="BN341" s="3">
        <f>+IF(AVANCE[[#This Row],[VENTILACIONES]]=W$2,100%,AVANCE[[#This Row],[VENTILACIONES]])</f>
        <v>0</v>
      </c>
      <c r="BO341" s="3">
        <f>+IF(AVANCE[[#This Row],[TINA]]=X$2,100%,AVANCE[[#This Row],[TINA]])</f>
        <v>0</v>
      </c>
      <c r="BP341" s="3">
        <f>+IF(AVANCE[[#This Row],[WC]]=Y$2,100%,AVANCE[[#This Row],[WC]])</f>
        <v>0</v>
      </c>
      <c r="BQ341" s="3">
        <f>+IF(AVANCE[[#This Row],[LAVAMANOS / LAVAPLATOS / LAVADERO]]=Z$2,100%,AVANCE[[#This Row],[LAVAMANOS / LAVAPLATOS / LAVADERO]])</f>
        <v>0</v>
      </c>
      <c r="BR341" s="3">
        <f>+IF(AVANCE[[#This Row],[CANALIZACIÓN]]=AC$2,100%,AVANCE[[#This Row],[CANALIZACIÓN]])</f>
        <v>0</v>
      </c>
      <c r="BS341" s="3">
        <f>+IF(AVANCE[[#This Row],[CABLEADO]]=AD$2,100%,AVANCE[[#This Row],[CABLEADO]])</f>
        <v>0</v>
      </c>
      <c r="BT341" s="3">
        <f>+IF(AVANCE[[#This Row],[ARTEFACTOS]]=AE$2,100%,AVANCE[[#This Row],[ARTEFACTOS]])</f>
        <v>0</v>
      </c>
      <c r="BU341" s="3">
        <f>+IF(AVANCE[[#This Row],[TABLERO]]=AF$2,100%,AVANCE[[#This Row],[TABLERO]])</f>
        <v>0</v>
      </c>
      <c r="BV341" s="3">
        <f>+IF(AVANCE[[#This Row],[CAJA PAU]]=AG$2,100%,AVANCE[[#This Row],[CAJA PAU]])</f>
        <v>0</v>
      </c>
      <c r="BW341" s="3">
        <f>+IF(AVANCE[[#This Row],[INSTALACION VINILICO]]=AJ$2,100%,AVANCE[[#This Row],[INSTALACION VINILICO]])</f>
        <v>0</v>
      </c>
      <c r="BX341" s="3">
        <f>+IF(AVANCE[[#This Row],[OSB CUBIERTA]]=AK$2,100%,AVANCE[[#This Row],[OSB CUBIERTA]])</f>
        <v>0</v>
      </c>
      <c r="BY341" s="3">
        <f>+IF(AVANCE[[#This Row],[BARANDA BALCON]]=AL$2,100%,AVANCE[[#This Row],[BARANDA BALCON]])</f>
        <v>0</v>
      </c>
      <c r="BZ341" s="3">
        <f>+IF(AVANCE[[#This Row],[OSB EXTERIOR]]=AM$2,100%,AVANCE[[#This Row],[OSB EXTERIOR]])</f>
        <v>0</v>
      </c>
      <c r="CA341" s="3">
        <f>+IF(AVANCE[[#This Row],[SMART PANEL]]=AN$2,100%,AVANCE[[#This Row],[SMART PANEL]])</f>
        <v>0</v>
      </c>
      <c r="CB341" s="3">
        <f>+IF(AVANCE[[#This Row],[PINTURA EXTERIOR]]=AO$2,100%,AVANCE[[#This Row],[PINTURA EXTERIOR]])</f>
        <v>0</v>
      </c>
      <c r="CC341" s="3">
        <f>+IF(AVANCE[[#This Row],[ZOCALOS LOGIA]]=AP$2,100%,AVANCE[[#This Row],[ZOCALOS LOGIA]])</f>
        <v>0</v>
      </c>
      <c r="CD341" s="3">
        <f>+IF(AVANCE[[#This Row],[MOLDURAS]]=AQ$2,100%,AVANCE[[#This Row],[MOLDURAS]])</f>
        <v>0</v>
      </c>
      <c r="CE341" s="3">
        <f>+IF(AVANCE[[#This Row],[PILASTREO]]=AR$2,100%,AVANCE[[#This Row],[PILASTREO]])</f>
        <v>0</v>
      </c>
      <c r="CF341" s="3">
        <f>+IF(AVANCE[[#This Row],[CELOSIAS]]=AS$2,100%,AVANCE[[#This Row],[CELOSIAS]])</f>
        <v>0</v>
      </c>
      <c r="CG341" s="3">
        <f>+IF(AVANCE[[#This Row],[VENTANAS]]=AT$2,100%,AVANCE[[#This Row],[VENTANAS]])</f>
        <v>0</v>
      </c>
      <c r="CH341" s="3">
        <f>+IF(AVANCE[[#This Row],[PUERTAS ACCESO - LOGIA - BANO]]=AU$2,100%,AVANCE[[#This Row],[PUERTAS ACCESO - LOGIA - BANO]])</f>
        <v>0</v>
      </c>
      <c r="CI341" s="3">
        <f>+IF(AVANCE[[#This Row],[CERRADURAS]]=AV$2,100%,AVANCE[[#This Row],[CERRADURAS]])</f>
        <v>0</v>
      </c>
      <c r="CJ341" s="3">
        <f>+IF(AVANCE[[#This Row],[REVESTIMIENTO INTERIOR ZONA SECA]]=AW$2,100%,AVANCE[[#This Row],[REVESTIMIENTO INTERIOR ZONA SECA]])</f>
        <v>0</v>
      </c>
      <c r="CK341" s="3">
        <f>+IF(AVANCE[[#This Row],[REVESTIMIENTO INTERIOR ZONAS HUMEDAS]]=AX$2,100%,AVANCE[[#This Row],[REVESTIMIENTO INTERIOR ZONAS HUMEDAS]])</f>
        <v>0</v>
      </c>
      <c r="CL341" s="3">
        <f>+IF(AVANCE[[#This Row],[MEMBRANA CIELO]]=AY$2,100%,AVANCE[[#This Row],[MEMBRANA CIELO]])</f>
        <v>0</v>
      </c>
      <c r="CM341" s="3">
        <f>+IF(AVANCE[[#This Row],[LIMPIEZA FINAL]]=AZ$2,100%,AVANCE[[#This Row],[LIMPIEZA FINAL]])</f>
        <v>0</v>
      </c>
      <c r="CN341" s="3">
        <f>+IF(AVANCE[[#This Row],[PUERTAS DORMITORIO]]=BA$2,100%,AVANCE[[#This Row],[PUERTAS DORMITORIO]])</f>
        <v>0</v>
      </c>
      <c r="CO341" s="3">
        <f>+IF(AVANCE[[#This Row],[REVESTIMIENTO INTERIOR BANO]]=BB$2,100%,AVANCE[[#This Row],[REVESTIMIENTO INTERIOR BANO]])</f>
        <v>0</v>
      </c>
      <c r="CP341" s="3">
        <f>+IF(AVANCE[[#This Row],[MUEBLE LAVAPLATOS]]=BC$2,100%,AVANCE[[#This Row],[MUEBLE LAVAPLATOS]])</f>
        <v>0</v>
      </c>
      <c r="CQ341" s="3">
        <f>+IF(AVANCE[[#This Row],[IMPERMEABILIZACION BANO - COCINA LOGIA]]=BD$2,100%,AVANCE[[#This Row],[IMPERMEABILIZACION BANO - COCINA LOGIA]])</f>
        <v>0</v>
      </c>
      <c r="CR341" s="40">
        <f ca="1">+IF(AVANCE[[#This Row],[ESTADO MODULO]]="PENDIENTE",(TODAY()-AVANCE[[#This Row],[FECHA TERMINO  PLANIFICADO]]),0)</f>
        <v>0</v>
      </c>
      <c r="CS341" s="42" t="str" cm="1">
        <f t="array" ref="CS341">_xlfn.TEXTJOIN(" | ",TRUE,IF(SUMPRODUCT((BF341:CQ341&lt;1)*(PARTIDAS!$I$2:$AT$2="OBRA GRUESA"))&gt;0,"OBRA GRUESA: "&amp;_xlfn.TEXTJOIN(", ",TRUE,IF((BF341:CQ341&lt;1)*(PARTIDAS!$I$2:$AT$2="OBRA GRUESA"),PARTIDAS!$I$1:$AT$1,"")),""),IF(SUMPRODUCT((BF341:CQ341&lt;1)*(PARTIDAS!$I$2:$AT$2="SANITARIOS"))&gt;0,"SANITARIOS: "&amp;_xlfn.TEXTJOIN(", ",TRUE,IF((BF341:CQ341&lt;1)*(PARTIDAS!$I$2:$AT$2="SANITARIOS"),PARTIDAS!$I$1:$AT$1,"")),""),IF(SUMPRODUCT((BF341:CQ341&lt;1)*(PARTIDAS!$I$2:$AT$2="ELÉCTRICO"))&gt;0,"ELÉCTRICO: "&amp;_xlfn.TEXTJOIN(", ",TRUE,IF((BF341:CQ341&lt;1)*(PARTIDAS!$I$2:$AT$2="ELÉCTRICO"),PARTIDAS!$I$1:$AT$1,"")),""),IF(SUMPRODUCT((BF341:CQ341&lt;1)*(PARTIDAS!$I$2:$AT$2="TERMINACIONES"))&gt;0,"TERMINACIONES: "&amp;_xlfn.TEXTJOIN(", ",TRUE,IF((BF341:CQ341&lt;1)*(PARTIDAS!$I$2:$AT$2="TERMINACIONES"),PARTIDAS!$I$1:$AT$1,"")),""))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1" s="45" t="str" cm="1">
        <f t="array" ref="CT341">_xlfn.TEXTJOIN(", ",TRUE,IF(SUMPRODUCT((BF341:CQ341&lt;1)*(PARTIDAS!$I$2:$AT$2="OBRA GRUESA"))&gt;0,"OBRA GRUESA",""),IF(SUMPRODUCT((BF341:CQ341&lt;1)*(PARTIDAS!$I$2:$AT$2="SANITARIOS"))&gt;0,"SANITARIOS",""),IF(SUMPRODUCT((BF341:CQ341&lt;1)*(PARTIDAS!$I$2:$AT$2="ELÉCTRICO"))&gt;0,"ELÉCTRICO",""),IF(SUMPRODUCT((BF341:CQ341&lt;1)*(PARTIDAS!$I$2:$AT$2="TERMINACIONES"))&gt;0,"TERMINACIONES",""))</f>
        <v>OBRA GRUESA, SANITARIOS, ELÉCTRICO, TERMINACIONES</v>
      </c>
      <c r="CU341" s="46" cm="1">
        <f t="array" ref="CU341">SUMPRODUCT(--(BF341:CQ341&lt;1))</f>
        <v>38</v>
      </c>
    </row>
    <row r="342" spans="1:99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46181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 s="3" t="str">
        <f>+IF(AVANCE[[#This Row],[% AVANCE]]=100%,"MODULO TERMINADO",IF(AVANCE[[#This Row],[FECHA INICIO REAL]]="","MODULO NO INICIADO","PENDIENTE"))</f>
        <v>MODULO NO INICIADO</v>
      </c>
      <c r="BF342" s="3">
        <f>+IF(AVANCE[[#This Row],[VENTANAS]]=8.10810810810811%,100%,AVANCE[[#This Row],[VENTANAS]])</f>
        <v>0</v>
      </c>
      <c r="BG342" s="3">
        <f>+IF(AVANCE[[#This Row],[PISO]]=N$2,100%,AVANCE[[#This Row],[PISO]])</f>
        <v>0</v>
      </c>
      <c r="BH342" s="3">
        <f>+IF(AVANCE[[#This Row],[TABIQUES]]=O$2,100%,AVANCE[[#This Row],[TABIQUES]])</f>
        <v>0</v>
      </c>
      <c r="BI342" s="3">
        <f>+IF(AVANCE[[#This Row],[MUROS]]=P$2,100%,AVANCE[[#This Row],[MUROS]])</f>
        <v>0</v>
      </c>
      <c r="BJ342" s="3">
        <f>+IF(AVANCE[[#This Row],[CIELO]]=Q$2,100%,AVANCE[[#This Row],[CIELO]])</f>
        <v>0</v>
      </c>
      <c r="BK342" s="3">
        <f>+IF(AVANCE[[#This Row],[BALCÓN]]=R$2,100%,AVANCE[[#This Row],[BALCÓN]])</f>
        <v>0</v>
      </c>
      <c r="BL342" s="3">
        <f>+IF(AVANCE[[#This Row],[RED ALCANTARILLADO]]=U$2,100%,AVANCE[[#This Row],[RED ALCANTARILLADO]])</f>
        <v>0</v>
      </c>
      <c r="BM342" s="3">
        <f>+IF(AVANCE[[#This Row],[RED DE AGUA]]=V$2,100%,AVANCE[[#This Row],[RED DE AGUA]])</f>
        <v>0</v>
      </c>
      <c r="BN342" s="3">
        <f>+IF(AVANCE[[#This Row],[VENTILACIONES]]=W$2,100%,AVANCE[[#This Row],[VENTILACIONES]])</f>
        <v>0</v>
      </c>
      <c r="BO342" s="3">
        <f>+IF(AVANCE[[#This Row],[TINA]]=X$2,100%,AVANCE[[#This Row],[TINA]])</f>
        <v>0</v>
      </c>
      <c r="BP342" s="3">
        <f>+IF(AVANCE[[#This Row],[WC]]=Y$2,100%,AVANCE[[#This Row],[WC]])</f>
        <v>0</v>
      </c>
      <c r="BQ342" s="3">
        <f>+IF(AVANCE[[#This Row],[LAVAMANOS / LAVAPLATOS / LAVADERO]]=Z$2,100%,AVANCE[[#This Row],[LAVAMANOS / LAVAPLATOS / LAVADERO]])</f>
        <v>0</v>
      </c>
      <c r="BR342" s="3">
        <f>+IF(AVANCE[[#This Row],[CANALIZACIÓN]]=AC$2,100%,AVANCE[[#This Row],[CANALIZACIÓN]])</f>
        <v>0</v>
      </c>
      <c r="BS342" s="3">
        <f>+IF(AVANCE[[#This Row],[CABLEADO]]=AD$2,100%,AVANCE[[#This Row],[CABLEADO]])</f>
        <v>0</v>
      </c>
      <c r="BT342" s="3">
        <f>+IF(AVANCE[[#This Row],[ARTEFACTOS]]=AE$2,100%,AVANCE[[#This Row],[ARTEFACTOS]])</f>
        <v>0</v>
      </c>
      <c r="BU342" s="3">
        <f>+IF(AVANCE[[#This Row],[TABLERO]]=AF$2,100%,AVANCE[[#This Row],[TABLERO]])</f>
        <v>0</v>
      </c>
      <c r="BV342" s="3">
        <f>+IF(AVANCE[[#This Row],[CAJA PAU]]=AG$2,100%,AVANCE[[#This Row],[CAJA PAU]])</f>
        <v>0</v>
      </c>
      <c r="BW342" s="3">
        <f>+IF(AVANCE[[#This Row],[INSTALACION VINILICO]]=AJ$2,100%,AVANCE[[#This Row],[INSTALACION VINILICO]])</f>
        <v>0</v>
      </c>
      <c r="BX342" s="3">
        <f>+IF(AVANCE[[#This Row],[OSB CUBIERTA]]=AK$2,100%,AVANCE[[#This Row],[OSB CUBIERTA]])</f>
        <v>0</v>
      </c>
      <c r="BY342" s="3">
        <f>+IF(AVANCE[[#This Row],[BARANDA BALCON]]=AL$2,100%,AVANCE[[#This Row],[BARANDA BALCON]])</f>
        <v>0</v>
      </c>
      <c r="BZ342" s="3">
        <f>+IF(AVANCE[[#This Row],[OSB EXTERIOR]]=AM$2,100%,AVANCE[[#This Row],[OSB EXTERIOR]])</f>
        <v>0</v>
      </c>
      <c r="CA342" s="3">
        <f>+IF(AVANCE[[#This Row],[SMART PANEL]]=AN$2,100%,AVANCE[[#This Row],[SMART PANEL]])</f>
        <v>0</v>
      </c>
      <c r="CB342" s="3">
        <f>+IF(AVANCE[[#This Row],[PINTURA EXTERIOR]]=AO$2,100%,AVANCE[[#This Row],[PINTURA EXTERIOR]])</f>
        <v>0</v>
      </c>
      <c r="CC342" s="3">
        <f>+IF(AVANCE[[#This Row],[ZOCALOS LOGIA]]=AP$2,100%,AVANCE[[#This Row],[ZOCALOS LOGIA]])</f>
        <v>0</v>
      </c>
      <c r="CD342" s="3">
        <f>+IF(AVANCE[[#This Row],[MOLDURAS]]=AQ$2,100%,AVANCE[[#This Row],[MOLDURAS]])</f>
        <v>0</v>
      </c>
      <c r="CE342" s="3">
        <f>+IF(AVANCE[[#This Row],[PILASTREO]]=AR$2,100%,AVANCE[[#This Row],[PILASTREO]])</f>
        <v>0</v>
      </c>
      <c r="CF342" s="3">
        <f>+IF(AVANCE[[#This Row],[CELOSIAS]]=AS$2,100%,AVANCE[[#This Row],[CELOSIAS]])</f>
        <v>0</v>
      </c>
      <c r="CG342" s="3">
        <f>+IF(AVANCE[[#This Row],[VENTANAS]]=AT$2,100%,AVANCE[[#This Row],[VENTANAS]])</f>
        <v>0</v>
      </c>
      <c r="CH342" s="3">
        <f>+IF(AVANCE[[#This Row],[PUERTAS ACCESO - LOGIA - BANO]]=AU$2,100%,AVANCE[[#This Row],[PUERTAS ACCESO - LOGIA - BANO]])</f>
        <v>0</v>
      </c>
      <c r="CI342" s="3">
        <f>+IF(AVANCE[[#This Row],[CERRADURAS]]=AV$2,100%,AVANCE[[#This Row],[CERRADURAS]])</f>
        <v>0</v>
      </c>
      <c r="CJ342" s="3">
        <f>+IF(AVANCE[[#This Row],[REVESTIMIENTO INTERIOR ZONA SECA]]=AW$2,100%,AVANCE[[#This Row],[REVESTIMIENTO INTERIOR ZONA SECA]])</f>
        <v>0</v>
      </c>
      <c r="CK342" s="3">
        <f>+IF(AVANCE[[#This Row],[REVESTIMIENTO INTERIOR ZONAS HUMEDAS]]=AX$2,100%,AVANCE[[#This Row],[REVESTIMIENTO INTERIOR ZONAS HUMEDAS]])</f>
        <v>0</v>
      </c>
      <c r="CL342" s="3">
        <f>+IF(AVANCE[[#This Row],[MEMBRANA CIELO]]=AY$2,100%,AVANCE[[#This Row],[MEMBRANA CIELO]])</f>
        <v>0</v>
      </c>
      <c r="CM342" s="3">
        <f>+IF(AVANCE[[#This Row],[LIMPIEZA FINAL]]=AZ$2,100%,AVANCE[[#This Row],[LIMPIEZA FINAL]])</f>
        <v>0</v>
      </c>
      <c r="CN342" s="3">
        <f>+IF(AVANCE[[#This Row],[PUERTAS DORMITORIO]]=BA$2,100%,AVANCE[[#This Row],[PUERTAS DORMITORIO]])</f>
        <v>0</v>
      </c>
      <c r="CO342" s="3">
        <f>+IF(AVANCE[[#This Row],[REVESTIMIENTO INTERIOR BANO]]=BB$2,100%,AVANCE[[#This Row],[REVESTIMIENTO INTERIOR BANO]])</f>
        <v>0</v>
      </c>
      <c r="CP342" s="3">
        <f>+IF(AVANCE[[#This Row],[MUEBLE LAVAPLATOS]]=BC$2,100%,AVANCE[[#This Row],[MUEBLE LAVAPLATOS]])</f>
        <v>0</v>
      </c>
      <c r="CQ342" s="3">
        <f>+IF(AVANCE[[#This Row],[IMPERMEABILIZACION BANO - COCINA LOGIA]]=BD$2,100%,AVANCE[[#This Row],[IMPERMEABILIZACION BANO - COCINA LOGIA]])</f>
        <v>0</v>
      </c>
      <c r="CR342" s="40">
        <f ca="1">+IF(AVANCE[[#This Row],[ESTADO MODULO]]="PENDIENTE",(TODAY()-AVANCE[[#This Row],[FECHA TERMINO  PLANIFICADO]]),0)</f>
        <v>0</v>
      </c>
      <c r="CS342" s="42" t="str" cm="1">
        <f t="array" ref="CS342">_xlfn.TEXTJOIN(" | ",TRUE,IF(SUMPRODUCT((BF342:CQ342&lt;1)*(PARTIDAS!$I$2:$AT$2="OBRA GRUESA"))&gt;0,"OBRA GRUESA: "&amp;_xlfn.TEXTJOIN(", ",TRUE,IF((BF342:CQ342&lt;1)*(PARTIDAS!$I$2:$AT$2="OBRA GRUESA"),PARTIDAS!$I$1:$AT$1,"")),""),IF(SUMPRODUCT((BF342:CQ342&lt;1)*(PARTIDAS!$I$2:$AT$2="SANITARIOS"))&gt;0,"SANITARIOS: "&amp;_xlfn.TEXTJOIN(", ",TRUE,IF((BF342:CQ342&lt;1)*(PARTIDAS!$I$2:$AT$2="SANITARIOS"),PARTIDAS!$I$1:$AT$1,"")),""),IF(SUMPRODUCT((BF342:CQ342&lt;1)*(PARTIDAS!$I$2:$AT$2="ELÉCTRICO"))&gt;0,"ELÉCTRICO: "&amp;_xlfn.TEXTJOIN(", ",TRUE,IF((BF342:CQ342&lt;1)*(PARTIDAS!$I$2:$AT$2="ELÉCTRICO"),PARTIDAS!$I$1:$AT$1,"")),""),IF(SUMPRODUCT((BF342:CQ342&lt;1)*(PARTIDAS!$I$2:$AT$2="TERMINACIONES"))&gt;0,"TERMINACIONES: "&amp;_xlfn.TEXTJOIN(", ",TRUE,IF((BF342:CQ342&lt;1)*(PARTIDAS!$I$2:$AT$2="TERMINACIONES"),PARTIDAS!$I$1:$AT$1,"")),""))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2" s="45" t="str" cm="1">
        <f t="array" ref="CT342">_xlfn.TEXTJOIN(", ",TRUE,IF(SUMPRODUCT((BF342:CQ342&lt;1)*(PARTIDAS!$I$2:$AT$2="OBRA GRUESA"))&gt;0,"OBRA GRUESA",""),IF(SUMPRODUCT((BF342:CQ342&lt;1)*(PARTIDAS!$I$2:$AT$2="SANITARIOS"))&gt;0,"SANITARIOS",""),IF(SUMPRODUCT((BF342:CQ342&lt;1)*(PARTIDAS!$I$2:$AT$2="ELÉCTRICO"))&gt;0,"ELÉCTRICO",""),IF(SUMPRODUCT((BF342:CQ342&lt;1)*(PARTIDAS!$I$2:$AT$2="TERMINACIONES"))&gt;0,"TERMINACIONES",""))</f>
        <v>OBRA GRUESA, SANITARIOS, ELÉCTRICO, TERMINACIONES</v>
      </c>
      <c r="CU342" s="46" cm="1">
        <f t="array" ref="CU342">SUMPRODUCT(--(BF342:CQ342&lt;1))</f>
        <v>38</v>
      </c>
    </row>
    <row r="343" spans="1:99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46181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 s="3" t="str">
        <f>+IF(AVANCE[[#This Row],[% AVANCE]]=100%,"MODULO TERMINADO",IF(AVANCE[[#This Row],[FECHA INICIO REAL]]="","MODULO NO INICIADO","PENDIENTE"))</f>
        <v>MODULO NO INICIADO</v>
      </c>
      <c r="BF343" s="3">
        <f>+IF(AVANCE[[#This Row],[VENTANAS]]=8.10810810810811%,100%,AVANCE[[#This Row],[VENTANAS]])</f>
        <v>0</v>
      </c>
      <c r="BG343" s="3">
        <f>+IF(AVANCE[[#This Row],[PISO]]=N$2,100%,AVANCE[[#This Row],[PISO]])</f>
        <v>0</v>
      </c>
      <c r="BH343" s="3">
        <f>+IF(AVANCE[[#This Row],[TABIQUES]]=O$2,100%,AVANCE[[#This Row],[TABIQUES]])</f>
        <v>0</v>
      </c>
      <c r="BI343" s="3">
        <f>+IF(AVANCE[[#This Row],[MUROS]]=P$2,100%,AVANCE[[#This Row],[MUROS]])</f>
        <v>0</v>
      </c>
      <c r="BJ343" s="3">
        <f>+IF(AVANCE[[#This Row],[CIELO]]=Q$2,100%,AVANCE[[#This Row],[CIELO]])</f>
        <v>0</v>
      </c>
      <c r="BK343" s="3">
        <f>+IF(AVANCE[[#This Row],[BALCÓN]]=R$2,100%,AVANCE[[#This Row],[BALCÓN]])</f>
        <v>0</v>
      </c>
      <c r="BL343" s="3">
        <f>+IF(AVANCE[[#This Row],[RED ALCANTARILLADO]]=U$2,100%,AVANCE[[#This Row],[RED ALCANTARILLADO]])</f>
        <v>0</v>
      </c>
      <c r="BM343" s="3">
        <f>+IF(AVANCE[[#This Row],[RED DE AGUA]]=V$2,100%,AVANCE[[#This Row],[RED DE AGUA]])</f>
        <v>0</v>
      </c>
      <c r="BN343" s="3">
        <f>+IF(AVANCE[[#This Row],[VENTILACIONES]]=W$2,100%,AVANCE[[#This Row],[VENTILACIONES]])</f>
        <v>0</v>
      </c>
      <c r="BO343" s="3">
        <f>+IF(AVANCE[[#This Row],[TINA]]=X$2,100%,AVANCE[[#This Row],[TINA]])</f>
        <v>0</v>
      </c>
      <c r="BP343" s="3">
        <f>+IF(AVANCE[[#This Row],[WC]]=Y$2,100%,AVANCE[[#This Row],[WC]])</f>
        <v>0</v>
      </c>
      <c r="BQ343" s="3">
        <f>+IF(AVANCE[[#This Row],[LAVAMANOS / LAVAPLATOS / LAVADERO]]=Z$2,100%,AVANCE[[#This Row],[LAVAMANOS / LAVAPLATOS / LAVADERO]])</f>
        <v>0</v>
      </c>
      <c r="BR343" s="3">
        <f>+IF(AVANCE[[#This Row],[CANALIZACIÓN]]=AC$2,100%,AVANCE[[#This Row],[CANALIZACIÓN]])</f>
        <v>0</v>
      </c>
      <c r="BS343" s="3">
        <f>+IF(AVANCE[[#This Row],[CABLEADO]]=AD$2,100%,AVANCE[[#This Row],[CABLEADO]])</f>
        <v>0</v>
      </c>
      <c r="BT343" s="3">
        <f>+IF(AVANCE[[#This Row],[ARTEFACTOS]]=AE$2,100%,AVANCE[[#This Row],[ARTEFACTOS]])</f>
        <v>0</v>
      </c>
      <c r="BU343" s="3">
        <f>+IF(AVANCE[[#This Row],[TABLERO]]=AF$2,100%,AVANCE[[#This Row],[TABLERO]])</f>
        <v>0</v>
      </c>
      <c r="BV343" s="3">
        <f>+IF(AVANCE[[#This Row],[CAJA PAU]]=AG$2,100%,AVANCE[[#This Row],[CAJA PAU]])</f>
        <v>0</v>
      </c>
      <c r="BW343" s="3">
        <f>+IF(AVANCE[[#This Row],[INSTALACION VINILICO]]=AJ$2,100%,AVANCE[[#This Row],[INSTALACION VINILICO]])</f>
        <v>0</v>
      </c>
      <c r="BX343" s="3">
        <f>+IF(AVANCE[[#This Row],[OSB CUBIERTA]]=AK$2,100%,AVANCE[[#This Row],[OSB CUBIERTA]])</f>
        <v>0</v>
      </c>
      <c r="BY343" s="3">
        <f>+IF(AVANCE[[#This Row],[BARANDA BALCON]]=AL$2,100%,AVANCE[[#This Row],[BARANDA BALCON]])</f>
        <v>0</v>
      </c>
      <c r="BZ343" s="3">
        <f>+IF(AVANCE[[#This Row],[OSB EXTERIOR]]=AM$2,100%,AVANCE[[#This Row],[OSB EXTERIOR]])</f>
        <v>0</v>
      </c>
      <c r="CA343" s="3">
        <f>+IF(AVANCE[[#This Row],[SMART PANEL]]=AN$2,100%,AVANCE[[#This Row],[SMART PANEL]])</f>
        <v>0</v>
      </c>
      <c r="CB343" s="3">
        <f>+IF(AVANCE[[#This Row],[PINTURA EXTERIOR]]=AO$2,100%,AVANCE[[#This Row],[PINTURA EXTERIOR]])</f>
        <v>0</v>
      </c>
      <c r="CC343" s="3">
        <f>+IF(AVANCE[[#This Row],[ZOCALOS LOGIA]]=AP$2,100%,AVANCE[[#This Row],[ZOCALOS LOGIA]])</f>
        <v>0</v>
      </c>
      <c r="CD343" s="3">
        <f>+IF(AVANCE[[#This Row],[MOLDURAS]]=AQ$2,100%,AVANCE[[#This Row],[MOLDURAS]])</f>
        <v>0</v>
      </c>
      <c r="CE343" s="3">
        <f>+IF(AVANCE[[#This Row],[PILASTREO]]=AR$2,100%,AVANCE[[#This Row],[PILASTREO]])</f>
        <v>0</v>
      </c>
      <c r="CF343" s="3">
        <f>+IF(AVANCE[[#This Row],[CELOSIAS]]=AS$2,100%,AVANCE[[#This Row],[CELOSIAS]])</f>
        <v>0</v>
      </c>
      <c r="CG343" s="3">
        <f>+IF(AVANCE[[#This Row],[VENTANAS]]=AT$2,100%,AVANCE[[#This Row],[VENTANAS]])</f>
        <v>0</v>
      </c>
      <c r="CH343" s="3">
        <f>+IF(AVANCE[[#This Row],[PUERTAS ACCESO - LOGIA - BANO]]=AU$2,100%,AVANCE[[#This Row],[PUERTAS ACCESO - LOGIA - BANO]])</f>
        <v>0</v>
      </c>
      <c r="CI343" s="3">
        <f>+IF(AVANCE[[#This Row],[CERRADURAS]]=AV$2,100%,AVANCE[[#This Row],[CERRADURAS]])</f>
        <v>0</v>
      </c>
      <c r="CJ343" s="3">
        <f>+IF(AVANCE[[#This Row],[REVESTIMIENTO INTERIOR ZONA SECA]]=AW$2,100%,AVANCE[[#This Row],[REVESTIMIENTO INTERIOR ZONA SECA]])</f>
        <v>0</v>
      </c>
      <c r="CK343" s="3">
        <f>+IF(AVANCE[[#This Row],[REVESTIMIENTO INTERIOR ZONAS HUMEDAS]]=AX$2,100%,AVANCE[[#This Row],[REVESTIMIENTO INTERIOR ZONAS HUMEDAS]])</f>
        <v>0</v>
      </c>
      <c r="CL343" s="3">
        <f>+IF(AVANCE[[#This Row],[MEMBRANA CIELO]]=AY$2,100%,AVANCE[[#This Row],[MEMBRANA CIELO]])</f>
        <v>0</v>
      </c>
      <c r="CM343" s="3">
        <f>+IF(AVANCE[[#This Row],[LIMPIEZA FINAL]]=AZ$2,100%,AVANCE[[#This Row],[LIMPIEZA FINAL]])</f>
        <v>0</v>
      </c>
      <c r="CN343" s="3">
        <f>+IF(AVANCE[[#This Row],[PUERTAS DORMITORIO]]=BA$2,100%,AVANCE[[#This Row],[PUERTAS DORMITORIO]])</f>
        <v>0</v>
      </c>
      <c r="CO343" s="3">
        <f>+IF(AVANCE[[#This Row],[REVESTIMIENTO INTERIOR BANO]]=BB$2,100%,AVANCE[[#This Row],[REVESTIMIENTO INTERIOR BANO]])</f>
        <v>0</v>
      </c>
      <c r="CP343" s="3">
        <f>+IF(AVANCE[[#This Row],[MUEBLE LAVAPLATOS]]=BC$2,100%,AVANCE[[#This Row],[MUEBLE LAVAPLATOS]])</f>
        <v>0</v>
      </c>
      <c r="CQ343" s="3">
        <f>+IF(AVANCE[[#This Row],[IMPERMEABILIZACION BANO - COCINA LOGIA]]=BD$2,100%,AVANCE[[#This Row],[IMPERMEABILIZACION BANO - COCINA LOGIA]])</f>
        <v>0</v>
      </c>
      <c r="CR343" s="40">
        <f ca="1">+IF(AVANCE[[#This Row],[ESTADO MODULO]]="PENDIENTE",(TODAY()-AVANCE[[#This Row],[FECHA TERMINO  PLANIFICADO]]),0)</f>
        <v>0</v>
      </c>
      <c r="CS343" s="42" t="str" cm="1">
        <f t="array" ref="CS343">_xlfn.TEXTJOIN(" | ",TRUE,IF(SUMPRODUCT((BF343:CQ343&lt;1)*(PARTIDAS!$I$2:$AT$2="OBRA GRUESA"))&gt;0,"OBRA GRUESA: "&amp;_xlfn.TEXTJOIN(", ",TRUE,IF((BF343:CQ343&lt;1)*(PARTIDAS!$I$2:$AT$2="OBRA GRUESA"),PARTIDAS!$I$1:$AT$1,"")),""),IF(SUMPRODUCT((BF343:CQ343&lt;1)*(PARTIDAS!$I$2:$AT$2="SANITARIOS"))&gt;0,"SANITARIOS: "&amp;_xlfn.TEXTJOIN(", ",TRUE,IF((BF343:CQ343&lt;1)*(PARTIDAS!$I$2:$AT$2="SANITARIOS"),PARTIDAS!$I$1:$AT$1,"")),""),IF(SUMPRODUCT((BF343:CQ343&lt;1)*(PARTIDAS!$I$2:$AT$2="ELÉCTRICO"))&gt;0,"ELÉCTRICO: "&amp;_xlfn.TEXTJOIN(", ",TRUE,IF((BF343:CQ343&lt;1)*(PARTIDAS!$I$2:$AT$2="ELÉCTRICO"),PARTIDAS!$I$1:$AT$1,"")),""),IF(SUMPRODUCT((BF343:CQ343&lt;1)*(PARTIDAS!$I$2:$AT$2="TERMINACIONES"))&gt;0,"TERMINACIONES: "&amp;_xlfn.TEXTJOIN(", ",TRUE,IF((BF343:CQ343&lt;1)*(PARTIDAS!$I$2:$AT$2="TERMINACIONES"),PARTIDAS!$I$1:$AT$1,"")),""))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3" s="45" t="str" cm="1">
        <f t="array" ref="CT343">_xlfn.TEXTJOIN(", ",TRUE,IF(SUMPRODUCT((BF343:CQ343&lt;1)*(PARTIDAS!$I$2:$AT$2="OBRA GRUESA"))&gt;0,"OBRA GRUESA",""),IF(SUMPRODUCT((BF343:CQ343&lt;1)*(PARTIDAS!$I$2:$AT$2="SANITARIOS"))&gt;0,"SANITARIOS",""),IF(SUMPRODUCT((BF343:CQ343&lt;1)*(PARTIDAS!$I$2:$AT$2="ELÉCTRICO"))&gt;0,"ELÉCTRICO",""),IF(SUMPRODUCT((BF343:CQ343&lt;1)*(PARTIDAS!$I$2:$AT$2="TERMINACIONES"))&gt;0,"TERMINACIONES",""))</f>
        <v>OBRA GRUESA, SANITARIOS, ELÉCTRICO, TERMINACIONES</v>
      </c>
      <c r="CU343" s="46" cm="1">
        <f t="array" ref="CU343">SUMPRODUCT(--(BF343:CQ343&lt;1))</f>
        <v>38</v>
      </c>
    </row>
    <row r="344" spans="1:99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46181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 s="3" t="str">
        <f>+IF(AVANCE[[#This Row],[% AVANCE]]=100%,"MODULO TERMINADO",IF(AVANCE[[#This Row],[FECHA INICIO REAL]]="","MODULO NO INICIADO","PENDIENTE"))</f>
        <v>MODULO NO INICIADO</v>
      </c>
      <c r="BF344" s="3">
        <f>+IF(AVANCE[[#This Row],[VENTANAS]]=8.10810810810811%,100%,AVANCE[[#This Row],[VENTANAS]])</f>
        <v>0</v>
      </c>
      <c r="BG344" s="3">
        <f>+IF(AVANCE[[#This Row],[PISO]]=N$2,100%,AVANCE[[#This Row],[PISO]])</f>
        <v>0</v>
      </c>
      <c r="BH344" s="3">
        <f>+IF(AVANCE[[#This Row],[TABIQUES]]=O$2,100%,AVANCE[[#This Row],[TABIQUES]])</f>
        <v>0</v>
      </c>
      <c r="BI344" s="3">
        <f>+IF(AVANCE[[#This Row],[MUROS]]=P$2,100%,AVANCE[[#This Row],[MUROS]])</f>
        <v>0</v>
      </c>
      <c r="BJ344" s="3">
        <f>+IF(AVANCE[[#This Row],[CIELO]]=Q$2,100%,AVANCE[[#This Row],[CIELO]])</f>
        <v>0</v>
      </c>
      <c r="BK344" s="3">
        <f>+IF(AVANCE[[#This Row],[BALCÓN]]=R$2,100%,AVANCE[[#This Row],[BALCÓN]])</f>
        <v>0</v>
      </c>
      <c r="BL344" s="3">
        <f>+IF(AVANCE[[#This Row],[RED ALCANTARILLADO]]=U$2,100%,AVANCE[[#This Row],[RED ALCANTARILLADO]])</f>
        <v>0</v>
      </c>
      <c r="BM344" s="3">
        <f>+IF(AVANCE[[#This Row],[RED DE AGUA]]=V$2,100%,AVANCE[[#This Row],[RED DE AGUA]])</f>
        <v>0</v>
      </c>
      <c r="BN344" s="3">
        <f>+IF(AVANCE[[#This Row],[VENTILACIONES]]=W$2,100%,AVANCE[[#This Row],[VENTILACIONES]])</f>
        <v>0</v>
      </c>
      <c r="BO344" s="3">
        <f>+IF(AVANCE[[#This Row],[TINA]]=X$2,100%,AVANCE[[#This Row],[TINA]])</f>
        <v>0</v>
      </c>
      <c r="BP344" s="3">
        <f>+IF(AVANCE[[#This Row],[WC]]=Y$2,100%,AVANCE[[#This Row],[WC]])</f>
        <v>0</v>
      </c>
      <c r="BQ344" s="3">
        <f>+IF(AVANCE[[#This Row],[LAVAMANOS / LAVAPLATOS / LAVADERO]]=Z$2,100%,AVANCE[[#This Row],[LAVAMANOS / LAVAPLATOS / LAVADERO]])</f>
        <v>0</v>
      </c>
      <c r="BR344" s="3">
        <f>+IF(AVANCE[[#This Row],[CANALIZACIÓN]]=AC$2,100%,AVANCE[[#This Row],[CANALIZACIÓN]])</f>
        <v>0</v>
      </c>
      <c r="BS344" s="3">
        <f>+IF(AVANCE[[#This Row],[CABLEADO]]=AD$2,100%,AVANCE[[#This Row],[CABLEADO]])</f>
        <v>0</v>
      </c>
      <c r="BT344" s="3">
        <f>+IF(AVANCE[[#This Row],[ARTEFACTOS]]=AE$2,100%,AVANCE[[#This Row],[ARTEFACTOS]])</f>
        <v>0</v>
      </c>
      <c r="BU344" s="3">
        <f>+IF(AVANCE[[#This Row],[TABLERO]]=AF$2,100%,AVANCE[[#This Row],[TABLERO]])</f>
        <v>0</v>
      </c>
      <c r="BV344" s="3">
        <f>+IF(AVANCE[[#This Row],[CAJA PAU]]=AG$2,100%,AVANCE[[#This Row],[CAJA PAU]])</f>
        <v>0</v>
      </c>
      <c r="BW344" s="3">
        <f>+IF(AVANCE[[#This Row],[INSTALACION VINILICO]]=AJ$2,100%,AVANCE[[#This Row],[INSTALACION VINILICO]])</f>
        <v>0</v>
      </c>
      <c r="BX344" s="3">
        <f>+IF(AVANCE[[#This Row],[OSB CUBIERTA]]=AK$2,100%,AVANCE[[#This Row],[OSB CUBIERTA]])</f>
        <v>0</v>
      </c>
      <c r="BY344" s="3">
        <f>+IF(AVANCE[[#This Row],[BARANDA BALCON]]=AL$2,100%,AVANCE[[#This Row],[BARANDA BALCON]])</f>
        <v>0</v>
      </c>
      <c r="BZ344" s="3">
        <f>+IF(AVANCE[[#This Row],[OSB EXTERIOR]]=AM$2,100%,AVANCE[[#This Row],[OSB EXTERIOR]])</f>
        <v>0</v>
      </c>
      <c r="CA344" s="3">
        <f>+IF(AVANCE[[#This Row],[SMART PANEL]]=AN$2,100%,AVANCE[[#This Row],[SMART PANEL]])</f>
        <v>0</v>
      </c>
      <c r="CB344" s="3">
        <f>+IF(AVANCE[[#This Row],[PINTURA EXTERIOR]]=AO$2,100%,AVANCE[[#This Row],[PINTURA EXTERIOR]])</f>
        <v>0</v>
      </c>
      <c r="CC344" s="3">
        <f>+IF(AVANCE[[#This Row],[ZOCALOS LOGIA]]=AP$2,100%,AVANCE[[#This Row],[ZOCALOS LOGIA]])</f>
        <v>0</v>
      </c>
      <c r="CD344" s="3">
        <f>+IF(AVANCE[[#This Row],[MOLDURAS]]=AQ$2,100%,AVANCE[[#This Row],[MOLDURAS]])</f>
        <v>0</v>
      </c>
      <c r="CE344" s="3">
        <f>+IF(AVANCE[[#This Row],[PILASTREO]]=AR$2,100%,AVANCE[[#This Row],[PILASTREO]])</f>
        <v>0</v>
      </c>
      <c r="CF344" s="3">
        <f>+IF(AVANCE[[#This Row],[CELOSIAS]]=AS$2,100%,AVANCE[[#This Row],[CELOSIAS]])</f>
        <v>0</v>
      </c>
      <c r="CG344" s="3">
        <f>+IF(AVANCE[[#This Row],[VENTANAS]]=AT$2,100%,AVANCE[[#This Row],[VENTANAS]])</f>
        <v>0</v>
      </c>
      <c r="CH344" s="3">
        <f>+IF(AVANCE[[#This Row],[PUERTAS ACCESO - LOGIA - BANO]]=AU$2,100%,AVANCE[[#This Row],[PUERTAS ACCESO - LOGIA - BANO]])</f>
        <v>0</v>
      </c>
      <c r="CI344" s="3">
        <f>+IF(AVANCE[[#This Row],[CERRADURAS]]=AV$2,100%,AVANCE[[#This Row],[CERRADURAS]])</f>
        <v>0</v>
      </c>
      <c r="CJ344" s="3">
        <f>+IF(AVANCE[[#This Row],[REVESTIMIENTO INTERIOR ZONA SECA]]=AW$2,100%,AVANCE[[#This Row],[REVESTIMIENTO INTERIOR ZONA SECA]])</f>
        <v>0</v>
      </c>
      <c r="CK344" s="3">
        <f>+IF(AVANCE[[#This Row],[REVESTIMIENTO INTERIOR ZONAS HUMEDAS]]=AX$2,100%,AVANCE[[#This Row],[REVESTIMIENTO INTERIOR ZONAS HUMEDAS]])</f>
        <v>0</v>
      </c>
      <c r="CL344" s="3">
        <f>+IF(AVANCE[[#This Row],[MEMBRANA CIELO]]=AY$2,100%,AVANCE[[#This Row],[MEMBRANA CIELO]])</f>
        <v>0</v>
      </c>
      <c r="CM344" s="3">
        <f>+IF(AVANCE[[#This Row],[LIMPIEZA FINAL]]=AZ$2,100%,AVANCE[[#This Row],[LIMPIEZA FINAL]])</f>
        <v>0</v>
      </c>
      <c r="CN344" s="3">
        <f>+IF(AVANCE[[#This Row],[PUERTAS DORMITORIO]]=BA$2,100%,AVANCE[[#This Row],[PUERTAS DORMITORIO]])</f>
        <v>0</v>
      </c>
      <c r="CO344" s="3">
        <f>+IF(AVANCE[[#This Row],[REVESTIMIENTO INTERIOR BANO]]=BB$2,100%,AVANCE[[#This Row],[REVESTIMIENTO INTERIOR BANO]])</f>
        <v>0</v>
      </c>
      <c r="CP344" s="3">
        <f>+IF(AVANCE[[#This Row],[MUEBLE LAVAPLATOS]]=BC$2,100%,AVANCE[[#This Row],[MUEBLE LAVAPLATOS]])</f>
        <v>0</v>
      </c>
      <c r="CQ344" s="3">
        <f>+IF(AVANCE[[#This Row],[IMPERMEABILIZACION BANO - COCINA LOGIA]]=BD$2,100%,AVANCE[[#This Row],[IMPERMEABILIZACION BANO - COCINA LOGIA]])</f>
        <v>0</v>
      </c>
      <c r="CR344" s="40">
        <f ca="1">+IF(AVANCE[[#This Row],[ESTADO MODULO]]="PENDIENTE",(TODAY()-AVANCE[[#This Row],[FECHA TERMINO  PLANIFICADO]]),0)</f>
        <v>0</v>
      </c>
      <c r="CS344" s="42" t="str" cm="1">
        <f t="array" ref="CS344">_xlfn.TEXTJOIN(" | ",TRUE,IF(SUMPRODUCT((BF344:CQ344&lt;1)*(PARTIDAS!$I$2:$AT$2="OBRA GRUESA"))&gt;0,"OBRA GRUESA: "&amp;_xlfn.TEXTJOIN(", ",TRUE,IF((BF344:CQ344&lt;1)*(PARTIDAS!$I$2:$AT$2="OBRA GRUESA"),PARTIDAS!$I$1:$AT$1,"")),""),IF(SUMPRODUCT((BF344:CQ344&lt;1)*(PARTIDAS!$I$2:$AT$2="SANITARIOS"))&gt;0,"SANITARIOS: "&amp;_xlfn.TEXTJOIN(", ",TRUE,IF((BF344:CQ344&lt;1)*(PARTIDAS!$I$2:$AT$2="SANITARIOS"),PARTIDAS!$I$1:$AT$1,"")),""),IF(SUMPRODUCT((BF344:CQ344&lt;1)*(PARTIDAS!$I$2:$AT$2="ELÉCTRICO"))&gt;0,"ELÉCTRICO: "&amp;_xlfn.TEXTJOIN(", ",TRUE,IF((BF344:CQ344&lt;1)*(PARTIDAS!$I$2:$AT$2="ELÉCTRICO"),PARTIDAS!$I$1:$AT$1,"")),""),IF(SUMPRODUCT((BF344:CQ344&lt;1)*(PARTIDAS!$I$2:$AT$2="TERMINACIONES"))&gt;0,"TERMINACIONES: "&amp;_xlfn.TEXTJOIN(", ",TRUE,IF((BF344:CQ344&lt;1)*(PARTIDAS!$I$2:$AT$2="TERMINACIONES"),PARTIDAS!$I$1:$AT$1,"")),""))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4" s="45" t="str" cm="1">
        <f t="array" ref="CT344">_xlfn.TEXTJOIN(", ",TRUE,IF(SUMPRODUCT((BF344:CQ344&lt;1)*(PARTIDAS!$I$2:$AT$2="OBRA GRUESA"))&gt;0,"OBRA GRUESA",""),IF(SUMPRODUCT((BF344:CQ344&lt;1)*(PARTIDAS!$I$2:$AT$2="SANITARIOS"))&gt;0,"SANITARIOS",""),IF(SUMPRODUCT((BF344:CQ344&lt;1)*(PARTIDAS!$I$2:$AT$2="ELÉCTRICO"))&gt;0,"ELÉCTRICO",""),IF(SUMPRODUCT((BF344:CQ344&lt;1)*(PARTIDAS!$I$2:$AT$2="TERMINACIONES"))&gt;0,"TERMINACIONES",""))</f>
        <v>OBRA GRUESA, SANITARIOS, ELÉCTRICO, TERMINACIONES</v>
      </c>
      <c r="CU344" s="46" cm="1">
        <f t="array" ref="CU344">SUMPRODUCT(--(BF344:CQ344&lt;1))</f>
        <v>38</v>
      </c>
    </row>
    <row r="345" spans="1:99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46181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 s="3" t="str">
        <f>+IF(AVANCE[[#This Row],[% AVANCE]]=100%,"MODULO TERMINADO",IF(AVANCE[[#This Row],[FECHA INICIO REAL]]="","MODULO NO INICIADO","PENDIENTE"))</f>
        <v>MODULO NO INICIADO</v>
      </c>
      <c r="BF345" s="3">
        <f>+IF(AVANCE[[#This Row],[VENTANAS]]=8.10810810810811%,100%,AVANCE[[#This Row],[VENTANAS]])</f>
        <v>0</v>
      </c>
      <c r="BG345" s="3">
        <f>+IF(AVANCE[[#This Row],[PISO]]=N$2,100%,AVANCE[[#This Row],[PISO]])</f>
        <v>0</v>
      </c>
      <c r="BH345" s="3">
        <f>+IF(AVANCE[[#This Row],[TABIQUES]]=O$2,100%,AVANCE[[#This Row],[TABIQUES]])</f>
        <v>0</v>
      </c>
      <c r="BI345" s="3">
        <f>+IF(AVANCE[[#This Row],[MUROS]]=P$2,100%,AVANCE[[#This Row],[MUROS]])</f>
        <v>0</v>
      </c>
      <c r="BJ345" s="3">
        <f>+IF(AVANCE[[#This Row],[CIELO]]=Q$2,100%,AVANCE[[#This Row],[CIELO]])</f>
        <v>0</v>
      </c>
      <c r="BK345" s="3">
        <f>+IF(AVANCE[[#This Row],[BALCÓN]]=R$2,100%,AVANCE[[#This Row],[BALCÓN]])</f>
        <v>0</v>
      </c>
      <c r="BL345" s="3">
        <f>+IF(AVANCE[[#This Row],[RED ALCANTARILLADO]]=U$2,100%,AVANCE[[#This Row],[RED ALCANTARILLADO]])</f>
        <v>0</v>
      </c>
      <c r="BM345" s="3">
        <f>+IF(AVANCE[[#This Row],[RED DE AGUA]]=V$2,100%,AVANCE[[#This Row],[RED DE AGUA]])</f>
        <v>0</v>
      </c>
      <c r="BN345" s="3">
        <f>+IF(AVANCE[[#This Row],[VENTILACIONES]]=W$2,100%,AVANCE[[#This Row],[VENTILACIONES]])</f>
        <v>0</v>
      </c>
      <c r="BO345" s="3">
        <f>+IF(AVANCE[[#This Row],[TINA]]=X$2,100%,AVANCE[[#This Row],[TINA]])</f>
        <v>0</v>
      </c>
      <c r="BP345" s="3">
        <f>+IF(AVANCE[[#This Row],[WC]]=Y$2,100%,AVANCE[[#This Row],[WC]])</f>
        <v>0</v>
      </c>
      <c r="BQ345" s="3">
        <f>+IF(AVANCE[[#This Row],[LAVAMANOS / LAVAPLATOS / LAVADERO]]=Z$2,100%,AVANCE[[#This Row],[LAVAMANOS / LAVAPLATOS / LAVADERO]])</f>
        <v>0</v>
      </c>
      <c r="BR345" s="3">
        <f>+IF(AVANCE[[#This Row],[CANALIZACIÓN]]=AC$2,100%,AVANCE[[#This Row],[CANALIZACIÓN]])</f>
        <v>0</v>
      </c>
      <c r="BS345" s="3">
        <f>+IF(AVANCE[[#This Row],[CABLEADO]]=AD$2,100%,AVANCE[[#This Row],[CABLEADO]])</f>
        <v>0</v>
      </c>
      <c r="BT345" s="3">
        <f>+IF(AVANCE[[#This Row],[ARTEFACTOS]]=AE$2,100%,AVANCE[[#This Row],[ARTEFACTOS]])</f>
        <v>0</v>
      </c>
      <c r="BU345" s="3">
        <f>+IF(AVANCE[[#This Row],[TABLERO]]=AF$2,100%,AVANCE[[#This Row],[TABLERO]])</f>
        <v>0</v>
      </c>
      <c r="BV345" s="3">
        <f>+IF(AVANCE[[#This Row],[CAJA PAU]]=AG$2,100%,AVANCE[[#This Row],[CAJA PAU]])</f>
        <v>0</v>
      </c>
      <c r="BW345" s="3">
        <f>+IF(AVANCE[[#This Row],[INSTALACION VINILICO]]=AJ$2,100%,AVANCE[[#This Row],[INSTALACION VINILICO]])</f>
        <v>0</v>
      </c>
      <c r="BX345" s="3">
        <f>+IF(AVANCE[[#This Row],[OSB CUBIERTA]]=AK$2,100%,AVANCE[[#This Row],[OSB CUBIERTA]])</f>
        <v>0</v>
      </c>
      <c r="BY345" s="3">
        <f>+IF(AVANCE[[#This Row],[BARANDA BALCON]]=AL$2,100%,AVANCE[[#This Row],[BARANDA BALCON]])</f>
        <v>0</v>
      </c>
      <c r="BZ345" s="3">
        <f>+IF(AVANCE[[#This Row],[OSB EXTERIOR]]=AM$2,100%,AVANCE[[#This Row],[OSB EXTERIOR]])</f>
        <v>0</v>
      </c>
      <c r="CA345" s="3">
        <f>+IF(AVANCE[[#This Row],[SMART PANEL]]=AN$2,100%,AVANCE[[#This Row],[SMART PANEL]])</f>
        <v>0</v>
      </c>
      <c r="CB345" s="3">
        <f>+IF(AVANCE[[#This Row],[PINTURA EXTERIOR]]=AO$2,100%,AVANCE[[#This Row],[PINTURA EXTERIOR]])</f>
        <v>0</v>
      </c>
      <c r="CC345" s="3">
        <f>+IF(AVANCE[[#This Row],[ZOCALOS LOGIA]]=AP$2,100%,AVANCE[[#This Row],[ZOCALOS LOGIA]])</f>
        <v>0</v>
      </c>
      <c r="CD345" s="3">
        <f>+IF(AVANCE[[#This Row],[MOLDURAS]]=AQ$2,100%,AVANCE[[#This Row],[MOLDURAS]])</f>
        <v>0</v>
      </c>
      <c r="CE345" s="3">
        <f>+IF(AVANCE[[#This Row],[PILASTREO]]=AR$2,100%,AVANCE[[#This Row],[PILASTREO]])</f>
        <v>0</v>
      </c>
      <c r="CF345" s="3">
        <f>+IF(AVANCE[[#This Row],[CELOSIAS]]=AS$2,100%,AVANCE[[#This Row],[CELOSIAS]])</f>
        <v>0</v>
      </c>
      <c r="CG345" s="3">
        <f>+IF(AVANCE[[#This Row],[VENTANAS]]=AT$2,100%,AVANCE[[#This Row],[VENTANAS]])</f>
        <v>0</v>
      </c>
      <c r="CH345" s="3">
        <f>+IF(AVANCE[[#This Row],[PUERTAS ACCESO - LOGIA - BANO]]=AU$2,100%,AVANCE[[#This Row],[PUERTAS ACCESO - LOGIA - BANO]])</f>
        <v>0</v>
      </c>
      <c r="CI345" s="3">
        <f>+IF(AVANCE[[#This Row],[CERRADURAS]]=AV$2,100%,AVANCE[[#This Row],[CERRADURAS]])</f>
        <v>0</v>
      </c>
      <c r="CJ345" s="3">
        <f>+IF(AVANCE[[#This Row],[REVESTIMIENTO INTERIOR ZONA SECA]]=AW$2,100%,AVANCE[[#This Row],[REVESTIMIENTO INTERIOR ZONA SECA]])</f>
        <v>0</v>
      </c>
      <c r="CK345" s="3">
        <f>+IF(AVANCE[[#This Row],[REVESTIMIENTO INTERIOR ZONAS HUMEDAS]]=AX$2,100%,AVANCE[[#This Row],[REVESTIMIENTO INTERIOR ZONAS HUMEDAS]])</f>
        <v>0</v>
      </c>
      <c r="CL345" s="3">
        <f>+IF(AVANCE[[#This Row],[MEMBRANA CIELO]]=AY$2,100%,AVANCE[[#This Row],[MEMBRANA CIELO]])</f>
        <v>0</v>
      </c>
      <c r="CM345" s="3">
        <f>+IF(AVANCE[[#This Row],[LIMPIEZA FINAL]]=AZ$2,100%,AVANCE[[#This Row],[LIMPIEZA FINAL]])</f>
        <v>0</v>
      </c>
      <c r="CN345" s="3">
        <f>+IF(AVANCE[[#This Row],[PUERTAS DORMITORIO]]=BA$2,100%,AVANCE[[#This Row],[PUERTAS DORMITORIO]])</f>
        <v>0</v>
      </c>
      <c r="CO345" s="3">
        <f>+IF(AVANCE[[#This Row],[REVESTIMIENTO INTERIOR BANO]]=BB$2,100%,AVANCE[[#This Row],[REVESTIMIENTO INTERIOR BANO]])</f>
        <v>0</v>
      </c>
      <c r="CP345" s="3">
        <f>+IF(AVANCE[[#This Row],[MUEBLE LAVAPLATOS]]=BC$2,100%,AVANCE[[#This Row],[MUEBLE LAVAPLATOS]])</f>
        <v>0</v>
      </c>
      <c r="CQ345" s="3">
        <f>+IF(AVANCE[[#This Row],[IMPERMEABILIZACION BANO - COCINA LOGIA]]=BD$2,100%,AVANCE[[#This Row],[IMPERMEABILIZACION BANO - COCINA LOGIA]])</f>
        <v>0</v>
      </c>
      <c r="CR345" s="40">
        <f ca="1">+IF(AVANCE[[#This Row],[ESTADO MODULO]]="PENDIENTE",(TODAY()-AVANCE[[#This Row],[FECHA TERMINO  PLANIFICADO]]),0)</f>
        <v>0</v>
      </c>
      <c r="CS345" s="42" t="str" cm="1">
        <f t="array" ref="CS345">_xlfn.TEXTJOIN(" | ",TRUE,IF(SUMPRODUCT((BF345:CQ345&lt;1)*(PARTIDAS!$I$2:$AT$2="OBRA GRUESA"))&gt;0,"OBRA GRUESA: "&amp;_xlfn.TEXTJOIN(", ",TRUE,IF((BF345:CQ345&lt;1)*(PARTIDAS!$I$2:$AT$2="OBRA GRUESA"),PARTIDAS!$I$1:$AT$1,"")),""),IF(SUMPRODUCT((BF345:CQ345&lt;1)*(PARTIDAS!$I$2:$AT$2="SANITARIOS"))&gt;0,"SANITARIOS: "&amp;_xlfn.TEXTJOIN(", ",TRUE,IF((BF345:CQ345&lt;1)*(PARTIDAS!$I$2:$AT$2="SANITARIOS"),PARTIDAS!$I$1:$AT$1,"")),""),IF(SUMPRODUCT((BF345:CQ345&lt;1)*(PARTIDAS!$I$2:$AT$2="ELÉCTRICO"))&gt;0,"ELÉCTRICO: "&amp;_xlfn.TEXTJOIN(", ",TRUE,IF((BF345:CQ345&lt;1)*(PARTIDAS!$I$2:$AT$2="ELÉCTRICO"),PARTIDAS!$I$1:$AT$1,"")),""),IF(SUMPRODUCT((BF345:CQ345&lt;1)*(PARTIDAS!$I$2:$AT$2="TERMINACIONES"))&gt;0,"TERMINACIONES: "&amp;_xlfn.TEXTJOIN(", ",TRUE,IF((BF345:CQ345&lt;1)*(PARTIDAS!$I$2:$AT$2="TERMINACIONES"),PARTIDAS!$I$1:$AT$1,"")),""))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5" s="45" t="str" cm="1">
        <f t="array" ref="CT345">_xlfn.TEXTJOIN(", ",TRUE,IF(SUMPRODUCT((BF345:CQ345&lt;1)*(PARTIDAS!$I$2:$AT$2="OBRA GRUESA"))&gt;0,"OBRA GRUESA",""),IF(SUMPRODUCT((BF345:CQ345&lt;1)*(PARTIDAS!$I$2:$AT$2="SANITARIOS"))&gt;0,"SANITARIOS",""),IF(SUMPRODUCT((BF345:CQ345&lt;1)*(PARTIDAS!$I$2:$AT$2="ELÉCTRICO"))&gt;0,"ELÉCTRICO",""),IF(SUMPRODUCT((BF345:CQ345&lt;1)*(PARTIDAS!$I$2:$AT$2="TERMINACIONES"))&gt;0,"TERMINACIONES",""))</f>
        <v>OBRA GRUESA, SANITARIOS, ELÉCTRICO, TERMINACIONES</v>
      </c>
      <c r="CU345" s="46" cm="1">
        <f t="array" ref="CU345">SUMPRODUCT(--(BF345:CQ345&lt;1))</f>
        <v>38</v>
      </c>
    </row>
    <row r="346" spans="1:99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46181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 s="3" t="str">
        <f>+IF(AVANCE[[#This Row],[% AVANCE]]=100%,"MODULO TERMINADO",IF(AVANCE[[#This Row],[FECHA INICIO REAL]]="","MODULO NO INICIADO","PENDIENTE"))</f>
        <v>MODULO NO INICIADO</v>
      </c>
      <c r="BF346" s="3">
        <f>+IF(AVANCE[[#This Row],[VENTANAS]]=8.10810810810811%,100%,AVANCE[[#This Row],[VENTANAS]])</f>
        <v>0</v>
      </c>
      <c r="BG346" s="3">
        <f>+IF(AVANCE[[#This Row],[PISO]]=N$2,100%,AVANCE[[#This Row],[PISO]])</f>
        <v>0</v>
      </c>
      <c r="BH346" s="3">
        <f>+IF(AVANCE[[#This Row],[TABIQUES]]=O$2,100%,AVANCE[[#This Row],[TABIQUES]])</f>
        <v>0</v>
      </c>
      <c r="BI346" s="3">
        <f>+IF(AVANCE[[#This Row],[MUROS]]=P$2,100%,AVANCE[[#This Row],[MUROS]])</f>
        <v>0</v>
      </c>
      <c r="BJ346" s="3">
        <f>+IF(AVANCE[[#This Row],[CIELO]]=Q$2,100%,AVANCE[[#This Row],[CIELO]])</f>
        <v>0</v>
      </c>
      <c r="BK346" s="3">
        <f>+IF(AVANCE[[#This Row],[BALCÓN]]=R$2,100%,AVANCE[[#This Row],[BALCÓN]])</f>
        <v>0</v>
      </c>
      <c r="BL346" s="3">
        <f>+IF(AVANCE[[#This Row],[RED ALCANTARILLADO]]=U$2,100%,AVANCE[[#This Row],[RED ALCANTARILLADO]])</f>
        <v>0</v>
      </c>
      <c r="BM346" s="3">
        <f>+IF(AVANCE[[#This Row],[RED DE AGUA]]=V$2,100%,AVANCE[[#This Row],[RED DE AGUA]])</f>
        <v>0</v>
      </c>
      <c r="BN346" s="3">
        <f>+IF(AVANCE[[#This Row],[VENTILACIONES]]=W$2,100%,AVANCE[[#This Row],[VENTILACIONES]])</f>
        <v>0</v>
      </c>
      <c r="BO346" s="3">
        <f>+IF(AVANCE[[#This Row],[TINA]]=X$2,100%,AVANCE[[#This Row],[TINA]])</f>
        <v>0</v>
      </c>
      <c r="BP346" s="3">
        <f>+IF(AVANCE[[#This Row],[WC]]=Y$2,100%,AVANCE[[#This Row],[WC]])</f>
        <v>0</v>
      </c>
      <c r="BQ346" s="3">
        <f>+IF(AVANCE[[#This Row],[LAVAMANOS / LAVAPLATOS / LAVADERO]]=Z$2,100%,AVANCE[[#This Row],[LAVAMANOS / LAVAPLATOS / LAVADERO]])</f>
        <v>0</v>
      </c>
      <c r="BR346" s="3">
        <f>+IF(AVANCE[[#This Row],[CANALIZACIÓN]]=AC$2,100%,AVANCE[[#This Row],[CANALIZACIÓN]])</f>
        <v>0</v>
      </c>
      <c r="BS346" s="3">
        <f>+IF(AVANCE[[#This Row],[CABLEADO]]=AD$2,100%,AVANCE[[#This Row],[CABLEADO]])</f>
        <v>0</v>
      </c>
      <c r="BT346" s="3">
        <f>+IF(AVANCE[[#This Row],[ARTEFACTOS]]=AE$2,100%,AVANCE[[#This Row],[ARTEFACTOS]])</f>
        <v>0</v>
      </c>
      <c r="BU346" s="3">
        <f>+IF(AVANCE[[#This Row],[TABLERO]]=AF$2,100%,AVANCE[[#This Row],[TABLERO]])</f>
        <v>0</v>
      </c>
      <c r="BV346" s="3">
        <f>+IF(AVANCE[[#This Row],[CAJA PAU]]=AG$2,100%,AVANCE[[#This Row],[CAJA PAU]])</f>
        <v>0</v>
      </c>
      <c r="BW346" s="3">
        <f>+IF(AVANCE[[#This Row],[INSTALACION VINILICO]]=AJ$2,100%,AVANCE[[#This Row],[INSTALACION VINILICO]])</f>
        <v>0</v>
      </c>
      <c r="BX346" s="3">
        <f>+IF(AVANCE[[#This Row],[OSB CUBIERTA]]=AK$2,100%,AVANCE[[#This Row],[OSB CUBIERTA]])</f>
        <v>0</v>
      </c>
      <c r="BY346" s="3">
        <f>+IF(AVANCE[[#This Row],[BARANDA BALCON]]=AL$2,100%,AVANCE[[#This Row],[BARANDA BALCON]])</f>
        <v>0</v>
      </c>
      <c r="BZ346" s="3">
        <f>+IF(AVANCE[[#This Row],[OSB EXTERIOR]]=AM$2,100%,AVANCE[[#This Row],[OSB EXTERIOR]])</f>
        <v>0</v>
      </c>
      <c r="CA346" s="3">
        <f>+IF(AVANCE[[#This Row],[SMART PANEL]]=AN$2,100%,AVANCE[[#This Row],[SMART PANEL]])</f>
        <v>0</v>
      </c>
      <c r="CB346" s="3">
        <f>+IF(AVANCE[[#This Row],[PINTURA EXTERIOR]]=AO$2,100%,AVANCE[[#This Row],[PINTURA EXTERIOR]])</f>
        <v>0</v>
      </c>
      <c r="CC346" s="3">
        <f>+IF(AVANCE[[#This Row],[ZOCALOS LOGIA]]=AP$2,100%,AVANCE[[#This Row],[ZOCALOS LOGIA]])</f>
        <v>0</v>
      </c>
      <c r="CD346" s="3">
        <f>+IF(AVANCE[[#This Row],[MOLDURAS]]=AQ$2,100%,AVANCE[[#This Row],[MOLDURAS]])</f>
        <v>0</v>
      </c>
      <c r="CE346" s="3">
        <f>+IF(AVANCE[[#This Row],[PILASTREO]]=AR$2,100%,AVANCE[[#This Row],[PILASTREO]])</f>
        <v>0</v>
      </c>
      <c r="CF346" s="3">
        <f>+IF(AVANCE[[#This Row],[CELOSIAS]]=AS$2,100%,AVANCE[[#This Row],[CELOSIAS]])</f>
        <v>0</v>
      </c>
      <c r="CG346" s="3">
        <f>+IF(AVANCE[[#This Row],[VENTANAS]]=AT$2,100%,AVANCE[[#This Row],[VENTANAS]])</f>
        <v>0</v>
      </c>
      <c r="CH346" s="3">
        <f>+IF(AVANCE[[#This Row],[PUERTAS ACCESO - LOGIA - BANO]]=AU$2,100%,AVANCE[[#This Row],[PUERTAS ACCESO - LOGIA - BANO]])</f>
        <v>0</v>
      </c>
      <c r="CI346" s="3">
        <f>+IF(AVANCE[[#This Row],[CERRADURAS]]=AV$2,100%,AVANCE[[#This Row],[CERRADURAS]])</f>
        <v>0</v>
      </c>
      <c r="CJ346" s="3">
        <f>+IF(AVANCE[[#This Row],[REVESTIMIENTO INTERIOR ZONA SECA]]=AW$2,100%,AVANCE[[#This Row],[REVESTIMIENTO INTERIOR ZONA SECA]])</f>
        <v>0</v>
      </c>
      <c r="CK346" s="3">
        <f>+IF(AVANCE[[#This Row],[REVESTIMIENTO INTERIOR ZONAS HUMEDAS]]=AX$2,100%,AVANCE[[#This Row],[REVESTIMIENTO INTERIOR ZONAS HUMEDAS]])</f>
        <v>0</v>
      </c>
      <c r="CL346" s="3">
        <f>+IF(AVANCE[[#This Row],[MEMBRANA CIELO]]=AY$2,100%,AVANCE[[#This Row],[MEMBRANA CIELO]])</f>
        <v>0</v>
      </c>
      <c r="CM346" s="3">
        <f>+IF(AVANCE[[#This Row],[LIMPIEZA FINAL]]=AZ$2,100%,AVANCE[[#This Row],[LIMPIEZA FINAL]])</f>
        <v>0</v>
      </c>
      <c r="CN346" s="3">
        <f>+IF(AVANCE[[#This Row],[PUERTAS DORMITORIO]]=BA$2,100%,AVANCE[[#This Row],[PUERTAS DORMITORIO]])</f>
        <v>0</v>
      </c>
      <c r="CO346" s="3">
        <f>+IF(AVANCE[[#This Row],[REVESTIMIENTO INTERIOR BANO]]=BB$2,100%,AVANCE[[#This Row],[REVESTIMIENTO INTERIOR BANO]])</f>
        <v>0</v>
      </c>
      <c r="CP346" s="3">
        <f>+IF(AVANCE[[#This Row],[MUEBLE LAVAPLATOS]]=BC$2,100%,AVANCE[[#This Row],[MUEBLE LAVAPLATOS]])</f>
        <v>0</v>
      </c>
      <c r="CQ346" s="3">
        <f>+IF(AVANCE[[#This Row],[IMPERMEABILIZACION BANO - COCINA LOGIA]]=BD$2,100%,AVANCE[[#This Row],[IMPERMEABILIZACION BANO - COCINA LOGIA]])</f>
        <v>0</v>
      </c>
      <c r="CR346" s="40">
        <f ca="1">+IF(AVANCE[[#This Row],[ESTADO MODULO]]="PENDIENTE",(TODAY()-AVANCE[[#This Row],[FECHA TERMINO  PLANIFICADO]]),0)</f>
        <v>0</v>
      </c>
      <c r="CS346" s="42" t="str" cm="1">
        <f t="array" ref="CS346">_xlfn.TEXTJOIN(" | ",TRUE,IF(SUMPRODUCT((BF346:CQ346&lt;1)*(PARTIDAS!$I$2:$AT$2="OBRA GRUESA"))&gt;0,"OBRA GRUESA: "&amp;_xlfn.TEXTJOIN(", ",TRUE,IF((BF346:CQ346&lt;1)*(PARTIDAS!$I$2:$AT$2="OBRA GRUESA"),PARTIDAS!$I$1:$AT$1,"")),""),IF(SUMPRODUCT((BF346:CQ346&lt;1)*(PARTIDAS!$I$2:$AT$2="SANITARIOS"))&gt;0,"SANITARIOS: "&amp;_xlfn.TEXTJOIN(", ",TRUE,IF((BF346:CQ346&lt;1)*(PARTIDAS!$I$2:$AT$2="SANITARIOS"),PARTIDAS!$I$1:$AT$1,"")),""),IF(SUMPRODUCT((BF346:CQ346&lt;1)*(PARTIDAS!$I$2:$AT$2="ELÉCTRICO"))&gt;0,"ELÉCTRICO: "&amp;_xlfn.TEXTJOIN(", ",TRUE,IF((BF346:CQ346&lt;1)*(PARTIDAS!$I$2:$AT$2="ELÉCTRICO"),PARTIDAS!$I$1:$AT$1,"")),""),IF(SUMPRODUCT((BF346:CQ346&lt;1)*(PARTIDAS!$I$2:$AT$2="TERMINACIONES"))&gt;0,"TERMINACIONES: "&amp;_xlfn.TEXTJOIN(", ",TRUE,IF((BF346:CQ346&lt;1)*(PARTIDAS!$I$2:$AT$2="TERMINACIONES"),PARTIDAS!$I$1:$AT$1,"")),""))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6" s="45" t="str" cm="1">
        <f t="array" ref="CT346">_xlfn.TEXTJOIN(", ",TRUE,IF(SUMPRODUCT((BF346:CQ346&lt;1)*(PARTIDAS!$I$2:$AT$2="OBRA GRUESA"))&gt;0,"OBRA GRUESA",""),IF(SUMPRODUCT((BF346:CQ346&lt;1)*(PARTIDAS!$I$2:$AT$2="SANITARIOS"))&gt;0,"SANITARIOS",""),IF(SUMPRODUCT((BF346:CQ346&lt;1)*(PARTIDAS!$I$2:$AT$2="ELÉCTRICO"))&gt;0,"ELÉCTRICO",""),IF(SUMPRODUCT((BF346:CQ346&lt;1)*(PARTIDAS!$I$2:$AT$2="TERMINACIONES"))&gt;0,"TERMINACIONES",""))</f>
        <v>OBRA GRUESA, SANITARIOS, ELÉCTRICO, TERMINACIONES</v>
      </c>
      <c r="CU346" s="46" cm="1">
        <f t="array" ref="CU346">SUMPRODUCT(--(BF346:CQ346&lt;1))</f>
        <v>38</v>
      </c>
    </row>
    <row r="347" spans="1:99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46181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 s="3" t="str">
        <f>+IF(AVANCE[[#This Row],[% AVANCE]]=100%,"MODULO TERMINADO",IF(AVANCE[[#This Row],[FECHA INICIO REAL]]="","MODULO NO INICIADO","PENDIENTE"))</f>
        <v>MODULO NO INICIADO</v>
      </c>
      <c r="BF347" s="3">
        <f>+IF(AVANCE[[#This Row],[VENTANAS]]=8.10810810810811%,100%,AVANCE[[#This Row],[VENTANAS]])</f>
        <v>0</v>
      </c>
      <c r="BG347" s="3">
        <f>+IF(AVANCE[[#This Row],[PISO]]=N$2,100%,AVANCE[[#This Row],[PISO]])</f>
        <v>0</v>
      </c>
      <c r="BH347" s="3">
        <f>+IF(AVANCE[[#This Row],[TABIQUES]]=O$2,100%,AVANCE[[#This Row],[TABIQUES]])</f>
        <v>0</v>
      </c>
      <c r="BI347" s="3">
        <f>+IF(AVANCE[[#This Row],[MUROS]]=P$2,100%,AVANCE[[#This Row],[MUROS]])</f>
        <v>0</v>
      </c>
      <c r="BJ347" s="3">
        <f>+IF(AVANCE[[#This Row],[CIELO]]=Q$2,100%,AVANCE[[#This Row],[CIELO]])</f>
        <v>0</v>
      </c>
      <c r="BK347" s="3">
        <f>+IF(AVANCE[[#This Row],[BALCÓN]]=R$2,100%,AVANCE[[#This Row],[BALCÓN]])</f>
        <v>0</v>
      </c>
      <c r="BL347" s="3">
        <f>+IF(AVANCE[[#This Row],[RED ALCANTARILLADO]]=U$2,100%,AVANCE[[#This Row],[RED ALCANTARILLADO]])</f>
        <v>0</v>
      </c>
      <c r="BM347" s="3">
        <f>+IF(AVANCE[[#This Row],[RED DE AGUA]]=V$2,100%,AVANCE[[#This Row],[RED DE AGUA]])</f>
        <v>0</v>
      </c>
      <c r="BN347" s="3">
        <f>+IF(AVANCE[[#This Row],[VENTILACIONES]]=W$2,100%,AVANCE[[#This Row],[VENTILACIONES]])</f>
        <v>0</v>
      </c>
      <c r="BO347" s="3">
        <f>+IF(AVANCE[[#This Row],[TINA]]=X$2,100%,AVANCE[[#This Row],[TINA]])</f>
        <v>0</v>
      </c>
      <c r="BP347" s="3">
        <f>+IF(AVANCE[[#This Row],[WC]]=Y$2,100%,AVANCE[[#This Row],[WC]])</f>
        <v>0</v>
      </c>
      <c r="BQ347" s="3">
        <f>+IF(AVANCE[[#This Row],[LAVAMANOS / LAVAPLATOS / LAVADERO]]=Z$2,100%,AVANCE[[#This Row],[LAVAMANOS / LAVAPLATOS / LAVADERO]])</f>
        <v>0</v>
      </c>
      <c r="BR347" s="3">
        <f>+IF(AVANCE[[#This Row],[CANALIZACIÓN]]=AC$2,100%,AVANCE[[#This Row],[CANALIZACIÓN]])</f>
        <v>0</v>
      </c>
      <c r="BS347" s="3">
        <f>+IF(AVANCE[[#This Row],[CABLEADO]]=AD$2,100%,AVANCE[[#This Row],[CABLEADO]])</f>
        <v>0</v>
      </c>
      <c r="BT347" s="3">
        <f>+IF(AVANCE[[#This Row],[ARTEFACTOS]]=AE$2,100%,AVANCE[[#This Row],[ARTEFACTOS]])</f>
        <v>0</v>
      </c>
      <c r="BU347" s="3">
        <f>+IF(AVANCE[[#This Row],[TABLERO]]=AF$2,100%,AVANCE[[#This Row],[TABLERO]])</f>
        <v>0</v>
      </c>
      <c r="BV347" s="3">
        <f>+IF(AVANCE[[#This Row],[CAJA PAU]]=AG$2,100%,AVANCE[[#This Row],[CAJA PAU]])</f>
        <v>0</v>
      </c>
      <c r="BW347" s="3">
        <f>+IF(AVANCE[[#This Row],[INSTALACION VINILICO]]=AJ$2,100%,AVANCE[[#This Row],[INSTALACION VINILICO]])</f>
        <v>0</v>
      </c>
      <c r="BX347" s="3">
        <f>+IF(AVANCE[[#This Row],[OSB CUBIERTA]]=AK$2,100%,AVANCE[[#This Row],[OSB CUBIERTA]])</f>
        <v>0</v>
      </c>
      <c r="BY347" s="3">
        <f>+IF(AVANCE[[#This Row],[BARANDA BALCON]]=AL$2,100%,AVANCE[[#This Row],[BARANDA BALCON]])</f>
        <v>0</v>
      </c>
      <c r="BZ347" s="3">
        <f>+IF(AVANCE[[#This Row],[OSB EXTERIOR]]=AM$2,100%,AVANCE[[#This Row],[OSB EXTERIOR]])</f>
        <v>0</v>
      </c>
      <c r="CA347" s="3">
        <f>+IF(AVANCE[[#This Row],[SMART PANEL]]=AN$2,100%,AVANCE[[#This Row],[SMART PANEL]])</f>
        <v>0</v>
      </c>
      <c r="CB347" s="3">
        <f>+IF(AVANCE[[#This Row],[PINTURA EXTERIOR]]=AO$2,100%,AVANCE[[#This Row],[PINTURA EXTERIOR]])</f>
        <v>0</v>
      </c>
      <c r="CC347" s="3">
        <f>+IF(AVANCE[[#This Row],[ZOCALOS LOGIA]]=AP$2,100%,AVANCE[[#This Row],[ZOCALOS LOGIA]])</f>
        <v>0</v>
      </c>
      <c r="CD347" s="3">
        <f>+IF(AVANCE[[#This Row],[MOLDURAS]]=AQ$2,100%,AVANCE[[#This Row],[MOLDURAS]])</f>
        <v>0</v>
      </c>
      <c r="CE347" s="3">
        <f>+IF(AVANCE[[#This Row],[PILASTREO]]=AR$2,100%,AVANCE[[#This Row],[PILASTREO]])</f>
        <v>0</v>
      </c>
      <c r="CF347" s="3">
        <f>+IF(AVANCE[[#This Row],[CELOSIAS]]=AS$2,100%,AVANCE[[#This Row],[CELOSIAS]])</f>
        <v>0</v>
      </c>
      <c r="CG347" s="3">
        <f>+IF(AVANCE[[#This Row],[VENTANAS]]=AT$2,100%,AVANCE[[#This Row],[VENTANAS]])</f>
        <v>0</v>
      </c>
      <c r="CH347" s="3">
        <f>+IF(AVANCE[[#This Row],[PUERTAS ACCESO - LOGIA - BANO]]=AU$2,100%,AVANCE[[#This Row],[PUERTAS ACCESO - LOGIA - BANO]])</f>
        <v>0</v>
      </c>
      <c r="CI347" s="3">
        <f>+IF(AVANCE[[#This Row],[CERRADURAS]]=AV$2,100%,AVANCE[[#This Row],[CERRADURAS]])</f>
        <v>0</v>
      </c>
      <c r="CJ347" s="3">
        <f>+IF(AVANCE[[#This Row],[REVESTIMIENTO INTERIOR ZONA SECA]]=AW$2,100%,AVANCE[[#This Row],[REVESTIMIENTO INTERIOR ZONA SECA]])</f>
        <v>0</v>
      </c>
      <c r="CK347" s="3">
        <f>+IF(AVANCE[[#This Row],[REVESTIMIENTO INTERIOR ZONAS HUMEDAS]]=AX$2,100%,AVANCE[[#This Row],[REVESTIMIENTO INTERIOR ZONAS HUMEDAS]])</f>
        <v>0</v>
      </c>
      <c r="CL347" s="3">
        <f>+IF(AVANCE[[#This Row],[MEMBRANA CIELO]]=AY$2,100%,AVANCE[[#This Row],[MEMBRANA CIELO]])</f>
        <v>0</v>
      </c>
      <c r="CM347" s="3">
        <f>+IF(AVANCE[[#This Row],[LIMPIEZA FINAL]]=AZ$2,100%,AVANCE[[#This Row],[LIMPIEZA FINAL]])</f>
        <v>0</v>
      </c>
      <c r="CN347" s="3">
        <f>+IF(AVANCE[[#This Row],[PUERTAS DORMITORIO]]=BA$2,100%,AVANCE[[#This Row],[PUERTAS DORMITORIO]])</f>
        <v>0</v>
      </c>
      <c r="CO347" s="3">
        <f>+IF(AVANCE[[#This Row],[REVESTIMIENTO INTERIOR BANO]]=BB$2,100%,AVANCE[[#This Row],[REVESTIMIENTO INTERIOR BANO]])</f>
        <v>0</v>
      </c>
      <c r="CP347" s="3">
        <f>+IF(AVANCE[[#This Row],[MUEBLE LAVAPLATOS]]=BC$2,100%,AVANCE[[#This Row],[MUEBLE LAVAPLATOS]])</f>
        <v>0</v>
      </c>
      <c r="CQ347" s="3">
        <f>+IF(AVANCE[[#This Row],[IMPERMEABILIZACION BANO - COCINA LOGIA]]=BD$2,100%,AVANCE[[#This Row],[IMPERMEABILIZACION BANO - COCINA LOGIA]])</f>
        <v>0</v>
      </c>
      <c r="CR347" s="40">
        <f ca="1">+IF(AVANCE[[#This Row],[ESTADO MODULO]]="PENDIENTE",(TODAY()-AVANCE[[#This Row],[FECHA TERMINO  PLANIFICADO]]),0)</f>
        <v>0</v>
      </c>
      <c r="CS347" s="42" t="str" cm="1">
        <f t="array" ref="CS347">_xlfn.TEXTJOIN(" | ",TRUE,IF(SUMPRODUCT((BF347:CQ347&lt;1)*(PARTIDAS!$I$2:$AT$2="OBRA GRUESA"))&gt;0,"OBRA GRUESA: "&amp;_xlfn.TEXTJOIN(", ",TRUE,IF((BF347:CQ347&lt;1)*(PARTIDAS!$I$2:$AT$2="OBRA GRUESA"),PARTIDAS!$I$1:$AT$1,"")),""),IF(SUMPRODUCT((BF347:CQ347&lt;1)*(PARTIDAS!$I$2:$AT$2="SANITARIOS"))&gt;0,"SANITARIOS: "&amp;_xlfn.TEXTJOIN(", ",TRUE,IF((BF347:CQ347&lt;1)*(PARTIDAS!$I$2:$AT$2="SANITARIOS"),PARTIDAS!$I$1:$AT$1,"")),""),IF(SUMPRODUCT((BF347:CQ347&lt;1)*(PARTIDAS!$I$2:$AT$2="ELÉCTRICO"))&gt;0,"ELÉCTRICO: "&amp;_xlfn.TEXTJOIN(", ",TRUE,IF((BF347:CQ347&lt;1)*(PARTIDAS!$I$2:$AT$2="ELÉCTRICO"),PARTIDAS!$I$1:$AT$1,"")),""),IF(SUMPRODUCT((BF347:CQ347&lt;1)*(PARTIDAS!$I$2:$AT$2="TERMINACIONES"))&gt;0,"TERMINACIONES: "&amp;_xlfn.TEXTJOIN(", ",TRUE,IF((BF347:CQ347&lt;1)*(PARTIDAS!$I$2:$AT$2="TERMINACIONES"),PARTIDAS!$I$1:$AT$1,"")),""))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7" s="45" t="str" cm="1">
        <f t="array" ref="CT347">_xlfn.TEXTJOIN(", ",TRUE,IF(SUMPRODUCT((BF347:CQ347&lt;1)*(PARTIDAS!$I$2:$AT$2="OBRA GRUESA"))&gt;0,"OBRA GRUESA",""),IF(SUMPRODUCT((BF347:CQ347&lt;1)*(PARTIDAS!$I$2:$AT$2="SANITARIOS"))&gt;0,"SANITARIOS",""),IF(SUMPRODUCT((BF347:CQ347&lt;1)*(PARTIDAS!$I$2:$AT$2="ELÉCTRICO"))&gt;0,"ELÉCTRICO",""),IF(SUMPRODUCT((BF347:CQ347&lt;1)*(PARTIDAS!$I$2:$AT$2="TERMINACIONES"))&gt;0,"TERMINACIONES",""))</f>
        <v>OBRA GRUESA, SANITARIOS, ELÉCTRICO, TERMINACIONES</v>
      </c>
      <c r="CU347" s="46" cm="1">
        <f t="array" ref="CU347">SUMPRODUCT(--(BF347:CQ347&lt;1))</f>
        <v>38</v>
      </c>
    </row>
    <row r="348" spans="1:99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46181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 s="3" t="str">
        <f>+IF(AVANCE[[#This Row],[% AVANCE]]=100%,"MODULO TERMINADO",IF(AVANCE[[#This Row],[FECHA INICIO REAL]]="","MODULO NO INICIADO","PENDIENTE"))</f>
        <v>MODULO NO INICIADO</v>
      </c>
      <c r="BF348" s="3">
        <f>+IF(AVANCE[[#This Row],[VENTANAS]]=8.10810810810811%,100%,AVANCE[[#This Row],[VENTANAS]])</f>
        <v>0</v>
      </c>
      <c r="BG348" s="3">
        <f>+IF(AVANCE[[#This Row],[PISO]]=N$2,100%,AVANCE[[#This Row],[PISO]])</f>
        <v>0</v>
      </c>
      <c r="BH348" s="3">
        <f>+IF(AVANCE[[#This Row],[TABIQUES]]=O$2,100%,AVANCE[[#This Row],[TABIQUES]])</f>
        <v>0</v>
      </c>
      <c r="BI348" s="3">
        <f>+IF(AVANCE[[#This Row],[MUROS]]=P$2,100%,AVANCE[[#This Row],[MUROS]])</f>
        <v>0</v>
      </c>
      <c r="BJ348" s="3">
        <f>+IF(AVANCE[[#This Row],[CIELO]]=Q$2,100%,AVANCE[[#This Row],[CIELO]])</f>
        <v>0</v>
      </c>
      <c r="BK348" s="3">
        <f>+IF(AVANCE[[#This Row],[BALCÓN]]=R$2,100%,AVANCE[[#This Row],[BALCÓN]])</f>
        <v>0</v>
      </c>
      <c r="BL348" s="3">
        <f>+IF(AVANCE[[#This Row],[RED ALCANTARILLADO]]=U$2,100%,AVANCE[[#This Row],[RED ALCANTARILLADO]])</f>
        <v>0</v>
      </c>
      <c r="BM348" s="3">
        <f>+IF(AVANCE[[#This Row],[RED DE AGUA]]=V$2,100%,AVANCE[[#This Row],[RED DE AGUA]])</f>
        <v>0</v>
      </c>
      <c r="BN348" s="3">
        <f>+IF(AVANCE[[#This Row],[VENTILACIONES]]=W$2,100%,AVANCE[[#This Row],[VENTILACIONES]])</f>
        <v>0</v>
      </c>
      <c r="BO348" s="3">
        <f>+IF(AVANCE[[#This Row],[TINA]]=X$2,100%,AVANCE[[#This Row],[TINA]])</f>
        <v>0</v>
      </c>
      <c r="BP348" s="3">
        <f>+IF(AVANCE[[#This Row],[WC]]=Y$2,100%,AVANCE[[#This Row],[WC]])</f>
        <v>0</v>
      </c>
      <c r="BQ348" s="3">
        <f>+IF(AVANCE[[#This Row],[LAVAMANOS / LAVAPLATOS / LAVADERO]]=Z$2,100%,AVANCE[[#This Row],[LAVAMANOS / LAVAPLATOS / LAVADERO]])</f>
        <v>0</v>
      </c>
      <c r="BR348" s="3">
        <f>+IF(AVANCE[[#This Row],[CANALIZACIÓN]]=AC$2,100%,AVANCE[[#This Row],[CANALIZACIÓN]])</f>
        <v>0</v>
      </c>
      <c r="BS348" s="3">
        <f>+IF(AVANCE[[#This Row],[CABLEADO]]=AD$2,100%,AVANCE[[#This Row],[CABLEADO]])</f>
        <v>0</v>
      </c>
      <c r="BT348" s="3">
        <f>+IF(AVANCE[[#This Row],[ARTEFACTOS]]=AE$2,100%,AVANCE[[#This Row],[ARTEFACTOS]])</f>
        <v>0</v>
      </c>
      <c r="BU348" s="3">
        <f>+IF(AVANCE[[#This Row],[TABLERO]]=AF$2,100%,AVANCE[[#This Row],[TABLERO]])</f>
        <v>0</v>
      </c>
      <c r="BV348" s="3">
        <f>+IF(AVANCE[[#This Row],[CAJA PAU]]=AG$2,100%,AVANCE[[#This Row],[CAJA PAU]])</f>
        <v>0</v>
      </c>
      <c r="BW348" s="3">
        <f>+IF(AVANCE[[#This Row],[INSTALACION VINILICO]]=AJ$2,100%,AVANCE[[#This Row],[INSTALACION VINILICO]])</f>
        <v>0</v>
      </c>
      <c r="BX348" s="3">
        <f>+IF(AVANCE[[#This Row],[OSB CUBIERTA]]=AK$2,100%,AVANCE[[#This Row],[OSB CUBIERTA]])</f>
        <v>0</v>
      </c>
      <c r="BY348" s="3">
        <f>+IF(AVANCE[[#This Row],[BARANDA BALCON]]=AL$2,100%,AVANCE[[#This Row],[BARANDA BALCON]])</f>
        <v>0</v>
      </c>
      <c r="BZ348" s="3">
        <f>+IF(AVANCE[[#This Row],[OSB EXTERIOR]]=AM$2,100%,AVANCE[[#This Row],[OSB EXTERIOR]])</f>
        <v>0</v>
      </c>
      <c r="CA348" s="3">
        <f>+IF(AVANCE[[#This Row],[SMART PANEL]]=AN$2,100%,AVANCE[[#This Row],[SMART PANEL]])</f>
        <v>0</v>
      </c>
      <c r="CB348" s="3">
        <f>+IF(AVANCE[[#This Row],[PINTURA EXTERIOR]]=AO$2,100%,AVANCE[[#This Row],[PINTURA EXTERIOR]])</f>
        <v>0</v>
      </c>
      <c r="CC348" s="3">
        <f>+IF(AVANCE[[#This Row],[ZOCALOS LOGIA]]=AP$2,100%,AVANCE[[#This Row],[ZOCALOS LOGIA]])</f>
        <v>0</v>
      </c>
      <c r="CD348" s="3">
        <f>+IF(AVANCE[[#This Row],[MOLDURAS]]=AQ$2,100%,AVANCE[[#This Row],[MOLDURAS]])</f>
        <v>0</v>
      </c>
      <c r="CE348" s="3">
        <f>+IF(AVANCE[[#This Row],[PILASTREO]]=AR$2,100%,AVANCE[[#This Row],[PILASTREO]])</f>
        <v>0</v>
      </c>
      <c r="CF348" s="3">
        <f>+IF(AVANCE[[#This Row],[CELOSIAS]]=AS$2,100%,AVANCE[[#This Row],[CELOSIAS]])</f>
        <v>0</v>
      </c>
      <c r="CG348" s="3">
        <f>+IF(AVANCE[[#This Row],[VENTANAS]]=AT$2,100%,AVANCE[[#This Row],[VENTANAS]])</f>
        <v>0</v>
      </c>
      <c r="CH348" s="3">
        <f>+IF(AVANCE[[#This Row],[PUERTAS ACCESO - LOGIA - BANO]]=AU$2,100%,AVANCE[[#This Row],[PUERTAS ACCESO - LOGIA - BANO]])</f>
        <v>0</v>
      </c>
      <c r="CI348" s="3">
        <f>+IF(AVANCE[[#This Row],[CERRADURAS]]=AV$2,100%,AVANCE[[#This Row],[CERRADURAS]])</f>
        <v>0</v>
      </c>
      <c r="CJ348" s="3">
        <f>+IF(AVANCE[[#This Row],[REVESTIMIENTO INTERIOR ZONA SECA]]=AW$2,100%,AVANCE[[#This Row],[REVESTIMIENTO INTERIOR ZONA SECA]])</f>
        <v>0</v>
      </c>
      <c r="CK348" s="3">
        <f>+IF(AVANCE[[#This Row],[REVESTIMIENTO INTERIOR ZONAS HUMEDAS]]=AX$2,100%,AVANCE[[#This Row],[REVESTIMIENTO INTERIOR ZONAS HUMEDAS]])</f>
        <v>0</v>
      </c>
      <c r="CL348" s="3">
        <f>+IF(AVANCE[[#This Row],[MEMBRANA CIELO]]=AY$2,100%,AVANCE[[#This Row],[MEMBRANA CIELO]])</f>
        <v>0</v>
      </c>
      <c r="CM348" s="3">
        <f>+IF(AVANCE[[#This Row],[LIMPIEZA FINAL]]=AZ$2,100%,AVANCE[[#This Row],[LIMPIEZA FINAL]])</f>
        <v>0</v>
      </c>
      <c r="CN348" s="3">
        <f>+IF(AVANCE[[#This Row],[PUERTAS DORMITORIO]]=BA$2,100%,AVANCE[[#This Row],[PUERTAS DORMITORIO]])</f>
        <v>0</v>
      </c>
      <c r="CO348" s="3">
        <f>+IF(AVANCE[[#This Row],[REVESTIMIENTO INTERIOR BANO]]=BB$2,100%,AVANCE[[#This Row],[REVESTIMIENTO INTERIOR BANO]])</f>
        <v>0</v>
      </c>
      <c r="CP348" s="3">
        <f>+IF(AVANCE[[#This Row],[MUEBLE LAVAPLATOS]]=BC$2,100%,AVANCE[[#This Row],[MUEBLE LAVAPLATOS]])</f>
        <v>0</v>
      </c>
      <c r="CQ348" s="3">
        <f>+IF(AVANCE[[#This Row],[IMPERMEABILIZACION BANO - COCINA LOGIA]]=BD$2,100%,AVANCE[[#This Row],[IMPERMEABILIZACION BANO - COCINA LOGIA]])</f>
        <v>0</v>
      </c>
      <c r="CR348" s="40">
        <f ca="1">+IF(AVANCE[[#This Row],[ESTADO MODULO]]="PENDIENTE",(TODAY()-AVANCE[[#This Row],[FECHA TERMINO  PLANIFICADO]]),0)</f>
        <v>0</v>
      </c>
      <c r="CS348" s="42" t="str" cm="1">
        <f t="array" ref="CS348">_xlfn.TEXTJOIN(" | ",TRUE,IF(SUMPRODUCT((BF348:CQ348&lt;1)*(PARTIDAS!$I$2:$AT$2="OBRA GRUESA"))&gt;0,"OBRA GRUESA: "&amp;_xlfn.TEXTJOIN(", ",TRUE,IF((BF348:CQ348&lt;1)*(PARTIDAS!$I$2:$AT$2="OBRA GRUESA"),PARTIDAS!$I$1:$AT$1,"")),""),IF(SUMPRODUCT((BF348:CQ348&lt;1)*(PARTIDAS!$I$2:$AT$2="SANITARIOS"))&gt;0,"SANITARIOS: "&amp;_xlfn.TEXTJOIN(", ",TRUE,IF((BF348:CQ348&lt;1)*(PARTIDAS!$I$2:$AT$2="SANITARIOS"),PARTIDAS!$I$1:$AT$1,"")),""),IF(SUMPRODUCT((BF348:CQ348&lt;1)*(PARTIDAS!$I$2:$AT$2="ELÉCTRICO"))&gt;0,"ELÉCTRICO: "&amp;_xlfn.TEXTJOIN(", ",TRUE,IF((BF348:CQ348&lt;1)*(PARTIDAS!$I$2:$AT$2="ELÉCTRICO"),PARTIDAS!$I$1:$AT$1,"")),""),IF(SUMPRODUCT((BF348:CQ348&lt;1)*(PARTIDAS!$I$2:$AT$2="TERMINACIONES"))&gt;0,"TERMINACIONES: "&amp;_xlfn.TEXTJOIN(", ",TRUE,IF((BF348:CQ348&lt;1)*(PARTIDAS!$I$2:$AT$2="TERMINACIONES"),PARTIDAS!$I$1:$AT$1,"")),""))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8" s="45" t="str" cm="1">
        <f t="array" ref="CT348">_xlfn.TEXTJOIN(", ",TRUE,IF(SUMPRODUCT((BF348:CQ348&lt;1)*(PARTIDAS!$I$2:$AT$2="OBRA GRUESA"))&gt;0,"OBRA GRUESA",""),IF(SUMPRODUCT((BF348:CQ348&lt;1)*(PARTIDAS!$I$2:$AT$2="SANITARIOS"))&gt;0,"SANITARIOS",""),IF(SUMPRODUCT((BF348:CQ348&lt;1)*(PARTIDAS!$I$2:$AT$2="ELÉCTRICO"))&gt;0,"ELÉCTRICO",""),IF(SUMPRODUCT((BF348:CQ348&lt;1)*(PARTIDAS!$I$2:$AT$2="TERMINACIONES"))&gt;0,"TERMINACIONES",""))</f>
        <v>OBRA GRUESA, SANITARIOS, ELÉCTRICO, TERMINACIONES</v>
      </c>
      <c r="CU348" s="46" cm="1">
        <f t="array" ref="CU348">SUMPRODUCT(--(BF348:CQ348&lt;1))</f>
        <v>38</v>
      </c>
    </row>
    <row r="349" spans="1:99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46181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 s="3" t="str">
        <f>+IF(AVANCE[[#This Row],[% AVANCE]]=100%,"MODULO TERMINADO",IF(AVANCE[[#This Row],[FECHA INICIO REAL]]="","MODULO NO INICIADO","PENDIENTE"))</f>
        <v>MODULO NO INICIADO</v>
      </c>
      <c r="BF349" s="3">
        <f>+IF(AVANCE[[#This Row],[VENTANAS]]=8.10810810810811%,100%,AVANCE[[#This Row],[VENTANAS]])</f>
        <v>0</v>
      </c>
      <c r="BG349" s="3">
        <f>+IF(AVANCE[[#This Row],[PISO]]=N$2,100%,AVANCE[[#This Row],[PISO]])</f>
        <v>0</v>
      </c>
      <c r="BH349" s="3">
        <f>+IF(AVANCE[[#This Row],[TABIQUES]]=O$2,100%,AVANCE[[#This Row],[TABIQUES]])</f>
        <v>0</v>
      </c>
      <c r="BI349" s="3">
        <f>+IF(AVANCE[[#This Row],[MUROS]]=P$2,100%,AVANCE[[#This Row],[MUROS]])</f>
        <v>0</v>
      </c>
      <c r="BJ349" s="3">
        <f>+IF(AVANCE[[#This Row],[CIELO]]=Q$2,100%,AVANCE[[#This Row],[CIELO]])</f>
        <v>0</v>
      </c>
      <c r="BK349" s="3">
        <f>+IF(AVANCE[[#This Row],[BALCÓN]]=R$2,100%,AVANCE[[#This Row],[BALCÓN]])</f>
        <v>0</v>
      </c>
      <c r="BL349" s="3">
        <f>+IF(AVANCE[[#This Row],[RED ALCANTARILLADO]]=U$2,100%,AVANCE[[#This Row],[RED ALCANTARILLADO]])</f>
        <v>0</v>
      </c>
      <c r="BM349" s="3">
        <f>+IF(AVANCE[[#This Row],[RED DE AGUA]]=V$2,100%,AVANCE[[#This Row],[RED DE AGUA]])</f>
        <v>0</v>
      </c>
      <c r="BN349" s="3">
        <f>+IF(AVANCE[[#This Row],[VENTILACIONES]]=W$2,100%,AVANCE[[#This Row],[VENTILACIONES]])</f>
        <v>0</v>
      </c>
      <c r="BO349" s="3">
        <f>+IF(AVANCE[[#This Row],[TINA]]=X$2,100%,AVANCE[[#This Row],[TINA]])</f>
        <v>0</v>
      </c>
      <c r="BP349" s="3">
        <f>+IF(AVANCE[[#This Row],[WC]]=Y$2,100%,AVANCE[[#This Row],[WC]])</f>
        <v>0</v>
      </c>
      <c r="BQ349" s="3">
        <f>+IF(AVANCE[[#This Row],[LAVAMANOS / LAVAPLATOS / LAVADERO]]=Z$2,100%,AVANCE[[#This Row],[LAVAMANOS / LAVAPLATOS / LAVADERO]])</f>
        <v>0</v>
      </c>
      <c r="BR349" s="3">
        <f>+IF(AVANCE[[#This Row],[CANALIZACIÓN]]=AC$2,100%,AVANCE[[#This Row],[CANALIZACIÓN]])</f>
        <v>0</v>
      </c>
      <c r="BS349" s="3">
        <f>+IF(AVANCE[[#This Row],[CABLEADO]]=AD$2,100%,AVANCE[[#This Row],[CABLEADO]])</f>
        <v>0</v>
      </c>
      <c r="BT349" s="3">
        <f>+IF(AVANCE[[#This Row],[ARTEFACTOS]]=AE$2,100%,AVANCE[[#This Row],[ARTEFACTOS]])</f>
        <v>0</v>
      </c>
      <c r="BU349" s="3">
        <f>+IF(AVANCE[[#This Row],[TABLERO]]=AF$2,100%,AVANCE[[#This Row],[TABLERO]])</f>
        <v>0</v>
      </c>
      <c r="BV349" s="3">
        <f>+IF(AVANCE[[#This Row],[CAJA PAU]]=AG$2,100%,AVANCE[[#This Row],[CAJA PAU]])</f>
        <v>0</v>
      </c>
      <c r="BW349" s="3">
        <f>+IF(AVANCE[[#This Row],[INSTALACION VINILICO]]=AJ$2,100%,AVANCE[[#This Row],[INSTALACION VINILICO]])</f>
        <v>0</v>
      </c>
      <c r="BX349" s="3">
        <f>+IF(AVANCE[[#This Row],[OSB CUBIERTA]]=AK$2,100%,AVANCE[[#This Row],[OSB CUBIERTA]])</f>
        <v>0</v>
      </c>
      <c r="BY349" s="3">
        <f>+IF(AVANCE[[#This Row],[BARANDA BALCON]]=AL$2,100%,AVANCE[[#This Row],[BARANDA BALCON]])</f>
        <v>0</v>
      </c>
      <c r="BZ349" s="3">
        <f>+IF(AVANCE[[#This Row],[OSB EXTERIOR]]=AM$2,100%,AVANCE[[#This Row],[OSB EXTERIOR]])</f>
        <v>0</v>
      </c>
      <c r="CA349" s="3">
        <f>+IF(AVANCE[[#This Row],[SMART PANEL]]=AN$2,100%,AVANCE[[#This Row],[SMART PANEL]])</f>
        <v>0</v>
      </c>
      <c r="CB349" s="3">
        <f>+IF(AVANCE[[#This Row],[PINTURA EXTERIOR]]=AO$2,100%,AVANCE[[#This Row],[PINTURA EXTERIOR]])</f>
        <v>0</v>
      </c>
      <c r="CC349" s="3">
        <f>+IF(AVANCE[[#This Row],[ZOCALOS LOGIA]]=AP$2,100%,AVANCE[[#This Row],[ZOCALOS LOGIA]])</f>
        <v>0</v>
      </c>
      <c r="CD349" s="3">
        <f>+IF(AVANCE[[#This Row],[MOLDURAS]]=AQ$2,100%,AVANCE[[#This Row],[MOLDURAS]])</f>
        <v>0</v>
      </c>
      <c r="CE349" s="3">
        <f>+IF(AVANCE[[#This Row],[PILASTREO]]=AR$2,100%,AVANCE[[#This Row],[PILASTREO]])</f>
        <v>0</v>
      </c>
      <c r="CF349" s="3">
        <f>+IF(AVANCE[[#This Row],[CELOSIAS]]=AS$2,100%,AVANCE[[#This Row],[CELOSIAS]])</f>
        <v>0</v>
      </c>
      <c r="CG349" s="3">
        <f>+IF(AVANCE[[#This Row],[VENTANAS]]=AT$2,100%,AVANCE[[#This Row],[VENTANAS]])</f>
        <v>0</v>
      </c>
      <c r="CH349" s="3">
        <f>+IF(AVANCE[[#This Row],[PUERTAS ACCESO - LOGIA - BANO]]=AU$2,100%,AVANCE[[#This Row],[PUERTAS ACCESO - LOGIA - BANO]])</f>
        <v>0</v>
      </c>
      <c r="CI349" s="3">
        <f>+IF(AVANCE[[#This Row],[CERRADURAS]]=AV$2,100%,AVANCE[[#This Row],[CERRADURAS]])</f>
        <v>0</v>
      </c>
      <c r="CJ349" s="3">
        <f>+IF(AVANCE[[#This Row],[REVESTIMIENTO INTERIOR ZONA SECA]]=AW$2,100%,AVANCE[[#This Row],[REVESTIMIENTO INTERIOR ZONA SECA]])</f>
        <v>0</v>
      </c>
      <c r="CK349" s="3">
        <f>+IF(AVANCE[[#This Row],[REVESTIMIENTO INTERIOR ZONAS HUMEDAS]]=AX$2,100%,AVANCE[[#This Row],[REVESTIMIENTO INTERIOR ZONAS HUMEDAS]])</f>
        <v>0</v>
      </c>
      <c r="CL349" s="3">
        <f>+IF(AVANCE[[#This Row],[MEMBRANA CIELO]]=AY$2,100%,AVANCE[[#This Row],[MEMBRANA CIELO]])</f>
        <v>0</v>
      </c>
      <c r="CM349" s="3">
        <f>+IF(AVANCE[[#This Row],[LIMPIEZA FINAL]]=AZ$2,100%,AVANCE[[#This Row],[LIMPIEZA FINAL]])</f>
        <v>0</v>
      </c>
      <c r="CN349" s="3">
        <f>+IF(AVANCE[[#This Row],[PUERTAS DORMITORIO]]=BA$2,100%,AVANCE[[#This Row],[PUERTAS DORMITORIO]])</f>
        <v>0</v>
      </c>
      <c r="CO349" s="3">
        <f>+IF(AVANCE[[#This Row],[REVESTIMIENTO INTERIOR BANO]]=BB$2,100%,AVANCE[[#This Row],[REVESTIMIENTO INTERIOR BANO]])</f>
        <v>0</v>
      </c>
      <c r="CP349" s="3">
        <f>+IF(AVANCE[[#This Row],[MUEBLE LAVAPLATOS]]=BC$2,100%,AVANCE[[#This Row],[MUEBLE LAVAPLATOS]])</f>
        <v>0</v>
      </c>
      <c r="CQ349" s="3">
        <f>+IF(AVANCE[[#This Row],[IMPERMEABILIZACION BANO - COCINA LOGIA]]=BD$2,100%,AVANCE[[#This Row],[IMPERMEABILIZACION BANO - COCINA LOGIA]])</f>
        <v>0</v>
      </c>
      <c r="CR349" s="40">
        <f ca="1">+IF(AVANCE[[#This Row],[ESTADO MODULO]]="PENDIENTE",(TODAY()-AVANCE[[#This Row],[FECHA TERMINO  PLANIFICADO]]),0)</f>
        <v>0</v>
      </c>
      <c r="CS349" s="42" t="str" cm="1">
        <f t="array" ref="CS349">_xlfn.TEXTJOIN(" | ",TRUE,IF(SUMPRODUCT((BF349:CQ349&lt;1)*(PARTIDAS!$I$2:$AT$2="OBRA GRUESA"))&gt;0,"OBRA GRUESA: "&amp;_xlfn.TEXTJOIN(", ",TRUE,IF((BF349:CQ349&lt;1)*(PARTIDAS!$I$2:$AT$2="OBRA GRUESA"),PARTIDAS!$I$1:$AT$1,"")),""),IF(SUMPRODUCT((BF349:CQ349&lt;1)*(PARTIDAS!$I$2:$AT$2="SANITARIOS"))&gt;0,"SANITARIOS: "&amp;_xlfn.TEXTJOIN(", ",TRUE,IF((BF349:CQ349&lt;1)*(PARTIDAS!$I$2:$AT$2="SANITARIOS"),PARTIDAS!$I$1:$AT$1,"")),""),IF(SUMPRODUCT((BF349:CQ349&lt;1)*(PARTIDAS!$I$2:$AT$2="ELÉCTRICO"))&gt;0,"ELÉCTRICO: "&amp;_xlfn.TEXTJOIN(", ",TRUE,IF((BF349:CQ349&lt;1)*(PARTIDAS!$I$2:$AT$2="ELÉCTRICO"),PARTIDAS!$I$1:$AT$1,"")),""),IF(SUMPRODUCT((BF349:CQ349&lt;1)*(PARTIDAS!$I$2:$AT$2="TERMINACIONES"))&gt;0,"TERMINACIONES: "&amp;_xlfn.TEXTJOIN(", ",TRUE,IF((BF349:CQ349&lt;1)*(PARTIDAS!$I$2:$AT$2="TERMINACIONES"),PARTIDAS!$I$1:$AT$1,"")),""))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49" s="45" t="str" cm="1">
        <f t="array" ref="CT349">_xlfn.TEXTJOIN(", ",TRUE,IF(SUMPRODUCT((BF349:CQ349&lt;1)*(PARTIDAS!$I$2:$AT$2="OBRA GRUESA"))&gt;0,"OBRA GRUESA",""),IF(SUMPRODUCT((BF349:CQ349&lt;1)*(PARTIDAS!$I$2:$AT$2="SANITARIOS"))&gt;0,"SANITARIOS",""),IF(SUMPRODUCT((BF349:CQ349&lt;1)*(PARTIDAS!$I$2:$AT$2="ELÉCTRICO"))&gt;0,"ELÉCTRICO",""),IF(SUMPRODUCT((BF349:CQ349&lt;1)*(PARTIDAS!$I$2:$AT$2="TERMINACIONES"))&gt;0,"TERMINACIONES",""))</f>
        <v>OBRA GRUESA, SANITARIOS, ELÉCTRICO, TERMINACIONES</v>
      </c>
      <c r="CU349" s="46" cm="1">
        <f t="array" ref="CU349">SUMPRODUCT(--(BF349:CQ349&lt;1))</f>
        <v>38</v>
      </c>
    </row>
    <row r="350" spans="1:99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46181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 s="3" t="str">
        <f>+IF(AVANCE[[#This Row],[% AVANCE]]=100%,"MODULO TERMINADO",IF(AVANCE[[#This Row],[FECHA INICIO REAL]]="","MODULO NO INICIADO","PENDIENTE"))</f>
        <v>MODULO NO INICIADO</v>
      </c>
      <c r="BF350" s="3">
        <f>+IF(AVANCE[[#This Row],[VENTANAS]]=8.10810810810811%,100%,AVANCE[[#This Row],[VENTANAS]])</f>
        <v>0</v>
      </c>
      <c r="BG350" s="3">
        <f>+IF(AVANCE[[#This Row],[PISO]]=N$2,100%,AVANCE[[#This Row],[PISO]])</f>
        <v>0</v>
      </c>
      <c r="BH350" s="3">
        <f>+IF(AVANCE[[#This Row],[TABIQUES]]=O$2,100%,AVANCE[[#This Row],[TABIQUES]])</f>
        <v>0</v>
      </c>
      <c r="BI350" s="3">
        <f>+IF(AVANCE[[#This Row],[MUROS]]=P$2,100%,AVANCE[[#This Row],[MUROS]])</f>
        <v>0</v>
      </c>
      <c r="BJ350" s="3">
        <f>+IF(AVANCE[[#This Row],[CIELO]]=Q$2,100%,AVANCE[[#This Row],[CIELO]])</f>
        <v>0</v>
      </c>
      <c r="BK350" s="3">
        <f>+IF(AVANCE[[#This Row],[BALCÓN]]=R$2,100%,AVANCE[[#This Row],[BALCÓN]])</f>
        <v>0</v>
      </c>
      <c r="BL350" s="3">
        <f>+IF(AVANCE[[#This Row],[RED ALCANTARILLADO]]=U$2,100%,AVANCE[[#This Row],[RED ALCANTARILLADO]])</f>
        <v>0</v>
      </c>
      <c r="BM350" s="3">
        <f>+IF(AVANCE[[#This Row],[RED DE AGUA]]=V$2,100%,AVANCE[[#This Row],[RED DE AGUA]])</f>
        <v>0</v>
      </c>
      <c r="BN350" s="3">
        <f>+IF(AVANCE[[#This Row],[VENTILACIONES]]=W$2,100%,AVANCE[[#This Row],[VENTILACIONES]])</f>
        <v>0</v>
      </c>
      <c r="BO350" s="3">
        <f>+IF(AVANCE[[#This Row],[TINA]]=X$2,100%,AVANCE[[#This Row],[TINA]])</f>
        <v>0</v>
      </c>
      <c r="BP350" s="3">
        <f>+IF(AVANCE[[#This Row],[WC]]=Y$2,100%,AVANCE[[#This Row],[WC]])</f>
        <v>0</v>
      </c>
      <c r="BQ350" s="3">
        <f>+IF(AVANCE[[#This Row],[LAVAMANOS / LAVAPLATOS / LAVADERO]]=Z$2,100%,AVANCE[[#This Row],[LAVAMANOS / LAVAPLATOS / LAVADERO]])</f>
        <v>0</v>
      </c>
      <c r="BR350" s="3">
        <f>+IF(AVANCE[[#This Row],[CANALIZACIÓN]]=AC$2,100%,AVANCE[[#This Row],[CANALIZACIÓN]])</f>
        <v>0</v>
      </c>
      <c r="BS350" s="3">
        <f>+IF(AVANCE[[#This Row],[CABLEADO]]=AD$2,100%,AVANCE[[#This Row],[CABLEADO]])</f>
        <v>0</v>
      </c>
      <c r="BT350" s="3">
        <f>+IF(AVANCE[[#This Row],[ARTEFACTOS]]=AE$2,100%,AVANCE[[#This Row],[ARTEFACTOS]])</f>
        <v>0</v>
      </c>
      <c r="BU350" s="3">
        <f>+IF(AVANCE[[#This Row],[TABLERO]]=AF$2,100%,AVANCE[[#This Row],[TABLERO]])</f>
        <v>0</v>
      </c>
      <c r="BV350" s="3">
        <f>+IF(AVANCE[[#This Row],[CAJA PAU]]=AG$2,100%,AVANCE[[#This Row],[CAJA PAU]])</f>
        <v>0</v>
      </c>
      <c r="BW350" s="3">
        <f>+IF(AVANCE[[#This Row],[INSTALACION VINILICO]]=AJ$2,100%,AVANCE[[#This Row],[INSTALACION VINILICO]])</f>
        <v>0</v>
      </c>
      <c r="BX350" s="3">
        <f>+IF(AVANCE[[#This Row],[OSB CUBIERTA]]=AK$2,100%,AVANCE[[#This Row],[OSB CUBIERTA]])</f>
        <v>0</v>
      </c>
      <c r="BY350" s="3">
        <f>+IF(AVANCE[[#This Row],[BARANDA BALCON]]=AL$2,100%,AVANCE[[#This Row],[BARANDA BALCON]])</f>
        <v>0</v>
      </c>
      <c r="BZ350" s="3">
        <f>+IF(AVANCE[[#This Row],[OSB EXTERIOR]]=AM$2,100%,AVANCE[[#This Row],[OSB EXTERIOR]])</f>
        <v>0</v>
      </c>
      <c r="CA350" s="3">
        <f>+IF(AVANCE[[#This Row],[SMART PANEL]]=AN$2,100%,AVANCE[[#This Row],[SMART PANEL]])</f>
        <v>0</v>
      </c>
      <c r="CB350" s="3">
        <f>+IF(AVANCE[[#This Row],[PINTURA EXTERIOR]]=AO$2,100%,AVANCE[[#This Row],[PINTURA EXTERIOR]])</f>
        <v>0</v>
      </c>
      <c r="CC350" s="3">
        <f>+IF(AVANCE[[#This Row],[ZOCALOS LOGIA]]=AP$2,100%,AVANCE[[#This Row],[ZOCALOS LOGIA]])</f>
        <v>0</v>
      </c>
      <c r="CD350" s="3">
        <f>+IF(AVANCE[[#This Row],[MOLDURAS]]=AQ$2,100%,AVANCE[[#This Row],[MOLDURAS]])</f>
        <v>0</v>
      </c>
      <c r="CE350" s="3">
        <f>+IF(AVANCE[[#This Row],[PILASTREO]]=AR$2,100%,AVANCE[[#This Row],[PILASTREO]])</f>
        <v>0</v>
      </c>
      <c r="CF350" s="3">
        <f>+IF(AVANCE[[#This Row],[CELOSIAS]]=AS$2,100%,AVANCE[[#This Row],[CELOSIAS]])</f>
        <v>0</v>
      </c>
      <c r="CG350" s="3">
        <f>+IF(AVANCE[[#This Row],[VENTANAS]]=AT$2,100%,AVANCE[[#This Row],[VENTANAS]])</f>
        <v>0</v>
      </c>
      <c r="CH350" s="3">
        <f>+IF(AVANCE[[#This Row],[PUERTAS ACCESO - LOGIA - BANO]]=AU$2,100%,AVANCE[[#This Row],[PUERTAS ACCESO - LOGIA - BANO]])</f>
        <v>0</v>
      </c>
      <c r="CI350" s="3">
        <f>+IF(AVANCE[[#This Row],[CERRADURAS]]=AV$2,100%,AVANCE[[#This Row],[CERRADURAS]])</f>
        <v>0</v>
      </c>
      <c r="CJ350" s="3">
        <f>+IF(AVANCE[[#This Row],[REVESTIMIENTO INTERIOR ZONA SECA]]=AW$2,100%,AVANCE[[#This Row],[REVESTIMIENTO INTERIOR ZONA SECA]])</f>
        <v>0</v>
      </c>
      <c r="CK350" s="3">
        <f>+IF(AVANCE[[#This Row],[REVESTIMIENTO INTERIOR ZONAS HUMEDAS]]=AX$2,100%,AVANCE[[#This Row],[REVESTIMIENTO INTERIOR ZONAS HUMEDAS]])</f>
        <v>0</v>
      </c>
      <c r="CL350" s="3">
        <f>+IF(AVANCE[[#This Row],[MEMBRANA CIELO]]=AY$2,100%,AVANCE[[#This Row],[MEMBRANA CIELO]])</f>
        <v>0</v>
      </c>
      <c r="CM350" s="3">
        <f>+IF(AVANCE[[#This Row],[LIMPIEZA FINAL]]=AZ$2,100%,AVANCE[[#This Row],[LIMPIEZA FINAL]])</f>
        <v>0</v>
      </c>
      <c r="CN350" s="3">
        <f>+IF(AVANCE[[#This Row],[PUERTAS DORMITORIO]]=BA$2,100%,AVANCE[[#This Row],[PUERTAS DORMITORIO]])</f>
        <v>0</v>
      </c>
      <c r="CO350" s="3">
        <f>+IF(AVANCE[[#This Row],[REVESTIMIENTO INTERIOR BANO]]=BB$2,100%,AVANCE[[#This Row],[REVESTIMIENTO INTERIOR BANO]])</f>
        <v>0</v>
      </c>
      <c r="CP350" s="3">
        <f>+IF(AVANCE[[#This Row],[MUEBLE LAVAPLATOS]]=BC$2,100%,AVANCE[[#This Row],[MUEBLE LAVAPLATOS]])</f>
        <v>0</v>
      </c>
      <c r="CQ350" s="3">
        <f>+IF(AVANCE[[#This Row],[IMPERMEABILIZACION BANO - COCINA LOGIA]]=BD$2,100%,AVANCE[[#This Row],[IMPERMEABILIZACION BANO - COCINA LOGIA]])</f>
        <v>0</v>
      </c>
      <c r="CR350" s="40">
        <f ca="1">+IF(AVANCE[[#This Row],[ESTADO MODULO]]="PENDIENTE",(TODAY()-AVANCE[[#This Row],[FECHA TERMINO  PLANIFICADO]]),0)</f>
        <v>0</v>
      </c>
      <c r="CS350" s="42" t="str" cm="1">
        <f t="array" ref="CS350">_xlfn.TEXTJOIN(" | ",TRUE,IF(SUMPRODUCT((BF350:CQ350&lt;1)*(PARTIDAS!$I$2:$AT$2="OBRA GRUESA"))&gt;0,"OBRA GRUESA: "&amp;_xlfn.TEXTJOIN(", ",TRUE,IF((BF350:CQ350&lt;1)*(PARTIDAS!$I$2:$AT$2="OBRA GRUESA"),PARTIDAS!$I$1:$AT$1,"")),""),IF(SUMPRODUCT((BF350:CQ350&lt;1)*(PARTIDAS!$I$2:$AT$2="SANITARIOS"))&gt;0,"SANITARIOS: "&amp;_xlfn.TEXTJOIN(", ",TRUE,IF((BF350:CQ350&lt;1)*(PARTIDAS!$I$2:$AT$2="SANITARIOS"),PARTIDAS!$I$1:$AT$1,"")),""),IF(SUMPRODUCT((BF350:CQ350&lt;1)*(PARTIDAS!$I$2:$AT$2="ELÉCTRICO"))&gt;0,"ELÉCTRICO: "&amp;_xlfn.TEXTJOIN(", ",TRUE,IF((BF350:CQ350&lt;1)*(PARTIDAS!$I$2:$AT$2="ELÉCTRICO"),PARTIDAS!$I$1:$AT$1,"")),""),IF(SUMPRODUCT((BF350:CQ350&lt;1)*(PARTIDAS!$I$2:$AT$2="TERMINACIONES"))&gt;0,"TERMINACIONES: "&amp;_xlfn.TEXTJOIN(", ",TRUE,IF((BF350:CQ350&lt;1)*(PARTIDAS!$I$2:$AT$2="TERMINACIONES"),PARTIDAS!$I$1:$AT$1,"")),""))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0" s="45" t="str" cm="1">
        <f t="array" ref="CT350">_xlfn.TEXTJOIN(", ",TRUE,IF(SUMPRODUCT((BF350:CQ350&lt;1)*(PARTIDAS!$I$2:$AT$2="OBRA GRUESA"))&gt;0,"OBRA GRUESA",""),IF(SUMPRODUCT((BF350:CQ350&lt;1)*(PARTIDAS!$I$2:$AT$2="SANITARIOS"))&gt;0,"SANITARIOS",""),IF(SUMPRODUCT((BF350:CQ350&lt;1)*(PARTIDAS!$I$2:$AT$2="ELÉCTRICO"))&gt;0,"ELÉCTRICO",""),IF(SUMPRODUCT((BF350:CQ350&lt;1)*(PARTIDAS!$I$2:$AT$2="TERMINACIONES"))&gt;0,"TERMINACIONES",""))</f>
        <v>OBRA GRUESA, SANITARIOS, ELÉCTRICO, TERMINACIONES</v>
      </c>
      <c r="CU350" s="46" cm="1">
        <f t="array" ref="CU350">SUMPRODUCT(--(BF350:CQ350&lt;1))</f>
        <v>38</v>
      </c>
    </row>
    <row r="351" spans="1:99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46181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 s="3" t="str">
        <f>+IF(AVANCE[[#This Row],[% AVANCE]]=100%,"MODULO TERMINADO",IF(AVANCE[[#This Row],[FECHA INICIO REAL]]="","MODULO NO INICIADO","PENDIENTE"))</f>
        <v>MODULO NO INICIADO</v>
      </c>
      <c r="BF351" s="3">
        <f>+IF(AVANCE[[#This Row],[VENTANAS]]=8.10810810810811%,100%,AVANCE[[#This Row],[VENTANAS]])</f>
        <v>0</v>
      </c>
      <c r="BG351" s="3">
        <f>+IF(AVANCE[[#This Row],[PISO]]=N$2,100%,AVANCE[[#This Row],[PISO]])</f>
        <v>0</v>
      </c>
      <c r="BH351" s="3">
        <f>+IF(AVANCE[[#This Row],[TABIQUES]]=O$2,100%,AVANCE[[#This Row],[TABIQUES]])</f>
        <v>0</v>
      </c>
      <c r="BI351" s="3">
        <f>+IF(AVANCE[[#This Row],[MUROS]]=P$2,100%,AVANCE[[#This Row],[MUROS]])</f>
        <v>0</v>
      </c>
      <c r="BJ351" s="3">
        <f>+IF(AVANCE[[#This Row],[CIELO]]=Q$2,100%,AVANCE[[#This Row],[CIELO]])</f>
        <v>0</v>
      </c>
      <c r="BK351" s="3">
        <f>+IF(AVANCE[[#This Row],[BALCÓN]]=R$2,100%,AVANCE[[#This Row],[BALCÓN]])</f>
        <v>0</v>
      </c>
      <c r="BL351" s="3">
        <f>+IF(AVANCE[[#This Row],[RED ALCANTARILLADO]]=U$2,100%,AVANCE[[#This Row],[RED ALCANTARILLADO]])</f>
        <v>0</v>
      </c>
      <c r="BM351" s="3">
        <f>+IF(AVANCE[[#This Row],[RED DE AGUA]]=V$2,100%,AVANCE[[#This Row],[RED DE AGUA]])</f>
        <v>0</v>
      </c>
      <c r="BN351" s="3">
        <f>+IF(AVANCE[[#This Row],[VENTILACIONES]]=W$2,100%,AVANCE[[#This Row],[VENTILACIONES]])</f>
        <v>0</v>
      </c>
      <c r="BO351" s="3">
        <f>+IF(AVANCE[[#This Row],[TINA]]=X$2,100%,AVANCE[[#This Row],[TINA]])</f>
        <v>0</v>
      </c>
      <c r="BP351" s="3">
        <f>+IF(AVANCE[[#This Row],[WC]]=Y$2,100%,AVANCE[[#This Row],[WC]])</f>
        <v>0</v>
      </c>
      <c r="BQ351" s="3">
        <f>+IF(AVANCE[[#This Row],[LAVAMANOS / LAVAPLATOS / LAVADERO]]=Z$2,100%,AVANCE[[#This Row],[LAVAMANOS / LAVAPLATOS / LAVADERO]])</f>
        <v>0</v>
      </c>
      <c r="BR351" s="3">
        <f>+IF(AVANCE[[#This Row],[CANALIZACIÓN]]=AC$2,100%,AVANCE[[#This Row],[CANALIZACIÓN]])</f>
        <v>0</v>
      </c>
      <c r="BS351" s="3">
        <f>+IF(AVANCE[[#This Row],[CABLEADO]]=AD$2,100%,AVANCE[[#This Row],[CABLEADO]])</f>
        <v>0</v>
      </c>
      <c r="BT351" s="3">
        <f>+IF(AVANCE[[#This Row],[ARTEFACTOS]]=AE$2,100%,AVANCE[[#This Row],[ARTEFACTOS]])</f>
        <v>0</v>
      </c>
      <c r="BU351" s="3">
        <f>+IF(AVANCE[[#This Row],[TABLERO]]=AF$2,100%,AVANCE[[#This Row],[TABLERO]])</f>
        <v>0</v>
      </c>
      <c r="BV351" s="3">
        <f>+IF(AVANCE[[#This Row],[CAJA PAU]]=AG$2,100%,AVANCE[[#This Row],[CAJA PAU]])</f>
        <v>0</v>
      </c>
      <c r="BW351" s="3">
        <f>+IF(AVANCE[[#This Row],[INSTALACION VINILICO]]=AJ$2,100%,AVANCE[[#This Row],[INSTALACION VINILICO]])</f>
        <v>0</v>
      </c>
      <c r="BX351" s="3">
        <f>+IF(AVANCE[[#This Row],[OSB CUBIERTA]]=AK$2,100%,AVANCE[[#This Row],[OSB CUBIERTA]])</f>
        <v>0</v>
      </c>
      <c r="BY351" s="3">
        <f>+IF(AVANCE[[#This Row],[BARANDA BALCON]]=AL$2,100%,AVANCE[[#This Row],[BARANDA BALCON]])</f>
        <v>0</v>
      </c>
      <c r="BZ351" s="3">
        <f>+IF(AVANCE[[#This Row],[OSB EXTERIOR]]=AM$2,100%,AVANCE[[#This Row],[OSB EXTERIOR]])</f>
        <v>0</v>
      </c>
      <c r="CA351" s="3">
        <f>+IF(AVANCE[[#This Row],[SMART PANEL]]=AN$2,100%,AVANCE[[#This Row],[SMART PANEL]])</f>
        <v>0</v>
      </c>
      <c r="CB351" s="3">
        <f>+IF(AVANCE[[#This Row],[PINTURA EXTERIOR]]=AO$2,100%,AVANCE[[#This Row],[PINTURA EXTERIOR]])</f>
        <v>0</v>
      </c>
      <c r="CC351" s="3">
        <f>+IF(AVANCE[[#This Row],[ZOCALOS LOGIA]]=AP$2,100%,AVANCE[[#This Row],[ZOCALOS LOGIA]])</f>
        <v>0</v>
      </c>
      <c r="CD351" s="3">
        <f>+IF(AVANCE[[#This Row],[MOLDURAS]]=AQ$2,100%,AVANCE[[#This Row],[MOLDURAS]])</f>
        <v>0</v>
      </c>
      <c r="CE351" s="3">
        <f>+IF(AVANCE[[#This Row],[PILASTREO]]=AR$2,100%,AVANCE[[#This Row],[PILASTREO]])</f>
        <v>0</v>
      </c>
      <c r="CF351" s="3">
        <f>+IF(AVANCE[[#This Row],[CELOSIAS]]=AS$2,100%,AVANCE[[#This Row],[CELOSIAS]])</f>
        <v>0</v>
      </c>
      <c r="CG351" s="3">
        <f>+IF(AVANCE[[#This Row],[VENTANAS]]=AT$2,100%,AVANCE[[#This Row],[VENTANAS]])</f>
        <v>0</v>
      </c>
      <c r="CH351" s="3">
        <f>+IF(AVANCE[[#This Row],[PUERTAS ACCESO - LOGIA - BANO]]=AU$2,100%,AVANCE[[#This Row],[PUERTAS ACCESO - LOGIA - BANO]])</f>
        <v>0</v>
      </c>
      <c r="CI351" s="3">
        <f>+IF(AVANCE[[#This Row],[CERRADURAS]]=AV$2,100%,AVANCE[[#This Row],[CERRADURAS]])</f>
        <v>0</v>
      </c>
      <c r="CJ351" s="3">
        <f>+IF(AVANCE[[#This Row],[REVESTIMIENTO INTERIOR ZONA SECA]]=AW$2,100%,AVANCE[[#This Row],[REVESTIMIENTO INTERIOR ZONA SECA]])</f>
        <v>0</v>
      </c>
      <c r="CK351" s="3">
        <f>+IF(AVANCE[[#This Row],[REVESTIMIENTO INTERIOR ZONAS HUMEDAS]]=AX$2,100%,AVANCE[[#This Row],[REVESTIMIENTO INTERIOR ZONAS HUMEDAS]])</f>
        <v>0</v>
      </c>
      <c r="CL351" s="3">
        <f>+IF(AVANCE[[#This Row],[MEMBRANA CIELO]]=AY$2,100%,AVANCE[[#This Row],[MEMBRANA CIELO]])</f>
        <v>0</v>
      </c>
      <c r="CM351" s="3">
        <f>+IF(AVANCE[[#This Row],[LIMPIEZA FINAL]]=AZ$2,100%,AVANCE[[#This Row],[LIMPIEZA FINAL]])</f>
        <v>0</v>
      </c>
      <c r="CN351" s="3">
        <f>+IF(AVANCE[[#This Row],[PUERTAS DORMITORIO]]=BA$2,100%,AVANCE[[#This Row],[PUERTAS DORMITORIO]])</f>
        <v>0</v>
      </c>
      <c r="CO351" s="3">
        <f>+IF(AVANCE[[#This Row],[REVESTIMIENTO INTERIOR BANO]]=BB$2,100%,AVANCE[[#This Row],[REVESTIMIENTO INTERIOR BANO]])</f>
        <v>0</v>
      </c>
      <c r="CP351" s="3">
        <f>+IF(AVANCE[[#This Row],[MUEBLE LAVAPLATOS]]=BC$2,100%,AVANCE[[#This Row],[MUEBLE LAVAPLATOS]])</f>
        <v>0</v>
      </c>
      <c r="CQ351" s="3">
        <f>+IF(AVANCE[[#This Row],[IMPERMEABILIZACION BANO - COCINA LOGIA]]=BD$2,100%,AVANCE[[#This Row],[IMPERMEABILIZACION BANO - COCINA LOGIA]])</f>
        <v>0</v>
      </c>
      <c r="CR351" s="40">
        <f ca="1">+IF(AVANCE[[#This Row],[ESTADO MODULO]]="PENDIENTE",(TODAY()-AVANCE[[#This Row],[FECHA TERMINO  PLANIFICADO]]),0)</f>
        <v>0</v>
      </c>
      <c r="CS351" s="42" t="str" cm="1">
        <f t="array" ref="CS351">_xlfn.TEXTJOIN(" | ",TRUE,IF(SUMPRODUCT((BF351:CQ351&lt;1)*(PARTIDAS!$I$2:$AT$2="OBRA GRUESA"))&gt;0,"OBRA GRUESA: "&amp;_xlfn.TEXTJOIN(", ",TRUE,IF((BF351:CQ351&lt;1)*(PARTIDAS!$I$2:$AT$2="OBRA GRUESA"),PARTIDAS!$I$1:$AT$1,"")),""),IF(SUMPRODUCT((BF351:CQ351&lt;1)*(PARTIDAS!$I$2:$AT$2="SANITARIOS"))&gt;0,"SANITARIOS: "&amp;_xlfn.TEXTJOIN(", ",TRUE,IF((BF351:CQ351&lt;1)*(PARTIDAS!$I$2:$AT$2="SANITARIOS"),PARTIDAS!$I$1:$AT$1,"")),""),IF(SUMPRODUCT((BF351:CQ351&lt;1)*(PARTIDAS!$I$2:$AT$2="ELÉCTRICO"))&gt;0,"ELÉCTRICO: "&amp;_xlfn.TEXTJOIN(", ",TRUE,IF((BF351:CQ351&lt;1)*(PARTIDAS!$I$2:$AT$2="ELÉCTRICO"),PARTIDAS!$I$1:$AT$1,"")),""),IF(SUMPRODUCT((BF351:CQ351&lt;1)*(PARTIDAS!$I$2:$AT$2="TERMINACIONES"))&gt;0,"TERMINACIONES: "&amp;_xlfn.TEXTJOIN(", ",TRUE,IF((BF351:CQ351&lt;1)*(PARTIDAS!$I$2:$AT$2="TERMINACIONES"),PARTIDAS!$I$1:$AT$1,"")),""))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1" s="45" t="str" cm="1">
        <f t="array" ref="CT351">_xlfn.TEXTJOIN(", ",TRUE,IF(SUMPRODUCT((BF351:CQ351&lt;1)*(PARTIDAS!$I$2:$AT$2="OBRA GRUESA"))&gt;0,"OBRA GRUESA",""),IF(SUMPRODUCT((BF351:CQ351&lt;1)*(PARTIDAS!$I$2:$AT$2="SANITARIOS"))&gt;0,"SANITARIOS",""),IF(SUMPRODUCT((BF351:CQ351&lt;1)*(PARTIDAS!$I$2:$AT$2="ELÉCTRICO"))&gt;0,"ELÉCTRICO",""),IF(SUMPRODUCT((BF351:CQ351&lt;1)*(PARTIDAS!$I$2:$AT$2="TERMINACIONES"))&gt;0,"TERMINACIONES",""))</f>
        <v>OBRA GRUESA, SANITARIOS, ELÉCTRICO, TERMINACIONES</v>
      </c>
      <c r="CU351" s="46" cm="1">
        <f t="array" ref="CU351">SUMPRODUCT(--(BF351:CQ351&lt;1))</f>
        <v>38</v>
      </c>
    </row>
    <row r="352" spans="1:99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46181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 s="3" t="str">
        <f>+IF(AVANCE[[#This Row],[% AVANCE]]=100%,"MODULO TERMINADO",IF(AVANCE[[#This Row],[FECHA INICIO REAL]]="","MODULO NO INICIADO","PENDIENTE"))</f>
        <v>MODULO NO INICIADO</v>
      </c>
      <c r="BF352" s="3">
        <f>+IF(AVANCE[[#This Row],[VENTANAS]]=8.10810810810811%,100%,AVANCE[[#This Row],[VENTANAS]])</f>
        <v>0</v>
      </c>
      <c r="BG352" s="3">
        <f>+IF(AVANCE[[#This Row],[PISO]]=N$2,100%,AVANCE[[#This Row],[PISO]])</f>
        <v>0</v>
      </c>
      <c r="BH352" s="3">
        <f>+IF(AVANCE[[#This Row],[TABIQUES]]=O$2,100%,AVANCE[[#This Row],[TABIQUES]])</f>
        <v>0</v>
      </c>
      <c r="BI352" s="3">
        <f>+IF(AVANCE[[#This Row],[MUROS]]=P$2,100%,AVANCE[[#This Row],[MUROS]])</f>
        <v>0</v>
      </c>
      <c r="BJ352" s="3">
        <f>+IF(AVANCE[[#This Row],[CIELO]]=Q$2,100%,AVANCE[[#This Row],[CIELO]])</f>
        <v>0</v>
      </c>
      <c r="BK352" s="3">
        <f>+IF(AVANCE[[#This Row],[BALCÓN]]=R$2,100%,AVANCE[[#This Row],[BALCÓN]])</f>
        <v>0</v>
      </c>
      <c r="BL352" s="3">
        <f>+IF(AVANCE[[#This Row],[RED ALCANTARILLADO]]=U$2,100%,AVANCE[[#This Row],[RED ALCANTARILLADO]])</f>
        <v>0</v>
      </c>
      <c r="BM352" s="3">
        <f>+IF(AVANCE[[#This Row],[RED DE AGUA]]=V$2,100%,AVANCE[[#This Row],[RED DE AGUA]])</f>
        <v>0</v>
      </c>
      <c r="BN352" s="3">
        <f>+IF(AVANCE[[#This Row],[VENTILACIONES]]=W$2,100%,AVANCE[[#This Row],[VENTILACIONES]])</f>
        <v>0</v>
      </c>
      <c r="BO352" s="3">
        <f>+IF(AVANCE[[#This Row],[TINA]]=X$2,100%,AVANCE[[#This Row],[TINA]])</f>
        <v>0</v>
      </c>
      <c r="BP352" s="3">
        <f>+IF(AVANCE[[#This Row],[WC]]=Y$2,100%,AVANCE[[#This Row],[WC]])</f>
        <v>0</v>
      </c>
      <c r="BQ352" s="3">
        <f>+IF(AVANCE[[#This Row],[LAVAMANOS / LAVAPLATOS / LAVADERO]]=Z$2,100%,AVANCE[[#This Row],[LAVAMANOS / LAVAPLATOS / LAVADERO]])</f>
        <v>0</v>
      </c>
      <c r="BR352" s="3">
        <f>+IF(AVANCE[[#This Row],[CANALIZACIÓN]]=AC$2,100%,AVANCE[[#This Row],[CANALIZACIÓN]])</f>
        <v>0</v>
      </c>
      <c r="BS352" s="3">
        <f>+IF(AVANCE[[#This Row],[CABLEADO]]=AD$2,100%,AVANCE[[#This Row],[CABLEADO]])</f>
        <v>0</v>
      </c>
      <c r="BT352" s="3">
        <f>+IF(AVANCE[[#This Row],[ARTEFACTOS]]=AE$2,100%,AVANCE[[#This Row],[ARTEFACTOS]])</f>
        <v>0</v>
      </c>
      <c r="BU352" s="3">
        <f>+IF(AVANCE[[#This Row],[TABLERO]]=AF$2,100%,AVANCE[[#This Row],[TABLERO]])</f>
        <v>0</v>
      </c>
      <c r="BV352" s="3">
        <f>+IF(AVANCE[[#This Row],[CAJA PAU]]=AG$2,100%,AVANCE[[#This Row],[CAJA PAU]])</f>
        <v>0</v>
      </c>
      <c r="BW352" s="3">
        <f>+IF(AVANCE[[#This Row],[INSTALACION VINILICO]]=AJ$2,100%,AVANCE[[#This Row],[INSTALACION VINILICO]])</f>
        <v>0</v>
      </c>
      <c r="BX352" s="3">
        <f>+IF(AVANCE[[#This Row],[OSB CUBIERTA]]=AK$2,100%,AVANCE[[#This Row],[OSB CUBIERTA]])</f>
        <v>0</v>
      </c>
      <c r="BY352" s="3">
        <f>+IF(AVANCE[[#This Row],[BARANDA BALCON]]=AL$2,100%,AVANCE[[#This Row],[BARANDA BALCON]])</f>
        <v>0</v>
      </c>
      <c r="BZ352" s="3">
        <f>+IF(AVANCE[[#This Row],[OSB EXTERIOR]]=AM$2,100%,AVANCE[[#This Row],[OSB EXTERIOR]])</f>
        <v>0</v>
      </c>
      <c r="CA352" s="3">
        <f>+IF(AVANCE[[#This Row],[SMART PANEL]]=AN$2,100%,AVANCE[[#This Row],[SMART PANEL]])</f>
        <v>0</v>
      </c>
      <c r="CB352" s="3">
        <f>+IF(AVANCE[[#This Row],[PINTURA EXTERIOR]]=AO$2,100%,AVANCE[[#This Row],[PINTURA EXTERIOR]])</f>
        <v>0</v>
      </c>
      <c r="CC352" s="3">
        <f>+IF(AVANCE[[#This Row],[ZOCALOS LOGIA]]=AP$2,100%,AVANCE[[#This Row],[ZOCALOS LOGIA]])</f>
        <v>0</v>
      </c>
      <c r="CD352" s="3">
        <f>+IF(AVANCE[[#This Row],[MOLDURAS]]=AQ$2,100%,AVANCE[[#This Row],[MOLDURAS]])</f>
        <v>0</v>
      </c>
      <c r="CE352" s="3">
        <f>+IF(AVANCE[[#This Row],[PILASTREO]]=AR$2,100%,AVANCE[[#This Row],[PILASTREO]])</f>
        <v>0</v>
      </c>
      <c r="CF352" s="3">
        <f>+IF(AVANCE[[#This Row],[CELOSIAS]]=AS$2,100%,AVANCE[[#This Row],[CELOSIAS]])</f>
        <v>0</v>
      </c>
      <c r="CG352" s="3">
        <f>+IF(AVANCE[[#This Row],[VENTANAS]]=AT$2,100%,AVANCE[[#This Row],[VENTANAS]])</f>
        <v>0</v>
      </c>
      <c r="CH352" s="3">
        <f>+IF(AVANCE[[#This Row],[PUERTAS ACCESO - LOGIA - BANO]]=AU$2,100%,AVANCE[[#This Row],[PUERTAS ACCESO - LOGIA - BANO]])</f>
        <v>0</v>
      </c>
      <c r="CI352" s="3">
        <f>+IF(AVANCE[[#This Row],[CERRADURAS]]=AV$2,100%,AVANCE[[#This Row],[CERRADURAS]])</f>
        <v>0</v>
      </c>
      <c r="CJ352" s="3">
        <f>+IF(AVANCE[[#This Row],[REVESTIMIENTO INTERIOR ZONA SECA]]=AW$2,100%,AVANCE[[#This Row],[REVESTIMIENTO INTERIOR ZONA SECA]])</f>
        <v>0</v>
      </c>
      <c r="CK352" s="3">
        <f>+IF(AVANCE[[#This Row],[REVESTIMIENTO INTERIOR ZONAS HUMEDAS]]=AX$2,100%,AVANCE[[#This Row],[REVESTIMIENTO INTERIOR ZONAS HUMEDAS]])</f>
        <v>0</v>
      </c>
      <c r="CL352" s="3">
        <f>+IF(AVANCE[[#This Row],[MEMBRANA CIELO]]=AY$2,100%,AVANCE[[#This Row],[MEMBRANA CIELO]])</f>
        <v>0</v>
      </c>
      <c r="CM352" s="3">
        <f>+IF(AVANCE[[#This Row],[LIMPIEZA FINAL]]=AZ$2,100%,AVANCE[[#This Row],[LIMPIEZA FINAL]])</f>
        <v>0</v>
      </c>
      <c r="CN352" s="3">
        <f>+IF(AVANCE[[#This Row],[PUERTAS DORMITORIO]]=BA$2,100%,AVANCE[[#This Row],[PUERTAS DORMITORIO]])</f>
        <v>0</v>
      </c>
      <c r="CO352" s="3">
        <f>+IF(AVANCE[[#This Row],[REVESTIMIENTO INTERIOR BANO]]=BB$2,100%,AVANCE[[#This Row],[REVESTIMIENTO INTERIOR BANO]])</f>
        <v>0</v>
      </c>
      <c r="CP352" s="3">
        <f>+IF(AVANCE[[#This Row],[MUEBLE LAVAPLATOS]]=BC$2,100%,AVANCE[[#This Row],[MUEBLE LAVAPLATOS]])</f>
        <v>0</v>
      </c>
      <c r="CQ352" s="3">
        <f>+IF(AVANCE[[#This Row],[IMPERMEABILIZACION BANO - COCINA LOGIA]]=BD$2,100%,AVANCE[[#This Row],[IMPERMEABILIZACION BANO - COCINA LOGIA]])</f>
        <v>0</v>
      </c>
      <c r="CR352" s="40">
        <f ca="1">+IF(AVANCE[[#This Row],[ESTADO MODULO]]="PENDIENTE",(TODAY()-AVANCE[[#This Row],[FECHA TERMINO  PLANIFICADO]]),0)</f>
        <v>0</v>
      </c>
      <c r="CS352" s="42" t="str" cm="1">
        <f t="array" ref="CS352">_xlfn.TEXTJOIN(" | ",TRUE,IF(SUMPRODUCT((BF352:CQ352&lt;1)*(PARTIDAS!$I$2:$AT$2="OBRA GRUESA"))&gt;0,"OBRA GRUESA: "&amp;_xlfn.TEXTJOIN(", ",TRUE,IF((BF352:CQ352&lt;1)*(PARTIDAS!$I$2:$AT$2="OBRA GRUESA"),PARTIDAS!$I$1:$AT$1,"")),""),IF(SUMPRODUCT((BF352:CQ352&lt;1)*(PARTIDAS!$I$2:$AT$2="SANITARIOS"))&gt;0,"SANITARIOS: "&amp;_xlfn.TEXTJOIN(", ",TRUE,IF((BF352:CQ352&lt;1)*(PARTIDAS!$I$2:$AT$2="SANITARIOS"),PARTIDAS!$I$1:$AT$1,"")),""),IF(SUMPRODUCT((BF352:CQ352&lt;1)*(PARTIDAS!$I$2:$AT$2="ELÉCTRICO"))&gt;0,"ELÉCTRICO: "&amp;_xlfn.TEXTJOIN(", ",TRUE,IF((BF352:CQ352&lt;1)*(PARTIDAS!$I$2:$AT$2="ELÉCTRICO"),PARTIDAS!$I$1:$AT$1,"")),""),IF(SUMPRODUCT((BF352:CQ352&lt;1)*(PARTIDAS!$I$2:$AT$2="TERMINACIONES"))&gt;0,"TERMINACIONES: "&amp;_xlfn.TEXTJOIN(", ",TRUE,IF((BF352:CQ352&lt;1)*(PARTIDAS!$I$2:$AT$2="TERMINACIONES"),PARTIDAS!$I$1:$AT$1,"")),""))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2" s="45" t="str" cm="1">
        <f t="array" ref="CT352">_xlfn.TEXTJOIN(", ",TRUE,IF(SUMPRODUCT((BF352:CQ352&lt;1)*(PARTIDAS!$I$2:$AT$2="OBRA GRUESA"))&gt;0,"OBRA GRUESA",""),IF(SUMPRODUCT((BF352:CQ352&lt;1)*(PARTIDAS!$I$2:$AT$2="SANITARIOS"))&gt;0,"SANITARIOS",""),IF(SUMPRODUCT((BF352:CQ352&lt;1)*(PARTIDAS!$I$2:$AT$2="ELÉCTRICO"))&gt;0,"ELÉCTRICO",""),IF(SUMPRODUCT((BF352:CQ352&lt;1)*(PARTIDAS!$I$2:$AT$2="TERMINACIONES"))&gt;0,"TERMINACIONES",""))</f>
        <v>OBRA GRUESA, SANITARIOS, ELÉCTRICO, TERMINACIONES</v>
      </c>
      <c r="CU352" s="46" cm="1">
        <f t="array" ref="CU352">SUMPRODUCT(--(BF352:CQ352&lt;1))</f>
        <v>38</v>
      </c>
    </row>
    <row r="353" spans="1:99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46181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 s="3" t="str">
        <f>+IF(AVANCE[[#This Row],[% AVANCE]]=100%,"MODULO TERMINADO",IF(AVANCE[[#This Row],[FECHA INICIO REAL]]="","MODULO NO INICIADO","PENDIENTE"))</f>
        <v>MODULO NO INICIADO</v>
      </c>
      <c r="BF353" s="3">
        <f>+IF(AVANCE[[#This Row],[VENTANAS]]=8.10810810810811%,100%,AVANCE[[#This Row],[VENTANAS]])</f>
        <v>0</v>
      </c>
      <c r="BG353" s="3">
        <f>+IF(AVANCE[[#This Row],[PISO]]=N$2,100%,AVANCE[[#This Row],[PISO]])</f>
        <v>0</v>
      </c>
      <c r="BH353" s="3">
        <f>+IF(AVANCE[[#This Row],[TABIQUES]]=O$2,100%,AVANCE[[#This Row],[TABIQUES]])</f>
        <v>0</v>
      </c>
      <c r="BI353" s="3">
        <f>+IF(AVANCE[[#This Row],[MUROS]]=P$2,100%,AVANCE[[#This Row],[MUROS]])</f>
        <v>0</v>
      </c>
      <c r="BJ353" s="3">
        <f>+IF(AVANCE[[#This Row],[CIELO]]=Q$2,100%,AVANCE[[#This Row],[CIELO]])</f>
        <v>0</v>
      </c>
      <c r="BK353" s="3">
        <f>+IF(AVANCE[[#This Row],[BALCÓN]]=R$2,100%,AVANCE[[#This Row],[BALCÓN]])</f>
        <v>0</v>
      </c>
      <c r="BL353" s="3">
        <f>+IF(AVANCE[[#This Row],[RED ALCANTARILLADO]]=U$2,100%,AVANCE[[#This Row],[RED ALCANTARILLADO]])</f>
        <v>0</v>
      </c>
      <c r="BM353" s="3">
        <f>+IF(AVANCE[[#This Row],[RED DE AGUA]]=V$2,100%,AVANCE[[#This Row],[RED DE AGUA]])</f>
        <v>0</v>
      </c>
      <c r="BN353" s="3">
        <f>+IF(AVANCE[[#This Row],[VENTILACIONES]]=W$2,100%,AVANCE[[#This Row],[VENTILACIONES]])</f>
        <v>0</v>
      </c>
      <c r="BO353" s="3">
        <f>+IF(AVANCE[[#This Row],[TINA]]=X$2,100%,AVANCE[[#This Row],[TINA]])</f>
        <v>0</v>
      </c>
      <c r="BP353" s="3">
        <f>+IF(AVANCE[[#This Row],[WC]]=Y$2,100%,AVANCE[[#This Row],[WC]])</f>
        <v>0</v>
      </c>
      <c r="BQ353" s="3">
        <f>+IF(AVANCE[[#This Row],[LAVAMANOS / LAVAPLATOS / LAVADERO]]=Z$2,100%,AVANCE[[#This Row],[LAVAMANOS / LAVAPLATOS / LAVADERO]])</f>
        <v>0</v>
      </c>
      <c r="BR353" s="3">
        <f>+IF(AVANCE[[#This Row],[CANALIZACIÓN]]=AC$2,100%,AVANCE[[#This Row],[CANALIZACIÓN]])</f>
        <v>0</v>
      </c>
      <c r="BS353" s="3">
        <f>+IF(AVANCE[[#This Row],[CABLEADO]]=AD$2,100%,AVANCE[[#This Row],[CABLEADO]])</f>
        <v>0</v>
      </c>
      <c r="BT353" s="3">
        <f>+IF(AVANCE[[#This Row],[ARTEFACTOS]]=AE$2,100%,AVANCE[[#This Row],[ARTEFACTOS]])</f>
        <v>0</v>
      </c>
      <c r="BU353" s="3">
        <f>+IF(AVANCE[[#This Row],[TABLERO]]=AF$2,100%,AVANCE[[#This Row],[TABLERO]])</f>
        <v>0</v>
      </c>
      <c r="BV353" s="3">
        <f>+IF(AVANCE[[#This Row],[CAJA PAU]]=AG$2,100%,AVANCE[[#This Row],[CAJA PAU]])</f>
        <v>0</v>
      </c>
      <c r="BW353" s="3">
        <f>+IF(AVANCE[[#This Row],[INSTALACION VINILICO]]=AJ$2,100%,AVANCE[[#This Row],[INSTALACION VINILICO]])</f>
        <v>0</v>
      </c>
      <c r="BX353" s="3">
        <f>+IF(AVANCE[[#This Row],[OSB CUBIERTA]]=AK$2,100%,AVANCE[[#This Row],[OSB CUBIERTA]])</f>
        <v>0</v>
      </c>
      <c r="BY353" s="3">
        <f>+IF(AVANCE[[#This Row],[BARANDA BALCON]]=AL$2,100%,AVANCE[[#This Row],[BARANDA BALCON]])</f>
        <v>0</v>
      </c>
      <c r="BZ353" s="3">
        <f>+IF(AVANCE[[#This Row],[OSB EXTERIOR]]=AM$2,100%,AVANCE[[#This Row],[OSB EXTERIOR]])</f>
        <v>0</v>
      </c>
      <c r="CA353" s="3">
        <f>+IF(AVANCE[[#This Row],[SMART PANEL]]=AN$2,100%,AVANCE[[#This Row],[SMART PANEL]])</f>
        <v>0</v>
      </c>
      <c r="CB353" s="3">
        <f>+IF(AVANCE[[#This Row],[PINTURA EXTERIOR]]=AO$2,100%,AVANCE[[#This Row],[PINTURA EXTERIOR]])</f>
        <v>0</v>
      </c>
      <c r="CC353" s="3">
        <f>+IF(AVANCE[[#This Row],[ZOCALOS LOGIA]]=AP$2,100%,AVANCE[[#This Row],[ZOCALOS LOGIA]])</f>
        <v>0</v>
      </c>
      <c r="CD353" s="3">
        <f>+IF(AVANCE[[#This Row],[MOLDURAS]]=AQ$2,100%,AVANCE[[#This Row],[MOLDURAS]])</f>
        <v>0</v>
      </c>
      <c r="CE353" s="3">
        <f>+IF(AVANCE[[#This Row],[PILASTREO]]=AR$2,100%,AVANCE[[#This Row],[PILASTREO]])</f>
        <v>0</v>
      </c>
      <c r="CF353" s="3">
        <f>+IF(AVANCE[[#This Row],[CELOSIAS]]=AS$2,100%,AVANCE[[#This Row],[CELOSIAS]])</f>
        <v>0</v>
      </c>
      <c r="CG353" s="3">
        <f>+IF(AVANCE[[#This Row],[VENTANAS]]=AT$2,100%,AVANCE[[#This Row],[VENTANAS]])</f>
        <v>0</v>
      </c>
      <c r="CH353" s="3">
        <f>+IF(AVANCE[[#This Row],[PUERTAS ACCESO - LOGIA - BANO]]=AU$2,100%,AVANCE[[#This Row],[PUERTAS ACCESO - LOGIA - BANO]])</f>
        <v>0</v>
      </c>
      <c r="CI353" s="3">
        <f>+IF(AVANCE[[#This Row],[CERRADURAS]]=AV$2,100%,AVANCE[[#This Row],[CERRADURAS]])</f>
        <v>0</v>
      </c>
      <c r="CJ353" s="3">
        <f>+IF(AVANCE[[#This Row],[REVESTIMIENTO INTERIOR ZONA SECA]]=AW$2,100%,AVANCE[[#This Row],[REVESTIMIENTO INTERIOR ZONA SECA]])</f>
        <v>0</v>
      </c>
      <c r="CK353" s="3">
        <f>+IF(AVANCE[[#This Row],[REVESTIMIENTO INTERIOR ZONAS HUMEDAS]]=AX$2,100%,AVANCE[[#This Row],[REVESTIMIENTO INTERIOR ZONAS HUMEDAS]])</f>
        <v>0</v>
      </c>
      <c r="CL353" s="3">
        <f>+IF(AVANCE[[#This Row],[MEMBRANA CIELO]]=AY$2,100%,AVANCE[[#This Row],[MEMBRANA CIELO]])</f>
        <v>0</v>
      </c>
      <c r="CM353" s="3">
        <f>+IF(AVANCE[[#This Row],[LIMPIEZA FINAL]]=AZ$2,100%,AVANCE[[#This Row],[LIMPIEZA FINAL]])</f>
        <v>0</v>
      </c>
      <c r="CN353" s="3">
        <f>+IF(AVANCE[[#This Row],[PUERTAS DORMITORIO]]=BA$2,100%,AVANCE[[#This Row],[PUERTAS DORMITORIO]])</f>
        <v>0</v>
      </c>
      <c r="CO353" s="3">
        <f>+IF(AVANCE[[#This Row],[REVESTIMIENTO INTERIOR BANO]]=BB$2,100%,AVANCE[[#This Row],[REVESTIMIENTO INTERIOR BANO]])</f>
        <v>0</v>
      </c>
      <c r="CP353" s="3">
        <f>+IF(AVANCE[[#This Row],[MUEBLE LAVAPLATOS]]=BC$2,100%,AVANCE[[#This Row],[MUEBLE LAVAPLATOS]])</f>
        <v>0</v>
      </c>
      <c r="CQ353" s="3">
        <f>+IF(AVANCE[[#This Row],[IMPERMEABILIZACION BANO - COCINA LOGIA]]=BD$2,100%,AVANCE[[#This Row],[IMPERMEABILIZACION BANO - COCINA LOGIA]])</f>
        <v>0</v>
      </c>
      <c r="CR353" s="40">
        <f ca="1">+IF(AVANCE[[#This Row],[ESTADO MODULO]]="PENDIENTE",(TODAY()-AVANCE[[#This Row],[FECHA TERMINO  PLANIFICADO]]),0)</f>
        <v>0</v>
      </c>
      <c r="CS353" s="42" t="str" cm="1">
        <f t="array" ref="CS353">_xlfn.TEXTJOIN(" | ",TRUE,IF(SUMPRODUCT((BF353:CQ353&lt;1)*(PARTIDAS!$I$2:$AT$2="OBRA GRUESA"))&gt;0,"OBRA GRUESA: "&amp;_xlfn.TEXTJOIN(", ",TRUE,IF((BF353:CQ353&lt;1)*(PARTIDAS!$I$2:$AT$2="OBRA GRUESA"),PARTIDAS!$I$1:$AT$1,"")),""),IF(SUMPRODUCT((BF353:CQ353&lt;1)*(PARTIDAS!$I$2:$AT$2="SANITARIOS"))&gt;0,"SANITARIOS: "&amp;_xlfn.TEXTJOIN(", ",TRUE,IF((BF353:CQ353&lt;1)*(PARTIDAS!$I$2:$AT$2="SANITARIOS"),PARTIDAS!$I$1:$AT$1,"")),""),IF(SUMPRODUCT((BF353:CQ353&lt;1)*(PARTIDAS!$I$2:$AT$2="ELÉCTRICO"))&gt;0,"ELÉCTRICO: "&amp;_xlfn.TEXTJOIN(", ",TRUE,IF((BF353:CQ353&lt;1)*(PARTIDAS!$I$2:$AT$2="ELÉCTRICO"),PARTIDAS!$I$1:$AT$1,"")),""),IF(SUMPRODUCT((BF353:CQ353&lt;1)*(PARTIDAS!$I$2:$AT$2="TERMINACIONES"))&gt;0,"TERMINACIONES: "&amp;_xlfn.TEXTJOIN(", ",TRUE,IF((BF353:CQ353&lt;1)*(PARTIDAS!$I$2:$AT$2="TERMINACIONES"),PARTIDAS!$I$1:$AT$1,"")),""))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3" s="45" t="str" cm="1">
        <f t="array" ref="CT353">_xlfn.TEXTJOIN(", ",TRUE,IF(SUMPRODUCT((BF353:CQ353&lt;1)*(PARTIDAS!$I$2:$AT$2="OBRA GRUESA"))&gt;0,"OBRA GRUESA",""),IF(SUMPRODUCT((BF353:CQ353&lt;1)*(PARTIDAS!$I$2:$AT$2="SANITARIOS"))&gt;0,"SANITARIOS",""),IF(SUMPRODUCT((BF353:CQ353&lt;1)*(PARTIDAS!$I$2:$AT$2="ELÉCTRICO"))&gt;0,"ELÉCTRICO",""),IF(SUMPRODUCT((BF353:CQ353&lt;1)*(PARTIDAS!$I$2:$AT$2="TERMINACIONES"))&gt;0,"TERMINACIONES",""))</f>
        <v>OBRA GRUESA, SANITARIOS, ELÉCTRICO, TERMINACIONES</v>
      </c>
      <c r="CU353" s="46" cm="1">
        <f t="array" ref="CU353">SUMPRODUCT(--(BF353:CQ353&lt;1))</f>
        <v>38</v>
      </c>
    </row>
    <row r="354" spans="1:99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46181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 s="3" t="str">
        <f>+IF(AVANCE[[#This Row],[% AVANCE]]=100%,"MODULO TERMINADO",IF(AVANCE[[#This Row],[FECHA INICIO REAL]]="","MODULO NO INICIADO","PENDIENTE"))</f>
        <v>MODULO NO INICIADO</v>
      </c>
      <c r="BF354" s="3">
        <f>+IF(AVANCE[[#This Row],[VENTANAS]]=8.10810810810811%,100%,AVANCE[[#This Row],[VENTANAS]])</f>
        <v>0</v>
      </c>
      <c r="BG354" s="3">
        <f>+IF(AVANCE[[#This Row],[PISO]]=N$2,100%,AVANCE[[#This Row],[PISO]])</f>
        <v>0</v>
      </c>
      <c r="BH354" s="3">
        <f>+IF(AVANCE[[#This Row],[TABIQUES]]=O$2,100%,AVANCE[[#This Row],[TABIQUES]])</f>
        <v>0</v>
      </c>
      <c r="BI354" s="3">
        <f>+IF(AVANCE[[#This Row],[MUROS]]=P$2,100%,AVANCE[[#This Row],[MUROS]])</f>
        <v>0</v>
      </c>
      <c r="BJ354" s="3">
        <f>+IF(AVANCE[[#This Row],[CIELO]]=Q$2,100%,AVANCE[[#This Row],[CIELO]])</f>
        <v>0</v>
      </c>
      <c r="BK354" s="3">
        <f>+IF(AVANCE[[#This Row],[BALCÓN]]=R$2,100%,AVANCE[[#This Row],[BALCÓN]])</f>
        <v>0</v>
      </c>
      <c r="BL354" s="3">
        <f>+IF(AVANCE[[#This Row],[RED ALCANTARILLADO]]=U$2,100%,AVANCE[[#This Row],[RED ALCANTARILLADO]])</f>
        <v>0</v>
      </c>
      <c r="BM354" s="3">
        <f>+IF(AVANCE[[#This Row],[RED DE AGUA]]=V$2,100%,AVANCE[[#This Row],[RED DE AGUA]])</f>
        <v>0</v>
      </c>
      <c r="BN354" s="3">
        <f>+IF(AVANCE[[#This Row],[VENTILACIONES]]=W$2,100%,AVANCE[[#This Row],[VENTILACIONES]])</f>
        <v>0</v>
      </c>
      <c r="BO354" s="3">
        <f>+IF(AVANCE[[#This Row],[TINA]]=X$2,100%,AVANCE[[#This Row],[TINA]])</f>
        <v>0</v>
      </c>
      <c r="BP354" s="3">
        <f>+IF(AVANCE[[#This Row],[WC]]=Y$2,100%,AVANCE[[#This Row],[WC]])</f>
        <v>0</v>
      </c>
      <c r="BQ354" s="3">
        <f>+IF(AVANCE[[#This Row],[LAVAMANOS / LAVAPLATOS / LAVADERO]]=Z$2,100%,AVANCE[[#This Row],[LAVAMANOS / LAVAPLATOS / LAVADERO]])</f>
        <v>0</v>
      </c>
      <c r="BR354" s="3">
        <f>+IF(AVANCE[[#This Row],[CANALIZACIÓN]]=AC$2,100%,AVANCE[[#This Row],[CANALIZACIÓN]])</f>
        <v>0</v>
      </c>
      <c r="BS354" s="3">
        <f>+IF(AVANCE[[#This Row],[CABLEADO]]=AD$2,100%,AVANCE[[#This Row],[CABLEADO]])</f>
        <v>0</v>
      </c>
      <c r="BT354" s="3">
        <f>+IF(AVANCE[[#This Row],[ARTEFACTOS]]=AE$2,100%,AVANCE[[#This Row],[ARTEFACTOS]])</f>
        <v>0</v>
      </c>
      <c r="BU354" s="3">
        <f>+IF(AVANCE[[#This Row],[TABLERO]]=AF$2,100%,AVANCE[[#This Row],[TABLERO]])</f>
        <v>0</v>
      </c>
      <c r="BV354" s="3">
        <f>+IF(AVANCE[[#This Row],[CAJA PAU]]=AG$2,100%,AVANCE[[#This Row],[CAJA PAU]])</f>
        <v>0</v>
      </c>
      <c r="BW354" s="3">
        <f>+IF(AVANCE[[#This Row],[INSTALACION VINILICO]]=AJ$2,100%,AVANCE[[#This Row],[INSTALACION VINILICO]])</f>
        <v>0</v>
      </c>
      <c r="BX354" s="3">
        <f>+IF(AVANCE[[#This Row],[OSB CUBIERTA]]=AK$2,100%,AVANCE[[#This Row],[OSB CUBIERTA]])</f>
        <v>0</v>
      </c>
      <c r="BY354" s="3">
        <f>+IF(AVANCE[[#This Row],[BARANDA BALCON]]=AL$2,100%,AVANCE[[#This Row],[BARANDA BALCON]])</f>
        <v>0</v>
      </c>
      <c r="BZ354" s="3">
        <f>+IF(AVANCE[[#This Row],[OSB EXTERIOR]]=AM$2,100%,AVANCE[[#This Row],[OSB EXTERIOR]])</f>
        <v>0</v>
      </c>
      <c r="CA354" s="3">
        <f>+IF(AVANCE[[#This Row],[SMART PANEL]]=AN$2,100%,AVANCE[[#This Row],[SMART PANEL]])</f>
        <v>0</v>
      </c>
      <c r="CB354" s="3">
        <f>+IF(AVANCE[[#This Row],[PINTURA EXTERIOR]]=AO$2,100%,AVANCE[[#This Row],[PINTURA EXTERIOR]])</f>
        <v>0</v>
      </c>
      <c r="CC354" s="3">
        <f>+IF(AVANCE[[#This Row],[ZOCALOS LOGIA]]=AP$2,100%,AVANCE[[#This Row],[ZOCALOS LOGIA]])</f>
        <v>0</v>
      </c>
      <c r="CD354" s="3">
        <f>+IF(AVANCE[[#This Row],[MOLDURAS]]=AQ$2,100%,AVANCE[[#This Row],[MOLDURAS]])</f>
        <v>0</v>
      </c>
      <c r="CE354" s="3">
        <f>+IF(AVANCE[[#This Row],[PILASTREO]]=AR$2,100%,AVANCE[[#This Row],[PILASTREO]])</f>
        <v>0</v>
      </c>
      <c r="CF354" s="3">
        <f>+IF(AVANCE[[#This Row],[CELOSIAS]]=AS$2,100%,AVANCE[[#This Row],[CELOSIAS]])</f>
        <v>0</v>
      </c>
      <c r="CG354" s="3">
        <f>+IF(AVANCE[[#This Row],[VENTANAS]]=AT$2,100%,AVANCE[[#This Row],[VENTANAS]])</f>
        <v>0</v>
      </c>
      <c r="CH354" s="3">
        <f>+IF(AVANCE[[#This Row],[PUERTAS ACCESO - LOGIA - BANO]]=AU$2,100%,AVANCE[[#This Row],[PUERTAS ACCESO - LOGIA - BANO]])</f>
        <v>0</v>
      </c>
      <c r="CI354" s="3">
        <f>+IF(AVANCE[[#This Row],[CERRADURAS]]=AV$2,100%,AVANCE[[#This Row],[CERRADURAS]])</f>
        <v>0</v>
      </c>
      <c r="CJ354" s="3">
        <f>+IF(AVANCE[[#This Row],[REVESTIMIENTO INTERIOR ZONA SECA]]=AW$2,100%,AVANCE[[#This Row],[REVESTIMIENTO INTERIOR ZONA SECA]])</f>
        <v>0</v>
      </c>
      <c r="CK354" s="3">
        <f>+IF(AVANCE[[#This Row],[REVESTIMIENTO INTERIOR ZONAS HUMEDAS]]=AX$2,100%,AVANCE[[#This Row],[REVESTIMIENTO INTERIOR ZONAS HUMEDAS]])</f>
        <v>0</v>
      </c>
      <c r="CL354" s="3">
        <f>+IF(AVANCE[[#This Row],[MEMBRANA CIELO]]=AY$2,100%,AVANCE[[#This Row],[MEMBRANA CIELO]])</f>
        <v>0</v>
      </c>
      <c r="CM354" s="3">
        <f>+IF(AVANCE[[#This Row],[LIMPIEZA FINAL]]=AZ$2,100%,AVANCE[[#This Row],[LIMPIEZA FINAL]])</f>
        <v>0</v>
      </c>
      <c r="CN354" s="3">
        <f>+IF(AVANCE[[#This Row],[PUERTAS DORMITORIO]]=BA$2,100%,AVANCE[[#This Row],[PUERTAS DORMITORIO]])</f>
        <v>0</v>
      </c>
      <c r="CO354" s="3">
        <f>+IF(AVANCE[[#This Row],[REVESTIMIENTO INTERIOR BANO]]=BB$2,100%,AVANCE[[#This Row],[REVESTIMIENTO INTERIOR BANO]])</f>
        <v>0</v>
      </c>
      <c r="CP354" s="3">
        <f>+IF(AVANCE[[#This Row],[MUEBLE LAVAPLATOS]]=BC$2,100%,AVANCE[[#This Row],[MUEBLE LAVAPLATOS]])</f>
        <v>0</v>
      </c>
      <c r="CQ354" s="3">
        <f>+IF(AVANCE[[#This Row],[IMPERMEABILIZACION BANO - COCINA LOGIA]]=BD$2,100%,AVANCE[[#This Row],[IMPERMEABILIZACION BANO - COCINA LOGIA]])</f>
        <v>0</v>
      </c>
      <c r="CR354" s="40">
        <f ca="1">+IF(AVANCE[[#This Row],[ESTADO MODULO]]="PENDIENTE",(TODAY()-AVANCE[[#This Row],[FECHA TERMINO  PLANIFICADO]]),0)</f>
        <v>0</v>
      </c>
      <c r="CS354" s="42" t="str" cm="1">
        <f t="array" ref="CS354">_xlfn.TEXTJOIN(" | ",TRUE,IF(SUMPRODUCT((BF354:CQ354&lt;1)*(PARTIDAS!$I$2:$AT$2="OBRA GRUESA"))&gt;0,"OBRA GRUESA: "&amp;_xlfn.TEXTJOIN(", ",TRUE,IF((BF354:CQ354&lt;1)*(PARTIDAS!$I$2:$AT$2="OBRA GRUESA"),PARTIDAS!$I$1:$AT$1,"")),""),IF(SUMPRODUCT((BF354:CQ354&lt;1)*(PARTIDAS!$I$2:$AT$2="SANITARIOS"))&gt;0,"SANITARIOS: "&amp;_xlfn.TEXTJOIN(", ",TRUE,IF((BF354:CQ354&lt;1)*(PARTIDAS!$I$2:$AT$2="SANITARIOS"),PARTIDAS!$I$1:$AT$1,"")),""),IF(SUMPRODUCT((BF354:CQ354&lt;1)*(PARTIDAS!$I$2:$AT$2="ELÉCTRICO"))&gt;0,"ELÉCTRICO: "&amp;_xlfn.TEXTJOIN(", ",TRUE,IF((BF354:CQ354&lt;1)*(PARTIDAS!$I$2:$AT$2="ELÉCTRICO"),PARTIDAS!$I$1:$AT$1,"")),""),IF(SUMPRODUCT((BF354:CQ354&lt;1)*(PARTIDAS!$I$2:$AT$2="TERMINACIONES"))&gt;0,"TERMINACIONES: "&amp;_xlfn.TEXTJOIN(", ",TRUE,IF((BF354:CQ354&lt;1)*(PARTIDAS!$I$2:$AT$2="TERMINACIONES"),PARTIDAS!$I$1:$AT$1,"")),""))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4" s="45" t="str" cm="1">
        <f t="array" ref="CT354">_xlfn.TEXTJOIN(", ",TRUE,IF(SUMPRODUCT((BF354:CQ354&lt;1)*(PARTIDAS!$I$2:$AT$2="OBRA GRUESA"))&gt;0,"OBRA GRUESA",""),IF(SUMPRODUCT((BF354:CQ354&lt;1)*(PARTIDAS!$I$2:$AT$2="SANITARIOS"))&gt;0,"SANITARIOS",""),IF(SUMPRODUCT((BF354:CQ354&lt;1)*(PARTIDAS!$I$2:$AT$2="ELÉCTRICO"))&gt;0,"ELÉCTRICO",""),IF(SUMPRODUCT((BF354:CQ354&lt;1)*(PARTIDAS!$I$2:$AT$2="TERMINACIONES"))&gt;0,"TERMINACIONES",""))</f>
        <v>OBRA GRUESA, SANITARIOS, ELÉCTRICO, TERMINACIONES</v>
      </c>
      <c r="CU354" s="46" cm="1">
        <f t="array" ref="CU354">SUMPRODUCT(--(BF354:CQ354&lt;1))</f>
        <v>38</v>
      </c>
    </row>
    <row r="355" spans="1:99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46181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 s="3" t="str">
        <f>+IF(AVANCE[[#This Row],[% AVANCE]]=100%,"MODULO TERMINADO",IF(AVANCE[[#This Row],[FECHA INICIO REAL]]="","MODULO NO INICIADO","PENDIENTE"))</f>
        <v>MODULO NO INICIADO</v>
      </c>
      <c r="BF355" s="3">
        <f>+IF(AVANCE[[#This Row],[VENTANAS]]=8.10810810810811%,100%,AVANCE[[#This Row],[VENTANAS]])</f>
        <v>0</v>
      </c>
      <c r="BG355" s="3">
        <f>+IF(AVANCE[[#This Row],[PISO]]=N$2,100%,AVANCE[[#This Row],[PISO]])</f>
        <v>0</v>
      </c>
      <c r="BH355" s="3">
        <f>+IF(AVANCE[[#This Row],[TABIQUES]]=O$2,100%,AVANCE[[#This Row],[TABIQUES]])</f>
        <v>0</v>
      </c>
      <c r="BI355" s="3">
        <f>+IF(AVANCE[[#This Row],[MUROS]]=P$2,100%,AVANCE[[#This Row],[MUROS]])</f>
        <v>0</v>
      </c>
      <c r="BJ355" s="3">
        <f>+IF(AVANCE[[#This Row],[CIELO]]=Q$2,100%,AVANCE[[#This Row],[CIELO]])</f>
        <v>0</v>
      </c>
      <c r="BK355" s="3">
        <f>+IF(AVANCE[[#This Row],[BALCÓN]]=R$2,100%,AVANCE[[#This Row],[BALCÓN]])</f>
        <v>0</v>
      </c>
      <c r="BL355" s="3">
        <f>+IF(AVANCE[[#This Row],[RED ALCANTARILLADO]]=U$2,100%,AVANCE[[#This Row],[RED ALCANTARILLADO]])</f>
        <v>0</v>
      </c>
      <c r="BM355" s="3">
        <f>+IF(AVANCE[[#This Row],[RED DE AGUA]]=V$2,100%,AVANCE[[#This Row],[RED DE AGUA]])</f>
        <v>0</v>
      </c>
      <c r="BN355" s="3">
        <f>+IF(AVANCE[[#This Row],[VENTILACIONES]]=W$2,100%,AVANCE[[#This Row],[VENTILACIONES]])</f>
        <v>0</v>
      </c>
      <c r="BO355" s="3">
        <f>+IF(AVANCE[[#This Row],[TINA]]=X$2,100%,AVANCE[[#This Row],[TINA]])</f>
        <v>0</v>
      </c>
      <c r="BP355" s="3">
        <f>+IF(AVANCE[[#This Row],[WC]]=Y$2,100%,AVANCE[[#This Row],[WC]])</f>
        <v>0</v>
      </c>
      <c r="BQ355" s="3">
        <f>+IF(AVANCE[[#This Row],[LAVAMANOS / LAVAPLATOS / LAVADERO]]=Z$2,100%,AVANCE[[#This Row],[LAVAMANOS / LAVAPLATOS / LAVADERO]])</f>
        <v>0</v>
      </c>
      <c r="BR355" s="3">
        <f>+IF(AVANCE[[#This Row],[CANALIZACIÓN]]=AC$2,100%,AVANCE[[#This Row],[CANALIZACIÓN]])</f>
        <v>0</v>
      </c>
      <c r="BS355" s="3">
        <f>+IF(AVANCE[[#This Row],[CABLEADO]]=AD$2,100%,AVANCE[[#This Row],[CABLEADO]])</f>
        <v>0</v>
      </c>
      <c r="BT355" s="3">
        <f>+IF(AVANCE[[#This Row],[ARTEFACTOS]]=AE$2,100%,AVANCE[[#This Row],[ARTEFACTOS]])</f>
        <v>0</v>
      </c>
      <c r="BU355" s="3">
        <f>+IF(AVANCE[[#This Row],[TABLERO]]=AF$2,100%,AVANCE[[#This Row],[TABLERO]])</f>
        <v>0</v>
      </c>
      <c r="BV355" s="3">
        <f>+IF(AVANCE[[#This Row],[CAJA PAU]]=AG$2,100%,AVANCE[[#This Row],[CAJA PAU]])</f>
        <v>0</v>
      </c>
      <c r="BW355" s="3">
        <f>+IF(AVANCE[[#This Row],[INSTALACION VINILICO]]=AJ$2,100%,AVANCE[[#This Row],[INSTALACION VINILICO]])</f>
        <v>0</v>
      </c>
      <c r="BX355" s="3">
        <f>+IF(AVANCE[[#This Row],[OSB CUBIERTA]]=AK$2,100%,AVANCE[[#This Row],[OSB CUBIERTA]])</f>
        <v>0</v>
      </c>
      <c r="BY355" s="3">
        <f>+IF(AVANCE[[#This Row],[BARANDA BALCON]]=AL$2,100%,AVANCE[[#This Row],[BARANDA BALCON]])</f>
        <v>0</v>
      </c>
      <c r="BZ355" s="3">
        <f>+IF(AVANCE[[#This Row],[OSB EXTERIOR]]=AM$2,100%,AVANCE[[#This Row],[OSB EXTERIOR]])</f>
        <v>0</v>
      </c>
      <c r="CA355" s="3">
        <f>+IF(AVANCE[[#This Row],[SMART PANEL]]=AN$2,100%,AVANCE[[#This Row],[SMART PANEL]])</f>
        <v>0</v>
      </c>
      <c r="CB355" s="3">
        <f>+IF(AVANCE[[#This Row],[PINTURA EXTERIOR]]=AO$2,100%,AVANCE[[#This Row],[PINTURA EXTERIOR]])</f>
        <v>0</v>
      </c>
      <c r="CC355" s="3">
        <f>+IF(AVANCE[[#This Row],[ZOCALOS LOGIA]]=AP$2,100%,AVANCE[[#This Row],[ZOCALOS LOGIA]])</f>
        <v>0</v>
      </c>
      <c r="CD355" s="3">
        <f>+IF(AVANCE[[#This Row],[MOLDURAS]]=AQ$2,100%,AVANCE[[#This Row],[MOLDURAS]])</f>
        <v>0</v>
      </c>
      <c r="CE355" s="3">
        <f>+IF(AVANCE[[#This Row],[PILASTREO]]=AR$2,100%,AVANCE[[#This Row],[PILASTREO]])</f>
        <v>0</v>
      </c>
      <c r="CF355" s="3">
        <f>+IF(AVANCE[[#This Row],[CELOSIAS]]=AS$2,100%,AVANCE[[#This Row],[CELOSIAS]])</f>
        <v>0</v>
      </c>
      <c r="CG355" s="3">
        <f>+IF(AVANCE[[#This Row],[VENTANAS]]=AT$2,100%,AVANCE[[#This Row],[VENTANAS]])</f>
        <v>0</v>
      </c>
      <c r="CH355" s="3">
        <f>+IF(AVANCE[[#This Row],[PUERTAS ACCESO - LOGIA - BANO]]=AU$2,100%,AVANCE[[#This Row],[PUERTAS ACCESO - LOGIA - BANO]])</f>
        <v>0</v>
      </c>
      <c r="CI355" s="3">
        <f>+IF(AVANCE[[#This Row],[CERRADURAS]]=AV$2,100%,AVANCE[[#This Row],[CERRADURAS]])</f>
        <v>0</v>
      </c>
      <c r="CJ355" s="3">
        <f>+IF(AVANCE[[#This Row],[REVESTIMIENTO INTERIOR ZONA SECA]]=AW$2,100%,AVANCE[[#This Row],[REVESTIMIENTO INTERIOR ZONA SECA]])</f>
        <v>0</v>
      </c>
      <c r="CK355" s="3">
        <f>+IF(AVANCE[[#This Row],[REVESTIMIENTO INTERIOR ZONAS HUMEDAS]]=AX$2,100%,AVANCE[[#This Row],[REVESTIMIENTO INTERIOR ZONAS HUMEDAS]])</f>
        <v>0</v>
      </c>
      <c r="CL355" s="3">
        <f>+IF(AVANCE[[#This Row],[MEMBRANA CIELO]]=AY$2,100%,AVANCE[[#This Row],[MEMBRANA CIELO]])</f>
        <v>0</v>
      </c>
      <c r="CM355" s="3">
        <f>+IF(AVANCE[[#This Row],[LIMPIEZA FINAL]]=AZ$2,100%,AVANCE[[#This Row],[LIMPIEZA FINAL]])</f>
        <v>0</v>
      </c>
      <c r="CN355" s="3">
        <f>+IF(AVANCE[[#This Row],[PUERTAS DORMITORIO]]=BA$2,100%,AVANCE[[#This Row],[PUERTAS DORMITORIO]])</f>
        <v>0</v>
      </c>
      <c r="CO355" s="3">
        <f>+IF(AVANCE[[#This Row],[REVESTIMIENTO INTERIOR BANO]]=BB$2,100%,AVANCE[[#This Row],[REVESTIMIENTO INTERIOR BANO]])</f>
        <v>0</v>
      </c>
      <c r="CP355" s="3">
        <f>+IF(AVANCE[[#This Row],[MUEBLE LAVAPLATOS]]=BC$2,100%,AVANCE[[#This Row],[MUEBLE LAVAPLATOS]])</f>
        <v>0</v>
      </c>
      <c r="CQ355" s="3">
        <f>+IF(AVANCE[[#This Row],[IMPERMEABILIZACION BANO - COCINA LOGIA]]=BD$2,100%,AVANCE[[#This Row],[IMPERMEABILIZACION BANO - COCINA LOGIA]])</f>
        <v>0</v>
      </c>
      <c r="CR355" s="40">
        <f ca="1">+IF(AVANCE[[#This Row],[ESTADO MODULO]]="PENDIENTE",(TODAY()-AVANCE[[#This Row],[FECHA TERMINO  PLANIFICADO]]),0)</f>
        <v>0</v>
      </c>
      <c r="CS355" s="42" t="str" cm="1">
        <f t="array" ref="CS355">_xlfn.TEXTJOIN(" | ",TRUE,IF(SUMPRODUCT((BF355:CQ355&lt;1)*(PARTIDAS!$I$2:$AT$2="OBRA GRUESA"))&gt;0,"OBRA GRUESA: "&amp;_xlfn.TEXTJOIN(", ",TRUE,IF((BF355:CQ355&lt;1)*(PARTIDAS!$I$2:$AT$2="OBRA GRUESA"),PARTIDAS!$I$1:$AT$1,"")),""),IF(SUMPRODUCT((BF355:CQ355&lt;1)*(PARTIDAS!$I$2:$AT$2="SANITARIOS"))&gt;0,"SANITARIOS: "&amp;_xlfn.TEXTJOIN(", ",TRUE,IF((BF355:CQ355&lt;1)*(PARTIDAS!$I$2:$AT$2="SANITARIOS"),PARTIDAS!$I$1:$AT$1,"")),""),IF(SUMPRODUCT((BF355:CQ355&lt;1)*(PARTIDAS!$I$2:$AT$2="ELÉCTRICO"))&gt;0,"ELÉCTRICO: "&amp;_xlfn.TEXTJOIN(", ",TRUE,IF((BF355:CQ355&lt;1)*(PARTIDAS!$I$2:$AT$2="ELÉCTRICO"),PARTIDAS!$I$1:$AT$1,"")),""),IF(SUMPRODUCT((BF355:CQ355&lt;1)*(PARTIDAS!$I$2:$AT$2="TERMINACIONES"))&gt;0,"TERMINACIONES: "&amp;_xlfn.TEXTJOIN(", ",TRUE,IF((BF355:CQ355&lt;1)*(PARTIDAS!$I$2:$AT$2="TERMINACIONES"),PARTIDAS!$I$1:$AT$1,"")),""))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5" s="45" t="str" cm="1">
        <f t="array" ref="CT355">_xlfn.TEXTJOIN(", ",TRUE,IF(SUMPRODUCT((BF355:CQ355&lt;1)*(PARTIDAS!$I$2:$AT$2="OBRA GRUESA"))&gt;0,"OBRA GRUESA",""),IF(SUMPRODUCT((BF355:CQ355&lt;1)*(PARTIDAS!$I$2:$AT$2="SANITARIOS"))&gt;0,"SANITARIOS",""),IF(SUMPRODUCT((BF355:CQ355&lt;1)*(PARTIDAS!$I$2:$AT$2="ELÉCTRICO"))&gt;0,"ELÉCTRICO",""),IF(SUMPRODUCT((BF355:CQ355&lt;1)*(PARTIDAS!$I$2:$AT$2="TERMINACIONES"))&gt;0,"TERMINACIONES",""))</f>
        <v>OBRA GRUESA, SANITARIOS, ELÉCTRICO, TERMINACIONES</v>
      </c>
      <c r="CU355" s="46" cm="1">
        <f t="array" ref="CU355">SUMPRODUCT(--(BF355:CQ355&lt;1))</f>
        <v>38</v>
      </c>
    </row>
    <row r="356" spans="1:99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46181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 s="3" t="str">
        <f>+IF(AVANCE[[#This Row],[% AVANCE]]=100%,"MODULO TERMINADO",IF(AVANCE[[#This Row],[FECHA INICIO REAL]]="","MODULO NO INICIADO","PENDIENTE"))</f>
        <v>MODULO NO INICIADO</v>
      </c>
      <c r="BF356" s="3">
        <f>+IF(AVANCE[[#This Row],[VENTANAS]]=8.10810810810811%,100%,AVANCE[[#This Row],[VENTANAS]])</f>
        <v>0</v>
      </c>
      <c r="BG356" s="3">
        <f>+IF(AVANCE[[#This Row],[PISO]]=N$2,100%,AVANCE[[#This Row],[PISO]])</f>
        <v>0</v>
      </c>
      <c r="BH356" s="3">
        <f>+IF(AVANCE[[#This Row],[TABIQUES]]=O$2,100%,AVANCE[[#This Row],[TABIQUES]])</f>
        <v>0</v>
      </c>
      <c r="BI356" s="3">
        <f>+IF(AVANCE[[#This Row],[MUROS]]=P$2,100%,AVANCE[[#This Row],[MUROS]])</f>
        <v>0</v>
      </c>
      <c r="BJ356" s="3">
        <f>+IF(AVANCE[[#This Row],[CIELO]]=Q$2,100%,AVANCE[[#This Row],[CIELO]])</f>
        <v>0</v>
      </c>
      <c r="BK356" s="3">
        <f>+IF(AVANCE[[#This Row],[BALCÓN]]=R$2,100%,AVANCE[[#This Row],[BALCÓN]])</f>
        <v>0</v>
      </c>
      <c r="BL356" s="3">
        <f>+IF(AVANCE[[#This Row],[RED ALCANTARILLADO]]=U$2,100%,AVANCE[[#This Row],[RED ALCANTARILLADO]])</f>
        <v>0</v>
      </c>
      <c r="BM356" s="3">
        <f>+IF(AVANCE[[#This Row],[RED DE AGUA]]=V$2,100%,AVANCE[[#This Row],[RED DE AGUA]])</f>
        <v>0</v>
      </c>
      <c r="BN356" s="3">
        <f>+IF(AVANCE[[#This Row],[VENTILACIONES]]=W$2,100%,AVANCE[[#This Row],[VENTILACIONES]])</f>
        <v>0</v>
      </c>
      <c r="BO356" s="3">
        <f>+IF(AVANCE[[#This Row],[TINA]]=X$2,100%,AVANCE[[#This Row],[TINA]])</f>
        <v>0</v>
      </c>
      <c r="BP356" s="3">
        <f>+IF(AVANCE[[#This Row],[WC]]=Y$2,100%,AVANCE[[#This Row],[WC]])</f>
        <v>0</v>
      </c>
      <c r="BQ356" s="3">
        <f>+IF(AVANCE[[#This Row],[LAVAMANOS / LAVAPLATOS / LAVADERO]]=Z$2,100%,AVANCE[[#This Row],[LAVAMANOS / LAVAPLATOS / LAVADERO]])</f>
        <v>0</v>
      </c>
      <c r="BR356" s="3">
        <f>+IF(AVANCE[[#This Row],[CANALIZACIÓN]]=AC$2,100%,AVANCE[[#This Row],[CANALIZACIÓN]])</f>
        <v>0</v>
      </c>
      <c r="BS356" s="3">
        <f>+IF(AVANCE[[#This Row],[CABLEADO]]=AD$2,100%,AVANCE[[#This Row],[CABLEADO]])</f>
        <v>0</v>
      </c>
      <c r="BT356" s="3">
        <f>+IF(AVANCE[[#This Row],[ARTEFACTOS]]=AE$2,100%,AVANCE[[#This Row],[ARTEFACTOS]])</f>
        <v>0</v>
      </c>
      <c r="BU356" s="3">
        <f>+IF(AVANCE[[#This Row],[TABLERO]]=AF$2,100%,AVANCE[[#This Row],[TABLERO]])</f>
        <v>0</v>
      </c>
      <c r="BV356" s="3">
        <f>+IF(AVANCE[[#This Row],[CAJA PAU]]=AG$2,100%,AVANCE[[#This Row],[CAJA PAU]])</f>
        <v>0</v>
      </c>
      <c r="BW356" s="3">
        <f>+IF(AVANCE[[#This Row],[INSTALACION VINILICO]]=AJ$2,100%,AVANCE[[#This Row],[INSTALACION VINILICO]])</f>
        <v>0</v>
      </c>
      <c r="BX356" s="3">
        <f>+IF(AVANCE[[#This Row],[OSB CUBIERTA]]=AK$2,100%,AVANCE[[#This Row],[OSB CUBIERTA]])</f>
        <v>0</v>
      </c>
      <c r="BY356" s="3">
        <f>+IF(AVANCE[[#This Row],[BARANDA BALCON]]=AL$2,100%,AVANCE[[#This Row],[BARANDA BALCON]])</f>
        <v>0</v>
      </c>
      <c r="BZ356" s="3">
        <f>+IF(AVANCE[[#This Row],[OSB EXTERIOR]]=AM$2,100%,AVANCE[[#This Row],[OSB EXTERIOR]])</f>
        <v>0</v>
      </c>
      <c r="CA356" s="3">
        <f>+IF(AVANCE[[#This Row],[SMART PANEL]]=AN$2,100%,AVANCE[[#This Row],[SMART PANEL]])</f>
        <v>0</v>
      </c>
      <c r="CB356" s="3">
        <f>+IF(AVANCE[[#This Row],[PINTURA EXTERIOR]]=AO$2,100%,AVANCE[[#This Row],[PINTURA EXTERIOR]])</f>
        <v>0</v>
      </c>
      <c r="CC356" s="3">
        <f>+IF(AVANCE[[#This Row],[ZOCALOS LOGIA]]=AP$2,100%,AVANCE[[#This Row],[ZOCALOS LOGIA]])</f>
        <v>0</v>
      </c>
      <c r="CD356" s="3">
        <f>+IF(AVANCE[[#This Row],[MOLDURAS]]=AQ$2,100%,AVANCE[[#This Row],[MOLDURAS]])</f>
        <v>0</v>
      </c>
      <c r="CE356" s="3">
        <f>+IF(AVANCE[[#This Row],[PILASTREO]]=AR$2,100%,AVANCE[[#This Row],[PILASTREO]])</f>
        <v>0</v>
      </c>
      <c r="CF356" s="3">
        <f>+IF(AVANCE[[#This Row],[CELOSIAS]]=AS$2,100%,AVANCE[[#This Row],[CELOSIAS]])</f>
        <v>0</v>
      </c>
      <c r="CG356" s="3">
        <f>+IF(AVANCE[[#This Row],[VENTANAS]]=AT$2,100%,AVANCE[[#This Row],[VENTANAS]])</f>
        <v>0</v>
      </c>
      <c r="CH356" s="3">
        <f>+IF(AVANCE[[#This Row],[PUERTAS ACCESO - LOGIA - BANO]]=AU$2,100%,AVANCE[[#This Row],[PUERTAS ACCESO - LOGIA - BANO]])</f>
        <v>0</v>
      </c>
      <c r="CI356" s="3">
        <f>+IF(AVANCE[[#This Row],[CERRADURAS]]=AV$2,100%,AVANCE[[#This Row],[CERRADURAS]])</f>
        <v>0</v>
      </c>
      <c r="CJ356" s="3">
        <f>+IF(AVANCE[[#This Row],[REVESTIMIENTO INTERIOR ZONA SECA]]=AW$2,100%,AVANCE[[#This Row],[REVESTIMIENTO INTERIOR ZONA SECA]])</f>
        <v>0</v>
      </c>
      <c r="CK356" s="3">
        <f>+IF(AVANCE[[#This Row],[REVESTIMIENTO INTERIOR ZONAS HUMEDAS]]=AX$2,100%,AVANCE[[#This Row],[REVESTIMIENTO INTERIOR ZONAS HUMEDAS]])</f>
        <v>0</v>
      </c>
      <c r="CL356" s="3">
        <f>+IF(AVANCE[[#This Row],[MEMBRANA CIELO]]=AY$2,100%,AVANCE[[#This Row],[MEMBRANA CIELO]])</f>
        <v>0</v>
      </c>
      <c r="CM356" s="3">
        <f>+IF(AVANCE[[#This Row],[LIMPIEZA FINAL]]=AZ$2,100%,AVANCE[[#This Row],[LIMPIEZA FINAL]])</f>
        <v>0</v>
      </c>
      <c r="CN356" s="3">
        <f>+IF(AVANCE[[#This Row],[PUERTAS DORMITORIO]]=BA$2,100%,AVANCE[[#This Row],[PUERTAS DORMITORIO]])</f>
        <v>0</v>
      </c>
      <c r="CO356" s="3">
        <f>+IF(AVANCE[[#This Row],[REVESTIMIENTO INTERIOR BANO]]=BB$2,100%,AVANCE[[#This Row],[REVESTIMIENTO INTERIOR BANO]])</f>
        <v>0</v>
      </c>
      <c r="CP356" s="3">
        <f>+IF(AVANCE[[#This Row],[MUEBLE LAVAPLATOS]]=BC$2,100%,AVANCE[[#This Row],[MUEBLE LAVAPLATOS]])</f>
        <v>0</v>
      </c>
      <c r="CQ356" s="3">
        <f>+IF(AVANCE[[#This Row],[IMPERMEABILIZACION BANO - COCINA LOGIA]]=BD$2,100%,AVANCE[[#This Row],[IMPERMEABILIZACION BANO - COCINA LOGIA]])</f>
        <v>0</v>
      </c>
      <c r="CR356" s="40">
        <f ca="1">+IF(AVANCE[[#This Row],[ESTADO MODULO]]="PENDIENTE",(TODAY()-AVANCE[[#This Row],[FECHA TERMINO  PLANIFICADO]]),0)</f>
        <v>0</v>
      </c>
      <c r="CS356" s="42" t="str" cm="1">
        <f t="array" ref="CS356">_xlfn.TEXTJOIN(" | ",TRUE,IF(SUMPRODUCT((BF356:CQ356&lt;1)*(PARTIDAS!$I$2:$AT$2="OBRA GRUESA"))&gt;0,"OBRA GRUESA: "&amp;_xlfn.TEXTJOIN(", ",TRUE,IF((BF356:CQ356&lt;1)*(PARTIDAS!$I$2:$AT$2="OBRA GRUESA"),PARTIDAS!$I$1:$AT$1,"")),""),IF(SUMPRODUCT((BF356:CQ356&lt;1)*(PARTIDAS!$I$2:$AT$2="SANITARIOS"))&gt;0,"SANITARIOS: "&amp;_xlfn.TEXTJOIN(", ",TRUE,IF((BF356:CQ356&lt;1)*(PARTIDAS!$I$2:$AT$2="SANITARIOS"),PARTIDAS!$I$1:$AT$1,"")),""),IF(SUMPRODUCT((BF356:CQ356&lt;1)*(PARTIDAS!$I$2:$AT$2="ELÉCTRICO"))&gt;0,"ELÉCTRICO: "&amp;_xlfn.TEXTJOIN(", ",TRUE,IF((BF356:CQ356&lt;1)*(PARTIDAS!$I$2:$AT$2="ELÉCTRICO"),PARTIDAS!$I$1:$AT$1,"")),""),IF(SUMPRODUCT((BF356:CQ356&lt;1)*(PARTIDAS!$I$2:$AT$2="TERMINACIONES"))&gt;0,"TERMINACIONES: "&amp;_xlfn.TEXTJOIN(", ",TRUE,IF((BF356:CQ356&lt;1)*(PARTIDAS!$I$2:$AT$2="TERMINACIONES"),PARTIDAS!$I$1:$AT$1,"")),""))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6" s="45" t="str" cm="1">
        <f t="array" ref="CT356">_xlfn.TEXTJOIN(", ",TRUE,IF(SUMPRODUCT((BF356:CQ356&lt;1)*(PARTIDAS!$I$2:$AT$2="OBRA GRUESA"))&gt;0,"OBRA GRUESA",""),IF(SUMPRODUCT((BF356:CQ356&lt;1)*(PARTIDAS!$I$2:$AT$2="SANITARIOS"))&gt;0,"SANITARIOS",""),IF(SUMPRODUCT((BF356:CQ356&lt;1)*(PARTIDAS!$I$2:$AT$2="ELÉCTRICO"))&gt;0,"ELÉCTRICO",""),IF(SUMPRODUCT((BF356:CQ356&lt;1)*(PARTIDAS!$I$2:$AT$2="TERMINACIONES"))&gt;0,"TERMINACIONES",""))</f>
        <v>OBRA GRUESA, SANITARIOS, ELÉCTRICO, TERMINACIONES</v>
      </c>
      <c r="CU356" s="46" cm="1">
        <f t="array" ref="CU356">SUMPRODUCT(--(BF356:CQ356&lt;1))</f>
        <v>38</v>
      </c>
    </row>
    <row r="357" spans="1:99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46181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 s="3" t="str">
        <f>+IF(AVANCE[[#This Row],[% AVANCE]]=100%,"MODULO TERMINADO",IF(AVANCE[[#This Row],[FECHA INICIO REAL]]="","MODULO NO INICIADO","PENDIENTE"))</f>
        <v>MODULO NO INICIADO</v>
      </c>
      <c r="BF357" s="3">
        <f>+IF(AVANCE[[#This Row],[VENTANAS]]=8.10810810810811%,100%,AVANCE[[#This Row],[VENTANAS]])</f>
        <v>0</v>
      </c>
      <c r="BG357" s="3">
        <f>+IF(AVANCE[[#This Row],[PISO]]=N$2,100%,AVANCE[[#This Row],[PISO]])</f>
        <v>0</v>
      </c>
      <c r="BH357" s="3">
        <f>+IF(AVANCE[[#This Row],[TABIQUES]]=O$2,100%,AVANCE[[#This Row],[TABIQUES]])</f>
        <v>0</v>
      </c>
      <c r="BI357" s="3">
        <f>+IF(AVANCE[[#This Row],[MUROS]]=P$2,100%,AVANCE[[#This Row],[MUROS]])</f>
        <v>0</v>
      </c>
      <c r="BJ357" s="3">
        <f>+IF(AVANCE[[#This Row],[CIELO]]=Q$2,100%,AVANCE[[#This Row],[CIELO]])</f>
        <v>0</v>
      </c>
      <c r="BK357" s="3">
        <f>+IF(AVANCE[[#This Row],[BALCÓN]]=R$2,100%,AVANCE[[#This Row],[BALCÓN]])</f>
        <v>0</v>
      </c>
      <c r="BL357" s="3">
        <f>+IF(AVANCE[[#This Row],[RED ALCANTARILLADO]]=U$2,100%,AVANCE[[#This Row],[RED ALCANTARILLADO]])</f>
        <v>0</v>
      </c>
      <c r="BM357" s="3">
        <f>+IF(AVANCE[[#This Row],[RED DE AGUA]]=V$2,100%,AVANCE[[#This Row],[RED DE AGUA]])</f>
        <v>0</v>
      </c>
      <c r="BN357" s="3">
        <f>+IF(AVANCE[[#This Row],[VENTILACIONES]]=W$2,100%,AVANCE[[#This Row],[VENTILACIONES]])</f>
        <v>0</v>
      </c>
      <c r="BO357" s="3">
        <f>+IF(AVANCE[[#This Row],[TINA]]=X$2,100%,AVANCE[[#This Row],[TINA]])</f>
        <v>0</v>
      </c>
      <c r="BP357" s="3">
        <f>+IF(AVANCE[[#This Row],[WC]]=Y$2,100%,AVANCE[[#This Row],[WC]])</f>
        <v>0</v>
      </c>
      <c r="BQ357" s="3">
        <f>+IF(AVANCE[[#This Row],[LAVAMANOS / LAVAPLATOS / LAVADERO]]=Z$2,100%,AVANCE[[#This Row],[LAVAMANOS / LAVAPLATOS / LAVADERO]])</f>
        <v>0</v>
      </c>
      <c r="BR357" s="3">
        <f>+IF(AVANCE[[#This Row],[CANALIZACIÓN]]=AC$2,100%,AVANCE[[#This Row],[CANALIZACIÓN]])</f>
        <v>0</v>
      </c>
      <c r="BS357" s="3">
        <f>+IF(AVANCE[[#This Row],[CABLEADO]]=AD$2,100%,AVANCE[[#This Row],[CABLEADO]])</f>
        <v>0</v>
      </c>
      <c r="BT357" s="3">
        <f>+IF(AVANCE[[#This Row],[ARTEFACTOS]]=AE$2,100%,AVANCE[[#This Row],[ARTEFACTOS]])</f>
        <v>0</v>
      </c>
      <c r="BU357" s="3">
        <f>+IF(AVANCE[[#This Row],[TABLERO]]=AF$2,100%,AVANCE[[#This Row],[TABLERO]])</f>
        <v>0</v>
      </c>
      <c r="BV357" s="3">
        <f>+IF(AVANCE[[#This Row],[CAJA PAU]]=AG$2,100%,AVANCE[[#This Row],[CAJA PAU]])</f>
        <v>0</v>
      </c>
      <c r="BW357" s="3">
        <f>+IF(AVANCE[[#This Row],[INSTALACION VINILICO]]=AJ$2,100%,AVANCE[[#This Row],[INSTALACION VINILICO]])</f>
        <v>0</v>
      </c>
      <c r="BX357" s="3">
        <f>+IF(AVANCE[[#This Row],[OSB CUBIERTA]]=AK$2,100%,AVANCE[[#This Row],[OSB CUBIERTA]])</f>
        <v>0</v>
      </c>
      <c r="BY357" s="3">
        <f>+IF(AVANCE[[#This Row],[BARANDA BALCON]]=AL$2,100%,AVANCE[[#This Row],[BARANDA BALCON]])</f>
        <v>0</v>
      </c>
      <c r="BZ357" s="3">
        <f>+IF(AVANCE[[#This Row],[OSB EXTERIOR]]=AM$2,100%,AVANCE[[#This Row],[OSB EXTERIOR]])</f>
        <v>0</v>
      </c>
      <c r="CA357" s="3">
        <f>+IF(AVANCE[[#This Row],[SMART PANEL]]=AN$2,100%,AVANCE[[#This Row],[SMART PANEL]])</f>
        <v>0</v>
      </c>
      <c r="CB357" s="3">
        <f>+IF(AVANCE[[#This Row],[PINTURA EXTERIOR]]=AO$2,100%,AVANCE[[#This Row],[PINTURA EXTERIOR]])</f>
        <v>0</v>
      </c>
      <c r="CC357" s="3">
        <f>+IF(AVANCE[[#This Row],[ZOCALOS LOGIA]]=AP$2,100%,AVANCE[[#This Row],[ZOCALOS LOGIA]])</f>
        <v>0</v>
      </c>
      <c r="CD357" s="3">
        <f>+IF(AVANCE[[#This Row],[MOLDURAS]]=AQ$2,100%,AVANCE[[#This Row],[MOLDURAS]])</f>
        <v>0</v>
      </c>
      <c r="CE357" s="3">
        <f>+IF(AVANCE[[#This Row],[PILASTREO]]=AR$2,100%,AVANCE[[#This Row],[PILASTREO]])</f>
        <v>0</v>
      </c>
      <c r="CF357" s="3">
        <f>+IF(AVANCE[[#This Row],[CELOSIAS]]=AS$2,100%,AVANCE[[#This Row],[CELOSIAS]])</f>
        <v>0</v>
      </c>
      <c r="CG357" s="3">
        <f>+IF(AVANCE[[#This Row],[VENTANAS]]=AT$2,100%,AVANCE[[#This Row],[VENTANAS]])</f>
        <v>0</v>
      </c>
      <c r="CH357" s="3">
        <f>+IF(AVANCE[[#This Row],[PUERTAS ACCESO - LOGIA - BANO]]=AU$2,100%,AVANCE[[#This Row],[PUERTAS ACCESO - LOGIA - BANO]])</f>
        <v>0</v>
      </c>
      <c r="CI357" s="3">
        <f>+IF(AVANCE[[#This Row],[CERRADURAS]]=AV$2,100%,AVANCE[[#This Row],[CERRADURAS]])</f>
        <v>0</v>
      </c>
      <c r="CJ357" s="3">
        <f>+IF(AVANCE[[#This Row],[REVESTIMIENTO INTERIOR ZONA SECA]]=AW$2,100%,AVANCE[[#This Row],[REVESTIMIENTO INTERIOR ZONA SECA]])</f>
        <v>0</v>
      </c>
      <c r="CK357" s="3">
        <f>+IF(AVANCE[[#This Row],[REVESTIMIENTO INTERIOR ZONAS HUMEDAS]]=AX$2,100%,AVANCE[[#This Row],[REVESTIMIENTO INTERIOR ZONAS HUMEDAS]])</f>
        <v>0</v>
      </c>
      <c r="CL357" s="3">
        <f>+IF(AVANCE[[#This Row],[MEMBRANA CIELO]]=AY$2,100%,AVANCE[[#This Row],[MEMBRANA CIELO]])</f>
        <v>0</v>
      </c>
      <c r="CM357" s="3">
        <f>+IF(AVANCE[[#This Row],[LIMPIEZA FINAL]]=AZ$2,100%,AVANCE[[#This Row],[LIMPIEZA FINAL]])</f>
        <v>0</v>
      </c>
      <c r="CN357" s="3">
        <f>+IF(AVANCE[[#This Row],[PUERTAS DORMITORIO]]=BA$2,100%,AVANCE[[#This Row],[PUERTAS DORMITORIO]])</f>
        <v>0</v>
      </c>
      <c r="CO357" s="3">
        <f>+IF(AVANCE[[#This Row],[REVESTIMIENTO INTERIOR BANO]]=BB$2,100%,AVANCE[[#This Row],[REVESTIMIENTO INTERIOR BANO]])</f>
        <v>0</v>
      </c>
      <c r="CP357" s="3">
        <f>+IF(AVANCE[[#This Row],[MUEBLE LAVAPLATOS]]=BC$2,100%,AVANCE[[#This Row],[MUEBLE LAVAPLATOS]])</f>
        <v>0</v>
      </c>
      <c r="CQ357" s="3">
        <f>+IF(AVANCE[[#This Row],[IMPERMEABILIZACION BANO - COCINA LOGIA]]=BD$2,100%,AVANCE[[#This Row],[IMPERMEABILIZACION BANO - COCINA LOGIA]])</f>
        <v>0</v>
      </c>
      <c r="CR357" s="40">
        <f ca="1">+IF(AVANCE[[#This Row],[ESTADO MODULO]]="PENDIENTE",(TODAY()-AVANCE[[#This Row],[FECHA TERMINO  PLANIFICADO]]),0)</f>
        <v>0</v>
      </c>
      <c r="CS357" s="42" t="str" cm="1">
        <f t="array" ref="CS357">_xlfn.TEXTJOIN(" | ",TRUE,IF(SUMPRODUCT((BF357:CQ357&lt;1)*(PARTIDAS!$I$2:$AT$2="OBRA GRUESA"))&gt;0,"OBRA GRUESA: "&amp;_xlfn.TEXTJOIN(", ",TRUE,IF((BF357:CQ357&lt;1)*(PARTIDAS!$I$2:$AT$2="OBRA GRUESA"),PARTIDAS!$I$1:$AT$1,"")),""),IF(SUMPRODUCT((BF357:CQ357&lt;1)*(PARTIDAS!$I$2:$AT$2="SANITARIOS"))&gt;0,"SANITARIOS: "&amp;_xlfn.TEXTJOIN(", ",TRUE,IF((BF357:CQ357&lt;1)*(PARTIDAS!$I$2:$AT$2="SANITARIOS"),PARTIDAS!$I$1:$AT$1,"")),""),IF(SUMPRODUCT((BF357:CQ357&lt;1)*(PARTIDAS!$I$2:$AT$2="ELÉCTRICO"))&gt;0,"ELÉCTRICO: "&amp;_xlfn.TEXTJOIN(", ",TRUE,IF((BF357:CQ357&lt;1)*(PARTIDAS!$I$2:$AT$2="ELÉCTRICO"),PARTIDAS!$I$1:$AT$1,"")),""),IF(SUMPRODUCT((BF357:CQ357&lt;1)*(PARTIDAS!$I$2:$AT$2="TERMINACIONES"))&gt;0,"TERMINACIONES: "&amp;_xlfn.TEXTJOIN(", ",TRUE,IF((BF357:CQ357&lt;1)*(PARTIDAS!$I$2:$AT$2="TERMINACIONES"),PARTIDAS!$I$1:$AT$1,"")),""))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7" s="45" t="str" cm="1">
        <f t="array" ref="CT357">_xlfn.TEXTJOIN(", ",TRUE,IF(SUMPRODUCT((BF357:CQ357&lt;1)*(PARTIDAS!$I$2:$AT$2="OBRA GRUESA"))&gt;0,"OBRA GRUESA",""),IF(SUMPRODUCT((BF357:CQ357&lt;1)*(PARTIDAS!$I$2:$AT$2="SANITARIOS"))&gt;0,"SANITARIOS",""),IF(SUMPRODUCT((BF357:CQ357&lt;1)*(PARTIDAS!$I$2:$AT$2="ELÉCTRICO"))&gt;0,"ELÉCTRICO",""),IF(SUMPRODUCT((BF357:CQ357&lt;1)*(PARTIDAS!$I$2:$AT$2="TERMINACIONES"))&gt;0,"TERMINACIONES",""))</f>
        <v>OBRA GRUESA, SANITARIOS, ELÉCTRICO, TERMINACIONES</v>
      </c>
      <c r="CU357" s="46" cm="1">
        <f t="array" ref="CU357">SUMPRODUCT(--(BF357:CQ357&lt;1))</f>
        <v>38</v>
      </c>
    </row>
    <row r="358" spans="1:99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46181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 s="3" t="str">
        <f>+IF(AVANCE[[#This Row],[% AVANCE]]=100%,"MODULO TERMINADO",IF(AVANCE[[#This Row],[FECHA INICIO REAL]]="","MODULO NO INICIADO","PENDIENTE"))</f>
        <v>MODULO NO INICIADO</v>
      </c>
      <c r="BF358" s="3">
        <f>+IF(AVANCE[[#This Row],[VENTANAS]]=8.10810810810811%,100%,AVANCE[[#This Row],[VENTANAS]])</f>
        <v>0</v>
      </c>
      <c r="BG358" s="3">
        <f>+IF(AVANCE[[#This Row],[PISO]]=N$2,100%,AVANCE[[#This Row],[PISO]])</f>
        <v>0</v>
      </c>
      <c r="BH358" s="3">
        <f>+IF(AVANCE[[#This Row],[TABIQUES]]=O$2,100%,AVANCE[[#This Row],[TABIQUES]])</f>
        <v>0</v>
      </c>
      <c r="BI358" s="3">
        <f>+IF(AVANCE[[#This Row],[MUROS]]=P$2,100%,AVANCE[[#This Row],[MUROS]])</f>
        <v>0</v>
      </c>
      <c r="BJ358" s="3">
        <f>+IF(AVANCE[[#This Row],[CIELO]]=Q$2,100%,AVANCE[[#This Row],[CIELO]])</f>
        <v>0</v>
      </c>
      <c r="BK358" s="3">
        <f>+IF(AVANCE[[#This Row],[BALCÓN]]=R$2,100%,AVANCE[[#This Row],[BALCÓN]])</f>
        <v>0</v>
      </c>
      <c r="BL358" s="3">
        <f>+IF(AVANCE[[#This Row],[RED ALCANTARILLADO]]=U$2,100%,AVANCE[[#This Row],[RED ALCANTARILLADO]])</f>
        <v>0</v>
      </c>
      <c r="BM358" s="3">
        <f>+IF(AVANCE[[#This Row],[RED DE AGUA]]=V$2,100%,AVANCE[[#This Row],[RED DE AGUA]])</f>
        <v>0</v>
      </c>
      <c r="BN358" s="3">
        <f>+IF(AVANCE[[#This Row],[VENTILACIONES]]=W$2,100%,AVANCE[[#This Row],[VENTILACIONES]])</f>
        <v>0</v>
      </c>
      <c r="BO358" s="3">
        <f>+IF(AVANCE[[#This Row],[TINA]]=X$2,100%,AVANCE[[#This Row],[TINA]])</f>
        <v>0</v>
      </c>
      <c r="BP358" s="3">
        <f>+IF(AVANCE[[#This Row],[WC]]=Y$2,100%,AVANCE[[#This Row],[WC]])</f>
        <v>0</v>
      </c>
      <c r="BQ358" s="3">
        <f>+IF(AVANCE[[#This Row],[LAVAMANOS / LAVAPLATOS / LAVADERO]]=Z$2,100%,AVANCE[[#This Row],[LAVAMANOS / LAVAPLATOS / LAVADERO]])</f>
        <v>0</v>
      </c>
      <c r="BR358" s="3">
        <f>+IF(AVANCE[[#This Row],[CANALIZACIÓN]]=AC$2,100%,AVANCE[[#This Row],[CANALIZACIÓN]])</f>
        <v>0</v>
      </c>
      <c r="BS358" s="3">
        <f>+IF(AVANCE[[#This Row],[CABLEADO]]=AD$2,100%,AVANCE[[#This Row],[CABLEADO]])</f>
        <v>0</v>
      </c>
      <c r="BT358" s="3">
        <f>+IF(AVANCE[[#This Row],[ARTEFACTOS]]=AE$2,100%,AVANCE[[#This Row],[ARTEFACTOS]])</f>
        <v>0</v>
      </c>
      <c r="BU358" s="3">
        <f>+IF(AVANCE[[#This Row],[TABLERO]]=AF$2,100%,AVANCE[[#This Row],[TABLERO]])</f>
        <v>0</v>
      </c>
      <c r="BV358" s="3">
        <f>+IF(AVANCE[[#This Row],[CAJA PAU]]=AG$2,100%,AVANCE[[#This Row],[CAJA PAU]])</f>
        <v>0</v>
      </c>
      <c r="BW358" s="3">
        <f>+IF(AVANCE[[#This Row],[INSTALACION VINILICO]]=AJ$2,100%,AVANCE[[#This Row],[INSTALACION VINILICO]])</f>
        <v>0</v>
      </c>
      <c r="BX358" s="3">
        <f>+IF(AVANCE[[#This Row],[OSB CUBIERTA]]=AK$2,100%,AVANCE[[#This Row],[OSB CUBIERTA]])</f>
        <v>0</v>
      </c>
      <c r="BY358" s="3">
        <f>+IF(AVANCE[[#This Row],[BARANDA BALCON]]=AL$2,100%,AVANCE[[#This Row],[BARANDA BALCON]])</f>
        <v>0</v>
      </c>
      <c r="BZ358" s="3">
        <f>+IF(AVANCE[[#This Row],[OSB EXTERIOR]]=AM$2,100%,AVANCE[[#This Row],[OSB EXTERIOR]])</f>
        <v>0</v>
      </c>
      <c r="CA358" s="3">
        <f>+IF(AVANCE[[#This Row],[SMART PANEL]]=AN$2,100%,AVANCE[[#This Row],[SMART PANEL]])</f>
        <v>0</v>
      </c>
      <c r="CB358" s="3">
        <f>+IF(AVANCE[[#This Row],[PINTURA EXTERIOR]]=AO$2,100%,AVANCE[[#This Row],[PINTURA EXTERIOR]])</f>
        <v>0</v>
      </c>
      <c r="CC358" s="3">
        <f>+IF(AVANCE[[#This Row],[ZOCALOS LOGIA]]=AP$2,100%,AVANCE[[#This Row],[ZOCALOS LOGIA]])</f>
        <v>0</v>
      </c>
      <c r="CD358" s="3">
        <f>+IF(AVANCE[[#This Row],[MOLDURAS]]=AQ$2,100%,AVANCE[[#This Row],[MOLDURAS]])</f>
        <v>0</v>
      </c>
      <c r="CE358" s="3">
        <f>+IF(AVANCE[[#This Row],[PILASTREO]]=AR$2,100%,AVANCE[[#This Row],[PILASTREO]])</f>
        <v>0</v>
      </c>
      <c r="CF358" s="3">
        <f>+IF(AVANCE[[#This Row],[CELOSIAS]]=AS$2,100%,AVANCE[[#This Row],[CELOSIAS]])</f>
        <v>0</v>
      </c>
      <c r="CG358" s="3">
        <f>+IF(AVANCE[[#This Row],[VENTANAS]]=AT$2,100%,AVANCE[[#This Row],[VENTANAS]])</f>
        <v>0</v>
      </c>
      <c r="CH358" s="3">
        <f>+IF(AVANCE[[#This Row],[PUERTAS ACCESO - LOGIA - BANO]]=AU$2,100%,AVANCE[[#This Row],[PUERTAS ACCESO - LOGIA - BANO]])</f>
        <v>0</v>
      </c>
      <c r="CI358" s="3">
        <f>+IF(AVANCE[[#This Row],[CERRADURAS]]=AV$2,100%,AVANCE[[#This Row],[CERRADURAS]])</f>
        <v>0</v>
      </c>
      <c r="CJ358" s="3">
        <f>+IF(AVANCE[[#This Row],[REVESTIMIENTO INTERIOR ZONA SECA]]=AW$2,100%,AVANCE[[#This Row],[REVESTIMIENTO INTERIOR ZONA SECA]])</f>
        <v>0</v>
      </c>
      <c r="CK358" s="3">
        <f>+IF(AVANCE[[#This Row],[REVESTIMIENTO INTERIOR ZONAS HUMEDAS]]=AX$2,100%,AVANCE[[#This Row],[REVESTIMIENTO INTERIOR ZONAS HUMEDAS]])</f>
        <v>0</v>
      </c>
      <c r="CL358" s="3">
        <f>+IF(AVANCE[[#This Row],[MEMBRANA CIELO]]=AY$2,100%,AVANCE[[#This Row],[MEMBRANA CIELO]])</f>
        <v>0</v>
      </c>
      <c r="CM358" s="3">
        <f>+IF(AVANCE[[#This Row],[LIMPIEZA FINAL]]=AZ$2,100%,AVANCE[[#This Row],[LIMPIEZA FINAL]])</f>
        <v>0</v>
      </c>
      <c r="CN358" s="3">
        <f>+IF(AVANCE[[#This Row],[PUERTAS DORMITORIO]]=BA$2,100%,AVANCE[[#This Row],[PUERTAS DORMITORIO]])</f>
        <v>0</v>
      </c>
      <c r="CO358" s="3">
        <f>+IF(AVANCE[[#This Row],[REVESTIMIENTO INTERIOR BANO]]=BB$2,100%,AVANCE[[#This Row],[REVESTIMIENTO INTERIOR BANO]])</f>
        <v>0</v>
      </c>
      <c r="CP358" s="3">
        <f>+IF(AVANCE[[#This Row],[MUEBLE LAVAPLATOS]]=BC$2,100%,AVANCE[[#This Row],[MUEBLE LAVAPLATOS]])</f>
        <v>0</v>
      </c>
      <c r="CQ358" s="3">
        <f>+IF(AVANCE[[#This Row],[IMPERMEABILIZACION BANO - COCINA LOGIA]]=BD$2,100%,AVANCE[[#This Row],[IMPERMEABILIZACION BANO - COCINA LOGIA]])</f>
        <v>0</v>
      </c>
      <c r="CR358" s="40">
        <f ca="1">+IF(AVANCE[[#This Row],[ESTADO MODULO]]="PENDIENTE",(TODAY()-AVANCE[[#This Row],[FECHA TERMINO  PLANIFICADO]]),0)</f>
        <v>0</v>
      </c>
      <c r="CS358" s="42" t="str" cm="1">
        <f t="array" ref="CS358">_xlfn.TEXTJOIN(" | ",TRUE,IF(SUMPRODUCT((BF358:CQ358&lt;1)*(PARTIDAS!$I$2:$AT$2="OBRA GRUESA"))&gt;0,"OBRA GRUESA: "&amp;_xlfn.TEXTJOIN(", ",TRUE,IF((BF358:CQ358&lt;1)*(PARTIDAS!$I$2:$AT$2="OBRA GRUESA"),PARTIDAS!$I$1:$AT$1,"")),""),IF(SUMPRODUCT((BF358:CQ358&lt;1)*(PARTIDAS!$I$2:$AT$2="SANITARIOS"))&gt;0,"SANITARIOS: "&amp;_xlfn.TEXTJOIN(", ",TRUE,IF((BF358:CQ358&lt;1)*(PARTIDAS!$I$2:$AT$2="SANITARIOS"),PARTIDAS!$I$1:$AT$1,"")),""),IF(SUMPRODUCT((BF358:CQ358&lt;1)*(PARTIDAS!$I$2:$AT$2="ELÉCTRICO"))&gt;0,"ELÉCTRICO: "&amp;_xlfn.TEXTJOIN(", ",TRUE,IF((BF358:CQ358&lt;1)*(PARTIDAS!$I$2:$AT$2="ELÉCTRICO"),PARTIDAS!$I$1:$AT$1,"")),""),IF(SUMPRODUCT((BF358:CQ358&lt;1)*(PARTIDAS!$I$2:$AT$2="TERMINACIONES"))&gt;0,"TERMINACIONES: "&amp;_xlfn.TEXTJOIN(", ",TRUE,IF((BF358:CQ358&lt;1)*(PARTIDAS!$I$2:$AT$2="TERMINACIONES"),PARTIDAS!$I$1:$AT$1,"")),""))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8" s="45" t="str" cm="1">
        <f t="array" ref="CT358">_xlfn.TEXTJOIN(", ",TRUE,IF(SUMPRODUCT((BF358:CQ358&lt;1)*(PARTIDAS!$I$2:$AT$2="OBRA GRUESA"))&gt;0,"OBRA GRUESA",""),IF(SUMPRODUCT((BF358:CQ358&lt;1)*(PARTIDAS!$I$2:$AT$2="SANITARIOS"))&gt;0,"SANITARIOS",""),IF(SUMPRODUCT((BF358:CQ358&lt;1)*(PARTIDAS!$I$2:$AT$2="ELÉCTRICO"))&gt;0,"ELÉCTRICO",""),IF(SUMPRODUCT((BF358:CQ358&lt;1)*(PARTIDAS!$I$2:$AT$2="TERMINACIONES"))&gt;0,"TERMINACIONES",""))</f>
        <v>OBRA GRUESA, SANITARIOS, ELÉCTRICO, TERMINACIONES</v>
      </c>
      <c r="CU358" s="46" cm="1">
        <f t="array" ref="CU358">SUMPRODUCT(--(BF358:CQ358&lt;1))</f>
        <v>38</v>
      </c>
    </row>
    <row r="359" spans="1:99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46181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 s="3" t="str">
        <f>+IF(AVANCE[[#This Row],[% AVANCE]]=100%,"MODULO TERMINADO",IF(AVANCE[[#This Row],[FECHA INICIO REAL]]="","MODULO NO INICIADO","PENDIENTE"))</f>
        <v>MODULO NO INICIADO</v>
      </c>
      <c r="BF359" s="3">
        <f>+IF(AVANCE[[#This Row],[VENTANAS]]=8.10810810810811%,100%,AVANCE[[#This Row],[VENTANAS]])</f>
        <v>0</v>
      </c>
      <c r="BG359" s="3">
        <f>+IF(AVANCE[[#This Row],[PISO]]=N$2,100%,AVANCE[[#This Row],[PISO]])</f>
        <v>0</v>
      </c>
      <c r="BH359" s="3">
        <f>+IF(AVANCE[[#This Row],[TABIQUES]]=O$2,100%,AVANCE[[#This Row],[TABIQUES]])</f>
        <v>0</v>
      </c>
      <c r="BI359" s="3">
        <f>+IF(AVANCE[[#This Row],[MUROS]]=P$2,100%,AVANCE[[#This Row],[MUROS]])</f>
        <v>0</v>
      </c>
      <c r="BJ359" s="3">
        <f>+IF(AVANCE[[#This Row],[CIELO]]=Q$2,100%,AVANCE[[#This Row],[CIELO]])</f>
        <v>0</v>
      </c>
      <c r="BK359" s="3">
        <f>+IF(AVANCE[[#This Row],[BALCÓN]]=R$2,100%,AVANCE[[#This Row],[BALCÓN]])</f>
        <v>0</v>
      </c>
      <c r="BL359" s="3">
        <f>+IF(AVANCE[[#This Row],[RED ALCANTARILLADO]]=U$2,100%,AVANCE[[#This Row],[RED ALCANTARILLADO]])</f>
        <v>0</v>
      </c>
      <c r="BM359" s="3">
        <f>+IF(AVANCE[[#This Row],[RED DE AGUA]]=V$2,100%,AVANCE[[#This Row],[RED DE AGUA]])</f>
        <v>0</v>
      </c>
      <c r="BN359" s="3">
        <f>+IF(AVANCE[[#This Row],[VENTILACIONES]]=W$2,100%,AVANCE[[#This Row],[VENTILACIONES]])</f>
        <v>0</v>
      </c>
      <c r="BO359" s="3">
        <f>+IF(AVANCE[[#This Row],[TINA]]=X$2,100%,AVANCE[[#This Row],[TINA]])</f>
        <v>0</v>
      </c>
      <c r="BP359" s="3">
        <f>+IF(AVANCE[[#This Row],[WC]]=Y$2,100%,AVANCE[[#This Row],[WC]])</f>
        <v>0</v>
      </c>
      <c r="BQ359" s="3">
        <f>+IF(AVANCE[[#This Row],[LAVAMANOS / LAVAPLATOS / LAVADERO]]=Z$2,100%,AVANCE[[#This Row],[LAVAMANOS / LAVAPLATOS / LAVADERO]])</f>
        <v>0</v>
      </c>
      <c r="BR359" s="3">
        <f>+IF(AVANCE[[#This Row],[CANALIZACIÓN]]=AC$2,100%,AVANCE[[#This Row],[CANALIZACIÓN]])</f>
        <v>0</v>
      </c>
      <c r="BS359" s="3">
        <f>+IF(AVANCE[[#This Row],[CABLEADO]]=AD$2,100%,AVANCE[[#This Row],[CABLEADO]])</f>
        <v>0</v>
      </c>
      <c r="BT359" s="3">
        <f>+IF(AVANCE[[#This Row],[ARTEFACTOS]]=AE$2,100%,AVANCE[[#This Row],[ARTEFACTOS]])</f>
        <v>0</v>
      </c>
      <c r="BU359" s="3">
        <f>+IF(AVANCE[[#This Row],[TABLERO]]=AF$2,100%,AVANCE[[#This Row],[TABLERO]])</f>
        <v>0</v>
      </c>
      <c r="BV359" s="3">
        <f>+IF(AVANCE[[#This Row],[CAJA PAU]]=AG$2,100%,AVANCE[[#This Row],[CAJA PAU]])</f>
        <v>0</v>
      </c>
      <c r="BW359" s="3">
        <f>+IF(AVANCE[[#This Row],[INSTALACION VINILICO]]=AJ$2,100%,AVANCE[[#This Row],[INSTALACION VINILICO]])</f>
        <v>0</v>
      </c>
      <c r="BX359" s="3">
        <f>+IF(AVANCE[[#This Row],[OSB CUBIERTA]]=AK$2,100%,AVANCE[[#This Row],[OSB CUBIERTA]])</f>
        <v>0</v>
      </c>
      <c r="BY359" s="3">
        <f>+IF(AVANCE[[#This Row],[BARANDA BALCON]]=AL$2,100%,AVANCE[[#This Row],[BARANDA BALCON]])</f>
        <v>0</v>
      </c>
      <c r="BZ359" s="3">
        <f>+IF(AVANCE[[#This Row],[OSB EXTERIOR]]=AM$2,100%,AVANCE[[#This Row],[OSB EXTERIOR]])</f>
        <v>0</v>
      </c>
      <c r="CA359" s="3">
        <f>+IF(AVANCE[[#This Row],[SMART PANEL]]=AN$2,100%,AVANCE[[#This Row],[SMART PANEL]])</f>
        <v>0</v>
      </c>
      <c r="CB359" s="3">
        <f>+IF(AVANCE[[#This Row],[PINTURA EXTERIOR]]=AO$2,100%,AVANCE[[#This Row],[PINTURA EXTERIOR]])</f>
        <v>0</v>
      </c>
      <c r="CC359" s="3">
        <f>+IF(AVANCE[[#This Row],[ZOCALOS LOGIA]]=AP$2,100%,AVANCE[[#This Row],[ZOCALOS LOGIA]])</f>
        <v>0</v>
      </c>
      <c r="CD359" s="3">
        <f>+IF(AVANCE[[#This Row],[MOLDURAS]]=AQ$2,100%,AVANCE[[#This Row],[MOLDURAS]])</f>
        <v>0</v>
      </c>
      <c r="CE359" s="3">
        <f>+IF(AVANCE[[#This Row],[PILASTREO]]=AR$2,100%,AVANCE[[#This Row],[PILASTREO]])</f>
        <v>0</v>
      </c>
      <c r="CF359" s="3">
        <f>+IF(AVANCE[[#This Row],[CELOSIAS]]=AS$2,100%,AVANCE[[#This Row],[CELOSIAS]])</f>
        <v>0</v>
      </c>
      <c r="CG359" s="3">
        <f>+IF(AVANCE[[#This Row],[VENTANAS]]=AT$2,100%,AVANCE[[#This Row],[VENTANAS]])</f>
        <v>0</v>
      </c>
      <c r="CH359" s="3">
        <f>+IF(AVANCE[[#This Row],[PUERTAS ACCESO - LOGIA - BANO]]=AU$2,100%,AVANCE[[#This Row],[PUERTAS ACCESO - LOGIA - BANO]])</f>
        <v>0</v>
      </c>
      <c r="CI359" s="3">
        <f>+IF(AVANCE[[#This Row],[CERRADURAS]]=AV$2,100%,AVANCE[[#This Row],[CERRADURAS]])</f>
        <v>0</v>
      </c>
      <c r="CJ359" s="3">
        <f>+IF(AVANCE[[#This Row],[REVESTIMIENTO INTERIOR ZONA SECA]]=AW$2,100%,AVANCE[[#This Row],[REVESTIMIENTO INTERIOR ZONA SECA]])</f>
        <v>0</v>
      </c>
      <c r="CK359" s="3">
        <f>+IF(AVANCE[[#This Row],[REVESTIMIENTO INTERIOR ZONAS HUMEDAS]]=AX$2,100%,AVANCE[[#This Row],[REVESTIMIENTO INTERIOR ZONAS HUMEDAS]])</f>
        <v>0</v>
      </c>
      <c r="CL359" s="3">
        <f>+IF(AVANCE[[#This Row],[MEMBRANA CIELO]]=AY$2,100%,AVANCE[[#This Row],[MEMBRANA CIELO]])</f>
        <v>0</v>
      </c>
      <c r="CM359" s="3">
        <f>+IF(AVANCE[[#This Row],[LIMPIEZA FINAL]]=AZ$2,100%,AVANCE[[#This Row],[LIMPIEZA FINAL]])</f>
        <v>0</v>
      </c>
      <c r="CN359" s="3">
        <f>+IF(AVANCE[[#This Row],[PUERTAS DORMITORIO]]=BA$2,100%,AVANCE[[#This Row],[PUERTAS DORMITORIO]])</f>
        <v>0</v>
      </c>
      <c r="CO359" s="3">
        <f>+IF(AVANCE[[#This Row],[REVESTIMIENTO INTERIOR BANO]]=BB$2,100%,AVANCE[[#This Row],[REVESTIMIENTO INTERIOR BANO]])</f>
        <v>0</v>
      </c>
      <c r="CP359" s="3">
        <f>+IF(AVANCE[[#This Row],[MUEBLE LAVAPLATOS]]=BC$2,100%,AVANCE[[#This Row],[MUEBLE LAVAPLATOS]])</f>
        <v>0</v>
      </c>
      <c r="CQ359" s="3">
        <f>+IF(AVANCE[[#This Row],[IMPERMEABILIZACION BANO - COCINA LOGIA]]=BD$2,100%,AVANCE[[#This Row],[IMPERMEABILIZACION BANO - COCINA LOGIA]])</f>
        <v>0</v>
      </c>
      <c r="CR359" s="40">
        <f ca="1">+IF(AVANCE[[#This Row],[ESTADO MODULO]]="PENDIENTE",(TODAY()-AVANCE[[#This Row],[FECHA TERMINO  PLANIFICADO]]),0)</f>
        <v>0</v>
      </c>
      <c r="CS359" s="42" t="str" cm="1">
        <f t="array" ref="CS359">_xlfn.TEXTJOIN(" | ",TRUE,IF(SUMPRODUCT((BF359:CQ359&lt;1)*(PARTIDAS!$I$2:$AT$2="OBRA GRUESA"))&gt;0,"OBRA GRUESA: "&amp;_xlfn.TEXTJOIN(", ",TRUE,IF((BF359:CQ359&lt;1)*(PARTIDAS!$I$2:$AT$2="OBRA GRUESA"),PARTIDAS!$I$1:$AT$1,"")),""),IF(SUMPRODUCT((BF359:CQ359&lt;1)*(PARTIDAS!$I$2:$AT$2="SANITARIOS"))&gt;0,"SANITARIOS: "&amp;_xlfn.TEXTJOIN(", ",TRUE,IF((BF359:CQ359&lt;1)*(PARTIDAS!$I$2:$AT$2="SANITARIOS"),PARTIDAS!$I$1:$AT$1,"")),""),IF(SUMPRODUCT((BF359:CQ359&lt;1)*(PARTIDAS!$I$2:$AT$2="ELÉCTRICO"))&gt;0,"ELÉCTRICO: "&amp;_xlfn.TEXTJOIN(", ",TRUE,IF((BF359:CQ359&lt;1)*(PARTIDAS!$I$2:$AT$2="ELÉCTRICO"),PARTIDAS!$I$1:$AT$1,"")),""),IF(SUMPRODUCT((BF359:CQ359&lt;1)*(PARTIDAS!$I$2:$AT$2="TERMINACIONES"))&gt;0,"TERMINACIONES: "&amp;_xlfn.TEXTJOIN(", ",TRUE,IF((BF359:CQ359&lt;1)*(PARTIDAS!$I$2:$AT$2="TERMINACIONES"),PARTIDAS!$I$1:$AT$1,"")),""))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59" s="45" t="str" cm="1">
        <f t="array" ref="CT359">_xlfn.TEXTJOIN(", ",TRUE,IF(SUMPRODUCT((BF359:CQ359&lt;1)*(PARTIDAS!$I$2:$AT$2="OBRA GRUESA"))&gt;0,"OBRA GRUESA",""),IF(SUMPRODUCT((BF359:CQ359&lt;1)*(PARTIDAS!$I$2:$AT$2="SANITARIOS"))&gt;0,"SANITARIOS",""),IF(SUMPRODUCT((BF359:CQ359&lt;1)*(PARTIDAS!$I$2:$AT$2="ELÉCTRICO"))&gt;0,"ELÉCTRICO",""),IF(SUMPRODUCT((BF359:CQ359&lt;1)*(PARTIDAS!$I$2:$AT$2="TERMINACIONES"))&gt;0,"TERMINACIONES",""))</f>
        <v>OBRA GRUESA, SANITARIOS, ELÉCTRICO, TERMINACIONES</v>
      </c>
      <c r="CU359" s="46" cm="1">
        <f t="array" ref="CU359">SUMPRODUCT(--(BF359:CQ359&lt;1))</f>
        <v>38</v>
      </c>
    </row>
    <row r="360" spans="1:99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46181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 s="3" t="str">
        <f>+IF(AVANCE[[#This Row],[% AVANCE]]=100%,"MODULO TERMINADO",IF(AVANCE[[#This Row],[FECHA INICIO REAL]]="","MODULO NO INICIADO","PENDIENTE"))</f>
        <v>MODULO NO INICIADO</v>
      </c>
      <c r="BF360" s="3">
        <f>+IF(AVANCE[[#This Row],[VENTANAS]]=8.10810810810811%,100%,AVANCE[[#This Row],[VENTANAS]])</f>
        <v>0</v>
      </c>
      <c r="BG360" s="3">
        <f>+IF(AVANCE[[#This Row],[PISO]]=N$2,100%,AVANCE[[#This Row],[PISO]])</f>
        <v>0</v>
      </c>
      <c r="BH360" s="3">
        <f>+IF(AVANCE[[#This Row],[TABIQUES]]=O$2,100%,AVANCE[[#This Row],[TABIQUES]])</f>
        <v>0</v>
      </c>
      <c r="BI360" s="3">
        <f>+IF(AVANCE[[#This Row],[MUROS]]=P$2,100%,AVANCE[[#This Row],[MUROS]])</f>
        <v>0</v>
      </c>
      <c r="BJ360" s="3">
        <f>+IF(AVANCE[[#This Row],[CIELO]]=Q$2,100%,AVANCE[[#This Row],[CIELO]])</f>
        <v>0</v>
      </c>
      <c r="BK360" s="3">
        <f>+IF(AVANCE[[#This Row],[BALCÓN]]=R$2,100%,AVANCE[[#This Row],[BALCÓN]])</f>
        <v>0</v>
      </c>
      <c r="BL360" s="3">
        <f>+IF(AVANCE[[#This Row],[RED ALCANTARILLADO]]=U$2,100%,AVANCE[[#This Row],[RED ALCANTARILLADO]])</f>
        <v>0</v>
      </c>
      <c r="BM360" s="3">
        <f>+IF(AVANCE[[#This Row],[RED DE AGUA]]=V$2,100%,AVANCE[[#This Row],[RED DE AGUA]])</f>
        <v>0</v>
      </c>
      <c r="BN360" s="3">
        <f>+IF(AVANCE[[#This Row],[VENTILACIONES]]=W$2,100%,AVANCE[[#This Row],[VENTILACIONES]])</f>
        <v>0</v>
      </c>
      <c r="BO360" s="3">
        <f>+IF(AVANCE[[#This Row],[TINA]]=X$2,100%,AVANCE[[#This Row],[TINA]])</f>
        <v>0</v>
      </c>
      <c r="BP360" s="3">
        <f>+IF(AVANCE[[#This Row],[WC]]=Y$2,100%,AVANCE[[#This Row],[WC]])</f>
        <v>0</v>
      </c>
      <c r="BQ360" s="3">
        <f>+IF(AVANCE[[#This Row],[LAVAMANOS / LAVAPLATOS / LAVADERO]]=Z$2,100%,AVANCE[[#This Row],[LAVAMANOS / LAVAPLATOS / LAVADERO]])</f>
        <v>0</v>
      </c>
      <c r="BR360" s="3">
        <f>+IF(AVANCE[[#This Row],[CANALIZACIÓN]]=AC$2,100%,AVANCE[[#This Row],[CANALIZACIÓN]])</f>
        <v>0</v>
      </c>
      <c r="BS360" s="3">
        <f>+IF(AVANCE[[#This Row],[CABLEADO]]=AD$2,100%,AVANCE[[#This Row],[CABLEADO]])</f>
        <v>0</v>
      </c>
      <c r="BT360" s="3">
        <f>+IF(AVANCE[[#This Row],[ARTEFACTOS]]=AE$2,100%,AVANCE[[#This Row],[ARTEFACTOS]])</f>
        <v>0</v>
      </c>
      <c r="BU360" s="3">
        <f>+IF(AVANCE[[#This Row],[TABLERO]]=AF$2,100%,AVANCE[[#This Row],[TABLERO]])</f>
        <v>0</v>
      </c>
      <c r="BV360" s="3">
        <f>+IF(AVANCE[[#This Row],[CAJA PAU]]=AG$2,100%,AVANCE[[#This Row],[CAJA PAU]])</f>
        <v>0</v>
      </c>
      <c r="BW360" s="3">
        <f>+IF(AVANCE[[#This Row],[INSTALACION VINILICO]]=AJ$2,100%,AVANCE[[#This Row],[INSTALACION VINILICO]])</f>
        <v>0</v>
      </c>
      <c r="BX360" s="3">
        <f>+IF(AVANCE[[#This Row],[OSB CUBIERTA]]=AK$2,100%,AVANCE[[#This Row],[OSB CUBIERTA]])</f>
        <v>0</v>
      </c>
      <c r="BY360" s="3">
        <f>+IF(AVANCE[[#This Row],[BARANDA BALCON]]=AL$2,100%,AVANCE[[#This Row],[BARANDA BALCON]])</f>
        <v>0</v>
      </c>
      <c r="BZ360" s="3">
        <f>+IF(AVANCE[[#This Row],[OSB EXTERIOR]]=AM$2,100%,AVANCE[[#This Row],[OSB EXTERIOR]])</f>
        <v>0</v>
      </c>
      <c r="CA360" s="3">
        <f>+IF(AVANCE[[#This Row],[SMART PANEL]]=AN$2,100%,AVANCE[[#This Row],[SMART PANEL]])</f>
        <v>0</v>
      </c>
      <c r="CB360" s="3">
        <f>+IF(AVANCE[[#This Row],[PINTURA EXTERIOR]]=AO$2,100%,AVANCE[[#This Row],[PINTURA EXTERIOR]])</f>
        <v>0</v>
      </c>
      <c r="CC360" s="3">
        <f>+IF(AVANCE[[#This Row],[ZOCALOS LOGIA]]=AP$2,100%,AVANCE[[#This Row],[ZOCALOS LOGIA]])</f>
        <v>0</v>
      </c>
      <c r="CD360" s="3">
        <f>+IF(AVANCE[[#This Row],[MOLDURAS]]=AQ$2,100%,AVANCE[[#This Row],[MOLDURAS]])</f>
        <v>0</v>
      </c>
      <c r="CE360" s="3">
        <f>+IF(AVANCE[[#This Row],[PILASTREO]]=AR$2,100%,AVANCE[[#This Row],[PILASTREO]])</f>
        <v>0</v>
      </c>
      <c r="CF360" s="3">
        <f>+IF(AVANCE[[#This Row],[CELOSIAS]]=AS$2,100%,AVANCE[[#This Row],[CELOSIAS]])</f>
        <v>0</v>
      </c>
      <c r="CG360" s="3">
        <f>+IF(AVANCE[[#This Row],[VENTANAS]]=AT$2,100%,AVANCE[[#This Row],[VENTANAS]])</f>
        <v>0</v>
      </c>
      <c r="CH360" s="3">
        <f>+IF(AVANCE[[#This Row],[PUERTAS ACCESO - LOGIA - BANO]]=AU$2,100%,AVANCE[[#This Row],[PUERTAS ACCESO - LOGIA - BANO]])</f>
        <v>0</v>
      </c>
      <c r="CI360" s="3">
        <f>+IF(AVANCE[[#This Row],[CERRADURAS]]=AV$2,100%,AVANCE[[#This Row],[CERRADURAS]])</f>
        <v>0</v>
      </c>
      <c r="CJ360" s="3">
        <f>+IF(AVANCE[[#This Row],[REVESTIMIENTO INTERIOR ZONA SECA]]=AW$2,100%,AVANCE[[#This Row],[REVESTIMIENTO INTERIOR ZONA SECA]])</f>
        <v>0</v>
      </c>
      <c r="CK360" s="3">
        <f>+IF(AVANCE[[#This Row],[REVESTIMIENTO INTERIOR ZONAS HUMEDAS]]=AX$2,100%,AVANCE[[#This Row],[REVESTIMIENTO INTERIOR ZONAS HUMEDAS]])</f>
        <v>0</v>
      </c>
      <c r="CL360" s="3">
        <f>+IF(AVANCE[[#This Row],[MEMBRANA CIELO]]=AY$2,100%,AVANCE[[#This Row],[MEMBRANA CIELO]])</f>
        <v>0</v>
      </c>
      <c r="CM360" s="3">
        <f>+IF(AVANCE[[#This Row],[LIMPIEZA FINAL]]=AZ$2,100%,AVANCE[[#This Row],[LIMPIEZA FINAL]])</f>
        <v>0</v>
      </c>
      <c r="CN360" s="3">
        <f>+IF(AVANCE[[#This Row],[PUERTAS DORMITORIO]]=BA$2,100%,AVANCE[[#This Row],[PUERTAS DORMITORIO]])</f>
        <v>0</v>
      </c>
      <c r="CO360" s="3">
        <f>+IF(AVANCE[[#This Row],[REVESTIMIENTO INTERIOR BANO]]=BB$2,100%,AVANCE[[#This Row],[REVESTIMIENTO INTERIOR BANO]])</f>
        <v>0</v>
      </c>
      <c r="CP360" s="3">
        <f>+IF(AVANCE[[#This Row],[MUEBLE LAVAPLATOS]]=BC$2,100%,AVANCE[[#This Row],[MUEBLE LAVAPLATOS]])</f>
        <v>0</v>
      </c>
      <c r="CQ360" s="3">
        <f>+IF(AVANCE[[#This Row],[IMPERMEABILIZACION BANO - COCINA LOGIA]]=BD$2,100%,AVANCE[[#This Row],[IMPERMEABILIZACION BANO - COCINA LOGIA]])</f>
        <v>0</v>
      </c>
      <c r="CR360" s="40">
        <f ca="1">+IF(AVANCE[[#This Row],[ESTADO MODULO]]="PENDIENTE",(TODAY()-AVANCE[[#This Row],[FECHA TERMINO  PLANIFICADO]]),0)</f>
        <v>0</v>
      </c>
      <c r="CS360" s="42" t="str" cm="1">
        <f t="array" ref="CS360">_xlfn.TEXTJOIN(" | ",TRUE,IF(SUMPRODUCT((BF360:CQ360&lt;1)*(PARTIDAS!$I$2:$AT$2="OBRA GRUESA"))&gt;0,"OBRA GRUESA: "&amp;_xlfn.TEXTJOIN(", ",TRUE,IF((BF360:CQ360&lt;1)*(PARTIDAS!$I$2:$AT$2="OBRA GRUESA"),PARTIDAS!$I$1:$AT$1,"")),""),IF(SUMPRODUCT((BF360:CQ360&lt;1)*(PARTIDAS!$I$2:$AT$2="SANITARIOS"))&gt;0,"SANITARIOS: "&amp;_xlfn.TEXTJOIN(", ",TRUE,IF((BF360:CQ360&lt;1)*(PARTIDAS!$I$2:$AT$2="SANITARIOS"),PARTIDAS!$I$1:$AT$1,"")),""),IF(SUMPRODUCT((BF360:CQ360&lt;1)*(PARTIDAS!$I$2:$AT$2="ELÉCTRICO"))&gt;0,"ELÉCTRICO: "&amp;_xlfn.TEXTJOIN(", ",TRUE,IF((BF360:CQ360&lt;1)*(PARTIDAS!$I$2:$AT$2="ELÉCTRICO"),PARTIDAS!$I$1:$AT$1,"")),""),IF(SUMPRODUCT((BF360:CQ360&lt;1)*(PARTIDAS!$I$2:$AT$2="TERMINACIONES"))&gt;0,"TERMINACIONES: "&amp;_xlfn.TEXTJOIN(", ",TRUE,IF((BF360:CQ360&lt;1)*(PARTIDAS!$I$2:$AT$2="TERMINACIONES"),PARTIDAS!$I$1:$AT$1,"")),""))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0" s="45" t="str" cm="1">
        <f t="array" ref="CT360">_xlfn.TEXTJOIN(", ",TRUE,IF(SUMPRODUCT((BF360:CQ360&lt;1)*(PARTIDAS!$I$2:$AT$2="OBRA GRUESA"))&gt;0,"OBRA GRUESA",""),IF(SUMPRODUCT((BF360:CQ360&lt;1)*(PARTIDAS!$I$2:$AT$2="SANITARIOS"))&gt;0,"SANITARIOS",""),IF(SUMPRODUCT((BF360:CQ360&lt;1)*(PARTIDAS!$I$2:$AT$2="ELÉCTRICO"))&gt;0,"ELÉCTRICO",""),IF(SUMPRODUCT((BF360:CQ360&lt;1)*(PARTIDAS!$I$2:$AT$2="TERMINACIONES"))&gt;0,"TERMINACIONES",""))</f>
        <v>OBRA GRUESA, SANITARIOS, ELÉCTRICO, TERMINACIONES</v>
      </c>
      <c r="CU360" s="46" cm="1">
        <f t="array" ref="CU360">SUMPRODUCT(--(BF360:CQ360&lt;1))</f>
        <v>38</v>
      </c>
    </row>
    <row r="361" spans="1:99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46181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 s="3" t="str">
        <f>+IF(AVANCE[[#This Row],[% AVANCE]]=100%,"MODULO TERMINADO",IF(AVANCE[[#This Row],[FECHA INICIO REAL]]="","MODULO NO INICIADO","PENDIENTE"))</f>
        <v>MODULO NO INICIADO</v>
      </c>
      <c r="BF361" s="3">
        <f>+IF(AVANCE[[#This Row],[VENTANAS]]=8.10810810810811%,100%,AVANCE[[#This Row],[VENTANAS]])</f>
        <v>0</v>
      </c>
      <c r="BG361" s="3">
        <f>+IF(AVANCE[[#This Row],[PISO]]=N$2,100%,AVANCE[[#This Row],[PISO]])</f>
        <v>0</v>
      </c>
      <c r="BH361" s="3">
        <f>+IF(AVANCE[[#This Row],[TABIQUES]]=O$2,100%,AVANCE[[#This Row],[TABIQUES]])</f>
        <v>0</v>
      </c>
      <c r="BI361" s="3">
        <f>+IF(AVANCE[[#This Row],[MUROS]]=P$2,100%,AVANCE[[#This Row],[MUROS]])</f>
        <v>0</v>
      </c>
      <c r="BJ361" s="3">
        <f>+IF(AVANCE[[#This Row],[CIELO]]=Q$2,100%,AVANCE[[#This Row],[CIELO]])</f>
        <v>0</v>
      </c>
      <c r="BK361" s="3">
        <f>+IF(AVANCE[[#This Row],[BALCÓN]]=R$2,100%,AVANCE[[#This Row],[BALCÓN]])</f>
        <v>0</v>
      </c>
      <c r="BL361" s="3">
        <f>+IF(AVANCE[[#This Row],[RED ALCANTARILLADO]]=U$2,100%,AVANCE[[#This Row],[RED ALCANTARILLADO]])</f>
        <v>0</v>
      </c>
      <c r="BM361" s="3">
        <f>+IF(AVANCE[[#This Row],[RED DE AGUA]]=V$2,100%,AVANCE[[#This Row],[RED DE AGUA]])</f>
        <v>0</v>
      </c>
      <c r="BN361" s="3">
        <f>+IF(AVANCE[[#This Row],[VENTILACIONES]]=W$2,100%,AVANCE[[#This Row],[VENTILACIONES]])</f>
        <v>0</v>
      </c>
      <c r="BO361" s="3">
        <f>+IF(AVANCE[[#This Row],[TINA]]=X$2,100%,AVANCE[[#This Row],[TINA]])</f>
        <v>0</v>
      </c>
      <c r="BP361" s="3">
        <f>+IF(AVANCE[[#This Row],[WC]]=Y$2,100%,AVANCE[[#This Row],[WC]])</f>
        <v>0</v>
      </c>
      <c r="BQ361" s="3">
        <f>+IF(AVANCE[[#This Row],[LAVAMANOS / LAVAPLATOS / LAVADERO]]=Z$2,100%,AVANCE[[#This Row],[LAVAMANOS / LAVAPLATOS / LAVADERO]])</f>
        <v>0</v>
      </c>
      <c r="BR361" s="3">
        <f>+IF(AVANCE[[#This Row],[CANALIZACIÓN]]=AC$2,100%,AVANCE[[#This Row],[CANALIZACIÓN]])</f>
        <v>0</v>
      </c>
      <c r="BS361" s="3">
        <f>+IF(AVANCE[[#This Row],[CABLEADO]]=AD$2,100%,AVANCE[[#This Row],[CABLEADO]])</f>
        <v>0</v>
      </c>
      <c r="BT361" s="3">
        <f>+IF(AVANCE[[#This Row],[ARTEFACTOS]]=AE$2,100%,AVANCE[[#This Row],[ARTEFACTOS]])</f>
        <v>0</v>
      </c>
      <c r="BU361" s="3">
        <f>+IF(AVANCE[[#This Row],[TABLERO]]=AF$2,100%,AVANCE[[#This Row],[TABLERO]])</f>
        <v>0</v>
      </c>
      <c r="BV361" s="3">
        <f>+IF(AVANCE[[#This Row],[CAJA PAU]]=AG$2,100%,AVANCE[[#This Row],[CAJA PAU]])</f>
        <v>0</v>
      </c>
      <c r="BW361" s="3">
        <f>+IF(AVANCE[[#This Row],[INSTALACION VINILICO]]=AJ$2,100%,AVANCE[[#This Row],[INSTALACION VINILICO]])</f>
        <v>0</v>
      </c>
      <c r="BX361" s="3">
        <f>+IF(AVANCE[[#This Row],[OSB CUBIERTA]]=AK$2,100%,AVANCE[[#This Row],[OSB CUBIERTA]])</f>
        <v>0</v>
      </c>
      <c r="BY361" s="3">
        <f>+IF(AVANCE[[#This Row],[BARANDA BALCON]]=AL$2,100%,AVANCE[[#This Row],[BARANDA BALCON]])</f>
        <v>0</v>
      </c>
      <c r="BZ361" s="3">
        <f>+IF(AVANCE[[#This Row],[OSB EXTERIOR]]=AM$2,100%,AVANCE[[#This Row],[OSB EXTERIOR]])</f>
        <v>0</v>
      </c>
      <c r="CA361" s="3">
        <f>+IF(AVANCE[[#This Row],[SMART PANEL]]=AN$2,100%,AVANCE[[#This Row],[SMART PANEL]])</f>
        <v>0</v>
      </c>
      <c r="CB361" s="3">
        <f>+IF(AVANCE[[#This Row],[PINTURA EXTERIOR]]=AO$2,100%,AVANCE[[#This Row],[PINTURA EXTERIOR]])</f>
        <v>0</v>
      </c>
      <c r="CC361" s="3">
        <f>+IF(AVANCE[[#This Row],[ZOCALOS LOGIA]]=AP$2,100%,AVANCE[[#This Row],[ZOCALOS LOGIA]])</f>
        <v>0</v>
      </c>
      <c r="CD361" s="3">
        <f>+IF(AVANCE[[#This Row],[MOLDURAS]]=AQ$2,100%,AVANCE[[#This Row],[MOLDURAS]])</f>
        <v>0</v>
      </c>
      <c r="CE361" s="3">
        <f>+IF(AVANCE[[#This Row],[PILASTREO]]=AR$2,100%,AVANCE[[#This Row],[PILASTREO]])</f>
        <v>0</v>
      </c>
      <c r="CF361" s="3">
        <f>+IF(AVANCE[[#This Row],[CELOSIAS]]=AS$2,100%,AVANCE[[#This Row],[CELOSIAS]])</f>
        <v>0</v>
      </c>
      <c r="CG361" s="3">
        <f>+IF(AVANCE[[#This Row],[VENTANAS]]=AT$2,100%,AVANCE[[#This Row],[VENTANAS]])</f>
        <v>0</v>
      </c>
      <c r="CH361" s="3">
        <f>+IF(AVANCE[[#This Row],[PUERTAS ACCESO - LOGIA - BANO]]=AU$2,100%,AVANCE[[#This Row],[PUERTAS ACCESO - LOGIA - BANO]])</f>
        <v>0</v>
      </c>
      <c r="CI361" s="3">
        <f>+IF(AVANCE[[#This Row],[CERRADURAS]]=AV$2,100%,AVANCE[[#This Row],[CERRADURAS]])</f>
        <v>0</v>
      </c>
      <c r="CJ361" s="3">
        <f>+IF(AVANCE[[#This Row],[REVESTIMIENTO INTERIOR ZONA SECA]]=AW$2,100%,AVANCE[[#This Row],[REVESTIMIENTO INTERIOR ZONA SECA]])</f>
        <v>0</v>
      </c>
      <c r="CK361" s="3">
        <f>+IF(AVANCE[[#This Row],[REVESTIMIENTO INTERIOR ZONAS HUMEDAS]]=AX$2,100%,AVANCE[[#This Row],[REVESTIMIENTO INTERIOR ZONAS HUMEDAS]])</f>
        <v>0</v>
      </c>
      <c r="CL361" s="3">
        <f>+IF(AVANCE[[#This Row],[MEMBRANA CIELO]]=AY$2,100%,AVANCE[[#This Row],[MEMBRANA CIELO]])</f>
        <v>0</v>
      </c>
      <c r="CM361" s="3">
        <f>+IF(AVANCE[[#This Row],[LIMPIEZA FINAL]]=AZ$2,100%,AVANCE[[#This Row],[LIMPIEZA FINAL]])</f>
        <v>0</v>
      </c>
      <c r="CN361" s="3">
        <f>+IF(AVANCE[[#This Row],[PUERTAS DORMITORIO]]=BA$2,100%,AVANCE[[#This Row],[PUERTAS DORMITORIO]])</f>
        <v>0</v>
      </c>
      <c r="CO361" s="3">
        <f>+IF(AVANCE[[#This Row],[REVESTIMIENTO INTERIOR BANO]]=BB$2,100%,AVANCE[[#This Row],[REVESTIMIENTO INTERIOR BANO]])</f>
        <v>0</v>
      </c>
      <c r="CP361" s="3">
        <f>+IF(AVANCE[[#This Row],[MUEBLE LAVAPLATOS]]=BC$2,100%,AVANCE[[#This Row],[MUEBLE LAVAPLATOS]])</f>
        <v>0</v>
      </c>
      <c r="CQ361" s="3">
        <f>+IF(AVANCE[[#This Row],[IMPERMEABILIZACION BANO - COCINA LOGIA]]=BD$2,100%,AVANCE[[#This Row],[IMPERMEABILIZACION BANO - COCINA LOGIA]])</f>
        <v>0</v>
      </c>
      <c r="CR361" s="40">
        <f ca="1">+IF(AVANCE[[#This Row],[ESTADO MODULO]]="PENDIENTE",(TODAY()-AVANCE[[#This Row],[FECHA TERMINO  PLANIFICADO]]),0)</f>
        <v>0</v>
      </c>
      <c r="CS361" s="42" t="str" cm="1">
        <f t="array" ref="CS361">_xlfn.TEXTJOIN(" | ",TRUE,IF(SUMPRODUCT((BF361:CQ361&lt;1)*(PARTIDAS!$I$2:$AT$2="OBRA GRUESA"))&gt;0,"OBRA GRUESA: "&amp;_xlfn.TEXTJOIN(", ",TRUE,IF((BF361:CQ361&lt;1)*(PARTIDAS!$I$2:$AT$2="OBRA GRUESA"),PARTIDAS!$I$1:$AT$1,"")),""),IF(SUMPRODUCT((BF361:CQ361&lt;1)*(PARTIDAS!$I$2:$AT$2="SANITARIOS"))&gt;0,"SANITARIOS: "&amp;_xlfn.TEXTJOIN(", ",TRUE,IF((BF361:CQ361&lt;1)*(PARTIDAS!$I$2:$AT$2="SANITARIOS"),PARTIDAS!$I$1:$AT$1,"")),""),IF(SUMPRODUCT((BF361:CQ361&lt;1)*(PARTIDAS!$I$2:$AT$2="ELÉCTRICO"))&gt;0,"ELÉCTRICO: "&amp;_xlfn.TEXTJOIN(", ",TRUE,IF((BF361:CQ361&lt;1)*(PARTIDAS!$I$2:$AT$2="ELÉCTRICO"),PARTIDAS!$I$1:$AT$1,"")),""),IF(SUMPRODUCT((BF361:CQ361&lt;1)*(PARTIDAS!$I$2:$AT$2="TERMINACIONES"))&gt;0,"TERMINACIONES: "&amp;_xlfn.TEXTJOIN(", ",TRUE,IF((BF361:CQ361&lt;1)*(PARTIDAS!$I$2:$AT$2="TERMINACIONES"),PARTIDAS!$I$1:$AT$1,"")),""))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1" s="45" t="str" cm="1">
        <f t="array" ref="CT361">_xlfn.TEXTJOIN(", ",TRUE,IF(SUMPRODUCT((BF361:CQ361&lt;1)*(PARTIDAS!$I$2:$AT$2="OBRA GRUESA"))&gt;0,"OBRA GRUESA",""),IF(SUMPRODUCT((BF361:CQ361&lt;1)*(PARTIDAS!$I$2:$AT$2="SANITARIOS"))&gt;0,"SANITARIOS",""),IF(SUMPRODUCT((BF361:CQ361&lt;1)*(PARTIDAS!$I$2:$AT$2="ELÉCTRICO"))&gt;0,"ELÉCTRICO",""),IF(SUMPRODUCT((BF361:CQ361&lt;1)*(PARTIDAS!$I$2:$AT$2="TERMINACIONES"))&gt;0,"TERMINACIONES",""))</f>
        <v>OBRA GRUESA, SANITARIOS, ELÉCTRICO, TERMINACIONES</v>
      </c>
      <c r="CU361" s="46" cm="1">
        <f t="array" ref="CU361">SUMPRODUCT(--(BF361:CQ361&lt;1))</f>
        <v>38</v>
      </c>
    </row>
    <row r="362" spans="1:99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46181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 s="3" t="str">
        <f>+IF(AVANCE[[#This Row],[% AVANCE]]=100%,"MODULO TERMINADO",IF(AVANCE[[#This Row],[FECHA INICIO REAL]]="","MODULO NO INICIADO","PENDIENTE"))</f>
        <v>MODULO NO INICIADO</v>
      </c>
      <c r="BF362" s="3">
        <f>+IF(AVANCE[[#This Row],[VENTANAS]]=8.10810810810811%,100%,AVANCE[[#This Row],[VENTANAS]])</f>
        <v>0</v>
      </c>
      <c r="BG362" s="3">
        <f>+IF(AVANCE[[#This Row],[PISO]]=N$2,100%,AVANCE[[#This Row],[PISO]])</f>
        <v>0</v>
      </c>
      <c r="BH362" s="3">
        <f>+IF(AVANCE[[#This Row],[TABIQUES]]=O$2,100%,AVANCE[[#This Row],[TABIQUES]])</f>
        <v>0</v>
      </c>
      <c r="BI362" s="3">
        <f>+IF(AVANCE[[#This Row],[MUROS]]=P$2,100%,AVANCE[[#This Row],[MUROS]])</f>
        <v>0</v>
      </c>
      <c r="BJ362" s="3">
        <f>+IF(AVANCE[[#This Row],[CIELO]]=Q$2,100%,AVANCE[[#This Row],[CIELO]])</f>
        <v>0</v>
      </c>
      <c r="BK362" s="3">
        <f>+IF(AVANCE[[#This Row],[BALCÓN]]=R$2,100%,AVANCE[[#This Row],[BALCÓN]])</f>
        <v>0</v>
      </c>
      <c r="BL362" s="3">
        <f>+IF(AVANCE[[#This Row],[RED ALCANTARILLADO]]=U$2,100%,AVANCE[[#This Row],[RED ALCANTARILLADO]])</f>
        <v>0</v>
      </c>
      <c r="BM362" s="3">
        <f>+IF(AVANCE[[#This Row],[RED DE AGUA]]=V$2,100%,AVANCE[[#This Row],[RED DE AGUA]])</f>
        <v>0</v>
      </c>
      <c r="BN362" s="3">
        <f>+IF(AVANCE[[#This Row],[VENTILACIONES]]=W$2,100%,AVANCE[[#This Row],[VENTILACIONES]])</f>
        <v>0</v>
      </c>
      <c r="BO362" s="3">
        <f>+IF(AVANCE[[#This Row],[TINA]]=X$2,100%,AVANCE[[#This Row],[TINA]])</f>
        <v>0</v>
      </c>
      <c r="BP362" s="3">
        <f>+IF(AVANCE[[#This Row],[WC]]=Y$2,100%,AVANCE[[#This Row],[WC]])</f>
        <v>0</v>
      </c>
      <c r="BQ362" s="3">
        <f>+IF(AVANCE[[#This Row],[LAVAMANOS / LAVAPLATOS / LAVADERO]]=Z$2,100%,AVANCE[[#This Row],[LAVAMANOS / LAVAPLATOS / LAVADERO]])</f>
        <v>0</v>
      </c>
      <c r="BR362" s="3">
        <f>+IF(AVANCE[[#This Row],[CANALIZACIÓN]]=AC$2,100%,AVANCE[[#This Row],[CANALIZACIÓN]])</f>
        <v>0</v>
      </c>
      <c r="BS362" s="3">
        <f>+IF(AVANCE[[#This Row],[CABLEADO]]=AD$2,100%,AVANCE[[#This Row],[CABLEADO]])</f>
        <v>0</v>
      </c>
      <c r="BT362" s="3">
        <f>+IF(AVANCE[[#This Row],[ARTEFACTOS]]=AE$2,100%,AVANCE[[#This Row],[ARTEFACTOS]])</f>
        <v>0</v>
      </c>
      <c r="BU362" s="3">
        <f>+IF(AVANCE[[#This Row],[TABLERO]]=AF$2,100%,AVANCE[[#This Row],[TABLERO]])</f>
        <v>0</v>
      </c>
      <c r="BV362" s="3">
        <f>+IF(AVANCE[[#This Row],[CAJA PAU]]=AG$2,100%,AVANCE[[#This Row],[CAJA PAU]])</f>
        <v>0</v>
      </c>
      <c r="BW362" s="3">
        <f>+IF(AVANCE[[#This Row],[INSTALACION VINILICO]]=AJ$2,100%,AVANCE[[#This Row],[INSTALACION VINILICO]])</f>
        <v>0</v>
      </c>
      <c r="BX362" s="3">
        <f>+IF(AVANCE[[#This Row],[OSB CUBIERTA]]=AK$2,100%,AVANCE[[#This Row],[OSB CUBIERTA]])</f>
        <v>0</v>
      </c>
      <c r="BY362" s="3">
        <f>+IF(AVANCE[[#This Row],[BARANDA BALCON]]=AL$2,100%,AVANCE[[#This Row],[BARANDA BALCON]])</f>
        <v>0</v>
      </c>
      <c r="BZ362" s="3">
        <f>+IF(AVANCE[[#This Row],[OSB EXTERIOR]]=AM$2,100%,AVANCE[[#This Row],[OSB EXTERIOR]])</f>
        <v>0</v>
      </c>
      <c r="CA362" s="3">
        <f>+IF(AVANCE[[#This Row],[SMART PANEL]]=AN$2,100%,AVANCE[[#This Row],[SMART PANEL]])</f>
        <v>0</v>
      </c>
      <c r="CB362" s="3">
        <f>+IF(AVANCE[[#This Row],[PINTURA EXTERIOR]]=AO$2,100%,AVANCE[[#This Row],[PINTURA EXTERIOR]])</f>
        <v>0</v>
      </c>
      <c r="CC362" s="3">
        <f>+IF(AVANCE[[#This Row],[ZOCALOS LOGIA]]=AP$2,100%,AVANCE[[#This Row],[ZOCALOS LOGIA]])</f>
        <v>0</v>
      </c>
      <c r="CD362" s="3">
        <f>+IF(AVANCE[[#This Row],[MOLDURAS]]=AQ$2,100%,AVANCE[[#This Row],[MOLDURAS]])</f>
        <v>0</v>
      </c>
      <c r="CE362" s="3">
        <f>+IF(AVANCE[[#This Row],[PILASTREO]]=AR$2,100%,AVANCE[[#This Row],[PILASTREO]])</f>
        <v>0</v>
      </c>
      <c r="CF362" s="3">
        <f>+IF(AVANCE[[#This Row],[CELOSIAS]]=AS$2,100%,AVANCE[[#This Row],[CELOSIAS]])</f>
        <v>0</v>
      </c>
      <c r="CG362" s="3">
        <f>+IF(AVANCE[[#This Row],[VENTANAS]]=AT$2,100%,AVANCE[[#This Row],[VENTANAS]])</f>
        <v>0</v>
      </c>
      <c r="CH362" s="3">
        <f>+IF(AVANCE[[#This Row],[PUERTAS ACCESO - LOGIA - BANO]]=AU$2,100%,AVANCE[[#This Row],[PUERTAS ACCESO - LOGIA - BANO]])</f>
        <v>0</v>
      </c>
      <c r="CI362" s="3">
        <f>+IF(AVANCE[[#This Row],[CERRADURAS]]=AV$2,100%,AVANCE[[#This Row],[CERRADURAS]])</f>
        <v>0</v>
      </c>
      <c r="CJ362" s="3">
        <f>+IF(AVANCE[[#This Row],[REVESTIMIENTO INTERIOR ZONA SECA]]=AW$2,100%,AVANCE[[#This Row],[REVESTIMIENTO INTERIOR ZONA SECA]])</f>
        <v>0</v>
      </c>
      <c r="CK362" s="3">
        <f>+IF(AVANCE[[#This Row],[REVESTIMIENTO INTERIOR ZONAS HUMEDAS]]=AX$2,100%,AVANCE[[#This Row],[REVESTIMIENTO INTERIOR ZONAS HUMEDAS]])</f>
        <v>0</v>
      </c>
      <c r="CL362" s="3">
        <f>+IF(AVANCE[[#This Row],[MEMBRANA CIELO]]=AY$2,100%,AVANCE[[#This Row],[MEMBRANA CIELO]])</f>
        <v>0</v>
      </c>
      <c r="CM362" s="3">
        <f>+IF(AVANCE[[#This Row],[LIMPIEZA FINAL]]=AZ$2,100%,AVANCE[[#This Row],[LIMPIEZA FINAL]])</f>
        <v>0</v>
      </c>
      <c r="CN362" s="3">
        <f>+IF(AVANCE[[#This Row],[PUERTAS DORMITORIO]]=BA$2,100%,AVANCE[[#This Row],[PUERTAS DORMITORIO]])</f>
        <v>0</v>
      </c>
      <c r="CO362" s="3">
        <f>+IF(AVANCE[[#This Row],[REVESTIMIENTO INTERIOR BANO]]=BB$2,100%,AVANCE[[#This Row],[REVESTIMIENTO INTERIOR BANO]])</f>
        <v>0</v>
      </c>
      <c r="CP362" s="3">
        <f>+IF(AVANCE[[#This Row],[MUEBLE LAVAPLATOS]]=BC$2,100%,AVANCE[[#This Row],[MUEBLE LAVAPLATOS]])</f>
        <v>0</v>
      </c>
      <c r="CQ362" s="3">
        <f>+IF(AVANCE[[#This Row],[IMPERMEABILIZACION BANO - COCINA LOGIA]]=BD$2,100%,AVANCE[[#This Row],[IMPERMEABILIZACION BANO - COCINA LOGIA]])</f>
        <v>0</v>
      </c>
      <c r="CR362" s="40">
        <f ca="1">+IF(AVANCE[[#This Row],[ESTADO MODULO]]="PENDIENTE",(TODAY()-AVANCE[[#This Row],[FECHA TERMINO  PLANIFICADO]]),0)</f>
        <v>0</v>
      </c>
      <c r="CS362" s="42" t="str" cm="1">
        <f t="array" ref="CS362">_xlfn.TEXTJOIN(" | ",TRUE,IF(SUMPRODUCT((BF362:CQ362&lt;1)*(PARTIDAS!$I$2:$AT$2="OBRA GRUESA"))&gt;0,"OBRA GRUESA: "&amp;_xlfn.TEXTJOIN(", ",TRUE,IF((BF362:CQ362&lt;1)*(PARTIDAS!$I$2:$AT$2="OBRA GRUESA"),PARTIDAS!$I$1:$AT$1,"")),""),IF(SUMPRODUCT((BF362:CQ362&lt;1)*(PARTIDAS!$I$2:$AT$2="SANITARIOS"))&gt;0,"SANITARIOS: "&amp;_xlfn.TEXTJOIN(", ",TRUE,IF((BF362:CQ362&lt;1)*(PARTIDAS!$I$2:$AT$2="SANITARIOS"),PARTIDAS!$I$1:$AT$1,"")),""),IF(SUMPRODUCT((BF362:CQ362&lt;1)*(PARTIDAS!$I$2:$AT$2="ELÉCTRICO"))&gt;0,"ELÉCTRICO: "&amp;_xlfn.TEXTJOIN(", ",TRUE,IF((BF362:CQ362&lt;1)*(PARTIDAS!$I$2:$AT$2="ELÉCTRICO"),PARTIDAS!$I$1:$AT$1,"")),""),IF(SUMPRODUCT((BF362:CQ362&lt;1)*(PARTIDAS!$I$2:$AT$2="TERMINACIONES"))&gt;0,"TERMINACIONES: "&amp;_xlfn.TEXTJOIN(", ",TRUE,IF((BF362:CQ362&lt;1)*(PARTIDAS!$I$2:$AT$2="TERMINACIONES"),PARTIDAS!$I$1:$AT$1,"")),""))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2" s="45" t="str" cm="1">
        <f t="array" ref="CT362">_xlfn.TEXTJOIN(", ",TRUE,IF(SUMPRODUCT((BF362:CQ362&lt;1)*(PARTIDAS!$I$2:$AT$2="OBRA GRUESA"))&gt;0,"OBRA GRUESA",""),IF(SUMPRODUCT((BF362:CQ362&lt;1)*(PARTIDAS!$I$2:$AT$2="SANITARIOS"))&gt;0,"SANITARIOS",""),IF(SUMPRODUCT((BF362:CQ362&lt;1)*(PARTIDAS!$I$2:$AT$2="ELÉCTRICO"))&gt;0,"ELÉCTRICO",""),IF(SUMPRODUCT((BF362:CQ362&lt;1)*(PARTIDAS!$I$2:$AT$2="TERMINACIONES"))&gt;0,"TERMINACIONES",""))</f>
        <v>OBRA GRUESA, SANITARIOS, ELÉCTRICO, TERMINACIONES</v>
      </c>
      <c r="CU362" s="46" cm="1">
        <f t="array" ref="CU362">SUMPRODUCT(--(BF362:CQ362&lt;1))</f>
        <v>38</v>
      </c>
    </row>
    <row r="363" spans="1:99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46181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 s="3" t="str">
        <f>+IF(AVANCE[[#This Row],[% AVANCE]]=100%,"MODULO TERMINADO",IF(AVANCE[[#This Row],[FECHA INICIO REAL]]="","MODULO NO INICIADO","PENDIENTE"))</f>
        <v>MODULO NO INICIADO</v>
      </c>
      <c r="BF363" s="3">
        <f>+IF(AVANCE[[#This Row],[VENTANAS]]=8.10810810810811%,100%,AVANCE[[#This Row],[VENTANAS]])</f>
        <v>0</v>
      </c>
      <c r="BG363" s="3">
        <f>+IF(AVANCE[[#This Row],[PISO]]=N$2,100%,AVANCE[[#This Row],[PISO]])</f>
        <v>0</v>
      </c>
      <c r="BH363" s="3">
        <f>+IF(AVANCE[[#This Row],[TABIQUES]]=O$2,100%,AVANCE[[#This Row],[TABIQUES]])</f>
        <v>0</v>
      </c>
      <c r="BI363" s="3">
        <f>+IF(AVANCE[[#This Row],[MUROS]]=P$2,100%,AVANCE[[#This Row],[MUROS]])</f>
        <v>0</v>
      </c>
      <c r="BJ363" s="3">
        <f>+IF(AVANCE[[#This Row],[CIELO]]=Q$2,100%,AVANCE[[#This Row],[CIELO]])</f>
        <v>0</v>
      </c>
      <c r="BK363" s="3">
        <f>+IF(AVANCE[[#This Row],[BALCÓN]]=R$2,100%,AVANCE[[#This Row],[BALCÓN]])</f>
        <v>0</v>
      </c>
      <c r="BL363" s="3">
        <f>+IF(AVANCE[[#This Row],[RED ALCANTARILLADO]]=U$2,100%,AVANCE[[#This Row],[RED ALCANTARILLADO]])</f>
        <v>0</v>
      </c>
      <c r="BM363" s="3">
        <f>+IF(AVANCE[[#This Row],[RED DE AGUA]]=V$2,100%,AVANCE[[#This Row],[RED DE AGUA]])</f>
        <v>0</v>
      </c>
      <c r="BN363" s="3">
        <f>+IF(AVANCE[[#This Row],[VENTILACIONES]]=W$2,100%,AVANCE[[#This Row],[VENTILACIONES]])</f>
        <v>0</v>
      </c>
      <c r="BO363" s="3">
        <f>+IF(AVANCE[[#This Row],[TINA]]=X$2,100%,AVANCE[[#This Row],[TINA]])</f>
        <v>0</v>
      </c>
      <c r="BP363" s="3">
        <f>+IF(AVANCE[[#This Row],[WC]]=Y$2,100%,AVANCE[[#This Row],[WC]])</f>
        <v>0</v>
      </c>
      <c r="BQ363" s="3">
        <f>+IF(AVANCE[[#This Row],[LAVAMANOS / LAVAPLATOS / LAVADERO]]=Z$2,100%,AVANCE[[#This Row],[LAVAMANOS / LAVAPLATOS / LAVADERO]])</f>
        <v>0</v>
      </c>
      <c r="BR363" s="3">
        <f>+IF(AVANCE[[#This Row],[CANALIZACIÓN]]=AC$2,100%,AVANCE[[#This Row],[CANALIZACIÓN]])</f>
        <v>0</v>
      </c>
      <c r="BS363" s="3">
        <f>+IF(AVANCE[[#This Row],[CABLEADO]]=AD$2,100%,AVANCE[[#This Row],[CABLEADO]])</f>
        <v>0</v>
      </c>
      <c r="BT363" s="3">
        <f>+IF(AVANCE[[#This Row],[ARTEFACTOS]]=AE$2,100%,AVANCE[[#This Row],[ARTEFACTOS]])</f>
        <v>0</v>
      </c>
      <c r="BU363" s="3">
        <f>+IF(AVANCE[[#This Row],[TABLERO]]=AF$2,100%,AVANCE[[#This Row],[TABLERO]])</f>
        <v>0</v>
      </c>
      <c r="BV363" s="3">
        <f>+IF(AVANCE[[#This Row],[CAJA PAU]]=AG$2,100%,AVANCE[[#This Row],[CAJA PAU]])</f>
        <v>0</v>
      </c>
      <c r="BW363" s="3">
        <f>+IF(AVANCE[[#This Row],[INSTALACION VINILICO]]=AJ$2,100%,AVANCE[[#This Row],[INSTALACION VINILICO]])</f>
        <v>0</v>
      </c>
      <c r="BX363" s="3">
        <f>+IF(AVANCE[[#This Row],[OSB CUBIERTA]]=AK$2,100%,AVANCE[[#This Row],[OSB CUBIERTA]])</f>
        <v>0</v>
      </c>
      <c r="BY363" s="3">
        <f>+IF(AVANCE[[#This Row],[BARANDA BALCON]]=AL$2,100%,AVANCE[[#This Row],[BARANDA BALCON]])</f>
        <v>0</v>
      </c>
      <c r="BZ363" s="3">
        <f>+IF(AVANCE[[#This Row],[OSB EXTERIOR]]=AM$2,100%,AVANCE[[#This Row],[OSB EXTERIOR]])</f>
        <v>0</v>
      </c>
      <c r="CA363" s="3">
        <f>+IF(AVANCE[[#This Row],[SMART PANEL]]=AN$2,100%,AVANCE[[#This Row],[SMART PANEL]])</f>
        <v>0</v>
      </c>
      <c r="CB363" s="3">
        <f>+IF(AVANCE[[#This Row],[PINTURA EXTERIOR]]=AO$2,100%,AVANCE[[#This Row],[PINTURA EXTERIOR]])</f>
        <v>0</v>
      </c>
      <c r="CC363" s="3">
        <f>+IF(AVANCE[[#This Row],[ZOCALOS LOGIA]]=AP$2,100%,AVANCE[[#This Row],[ZOCALOS LOGIA]])</f>
        <v>0</v>
      </c>
      <c r="CD363" s="3">
        <f>+IF(AVANCE[[#This Row],[MOLDURAS]]=AQ$2,100%,AVANCE[[#This Row],[MOLDURAS]])</f>
        <v>0</v>
      </c>
      <c r="CE363" s="3">
        <f>+IF(AVANCE[[#This Row],[PILASTREO]]=AR$2,100%,AVANCE[[#This Row],[PILASTREO]])</f>
        <v>0</v>
      </c>
      <c r="CF363" s="3">
        <f>+IF(AVANCE[[#This Row],[CELOSIAS]]=AS$2,100%,AVANCE[[#This Row],[CELOSIAS]])</f>
        <v>0</v>
      </c>
      <c r="CG363" s="3">
        <f>+IF(AVANCE[[#This Row],[VENTANAS]]=AT$2,100%,AVANCE[[#This Row],[VENTANAS]])</f>
        <v>0</v>
      </c>
      <c r="CH363" s="3">
        <f>+IF(AVANCE[[#This Row],[PUERTAS ACCESO - LOGIA - BANO]]=AU$2,100%,AVANCE[[#This Row],[PUERTAS ACCESO - LOGIA - BANO]])</f>
        <v>0</v>
      </c>
      <c r="CI363" s="3">
        <f>+IF(AVANCE[[#This Row],[CERRADURAS]]=AV$2,100%,AVANCE[[#This Row],[CERRADURAS]])</f>
        <v>0</v>
      </c>
      <c r="CJ363" s="3">
        <f>+IF(AVANCE[[#This Row],[REVESTIMIENTO INTERIOR ZONA SECA]]=AW$2,100%,AVANCE[[#This Row],[REVESTIMIENTO INTERIOR ZONA SECA]])</f>
        <v>0</v>
      </c>
      <c r="CK363" s="3">
        <f>+IF(AVANCE[[#This Row],[REVESTIMIENTO INTERIOR ZONAS HUMEDAS]]=AX$2,100%,AVANCE[[#This Row],[REVESTIMIENTO INTERIOR ZONAS HUMEDAS]])</f>
        <v>0</v>
      </c>
      <c r="CL363" s="3">
        <f>+IF(AVANCE[[#This Row],[MEMBRANA CIELO]]=AY$2,100%,AVANCE[[#This Row],[MEMBRANA CIELO]])</f>
        <v>0</v>
      </c>
      <c r="CM363" s="3">
        <f>+IF(AVANCE[[#This Row],[LIMPIEZA FINAL]]=AZ$2,100%,AVANCE[[#This Row],[LIMPIEZA FINAL]])</f>
        <v>0</v>
      </c>
      <c r="CN363" s="3">
        <f>+IF(AVANCE[[#This Row],[PUERTAS DORMITORIO]]=BA$2,100%,AVANCE[[#This Row],[PUERTAS DORMITORIO]])</f>
        <v>0</v>
      </c>
      <c r="CO363" s="3">
        <f>+IF(AVANCE[[#This Row],[REVESTIMIENTO INTERIOR BANO]]=BB$2,100%,AVANCE[[#This Row],[REVESTIMIENTO INTERIOR BANO]])</f>
        <v>0</v>
      </c>
      <c r="CP363" s="3">
        <f>+IF(AVANCE[[#This Row],[MUEBLE LAVAPLATOS]]=BC$2,100%,AVANCE[[#This Row],[MUEBLE LAVAPLATOS]])</f>
        <v>0</v>
      </c>
      <c r="CQ363" s="3">
        <f>+IF(AVANCE[[#This Row],[IMPERMEABILIZACION BANO - COCINA LOGIA]]=BD$2,100%,AVANCE[[#This Row],[IMPERMEABILIZACION BANO - COCINA LOGIA]])</f>
        <v>0</v>
      </c>
      <c r="CR363" s="40">
        <f ca="1">+IF(AVANCE[[#This Row],[ESTADO MODULO]]="PENDIENTE",(TODAY()-AVANCE[[#This Row],[FECHA TERMINO  PLANIFICADO]]),0)</f>
        <v>0</v>
      </c>
      <c r="CS363" s="42" t="str" cm="1">
        <f t="array" ref="CS363">_xlfn.TEXTJOIN(" | ",TRUE,IF(SUMPRODUCT((BF363:CQ363&lt;1)*(PARTIDAS!$I$2:$AT$2="OBRA GRUESA"))&gt;0,"OBRA GRUESA: "&amp;_xlfn.TEXTJOIN(", ",TRUE,IF((BF363:CQ363&lt;1)*(PARTIDAS!$I$2:$AT$2="OBRA GRUESA"),PARTIDAS!$I$1:$AT$1,"")),""),IF(SUMPRODUCT((BF363:CQ363&lt;1)*(PARTIDAS!$I$2:$AT$2="SANITARIOS"))&gt;0,"SANITARIOS: "&amp;_xlfn.TEXTJOIN(", ",TRUE,IF((BF363:CQ363&lt;1)*(PARTIDAS!$I$2:$AT$2="SANITARIOS"),PARTIDAS!$I$1:$AT$1,"")),""),IF(SUMPRODUCT((BF363:CQ363&lt;1)*(PARTIDAS!$I$2:$AT$2="ELÉCTRICO"))&gt;0,"ELÉCTRICO: "&amp;_xlfn.TEXTJOIN(", ",TRUE,IF((BF363:CQ363&lt;1)*(PARTIDAS!$I$2:$AT$2="ELÉCTRICO"),PARTIDAS!$I$1:$AT$1,"")),""),IF(SUMPRODUCT((BF363:CQ363&lt;1)*(PARTIDAS!$I$2:$AT$2="TERMINACIONES"))&gt;0,"TERMINACIONES: "&amp;_xlfn.TEXTJOIN(", ",TRUE,IF((BF363:CQ363&lt;1)*(PARTIDAS!$I$2:$AT$2="TERMINACIONES"),PARTIDAS!$I$1:$AT$1,"")),""))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3" s="45" t="str" cm="1">
        <f t="array" ref="CT363">_xlfn.TEXTJOIN(", ",TRUE,IF(SUMPRODUCT((BF363:CQ363&lt;1)*(PARTIDAS!$I$2:$AT$2="OBRA GRUESA"))&gt;0,"OBRA GRUESA",""),IF(SUMPRODUCT((BF363:CQ363&lt;1)*(PARTIDAS!$I$2:$AT$2="SANITARIOS"))&gt;0,"SANITARIOS",""),IF(SUMPRODUCT((BF363:CQ363&lt;1)*(PARTIDAS!$I$2:$AT$2="ELÉCTRICO"))&gt;0,"ELÉCTRICO",""),IF(SUMPRODUCT((BF363:CQ363&lt;1)*(PARTIDAS!$I$2:$AT$2="TERMINACIONES"))&gt;0,"TERMINACIONES",""))</f>
        <v>OBRA GRUESA, SANITARIOS, ELÉCTRICO, TERMINACIONES</v>
      </c>
      <c r="CU363" s="46" cm="1">
        <f t="array" ref="CU363">SUMPRODUCT(--(BF363:CQ363&lt;1))</f>
        <v>38</v>
      </c>
    </row>
    <row r="364" spans="1:99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46181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 s="3" t="str">
        <f>+IF(AVANCE[[#This Row],[% AVANCE]]=100%,"MODULO TERMINADO",IF(AVANCE[[#This Row],[FECHA INICIO REAL]]="","MODULO NO INICIADO","PENDIENTE"))</f>
        <v>MODULO NO INICIADO</v>
      </c>
      <c r="BF364" s="3">
        <f>+IF(AVANCE[[#This Row],[VENTANAS]]=8.10810810810811%,100%,AVANCE[[#This Row],[VENTANAS]])</f>
        <v>0</v>
      </c>
      <c r="BG364" s="3">
        <f>+IF(AVANCE[[#This Row],[PISO]]=N$2,100%,AVANCE[[#This Row],[PISO]])</f>
        <v>0</v>
      </c>
      <c r="BH364" s="3">
        <f>+IF(AVANCE[[#This Row],[TABIQUES]]=O$2,100%,AVANCE[[#This Row],[TABIQUES]])</f>
        <v>0</v>
      </c>
      <c r="BI364" s="3">
        <f>+IF(AVANCE[[#This Row],[MUROS]]=P$2,100%,AVANCE[[#This Row],[MUROS]])</f>
        <v>0</v>
      </c>
      <c r="BJ364" s="3">
        <f>+IF(AVANCE[[#This Row],[CIELO]]=Q$2,100%,AVANCE[[#This Row],[CIELO]])</f>
        <v>0</v>
      </c>
      <c r="BK364" s="3">
        <f>+IF(AVANCE[[#This Row],[BALCÓN]]=R$2,100%,AVANCE[[#This Row],[BALCÓN]])</f>
        <v>0</v>
      </c>
      <c r="BL364" s="3">
        <f>+IF(AVANCE[[#This Row],[RED ALCANTARILLADO]]=U$2,100%,AVANCE[[#This Row],[RED ALCANTARILLADO]])</f>
        <v>0</v>
      </c>
      <c r="BM364" s="3">
        <f>+IF(AVANCE[[#This Row],[RED DE AGUA]]=V$2,100%,AVANCE[[#This Row],[RED DE AGUA]])</f>
        <v>0</v>
      </c>
      <c r="BN364" s="3">
        <f>+IF(AVANCE[[#This Row],[VENTILACIONES]]=W$2,100%,AVANCE[[#This Row],[VENTILACIONES]])</f>
        <v>0</v>
      </c>
      <c r="BO364" s="3">
        <f>+IF(AVANCE[[#This Row],[TINA]]=X$2,100%,AVANCE[[#This Row],[TINA]])</f>
        <v>0</v>
      </c>
      <c r="BP364" s="3">
        <f>+IF(AVANCE[[#This Row],[WC]]=Y$2,100%,AVANCE[[#This Row],[WC]])</f>
        <v>0</v>
      </c>
      <c r="BQ364" s="3">
        <f>+IF(AVANCE[[#This Row],[LAVAMANOS / LAVAPLATOS / LAVADERO]]=Z$2,100%,AVANCE[[#This Row],[LAVAMANOS / LAVAPLATOS / LAVADERO]])</f>
        <v>0</v>
      </c>
      <c r="BR364" s="3">
        <f>+IF(AVANCE[[#This Row],[CANALIZACIÓN]]=AC$2,100%,AVANCE[[#This Row],[CANALIZACIÓN]])</f>
        <v>0</v>
      </c>
      <c r="BS364" s="3">
        <f>+IF(AVANCE[[#This Row],[CABLEADO]]=AD$2,100%,AVANCE[[#This Row],[CABLEADO]])</f>
        <v>0</v>
      </c>
      <c r="BT364" s="3">
        <f>+IF(AVANCE[[#This Row],[ARTEFACTOS]]=AE$2,100%,AVANCE[[#This Row],[ARTEFACTOS]])</f>
        <v>0</v>
      </c>
      <c r="BU364" s="3">
        <f>+IF(AVANCE[[#This Row],[TABLERO]]=AF$2,100%,AVANCE[[#This Row],[TABLERO]])</f>
        <v>0</v>
      </c>
      <c r="BV364" s="3">
        <f>+IF(AVANCE[[#This Row],[CAJA PAU]]=AG$2,100%,AVANCE[[#This Row],[CAJA PAU]])</f>
        <v>0</v>
      </c>
      <c r="BW364" s="3">
        <f>+IF(AVANCE[[#This Row],[INSTALACION VINILICO]]=AJ$2,100%,AVANCE[[#This Row],[INSTALACION VINILICO]])</f>
        <v>0</v>
      </c>
      <c r="BX364" s="3">
        <f>+IF(AVANCE[[#This Row],[OSB CUBIERTA]]=AK$2,100%,AVANCE[[#This Row],[OSB CUBIERTA]])</f>
        <v>0</v>
      </c>
      <c r="BY364" s="3">
        <f>+IF(AVANCE[[#This Row],[BARANDA BALCON]]=AL$2,100%,AVANCE[[#This Row],[BARANDA BALCON]])</f>
        <v>0</v>
      </c>
      <c r="BZ364" s="3">
        <f>+IF(AVANCE[[#This Row],[OSB EXTERIOR]]=AM$2,100%,AVANCE[[#This Row],[OSB EXTERIOR]])</f>
        <v>0</v>
      </c>
      <c r="CA364" s="3">
        <f>+IF(AVANCE[[#This Row],[SMART PANEL]]=AN$2,100%,AVANCE[[#This Row],[SMART PANEL]])</f>
        <v>0</v>
      </c>
      <c r="CB364" s="3">
        <f>+IF(AVANCE[[#This Row],[PINTURA EXTERIOR]]=AO$2,100%,AVANCE[[#This Row],[PINTURA EXTERIOR]])</f>
        <v>0</v>
      </c>
      <c r="CC364" s="3">
        <f>+IF(AVANCE[[#This Row],[ZOCALOS LOGIA]]=AP$2,100%,AVANCE[[#This Row],[ZOCALOS LOGIA]])</f>
        <v>0</v>
      </c>
      <c r="CD364" s="3">
        <f>+IF(AVANCE[[#This Row],[MOLDURAS]]=AQ$2,100%,AVANCE[[#This Row],[MOLDURAS]])</f>
        <v>0</v>
      </c>
      <c r="CE364" s="3">
        <f>+IF(AVANCE[[#This Row],[PILASTREO]]=AR$2,100%,AVANCE[[#This Row],[PILASTREO]])</f>
        <v>0</v>
      </c>
      <c r="CF364" s="3">
        <f>+IF(AVANCE[[#This Row],[CELOSIAS]]=AS$2,100%,AVANCE[[#This Row],[CELOSIAS]])</f>
        <v>0</v>
      </c>
      <c r="CG364" s="3">
        <f>+IF(AVANCE[[#This Row],[VENTANAS]]=AT$2,100%,AVANCE[[#This Row],[VENTANAS]])</f>
        <v>0</v>
      </c>
      <c r="CH364" s="3">
        <f>+IF(AVANCE[[#This Row],[PUERTAS ACCESO - LOGIA - BANO]]=AU$2,100%,AVANCE[[#This Row],[PUERTAS ACCESO - LOGIA - BANO]])</f>
        <v>0</v>
      </c>
      <c r="CI364" s="3">
        <f>+IF(AVANCE[[#This Row],[CERRADURAS]]=AV$2,100%,AVANCE[[#This Row],[CERRADURAS]])</f>
        <v>0</v>
      </c>
      <c r="CJ364" s="3">
        <f>+IF(AVANCE[[#This Row],[REVESTIMIENTO INTERIOR ZONA SECA]]=AW$2,100%,AVANCE[[#This Row],[REVESTIMIENTO INTERIOR ZONA SECA]])</f>
        <v>0</v>
      </c>
      <c r="CK364" s="3">
        <f>+IF(AVANCE[[#This Row],[REVESTIMIENTO INTERIOR ZONAS HUMEDAS]]=AX$2,100%,AVANCE[[#This Row],[REVESTIMIENTO INTERIOR ZONAS HUMEDAS]])</f>
        <v>0</v>
      </c>
      <c r="CL364" s="3">
        <f>+IF(AVANCE[[#This Row],[MEMBRANA CIELO]]=AY$2,100%,AVANCE[[#This Row],[MEMBRANA CIELO]])</f>
        <v>0</v>
      </c>
      <c r="CM364" s="3">
        <f>+IF(AVANCE[[#This Row],[LIMPIEZA FINAL]]=AZ$2,100%,AVANCE[[#This Row],[LIMPIEZA FINAL]])</f>
        <v>0</v>
      </c>
      <c r="CN364" s="3">
        <f>+IF(AVANCE[[#This Row],[PUERTAS DORMITORIO]]=BA$2,100%,AVANCE[[#This Row],[PUERTAS DORMITORIO]])</f>
        <v>0</v>
      </c>
      <c r="CO364" s="3">
        <f>+IF(AVANCE[[#This Row],[REVESTIMIENTO INTERIOR BANO]]=BB$2,100%,AVANCE[[#This Row],[REVESTIMIENTO INTERIOR BANO]])</f>
        <v>0</v>
      </c>
      <c r="CP364" s="3">
        <f>+IF(AVANCE[[#This Row],[MUEBLE LAVAPLATOS]]=BC$2,100%,AVANCE[[#This Row],[MUEBLE LAVAPLATOS]])</f>
        <v>0</v>
      </c>
      <c r="CQ364" s="3">
        <f>+IF(AVANCE[[#This Row],[IMPERMEABILIZACION BANO - COCINA LOGIA]]=BD$2,100%,AVANCE[[#This Row],[IMPERMEABILIZACION BANO - COCINA LOGIA]])</f>
        <v>0</v>
      </c>
      <c r="CR364" s="40">
        <f ca="1">+IF(AVANCE[[#This Row],[ESTADO MODULO]]="PENDIENTE",(TODAY()-AVANCE[[#This Row],[FECHA TERMINO  PLANIFICADO]]),0)</f>
        <v>0</v>
      </c>
      <c r="CS364" s="42" t="str" cm="1">
        <f t="array" ref="CS364">_xlfn.TEXTJOIN(" | ",TRUE,IF(SUMPRODUCT((BF364:CQ364&lt;1)*(PARTIDAS!$I$2:$AT$2="OBRA GRUESA"))&gt;0,"OBRA GRUESA: "&amp;_xlfn.TEXTJOIN(", ",TRUE,IF((BF364:CQ364&lt;1)*(PARTIDAS!$I$2:$AT$2="OBRA GRUESA"),PARTIDAS!$I$1:$AT$1,"")),""),IF(SUMPRODUCT((BF364:CQ364&lt;1)*(PARTIDAS!$I$2:$AT$2="SANITARIOS"))&gt;0,"SANITARIOS: "&amp;_xlfn.TEXTJOIN(", ",TRUE,IF((BF364:CQ364&lt;1)*(PARTIDAS!$I$2:$AT$2="SANITARIOS"),PARTIDAS!$I$1:$AT$1,"")),""),IF(SUMPRODUCT((BF364:CQ364&lt;1)*(PARTIDAS!$I$2:$AT$2="ELÉCTRICO"))&gt;0,"ELÉCTRICO: "&amp;_xlfn.TEXTJOIN(", ",TRUE,IF((BF364:CQ364&lt;1)*(PARTIDAS!$I$2:$AT$2="ELÉCTRICO"),PARTIDAS!$I$1:$AT$1,"")),""),IF(SUMPRODUCT((BF364:CQ364&lt;1)*(PARTIDAS!$I$2:$AT$2="TERMINACIONES"))&gt;0,"TERMINACIONES: "&amp;_xlfn.TEXTJOIN(", ",TRUE,IF((BF364:CQ364&lt;1)*(PARTIDAS!$I$2:$AT$2="TERMINACIONES"),PARTIDAS!$I$1:$AT$1,"")),""))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4" s="45" t="str" cm="1">
        <f t="array" ref="CT364">_xlfn.TEXTJOIN(", ",TRUE,IF(SUMPRODUCT((BF364:CQ364&lt;1)*(PARTIDAS!$I$2:$AT$2="OBRA GRUESA"))&gt;0,"OBRA GRUESA",""),IF(SUMPRODUCT((BF364:CQ364&lt;1)*(PARTIDAS!$I$2:$AT$2="SANITARIOS"))&gt;0,"SANITARIOS",""),IF(SUMPRODUCT((BF364:CQ364&lt;1)*(PARTIDAS!$I$2:$AT$2="ELÉCTRICO"))&gt;0,"ELÉCTRICO",""),IF(SUMPRODUCT((BF364:CQ364&lt;1)*(PARTIDAS!$I$2:$AT$2="TERMINACIONES"))&gt;0,"TERMINACIONES",""))</f>
        <v>OBRA GRUESA, SANITARIOS, ELÉCTRICO, TERMINACIONES</v>
      </c>
      <c r="CU364" s="46" cm="1">
        <f t="array" ref="CU364">SUMPRODUCT(--(BF364:CQ364&lt;1))</f>
        <v>38</v>
      </c>
    </row>
    <row r="365" spans="1:99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46181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 s="3" t="str">
        <f>+IF(AVANCE[[#This Row],[% AVANCE]]=100%,"MODULO TERMINADO",IF(AVANCE[[#This Row],[FECHA INICIO REAL]]="","MODULO NO INICIADO","PENDIENTE"))</f>
        <v>MODULO NO INICIADO</v>
      </c>
      <c r="BF365" s="3">
        <f>+IF(AVANCE[[#This Row],[VENTANAS]]=8.10810810810811%,100%,AVANCE[[#This Row],[VENTANAS]])</f>
        <v>0</v>
      </c>
      <c r="BG365" s="3">
        <f>+IF(AVANCE[[#This Row],[PISO]]=N$2,100%,AVANCE[[#This Row],[PISO]])</f>
        <v>0</v>
      </c>
      <c r="BH365" s="3">
        <f>+IF(AVANCE[[#This Row],[TABIQUES]]=O$2,100%,AVANCE[[#This Row],[TABIQUES]])</f>
        <v>0</v>
      </c>
      <c r="BI365" s="3">
        <f>+IF(AVANCE[[#This Row],[MUROS]]=P$2,100%,AVANCE[[#This Row],[MUROS]])</f>
        <v>0</v>
      </c>
      <c r="BJ365" s="3">
        <f>+IF(AVANCE[[#This Row],[CIELO]]=Q$2,100%,AVANCE[[#This Row],[CIELO]])</f>
        <v>0</v>
      </c>
      <c r="BK365" s="3">
        <f>+IF(AVANCE[[#This Row],[BALCÓN]]=R$2,100%,AVANCE[[#This Row],[BALCÓN]])</f>
        <v>0</v>
      </c>
      <c r="BL365" s="3">
        <f>+IF(AVANCE[[#This Row],[RED ALCANTARILLADO]]=U$2,100%,AVANCE[[#This Row],[RED ALCANTARILLADO]])</f>
        <v>0</v>
      </c>
      <c r="BM365" s="3">
        <f>+IF(AVANCE[[#This Row],[RED DE AGUA]]=V$2,100%,AVANCE[[#This Row],[RED DE AGUA]])</f>
        <v>0</v>
      </c>
      <c r="BN365" s="3">
        <f>+IF(AVANCE[[#This Row],[VENTILACIONES]]=W$2,100%,AVANCE[[#This Row],[VENTILACIONES]])</f>
        <v>0</v>
      </c>
      <c r="BO365" s="3">
        <f>+IF(AVANCE[[#This Row],[TINA]]=X$2,100%,AVANCE[[#This Row],[TINA]])</f>
        <v>0</v>
      </c>
      <c r="BP365" s="3">
        <f>+IF(AVANCE[[#This Row],[WC]]=Y$2,100%,AVANCE[[#This Row],[WC]])</f>
        <v>0</v>
      </c>
      <c r="BQ365" s="3">
        <f>+IF(AVANCE[[#This Row],[LAVAMANOS / LAVAPLATOS / LAVADERO]]=Z$2,100%,AVANCE[[#This Row],[LAVAMANOS / LAVAPLATOS / LAVADERO]])</f>
        <v>0</v>
      </c>
      <c r="BR365" s="3">
        <f>+IF(AVANCE[[#This Row],[CANALIZACIÓN]]=AC$2,100%,AVANCE[[#This Row],[CANALIZACIÓN]])</f>
        <v>0</v>
      </c>
      <c r="BS365" s="3">
        <f>+IF(AVANCE[[#This Row],[CABLEADO]]=AD$2,100%,AVANCE[[#This Row],[CABLEADO]])</f>
        <v>0</v>
      </c>
      <c r="BT365" s="3">
        <f>+IF(AVANCE[[#This Row],[ARTEFACTOS]]=AE$2,100%,AVANCE[[#This Row],[ARTEFACTOS]])</f>
        <v>0</v>
      </c>
      <c r="BU365" s="3">
        <f>+IF(AVANCE[[#This Row],[TABLERO]]=AF$2,100%,AVANCE[[#This Row],[TABLERO]])</f>
        <v>0</v>
      </c>
      <c r="BV365" s="3">
        <f>+IF(AVANCE[[#This Row],[CAJA PAU]]=AG$2,100%,AVANCE[[#This Row],[CAJA PAU]])</f>
        <v>0</v>
      </c>
      <c r="BW365" s="3">
        <f>+IF(AVANCE[[#This Row],[INSTALACION VINILICO]]=AJ$2,100%,AVANCE[[#This Row],[INSTALACION VINILICO]])</f>
        <v>0</v>
      </c>
      <c r="BX365" s="3">
        <f>+IF(AVANCE[[#This Row],[OSB CUBIERTA]]=AK$2,100%,AVANCE[[#This Row],[OSB CUBIERTA]])</f>
        <v>0</v>
      </c>
      <c r="BY365" s="3">
        <f>+IF(AVANCE[[#This Row],[BARANDA BALCON]]=AL$2,100%,AVANCE[[#This Row],[BARANDA BALCON]])</f>
        <v>0</v>
      </c>
      <c r="BZ365" s="3">
        <f>+IF(AVANCE[[#This Row],[OSB EXTERIOR]]=AM$2,100%,AVANCE[[#This Row],[OSB EXTERIOR]])</f>
        <v>0</v>
      </c>
      <c r="CA365" s="3">
        <f>+IF(AVANCE[[#This Row],[SMART PANEL]]=AN$2,100%,AVANCE[[#This Row],[SMART PANEL]])</f>
        <v>0</v>
      </c>
      <c r="CB365" s="3">
        <f>+IF(AVANCE[[#This Row],[PINTURA EXTERIOR]]=AO$2,100%,AVANCE[[#This Row],[PINTURA EXTERIOR]])</f>
        <v>0</v>
      </c>
      <c r="CC365" s="3">
        <f>+IF(AVANCE[[#This Row],[ZOCALOS LOGIA]]=AP$2,100%,AVANCE[[#This Row],[ZOCALOS LOGIA]])</f>
        <v>0</v>
      </c>
      <c r="CD365" s="3">
        <f>+IF(AVANCE[[#This Row],[MOLDURAS]]=AQ$2,100%,AVANCE[[#This Row],[MOLDURAS]])</f>
        <v>0</v>
      </c>
      <c r="CE365" s="3">
        <f>+IF(AVANCE[[#This Row],[PILASTREO]]=AR$2,100%,AVANCE[[#This Row],[PILASTREO]])</f>
        <v>0</v>
      </c>
      <c r="CF365" s="3">
        <f>+IF(AVANCE[[#This Row],[CELOSIAS]]=AS$2,100%,AVANCE[[#This Row],[CELOSIAS]])</f>
        <v>0</v>
      </c>
      <c r="CG365" s="3">
        <f>+IF(AVANCE[[#This Row],[VENTANAS]]=AT$2,100%,AVANCE[[#This Row],[VENTANAS]])</f>
        <v>0</v>
      </c>
      <c r="CH365" s="3">
        <f>+IF(AVANCE[[#This Row],[PUERTAS ACCESO - LOGIA - BANO]]=AU$2,100%,AVANCE[[#This Row],[PUERTAS ACCESO - LOGIA - BANO]])</f>
        <v>0</v>
      </c>
      <c r="CI365" s="3">
        <f>+IF(AVANCE[[#This Row],[CERRADURAS]]=AV$2,100%,AVANCE[[#This Row],[CERRADURAS]])</f>
        <v>0</v>
      </c>
      <c r="CJ365" s="3">
        <f>+IF(AVANCE[[#This Row],[REVESTIMIENTO INTERIOR ZONA SECA]]=AW$2,100%,AVANCE[[#This Row],[REVESTIMIENTO INTERIOR ZONA SECA]])</f>
        <v>0</v>
      </c>
      <c r="CK365" s="3">
        <f>+IF(AVANCE[[#This Row],[REVESTIMIENTO INTERIOR ZONAS HUMEDAS]]=AX$2,100%,AVANCE[[#This Row],[REVESTIMIENTO INTERIOR ZONAS HUMEDAS]])</f>
        <v>0</v>
      </c>
      <c r="CL365" s="3">
        <f>+IF(AVANCE[[#This Row],[MEMBRANA CIELO]]=AY$2,100%,AVANCE[[#This Row],[MEMBRANA CIELO]])</f>
        <v>0</v>
      </c>
      <c r="CM365" s="3">
        <f>+IF(AVANCE[[#This Row],[LIMPIEZA FINAL]]=AZ$2,100%,AVANCE[[#This Row],[LIMPIEZA FINAL]])</f>
        <v>0</v>
      </c>
      <c r="CN365" s="3">
        <f>+IF(AVANCE[[#This Row],[PUERTAS DORMITORIO]]=BA$2,100%,AVANCE[[#This Row],[PUERTAS DORMITORIO]])</f>
        <v>0</v>
      </c>
      <c r="CO365" s="3">
        <f>+IF(AVANCE[[#This Row],[REVESTIMIENTO INTERIOR BANO]]=BB$2,100%,AVANCE[[#This Row],[REVESTIMIENTO INTERIOR BANO]])</f>
        <v>0</v>
      </c>
      <c r="CP365" s="3">
        <f>+IF(AVANCE[[#This Row],[MUEBLE LAVAPLATOS]]=BC$2,100%,AVANCE[[#This Row],[MUEBLE LAVAPLATOS]])</f>
        <v>0</v>
      </c>
      <c r="CQ365" s="3">
        <f>+IF(AVANCE[[#This Row],[IMPERMEABILIZACION BANO - COCINA LOGIA]]=BD$2,100%,AVANCE[[#This Row],[IMPERMEABILIZACION BANO - COCINA LOGIA]])</f>
        <v>0</v>
      </c>
      <c r="CR365" s="40">
        <f ca="1">+IF(AVANCE[[#This Row],[ESTADO MODULO]]="PENDIENTE",(TODAY()-AVANCE[[#This Row],[FECHA TERMINO  PLANIFICADO]]),0)</f>
        <v>0</v>
      </c>
      <c r="CS365" s="42" t="str" cm="1">
        <f t="array" ref="CS365">_xlfn.TEXTJOIN(" | ",TRUE,IF(SUMPRODUCT((BF365:CQ365&lt;1)*(PARTIDAS!$I$2:$AT$2="OBRA GRUESA"))&gt;0,"OBRA GRUESA: "&amp;_xlfn.TEXTJOIN(", ",TRUE,IF((BF365:CQ365&lt;1)*(PARTIDAS!$I$2:$AT$2="OBRA GRUESA"),PARTIDAS!$I$1:$AT$1,"")),""),IF(SUMPRODUCT((BF365:CQ365&lt;1)*(PARTIDAS!$I$2:$AT$2="SANITARIOS"))&gt;0,"SANITARIOS: "&amp;_xlfn.TEXTJOIN(", ",TRUE,IF((BF365:CQ365&lt;1)*(PARTIDAS!$I$2:$AT$2="SANITARIOS"),PARTIDAS!$I$1:$AT$1,"")),""),IF(SUMPRODUCT((BF365:CQ365&lt;1)*(PARTIDAS!$I$2:$AT$2="ELÉCTRICO"))&gt;0,"ELÉCTRICO: "&amp;_xlfn.TEXTJOIN(", ",TRUE,IF((BF365:CQ365&lt;1)*(PARTIDAS!$I$2:$AT$2="ELÉCTRICO"),PARTIDAS!$I$1:$AT$1,"")),""),IF(SUMPRODUCT((BF365:CQ365&lt;1)*(PARTIDAS!$I$2:$AT$2="TERMINACIONES"))&gt;0,"TERMINACIONES: "&amp;_xlfn.TEXTJOIN(", ",TRUE,IF((BF365:CQ365&lt;1)*(PARTIDAS!$I$2:$AT$2="TERMINACIONES"),PARTIDAS!$I$1:$AT$1,"")),""))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5" s="45" t="str" cm="1">
        <f t="array" ref="CT365">_xlfn.TEXTJOIN(", ",TRUE,IF(SUMPRODUCT((BF365:CQ365&lt;1)*(PARTIDAS!$I$2:$AT$2="OBRA GRUESA"))&gt;0,"OBRA GRUESA",""),IF(SUMPRODUCT((BF365:CQ365&lt;1)*(PARTIDAS!$I$2:$AT$2="SANITARIOS"))&gt;0,"SANITARIOS",""),IF(SUMPRODUCT((BF365:CQ365&lt;1)*(PARTIDAS!$I$2:$AT$2="ELÉCTRICO"))&gt;0,"ELÉCTRICO",""),IF(SUMPRODUCT((BF365:CQ365&lt;1)*(PARTIDAS!$I$2:$AT$2="TERMINACIONES"))&gt;0,"TERMINACIONES",""))</f>
        <v>OBRA GRUESA, SANITARIOS, ELÉCTRICO, TERMINACIONES</v>
      </c>
      <c r="CU365" s="46" cm="1">
        <f t="array" ref="CU365">SUMPRODUCT(--(BF365:CQ365&lt;1))</f>
        <v>38</v>
      </c>
    </row>
    <row r="366" spans="1:99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46181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 s="3" t="str">
        <f>+IF(AVANCE[[#This Row],[% AVANCE]]=100%,"MODULO TERMINADO",IF(AVANCE[[#This Row],[FECHA INICIO REAL]]="","MODULO NO INICIADO","PENDIENTE"))</f>
        <v>MODULO NO INICIADO</v>
      </c>
      <c r="BF366" s="3">
        <f>+IF(AVANCE[[#This Row],[VENTANAS]]=8.10810810810811%,100%,AVANCE[[#This Row],[VENTANAS]])</f>
        <v>0</v>
      </c>
      <c r="BG366" s="3">
        <f>+IF(AVANCE[[#This Row],[PISO]]=N$2,100%,AVANCE[[#This Row],[PISO]])</f>
        <v>0</v>
      </c>
      <c r="BH366" s="3">
        <f>+IF(AVANCE[[#This Row],[TABIQUES]]=O$2,100%,AVANCE[[#This Row],[TABIQUES]])</f>
        <v>0</v>
      </c>
      <c r="BI366" s="3">
        <f>+IF(AVANCE[[#This Row],[MUROS]]=P$2,100%,AVANCE[[#This Row],[MUROS]])</f>
        <v>0</v>
      </c>
      <c r="BJ366" s="3">
        <f>+IF(AVANCE[[#This Row],[CIELO]]=Q$2,100%,AVANCE[[#This Row],[CIELO]])</f>
        <v>0</v>
      </c>
      <c r="BK366" s="3">
        <f>+IF(AVANCE[[#This Row],[BALCÓN]]=R$2,100%,AVANCE[[#This Row],[BALCÓN]])</f>
        <v>0</v>
      </c>
      <c r="BL366" s="3">
        <f>+IF(AVANCE[[#This Row],[RED ALCANTARILLADO]]=U$2,100%,AVANCE[[#This Row],[RED ALCANTARILLADO]])</f>
        <v>0</v>
      </c>
      <c r="BM366" s="3">
        <f>+IF(AVANCE[[#This Row],[RED DE AGUA]]=V$2,100%,AVANCE[[#This Row],[RED DE AGUA]])</f>
        <v>0</v>
      </c>
      <c r="BN366" s="3">
        <f>+IF(AVANCE[[#This Row],[VENTILACIONES]]=W$2,100%,AVANCE[[#This Row],[VENTILACIONES]])</f>
        <v>0</v>
      </c>
      <c r="BO366" s="3">
        <f>+IF(AVANCE[[#This Row],[TINA]]=X$2,100%,AVANCE[[#This Row],[TINA]])</f>
        <v>0</v>
      </c>
      <c r="BP366" s="3">
        <f>+IF(AVANCE[[#This Row],[WC]]=Y$2,100%,AVANCE[[#This Row],[WC]])</f>
        <v>0</v>
      </c>
      <c r="BQ366" s="3">
        <f>+IF(AVANCE[[#This Row],[LAVAMANOS / LAVAPLATOS / LAVADERO]]=Z$2,100%,AVANCE[[#This Row],[LAVAMANOS / LAVAPLATOS / LAVADERO]])</f>
        <v>0</v>
      </c>
      <c r="BR366" s="3">
        <f>+IF(AVANCE[[#This Row],[CANALIZACIÓN]]=AC$2,100%,AVANCE[[#This Row],[CANALIZACIÓN]])</f>
        <v>0</v>
      </c>
      <c r="BS366" s="3">
        <f>+IF(AVANCE[[#This Row],[CABLEADO]]=AD$2,100%,AVANCE[[#This Row],[CABLEADO]])</f>
        <v>0</v>
      </c>
      <c r="BT366" s="3">
        <f>+IF(AVANCE[[#This Row],[ARTEFACTOS]]=AE$2,100%,AVANCE[[#This Row],[ARTEFACTOS]])</f>
        <v>0</v>
      </c>
      <c r="BU366" s="3">
        <f>+IF(AVANCE[[#This Row],[TABLERO]]=AF$2,100%,AVANCE[[#This Row],[TABLERO]])</f>
        <v>0</v>
      </c>
      <c r="BV366" s="3">
        <f>+IF(AVANCE[[#This Row],[CAJA PAU]]=AG$2,100%,AVANCE[[#This Row],[CAJA PAU]])</f>
        <v>0</v>
      </c>
      <c r="BW366" s="3">
        <f>+IF(AVANCE[[#This Row],[INSTALACION VINILICO]]=AJ$2,100%,AVANCE[[#This Row],[INSTALACION VINILICO]])</f>
        <v>0</v>
      </c>
      <c r="BX366" s="3">
        <f>+IF(AVANCE[[#This Row],[OSB CUBIERTA]]=AK$2,100%,AVANCE[[#This Row],[OSB CUBIERTA]])</f>
        <v>0</v>
      </c>
      <c r="BY366" s="3">
        <f>+IF(AVANCE[[#This Row],[BARANDA BALCON]]=AL$2,100%,AVANCE[[#This Row],[BARANDA BALCON]])</f>
        <v>0</v>
      </c>
      <c r="BZ366" s="3">
        <f>+IF(AVANCE[[#This Row],[OSB EXTERIOR]]=AM$2,100%,AVANCE[[#This Row],[OSB EXTERIOR]])</f>
        <v>0</v>
      </c>
      <c r="CA366" s="3">
        <f>+IF(AVANCE[[#This Row],[SMART PANEL]]=AN$2,100%,AVANCE[[#This Row],[SMART PANEL]])</f>
        <v>0</v>
      </c>
      <c r="CB366" s="3">
        <f>+IF(AVANCE[[#This Row],[PINTURA EXTERIOR]]=AO$2,100%,AVANCE[[#This Row],[PINTURA EXTERIOR]])</f>
        <v>0</v>
      </c>
      <c r="CC366" s="3">
        <f>+IF(AVANCE[[#This Row],[ZOCALOS LOGIA]]=AP$2,100%,AVANCE[[#This Row],[ZOCALOS LOGIA]])</f>
        <v>0</v>
      </c>
      <c r="CD366" s="3">
        <f>+IF(AVANCE[[#This Row],[MOLDURAS]]=AQ$2,100%,AVANCE[[#This Row],[MOLDURAS]])</f>
        <v>0</v>
      </c>
      <c r="CE366" s="3">
        <f>+IF(AVANCE[[#This Row],[PILASTREO]]=AR$2,100%,AVANCE[[#This Row],[PILASTREO]])</f>
        <v>0</v>
      </c>
      <c r="CF366" s="3">
        <f>+IF(AVANCE[[#This Row],[CELOSIAS]]=AS$2,100%,AVANCE[[#This Row],[CELOSIAS]])</f>
        <v>0</v>
      </c>
      <c r="CG366" s="3">
        <f>+IF(AVANCE[[#This Row],[VENTANAS]]=AT$2,100%,AVANCE[[#This Row],[VENTANAS]])</f>
        <v>0</v>
      </c>
      <c r="CH366" s="3">
        <f>+IF(AVANCE[[#This Row],[PUERTAS ACCESO - LOGIA - BANO]]=AU$2,100%,AVANCE[[#This Row],[PUERTAS ACCESO - LOGIA - BANO]])</f>
        <v>0</v>
      </c>
      <c r="CI366" s="3">
        <f>+IF(AVANCE[[#This Row],[CERRADURAS]]=AV$2,100%,AVANCE[[#This Row],[CERRADURAS]])</f>
        <v>0</v>
      </c>
      <c r="CJ366" s="3">
        <f>+IF(AVANCE[[#This Row],[REVESTIMIENTO INTERIOR ZONA SECA]]=AW$2,100%,AVANCE[[#This Row],[REVESTIMIENTO INTERIOR ZONA SECA]])</f>
        <v>0</v>
      </c>
      <c r="CK366" s="3">
        <f>+IF(AVANCE[[#This Row],[REVESTIMIENTO INTERIOR ZONAS HUMEDAS]]=AX$2,100%,AVANCE[[#This Row],[REVESTIMIENTO INTERIOR ZONAS HUMEDAS]])</f>
        <v>0</v>
      </c>
      <c r="CL366" s="3">
        <f>+IF(AVANCE[[#This Row],[MEMBRANA CIELO]]=AY$2,100%,AVANCE[[#This Row],[MEMBRANA CIELO]])</f>
        <v>0</v>
      </c>
      <c r="CM366" s="3">
        <f>+IF(AVANCE[[#This Row],[LIMPIEZA FINAL]]=AZ$2,100%,AVANCE[[#This Row],[LIMPIEZA FINAL]])</f>
        <v>0</v>
      </c>
      <c r="CN366" s="3">
        <f>+IF(AVANCE[[#This Row],[PUERTAS DORMITORIO]]=BA$2,100%,AVANCE[[#This Row],[PUERTAS DORMITORIO]])</f>
        <v>0</v>
      </c>
      <c r="CO366" s="3">
        <f>+IF(AVANCE[[#This Row],[REVESTIMIENTO INTERIOR BANO]]=BB$2,100%,AVANCE[[#This Row],[REVESTIMIENTO INTERIOR BANO]])</f>
        <v>0</v>
      </c>
      <c r="CP366" s="3">
        <f>+IF(AVANCE[[#This Row],[MUEBLE LAVAPLATOS]]=BC$2,100%,AVANCE[[#This Row],[MUEBLE LAVAPLATOS]])</f>
        <v>0</v>
      </c>
      <c r="CQ366" s="3">
        <f>+IF(AVANCE[[#This Row],[IMPERMEABILIZACION BANO - COCINA LOGIA]]=BD$2,100%,AVANCE[[#This Row],[IMPERMEABILIZACION BANO - COCINA LOGIA]])</f>
        <v>0</v>
      </c>
      <c r="CR366" s="40">
        <f ca="1">+IF(AVANCE[[#This Row],[ESTADO MODULO]]="PENDIENTE",(TODAY()-AVANCE[[#This Row],[FECHA TERMINO  PLANIFICADO]]),0)</f>
        <v>0</v>
      </c>
      <c r="CS366" s="42" t="str" cm="1">
        <f t="array" ref="CS366">_xlfn.TEXTJOIN(" | ",TRUE,IF(SUMPRODUCT((BF366:CQ366&lt;1)*(PARTIDAS!$I$2:$AT$2="OBRA GRUESA"))&gt;0,"OBRA GRUESA: "&amp;_xlfn.TEXTJOIN(", ",TRUE,IF((BF366:CQ366&lt;1)*(PARTIDAS!$I$2:$AT$2="OBRA GRUESA"),PARTIDAS!$I$1:$AT$1,"")),""),IF(SUMPRODUCT((BF366:CQ366&lt;1)*(PARTIDAS!$I$2:$AT$2="SANITARIOS"))&gt;0,"SANITARIOS: "&amp;_xlfn.TEXTJOIN(", ",TRUE,IF((BF366:CQ366&lt;1)*(PARTIDAS!$I$2:$AT$2="SANITARIOS"),PARTIDAS!$I$1:$AT$1,"")),""),IF(SUMPRODUCT((BF366:CQ366&lt;1)*(PARTIDAS!$I$2:$AT$2="ELÉCTRICO"))&gt;0,"ELÉCTRICO: "&amp;_xlfn.TEXTJOIN(", ",TRUE,IF((BF366:CQ366&lt;1)*(PARTIDAS!$I$2:$AT$2="ELÉCTRICO"),PARTIDAS!$I$1:$AT$1,"")),""),IF(SUMPRODUCT((BF366:CQ366&lt;1)*(PARTIDAS!$I$2:$AT$2="TERMINACIONES"))&gt;0,"TERMINACIONES: "&amp;_xlfn.TEXTJOIN(", ",TRUE,IF((BF366:CQ366&lt;1)*(PARTIDAS!$I$2:$AT$2="TERMINACIONES"),PARTIDAS!$I$1:$AT$1,"")),""))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6" s="45" t="str" cm="1">
        <f t="array" ref="CT366">_xlfn.TEXTJOIN(", ",TRUE,IF(SUMPRODUCT((BF366:CQ366&lt;1)*(PARTIDAS!$I$2:$AT$2="OBRA GRUESA"))&gt;0,"OBRA GRUESA",""),IF(SUMPRODUCT((BF366:CQ366&lt;1)*(PARTIDAS!$I$2:$AT$2="SANITARIOS"))&gt;0,"SANITARIOS",""),IF(SUMPRODUCT((BF366:CQ366&lt;1)*(PARTIDAS!$I$2:$AT$2="ELÉCTRICO"))&gt;0,"ELÉCTRICO",""),IF(SUMPRODUCT((BF366:CQ366&lt;1)*(PARTIDAS!$I$2:$AT$2="TERMINACIONES"))&gt;0,"TERMINACIONES",""))</f>
        <v>OBRA GRUESA, SANITARIOS, ELÉCTRICO, TERMINACIONES</v>
      </c>
      <c r="CU366" s="46" cm="1">
        <f t="array" ref="CU366">SUMPRODUCT(--(BF366:CQ366&lt;1))</f>
        <v>38</v>
      </c>
    </row>
    <row r="367" spans="1:99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46181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 s="3" t="str">
        <f>+IF(AVANCE[[#This Row],[% AVANCE]]=100%,"MODULO TERMINADO",IF(AVANCE[[#This Row],[FECHA INICIO REAL]]="","MODULO NO INICIADO","PENDIENTE"))</f>
        <v>MODULO NO INICIADO</v>
      </c>
      <c r="BF367" s="3">
        <f>+IF(AVANCE[[#This Row],[VENTANAS]]=8.10810810810811%,100%,AVANCE[[#This Row],[VENTANAS]])</f>
        <v>0</v>
      </c>
      <c r="BG367" s="3">
        <f>+IF(AVANCE[[#This Row],[PISO]]=N$2,100%,AVANCE[[#This Row],[PISO]])</f>
        <v>0</v>
      </c>
      <c r="BH367" s="3">
        <f>+IF(AVANCE[[#This Row],[TABIQUES]]=O$2,100%,AVANCE[[#This Row],[TABIQUES]])</f>
        <v>0</v>
      </c>
      <c r="BI367" s="3">
        <f>+IF(AVANCE[[#This Row],[MUROS]]=P$2,100%,AVANCE[[#This Row],[MUROS]])</f>
        <v>0</v>
      </c>
      <c r="BJ367" s="3">
        <f>+IF(AVANCE[[#This Row],[CIELO]]=Q$2,100%,AVANCE[[#This Row],[CIELO]])</f>
        <v>0</v>
      </c>
      <c r="BK367" s="3">
        <f>+IF(AVANCE[[#This Row],[BALCÓN]]=R$2,100%,AVANCE[[#This Row],[BALCÓN]])</f>
        <v>0</v>
      </c>
      <c r="BL367" s="3">
        <f>+IF(AVANCE[[#This Row],[RED ALCANTARILLADO]]=U$2,100%,AVANCE[[#This Row],[RED ALCANTARILLADO]])</f>
        <v>0</v>
      </c>
      <c r="BM367" s="3">
        <f>+IF(AVANCE[[#This Row],[RED DE AGUA]]=V$2,100%,AVANCE[[#This Row],[RED DE AGUA]])</f>
        <v>0</v>
      </c>
      <c r="BN367" s="3">
        <f>+IF(AVANCE[[#This Row],[VENTILACIONES]]=W$2,100%,AVANCE[[#This Row],[VENTILACIONES]])</f>
        <v>0</v>
      </c>
      <c r="BO367" s="3">
        <f>+IF(AVANCE[[#This Row],[TINA]]=X$2,100%,AVANCE[[#This Row],[TINA]])</f>
        <v>0</v>
      </c>
      <c r="BP367" s="3">
        <f>+IF(AVANCE[[#This Row],[WC]]=Y$2,100%,AVANCE[[#This Row],[WC]])</f>
        <v>0</v>
      </c>
      <c r="BQ367" s="3">
        <f>+IF(AVANCE[[#This Row],[LAVAMANOS / LAVAPLATOS / LAVADERO]]=Z$2,100%,AVANCE[[#This Row],[LAVAMANOS / LAVAPLATOS / LAVADERO]])</f>
        <v>0</v>
      </c>
      <c r="BR367" s="3">
        <f>+IF(AVANCE[[#This Row],[CANALIZACIÓN]]=AC$2,100%,AVANCE[[#This Row],[CANALIZACIÓN]])</f>
        <v>0</v>
      </c>
      <c r="BS367" s="3">
        <f>+IF(AVANCE[[#This Row],[CABLEADO]]=AD$2,100%,AVANCE[[#This Row],[CABLEADO]])</f>
        <v>0</v>
      </c>
      <c r="BT367" s="3">
        <f>+IF(AVANCE[[#This Row],[ARTEFACTOS]]=AE$2,100%,AVANCE[[#This Row],[ARTEFACTOS]])</f>
        <v>0</v>
      </c>
      <c r="BU367" s="3">
        <f>+IF(AVANCE[[#This Row],[TABLERO]]=AF$2,100%,AVANCE[[#This Row],[TABLERO]])</f>
        <v>0</v>
      </c>
      <c r="BV367" s="3">
        <f>+IF(AVANCE[[#This Row],[CAJA PAU]]=AG$2,100%,AVANCE[[#This Row],[CAJA PAU]])</f>
        <v>0</v>
      </c>
      <c r="BW367" s="3">
        <f>+IF(AVANCE[[#This Row],[INSTALACION VINILICO]]=AJ$2,100%,AVANCE[[#This Row],[INSTALACION VINILICO]])</f>
        <v>0</v>
      </c>
      <c r="BX367" s="3">
        <f>+IF(AVANCE[[#This Row],[OSB CUBIERTA]]=AK$2,100%,AVANCE[[#This Row],[OSB CUBIERTA]])</f>
        <v>0</v>
      </c>
      <c r="BY367" s="3">
        <f>+IF(AVANCE[[#This Row],[BARANDA BALCON]]=AL$2,100%,AVANCE[[#This Row],[BARANDA BALCON]])</f>
        <v>0</v>
      </c>
      <c r="BZ367" s="3">
        <f>+IF(AVANCE[[#This Row],[OSB EXTERIOR]]=AM$2,100%,AVANCE[[#This Row],[OSB EXTERIOR]])</f>
        <v>0</v>
      </c>
      <c r="CA367" s="3">
        <f>+IF(AVANCE[[#This Row],[SMART PANEL]]=AN$2,100%,AVANCE[[#This Row],[SMART PANEL]])</f>
        <v>0</v>
      </c>
      <c r="CB367" s="3">
        <f>+IF(AVANCE[[#This Row],[PINTURA EXTERIOR]]=AO$2,100%,AVANCE[[#This Row],[PINTURA EXTERIOR]])</f>
        <v>0</v>
      </c>
      <c r="CC367" s="3">
        <f>+IF(AVANCE[[#This Row],[ZOCALOS LOGIA]]=AP$2,100%,AVANCE[[#This Row],[ZOCALOS LOGIA]])</f>
        <v>0</v>
      </c>
      <c r="CD367" s="3">
        <f>+IF(AVANCE[[#This Row],[MOLDURAS]]=AQ$2,100%,AVANCE[[#This Row],[MOLDURAS]])</f>
        <v>0</v>
      </c>
      <c r="CE367" s="3">
        <f>+IF(AVANCE[[#This Row],[PILASTREO]]=AR$2,100%,AVANCE[[#This Row],[PILASTREO]])</f>
        <v>0</v>
      </c>
      <c r="CF367" s="3">
        <f>+IF(AVANCE[[#This Row],[CELOSIAS]]=AS$2,100%,AVANCE[[#This Row],[CELOSIAS]])</f>
        <v>0</v>
      </c>
      <c r="CG367" s="3">
        <f>+IF(AVANCE[[#This Row],[VENTANAS]]=AT$2,100%,AVANCE[[#This Row],[VENTANAS]])</f>
        <v>0</v>
      </c>
      <c r="CH367" s="3">
        <f>+IF(AVANCE[[#This Row],[PUERTAS ACCESO - LOGIA - BANO]]=AU$2,100%,AVANCE[[#This Row],[PUERTAS ACCESO - LOGIA - BANO]])</f>
        <v>0</v>
      </c>
      <c r="CI367" s="3">
        <f>+IF(AVANCE[[#This Row],[CERRADURAS]]=AV$2,100%,AVANCE[[#This Row],[CERRADURAS]])</f>
        <v>0</v>
      </c>
      <c r="CJ367" s="3">
        <f>+IF(AVANCE[[#This Row],[REVESTIMIENTO INTERIOR ZONA SECA]]=AW$2,100%,AVANCE[[#This Row],[REVESTIMIENTO INTERIOR ZONA SECA]])</f>
        <v>0</v>
      </c>
      <c r="CK367" s="3">
        <f>+IF(AVANCE[[#This Row],[REVESTIMIENTO INTERIOR ZONAS HUMEDAS]]=AX$2,100%,AVANCE[[#This Row],[REVESTIMIENTO INTERIOR ZONAS HUMEDAS]])</f>
        <v>0</v>
      </c>
      <c r="CL367" s="3">
        <f>+IF(AVANCE[[#This Row],[MEMBRANA CIELO]]=AY$2,100%,AVANCE[[#This Row],[MEMBRANA CIELO]])</f>
        <v>0</v>
      </c>
      <c r="CM367" s="3">
        <f>+IF(AVANCE[[#This Row],[LIMPIEZA FINAL]]=AZ$2,100%,AVANCE[[#This Row],[LIMPIEZA FINAL]])</f>
        <v>0</v>
      </c>
      <c r="CN367" s="3">
        <f>+IF(AVANCE[[#This Row],[PUERTAS DORMITORIO]]=BA$2,100%,AVANCE[[#This Row],[PUERTAS DORMITORIO]])</f>
        <v>0</v>
      </c>
      <c r="CO367" s="3">
        <f>+IF(AVANCE[[#This Row],[REVESTIMIENTO INTERIOR BANO]]=BB$2,100%,AVANCE[[#This Row],[REVESTIMIENTO INTERIOR BANO]])</f>
        <v>0</v>
      </c>
      <c r="CP367" s="3">
        <f>+IF(AVANCE[[#This Row],[MUEBLE LAVAPLATOS]]=BC$2,100%,AVANCE[[#This Row],[MUEBLE LAVAPLATOS]])</f>
        <v>0</v>
      </c>
      <c r="CQ367" s="3">
        <f>+IF(AVANCE[[#This Row],[IMPERMEABILIZACION BANO - COCINA LOGIA]]=BD$2,100%,AVANCE[[#This Row],[IMPERMEABILIZACION BANO - COCINA LOGIA]])</f>
        <v>0</v>
      </c>
      <c r="CR367" s="40">
        <f ca="1">+IF(AVANCE[[#This Row],[ESTADO MODULO]]="PENDIENTE",(TODAY()-AVANCE[[#This Row],[FECHA TERMINO  PLANIFICADO]]),0)</f>
        <v>0</v>
      </c>
      <c r="CS367" s="42" t="str" cm="1">
        <f t="array" ref="CS367">_xlfn.TEXTJOIN(" | ",TRUE,IF(SUMPRODUCT((BF367:CQ367&lt;1)*(PARTIDAS!$I$2:$AT$2="OBRA GRUESA"))&gt;0,"OBRA GRUESA: "&amp;_xlfn.TEXTJOIN(", ",TRUE,IF((BF367:CQ367&lt;1)*(PARTIDAS!$I$2:$AT$2="OBRA GRUESA"),PARTIDAS!$I$1:$AT$1,"")),""),IF(SUMPRODUCT((BF367:CQ367&lt;1)*(PARTIDAS!$I$2:$AT$2="SANITARIOS"))&gt;0,"SANITARIOS: "&amp;_xlfn.TEXTJOIN(", ",TRUE,IF((BF367:CQ367&lt;1)*(PARTIDAS!$I$2:$AT$2="SANITARIOS"),PARTIDAS!$I$1:$AT$1,"")),""),IF(SUMPRODUCT((BF367:CQ367&lt;1)*(PARTIDAS!$I$2:$AT$2="ELÉCTRICO"))&gt;0,"ELÉCTRICO: "&amp;_xlfn.TEXTJOIN(", ",TRUE,IF((BF367:CQ367&lt;1)*(PARTIDAS!$I$2:$AT$2="ELÉCTRICO"),PARTIDAS!$I$1:$AT$1,"")),""),IF(SUMPRODUCT((BF367:CQ367&lt;1)*(PARTIDAS!$I$2:$AT$2="TERMINACIONES"))&gt;0,"TERMINACIONES: "&amp;_xlfn.TEXTJOIN(", ",TRUE,IF((BF367:CQ367&lt;1)*(PARTIDAS!$I$2:$AT$2="TERMINACIONES"),PARTIDAS!$I$1:$AT$1,"")),""))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7" s="45" t="str" cm="1">
        <f t="array" ref="CT367">_xlfn.TEXTJOIN(", ",TRUE,IF(SUMPRODUCT((BF367:CQ367&lt;1)*(PARTIDAS!$I$2:$AT$2="OBRA GRUESA"))&gt;0,"OBRA GRUESA",""),IF(SUMPRODUCT((BF367:CQ367&lt;1)*(PARTIDAS!$I$2:$AT$2="SANITARIOS"))&gt;0,"SANITARIOS",""),IF(SUMPRODUCT((BF367:CQ367&lt;1)*(PARTIDAS!$I$2:$AT$2="ELÉCTRICO"))&gt;0,"ELÉCTRICO",""),IF(SUMPRODUCT((BF367:CQ367&lt;1)*(PARTIDAS!$I$2:$AT$2="TERMINACIONES"))&gt;0,"TERMINACIONES",""))</f>
        <v>OBRA GRUESA, SANITARIOS, ELÉCTRICO, TERMINACIONES</v>
      </c>
      <c r="CU367" s="46" cm="1">
        <f t="array" ref="CU367">SUMPRODUCT(--(BF367:CQ367&lt;1))</f>
        <v>38</v>
      </c>
    </row>
    <row r="368" spans="1:99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46181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 s="3" t="str">
        <f>+IF(AVANCE[[#This Row],[% AVANCE]]=100%,"MODULO TERMINADO",IF(AVANCE[[#This Row],[FECHA INICIO REAL]]="","MODULO NO INICIADO","PENDIENTE"))</f>
        <v>MODULO NO INICIADO</v>
      </c>
      <c r="BF368" s="3">
        <f>+IF(AVANCE[[#This Row],[VENTANAS]]=8.10810810810811%,100%,AVANCE[[#This Row],[VENTANAS]])</f>
        <v>0</v>
      </c>
      <c r="BG368" s="3">
        <f>+IF(AVANCE[[#This Row],[PISO]]=N$2,100%,AVANCE[[#This Row],[PISO]])</f>
        <v>0</v>
      </c>
      <c r="BH368" s="3">
        <f>+IF(AVANCE[[#This Row],[TABIQUES]]=O$2,100%,AVANCE[[#This Row],[TABIQUES]])</f>
        <v>0</v>
      </c>
      <c r="BI368" s="3">
        <f>+IF(AVANCE[[#This Row],[MUROS]]=P$2,100%,AVANCE[[#This Row],[MUROS]])</f>
        <v>0</v>
      </c>
      <c r="BJ368" s="3">
        <f>+IF(AVANCE[[#This Row],[CIELO]]=Q$2,100%,AVANCE[[#This Row],[CIELO]])</f>
        <v>0</v>
      </c>
      <c r="BK368" s="3">
        <f>+IF(AVANCE[[#This Row],[BALCÓN]]=R$2,100%,AVANCE[[#This Row],[BALCÓN]])</f>
        <v>0</v>
      </c>
      <c r="BL368" s="3">
        <f>+IF(AVANCE[[#This Row],[RED ALCANTARILLADO]]=U$2,100%,AVANCE[[#This Row],[RED ALCANTARILLADO]])</f>
        <v>0</v>
      </c>
      <c r="BM368" s="3">
        <f>+IF(AVANCE[[#This Row],[RED DE AGUA]]=V$2,100%,AVANCE[[#This Row],[RED DE AGUA]])</f>
        <v>0</v>
      </c>
      <c r="BN368" s="3">
        <f>+IF(AVANCE[[#This Row],[VENTILACIONES]]=W$2,100%,AVANCE[[#This Row],[VENTILACIONES]])</f>
        <v>0</v>
      </c>
      <c r="BO368" s="3">
        <f>+IF(AVANCE[[#This Row],[TINA]]=X$2,100%,AVANCE[[#This Row],[TINA]])</f>
        <v>0</v>
      </c>
      <c r="BP368" s="3">
        <f>+IF(AVANCE[[#This Row],[WC]]=Y$2,100%,AVANCE[[#This Row],[WC]])</f>
        <v>0</v>
      </c>
      <c r="BQ368" s="3">
        <f>+IF(AVANCE[[#This Row],[LAVAMANOS / LAVAPLATOS / LAVADERO]]=Z$2,100%,AVANCE[[#This Row],[LAVAMANOS / LAVAPLATOS / LAVADERO]])</f>
        <v>0</v>
      </c>
      <c r="BR368" s="3">
        <f>+IF(AVANCE[[#This Row],[CANALIZACIÓN]]=AC$2,100%,AVANCE[[#This Row],[CANALIZACIÓN]])</f>
        <v>0</v>
      </c>
      <c r="BS368" s="3">
        <f>+IF(AVANCE[[#This Row],[CABLEADO]]=AD$2,100%,AVANCE[[#This Row],[CABLEADO]])</f>
        <v>0</v>
      </c>
      <c r="BT368" s="3">
        <f>+IF(AVANCE[[#This Row],[ARTEFACTOS]]=AE$2,100%,AVANCE[[#This Row],[ARTEFACTOS]])</f>
        <v>0</v>
      </c>
      <c r="BU368" s="3">
        <f>+IF(AVANCE[[#This Row],[TABLERO]]=AF$2,100%,AVANCE[[#This Row],[TABLERO]])</f>
        <v>0</v>
      </c>
      <c r="BV368" s="3">
        <f>+IF(AVANCE[[#This Row],[CAJA PAU]]=AG$2,100%,AVANCE[[#This Row],[CAJA PAU]])</f>
        <v>0</v>
      </c>
      <c r="BW368" s="3">
        <f>+IF(AVANCE[[#This Row],[INSTALACION VINILICO]]=AJ$2,100%,AVANCE[[#This Row],[INSTALACION VINILICO]])</f>
        <v>0</v>
      </c>
      <c r="BX368" s="3">
        <f>+IF(AVANCE[[#This Row],[OSB CUBIERTA]]=AK$2,100%,AVANCE[[#This Row],[OSB CUBIERTA]])</f>
        <v>0</v>
      </c>
      <c r="BY368" s="3">
        <f>+IF(AVANCE[[#This Row],[BARANDA BALCON]]=AL$2,100%,AVANCE[[#This Row],[BARANDA BALCON]])</f>
        <v>0</v>
      </c>
      <c r="BZ368" s="3">
        <f>+IF(AVANCE[[#This Row],[OSB EXTERIOR]]=AM$2,100%,AVANCE[[#This Row],[OSB EXTERIOR]])</f>
        <v>0</v>
      </c>
      <c r="CA368" s="3">
        <f>+IF(AVANCE[[#This Row],[SMART PANEL]]=AN$2,100%,AVANCE[[#This Row],[SMART PANEL]])</f>
        <v>0</v>
      </c>
      <c r="CB368" s="3">
        <f>+IF(AVANCE[[#This Row],[PINTURA EXTERIOR]]=AO$2,100%,AVANCE[[#This Row],[PINTURA EXTERIOR]])</f>
        <v>0</v>
      </c>
      <c r="CC368" s="3">
        <f>+IF(AVANCE[[#This Row],[ZOCALOS LOGIA]]=AP$2,100%,AVANCE[[#This Row],[ZOCALOS LOGIA]])</f>
        <v>0</v>
      </c>
      <c r="CD368" s="3">
        <f>+IF(AVANCE[[#This Row],[MOLDURAS]]=AQ$2,100%,AVANCE[[#This Row],[MOLDURAS]])</f>
        <v>0</v>
      </c>
      <c r="CE368" s="3">
        <f>+IF(AVANCE[[#This Row],[PILASTREO]]=AR$2,100%,AVANCE[[#This Row],[PILASTREO]])</f>
        <v>0</v>
      </c>
      <c r="CF368" s="3">
        <f>+IF(AVANCE[[#This Row],[CELOSIAS]]=AS$2,100%,AVANCE[[#This Row],[CELOSIAS]])</f>
        <v>0</v>
      </c>
      <c r="CG368" s="3">
        <f>+IF(AVANCE[[#This Row],[VENTANAS]]=AT$2,100%,AVANCE[[#This Row],[VENTANAS]])</f>
        <v>0</v>
      </c>
      <c r="CH368" s="3">
        <f>+IF(AVANCE[[#This Row],[PUERTAS ACCESO - LOGIA - BANO]]=AU$2,100%,AVANCE[[#This Row],[PUERTAS ACCESO - LOGIA - BANO]])</f>
        <v>0</v>
      </c>
      <c r="CI368" s="3">
        <f>+IF(AVANCE[[#This Row],[CERRADURAS]]=AV$2,100%,AVANCE[[#This Row],[CERRADURAS]])</f>
        <v>0</v>
      </c>
      <c r="CJ368" s="3">
        <f>+IF(AVANCE[[#This Row],[REVESTIMIENTO INTERIOR ZONA SECA]]=AW$2,100%,AVANCE[[#This Row],[REVESTIMIENTO INTERIOR ZONA SECA]])</f>
        <v>0</v>
      </c>
      <c r="CK368" s="3">
        <f>+IF(AVANCE[[#This Row],[REVESTIMIENTO INTERIOR ZONAS HUMEDAS]]=AX$2,100%,AVANCE[[#This Row],[REVESTIMIENTO INTERIOR ZONAS HUMEDAS]])</f>
        <v>0</v>
      </c>
      <c r="CL368" s="3">
        <f>+IF(AVANCE[[#This Row],[MEMBRANA CIELO]]=AY$2,100%,AVANCE[[#This Row],[MEMBRANA CIELO]])</f>
        <v>0</v>
      </c>
      <c r="CM368" s="3">
        <f>+IF(AVANCE[[#This Row],[LIMPIEZA FINAL]]=AZ$2,100%,AVANCE[[#This Row],[LIMPIEZA FINAL]])</f>
        <v>0</v>
      </c>
      <c r="CN368" s="3">
        <f>+IF(AVANCE[[#This Row],[PUERTAS DORMITORIO]]=BA$2,100%,AVANCE[[#This Row],[PUERTAS DORMITORIO]])</f>
        <v>0</v>
      </c>
      <c r="CO368" s="3">
        <f>+IF(AVANCE[[#This Row],[REVESTIMIENTO INTERIOR BANO]]=BB$2,100%,AVANCE[[#This Row],[REVESTIMIENTO INTERIOR BANO]])</f>
        <v>0</v>
      </c>
      <c r="CP368" s="3">
        <f>+IF(AVANCE[[#This Row],[MUEBLE LAVAPLATOS]]=BC$2,100%,AVANCE[[#This Row],[MUEBLE LAVAPLATOS]])</f>
        <v>0</v>
      </c>
      <c r="CQ368" s="3">
        <f>+IF(AVANCE[[#This Row],[IMPERMEABILIZACION BANO - COCINA LOGIA]]=BD$2,100%,AVANCE[[#This Row],[IMPERMEABILIZACION BANO - COCINA LOGIA]])</f>
        <v>0</v>
      </c>
      <c r="CR368" s="40">
        <f ca="1">+IF(AVANCE[[#This Row],[ESTADO MODULO]]="PENDIENTE",(TODAY()-AVANCE[[#This Row],[FECHA TERMINO  PLANIFICADO]]),0)</f>
        <v>0</v>
      </c>
      <c r="CS368" s="42" t="str" cm="1">
        <f t="array" ref="CS368">_xlfn.TEXTJOIN(" | ",TRUE,IF(SUMPRODUCT((BF368:CQ368&lt;1)*(PARTIDAS!$I$2:$AT$2="OBRA GRUESA"))&gt;0,"OBRA GRUESA: "&amp;_xlfn.TEXTJOIN(", ",TRUE,IF((BF368:CQ368&lt;1)*(PARTIDAS!$I$2:$AT$2="OBRA GRUESA"),PARTIDAS!$I$1:$AT$1,"")),""),IF(SUMPRODUCT((BF368:CQ368&lt;1)*(PARTIDAS!$I$2:$AT$2="SANITARIOS"))&gt;0,"SANITARIOS: "&amp;_xlfn.TEXTJOIN(", ",TRUE,IF((BF368:CQ368&lt;1)*(PARTIDAS!$I$2:$AT$2="SANITARIOS"),PARTIDAS!$I$1:$AT$1,"")),""),IF(SUMPRODUCT((BF368:CQ368&lt;1)*(PARTIDAS!$I$2:$AT$2="ELÉCTRICO"))&gt;0,"ELÉCTRICO: "&amp;_xlfn.TEXTJOIN(", ",TRUE,IF((BF368:CQ368&lt;1)*(PARTIDAS!$I$2:$AT$2="ELÉCTRICO"),PARTIDAS!$I$1:$AT$1,"")),""),IF(SUMPRODUCT((BF368:CQ368&lt;1)*(PARTIDAS!$I$2:$AT$2="TERMINACIONES"))&gt;0,"TERMINACIONES: "&amp;_xlfn.TEXTJOIN(", ",TRUE,IF((BF368:CQ368&lt;1)*(PARTIDAS!$I$2:$AT$2="TERMINACIONES"),PARTIDAS!$I$1:$AT$1,"")),""))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8" s="45" t="str" cm="1">
        <f t="array" ref="CT368">_xlfn.TEXTJOIN(", ",TRUE,IF(SUMPRODUCT((BF368:CQ368&lt;1)*(PARTIDAS!$I$2:$AT$2="OBRA GRUESA"))&gt;0,"OBRA GRUESA",""),IF(SUMPRODUCT((BF368:CQ368&lt;1)*(PARTIDAS!$I$2:$AT$2="SANITARIOS"))&gt;0,"SANITARIOS",""),IF(SUMPRODUCT((BF368:CQ368&lt;1)*(PARTIDAS!$I$2:$AT$2="ELÉCTRICO"))&gt;0,"ELÉCTRICO",""),IF(SUMPRODUCT((BF368:CQ368&lt;1)*(PARTIDAS!$I$2:$AT$2="TERMINACIONES"))&gt;0,"TERMINACIONES",""))</f>
        <v>OBRA GRUESA, SANITARIOS, ELÉCTRICO, TERMINACIONES</v>
      </c>
      <c r="CU368" s="46" cm="1">
        <f t="array" ref="CU368">SUMPRODUCT(--(BF368:CQ368&lt;1))</f>
        <v>38</v>
      </c>
    </row>
    <row r="369" spans="1:99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46181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 s="3" t="str">
        <f>+IF(AVANCE[[#This Row],[% AVANCE]]=100%,"MODULO TERMINADO",IF(AVANCE[[#This Row],[FECHA INICIO REAL]]="","MODULO NO INICIADO","PENDIENTE"))</f>
        <v>MODULO NO INICIADO</v>
      </c>
      <c r="BF369" s="3">
        <f>+IF(AVANCE[[#This Row],[VENTANAS]]=8.10810810810811%,100%,AVANCE[[#This Row],[VENTANAS]])</f>
        <v>0</v>
      </c>
      <c r="BG369" s="3">
        <f>+IF(AVANCE[[#This Row],[PISO]]=N$2,100%,AVANCE[[#This Row],[PISO]])</f>
        <v>0</v>
      </c>
      <c r="BH369" s="3">
        <f>+IF(AVANCE[[#This Row],[TABIQUES]]=O$2,100%,AVANCE[[#This Row],[TABIQUES]])</f>
        <v>0</v>
      </c>
      <c r="BI369" s="3">
        <f>+IF(AVANCE[[#This Row],[MUROS]]=P$2,100%,AVANCE[[#This Row],[MUROS]])</f>
        <v>0</v>
      </c>
      <c r="BJ369" s="3">
        <f>+IF(AVANCE[[#This Row],[CIELO]]=Q$2,100%,AVANCE[[#This Row],[CIELO]])</f>
        <v>0</v>
      </c>
      <c r="BK369" s="3">
        <f>+IF(AVANCE[[#This Row],[BALCÓN]]=R$2,100%,AVANCE[[#This Row],[BALCÓN]])</f>
        <v>0</v>
      </c>
      <c r="BL369" s="3">
        <f>+IF(AVANCE[[#This Row],[RED ALCANTARILLADO]]=U$2,100%,AVANCE[[#This Row],[RED ALCANTARILLADO]])</f>
        <v>0</v>
      </c>
      <c r="BM369" s="3">
        <f>+IF(AVANCE[[#This Row],[RED DE AGUA]]=V$2,100%,AVANCE[[#This Row],[RED DE AGUA]])</f>
        <v>0</v>
      </c>
      <c r="BN369" s="3">
        <f>+IF(AVANCE[[#This Row],[VENTILACIONES]]=W$2,100%,AVANCE[[#This Row],[VENTILACIONES]])</f>
        <v>0</v>
      </c>
      <c r="BO369" s="3">
        <f>+IF(AVANCE[[#This Row],[TINA]]=X$2,100%,AVANCE[[#This Row],[TINA]])</f>
        <v>0</v>
      </c>
      <c r="BP369" s="3">
        <f>+IF(AVANCE[[#This Row],[WC]]=Y$2,100%,AVANCE[[#This Row],[WC]])</f>
        <v>0</v>
      </c>
      <c r="BQ369" s="3">
        <f>+IF(AVANCE[[#This Row],[LAVAMANOS / LAVAPLATOS / LAVADERO]]=Z$2,100%,AVANCE[[#This Row],[LAVAMANOS / LAVAPLATOS / LAVADERO]])</f>
        <v>0</v>
      </c>
      <c r="BR369" s="3">
        <f>+IF(AVANCE[[#This Row],[CANALIZACIÓN]]=AC$2,100%,AVANCE[[#This Row],[CANALIZACIÓN]])</f>
        <v>0</v>
      </c>
      <c r="BS369" s="3">
        <f>+IF(AVANCE[[#This Row],[CABLEADO]]=AD$2,100%,AVANCE[[#This Row],[CABLEADO]])</f>
        <v>0</v>
      </c>
      <c r="BT369" s="3">
        <f>+IF(AVANCE[[#This Row],[ARTEFACTOS]]=AE$2,100%,AVANCE[[#This Row],[ARTEFACTOS]])</f>
        <v>0</v>
      </c>
      <c r="BU369" s="3">
        <f>+IF(AVANCE[[#This Row],[TABLERO]]=AF$2,100%,AVANCE[[#This Row],[TABLERO]])</f>
        <v>0</v>
      </c>
      <c r="BV369" s="3">
        <f>+IF(AVANCE[[#This Row],[CAJA PAU]]=AG$2,100%,AVANCE[[#This Row],[CAJA PAU]])</f>
        <v>0</v>
      </c>
      <c r="BW369" s="3">
        <f>+IF(AVANCE[[#This Row],[INSTALACION VINILICO]]=AJ$2,100%,AVANCE[[#This Row],[INSTALACION VINILICO]])</f>
        <v>0</v>
      </c>
      <c r="BX369" s="3">
        <f>+IF(AVANCE[[#This Row],[OSB CUBIERTA]]=AK$2,100%,AVANCE[[#This Row],[OSB CUBIERTA]])</f>
        <v>0</v>
      </c>
      <c r="BY369" s="3">
        <f>+IF(AVANCE[[#This Row],[BARANDA BALCON]]=AL$2,100%,AVANCE[[#This Row],[BARANDA BALCON]])</f>
        <v>0</v>
      </c>
      <c r="BZ369" s="3">
        <f>+IF(AVANCE[[#This Row],[OSB EXTERIOR]]=AM$2,100%,AVANCE[[#This Row],[OSB EXTERIOR]])</f>
        <v>0</v>
      </c>
      <c r="CA369" s="3">
        <f>+IF(AVANCE[[#This Row],[SMART PANEL]]=AN$2,100%,AVANCE[[#This Row],[SMART PANEL]])</f>
        <v>0</v>
      </c>
      <c r="CB369" s="3">
        <f>+IF(AVANCE[[#This Row],[PINTURA EXTERIOR]]=AO$2,100%,AVANCE[[#This Row],[PINTURA EXTERIOR]])</f>
        <v>0</v>
      </c>
      <c r="CC369" s="3">
        <f>+IF(AVANCE[[#This Row],[ZOCALOS LOGIA]]=AP$2,100%,AVANCE[[#This Row],[ZOCALOS LOGIA]])</f>
        <v>0</v>
      </c>
      <c r="CD369" s="3">
        <f>+IF(AVANCE[[#This Row],[MOLDURAS]]=AQ$2,100%,AVANCE[[#This Row],[MOLDURAS]])</f>
        <v>0</v>
      </c>
      <c r="CE369" s="3">
        <f>+IF(AVANCE[[#This Row],[PILASTREO]]=AR$2,100%,AVANCE[[#This Row],[PILASTREO]])</f>
        <v>0</v>
      </c>
      <c r="CF369" s="3">
        <f>+IF(AVANCE[[#This Row],[CELOSIAS]]=AS$2,100%,AVANCE[[#This Row],[CELOSIAS]])</f>
        <v>0</v>
      </c>
      <c r="CG369" s="3">
        <f>+IF(AVANCE[[#This Row],[VENTANAS]]=AT$2,100%,AVANCE[[#This Row],[VENTANAS]])</f>
        <v>0</v>
      </c>
      <c r="CH369" s="3">
        <f>+IF(AVANCE[[#This Row],[PUERTAS ACCESO - LOGIA - BANO]]=AU$2,100%,AVANCE[[#This Row],[PUERTAS ACCESO - LOGIA - BANO]])</f>
        <v>0</v>
      </c>
      <c r="CI369" s="3">
        <f>+IF(AVANCE[[#This Row],[CERRADURAS]]=AV$2,100%,AVANCE[[#This Row],[CERRADURAS]])</f>
        <v>0</v>
      </c>
      <c r="CJ369" s="3">
        <f>+IF(AVANCE[[#This Row],[REVESTIMIENTO INTERIOR ZONA SECA]]=AW$2,100%,AVANCE[[#This Row],[REVESTIMIENTO INTERIOR ZONA SECA]])</f>
        <v>0</v>
      </c>
      <c r="CK369" s="3">
        <f>+IF(AVANCE[[#This Row],[REVESTIMIENTO INTERIOR ZONAS HUMEDAS]]=AX$2,100%,AVANCE[[#This Row],[REVESTIMIENTO INTERIOR ZONAS HUMEDAS]])</f>
        <v>0</v>
      </c>
      <c r="CL369" s="3">
        <f>+IF(AVANCE[[#This Row],[MEMBRANA CIELO]]=AY$2,100%,AVANCE[[#This Row],[MEMBRANA CIELO]])</f>
        <v>0</v>
      </c>
      <c r="CM369" s="3">
        <f>+IF(AVANCE[[#This Row],[LIMPIEZA FINAL]]=AZ$2,100%,AVANCE[[#This Row],[LIMPIEZA FINAL]])</f>
        <v>0</v>
      </c>
      <c r="CN369" s="3">
        <f>+IF(AVANCE[[#This Row],[PUERTAS DORMITORIO]]=BA$2,100%,AVANCE[[#This Row],[PUERTAS DORMITORIO]])</f>
        <v>0</v>
      </c>
      <c r="CO369" s="3">
        <f>+IF(AVANCE[[#This Row],[REVESTIMIENTO INTERIOR BANO]]=BB$2,100%,AVANCE[[#This Row],[REVESTIMIENTO INTERIOR BANO]])</f>
        <v>0</v>
      </c>
      <c r="CP369" s="3">
        <f>+IF(AVANCE[[#This Row],[MUEBLE LAVAPLATOS]]=BC$2,100%,AVANCE[[#This Row],[MUEBLE LAVAPLATOS]])</f>
        <v>0</v>
      </c>
      <c r="CQ369" s="3">
        <f>+IF(AVANCE[[#This Row],[IMPERMEABILIZACION BANO - COCINA LOGIA]]=BD$2,100%,AVANCE[[#This Row],[IMPERMEABILIZACION BANO - COCINA LOGIA]])</f>
        <v>0</v>
      </c>
      <c r="CR369" s="40">
        <f ca="1">+IF(AVANCE[[#This Row],[ESTADO MODULO]]="PENDIENTE",(TODAY()-AVANCE[[#This Row],[FECHA TERMINO  PLANIFICADO]]),0)</f>
        <v>0</v>
      </c>
      <c r="CS369" s="42" t="str" cm="1">
        <f t="array" ref="CS369">_xlfn.TEXTJOIN(" | ",TRUE,IF(SUMPRODUCT((BF369:CQ369&lt;1)*(PARTIDAS!$I$2:$AT$2="OBRA GRUESA"))&gt;0,"OBRA GRUESA: "&amp;_xlfn.TEXTJOIN(", ",TRUE,IF((BF369:CQ369&lt;1)*(PARTIDAS!$I$2:$AT$2="OBRA GRUESA"),PARTIDAS!$I$1:$AT$1,"")),""),IF(SUMPRODUCT((BF369:CQ369&lt;1)*(PARTIDAS!$I$2:$AT$2="SANITARIOS"))&gt;0,"SANITARIOS: "&amp;_xlfn.TEXTJOIN(", ",TRUE,IF((BF369:CQ369&lt;1)*(PARTIDAS!$I$2:$AT$2="SANITARIOS"),PARTIDAS!$I$1:$AT$1,"")),""),IF(SUMPRODUCT((BF369:CQ369&lt;1)*(PARTIDAS!$I$2:$AT$2="ELÉCTRICO"))&gt;0,"ELÉCTRICO: "&amp;_xlfn.TEXTJOIN(", ",TRUE,IF((BF369:CQ369&lt;1)*(PARTIDAS!$I$2:$AT$2="ELÉCTRICO"),PARTIDAS!$I$1:$AT$1,"")),""),IF(SUMPRODUCT((BF369:CQ369&lt;1)*(PARTIDAS!$I$2:$AT$2="TERMINACIONES"))&gt;0,"TERMINACIONES: "&amp;_xlfn.TEXTJOIN(", ",TRUE,IF((BF369:CQ369&lt;1)*(PARTIDAS!$I$2:$AT$2="TERMINACIONES"),PARTIDAS!$I$1:$AT$1,"")),""))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69" s="45" t="str" cm="1">
        <f t="array" ref="CT369">_xlfn.TEXTJOIN(", ",TRUE,IF(SUMPRODUCT((BF369:CQ369&lt;1)*(PARTIDAS!$I$2:$AT$2="OBRA GRUESA"))&gt;0,"OBRA GRUESA",""),IF(SUMPRODUCT((BF369:CQ369&lt;1)*(PARTIDAS!$I$2:$AT$2="SANITARIOS"))&gt;0,"SANITARIOS",""),IF(SUMPRODUCT((BF369:CQ369&lt;1)*(PARTIDAS!$I$2:$AT$2="ELÉCTRICO"))&gt;0,"ELÉCTRICO",""),IF(SUMPRODUCT((BF369:CQ369&lt;1)*(PARTIDAS!$I$2:$AT$2="TERMINACIONES"))&gt;0,"TERMINACIONES",""))</f>
        <v>OBRA GRUESA, SANITARIOS, ELÉCTRICO, TERMINACIONES</v>
      </c>
      <c r="CU369" s="46" cm="1">
        <f t="array" ref="CU369">SUMPRODUCT(--(BF369:CQ369&lt;1))</f>
        <v>38</v>
      </c>
    </row>
    <row r="370" spans="1:99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46181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 s="3" t="str">
        <f>+IF(AVANCE[[#This Row],[% AVANCE]]=100%,"MODULO TERMINADO",IF(AVANCE[[#This Row],[FECHA INICIO REAL]]="","MODULO NO INICIADO","PENDIENTE"))</f>
        <v>MODULO NO INICIADO</v>
      </c>
      <c r="BF370" s="3">
        <f>+IF(AVANCE[[#This Row],[VENTANAS]]=8.10810810810811%,100%,AVANCE[[#This Row],[VENTANAS]])</f>
        <v>0</v>
      </c>
      <c r="BG370" s="3">
        <f>+IF(AVANCE[[#This Row],[PISO]]=N$2,100%,AVANCE[[#This Row],[PISO]])</f>
        <v>0</v>
      </c>
      <c r="BH370" s="3">
        <f>+IF(AVANCE[[#This Row],[TABIQUES]]=O$2,100%,AVANCE[[#This Row],[TABIQUES]])</f>
        <v>0</v>
      </c>
      <c r="BI370" s="3">
        <f>+IF(AVANCE[[#This Row],[MUROS]]=P$2,100%,AVANCE[[#This Row],[MUROS]])</f>
        <v>0</v>
      </c>
      <c r="BJ370" s="3">
        <f>+IF(AVANCE[[#This Row],[CIELO]]=Q$2,100%,AVANCE[[#This Row],[CIELO]])</f>
        <v>0</v>
      </c>
      <c r="BK370" s="3">
        <f>+IF(AVANCE[[#This Row],[BALCÓN]]=R$2,100%,AVANCE[[#This Row],[BALCÓN]])</f>
        <v>0</v>
      </c>
      <c r="BL370" s="3">
        <f>+IF(AVANCE[[#This Row],[RED ALCANTARILLADO]]=U$2,100%,AVANCE[[#This Row],[RED ALCANTARILLADO]])</f>
        <v>0</v>
      </c>
      <c r="BM370" s="3">
        <f>+IF(AVANCE[[#This Row],[RED DE AGUA]]=V$2,100%,AVANCE[[#This Row],[RED DE AGUA]])</f>
        <v>0</v>
      </c>
      <c r="BN370" s="3">
        <f>+IF(AVANCE[[#This Row],[VENTILACIONES]]=W$2,100%,AVANCE[[#This Row],[VENTILACIONES]])</f>
        <v>0</v>
      </c>
      <c r="BO370" s="3">
        <f>+IF(AVANCE[[#This Row],[TINA]]=X$2,100%,AVANCE[[#This Row],[TINA]])</f>
        <v>0</v>
      </c>
      <c r="BP370" s="3">
        <f>+IF(AVANCE[[#This Row],[WC]]=Y$2,100%,AVANCE[[#This Row],[WC]])</f>
        <v>0</v>
      </c>
      <c r="BQ370" s="3">
        <f>+IF(AVANCE[[#This Row],[LAVAMANOS / LAVAPLATOS / LAVADERO]]=Z$2,100%,AVANCE[[#This Row],[LAVAMANOS / LAVAPLATOS / LAVADERO]])</f>
        <v>0</v>
      </c>
      <c r="BR370" s="3">
        <f>+IF(AVANCE[[#This Row],[CANALIZACIÓN]]=AC$2,100%,AVANCE[[#This Row],[CANALIZACIÓN]])</f>
        <v>0</v>
      </c>
      <c r="BS370" s="3">
        <f>+IF(AVANCE[[#This Row],[CABLEADO]]=AD$2,100%,AVANCE[[#This Row],[CABLEADO]])</f>
        <v>0</v>
      </c>
      <c r="BT370" s="3">
        <f>+IF(AVANCE[[#This Row],[ARTEFACTOS]]=AE$2,100%,AVANCE[[#This Row],[ARTEFACTOS]])</f>
        <v>0</v>
      </c>
      <c r="BU370" s="3">
        <f>+IF(AVANCE[[#This Row],[TABLERO]]=AF$2,100%,AVANCE[[#This Row],[TABLERO]])</f>
        <v>0</v>
      </c>
      <c r="BV370" s="3">
        <f>+IF(AVANCE[[#This Row],[CAJA PAU]]=AG$2,100%,AVANCE[[#This Row],[CAJA PAU]])</f>
        <v>0</v>
      </c>
      <c r="BW370" s="3">
        <f>+IF(AVANCE[[#This Row],[INSTALACION VINILICO]]=AJ$2,100%,AVANCE[[#This Row],[INSTALACION VINILICO]])</f>
        <v>0</v>
      </c>
      <c r="BX370" s="3">
        <f>+IF(AVANCE[[#This Row],[OSB CUBIERTA]]=AK$2,100%,AVANCE[[#This Row],[OSB CUBIERTA]])</f>
        <v>0</v>
      </c>
      <c r="BY370" s="3">
        <f>+IF(AVANCE[[#This Row],[BARANDA BALCON]]=AL$2,100%,AVANCE[[#This Row],[BARANDA BALCON]])</f>
        <v>0</v>
      </c>
      <c r="BZ370" s="3">
        <f>+IF(AVANCE[[#This Row],[OSB EXTERIOR]]=AM$2,100%,AVANCE[[#This Row],[OSB EXTERIOR]])</f>
        <v>0</v>
      </c>
      <c r="CA370" s="3">
        <f>+IF(AVANCE[[#This Row],[SMART PANEL]]=AN$2,100%,AVANCE[[#This Row],[SMART PANEL]])</f>
        <v>0</v>
      </c>
      <c r="CB370" s="3">
        <f>+IF(AVANCE[[#This Row],[PINTURA EXTERIOR]]=AO$2,100%,AVANCE[[#This Row],[PINTURA EXTERIOR]])</f>
        <v>0</v>
      </c>
      <c r="CC370" s="3">
        <f>+IF(AVANCE[[#This Row],[ZOCALOS LOGIA]]=AP$2,100%,AVANCE[[#This Row],[ZOCALOS LOGIA]])</f>
        <v>0</v>
      </c>
      <c r="CD370" s="3">
        <f>+IF(AVANCE[[#This Row],[MOLDURAS]]=AQ$2,100%,AVANCE[[#This Row],[MOLDURAS]])</f>
        <v>0</v>
      </c>
      <c r="CE370" s="3">
        <f>+IF(AVANCE[[#This Row],[PILASTREO]]=AR$2,100%,AVANCE[[#This Row],[PILASTREO]])</f>
        <v>0</v>
      </c>
      <c r="CF370" s="3">
        <f>+IF(AVANCE[[#This Row],[CELOSIAS]]=AS$2,100%,AVANCE[[#This Row],[CELOSIAS]])</f>
        <v>0</v>
      </c>
      <c r="CG370" s="3">
        <f>+IF(AVANCE[[#This Row],[VENTANAS]]=AT$2,100%,AVANCE[[#This Row],[VENTANAS]])</f>
        <v>0</v>
      </c>
      <c r="CH370" s="3">
        <f>+IF(AVANCE[[#This Row],[PUERTAS ACCESO - LOGIA - BANO]]=AU$2,100%,AVANCE[[#This Row],[PUERTAS ACCESO - LOGIA - BANO]])</f>
        <v>0</v>
      </c>
      <c r="CI370" s="3">
        <f>+IF(AVANCE[[#This Row],[CERRADURAS]]=AV$2,100%,AVANCE[[#This Row],[CERRADURAS]])</f>
        <v>0</v>
      </c>
      <c r="CJ370" s="3">
        <f>+IF(AVANCE[[#This Row],[REVESTIMIENTO INTERIOR ZONA SECA]]=AW$2,100%,AVANCE[[#This Row],[REVESTIMIENTO INTERIOR ZONA SECA]])</f>
        <v>0</v>
      </c>
      <c r="CK370" s="3">
        <f>+IF(AVANCE[[#This Row],[REVESTIMIENTO INTERIOR ZONAS HUMEDAS]]=AX$2,100%,AVANCE[[#This Row],[REVESTIMIENTO INTERIOR ZONAS HUMEDAS]])</f>
        <v>0</v>
      </c>
      <c r="CL370" s="3">
        <f>+IF(AVANCE[[#This Row],[MEMBRANA CIELO]]=AY$2,100%,AVANCE[[#This Row],[MEMBRANA CIELO]])</f>
        <v>0</v>
      </c>
      <c r="CM370" s="3">
        <f>+IF(AVANCE[[#This Row],[LIMPIEZA FINAL]]=AZ$2,100%,AVANCE[[#This Row],[LIMPIEZA FINAL]])</f>
        <v>0</v>
      </c>
      <c r="CN370" s="3">
        <f>+IF(AVANCE[[#This Row],[PUERTAS DORMITORIO]]=BA$2,100%,AVANCE[[#This Row],[PUERTAS DORMITORIO]])</f>
        <v>0</v>
      </c>
      <c r="CO370" s="3">
        <f>+IF(AVANCE[[#This Row],[REVESTIMIENTO INTERIOR BANO]]=BB$2,100%,AVANCE[[#This Row],[REVESTIMIENTO INTERIOR BANO]])</f>
        <v>0</v>
      </c>
      <c r="CP370" s="3">
        <f>+IF(AVANCE[[#This Row],[MUEBLE LAVAPLATOS]]=BC$2,100%,AVANCE[[#This Row],[MUEBLE LAVAPLATOS]])</f>
        <v>0</v>
      </c>
      <c r="CQ370" s="3">
        <f>+IF(AVANCE[[#This Row],[IMPERMEABILIZACION BANO - COCINA LOGIA]]=BD$2,100%,AVANCE[[#This Row],[IMPERMEABILIZACION BANO - COCINA LOGIA]])</f>
        <v>0</v>
      </c>
      <c r="CR370" s="40">
        <f ca="1">+IF(AVANCE[[#This Row],[ESTADO MODULO]]="PENDIENTE",(TODAY()-AVANCE[[#This Row],[FECHA TERMINO  PLANIFICADO]]),0)</f>
        <v>0</v>
      </c>
      <c r="CS370" s="42" t="str" cm="1">
        <f t="array" ref="CS370">_xlfn.TEXTJOIN(" | ",TRUE,IF(SUMPRODUCT((BF370:CQ370&lt;1)*(PARTIDAS!$I$2:$AT$2="OBRA GRUESA"))&gt;0,"OBRA GRUESA: "&amp;_xlfn.TEXTJOIN(", ",TRUE,IF((BF370:CQ370&lt;1)*(PARTIDAS!$I$2:$AT$2="OBRA GRUESA"),PARTIDAS!$I$1:$AT$1,"")),""),IF(SUMPRODUCT((BF370:CQ370&lt;1)*(PARTIDAS!$I$2:$AT$2="SANITARIOS"))&gt;0,"SANITARIOS: "&amp;_xlfn.TEXTJOIN(", ",TRUE,IF((BF370:CQ370&lt;1)*(PARTIDAS!$I$2:$AT$2="SANITARIOS"),PARTIDAS!$I$1:$AT$1,"")),""),IF(SUMPRODUCT((BF370:CQ370&lt;1)*(PARTIDAS!$I$2:$AT$2="ELÉCTRICO"))&gt;0,"ELÉCTRICO: "&amp;_xlfn.TEXTJOIN(", ",TRUE,IF((BF370:CQ370&lt;1)*(PARTIDAS!$I$2:$AT$2="ELÉCTRICO"),PARTIDAS!$I$1:$AT$1,"")),""),IF(SUMPRODUCT((BF370:CQ370&lt;1)*(PARTIDAS!$I$2:$AT$2="TERMINACIONES"))&gt;0,"TERMINACIONES: "&amp;_xlfn.TEXTJOIN(", ",TRUE,IF((BF370:CQ370&lt;1)*(PARTIDAS!$I$2:$AT$2="TERMINACIONES"),PARTIDAS!$I$1:$AT$1,"")),""))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0" s="45" t="str" cm="1">
        <f t="array" ref="CT370">_xlfn.TEXTJOIN(", ",TRUE,IF(SUMPRODUCT((BF370:CQ370&lt;1)*(PARTIDAS!$I$2:$AT$2="OBRA GRUESA"))&gt;0,"OBRA GRUESA",""),IF(SUMPRODUCT((BF370:CQ370&lt;1)*(PARTIDAS!$I$2:$AT$2="SANITARIOS"))&gt;0,"SANITARIOS",""),IF(SUMPRODUCT((BF370:CQ370&lt;1)*(PARTIDAS!$I$2:$AT$2="ELÉCTRICO"))&gt;0,"ELÉCTRICO",""),IF(SUMPRODUCT((BF370:CQ370&lt;1)*(PARTIDAS!$I$2:$AT$2="TERMINACIONES"))&gt;0,"TERMINACIONES",""))</f>
        <v>OBRA GRUESA, SANITARIOS, ELÉCTRICO, TERMINACIONES</v>
      </c>
      <c r="CU370" s="46" cm="1">
        <f t="array" ref="CU370">SUMPRODUCT(--(BF370:CQ370&lt;1))</f>
        <v>38</v>
      </c>
    </row>
    <row r="371" spans="1:99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46181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 s="3" t="str">
        <f>+IF(AVANCE[[#This Row],[% AVANCE]]=100%,"MODULO TERMINADO",IF(AVANCE[[#This Row],[FECHA INICIO REAL]]="","MODULO NO INICIADO","PENDIENTE"))</f>
        <v>MODULO NO INICIADO</v>
      </c>
      <c r="BF371" s="3">
        <f>+IF(AVANCE[[#This Row],[VENTANAS]]=8.10810810810811%,100%,AVANCE[[#This Row],[VENTANAS]])</f>
        <v>0</v>
      </c>
      <c r="BG371" s="3">
        <f>+IF(AVANCE[[#This Row],[PISO]]=N$2,100%,AVANCE[[#This Row],[PISO]])</f>
        <v>0</v>
      </c>
      <c r="BH371" s="3">
        <f>+IF(AVANCE[[#This Row],[TABIQUES]]=O$2,100%,AVANCE[[#This Row],[TABIQUES]])</f>
        <v>0</v>
      </c>
      <c r="BI371" s="3">
        <f>+IF(AVANCE[[#This Row],[MUROS]]=P$2,100%,AVANCE[[#This Row],[MUROS]])</f>
        <v>0</v>
      </c>
      <c r="BJ371" s="3">
        <f>+IF(AVANCE[[#This Row],[CIELO]]=Q$2,100%,AVANCE[[#This Row],[CIELO]])</f>
        <v>0</v>
      </c>
      <c r="BK371" s="3">
        <f>+IF(AVANCE[[#This Row],[BALCÓN]]=R$2,100%,AVANCE[[#This Row],[BALCÓN]])</f>
        <v>0</v>
      </c>
      <c r="BL371" s="3">
        <f>+IF(AVANCE[[#This Row],[RED ALCANTARILLADO]]=U$2,100%,AVANCE[[#This Row],[RED ALCANTARILLADO]])</f>
        <v>0</v>
      </c>
      <c r="BM371" s="3">
        <f>+IF(AVANCE[[#This Row],[RED DE AGUA]]=V$2,100%,AVANCE[[#This Row],[RED DE AGUA]])</f>
        <v>0</v>
      </c>
      <c r="BN371" s="3">
        <f>+IF(AVANCE[[#This Row],[VENTILACIONES]]=W$2,100%,AVANCE[[#This Row],[VENTILACIONES]])</f>
        <v>0</v>
      </c>
      <c r="BO371" s="3">
        <f>+IF(AVANCE[[#This Row],[TINA]]=X$2,100%,AVANCE[[#This Row],[TINA]])</f>
        <v>0</v>
      </c>
      <c r="BP371" s="3">
        <f>+IF(AVANCE[[#This Row],[WC]]=Y$2,100%,AVANCE[[#This Row],[WC]])</f>
        <v>0</v>
      </c>
      <c r="BQ371" s="3">
        <f>+IF(AVANCE[[#This Row],[LAVAMANOS / LAVAPLATOS / LAVADERO]]=Z$2,100%,AVANCE[[#This Row],[LAVAMANOS / LAVAPLATOS / LAVADERO]])</f>
        <v>0</v>
      </c>
      <c r="BR371" s="3">
        <f>+IF(AVANCE[[#This Row],[CANALIZACIÓN]]=AC$2,100%,AVANCE[[#This Row],[CANALIZACIÓN]])</f>
        <v>0</v>
      </c>
      <c r="BS371" s="3">
        <f>+IF(AVANCE[[#This Row],[CABLEADO]]=AD$2,100%,AVANCE[[#This Row],[CABLEADO]])</f>
        <v>0</v>
      </c>
      <c r="BT371" s="3">
        <f>+IF(AVANCE[[#This Row],[ARTEFACTOS]]=AE$2,100%,AVANCE[[#This Row],[ARTEFACTOS]])</f>
        <v>0</v>
      </c>
      <c r="BU371" s="3">
        <f>+IF(AVANCE[[#This Row],[TABLERO]]=AF$2,100%,AVANCE[[#This Row],[TABLERO]])</f>
        <v>0</v>
      </c>
      <c r="BV371" s="3">
        <f>+IF(AVANCE[[#This Row],[CAJA PAU]]=AG$2,100%,AVANCE[[#This Row],[CAJA PAU]])</f>
        <v>0</v>
      </c>
      <c r="BW371" s="3">
        <f>+IF(AVANCE[[#This Row],[INSTALACION VINILICO]]=AJ$2,100%,AVANCE[[#This Row],[INSTALACION VINILICO]])</f>
        <v>0</v>
      </c>
      <c r="BX371" s="3">
        <f>+IF(AVANCE[[#This Row],[OSB CUBIERTA]]=AK$2,100%,AVANCE[[#This Row],[OSB CUBIERTA]])</f>
        <v>0</v>
      </c>
      <c r="BY371" s="3">
        <f>+IF(AVANCE[[#This Row],[BARANDA BALCON]]=AL$2,100%,AVANCE[[#This Row],[BARANDA BALCON]])</f>
        <v>0</v>
      </c>
      <c r="BZ371" s="3">
        <f>+IF(AVANCE[[#This Row],[OSB EXTERIOR]]=AM$2,100%,AVANCE[[#This Row],[OSB EXTERIOR]])</f>
        <v>0</v>
      </c>
      <c r="CA371" s="3">
        <f>+IF(AVANCE[[#This Row],[SMART PANEL]]=AN$2,100%,AVANCE[[#This Row],[SMART PANEL]])</f>
        <v>0</v>
      </c>
      <c r="CB371" s="3">
        <f>+IF(AVANCE[[#This Row],[PINTURA EXTERIOR]]=AO$2,100%,AVANCE[[#This Row],[PINTURA EXTERIOR]])</f>
        <v>0</v>
      </c>
      <c r="CC371" s="3">
        <f>+IF(AVANCE[[#This Row],[ZOCALOS LOGIA]]=AP$2,100%,AVANCE[[#This Row],[ZOCALOS LOGIA]])</f>
        <v>0</v>
      </c>
      <c r="CD371" s="3">
        <f>+IF(AVANCE[[#This Row],[MOLDURAS]]=AQ$2,100%,AVANCE[[#This Row],[MOLDURAS]])</f>
        <v>0</v>
      </c>
      <c r="CE371" s="3">
        <f>+IF(AVANCE[[#This Row],[PILASTREO]]=AR$2,100%,AVANCE[[#This Row],[PILASTREO]])</f>
        <v>0</v>
      </c>
      <c r="CF371" s="3">
        <f>+IF(AVANCE[[#This Row],[CELOSIAS]]=AS$2,100%,AVANCE[[#This Row],[CELOSIAS]])</f>
        <v>0</v>
      </c>
      <c r="CG371" s="3">
        <f>+IF(AVANCE[[#This Row],[VENTANAS]]=AT$2,100%,AVANCE[[#This Row],[VENTANAS]])</f>
        <v>0</v>
      </c>
      <c r="CH371" s="3">
        <f>+IF(AVANCE[[#This Row],[PUERTAS ACCESO - LOGIA - BANO]]=AU$2,100%,AVANCE[[#This Row],[PUERTAS ACCESO - LOGIA - BANO]])</f>
        <v>0</v>
      </c>
      <c r="CI371" s="3">
        <f>+IF(AVANCE[[#This Row],[CERRADURAS]]=AV$2,100%,AVANCE[[#This Row],[CERRADURAS]])</f>
        <v>0</v>
      </c>
      <c r="CJ371" s="3">
        <f>+IF(AVANCE[[#This Row],[REVESTIMIENTO INTERIOR ZONA SECA]]=AW$2,100%,AVANCE[[#This Row],[REVESTIMIENTO INTERIOR ZONA SECA]])</f>
        <v>0</v>
      </c>
      <c r="CK371" s="3">
        <f>+IF(AVANCE[[#This Row],[REVESTIMIENTO INTERIOR ZONAS HUMEDAS]]=AX$2,100%,AVANCE[[#This Row],[REVESTIMIENTO INTERIOR ZONAS HUMEDAS]])</f>
        <v>0</v>
      </c>
      <c r="CL371" s="3">
        <f>+IF(AVANCE[[#This Row],[MEMBRANA CIELO]]=AY$2,100%,AVANCE[[#This Row],[MEMBRANA CIELO]])</f>
        <v>0</v>
      </c>
      <c r="CM371" s="3">
        <f>+IF(AVANCE[[#This Row],[LIMPIEZA FINAL]]=AZ$2,100%,AVANCE[[#This Row],[LIMPIEZA FINAL]])</f>
        <v>0</v>
      </c>
      <c r="CN371" s="3">
        <f>+IF(AVANCE[[#This Row],[PUERTAS DORMITORIO]]=BA$2,100%,AVANCE[[#This Row],[PUERTAS DORMITORIO]])</f>
        <v>0</v>
      </c>
      <c r="CO371" s="3">
        <f>+IF(AVANCE[[#This Row],[REVESTIMIENTO INTERIOR BANO]]=BB$2,100%,AVANCE[[#This Row],[REVESTIMIENTO INTERIOR BANO]])</f>
        <v>0</v>
      </c>
      <c r="CP371" s="3">
        <f>+IF(AVANCE[[#This Row],[MUEBLE LAVAPLATOS]]=BC$2,100%,AVANCE[[#This Row],[MUEBLE LAVAPLATOS]])</f>
        <v>0</v>
      </c>
      <c r="CQ371" s="3">
        <f>+IF(AVANCE[[#This Row],[IMPERMEABILIZACION BANO - COCINA LOGIA]]=BD$2,100%,AVANCE[[#This Row],[IMPERMEABILIZACION BANO - COCINA LOGIA]])</f>
        <v>0</v>
      </c>
      <c r="CR371" s="40">
        <f ca="1">+IF(AVANCE[[#This Row],[ESTADO MODULO]]="PENDIENTE",(TODAY()-AVANCE[[#This Row],[FECHA TERMINO  PLANIFICADO]]),0)</f>
        <v>0</v>
      </c>
      <c r="CS371" s="42" t="str" cm="1">
        <f t="array" ref="CS371">_xlfn.TEXTJOIN(" | ",TRUE,IF(SUMPRODUCT((BF371:CQ371&lt;1)*(PARTIDAS!$I$2:$AT$2="OBRA GRUESA"))&gt;0,"OBRA GRUESA: "&amp;_xlfn.TEXTJOIN(", ",TRUE,IF((BF371:CQ371&lt;1)*(PARTIDAS!$I$2:$AT$2="OBRA GRUESA"),PARTIDAS!$I$1:$AT$1,"")),""),IF(SUMPRODUCT((BF371:CQ371&lt;1)*(PARTIDAS!$I$2:$AT$2="SANITARIOS"))&gt;0,"SANITARIOS: "&amp;_xlfn.TEXTJOIN(", ",TRUE,IF((BF371:CQ371&lt;1)*(PARTIDAS!$I$2:$AT$2="SANITARIOS"),PARTIDAS!$I$1:$AT$1,"")),""),IF(SUMPRODUCT((BF371:CQ371&lt;1)*(PARTIDAS!$I$2:$AT$2="ELÉCTRICO"))&gt;0,"ELÉCTRICO: "&amp;_xlfn.TEXTJOIN(", ",TRUE,IF((BF371:CQ371&lt;1)*(PARTIDAS!$I$2:$AT$2="ELÉCTRICO"),PARTIDAS!$I$1:$AT$1,"")),""),IF(SUMPRODUCT((BF371:CQ371&lt;1)*(PARTIDAS!$I$2:$AT$2="TERMINACIONES"))&gt;0,"TERMINACIONES: "&amp;_xlfn.TEXTJOIN(", ",TRUE,IF((BF371:CQ371&lt;1)*(PARTIDAS!$I$2:$AT$2="TERMINACIONES"),PARTIDAS!$I$1:$AT$1,"")),""))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1" s="45" t="str" cm="1">
        <f t="array" ref="CT371">_xlfn.TEXTJOIN(", ",TRUE,IF(SUMPRODUCT((BF371:CQ371&lt;1)*(PARTIDAS!$I$2:$AT$2="OBRA GRUESA"))&gt;0,"OBRA GRUESA",""),IF(SUMPRODUCT((BF371:CQ371&lt;1)*(PARTIDAS!$I$2:$AT$2="SANITARIOS"))&gt;0,"SANITARIOS",""),IF(SUMPRODUCT((BF371:CQ371&lt;1)*(PARTIDAS!$I$2:$AT$2="ELÉCTRICO"))&gt;0,"ELÉCTRICO",""),IF(SUMPRODUCT((BF371:CQ371&lt;1)*(PARTIDAS!$I$2:$AT$2="TERMINACIONES"))&gt;0,"TERMINACIONES",""))</f>
        <v>OBRA GRUESA, SANITARIOS, ELÉCTRICO, TERMINACIONES</v>
      </c>
      <c r="CU371" s="46" cm="1">
        <f t="array" ref="CU371">SUMPRODUCT(--(BF371:CQ371&lt;1))</f>
        <v>38</v>
      </c>
    </row>
    <row r="372" spans="1:99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46181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 s="3" t="str">
        <f>+IF(AVANCE[[#This Row],[% AVANCE]]=100%,"MODULO TERMINADO",IF(AVANCE[[#This Row],[FECHA INICIO REAL]]="","MODULO NO INICIADO","PENDIENTE"))</f>
        <v>MODULO NO INICIADO</v>
      </c>
      <c r="BF372" s="3">
        <f>+IF(AVANCE[[#This Row],[VENTANAS]]=8.10810810810811%,100%,AVANCE[[#This Row],[VENTANAS]])</f>
        <v>0</v>
      </c>
      <c r="BG372" s="3">
        <f>+IF(AVANCE[[#This Row],[PISO]]=N$2,100%,AVANCE[[#This Row],[PISO]])</f>
        <v>0</v>
      </c>
      <c r="BH372" s="3">
        <f>+IF(AVANCE[[#This Row],[TABIQUES]]=O$2,100%,AVANCE[[#This Row],[TABIQUES]])</f>
        <v>0</v>
      </c>
      <c r="BI372" s="3">
        <f>+IF(AVANCE[[#This Row],[MUROS]]=P$2,100%,AVANCE[[#This Row],[MUROS]])</f>
        <v>0</v>
      </c>
      <c r="BJ372" s="3">
        <f>+IF(AVANCE[[#This Row],[CIELO]]=Q$2,100%,AVANCE[[#This Row],[CIELO]])</f>
        <v>0</v>
      </c>
      <c r="BK372" s="3">
        <f>+IF(AVANCE[[#This Row],[BALCÓN]]=R$2,100%,AVANCE[[#This Row],[BALCÓN]])</f>
        <v>0</v>
      </c>
      <c r="BL372" s="3">
        <f>+IF(AVANCE[[#This Row],[RED ALCANTARILLADO]]=U$2,100%,AVANCE[[#This Row],[RED ALCANTARILLADO]])</f>
        <v>0</v>
      </c>
      <c r="BM372" s="3">
        <f>+IF(AVANCE[[#This Row],[RED DE AGUA]]=V$2,100%,AVANCE[[#This Row],[RED DE AGUA]])</f>
        <v>0</v>
      </c>
      <c r="BN372" s="3">
        <f>+IF(AVANCE[[#This Row],[VENTILACIONES]]=W$2,100%,AVANCE[[#This Row],[VENTILACIONES]])</f>
        <v>0</v>
      </c>
      <c r="BO372" s="3">
        <f>+IF(AVANCE[[#This Row],[TINA]]=X$2,100%,AVANCE[[#This Row],[TINA]])</f>
        <v>0</v>
      </c>
      <c r="BP372" s="3">
        <f>+IF(AVANCE[[#This Row],[WC]]=Y$2,100%,AVANCE[[#This Row],[WC]])</f>
        <v>0</v>
      </c>
      <c r="BQ372" s="3">
        <f>+IF(AVANCE[[#This Row],[LAVAMANOS / LAVAPLATOS / LAVADERO]]=Z$2,100%,AVANCE[[#This Row],[LAVAMANOS / LAVAPLATOS / LAVADERO]])</f>
        <v>0</v>
      </c>
      <c r="BR372" s="3">
        <f>+IF(AVANCE[[#This Row],[CANALIZACIÓN]]=AC$2,100%,AVANCE[[#This Row],[CANALIZACIÓN]])</f>
        <v>0</v>
      </c>
      <c r="BS372" s="3">
        <f>+IF(AVANCE[[#This Row],[CABLEADO]]=AD$2,100%,AVANCE[[#This Row],[CABLEADO]])</f>
        <v>0</v>
      </c>
      <c r="BT372" s="3">
        <f>+IF(AVANCE[[#This Row],[ARTEFACTOS]]=AE$2,100%,AVANCE[[#This Row],[ARTEFACTOS]])</f>
        <v>0</v>
      </c>
      <c r="BU372" s="3">
        <f>+IF(AVANCE[[#This Row],[TABLERO]]=AF$2,100%,AVANCE[[#This Row],[TABLERO]])</f>
        <v>0</v>
      </c>
      <c r="BV372" s="3">
        <f>+IF(AVANCE[[#This Row],[CAJA PAU]]=AG$2,100%,AVANCE[[#This Row],[CAJA PAU]])</f>
        <v>0</v>
      </c>
      <c r="BW372" s="3">
        <f>+IF(AVANCE[[#This Row],[INSTALACION VINILICO]]=AJ$2,100%,AVANCE[[#This Row],[INSTALACION VINILICO]])</f>
        <v>0</v>
      </c>
      <c r="BX372" s="3">
        <f>+IF(AVANCE[[#This Row],[OSB CUBIERTA]]=AK$2,100%,AVANCE[[#This Row],[OSB CUBIERTA]])</f>
        <v>0</v>
      </c>
      <c r="BY372" s="3">
        <f>+IF(AVANCE[[#This Row],[BARANDA BALCON]]=AL$2,100%,AVANCE[[#This Row],[BARANDA BALCON]])</f>
        <v>0</v>
      </c>
      <c r="BZ372" s="3">
        <f>+IF(AVANCE[[#This Row],[OSB EXTERIOR]]=AM$2,100%,AVANCE[[#This Row],[OSB EXTERIOR]])</f>
        <v>0</v>
      </c>
      <c r="CA372" s="3">
        <f>+IF(AVANCE[[#This Row],[SMART PANEL]]=AN$2,100%,AVANCE[[#This Row],[SMART PANEL]])</f>
        <v>0</v>
      </c>
      <c r="CB372" s="3">
        <f>+IF(AVANCE[[#This Row],[PINTURA EXTERIOR]]=AO$2,100%,AVANCE[[#This Row],[PINTURA EXTERIOR]])</f>
        <v>0</v>
      </c>
      <c r="CC372" s="3">
        <f>+IF(AVANCE[[#This Row],[ZOCALOS LOGIA]]=AP$2,100%,AVANCE[[#This Row],[ZOCALOS LOGIA]])</f>
        <v>0</v>
      </c>
      <c r="CD372" s="3">
        <f>+IF(AVANCE[[#This Row],[MOLDURAS]]=AQ$2,100%,AVANCE[[#This Row],[MOLDURAS]])</f>
        <v>0</v>
      </c>
      <c r="CE372" s="3">
        <f>+IF(AVANCE[[#This Row],[PILASTREO]]=AR$2,100%,AVANCE[[#This Row],[PILASTREO]])</f>
        <v>0</v>
      </c>
      <c r="CF372" s="3">
        <f>+IF(AVANCE[[#This Row],[CELOSIAS]]=AS$2,100%,AVANCE[[#This Row],[CELOSIAS]])</f>
        <v>0</v>
      </c>
      <c r="CG372" s="3">
        <f>+IF(AVANCE[[#This Row],[VENTANAS]]=AT$2,100%,AVANCE[[#This Row],[VENTANAS]])</f>
        <v>0</v>
      </c>
      <c r="CH372" s="3">
        <f>+IF(AVANCE[[#This Row],[PUERTAS ACCESO - LOGIA - BANO]]=AU$2,100%,AVANCE[[#This Row],[PUERTAS ACCESO - LOGIA - BANO]])</f>
        <v>0</v>
      </c>
      <c r="CI372" s="3">
        <f>+IF(AVANCE[[#This Row],[CERRADURAS]]=AV$2,100%,AVANCE[[#This Row],[CERRADURAS]])</f>
        <v>0</v>
      </c>
      <c r="CJ372" s="3">
        <f>+IF(AVANCE[[#This Row],[REVESTIMIENTO INTERIOR ZONA SECA]]=AW$2,100%,AVANCE[[#This Row],[REVESTIMIENTO INTERIOR ZONA SECA]])</f>
        <v>0</v>
      </c>
      <c r="CK372" s="3">
        <f>+IF(AVANCE[[#This Row],[REVESTIMIENTO INTERIOR ZONAS HUMEDAS]]=AX$2,100%,AVANCE[[#This Row],[REVESTIMIENTO INTERIOR ZONAS HUMEDAS]])</f>
        <v>0</v>
      </c>
      <c r="CL372" s="3">
        <f>+IF(AVANCE[[#This Row],[MEMBRANA CIELO]]=AY$2,100%,AVANCE[[#This Row],[MEMBRANA CIELO]])</f>
        <v>0</v>
      </c>
      <c r="CM372" s="3">
        <f>+IF(AVANCE[[#This Row],[LIMPIEZA FINAL]]=AZ$2,100%,AVANCE[[#This Row],[LIMPIEZA FINAL]])</f>
        <v>0</v>
      </c>
      <c r="CN372" s="3">
        <f>+IF(AVANCE[[#This Row],[PUERTAS DORMITORIO]]=BA$2,100%,AVANCE[[#This Row],[PUERTAS DORMITORIO]])</f>
        <v>0</v>
      </c>
      <c r="CO372" s="3">
        <f>+IF(AVANCE[[#This Row],[REVESTIMIENTO INTERIOR BANO]]=BB$2,100%,AVANCE[[#This Row],[REVESTIMIENTO INTERIOR BANO]])</f>
        <v>0</v>
      </c>
      <c r="CP372" s="3">
        <f>+IF(AVANCE[[#This Row],[MUEBLE LAVAPLATOS]]=BC$2,100%,AVANCE[[#This Row],[MUEBLE LAVAPLATOS]])</f>
        <v>0</v>
      </c>
      <c r="CQ372" s="3">
        <f>+IF(AVANCE[[#This Row],[IMPERMEABILIZACION BANO - COCINA LOGIA]]=BD$2,100%,AVANCE[[#This Row],[IMPERMEABILIZACION BANO - COCINA LOGIA]])</f>
        <v>0</v>
      </c>
      <c r="CR372" s="40">
        <f ca="1">+IF(AVANCE[[#This Row],[ESTADO MODULO]]="PENDIENTE",(TODAY()-AVANCE[[#This Row],[FECHA TERMINO  PLANIFICADO]]),0)</f>
        <v>0</v>
      </c>
      <c r="CS372" s="42" t="str" cm="1">
        <f t="array" ref="CS372">_xlfn.TEXTJOIN(" | ",TRUE,IF(SUMPRODUCT((BF372:CQ372&lt;1)*(PARTIDAS!$I$2:$AT$2="OBRA GRUESA"))&gt;0,"OBRA GRUESA: "&amp;_xlfn.TEXTJOIN(", ",TRUE,IF((BF372:CQ372&lt;1)*(PARTIDAS!$I$2:$AT$2="OBRA GRUESA"),PARTIDAS!$I$1:$AT$1,"")),""),IF(SUMPRODUCT((BF372:CQ372&lt;1)*(PARTIDAS!$I$2:$AT$2="SANITARIOS"))&gt;0,"SANITARIOS: "&amp;_xlfn.TEXTJOIN(", ",TRUE,IF((BF372:CQ372&lt;1)*(PARTIDAS!$I$2:$AT$2="SANITARIOS"),PARTIDAS!$I$1:$AT$1,"")),""),IF(SUMPRODUCT((BF372:CQ372&lt;1)*(PARTIDAS!$I$2:$AT$2="ELÉCTRICO"))&gt;0,"ELÉCTRICO: "&amp;_xlfn.TEXTJOIN(", ",TRUE,IF((BF372:CQ372&lt;1)*(PARTIDAS!$I$2:$AT$2="ELÉCTRICO"),PARTIDAS!$I$1:$AT$1,"")),""),IF(SUMPRODUCT((BF372:CQ372&lt;1)*(PARTIDAS!$I$2:$AT$2="TERMINACIONES"))&gt;0,"TERMINACIONES: "&amp;_xlfn.TEXTJOIN(", ",TRUE,IF((BF372:CQ372&lt;1)*(PARTIDAS!$I$2:$AT$2="TERMINACIONES"),PARTIDAS!$I$1:$AT$1,"")),""))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2" s="45" t="str" cm="1">
        <f t="array" ref="CT372">_xlfn.TEXTJOIN(", ",TRUE,IF(SUMPRODUCT((BF372:CQ372&lt;1)*(PARTIDAS!$I$2:$AT$2="OBRA GRUESA"))&gt;0,"OBRA GRUESA",""),IF(SUMPRODUCT((BF372:CQ372&lt;1)*(PARTIDAS!$I$2:$AT$2="SANITARIOS"))&gt;0,"SANITARIOS",""),IF(SUMPRODUCT((BF372:CQ372&lt;1)*(PARTIDAS!$I$2:$AT$2="ELÉCTRICO"))&gt;0,"ELÉCTRICO",""),IF(SUMPRODUCT((BF372:CQ372&lt;1)*(PARTIDAS!$I$2:$AT$2="TERMINACIONES"))&gt;0,"TERMINACIONES",""))</f>
        <v>OBRA GRUESA, SANITARIOS, ELÉCTRICO, TERMINACIONES</v>
      </c>
      <c r="CU372" s="46" cm="1">
        <f t="array" ref="CU372">SUMPRODUCT(--(BF372:CQ372&lt;1))</f>
        <v>38</v>
      </c>
    </row>
    <row r="373" spans="1:99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46181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 s="3" t="str">
        <f>+IF(AVANCE[[#This Row],[% AVANCE]]=100%,"MODULO TERMINADO",IF(AVANCE[[#This Row],[FECHA INICIO REAL]]="","MODULO NO INICIADO","PENDIENTE"))</f>
        <v>MODULO NO INICIADO</v>
      </c>
      <c r="BF373" s="3">
        <f>+IF(AVANCE[[#This Row],[VENTANAS]]=8.10810810810811%,100%,AVANCE[[#This Row],[VENTANAS]])</f>
        <v>0</v>
      </c>
      <c r="BG373" s="3">
        <f>+IF(AVANCE[[#This Row],[PISO]]=N$2,100%,AVANCE[[#This Row],[PISO]])</f>
        <v>0</v>
      </c>
      <c r="BH373" s="3">
        <f>+IF(AVANCE[[#This Row],[TABIQUES]]=O$2,100%,AVANCE[[#This Row],[TABIQUES]])</f>
        <v>0</v>
      </c>
      <c r="BI373" s="3">
        <f>+IF(AVANCE[[#This Row],[MUROS]]=P$2,100%,AVANCE[[#This Row],[MUROS]])</f>
        <v>0</v>
      </c>
      <c r="BJ373" s="3">
        <f>+IF(AVANCE[[#This Row],[CIELO]]=Q$2,100%,AVANCE[[#This Row],[CIELO]])</f>
        <v>0</v>
      </c>
      <c r="BK373" s="3">
        <f>+IF(AVANCE[[#This Row],[BALCÓN]]=R$2,100%,AVANCE[[#This Row],[BALCÓN]])</f>
        <v>0</v>
      </c>
      <c r="BL373" s="3">
        <f>+IF(AVANCE[[#This Row],[RED ALCANTARILLADO]]=U$2,100%,AVANCE[[#This Row],[RED ALCANTARILLADO]])</f>
        <v>0</v>
      </c>
      <c r="BM373" s="3">
        <f>+IF(AVANCE[[#This Row],[RED DE AGUA]]=V$2,100%,AVANCE[[#This Row],[RED DE AGUA]])</f>
        <v>0</v>
      </c>
      <c r="BN373" s="3">
        <f>+IF(AVANCE[[#This Row],[VENTILACIONES]]=W$2,100%,AVANCE[[#This Row],[VENTILACIONES]])</f>
        <v>0</v>
      </c>
      <c r="BO373" s="3">
        <f>+IF(AVANCE[[#This Row],[TINA]]=X$2,100%,AVANCE[[#This Row],[TINA]])</f>
        <v>0</v>
      </c>
      <c r="BP373" s="3">
        <f>+IF(AVANCE[[#This Row],[WC]]=Y$2,100%,AVANCE[[#This Row],[WC]])</f>
        <v>0</v>
      </c>
      <c r="BQ373" s="3">
        <f>+IF(AVANCE[[#This Row],[LAVAMANOS / LAVAPLATOS / LAVADERO]]=Z$2,100%,AVANCE[[#This Row],[LAVAMANOS / LAVAPLATOS / LAVADERO]])</f>
        <v>0</v>
      </c>
      <c r="BR373" s="3">
        <f>+IF(AVANCE[[#This Row],[CANALIZACIÓN]]=AC$2,100%,AVANCE[[#This Row],[CANALIZACIÓN]])</f>
        <v>0</v>
      </c>
      <c r="BS373" s="3">
        <f>+IF(AVANCE[[#This Row],[CABLEADO]]=AD$2,100%,AVANCE[[#This Row],[CABLEADO]])</f>
        <v>0</v>
      </c>
      <c r="BT373" s="3">
        <f>+IF(AVANCE[[#This Row],[ARTEFACTOS]]=AE$2,100%,AVANCE[[#This Row],[ARTEFACTOS]])</f>
        <v>0</v>
      </c>
      <c r="BU373" s="3">
        <f>+IF(AVANCE[[#This Row],[TABLERO]]=AF$2,100%,AVANCE[[#This Row],[TABLERO]])</f>
        <v>0</v>
      </c>
      <c r="BV373" s="3">
        <f>+IF(AVANCE[[#This Row],[CAJA PAU]]=AG$2,100%,AVANCE[[#This Row],[CAJA PAU]])</f>
        <v>0</v>
      </c>
      <c r="BW373" s="3">
        <f>+IF(AVANCE[[#This Row],[INSTALACION VINILICO]]=AJ$2,100%,AVANCE[[#This Row],[INSTALACION VINILICO]])</f>
        <v>0</v>
      </c>
      <c r="BX373" s="3">
        <f>+IF(AVANCE[[#This Row],[OSB CUBIERTA]]=AK$2,100%,AVANCE[[#This Row],[OSB CUBIERTA]])</f>
        <v>0</v>
      </c>
      <c r="BY373" s="3">
        <f>+IF(AVANCE[[#This Row],[BARANDA BALCON]]=AL$2,100%,AVANCE[[#This Row],[BARANDA BALCON]])</f>
        <v>0</v>
      </c>
      <c r="BZ373" s="3">
        <f>+IF(AVANCE[[#This Row],[OSB EXTERIOR]]=AM$2,100%,AVANCE[[#This Row],[OSB EXTERIOR]])</f>
        <v>0</v>
      </c>
      <c r="CA373" s="3">
        <f>+IF(AVANCE[[#This Row],[SMART PANEL]]=AN$2,100%,AVANCE[[#This Row],[SMART PANEL]])</f>
        <v>0</v>
      </c>
      <c r="CB373" s="3">
        <f>+IF(AVANCE[[#This Row],[PINTURA EXTERIOR]]=AO$2,100%,AVANCE[[#This Row],[PINTURA EXTERIOR]])</f>
        <v>0</v>
      </c>
      <c r="CC373" s="3">
        <f>+IF(AVANCE[[#This Row],[ZOCALOS LOGIA]]=AP$2,100%,AVANCE[[#This Row],[ZOCALOS LOGIA]])</f>
        <v>0</v>
      </c>
      <c r="CD373" s="3">
        <f>+IF(AVANCE[[#This Row],[MOLDURAS]]=AQ$2,100%,AVANCE[[#This Row],[MOLDURAS]])</f>
        <v>0</v>
      </c>
      <c r="CE373" s="3">
        <f>+IF(AVANCE[[#This Row],[PILASTREO]]=AR$2,100%,AVANCE[[#This Row],[PILASTREO]])</f>
        <v>0</v>
      </c>
      <c r="CF373" s="3">
        <f>+IF(AVANCE[[#This Row],[CELOSIAS]]=AS$2,100%,AVANCE[[#This Row],[CELOSIAS]])</f>
        <v>0</v>
      </c>
      <c r="CG373" s="3">
        <f>+IF(AVANCE[[#This Row],[VENTANAS]]=AT$2,100%,AVANCE[[#This Row],[VENTANAS]])</f>
        <v>0</v>
      </c>
      <c r="CH373" s="3">
        <f>+IF(AVANCE[[#This Row],[PUERTAS ACCESO - LOGIA - BANO]]=AU$2,100%,AVANCE[[#This Row],[PUERTAS ACCESO - LOGIA - BANO]])</f>
        <v>0</v>
      </c>
      <c r="CI373" s="3">
        <f>+IF(AVANCE[[#This Row],[CERRADURAS]]=AV$2,100%,AVANCE[[#This Row],[CERRADURAS]])</f>
        <v>0</v>
      </c>
      <c r="CJ373" s="3">
        <f>+IF(AVANCE[[#This Row],[REVESTIMIENTO INTERIOR ZONA SECA]]=AW$2,100%,AVANCE[[#This Row],[REVESTIMIENTO INTERIOR ZONA SECA]])</f>
        <v>0</v>
      </c>
      <c r="CK373" s="3">
        <f>+IF(AVANCE[[#This Row],[REVESTIMIENTO INTERIOR ZONAS HUMEDAS]]=AX$2,100%,AVANCE[[#This Row],[REVESTIMIENTO INTERIOR ZONAS HUMEDAS]])</f>
        <v>0</v>
      </c>
      <c r="CL373" s="3">
        <f>+IF(AVANCE[[#This Row],[MEMBRANA CIELO]]=AY$2,100%,AVANCE[[#This Row],[MEMBRANA CIELO]])</f>
        <v>0</v>
      </c>
      <c r="CM373" s="3">
        <f>+IF(AVANCE[[#This Row],[LIMPIEZA FINAL]]=AZ$2,100%,AVANCE[[#This Row],[LIMPIEZA FINAL]])</f>
        <v>0</v>
      </c>
      <c r="CN373" s="3">
        <f>+IF(AVANCE[[#This Row],[PUERTAS DORMITORIO]]=BA$2,100%,AVANCE[[#This Row],[PUERTAS DORMITORIO]])</f>
        <v>0</v>
      </c>
      <c r="CO373" s="3">
        <f>+IF(AVANCE[[#This Row],[REVESTIMIENTO INTERIOR BANO]]=BB$2,100%,AVANCE[[#This Row],[REVESTIMIENTO INTERIOR BANO]])</f>
        <v>0</v>
      </c>
      <c r="CP373" s="3">
        <f>+IF(AVANCE[[#This Row],[MUEBLE LAVAPLATOS]]=BC$2,100%,AVANCE[[#This Row],[MUEBLE LAVAPLATOS]])</f>
        <v>0</v>
      </c>
      <c r="CQ373" s="3">
        <f>+IF(AVANCE[[#This Row],[IMPERMEABILIZACION BANO - COCINA LOGIA]]=BD$2,100%,AVANCE[[#This Row],[IMPERMEABILIZACION BANO - COCINA LOGIA]])</f>
        <v>0</v>
      </c>
      <c r="CR373" s="40">
        <f ca="1">+IF(AVANCE[[#This Row],[ESTADO MODULO]]="PENDIENTE",(TODAY()-AVANCE[[#This Row],[FECHA TERMINO  PLANIFICADO]]),0)</f>
        <v>0</v>
      </c>
      <c r="CS373" s="42" t="str" cm="1">
        <f t="array" ref="CS373">_xlfn.TEXTJOIN(" | ",TRUE,IF(SUMPRODUCT((BF373:CQ373&lt;1)*(PARTIDAS!$I$2:$AT$2="OBRA GRUESA"))&gt;0,"OBRA GRUESA: "&amp;_xlfn.TEXTJOIN(", ",TRUE,IF((BF373:CQ373&lt;1)*(PARTIDAS!$I$2:$AT$2="OBRA GRUESA"),PARTIDAS!$I$1:$AT$1,"")),""),IF(SUMPRODUCT((BF373:CQ373&lt;1)*(PARTIDAS!$I$2:$AT$2="SANITARIOS"))&gt;0,"SANITARIOS: "&amp;_xlfn.TEXTJOIN(", ",TRUE,IF((BF373:CQ373&lt;1)*(PARTIDAS!$I$2:$AT$2="SANITARIOS"),PARTIDAS!$I$1:$AT$1,"")),""),IF(SUMPRODUCT((BF373:CQ373&lt;1)*(PARTIDAS!$I$2:$AT$2="ELÉCTRICO"))&gt;0,"ELÉCTRICO: "&amp;_xlfn.TEXTJOIN(", ",TRUE,IF((BF373:CQ373&lt;1)*(PARTIDAS!$I$2:$AT$2="ELÉCTRICO"),PARTIDAS!$I$1:$AT$1,"")),""),IF(SUMPRODUCT((BF373:CQ373&lt;1)*(PARTIDAS!$I$2:$AT$2="TERMINACIONES"))&gt;0,"TERMINACIONES: "&amp;_xlfn.TEXTJOIN(", ",TRUE,IF((BF373:CQ373&lt;1)*(PARTIDAS!$I$2:$AT$2="TERMINACIONES"),PARTIDAS!$I$1:$AT$1,"")),""))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3" s="45" t="str" cm="1">
        <f t="array" ref="CT373">_xlfn.TEXTJOIN(", ",TRUE,IF(SUMPRODUCT((BF373:CQ373&lt;1)*(PARTIDAS!$I$2:$AT$2="OBRA GRUESA"))&gt;0,"OBRA GRUESA",""),IF(SUMPRODUCT((BF373:CQ373&lt;1)*(PARTIDAS!$I$2:$AT$2="SANITARIOS"))&gt;0,"SANITARIOS",""),IF(SUMPRODUCT((BF373:CQ373&lt;1)*(PARTIDAS!$I$2:$AT$2="ELÉCTRICO"))&gt;0,"ELÉCTRICO",""),IF(SUMPRODUCT((BF373:CQ373&lt;1)*(PARTIDAS!$I$2:$AT$2="TERMINACIONES"))&gt;0,"TERMINACIONES",""))</f>
        <v>OBRA GRUESA, SANITARIOS, ELÉCTRICO, TERMINACIONES</v>
      </c>
      <c r="CU373" s="46" cm="1">
        <f t="array" ref="CU373">SUMPRODUCT(--(BF373:CQ373&lt;1))</f>
        <v>38</v>
      </c>
    </row>
    <row r="374" spans="1:99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46181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 s="3" t="str">
        <f>+IF(AVANCE[[#This Row],[% AVANCE]]=100%,"MODULO TERMINADO",IF(AVANCE[[#This Row],[FECHA INICIO REAL]]="","MODULO NO INICIADO","PENDIENTE"))</f>
        <v>MODULO NO INICIADO</v>
      </c>
      <c r="BF374" s="3">
        <f>+IF(AVANCE[[#This Row],[VENTANAS]]=8.10810810810811%,100%,AVANCE[[#This Row],[VENTANAS]])</f>
        <v>0</v>
      </c>
      <c r="BG374" s="3">
        <f>+IF(AVANCE[[#This Row],[PISO]]=N$2,100%,AVANCE[[#This Row],[PISO]])</f>
        <v>0</v>
      </c>
      <c r="BH374" s="3">
        <f>+IF(AVANCE[[#This Row],[TABIQUES]]=O$2,100%,AVANCE[[#This Row],[TABIQUES]])</f>
        <v>0</v>
      </c>
      <c r="BI374" s="3">
        <f>+IF(AVANCE[[#This Row],[MUROS]]=P$2,100%,AVANCE[[#This Row],[MUROS]])</f>
        <v>0</v>
      </c>
      <c r="BJ374" s="3">
        <f>+IF(AVANCE[[#This Row],[CIELO]]=Q$2,100%,AVANCE[[#This Row],[CIELO]])</f>
        <v>0</v>
      </c>
      <c r="BK374" s="3">
        <f>+IF(AVANCE[[#This Row],[BALCÓN]]=R$2,100%,AVANCE[[#This Row],[BALCÓN]])</f>
        <v>0</v>
      </c>
      <c r="BL374" s="3">
        <f>+IF(AVANCE[[#This Row],[RED ALCANTARILLADO]]=U$2,100%,AVANCE[[#This Row],[RED ALCANTARILLADO]])</f>
        <v>0</v>
      </c>
      <c r="BM374" s="3">
        <f>+IF(AVANCE[[#This Row],[RED DE AGUA]]=V$2,100%,AVANCE[[#This Row],[RED DE AGUA]])</f>
        <v>0</v>
      </c>
      <c r="BN374" s="3">
        <f>+IF(AVANCE[[#This Row],[VENTILACIONES]]=W$2,100%,AVANCE[[#This Row],[VENTILACIONES]])</f>
        <v>0</v>
      </c>
      <c r="BO374" s="3">
        <f>+IF(AVANCE[[#This Row],[TINA]]=X$2,100%,AVANCE[[#This Row],[TINA]])</f>
        <v>0</v>
      </c>
      <c r="BP374" s="3">
        <f>+IF(AVANCE[[#This Row],[WC]]=Y$2,100%,AVANCE[[#This Row],[WC]])</f>
        <v>0</v>
      </c>
      <c r="BQ374" s="3">
        <f>+IF(AVANCE[[#This Row],[LAVAMANOS / LAVAPLATOS / LAVADERO]]=Z$2,100%,AVANCE[[#This Row],[LAVAMANOS / LAVAPLATOS / LAVADERO]])</f>
        <v>0</v>
      </c>
      <c r="BR374" s="3">
        <f>+IF(AVANCE[[#This Row],[CANALIZACIÓN]]=AC$2,100%,AVANCE[[#This Row],[CANALIZACIÓN]])</f>
        <v>0</v>
      </c>
      <c r="BS374" s="3">
        <f>+IF(AVANCE[[#This Row],[CABLEADO]]=AD$2,100%,AVANCE[[#This Row],[CABLEADO]])</f>
        <v>0</v>
      </c>
      <c r="BT374" s="3">
        <f>+IF(AVANCE[[#This Row],[ARTEFACTOS]]=AE$2,100%,AVANCE[[#This Row],[ARTEFACTOS]])</f>
        <v>0</v>
      </c>
      <c r="BU374" s="3">
        <f>+IF(AVANCE[[#This Row],[TABLERO]]=AF$2,100%,AVANCE[[#This Row],[TABLERO]])</f>
        <v>0</v>
      </c>
      <c r="BV374" s="3">
        <f>+IF(AVANCE[[#This Row],[CAJA PAU]]=AG$2,100%,AVANCE[[#This Row],[CAJA PAU]])</f>
        <v>0</v>
      </c>
      <c r="BW374" s="3">
        <f>+IF(AVANCE[[#This Row],[INSTALACION VINILICO]]=AJ$2,100%,AVANCE[[#This Row],[INSTALACION VINILICO]])</f>
        <v>0</v>
      </c>
      <c r="BX374" s="3">
        <f>+IF(AVANCE[[#This Row],[OSB CUBIERTA]]=AK$2,100%,AVANCE[[#This Row],[OSB CUBIERTA]])</f>
        <v>0</v>
      </c>
      <c r="BY374" s="3">
        <f>+IF(AVANCE[[#This Row],[BARANDA BALCON]]=AL$2,100%,AVANCE[[#This Row],[BARANDA BALCON]])</f>
        <v>0</v>
      </c>
      <c r="BZ374" s="3">
        <f>+IF(AVANCE[[#This Row],[OSB EXTERIOR]]=AM$2,100%,AVANCE[[#This Row],[OSB EXTERIOR]])</f>
        <v>0</v>
      </c>
      <c r="CA374" s="3">
        <f>+IF(AVANCE[[#This Row],[SMART PANEL]]=AN$2,100%,AVANCE[[#This Row],[SMART PANEL]])</f>
        <v>0</v>
      </c>
      <c r="CB374" s="3">
        <f>+IF(AVANCE[[#This Row],[PINTURA EXTERIOR]]=AO$2,100%,AVANCE[[#This Row],[PINTURA EXTERIOR]])</f>
        <v>0</v>
      </c>
      <c r="CC374" s="3">
        <f>+IF(AVANCE[[#This Row],[ZOCALOS LOGIA]]=AP$2,100%,AVANCE[[#This Row],[ZOCALOS LOGIA]])</f>
        <v>0</v>
      </c>
      <c r="CD374" s="3">
        <f>+IF(AVANCE[[#This Row],[MOLDURAS]]=AQ$2,100%,AVANCE[[#This Row],[MOLDURAS]])</f>
        <v>0</v>
      </c>
      <c r="CE374" s="3">
        <f>+IF(AVANCE[[#This Row],[PILASTREO]]=AR$2,100%,AVANCE[[#This Row],[PILASTREO]])</f>
        <v>0</v>
      </c>
      <c r="CF374" s="3">
        <f>+IF(AVANCE[[#This Row],[CELOSIAS]]=AS$2,100%,AVANCE[[#This Row],[CELOSIAS]])</f>
        <v>0</v>
      </c>
      <c r="CG374" s="3">
        <f>+IF(AVANCE[[#This Row],[VENTANAS]]=AT$2,100%,AVANCE[[#This Row],[VENTANAS]])</f>
        <v>0</v>
      </c>
      <c r="CH374" s="3">
        <f>+IF(AVANCE[[#This Row],[PUERTAS ACCESO - LOGIA - BANO]]=AU$2,100%,AVANCE[[#This Row],[PUERTAS ACCESO - LOGIA - BANO]])</f>
        <v>0</v>
      </c>
      <c r="CI374" s="3">
        <f>+IF(AVANCE[[#This Row],[CERRADURAS]]=AV$2,100%,AVANCE[[#This Row],[CERRADURAS]])</f>
        <v>0</v>
      </c>
      <c r="CJ374" s="3">
        <f>+IF(AVANCE[[#This Row],[REVESTIMIENTO INTERIOR ZONA SECA]]=AW$2,100%,AVANCE[[#This Row],[REVESTIMIENTO INTERIOR ZONA SECA]])</f>
        <v>0</v>
      </c>
      <c r="CK374" s="3">
        <f>+IF(AVANCE[[#This Row],[REVESTIMIENTO INTERIOR ZONAS HUMEDAS]]=AX$2,100%,AVANCE[[#This Row],[REVESTIMIENTO INTERIOR ZONAS HUMEDAS]])</f>
        <v>0</v>
      </c>
      <c r="CL374" s="3">
        <f>+IF(AVANCE[[#This Row],[MEMBRANA CIELO]]=AY$2,100%,AVANCE[[#This Row],[MEMBRANA CIELO]])</f>
        <v>0</v>
      </c>
      <c r="CM374" s="3">
        <f>+IF(AVANCE[[#This Row],[LIMPIEZA FINAL]]=AZ$2,100%,AVANCE[[#This Row],[LIMPIEZA FINAL]])</f>
        <v>0</v>
      </c>
      <c r="CN374" s="3">
        <f>+IF(AVANCE[[#This Row],[PUERTAS DORMITORIO]]=BA$2,100%,AVANCE[[#This Row],[PUERTAS DORMITORIO]])</f>
        <v>0</v>
      </c>
      <c r="CO374" s="3">
        <f>+IF(AVANCE[[#This Row],[REVESTIMIENTO INTERIOR BANO]]=BB$2,100%,AVANCE[[#This Row],[REVESTIMIENTO INTERIOR BANO]])</f>
        <v>0</v>
      </c>
      <c r="CP374" s="3">
        <f>+IF(AVANCE[[#This Row],[MUEBLE LAVAPLATOS]]=BC$2,100%,AVANCE[[#This Row],[MUEBLE LAVAPLATOS]])</f>
        <v>0</v>
      </c>
      <c r="CQ374" s="3">
        <f>+IF(AVANCE[[#This Row],[IMPERMEABILIZACION BANO - COCINA LOGIA]]=BD$2,100%,AVANCE[[#This Row],[IMPERMEABILIZACION BANO - COCINA LOGIA]])</f>
        <v>0</v>
      </c>
      <c r="CR374" s="40">
        <f ca="1">+IF(AVANCE[[#This Row],[ESTADO MODULO]]="PENDIENTE",(TODAY()-AVANCE[[#This Row],[FECHA TERMINO  PLANIFICADO]]),0)</f>
        <v>0</v>
      </c>
      <c r="CS374" s="42" t="str" cm="1">
        <f t="array" ref="CS374">_xlfn.TEXTJOIN(" | ",TRUE,IF(SUMPRODUCT((BF374:CQ374&lt;1)*(PARTIDAS!$I$2:$AT$2="OBRA GRUESA"))&gt;0,"OBRA GRUESA: "&amp;_xlfn.TEXTJOIN(", ",TRUE,IF((BF374:CQ374&lt;1)*(PARTIDAS!$I$2:$AT$2="OBRA GRUESA"),PARTIDAS!$I$1:$AT$1,"")),""),IF(SUMPRODUCT((BF374:CQ374&lt;1)*(PARTIDAS!$I$2:$AT$2="SANITARIOS"))&gt;0,"SANITARIOS: "&amp;_xlfn.TEXTJOIN(", ",TRUE,IF((BF374:CQ374&lt;1)*(PARTIDAS!$I$2:$AT$2="SANITARIOS"),PARTIDAS!$I$1:$AT$1,"")),""),IF(SUMPRODUCT((BF374:CQ374&lt;1)*(PARTIDAS!$I$2:$AT$2="ELÉCTRICO"))&gt;0,"ELÉCTRICO: "&amp;_xlfn.TEXTJOIN(", ",TRUE,IF((BF374:CQ374&lt;1)*(PARTIDAS!$I$2:$AT$2="ELÉCTRICO"),PARTIDAS!$I$1:$AT$1,"")),""),IF(SUMPRODUCT((BF374:CQ374&lt;1)*(PARTIDAS!$I$2:$AT$2="TERMINACIONES"))&gt;0,"TERMINACIONES: "&amp;_xlfn.TEXTJOIN(", ",TRUE,IF((BF374:CQ374&lt;1)*(PARTIDAS!$I$2:$AT$2="TERMINACIONES"),PARTIDAS!$I$1:$AT$1,"")),""))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4" s="45" t="str" cm="1">
        <f t="array" ref="CT374">_xlfn.TEXTJOIN(", ",TRUE,IF(SUMPRODUCT((BF374:CQ374&lt;1)*(PARTIDAS!$I$2:$AT$2="OBRA GRUESA"))&gt;0,"OBRA GRUESA",""),IF(SUMPRODUCT((BF374:CQ374&lt;1)*(PARTIDAS!$I$2:$AT$2="SANITARIOS"))&gt;0,"SANITARIOS",""),IF(SUMPRODUCT((BF374:CQ374&lt;1)*(PARTIDAS!$I$2:$AT$2="ELÉCTRICO"))&gt;0,"ELÉCTRICO",""),IF(SUMPRODUCT((BF374:CQ374&lt;1)*(PARTIDAS!$I$2:$AT$2="TERMINACIONES"))&gt;0,"TERMINACIONES",""))</f>
        <v>OBRA GRUESA, SANITARIOS, ELÉCTRICO, TERMINACIONES</v>
      </c>
      <c r="CU374" s="46" cm="1">
        <f t="array" ref="CU374">SUMPRODUCT(--(BF374:CQ374&lt;1))</f>
        <v>38</v>
      </c>
    </row>
    <row r="375" spans="1:99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46181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 s="3" t="str">
        <f>+IF(AVANCE[[#This Row],[% AVANCE]]=100%,"MODULO TERMINADO",IF(AVANCE[[#This Row],[FECHA INICIO REAL]]="","MODULO NO INICIADO","PENDIENTE"))</f>
        <v>MODULO NO INICIADO</v>
      </c>
      <c r="BF375" s="3">
        <f>+IF(AVANCE[[#This Row],[VENTANAS]]=8.10810810810811%,100%,AVANCE[[#This Row],[VENTANAS]])</f>
        <v>0</v>
      </c>
      <c r="BG375" s="3">
        <f>+IF(AVANCE[[#This Row],[PISO]]=N$2,100%,AVANCE[[#This Row],[PISO]])</f>
        <v>0</v>
      </c>
      <c r="BH375" s="3">
        <f>+IF(AVANCE[[#This Row],[TABIQUES]]=O$2,100%,AVANCE[[#This Row],[TABIQUES]])</f>
        <v>0</v>
      </c>
      <c r="BI375" s="3">
        <f>+IF(AVANCE[[#This Row],[MUROS]]=P$2,100%,AVANCE[[#This Row],[MUROS]])</f>
        <v>0</v>
      </c>
      <c r="BJ375" s="3">
        <f>+IF(AVANCE[[#This Row],[CIELO]]=Q$2,100%,AVANCE[[#This Row],[CIELO]])</f>
        <v>0</v>
      </c>
      <c r="BK375" s="3">
        <f>+IF(AVANCE[[#This Row],[BALCÓN]]=R$2,100%,AVANCE[[#This Row],[BALCÓN]])</f>
        <v>0</v>
      </c>
      <c r="BL375" s="3">
        <f>+IF(AVANCE[[#This Row],[RED ALCANTARILLADO]]=U$2,100%,AVANCE[[#This Row],[RED ALCANTARILLADO]])</f>
        <v>0</v>
      </c>
      <c r="BM375" s="3">
        <f>+IF(AVANCE[[#This Row],[RED DE AGUA]]=V$2,100%,AVANCE[[#This Row],[RED DE AGUA]])</f>
        <v>0</v>
      </c>
      <c r="BN375" s="3">
        <f>+IF(AVANCE[[#This Row],[VENTILACIONES]]=W$2,100%,AVANCE[[#This Row],[VENTILACIONES]])</f>
        <v>0</v>
      </c>
      <c r="BO375" s="3">
        <f>+IF(AVANCE[[#This Row],[TINA]]=X$2,100%,AVANCE[[#This Row],[TINA]])</f>
        <v>0</v>
      </c>
      <c r="BP375" s="3">
        <f>+IF(AVANCE[[#This Row],[WC]]=Y$2,100%,AVANCE[[#This Row],[WC]])</f>
        <v>0</v>
      </c>
      <c r="BQ375" s="3">
        <f>+IF(AVANCE[[#This Row],[LAVAMANOS / LAVAPLATOS / LAVADERO]]=Z$2,100%,AVANCE[[#This Row],[LAVAMANOS / LAVAPLATOS / LAVADERO]])</f>
        <v>0</v>
      </c>
      <c r="BR375" s="3">
        <f>+IF(AVANCE[[#This Row],[CANALIZACIÓN]]=AC$2,100%,AVANCE[[#This Row],[CANALIZACIÓN]])</f>
        <v>0</v>
      </c>
      <c r="BS375" s="3">
        <f>+IF(AVANCE[[#This Row],[CABLEADO]]=AD$2,100%,AVANCE[[#This Row],[CABLEADO]])</f>
        <v>0</v>
      </c>
      <c r="BT375" s="3">
        <f>+IF(AVANCE[[#This Row],[ARTEFACTOS]]=AE$2,100%,AVANCE[[#This Row],[ARTEFACTOS]])</f>
        <v>0</v>
      </c>
      <c r="BU375" s="3">
        <f>+IF(AVANCE[[#This Row],[TABLERO]]=AF$2,100%,AVANCE[[#This Row],[TABLERO]])</f>
        <v>0</v>
      </c>
      <c r="BV375" s="3">
        <f>+IF(AVANCE[[#This Row],[CAJA PAU]]=AG$2,100%,AVANCE[[#This Row],[CAJA PAU]])</f>
        <v>0</v>
      </c>
      <c r="BW375" s="3">
        <f>+IF(AVANCE[[#This Row],[INSTALACION VINILICO]]=AJ$2,100%,AVANCE[[#This Row],[INSTALACION VINILICO]])</f>
        <v>0</v>
      </c>
      <c r="BX375" s="3">
        <f>+IF(AVANCE[[#This Row],[OSB CUBIERTA]]=AK$2,100%,AVANCE[[#This Row],[OSB CUBIERTA]])</f>
        <v>0</v>
      </c>
      <c r="BY375" s="3">
        <f>+IF(AVANCE[[#This Row],[BARANDA BALCON]]=AL$2,100%,AVANCE[[#This Row],[BARANDA BALCON]])</f>
        <v>0</v>
      </c>
      <c r="BZ375" s="3">
        <f>+IF(AVANCE[[#This Row],[OSB EXTERIOR]]=AM$2,100%,AVANCE[[#This Row],[OSB EXTERIOR]])</f>
        <v>0</v>
      </c>
      <c r="CA375" s="3">
        <f>+IF(AVANCE[[#This Row],[SMART PANEL]]=AN$2,100%,AVANCE[[#This Row],[SMART PANEL]])</f>
        <v>0</v>
      </c>
      <c r="CB375" s="3">
        <f>+IF(AVANCE[[#This Row],[PINTURA EXTERIOR]]=AO$2,100%,AVANCE[[#This Row],[PINTURA EXTERIOR]])</f>
        <v>0</v>
      </c>
      <c r="CC375" s="3">
        <f>+IF(AVANCE[[#This Row],[ZOCALOS LOGIA]]=AP$2,100%,AVANCE[[#This Row],[ZOCALOS LOGIA]])</f>
        <v>0</v>
      </c>
      <c r="CD375" s="3">
        <f>+IF(AVANCE[[#This Row],[MOLDURAS]]=AQ$2,100%,AVANCE[[#This Row],[MOLDURAS]])</f>
        <v>0</v>
      </c>
      <c r="CE375" s="3">
        <f>+IF(AVANCE[[#This Row],[PILASTREO]]=AR$2,100%,AVANCE[[#This Row],[PILASTREO]])</f>
        <v>0</v>
      </c>
      <c r="CF375" s="3">
        <f>+IF(AVANCE[[#This Row],[CELOSIAS]]=AS$2,100%,AVANCE[[#This Row],[CELOSIAS]])</f>
        <v>0</v>
      </c>
      <c r="CG375" s="3">
        <f>+IF(AVANCE[[#This Row],[VENTANAS]]=AT$2,100%,AVANCE[[#This Row],[VENTANAS]])</f>
        <v>0</v>
      </c>
      <c r="CH375" s="3">
        <f>+IF(AVANCE[[#This Row],[PUERTAS ACCESO - LOGIA - BANO]]=AU$2,100%,AVANCE[[#This Row],[PUERTAS ACCESO - LOGIA - BANO]])</f>
        <v>0</v>
      </c>
      <c r="CI375" s="3">
        <f>+IF(AVANCE[[#This Row],[CERRADURAS]]=AV$2,100%,AVANCE[[#This Row],[CERRADURAS]])</f>
        <v>0</v>
      </c>
      <c r="CJ375" s="3">
        <f>+IF(AVANCE[[#This Row],[REVESTIMIENTO INTERIOR ZONA SECA]]=AW$2,100%,AVANCE[[#This Row],[REVESTIMIENTO INTERIOR ZONA SECA]])</f>
        <v>0</v>
      </c>
      <c r="CK375" s="3">
        <f>+IF(AVANCE[[#This Row],[REVESTIMIENTO INTERIOR ZONAS HUMEDAS]]=AX$2,100%,AVANCE[[#This Row],[REVESTIMIENTO INTERIOR ZONAS HUMEDAS]])</f>
        <v>0</v>
      </c>
      <c r="CL375" s="3">
        <f>+IF(AVANCE[[#This Row],[MEMBRANA CIELO]]=AY$2,100%,AVANCE[[#This Row],[MEMBRANA CIELO]])</f>
        <v>0</v>
      </c>
      <c r="CM375" s="3">
        <f>+IF(AVANCE[[#This Row],[LIMPIEZA FINAL]]=AZ$2,100%,AVANCE[[#This Row],[LIMPIEZA FINAL]])</f>
        <v>0</v>
      </c>
      <c r="CN375" s="3">
        <f>+IF(AVANCE[[#This Row],[PUERTAS DORMITORIO]]=BA$2,100%,AVANCE[[#This Row],[PUERTAS DORMITORIO]])</f>
        <v>0</v>
      </c>
      <c r="CO375" s="3">
        <f>+IF(AVANCE[[#This Row],[REVESTIMIENTO INTERIOR BANO]]=BB$2,100%,AVANCE[[#This Row],[REVESTIMIENTO INTERIOR BANO]])</f>
        <v>0</v>
      </c>
      <c r="CP375" s="3">
        <f>+IF(AVANCE[[#This Row],[MUEBLE LAVAPLATOS]]=BC$2,100%,AVANCE[[#This Row],[MUEBLE LAVAPLATOS]])</f>
        <v>0</v>
      </c>
      <c r="CQ375" s="3">
        <f>+IF(AVANCE[[#This Row],[IMPERMEABILIZACION BANO - COCINA LOGIA]]=BD$2,100%,AVANCE[[#This Row],[IMPERMEABILIZACION BANO - COCINA LOGIA]])</f>
        <v>0</v>
      </c>
      <c r="CR375" s="40">
        <f ca="1">+IF(AVANCE[[#This Row],[ESTADO MODULO]]="PENDIENTE",(TODAY()-AVANCE[[#This Row],[FECHA TERMINO  PLANIFICADO]]),0)</f>
        <v>0</v>
      </c>
      <c r="CS375" s="42" t="str" cm="1">
        <f t="array" ref="CS375">_xlfn.TEXTJOIN(" | ",TRUE,IF(SUMPRODUCT((BF375:CQ375&lt;1)*(PARTIDAS!$I$2:$AT$2="OBRA GRUESA"))&gt;0,"OBRA GRUESA: "&amp;_xlfn.TEXTJOIN(", ",TRUE,IF((BF375:CQ375&lt;1)*(PARTIDAS!$I$2:$AT$2="OBRA GRUESA"),PARTIDAS!$I$1:$AT$1,"")),""),IF(SUMPRODUCT((BF375:CQ375&lt;1)*(PARTIDAS!$I$2:$AT$2="SANITARIOS"))&gt;0,"SANITARIOS: "&amp;_xlfn.TEXTJOIN(", ",TRUE,IF((BF375:CQ375&lt;1)*(PARTIDAS!$I$2:$AT$2="SANITARIOS"),PARTIDAS!$I$1:$AT$1,"")),""),IF(SUMPRODUCT((BF375:CQ375&lt;1)*(PARTIDAS!$I$2:$AT$2="ELÉCTRICO"))&gt;0,"ELÉCTRICO: "&amp;_xlfn.TEXTJOIN(", ",TRUE,IF((BF375:CQ375&lt;1)*(PARTIDAS!$I$2:$AT$2="ELÉCTRICO"),PARTIDAS!$I$1:$AT$1,"")),""),IF(SUMPRODUCT((BF375:CQ375&lt;1)*(PARTIDAS!$I$2:$AT$2="TERMINACIONES"))&gt;0,"TERMINACIONES: "&amp;_xlfn.TEXTJOIN(", ",TRUE,IF((BF375:CQ375&lt;1)*(PARTIDAS!$I$2:$AT$2="TERMINACIONES"),PARTIDAS!$I$1:$AT$1,"")),""))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5" s="45" t="str" cm="1">
        <f t="array" ref="CT375">_xlfn.TEXTJOIN(", ",TRUE,IF(SUMPRODUCT((BF375:CQ375&lt;1)*(PARTIDAS!$I$2:$AT$2="OBRA GRUESA"))&gt;0,"OBRA GRUESA",""),IF(SUMPRODUCT((BF375:CQ375&lt;1)*(PARTIDAS!$I$2:$AT$2="SANITARIOS"))&gt;0,"SANITARIOS",""),IF(SUMPRODUCT((BF375:CQ375&lt;1)*(PARTIDAS!$I$2:$AT$2="ELÉCTRICO"))&gt;0,"ELÉCTRICO",""),IF(SUMPRODUCT((BF375:CQ375&lt;1)*(PARTIDAS!$I$2:$AT$2="TERMINACIONES"))&gt;0,"TERMINACIONES",""))</f>
        <v>OBRA GRUESA, SANITARIOS, ELÉCTRICO, TERMINACIONES</v>
      </c>
      <c r="CU375" s="46" cm="1">
        <f t="array" ref="CU375">SUMPRODUCT(--(BF375:CQ375&lt;1))</f>
        <v>38</v>
      </c>
    </row>
    <row r="376" spans="1:99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46181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 s="3" t="str">
        <f>+IF(AVANCE[[#This Row],[% AVANCE]]=100%,"MODULO TERMINADO",IF(AVANCE[[#This Row],[FECHA INICIO REAL]]="","MODULO NO INICIADO","PENDIENTE"))</f>
        <v>MODULO NO INICIADO</v>
      </c>
      <c r="BF376" s="3">
        <f>+IF(AVANCE[[#This Row],[VENTANAS]]=8.10810810810811%,100%,AVANCE[[#This Row],[VENTANAS]])</f>
        <v>0</v>
      </c>
      <c r="BG376" s="3">
        <f>+IF(AVANCE[[#This Row],[PISO]]=N$2,100%,AVANCE[[#This Row],[PISO]])</f>
        <v>0</v>
      </c>
      <c r="BH376" s="3">
        <f>+IF(AVANCE[[#This Row],[TABIQUES]]=O$2,100%,AVANCE[[#This Row],[TABIQUES]])</f>
        <v>0</v>
      </c>
      <c r="BI376" s="3">
        <f>+IF(AVANCE[[#This Row],[MUROS]]=P$2,100%,AVANCE[[#This Row],[MUROS]])</f>
        <v>0</v>
      </c>
      <c r="BJ376" s="3">
        <f>+IF(AVANCE[[#This Row],[CIELO]]=Q$2,100%,AVANCE[[#This Row],[CIELO]])</f>
        <v>0</v>
      </c>
      <c r="BK376" s="3">
        <f>+IF(AVANCE[[#This Row],[BALCÓN]]=R$2,100%,AVANCE[[#This Row],[BALCÓN]])</f>
        <v>0</v>
      </c>
      <c r="BL376" s="3">
        <f>+IF(AVANCE[[#This Row],[RED ALCANTARILLADO]]=U$2,100%,AVANCE[[#This Row],[RED ALCANTARILLADO]])</f>
        <v>0</v>
      </c>
      <c r="BM376" s="3">
        <f>+IF(AVANCE[[#This Row],[RED DE AGUA]]=V$2,100%,AVANCE[[#This Row],[RED DE AGUA]])</f>
        <v>0</v>
      </c>
      <c r="BN376" s="3">
        <f>+IF(AVANCE[[#This Row],[VENTILACIONES]]=W$2,100%,AVANCE[[#This Row],[VENTILACIONES]])</f>
        <v>0</v>
      </c>
      <c r="BO376" s="3">
        <f>+IF(AVANCE[[#This Row],[TINA]]=X$2,100%,AVANCE[[#This Row],[TINA]])</f>
        <v>0</v>
      </c>
      <c r="BP376" s="3">
        <f>+IF(AVANCE[[#This Row],[WC]]=Y$2,100%,AVANCE[[#This Row],[WC]])</f>
        <v>0</v>
      </c>
      <c r="BQ376" s="3">
        <f>+IF(AVANCE[[#This Row],[LAVAMANOS / LAVAPLATOS / LAVADERO]]=Z$2,100%,AVANCE[[#This Row],[LAVAMANOS / LAVAPLATOS / LAVADERO]])</f>
        <v>0</v>
      </c>
      <c r="BR376" s="3">
        <f>+IF(AVANCE[[#This Row],[CANALIZACIÓN]]=AC$2,100%,AVANCE[[#This Row],[CANALIZACIÓN]])</f>
        <v>0</v>
      </c>
      <c r="BS376" s="3">
        <f>+IF(AVANCE[[#This Row],[CABLEADO]]=AD$2,100%,AVANCE[[#This Row],[CABLEADO]])</f>
        <v>0</v>
      </c>
      <c r="BT376" s="3">
        <f>+IF(AVANCE[[#This Row],[ARTEFACTOS]]=AE$2,100%,AVANCE[[#This Row],[ARTEFACTOS]])</f>
        <v>0</v>
      </c>
      <c r="BU376" s="3">
        <f>+IF(AVANCE[[#This Row],[TABLERO]]=AF$2,100%,AVANCE[[#This Row],[TABLERO]])</f>
        <v>0</v>
      </c>
      <c r="BV376" s="3">
        <f>+IF(AVANCE[[#This Row],[CAJA PAU]]=AG$2,100%,AVANCE[[#This Row],[CAJA PAU]])</f>
        <v>0</v>
      </c>
      <c r="BW376" s="3">
        <f>+IF(AVANCE[[#This Row],[INSTALACION VINILICO]]=AJ$2,100%,AVANCE[[#This Row],[INSTALACION VINILICO]])</f>
        <v>0</v>
      </c>
      <c r="BX376" s="3">
        <f>+IF(AVANCE[[#This Row],[OSB CUBIERTA]]=AK$2,100%,AVANCE[[#This Row],[OSB CUBIERTA]])</f>
        <v>0</v>
      </c>
      <c r="BY376" s="3">
        <f>+IF(AVANCE[[#This Row],[BARANDA BALCON]]=AL$2,100%,AVANCE[[#This Row],[BARANDA BALCON]])</f>
        <v>0</v>
      </c>
      <c r="BZ376" s="3">
        <f>+IF(AVANCE[[#This Row],[OSB EXTERIOR]]=AM$2,100%,AVANCE[[#This Row],[OSB EXTERIOR]])</f>
        <v>0</v>
      </c>
      <c r="CA376" s="3">
        <f>+IF(AVANCE[[#This Row],[SMART PANEL]]=AN$2,100%,AVANCE[[#This Row],[SMART PANEL]])</f>
        <v>0</v>
      </c>
      <c r="CB376" s="3">
        <f>+IF(AVANCE[[#This Row],[PINTURA EXTERIOR]]=AO$2,100%,AVANCE[[#This Row],[PINTURA EXTERIOR]])</f>
        <v>0</v>
      </c>
      <c r="CC376" s="3">
        <f>+IF(AVANCE[[#This Row],[ZOCALOS LOGIA]]=AP$2,100%,AVANCE[[#This Row],[ZOCALOS LOGIA]])</f>
        <v>0</v>
      </c>
      <c r="CD376" s="3">
        <f>+IF(AVANCE[[#This Row],[MOLDURAS]]=AQ$2,100%,AVANCE[[#This Row],[MOLDURAS]])</f>
        <v>0</v>
      </c>
      <c r="CE376" s="3">
        <f>+IF(AVANCE[[#This Row],[PILASTREO]]=AR$2,100%,AVANCE[[#This Row],[PILASTREO]])</f>
        <v>0</v>
      </c>
      <c r="CF376" s="3">
        <f>+IF(AVANCE[[#This Row],[CELOSIAS]]=AS$2,100%,AVANCE[[#This Row],[CELOSIAS]])</f>
        <v>0</v>
      </c>
      <c r="CG376" s="3">
        <f>+IF(AVANCE[[#This Row],[VENTANAS]]=AT$2,100%,AVANCE[[#This Row],[VENTANAS]])</f>
        <v>0</v>
      </c>
      <c r="CH376" s="3">
        <f>+IF(AVANCE[[#This Row],[PUERTAS ACCESO - LOGIA - BANO]]=AU$2,100%,AVANCE[[#This Row],[PUERTAS ACCESO - LOGIA - BANO]])</f>
        <v>0</v>
      </c>
      <c r="CI376" s="3">
        <f>+IF(AVANCE[[#This Row],[CERRADURAS]]=AV$2,100%,AVANCE[[#This Row],[CERRADURAS]])</f>
        <v>0</v>
      </c>
      <c r="CJ376" s="3">
        <f>+IF(AVANCE[[#This Row],[REVESTIMIENTO INTERIOR ZONA SECA]]=AW$2,100%,AVANCE[[#This Row],[REVESTIMIENTO INTERIOR ZONA SECA]])</f>
        <v>0</v>
      </c>
      <c r="CK376" s="3">
        <f>+IF(AVANCE[[#This Row],[REVESTIMIENTO INTERIOR ZONAS HUMEDAS]]=AX$2,100%,AVANCE[[#This Row],[REVESTIMIENTO INTERIOR ZONAS HUMEDAS]])</f>
        <v>0</v>
      </c>
      <c r="CL376" s="3">
        <f>+IF(AVANCE[[#This Row],[MEMBRANA CIELO]]=AY$2,100%,AVANCE[[#This Row],[MEMBRANA CIELO]])</f>
        <v>0</v>
      </c>
      <c r="CM376" s="3">
        <f>+IF(AVANCE[[#This Row],[LIMPIEZA FINAL]]=AZ$2,100%,AVANCE[[#This Row],[LIMPIEZA FINAL]])</f>
        <v>0</v>
      </c>
      <c r="CN376" s="3">
        <f>+IF(AVANCE[[#This Row],[PUERTAS DORMITORIO]]=BA$2,100%,AVANCE[[#This Row],[PUERTAS DORMITORIO]])</f>
        <v>0</v>
      </c>
      <c r="CO376" s="3">
        <f>+IF(AVANCE[[#This Row],[REVESTIMIENTO INTERIOR BANO]]=BB$2,100%,AVANCE[[#This Row],[REVESTIMIENTO INTERIOR BANO]])</f>
        <v>0</v>
      </c>
      <c r="CP376" s="3">
        <f>+IF(AVANCE[[#This Row],[MUEBLE LAVAPLATOS]]=BC$2,100%,AVANCE[[#This Row],[MUEBLE LAVAPLATOS]])</f>
        <v>0</v>
      </c>
      <c r="CQ376" s="3">
        <f>+IF(AVANCE[[#This Row],[IMPERMEABILIZACION BANO - COCINA LOGIA]]=BD$2,100%,AVANCE[[#This Row],[IMPERMEABILIZACION BANO - COCINA LOGIA]])</f>
        <v>0</v>
      </c>
      <c r="CR376" s="40">
        <f ca="1">+IF(AVANCE[[#This Row],[ESTADO MODULO]]="PENDIENTE",(TODAY()-AVANCE[[#This Row],[FECHA TERMINO  PLANIFICADO]]),0)</f>
        <v>0</v>
      </c>
      <c r="CS376" s="42" t="str" cm="1">
        <f t="array" ref="CS376">_xlfn.TEXTJOIN(" | ",TRUE,IF(SUMPRODUCT((BF376:CQ376&lt;1)*(PARTIDAS!$I$2:$AT$2="OBRA GRUESA"))&gt;0,"OBRA GRUESA: "&amp;_xlfn.TEXTJOIN(", ",TRUE,IF((BF376:CQ376&lt;1)*(PARTIDAS!$I$2:$AT$2="OBRA GRUESA"),PARTIDAS!$I$1:$AT$1,"")),""),IF(SUMPRODUCT((BF376:CQ376&lt;1)*(PARTIDAS!$I$2:$AT$2="SANITARIOS"))&gt;0,"SANITARIOS: "&amp;_xlfn.TEXTJOIN(", ",TRUE,IF((BF376:CQ376&lt;1)*(PARTIDAS!$I$2:$AT$2="SANITARIOS"),PARTIDAS!$I$1:$AT$1,"")),""),IF(SUMPRODUCT((BF376:CQ376&lt;1)*(PARTIDAS!$I$2:$AT$2="ELÉCTRICO"))&gt;0,"ELÉCTRICO: "&amp;_xlfn.TEXTJOIN(", ",TRUE,IF((BF376:CQ376&lt;1)*(PARTIDAS!$I$2:$AT$2="ELÉCTRICO"),PARTIDAS!$I$1:$AT$1,"")),""),IF(SUMPRODUCT((BF376:CQ376&lt;1)*(PARTIDAS!$I$2:$AT$2="TERMINACIONES"))&gt;0,"TERMINACIONES: "&amp;_xlfn.TEXTJOIN(", ",TRUE,IF((BF376:CQ376&lt;1)*(PARTIDAS!$I$2:$AT$2="TERMINACIONES"),PARTIDAS!$I$1:$AT$1,"")),""))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6" s="45" t="str" cm="1">
        <f t="array" ref="CT376">_xlfn.TEXTJOIN(", ",TRUE,IF(SUMPRODUCT((BF376:CQ376&lt;1)*(PARTIDAS!$I$2:$AT$2="OBRA GRUESA"))&gt;0,"OBRA GRUESA",""),IF(SUMPRODUCT((BF376:CQ376&lt;1)*(PARTIDAS!$I$2:$AT$2="SANITARIOS"))&gt;0,"SANITARIOS",""),IF(SUMPRODUCT((BF376:CQ376&lt;1)*(PARTIDAS!$I$2:$AT$2="ELÉCTRICO"))&gt;0,"ELÉCTRICO",""),IF(SUMPRODUCT((BF376:CQ376&lt;1)*(PARTIDAS!$I$2:$AT$2="TERMINACIONES"))&gt;0,"TERMINACIONES",""))</f>
        <v>OBRA GRUESA, SANITARIOS, ELÉCTRICO, TERMINACIONES</v>
      </c>
      <c r="CU376" s="46" cm="1">
        <f t="array" ref="CU376">SUMPRODUCT(--(BF376:CQ376&lt;1))</f>
        <v>38</v>
      </c>
    </row>
    <row r="377" spans="1:99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46181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 s="3" t="str">
        <f>+IF(AVANCE[[#This Row],[% AVANCE]]=100%,"MODULO TERMINADO",IF(AVANCE[[#This Row],[FECHA INICIO REAL]]="","MODULO NO INICIADO","PENDIENTE"))</f>
        <v>MODULO NO INICIADO</v>
      </c>
      <c r="BF377" s="3">
        <f>+IF(AVANCE[[#This Row],[VENTANAS]]=8.10810810810811%,100%,AVANCE[[#This Row],[VENTANAS]])</f>
        <v>0</v>
      </c>
      <c r="BG377" s="3">
        <f>+IF(AVANCE[[#This Row],[PISO]]=N$2,100%,AVANCE[[#This Row],[PISO]])</f>
        <v>0</v>
      </c>
      <c r="BH377" s="3">
        <f>+IF(AVANCE[[#This Row],[TABIQUES]]=O$2,100%,AVANCE[[#This Row],[TABIQUES]])</f>
        <v>0</v>
      </c>
      <c r="BI377" s="3">
        <f>+IF(AVANCE[[#This Row],[MUROS]]=P$2,100%,AVANCE[[#This Row],[MUROS]])</f>
        <v>0</v>
      </c>
      <c r="BJ377" s="3">
        <f>+IF(AVANCE[[#This Row],[CIELO]]=Q$2,100%,AVANCE[[#This Row],[CIELO]])</f>
        <v>0</v>
      </c>
      <c r="BK377" s="3">
        <f>+IF(AVANCE[[#This Row],[BALCÓN]]=R$2,100%,AVANCE[[#This Row],[BALCÓN]])</f>
        <v>0</v>
      </c>
      <c r="BL377" s="3">
        <f>+IF(AVANCE[[#This Row],[RED ALCANTARILLADO]]=U$2,100%,AVANCE[[#This Row],[RED ALCANTARILLADO]])</f>
        <v>0</v>
      </c>
      <c r="BM377" s="3">
        <f>+IF(AVANCE[[#This Row],[RED DE AGUA]]=V$2,100%,AVANCE[[#This Row],[RED DE AGUA]])</f>
        <v>0</v>
      </c>
      <c r="BN377" s="3">
        <f>+IF(AVANCE[[#This Row],[VENTILACIONES]]=W$2,100%,AVANCE[[#This Row],[VENTILACIONES]])</f>
        <v>0</v>
      </c>
      <c r="BO377" s="3">
        <f>+IF(AVANCE[[#This Row],[TINA]]=X$2,100%,AVANCE[[#This Row],[TINA]])</f>
        <v>0</v>
      </c>
      <c r="BP377" s="3">
        <f>+IF(AVANCE[[#This Row],[WC]]=Y$2,100%,AVANCE[[#This Row],[WC]])</f>
        <v>0</v>
      </c>
      <c r="BQ377" s="3">
        <f>+IF(AVANCE[[#This Row],[LAVAMANOS / LAVAPLATOS / LAVADERO]]=Z$2,100%,AVANCE[[#This Row],[LAVAMANOS / LAVAPLATOS / LAVADERO]])</f>
        <v>0</v>
      </c>
      <c r="BR377" s="3">
        <f>+IF(AVANCE[[#This Row],[CANALIZACIÓN]]=AC$2,100%,AVANCE[[#This Row],[CANALIZACIÓN]])</f>
        <v>0</v>
      </c>
      <c r="BS377" s="3">
        <f>+IF(AVANCE[[#This Row],[CABLEADO]]=AD$2,100%,AVANCE[[#This Row],[CABLEADO]])</f>
        <v>0</v>
      </c>
      <c r="BT377" s="3">
        <f>+IF(AVANCE[[#This Row],[ARTEFACTOS]]=AE$2,100%,AVANCE[[#This Row],[ARTEFACTOS]])</f>
        <v>0</v>
      </c>
      <c r="BU377" s="3">
        <f>+IF(AVANCE[[#This Row],[TABLERO]]=AF$2,100%,AVANCE[[#This Row],[TABLERO]])</f>
        <v>0</v>
      </c>
      <c r="BV377" s="3">
        <f>+IF(AVANCE[[#This Row],[CAJA PAU]]=AG$2,100%,AVANCE[[#This Row],[CAJA PAU]])</f>
        <v>0</v>
      </c>
      <c r="BW377" s="3">
        <f>+IF(AVANCE[[#This Row],[INSTALACION VINILICO]]=AJ$2,100%,AVANCE[[#This Row],[INSTALACION VINILICO]])</f>
        <v>0</v>
      </c>
      <c r="BX377" s="3">
        <f>+IF(AVANCE[[#This Row],[OSB CUBIERTA]]=AK$2,100%,AVANCE[[#This Row],[OSB CUBIERTA]])</f>
        <v>0</v>
      </c>
      <c r="BY377" s="3">
        <f>+IF(AVANCE[[#This Row],[BARANDA BALCON]]=AL$2,100%,AVANCE[[#This Row],[BARANDA BALCON]])</f>
        <v>0</v>
      </c>
      <c r="BZ377" s="3">
        <f>+IF(AVANCE[[#This Row],[OSB EXTERIOR]]=AM$2,100%,AVANCE[[#This Row],[OSB EXTERIOR]])</f>
        <v>0</v>
      </c>
      <c r="CA377" s="3">
        <f>+IF(AVANCE[[#This Row],[SMART PANEL]]=AN$2,100%,AVANCE[[#This Row],[SMART PANEL]])</f>
        <v>0</v>
      </c>
      <c r="CB377" s="3">
        <f>+IF(AVANCE[[#This Row],[PINTURA EXTERIOR]]=AO$2,100%,AVANCE[[#This Row],[PINTURA EXTERIOR]])</f>
        <v>0</v>
      </c>
      <c r="CC377" s="3">
        <f>+IF(AVANCE[[#This Row],[ZOCALOS LOGIA]]=AP$2,100%,AVANCE[[#This Row],[ZOCALOS LOGIA]])</f>
        <v>0</v>
      </c>
      <c r="CD377" s="3">
        <f>+IF(AVANCE[[#This Row],[MOLDURAS]]=AQ$2,100%,AVANCE[[#This Row],[MOLDURAS]])</f>
        <v>0</v>
      </c>
      <c r="CE377" s="3">
        <f>+IF(AVANCE[[#This Row],[PILASTREO]]=AR$2,100%,AVANCE[[#This Row],[PILASTREO]])</f>
        <v>0</v>
      </c>
      <c r="CF377" s="3">
        <f>+IF(AVANCE[[#This Row],[CELOSIAS]]=AS$2,100%,AVANCE[[#This Row],[CELOSIAS]])</f>
        <v>0</v>
      </c>
      <c r="CG377" s="3">
        <f>+IF(AVANCE[[#This Row],[VENTANAS]]=AT$2,100%,AVANCE[[#This Row],[VENTANAS]])</f>
        <v>0</v>
      </c>
      <c r="CH377" s="3">
        <f>+IF(AVANCE[[#This Row],[PUERTAS ACCESO - LOGIA - BANO]]=AU$2,100%,AVANCE[[#This Row],[PUERTAS ACCESO - LOGIA - BANO]])</f>
        <v>0</v>
      </c>
      <c r="CI377" s="3">
        <f>+IF(AVANCE[[#This Row],[CERRADURAS]]=AV$2,100%,AVANCE[[#This Row],[CERRADURAS]])</f>
        <v>0</v>
      </c>
      <c r="CJ377" s="3">
        <f>+IF(AVANCE[[#This Row],[REVESTIMIENTO INTERIOR ZONA SECA]]=AW$2,100%,AVANCE[[#This Row],[REVESTIMIENTO INTERIOR ZONA SECA]])</f>
        <v>0</v>
      </c>
      <c r="CK377" s="3">
        <f>+IF(AVANCE[[#This Row],[REVESTIMIENTO INTERIOR ZONAS HUMEDAS]]=AX$2,100%,AVANCE[[#This Row],[REVESTIMIENTO INTERIOR ZONAS HUMEDAS]])</f>
        <v>0</v>
      </c>
      <c r="CL377" s="3">
        <f>+IF(AVANCE[[#This Row],[MEMBRANA CIELO]]=AY$2,100%,AVANCE[[#This Row],[MEMBRANA CIELO]])</f>
        <v>0</v>
      </c>
      <c r="CM377" s="3">
        <f>+IF(AVANCE[[#This Row],[LIMPIEZA FINAL]]=AZ$2,100%,AVANCE[[#This Row],[LIMPIEZA FINAL]])</f>
        <v>0</v>
      </c>
      <c r="CN377" s="3">
        <f>+IF(AVANCE[[#This Row],[PUERTAS DORMITORIO]]=BA$2,100%,AVANCE[[#This Row],[PUERTAS DORMITORIO]])</f>
        <v>0</v>
      </c>
      <c r="CO377" s="3">
        <f>+IF(AVANCE[[#This Row],[REVESTIMIENTO INTERIOR BANO]]=BB$2,100%,AVANCE[[#This Row],[REVESTIMIENTO INTERIOR BANO]])</f>
        <v>0</v>
      </c>
      <c r="CP377" s="3">
        <f>+IF(AVANCE[[#This Row],[MUEBLE LAVAPLATOS]]=BC$2,100%,AVANCE[[#This Row],[MUEBLE LAVAPLATOS]])</f>
        <v>0</v>
      </c>
      <c r="CQ377" s="3">
        <f>+IF(AVANCE[[#This Row],[IMPERMEABILIZACION BANO - COCINA LOGIA]]=BD$2,100%,AVANCE[[#This Row],[IMPERMEABILIZACION BANO - COCINA LOGIA]])</f>
        <v>0</v>
      </c>
      <c r="CR377" s="40">
        <f ca="1">+IF(AVANCE[[#This Row],[ESTADO MODULO]]="PENDIENTE",(TODAY()-AVANCE[[#This Row],[FECHA TERMINO  PLANIFICADO]]),0)</f>
        <v>0</v>
      </c>
      <c r="CS377" s="42" t="str" cm="1">
        <f t="array" ref="CS377">_xlfn.TEXTJOIN(" | ",TRUE,IF(SUMPRODUCT((BF377:CQ377&lt;1)*(PARTIDAS!$I$2:$AT$2="OBRA GRUESA"))&gt;0,"OBRA GRUESA: "&amp;_xlfn.TEXTJOIN(", ",TRUE,IF((BF377:CQ377&lt;1)*(PARTIDAS!$I$2:$AT$2="OBRA GRUESA"),PARTIDAS!$I$1:$AT$1,"")),""),IF(SUMPRODUCT((BF377:CQ377&lt;1)*(PARTIDAS!$I$2:$AT$2="SANITARIOS"))&gt;0,"SANITARIOS: "&amp;_xlfn.TEXTJOIN(", ",TRUE,IF((BF377:CQ377&lt;1)*(PARTIDAS!$I$2:$AT$2="SANITARIOS"),PARTIDAS!$I$1:$AT$1,"")),""),IF(SUMPRODUCT((BF377:CQ377&lt;1)*(PARTIDAS!$I$2:$AT$2="ELÉCTRICO"))&gt;0,"ELÉCTRICO: "&amp;_xlfn.TEXTJOIN(", ",TRUE,IF((BF377:CQ377&lt;1)*(PARTIDAS!$I$2:$AT$2="ELÉCTRICO"),PARTIDAS!$I$1:$AT$1,"")),""),IF(SUMPRODUCT((BF377:CQ377&lt;1)*(PARTIDAS!$I$2:$AT$2="TERMINACIONES"))&gt;0,"TERMINACIONES: "&amp;_xlfn.TEXTJOIN(", ",TRUE,IF((BF377:CQ377&lt;1)*(PARTIDAS!$I$2:$AT$2="TERMINACIONES"),PARTIDAS!$I$1:$AT$1,"")),""))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7" s="45" t="str" cm="1">
        <f t="array" ref="CT377">_xlfn.TEXTJOIN(", ",TRUE,IF(SUMPRODUCT((BF377:CQ377&lt;1)*(PARTIDAS!$I$2:$AT$2="OBRA GRUESA"))&gt;0,"OBRA GRUESA",""),IF(SUMPRODUCT((BF377:CQ377&lt;1)*(PARTIDAS!$I$2:$AT$2="SANITARIOS"))&gt;0,"SANITARIOS",""),IF(SUMPRODUCT((BF377:CQ377&lt;1)*(PARTIDAS!$I$2:$AT$2="ELÉCTRICO"))&gt;0,"ELÉCTRICO",""),IF(SUMPRODUCT((BF377:CQ377&lt;1)*(PARTIDAS!$I$2:$AT$2="TERMINACIONES"))&gt;0,"TERMINACIONES",""))</f>
        <v>OBRA GRUESA, SANITARIOS, ELÉCTRICO, TERMINACIONES</v>
      </c>
      <c r="CU377" s="46" cm="1">
        <f t="array" ref="CU377">SUMPRODUCT(--(BF377:CQ377&lt;1))</f>
        <v>38</v>
      </c>
    </row>
    <row r="378" spans="1:99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46181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 s="3" t="str">
        <f>+IF(AVANCE[[#This Row],[% AVANCE]]=100%,"MODULO TERMINADO",IF(AVANCE[[#This Row],[FECHA INICIO REAL]]="","MODULO NO INICIADO","PENDIENTE"))</f>
        <v>MODULO NO INICIADO</v>
      </c>
      <c r="BF378" s="3">
        <f>+IF(AVANCE[[#This Row],[VENTANAS]]=8.10810810810811%,100%,AVANCE[[#This Row],[VENTANAS]])</f>
        <v>0</v>
      </c>
      <c r="BG378" s="3">
        <f>+IF(AVANCE[[#This Row],[PISO]]=N$2,100%,AVANCE[[#This Row],[PISO]])</f>
        <v>0</v>
      </c>
      <c r="BH378" s="3">
        <f>+IF(AVANCE[[#This Row],[TABIQUES]]=O$2,100%,AVANCE[[#This Row],[TABIQUES]])</f>
        <v>0</v>
      </c>
      <c r="BI378" s="3">
        <f>+IF(AVANCE[[#This Row],[MUROS]]=P$2,100%,AVANCE[[#This Row],[MUROS]])</f>
        <v>0</v>
      </c>
      <c r="BJ378" s="3">
        <f>+IF(AVANCE[[#This Row],[CIELO]]=Q$2,100%,AVANCE[[#This Row],[CIELO]])</f>
        <v>0</v>
      </c>
      <c r="BK378" s="3">
        <f>+IF(AVANCE[[#This Row],[BALCÓN]]=R$2,100%,AVANCE[[#This Row],[BALCÓN]])</f>
        <v>0</v>
      </c>
      <c r="BL378" s="3">
        <f>+IF(AVANCE[[#This Row],[RED ALCANTARILLADO]]=U$2,100%,AVANCE[[#This Row],[RED ALCANTARILLADO]])</f>
        <v>0</v>
      </c>
      <c r="BM378" s="3">
        <f>+IF(AVANCE[[#This Row],[RED DE AGUA]]=V$2,100%,AVANCE[[#This Row],[RED DE AGUA]])</f>
        <v>0</v>
      </c>
      <c r="BN378" s="3">
        <f>+IF(AVANCE[[#This Row],[VENTILACIONES]]=W$2,100%,AVANCE[[#This Row],[VENTILACIONES]])</f>
        <v>0</v>
      </c>
      <c r="BO378" s="3">
        <f>+IF(AVANCE[[#This Row],[TINA]]=X$2,100%,AVANCE[[#This Row],[TINA]])</f>
        <v>0</v>
      </c>
      <c r="BP378" s="3">
        <f>+IF(AVANCE[[#This Row],[WC]]=Y$2,100%,AVANCE[[#This Row],[WC]])</f>
        <v>0</v>
      </c>
      <c r="BQ378" s="3">
        <f>+IF(AVANCE[[#This Row],[LAVAMANOS / LAVAPLATOS / LAVADERO]]=Z$2,100%,AVANCE[[#This Row],[LAVAMANOS / LAVAPLATOS / LAVADERO]])</f>
        <v>0</v>
      </c>
      <c r="BR378" s="3">
        <f>+IF(AVANCE[[#This Row],[CANALIZACIÓN]]=AC$2,100%,AVANCE[[#This Row],[CANALIZACIÓN]])</f>
        <v>0</v>
      </c>
      <c r="BS378" s="3">
        <f>+IF(AVANCE[[#This Row],[CABLEADO]]=AD$2,100%,AVANCE[[#This Row],[CABLEADO]])</f>
        <v>0</v>
      </c>
      <c r="BT378" s="3">
        <f>+IF(AVANCE[[#This Row],[ARTEFACTOS]]=AE$2,100%,AVANCE[[#This Row],[ARTEFACTOS]])</f>
        <v>0</v>
      </c>
      <c r="BU378" s="3">
        <f>+IF(AVANCE[[#This Row],[TABLERO]]=AF$2,100%,AVANCE[[#This Row],[TABLERO]])</f>
        <v>0</v>
      </c>
      <c r="BV378" s="3">
        <f>+IF(AVANCE[[#This Row],[CAJA PAU]]=AG$2,100%,AVANCE[[#This Row],[CAJA PAU]])</f>
        <v>0</v>
      </c>
      <c r="BW378" s="3">
        <f>+IF(AVANCE[[#This Row],[INSTALACION VINILICO]]=AJ$2,100%,AVANCE[[#This Row],[INSTALACION VINILICO]])</f>
        <v>0</v>
      </c>
      <c r="BX378" s="3">
        <f>+IF(AVANCE[[#This Row],[OSB CUBIERTA]]=AK$2,100%,AVANCE[[#This Row],[OSB CUBIERTA]])</f>
        <v>0</v>
      </c>
      <c r="BY378" s="3">
        <f>+IF(AVANCE[[#This Row],[BARANDA BALCON]]=AL$2,100%,AVANCE[[#This Row],[BARANDA BALCON]])</f>
        <v>0</v>
      </c>
      <c r="BZ378" s="3">
        <f>+IF(AVANCE[[#This Row],[OSB EXTERIOR]]=AM$2,100%,AVANCE[[#This Row],[OSB EXTERIOR]])</f>
        <v>0</v>
      </c>
      <c r="CA378" s="3">
        <f>+IF(AVANCE[[#This Row],[SMART PANEL]]=AN$2,100%,AVANCE[[#This Row],[SMART PANEL]])</f>
        <v>0</v>
      </c>
      <c r="CB378" s="3">
        <f>+IF(AVANCE[[#This Row],[PINTURA EXTERIOR]]=AO$2,100%,AVANCE[[#This Row],[PINTURA EXTERIOR]])</f>
        <v>0</v>
      </c>
      <c r="CC378" s="3">
        <f>+IF(AVANCE[[#This Row],[ZOCALOS LOGIA]]=AP$2,100%,AVANCE[[#This Row],[ZOCALOS LOGIA]])</f>
        <v>0</v>
      </c>
      <c r="CD378" s="3">
        <f>+IF(AVANCE[[#This Row],[MOLDURAS]]=AQ$2,100%,AVANCE[[#This Row],[MOLDURAS]])</f>
        <v>0</v>
      </c>
      <c r="CE378" s="3">
        <f>+IF(AVANCE[[#This Row],[PILASTREO]]=AR$2,100%,AVANCE[[#This Row],[PILASTREO]])</f>
        <v>0</v>
      </c>
      <c r="CF378" s="3">
        <f>+IF(AVANCE[[#This Row],[CELOSIAS]]=AS$2,100%,AVANCE[[#This Row],[CELOSIAS]])</f>
        <v>0</v>
      </c>
      <c r="CG378" s="3">
        <f>+IF(AVANCE[[#This Row],[VENTANAS]]=AT$2,100%,AVANCE[[#This Row],[VENTANAS]])</f>
        <v>0</v>
      </c>
      <c r="CH378" s="3">
        <f>+IF(AVANCE[[#This Row],[PUERTAS ACCESO - LOGIA - BANO]]=AU$2,100%,AVANCE[[#This Row],[PUERTAS ACCESO - LOGIA - BANO]])</f>
        <v>0</v>
      </c>
      <c r="CI378" s="3">
        <f>+IF(AVANCE[[#This Row],[CERRADURAS]]=AV$2,100%,AVANCE[[#This Row],[CERRADURAS]])</f>
        <v>0</v>
      </c>
      <c r="CJ378" s="3">
        <f>+IF(AVANCE[[#This Row],[REVESTIMIENTO INTERIOR ZONA SECA]]=AW$2,100%,AVANCE[[#This Row],[REVESTIMIENTO INTERIOR ZONA SECA]])</f>
        <v>0</v>
      </c>
      <c r="CK378" s="3">
        <f>+IF(AVANCE[[#This Row],[REVESTIMIENTO INTERIOR ZONAS HUMEDAS]]=AX$2,100%,AVANCE[[#This Row],[REVESTIMIENTO INTERIOR ZONAS HUMEDAS]])</f>
        <v>0</v>
      </c>
      <c r="CL378" s="3">
        <f>+IF(AVANCE[[#This Row],[MEMBRANA CIELO]]=AY$2,100%,AVANCE[[#This Row],[MEMBRANA CIELO]])</f>
        <v>0</v>
      </c>
      <c r="CM378" s="3">
        <f>+IF(AVANCE[[#This Row],[LIMPIEZA FINAL]]=AZ$2,100%,AVANCE[[#This Row],[LIMPIEZA FINAL]])</f>
        <v>0</v>
      </c>
      <c r="CN378" s="3">
        <f>+IF(AVANCE[[#This Row],[PUERTAS DORMITORIO]]=BA$2,100%,AVANCE[[#This Row],[PUERTAS DORMITORIO]])</f>
        <v>0</v>
      </c>
      <c r="CO378" s="3">
        <f>+IF(AVANCE[[#This Row],[REVESTIMIENTO INTERIOR BANO]]=BB$2,100%,AVANCE[[#This Row],[REVESTIMIENTO INTERIOR BANO]])</f>
        <v>0</v>
      </c>
      <c r="CP378" s="3">
        <f>+IF(AVANCE[[#This Row],[MUEBLE LAVAPLATOS]]=BC$2,100%,AVANCE[[#This Row],[MUEBLE LAVAPLATOS]])</f>
        <v>0</v>
      </c>
      <c r="CQ378" s="3">
        <f>+IF(AVANCE[[#This Row],[IMPERMEABILIZACION BANO - COCINA LOGIA]]=BD$2,100%,AVANCE[[#This Row],[IMPERMEABILIZACION BANO - COCINA LOGIA]])</f>
        <v>0</v>
      </c>
      <c r="CR378" s="40">
        <f ca="1">+IF(AVANCE[[#This Row],[ESTADO MODULO]]="PENDIENTE",(TODAY()-AVANCE[[#This Row],[FECHA TERMINO  PLANIFICADO]]),0)</f>
        <v>0</v>
      </c>
      <c r="CS378" s="42" t="str" cm="1">
        <f t="array" ref="CS378">_xlfn.TEXTJOIN(" | ",TRUE,IF(SUMPRODUCT((BF378:CQ378&lt;1)*(PARTIDAS!$I$2:$AT$2="OBRA GRUESA"))&gt;0,"OBRA GRUESA: "&amp;_xlfn.TEXTJOIN(", ",TRUE,IF((BF378:CQ378&lt;1)*(PARTIDAS!$I$2:$AT$2="OBRA GRUESA"),PARTIDAS!$I$1:$AT$1,"")),""),IF(SUMPRODUCT((BF378:CQ378&lt;1)*(PARTIDAS!$I$2:$AT$2="SANITARIOS"))&gt;0,"SANITARIOS: "&amp;_xlfn.TEXTJOIN(", ",TRUE,IF((BF378:CQ378&lt;1)*(PARTIDAS!$I$2:$AT$2="SANITARIOS"),PARTIDAS!$I$1:$AT$1,"")),""),IF(SUMPRODUCT((BF378:CQ378&lt;1)*(PARTIDAS!$I$2:$AT$2="ELÉCTRICO"))&gt;0,"ELÉCTRICO: "&amp;_xlfn.TEXTJOIN(", ",TRUE,IF((BF378:CQ378&lt;1)*(PARTIDAS!$I$2:$AT$2="ELÉCTRICO"),PARTIDAS!$I$1:$AT$1,"")),""),IF(SUMPRODUCT((BF378:CQ378&lt;1)*(PARTIDAS!$I$2:$AT$2="TERMINACIONES"))&gt;0,"TERMINACIONES: "&amp;_xlfn.TEXTJOIN(", ",TRUE,IF((BF378:CQ378&lt;1)*(PARTIDAS!$I$2:$AT$2="TERMINACIONES"),PARTIDAS!$I$1:$AT$1,"")),""))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8" s="45" t="str" cm="1">
        <f t="array" ref="CT378">_xlfn.TEXTJOIN(", ",TRUE,IF(SUMPRODUCT((BF378:CQ378&lt;1)*(PARTIDAS!$I$2:$AT$2="OBRA GRUESA"))&gt;0,"OBRA GRUESA",""),IF(SUMPRODUCT((BF378:CQ378&lt;1)*(PARTIDAS!$I$2:$AT$2="SANITARIOS"))&gt;0,"SANITARIOS",""),IF(SUMPRODUCT((BF378:CQ378&lt;1)*(PARTIDAS!$I$2:$AT$2="ELÉCTRICO"))&gt;0,"ELÉCTRICO",""),IF(SUMPRODUCT((BF378:CQ378&lt;1)*(PARTIDAS!$I$2:$AT$2="TERMINACIONES"))&gt;0,"TERMINACIONES",""))</f>
        <v>OBRA GRUESA, SANITARIOS, ELÉCTRICO, TERMINACIONES</v>
      </c>
      <c r="CU378" s="46" cm="1">
        <f t="array" ref="CU378">SUMPRODUCT(--(BF378:CQ378&lt;1))</f>
        <v>38</v>
      </c>
    </row>
    <row r="379" spans="1:99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46181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 s="3" t="str">
        <f>+IF(AVANCE[[#This Row],[% AVANCE]]=100%,"MODULO TERMINADO",IF(AVANCE[[#This Row],[FECHA INICIO REAL]]="","MODULO NO INICIADO","PENDIENTE"))</f>
        <v>MODULO NO INICIADO</v>
      </c>
      <c r="BF379" s="3">
        <f>+IF(AVANCE[[#This Row],[VENTANAS]]=8.10810810810811%,100%,AVANCE[[#This Row],[VENTANAS]])</f>
        <v>0</v>
      </c>
      <c r="BG379" s="3">
        <f>+IF(AVANCE[[#This Row],[PISO]]=N$2,100%,AVANCE[[#This Row],[PISO]])</f>
        <v>0</v>
      </c>
      <c r="BH379" s="3">
        <f>+IF(AVANCE[[#This Row],[TABIQUES]]=O$2,100%,AVANCE[[#This Row],[TABIQUES]])</f>
        <v>0</v>
      </c>
      <c r="BI379" s="3">
        <f>+IF(AVANCE[[#This Row],[MUROS]]=P$2,100%,AVANCE[[#This Row],[MUROS]])</f>
        <v>0</v>
      </c>
      <c r="BJ379" s="3">
        <f>+IF(AVANCE[[#This Row],[CIELO]]=Q$2,100%,AVANCE[[#This Row],[CIELO]])</f>
        <v>0</v>
      </c>
      <c r="BK379" s="3">
        <f>+IF(AVANCE[[#This Row],[BALCÓN]]=R$2,100%,AVANCE[[#This Row],[BALCÓN]])</f>
        <v>0</v>
      </c>
      <c r="BL379" s="3">
        <f>+IF(AVANCE[[#This Row],[RED ALCANTARILLADO]]=U$2,100%,AVANCE[[#This Row],[RED ALCANTARILLADO]])</f>
        <v>0</v>
      </c>
      <c r="BM379" s="3">
        <f>+IF(AVANCE[[#This Row],[RED DE AGUA]]=V$2,100%,AVANCE[[#This Row],[RED DE AGUA]])</f>
        <v>0</v>
      </c>
      <c r="BN379" s="3">
        <f>+IF(AVANCE[[#This Row],[VENTILACIONES]]=W$2,100%,AVANCE[[#This Row],[VENTILACIONES]])</f>
        <v>0</v>
      </c>
      <c r="BO379" s="3">
        <f>+IF(AVANCE[[#This Row],[TINA]]=X$2,100%,AVANCE[[#This Row],[TINA]])</f>
        <v>0</v>
      </c>
      <c r="BP379" s="3">
        <f>+IF(AVANCE[[#This Row],[WC]]=Y$2,100%,AVANCE[[#This Row],[WC]])</f>
        <v>0</v>
      </c>
      <c r="BQ379" s="3">
        <f>+IF(AVANCE[[#This Row],[LAVAMANOS / LAVAPLATOS / LAVADERO]]=Z$2,100%,AVANCE[[#This Row],[LAVAMANOS / LAVAPLATOS / LAVADERO]])</f>
        <v>0</v>
      </c>
      <c r="BR379" s="3">
        <f>+IF(AVANCE[[#This Row],[CANALIZACIÓN]]=AC$2,100%,AVANCE[[#This Row],[CANALIZACIÓN]])</f>
        <v>0</v>
      </c>
      <c r="BS379" s="3">
        <f>+IF(AVANCE[[#This Row],[CABLEADO]]=AD$2,100%,AVANCE[[#This Row],[CABLEADO]])</f>
        <v>0</v>
      </c>
      <c r="BT379" s="3">
        <f>+IF(AVANCE[[#This Row],[ARTEFACTOS]]=AE$2,100%,AVANCE[[#This Row],[ARTEFACTOS]])</f>
        <v>0</v>
      </c>
      <c r="BU379" s="3">
        <f>+IF(AVANCE[[#This Row],[TABLERO]]=AF$2,100%,AVANCE[[#This Row],[TABLERO]])</f>
        <v>0</v>
      </c>
      <c r="BV379" s="3">
        <f>+IF(AVANCE[[#This Row],[CAJA PAU]]=AG$2,100%,AVANCE[[#This Row],[CAJA PAU]])</f>
        <v>0</v>
      </c>
      <c r="BW379" s="3">
        <f>+IF(AVANCE[[#This Row],[INSTALACION VINILICO]]=AJ$2,100%,AVANCE[[#This Row],[INSTALACION VINILICO]])</f>
        <v>0</v>
      </c>
      <c r="BX379" s="3">
        <f>+IF(AVANCE[[#This Row],[OSB CUBIERTA]]=AK$2,100%,AVANCE[[#This Row],[OSB CUBIERTA]])</f>
        <v>0</v>
      </c>
      <c r="BY379" s="3">
        <f>+IF(AVANCE[[#This Row],[BARANDA BALCON]]=AL$2,100%,AVANCE[[#This Row],[BARANDA BALCON]])</f>
        <v>0</v>
      </c>
      <c r="BZ379" s="3">
        <f>+IF(AVANCE[[#This Row],[OSB EXTERIOR]]=AM$2,100%,AVANCE[[#This Row],[OSB EXTERIOR]])</f>
        <v>0</v>
      </c>
      <c r="CA379" s="3">
        <f>+IF(AVANCE[[#This Row],[SMART PANEL]]=AN$2,100%,AVANCE[[#This Row],[SMART PANEL]])</f>
        <v>0</v>
      </c>
      <c r="CB379" s="3">
        <f>+IF(AVANCE[[#This Row],[PINTURA EXTERIOR]]=AO$2,100%,AVANCE[[#This Row],[PINTURA EXTERIOR]])</f>
        <v>0</v>
      </c>
      <c r="CC379" s="3">
        <f>+IF(AVANCE[[#This Row],[ZOCALOS LOGIA]]=AP$2,100%,AVANCE[[#This Row],[ZOCALOS LOGIA]])</f>
        <v>0</v>
      </c>
      <c r="CD379" s="3">
        <f>+IF(AVANCE[[#This Row],[MOLDURAS]]=AQ$2,100%,AVANCE[[#This Row],[MOLDURAS]])</f>
        <v>0</v>
      </c>
      <c r="CE379" s="3">
        <f>+IF(AVANCE[[#This Row],[PILASTREO]]=AR$2,100%,AVANCE[[#This Row],[PILASTREO]])</f>
        <v>0</v>
      </c>
      <c r="CF379" s="3">
        <f>+IF(AVANCE[[#This Row],[CELOSIAS]]=AS$2,100%,AVANCE[[#This Row],[CELOSIAS]])</f>
        <v>0</v>
      </c>
      <c r="CG379" s="3">
        <f>+IF(AVANCE[[#This Row],[VENTANAS]]=AT$2,100%,AVANCE[[#This Row],[VENTANAS]])</f>
        <v>0</v>
      </c>
      <c r="CH379" s="3">
        <f>+IF(AVANCE[[#This Row],[PUERTAS ACCESO - LOGIA - BANO]]=AU$2,100%,AVANCE[[#This Row],[PUERTAS ACCESO - LOGIA - BANO]])</f>
        <v>0</v>
      </c>
      <c r="CI379" s="3">
        <f>+IF(AVANCE[[#This Row],[CERRADURAS]]=AV$2,100%,AVANCE[[#This Row],[CERRADURAS]])</f>
        <v>0</v>
      </c>
      <c r="CJ379" s="3">
        <f>+IF(AVANCE[[#This Row],[REVESTIMIENTO INTERIOR ZONA SECA]]=AW$2,100%,AVANCE[[#This Row],[REVESTIMIENTO INTERIOR ZONA SECA]])</f>
        <v>0</v>
      </c>
      <c r="CK379" s="3">
        <f>+IF(AVANCE[[#This Row],[REVESTIMIENTO INTERIOR ZONAS HUMEDAS]]=AX$2,100%,AVANCE[[#This Row],[REVESTIMIENTO INTERIOR ZONAS HUMEDAS]])</f>
        <v>0</v>
      </c>
      <c r="CL379" s="3">
        <f>+IF(AVANCE[[#This Row],[MEMBRANA CIELO]]=AY$2,100%,AVANCE[[#This Row],[MEMBRANA CIELO]])</f>
        <v>0</v>
      </c>
      <c r="CM379" s="3">
        <f>+IF(AVANCE[[#This Row],[LIMPIEZA FINAL]]=AZ$2,100%,AVANCE[[#This Row],[LIMPIEZA FINAL]])</f>
        <v>0</v>
      </c>
      <c r="CN379" s="3">
        <f>+IF(AVANCE[[#This Row],[PUERTAS DORMITORIO]]=BA$2,100%,AVANCE[[#This Row],[PUERTAS DORMITORIO]])</f>
        <v>0</v>
      </c>
      <c r="CO379" s="3">
        <f>+IF(AVANCE[[#This Row],[REVESTIMIENTO INTERIOR BANO]]=BB$2,100%,AVANCE[[#This Row],[REVESTIMIENTO INTERIOR BANO]])</f>
        <v>0</v>
      </c>
      <c r="CP379" s="3">
        <f>+IF(AVANCE[[#This Row],[MUEBLE LAVAPLATOS]]=BC$2,100%,AVANCE[[#This Row],[MUEBLE LAVAPLATOS]])</f>
        <v>0</v>
      </c>
      <c r="CQ379" s="3">
        <f>+IF(AVANCE[[#This Row],[IMPERMEABILIZACION BANO - COCINA LOGIA]]=BD$2,100%,AVANCE[[#This Row],[IMPERMEABILIZACION BANO - COCINA LOGIA]])</f>
        <v>0</v>
      </c>
      <c r="CR379" s="40">
        <f ca="1">+IF(AVANCE[[#This Row],[ESTADO MODULO]]="PENDIENTE",(TODAY()-AVANCE[[#This Row],[FECHA TERMINO  PLANIFICADO]]),0)</f>
        <v>0</v>
      </c>
      <c r="CS379" s="42" t="str" cm="1">
        <f t="array" ref="CS379">_xlfn.TEXTJOIN(" | ",TRUE,IF(SUMPRODUCT((BF379:CQ379&lt;1)*(PARTIDAS!$I$2:$AT$2="OBRA GRUESA"))&gt;0,"OBRA GRUESA: "&amp;_xlfn.TEXTJOIN(", ",TRUE,IF((BF379:CQ379&lt;1)*(PARTIDAS!$I$2:$AT$2="OBRA GRUESA"),PARTIDAS!$I$1:$AT$1,"")),""),IF(SUMPRODUCT((BF379:CQ379&lt;1)*(PARTIDAS!$I$2:$AT$2="SANITARIOS"))&gt;0,"SANITARIOS: "&amp;_xlfn.TEXTJOIN(", ",TRUE,IF((BF379:CQ379&lt;1)*(PARTIDAS!$I$2:$AT$2="SANITARIOS"),PARTIDAS!$I$1:$AT$1,"")),""),IF(SUMPRODUCT((BF379:CQ379&lt;1)*(PARTIDAS!$I$2:$AT$2="ELÉCTRICO"))&gt;0,"ELÉCTRICO: "&amp;_xlfn.TEXTJOIN(", ",TRUE,IF((BF379:CQ379&lt;1)*(PARTIDAS!$I$2:$AT$2="ELÉCTRICO"),PARTIDAS!$I$1:$AT$1,"")),""),IF(SUMPRODUCT((BF379:CQ379&lt;1)*(PARTIDAS!$I$2:$AT$2="TERMINACIONES"))&gt;0,"TERMINACIONES: "&amp;_xlfn.TEXTJOIN(", ",TRUE,IF((BF379:CQ379&lt;1)*(PARTIDAS!$I$2:$AT$2="TERMINACIONES"),PARTIDAS!$I$1:$AT$1,"")),""))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79" s="45" t="str" cm="1">
        <f t="array" ref="CT379">_xlfn.TEXTJOIN(", ",TRUE,IF(SUMPRODUCT((BF379:CQ379&lt;1)*(PARTIDAS!$I$2:$AT$2="OBRA GRUESA"))&gt;0,"OBRA GRUESA",""),IF(SUMPRODUCT((BF379:CQ379&lt;1)*(PARTIDAS!$I$2:$AT$2="SANITARIOS"))&gt;0,"SANITARIOS",""),IF(SUMPRODUCT((BF379:CQ379&lt;1)*(PARTIDAS!$I$2:$AT$2="ELÉCTRICO"))&gt;0,"ELÉCTRICO",""),IF(SUMPRODUCT((BF379:CQ379&lt;1)*(PARTIDAS!$I$2:$AT$2="TERMINACIONES"))&gt;0,"TERMINACIONES",""))</f>
        <v>OBRA GRUESA, SANITARIOS, ELÉCTRICO, TERMINACIONES</v>
      </c>
      <c r="CU379" s="46" cm="1">
        <f t="array" ref="CU379">SUMPRODUCT(--(BF379:CQ379&lt;1))</f>
        <v>38</v>
      </c>
    </row>
    <row r="380" spans="1:99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46181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 s="3" t="str">
        <f>+IF(AVANCE[[#This Row],[% AVANCE]]=100%,"MODULO TERMINADO",IF(AVANCE[[#This Row],[FECHA INICIO REAL]]="","MODULO NO INICIADO","PENDIENTE"))</f>
        <v>MODULO NO INICIADO</v>
      </c>
      <c r="BF380" s="3">
        <f>+IF(AVANCE[[#This Row],[VENTANAS]]=8.10810810810811%,100%,AVANCE[[#This Row],[VENTANAS]])</f>
        <v>0</v>
      </c>
      <c r="BG380" s="3">
        <f>+IF(AVANCE[[#This Row],[PISO]]=N$2,100%,AVANCE[[#This Row],[PISO]])</f>
        <v>0</v>
      </c>
      <c r="BH380" s="3">
        <f>+IF(AVANCE[[#This Row],[TABIQUES]]=O$2,100%,AVANCE[[#This Row],[TABIQUES]])</f>
        <v>0</v>
      </c>
      <c r="BI380" s="3">
        <f>+IF(AVANCE[[#This Row],[MUROS]]=P$2,100%,AVANCE[[#This Row],[MUROS]])</f>
        <v>0</v>
      </c>
      <c r="BJ380" s="3">
        <f>+IF(AVANCE[[#This Row],[CIELO]]=Q$2,100%,AVANCE[[#This Row],[CIELO]])</f>
        <v>0</v>
      </c>
      <c r="BK380" s="3">
        <f>+IF(AVANCE[[#This Row],[BALCÓN]]=R$2,100%,AVANCE[[#This Row],[BALCÓN]])</f>
        <v>0</v>
      </c>
      <c r="BL380" s="3">
        <f>+IF(AVANCE[[#This Row],[RED ALCANTARILLADO]]=U$2,100%,AVANCE[[#This Row],[RED ALCANTARILLADO]])</f>
        <v>0</v>
      </c>
      <c r="BM380" s="3">
        <f>+IF(AVANCE[[#This Row],[RED DE AGUA]]=V$2,100%,AVANCE[[#This Row],[RED DE AGUA]])</f>
        <v>0</v>
      </c>
      <c r="BN380" s="3">
        <f>+IF(AVANCE[[#This Row],[VENTILACIONES]]=W$2,100%,AVANCE[[#This Row],[VENTILACIONES]])</f>
        <v>0</v>
      </c>
      <c r="BO380" s="3">
        <f>+IF(AVANCE[[#This Row],[TINA]]=X$2,100%,AVANCE[[#This Row],[TINA]])</f>
        <v>0</v>
      </c>
      <c r="BP380" s="3">
        <f>+IF(AVANCE[[#This Row],[WC]]=Y$2,100%,AVANCE[[#This Row],[WC]])</f>
        <v>0</v>
      </c>
      <c r="BQ380" s="3">
        <f>+IF(AVANCE[[#This Row],[LAVAMANOS / LAVAPLATOS / LAVADERO]]=Z$2,100%,AVANCE[[#This Row],[LAVAMANOS / LAVAPLATOS / LAVADERO]])</f>
        <v>0</v>
      </c>
      <c r="BR380" s="3">
        <f>+IF(AVANCE[[#This Row],[CANALIZACIÓN]]=AC$2,100%,AVANCE[[#This Row],[CANALIZACIÓN]])</f>
        <v>0</v>
      </c>
      <c r="BS380" s="3">
        <f>+IF(AVANCE[[#This Row],[CABLEADO]]=AD$2,100%,AVANCE[[#This Row],[CABLEADO]])</f>
        <v>0</v>
      </c>
      <c r="BT380" s="3">
        <f>+IF(AVANCE[[#This Row],[ARTEFACTOS]]=AE$2,100%,AVANCE[[#This Row],[ARTEFACTOS]])</f>
        <v>0</v>
      </c>
      <c r="BU380" s="3">
        <f>+IF(AVANCE[[#This Row],[TABLERO]]=AF$2,100%,AVANCE[[#This Row],[TABLERO]])</f>
        <v>0</v>
      </c>
      <c r="BV380" s="3">
        <f>+IF(AVANCE[[#This Row],[CAJA PAU]]=AG$2,100%,AVANCE[[#This Row],[CAJA PAU]])</f>
        <v>0</v>
      </c>
      <c r="BW380" s="3">
        <f>+IF(AVANCE[[#This Row],[INSTALACION VINILICO]]=AJ$2,100%,AVANCE[[#This Row],[INSTALACION VINILICO]])</f>
        <v>0</v>
      </c>
      <c r="BX380" s="3">
        <f>+IF(AVANCE[[#This Row],[OSB CUBIERTA]]=AK$2,100%,AVANCE[[#This Row],[OSB CUBIERTA]])</f>
        <v>0</v>
      </c>
      <c r="BY380" s="3">
        <f>+IF(AVANCE[[#This Row],[BARANDA BALCON]]=AL$2,100%,AVANCE[[#This Row],[BARANDA BALCON]])</f>
        <v>0</v>
      </c>
      <c r="BZ380" s="3">
        <f>+IF(AVANCE[[#This Row],[OSB EXTERIOR]]=AM$2,100%,AVANCE[[#This Row],[OSB EXTERIOR]])</f>
        <v>0</v>
      </c>
      <c r="CA380" s="3">
        <f>+IF(AVANCE[[#This Row],[SMART PANEL]]=AN$2,100%,AVANCE[[#This Row],[SMART PANEL]])</f>
        <v>0</v>
      </c>
      <c r="CB380" s="3">
        <f>+IF(AVANCE[[#This Row],[PINTURA EXTERIOR]]=AO$2,100%,AVANCE[[#This Row],[PINTURA EXTERIOR]])</f>
        <v>0</v>
      </c>
      <c r="CC380" s="3">
        <f>+IF(AVANCE[[#This Row],[ZOCALOS LOGIA]]=AP$2,100%,AVANCE[[#This Row],[ZOCALOS LOGIA]])</f>
        <v>0</v>
      </c>
      <c r="CD380" s="3">
        <f>+IF(AVANCE[[#This Row],[MOLDURAS]]=AQ$2,100%,AVANCE[[#This Row],[MOLDURAS]])</f>
        <v>0</v>
      </c>
      <c r="CE380" s="3">
        <f>+IF(AVANCE[[#This Row],[PILASTREO]]=AR$2,100%,AVANCE[[#This Row],[PILASTREO]])</f>
        <v>0</v>
      </c>
      <c r="CF380" s="3">
        <f>+IF(AVANCE[[#This Row],[CELOSIAS]]=AS$2,100%,AVANCE[[#This Row],[CELOSIAS]])</f>
        <v>0</v>
      </c>
      <c r="CG380" s="3">
        <f>+IF(AVANCE[[#This Row],[VENTANAS]]=AT$2,100%,AVANCE[[#This Row],[VENTANAS]])</f>
        <v>0</v>
      </c>
      <c r="CH380" s="3">
        <f>+IF(AVANCE[[#This Row],[PUERTAS ACCESO - LOGIA - BANO]]=AU$2,100%,AVANCE[[#This Row],[PUERTAS ACCESO - LOGIA - BANO]])</f>
        <v>0</v>
      </c>
      <c r="CI380" s="3">
        <f>+IF(AVANCE[[#This Row],[CERRADURAS]]=AV$2,100%,AVANCE[[#This Row],[CERRADURAS]])</f>
        <v>0</v>
      </c>
      <c r="CJ380" s="3">
        <f>+IF(AVANCE[[#This Row],[REVESTIMIENTO INTERIOR ZONA SECA]]=AW$2,100%,AVANCE[[#This Row],[REVESTIMIENTO INTERIOR ZONA SECA]])</f>
        <v>0</v>
      </c>
      <c r="CK380" s="3">
        <f>+IF(AVANCE[[#This Row],[REVESTIMIENTO INTERIOR ZONAS HUMEDAS]]=AX$2,100%,AVANCE[[#This Row],[REVESTIMIENTO INTERIOR ZONAS HUMEDAS]])</f>
        <v>0</v>
      </c>
      <c r="CL380" s="3">
        <f>+IF(AVANCE[[#This Row],[MEMBRANA CIELO]]=AY$2,100%,AVANCE[[#This Row],[MEMBRANA CIELO]])</f>
        <v>0</v>
      </c>
      <c r="CM380" s="3">
        <f>+IF(AVANCE[[#This Row],[LIMPIEZA FINAL]]=AZ$2,100%,AVANCE[[#This Row],[LIMPIEZA FINAL]])</f>
        <v>0</v>
      </c>
      <c r="CN380" s="3">
        <f>+IF(AVANCE[[#This Row],[PUERTAS DORMITORIO]]=BA$2,100%,AVANCE[[#This Row],[PUERTAS DORMITORIO]])</f>
        <v>0</v>
      </c>
      <c r="CO380" s="3">
        <f>+IF(AVANCE[[#This Row],[REVESTIMIENTO INTERIOR BANO]]=BB$2,100%,AVANCE[[#This Row],[REVESTIMIENTO INTERIOR BANO]])</f>
        <v>0</v>
      </c>
      <c r="CP380" s="3">
        <f>+IF(AVANCE[[#This Row],[MUEBLE LAVAPLATOS]]=BC$2,100%,AVANCE[[#This Row],[MUEBLE LAVAPLATOS]])</f>
        <v>0</v>
      </c>
      <c r="CQ380" s="3">
        <f>+IF(AVANCE[[#This Row],[IMPERMEABILIZACION BANO - COCINA LOGIA]]=BD$2,100%,AVANCE[[#This Row],[IMPERMEABILIZACION BANO - COCINA LOGIA]])</f>
        <v>0</v>
      </c>
      <c r="CR380" s="40">
        <f ca="1">+IF(AVANCE[[#This Row],[ESTADO MODULO]]="PENDIENTE",(TODAY()-AVANCE[[#This Row],[FECHA TERMINO  PLANIFICADO]]),0)</f>
        <v>0</v>
      </c>
      <c r="CS380" s="42" t="str" cm="1">
        <f t="array" ref="CS380">_xlfn.TEXTJOIN(" | ",TRUE,IF(SUMPRODUCT((BF380:CQ380&lt;1)*(PARTIDAS!$I$2:$AT$2="OBRA GRUESA"))&gt;0,"OBRA GRUESA: "&amp;_xlfn.TEXTJOIN(", ",TRUE,IF((BF380:CQ380&lt;1)*(PARTIDAS!$I$2:$AT$2="OBRA GRUESA"),PARTIDAS!$I$1:$AT$1,"")),""),IF(SUMPRODUCT((BF380:CQ380&lt;1)*(PARTIDAS!$I$2:$AT$2="SANITARIOS"))&gt;0,"SANITARIOS: "&amp;_xlfn.TEXTJOIN(", ",TRUE,IF((BF380:CQ380&lt;1)*(PARTIDAS!$I$2:$AT$2="SANITARIOS"),PARTIDAS!$I$1:$AT$1,"")),""),IF(SUMPRODUCT((BF380:CQ380&lt;1)*(PARTIDAS!$I$2:$AT$2="ELÉCTRICO"))&gt;0,"ELÉCTRICO: "&amp;_xlfn.TEXTJOIN(", ",TRUE,IF((BF380:CQ380&lt;1)*(PARTIDAS!$I$2:$AT$2="ELÉCTRICO"),PARTIDAS!$I$1:$AT$1,"")),""),IF(SUMPRODUCT((BF380:CQ380&lt;1)*(PARTIDAS!$I$2:$AT$2="TERMINACIONES"))&gt;0,"TERMINACIONES: "&amp;_xlfn.TEXTJOIN(", ",TRUE,IF((BF380:CQ380&lt;1)*(PARTIDAS!$I$2:$AT$2="TERMINACIONES"),PARTIDAS!$I$1:$AT$1,"")),""))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0" s="45" t="str" cm="1">
        <f t="array" ref="CT380">_xlfn.TEXTJOIN(", ",TRUE,IF(SUMPRODUCT((BF380:CQ380&lt;1)*(PARTIDAS!$I$2:$AT$2="OBRA GRUESA"))&gt;0,"OBRA GRUESA",""),IF(SUMPRODUCT((BF380:CQ380&lt;1)*(PARTIDAS!$I$2:$AT$2="SANITARIOS"))&gt;0,"SANITARIOS",""),IF(SUMPRODUCT((BF380:CQ380&lt;1)*(PARTIDAS!$I$2:$AT$2="ELÉCTRICO"))&gt;0,"ELÉCTRICO",""),IF(SUMPRODUCT((BF380:CQ380&lt;1)*(PARTIDAS!$I$2:$AT$2="TERMINACIONES"))&gt;0,"TERMINACIONES",""))</f>
        <v>OBRA GRUESA, SANITARIOS, ELÉCTRICO, TERMINACIONES</v>
      </c>
      <c r="CU380" s="46" cm="1">
        <f t="array" ref="CU380">SUMPRODUCT(--(BF380:CQ380&lt;1))</f>
        <v>38</v>
      </c>
    </row>
    <row r="381" spans="1:99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46181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 s="3" t="str">
        <f>+IF(AVANCE[[#This Row],[% AVANCE]]=100%,"MODULO TERMINADO",IF(AVANCE[[#This Row],[FECHA INICIO REAL]]="","MODULO NO INICIADO","PENDIENTE"))</f>
        <v>MODULO NO INICIADO</v>
      </c>
      <c r="BF381" s="3">
        <f>+IF(AVANCE[[#This Row],[VENTANAS]]=8.10810810810811%,100%,AVANCE[[#This Row],[VENTANAS]])</f>
        <v>0</v>
      </c>
      <c r="BG381" s="3">
        <f>+IF(AVANCE[[#This Row],[PISO]]=N$2,100%,AVANCE[[#This Row],[PISO]])</f>
        <v>0</v>
      </c>
      <c r="BH381" s="3">
        <f>+IF(AVANCE[[#This Row],[TABIQUES]]=O$2,100%,AVANCE[[#This Row],[TABIQUES]])</f>
        <v>0</v>
      </c>
      <c r="BI381" s="3">
        <f>+IF(AVANCE[[#This Row],[MUROS]]=P$2,100%,AVANCE[[#This Row],[MUROS]])</f>
        <v>0</v>
      </c>
      <c r="BJ381" s="3">
        <f>+IF(AVANCE[[#This Row],[CIELO]]=Q$2,100%,AVANCE[[#This Row],[CIELO]])</f>
        <v>0</v>
      </c>
      <c r="BK381" s="3">
        <f>+IF(AVANCE[[#This Row],[BALCÓN]]=R$2,100%,AVANCE[[#This Row],[BALCÓN]])</f>
        <v>0</v>
      </c>
      <c r="BL381" s="3">
        <f>+IF(AVANCE[[#This Row],[RED ALCANTARILLADO]]=U$2,100%,AVANCE[[#This Row],[RED ALCANTARILLADO]])</f>
        <v>0</v>
      </c>
      <c r="BM381" s="3">
        <f>+IF(AVANCE[[#This Row],[RED DE AGUA]]=V$2,100%,AVANCE[[#This Row],[RED DE AGUA]])</f>
        <v>0</v>
      </c>
      <c r="BN381" s="3">
        <f>+IF(AVANCE[[#This Row],[VENTILACIONES]]=W$2,100%,AVANCE[[#This Row],[VENTILACIONES]])</f>
        <v>0</v>
      </c>
      <c r="BO381" s="3">
        <f>+IF(AVANCE[[#This Row],[TINA]]=X$2,100%,AVANCE[[#This Row],[TINA]])</f>
        <v>0</v>
      </c>
      <c r="BP381" s="3">
        <f>+IF(AVANCE[[#This Row],[WC]]=Y$2,100%,AVANCE[[#This Row],[WC]])</f>
        <v>0</v>
      </c>
      <c r="BQ381" s="3">
        <f>+IF(AVANCE[[#This Row],[LAVAMANOS / LAVAPLATOS / LAVADERO]]=Z$2,100%,AVANCE[[#This Row],[LAVAMANOS / LAVAPLATOS / LAVADERO]])</f>
        <v>0</v>
      </c>
      <c r="BR381" s="3">
        <f>+IF(AVANCE[[#This Row],[CANALIZACIÓN]]=AC$2,100%,AVANCE[[#This Row],[CANALIZACIÓN]])</f>
        <v>0</v>
      </c>
      <c r="BS381" s="3">
        <f>+IF(AVANCE[[#This Row],[CABLEADO]]=AD$2,100%,AVANCE[[#This Row],[CABLEADO]])</f>
        <v>0</v>
      </c>
      <c r="BT381" s="3">
        <f>+IF(AVANCE[[#This Row],[ARTEFACTOS]]=AE$2,100%,AVANCE[[#This Row],[ARTEFACTOS]])</f>
        <v>0</v>
      </c>
      <c r="BU381" s="3">
        <f>+IF(AVANCE[[#This Row],[TABLERO]]=AF$2,100%,AVANCE[[#This Row],[TABLERO]])</f>
        <v>0</v>
      </c>
      <c r="BV381" s="3">
        <f>+IF(AVANCE[[#This Row],[CAJA PAU]]=AG$2,100%,AVANCE[[#This Row],[CAJA PAU]])</f>
        <v>0</v>
      </c>
      <c r="BW381" s="3">
        <f>+IF(AVANCE[[#This Row],[INSTALACION VINILICO]]=AJ$2,100%,AVANCE[[#This Row],[INSTALACION VINILICO]])</f>
        <v>0</v>
      </c>
      <c r="BX381" s="3">
        <f>+IF(AVANCE[[#This Row],[OSB CUBIERTA]]=AK$2,100%,AVANCE[[#This Row],[OSB CUBIERTA]])</f>
        <v>0</v>
      </c>
      <c r="BY381" s="3">
        <f>+IF(AVANCE[[#This Row],[BARANDA BALCON]]=AL$2,100%,AVANCE[[#This Row],[BARANDA BALCON]])</f>
        <v>0</v>
      </c>
      <c r="BZ381" s="3">
        <f>+IF(AVANCE[[#This Row],[OSB EXTERIOR]]=AM$2,100%,AVANCE[[#This Row],[OSB EXTERIOR]])</f>
        <v>0</v>
      </c>
      <c r="CA381" s="3">
        <f>+IF(AVANCE[[#This Row],[SMART PANEL]]=AN$2,100%,AVANCE[[#This Row],[SMART PANEL]])</f>
        <v>0</v>
      </c>
      <c r="CB381" s="3">
        <f>+IF(AVANCE[[#This Row],[PINTURA EXTERIOR]]=AO$2,100%,AVANCE[[#This Row],[PINTURA EXTERIOR]])</f>
        <v>0</v>
      </c>
      <c r="CC381" s="3">
        <f>+IF(AVANCE[[#This Row],[ZOCALOS LOGIA]]=AP$2,100%,AVANCE[[#This Row],[ZOCALOS LOGIA]])</f>
        <v>0</v>
      </c>
      <c r="CD381" s="3">
        <f>+IF(AVANCE[[#This Row],[MOLDURAS]]=AQ$2,100%,AVANCE[[#This Row],[MOLDURAS]])</f>
        <v>0</v>
      </c>
      <c r="CE381" s="3">
        <f>+IF(AVANCE[[#This Row],[PILASTREO]]=AR$2,100%,AVANCE[[#This Row],[PILASTREO]])</f>
        <v>0</v>
      </c>
      <c r="CF381" s="3">
        <f>+IF(AVANCE[[#This Row],[CELOSIAS]]=AS$2,100%,AVANCE[[#This Row],[CELOSIAS]])</f>
        <v>0</v>
      </c>
      <c r="CG381" s="3">
        <f>+IF(AVANCE[[#This Row],[VENTANAS]]=AT$2,100%,AVANCE[[#This Row],[VENTANAS]])</f>
        <v>0</v>
      </c>
      <c r="CH381" s="3">
        <f>+IF(AVANCE[[#This Row],[PUERTAS ACCESO - LOGIA - BANO]]=AU$2,100%,AVANCE[[#This Row],[PUERTAS ACCESO - LOGIA - BANO]])</f>
        <v>0</v>
      </c>
      <c r="CI381" s="3">
        <f>+IF(AVANCE[[#This Row],[CERRADURAS]]=AV$2,100%,AVANCE[[#This Row],[CERRADURAS]])</f>
        <v>0</v>
      </c>
      <c r="CJ381" s="3">
        <f>+IF(AVANCE[[#This Row],[REVESTIMIENTO INTERIOR ZONA SECA]]=AW$2,100%,AVANCE[[#This Row],[REVESTIMIENTO INTERIOR ZONA SECA]])</f>
        <v>0</v>
      </c>
      <c r="CK381" s="3">
        <f>+IF(AVANCE[[#This Row],[REVESTIMIENTO INTERIOR ZONAS HUMEDAS]]=AX$2,100%,AVANCE[[#This Row],[REVESTIMIENTO INTERIOR ZONAS HUMEDAS]])</f>
        <v>0</v>
      </c>
      <c r="CL381" s="3">
        <f>+IF(AVANCE[[#This Row],[MEMBRANA CIELO]]=AY$2,100%,AVANCE[[#This Row],[MEMBRANA CIELO]])</f>
        <v>0</v>
      </c>
      <c r="CM381" s="3">
        <f>+IF(AVANCE[[#This Row],[LIMPIEZA FINAL]]=AZ$2,100%,AVANCE[[#This Row],[LIMPIEZA FINAL]])</f>
        <v>0</v>
      </c>
      <c r="CN381" s="3">
        <f>+IF(AVANCE[[#This Row],[PUERTAS DORMITORIO]]=BA$2,100%,AVANCE[[#This Row],[PUERTAS DORMITORIO]])</f>
        <v>0</v>
      </c>
      <c r="CO381" s="3">
        <f>+IF(AVANCE[[#This Row],[REVESTIMIENTO INTERIOR BANO]]=BB$2,100%,AVANCE[[#This Row],[REVESTIMIENTO INTERIOR BANO]])</f>
        <v>0</v>
      </c>
      <c r="CP381" s="3">
        <f>+IF(AVANCE[[#This Row],[MUEBLE LAVAPLATOS]]=BC$2,100%,AVANCE[[#This Row],[MUEBLE LAVAPLATOS]])</f>
        <v>0</v>
      </c>
      <c r="CQ381" s="3">
        <f>+IF(AVANCE[[#This Row],[IMPERMEABILIZACION BANO - COCINA LOGIA]]=BD$2,100%,AVANCE[[#This Row],[IMPERMEABILIZACION BANO - COCINA LOGIA]])</f>
        <v>0</v>
      </c>
      <c r="CR381" s="40">
        <f ca="1">+IF(AVANCE[[#This Row],[ESTADO MODULO]]="PENDIENTE",(TODAY()-AVANCE[[#This Row],[FECHA TERMINO  PLANIFICADO]]),0)</f>
        <v>0</v>
      </c>
      <c r="CS381" s="42" t="str" cm="1">
        <f t="array" ref="CS381">_xlfn.TEXTJOIN(" | ",TRUE,IF(SUMPRODUCT((BF381:CQ381&lt;1)*(PARTIDAS!$I$2:$AT$2="OBRA GRUESA"))&gt;0,"OBRA GRUESA: "&amp;_xlfn.TEXTJOIN(", ",TRUE,IF((BF381:CQ381&lt;1)*(PARTIDAS!$I$2:$AT$2="OBRA GRUESA"),PARTIDAS!$I$1:$AT$1,"")),""),IF(SUMPRODUCT((BF381:CQ381&lt;1)*(PARTIDAS!$I$2:$AT$2="SANITARIOS"))&gt;0,"SANITARIOS: "&amp;_xlfn.TEXTJOIN(", ",TRUE,IF((BF381:CQ381&lt;1)*(PARTIDAS!$I$2:$AT$2="SANITARIOS"),PARTIDAS!$I$1:$AT$1,"")),""),IF(SUMPRODUCT((BF381:CQ381&lt;1)*(PARTIDAS!$I$2:$AT$2="ELÉCTRICO"))&gt;0,"ELÉCTRICO: "&amp;_xlfn.TEXTJOIN(", ",TRUE,IF((BF381:CQ381&lt;1)*(PARTIDAS!$I$2:$AT$2="ELÉCTRICO"),PARTIDAS!$I$1:$AT$1,"")),""),IF(SUMPRODUCT((BF381:CQ381&lt;1)*(PARTIDAS!$I$2:$AT$2="TERMINACIONES"))&gt;0,"TERMINACIONES: "&amp;_xlfn.TEXTJOIN(", ",TRUE,IF((BF381:CQ381&lt;1)*(PARTIDAS!$I$2:$AT$2="TERMINACIONES"),PARTIDAS!$I$1:$AT$1,"")),""))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1" s="45" t="str" cm="1">
        <f t="array" ref="CT381">_xlfn.TEXTJOIN(", ",TRUE,IF(SUMPRODUCT((BF381:CQ381&lt;1)*(PARTIDAS!$I$2:$AT$2="OBRA GRUESA"))&gt;0,"OBRA GRUESA",""),IF(SUMPRODUCT((BF381:CQ381&lt;1)*(PARTIDAS!$I$2:$AT$2="SANITARIOS"))&gt;0,"SANITARIOS",""),IF(SUMPRODUCT((BF381:CQ381&lt;1)*(PARTIDAS!$I$2:$AT$2="ELÉCTRICO"))&gt;0,"ELÉCTRICO",""),IF(SUMPRODUCT((BF381:CQ381&lt;1)*(PARTIDAS!$I$2:$AT$2="TERMINACIONES"))&gt;0,"TERMINACIONES",""))</f>
        <v>OBRA GRUESA, SANITARIOS, ELÉCTRICO, TERMINACIONES</v>
      </c>
      <c r="CU381" s="46" cm="1">
        <f t="array" ref="CU381">SUMPRODUCT(--(BF381:CQ381&lt;1))</f>
        <v>38</v>
      </c>
    </row>
    <row r="382" spans="1:99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46181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 s="3" t="str">
        <f>+IF(AVANCE[[#This Row],[% AVANCE]]=100%,"MODULO TERMINADO",IF(AVANCE[[#This Row],[FECHA INICIO REAL]]="","MODULO NO INICIADO","PENDIENTE"))</f>
        <v>MODULO NO INICIADO</v>
      </c>
      <c r="BF382" s="3">
        <f>+IF(AVANCE[[#This Row],[VENTANAS]]=8.10810810810811%,100%,AVANCE[[#This Row],[VENTANAS]])</f>
        <v>0</v>
      </c>
      <c r="BG382" s="3">
        <f>+IF(AVANCE[[#This Row],[PISO]]=N$2,100%,AVANCE[[#This Row],[PISO]])</f>
        <v>0</v>
      </c>
      <c r="BH382" s="3">
        <f>+IF(AVANCE[[#This Row],[TABIQUES]]=O$2,100%,AVANCE[[#This Row],[TABIQUES]])</f>
        <v>0</v>
      </c>
      <c r="BI382" s="3">
        <f>+IF(AVANCE[[#This Row],[MUROS]]=P$2,100%,AVANCE[[#This Row],[MUROS]])</f>
        <v>0</v>
      </c>
      <c r="BJ382" s="3">
        <f>+IF(AVANCE[[#This Row],[CIELO]]=Q$2,100%,AVANCE[[#This Row],[CIELO]])</f>
        <v>0</v>
      </c>
      <c r="BK382" s="3">
        <f>+IF(AVANCE[[#This Row],[BALCÓN]]=R$2,100%,AVANCE[[#This Row],[BALCÓN]])</f>
        <v>0</v>
      </c>
      <c r="BL382" s="3">
        <f>+IF(AVANCE[[#This Row],[RED ALCANTARILLADO]]=U$2,100%,AVANCE[[#This Row],[RED ALCANTARILLADO]])</f>
        <v>0</v>
      </c>
      <c r="BM382" s="3">
        <f>+IF(AVANCE[[#This Row],[RED DE AGUA]]=V$2,100%,AVANCE[[#This Row],[RED DE AGUA]])</f>
        <v>0</v>
      </c>
      <c r="BN382" s="3">
        <f>+IF(AVANCE[[#This Row],[VENTILACIONES]]=W$2,100%,AVANCE[[#This Row],[VENTILACIONES]])</f>
        <v>0</v>
      </c>
      <c r="BO382" s="3">
        <f>+IF(AVANCE[[#This Row],[TINA]]=X$2,100%,AVANCE[[#This Row],[TINA]])</f>
        <v>0</v>
      </c>
      <c r="BP382" s="3">
        <f>+IF(AVANCE[[#This Row],[WC]]=Y$2,100%,AVANCE[[#This Row],[WC]])</f>
        <v>0</v>
      </c>
      <c r="BQ382" s="3">
        <f>+IF(AVANCE[[#This Row],[LAVAMANOS / LAVAPLATOS / LAVADERO]]=Z$2,100%,AVANCE[[#This Row],[LAVAMANOS / LAVAPLATOS / LAVADERO]])</f>
        <v>0</v>
      </c>
      <c r="BR382" s="3">
        <f>+IF(AVANCE[[#This Row],[CANALIZACIÓN]]=AC$2,100%,AVANCE[[#This Row],[CANALIZACIÓN]])</f>
        <v>0</v>
      </c>
      <c r="BS382" s="3">
        <f>+IF(AVANCE[[#This Row],[CABLEADO]]=AD$2,100%,AVANCE[[#This Row],[CABLEADO]])</f>
        <v>0</v>
      </c>
      <c r="BT382" s="3">
        <f>+IF(AVANCE[[#This Row],[ARTEFACTOS]]=AE$2,100%,AVANCE[[#This Row],[ARTEFACTOS]])</f>
        <v>0</v>
      </c>
      <c r="BU382" s="3">
        <f>+IF(AVANCE[[#This Row],[TABLERO]]=AF$2,100%,AVANCE[[#This Row],[TABLERO]])</f>
        <v>0</v>
      </c>
      <c r="BV382" s="3">
        <f>+IF(AVANCE[[#This Row],[CAJA PAU]]=AG$2,100%,AVANCE[[#This Row],[CAJA PAU]])</f>
        <v>0</v>
      </c>
      <c r="BW382" s="3">
        <f>+IF(AVANCE[[#This Row],[INSTALACION VINILICO]]=AJ$2,100%,AVANCE[[#This Row],[INSTALACION VINILICO]])</f>
        <v>0</v>
      </c>
      <c r="BX382" s="3">
        <f>+IF(AVANCE[[#This Row],[OSB CUBIERTA]]=AK$2,100%,AVANCE[[#This Row],[OSB CUBIERTA]])</f>
        <v>0</v>
      </c>
      <c r="BY382" s="3">
        <f>+IF(AVANCE[[#This Row],[BARANDA BALCON]]=AL$2,100%,AVANCE[[#This Row],[BARANDA BALCON]])</f>
        <v>0</v>
      </c>
      <c r="BZ382" s="3">
        <f>+IF(AVANCE[[#This Row],[OSB EXTERIOR]]=AM$2,100%,AVANCE[[#This Row],[OSB EXTERIOR]])</f>
        <v>0</v>
      </c>
      <c r="CA382" s="3">
        <f>+IF(AVANCE[[#This Row],[SMART PANEL]]=AN$2,100%,AVANCE[[#This Row],[SMART PANEL]])</f>
        <v>0</v>
      </c>
      <c r="CB382" s="3">
        <f>+IF(AVANCE[[#This Row],[PINTURA EXTERIOR]]=AO$2,100%,AVANCE[[#This Row],[PINTURA EXTERIOR]])</f>
        <v>0</v>
      </c>
      <c r="CC382" s="3">
        <f>+IF(AVANCE[[#This Row],[ZOCALOS LOGIA]]=AP$2,100%,AVANCE[[#This Row],[ZOCALOS LOGIA]])</f>
        <v>0</v>
      </c>
      <c r="CD382" s="3">
        <f>+IF(AVANCE[[#This Row],[MOLDURAS]]=AQ$2,100%,AVANCE[[#This Row],[MOLDURAS]])</f>
        <v>0</v>
      </c>
      <c r="CE382" s="3">
        <f>+IF(AVANCE[[#This Row],[PILASTREO]]=AR$2,100%,AVANCE[[#This Row],[PILASTREO]])</f>
        <v>0</v>
      </c>
      <c r="CF382" s="3">
        <f>+IF(AVANCE[[#This Row],[CELOSIAS]]=AS$2,100%,AVANCE[[#This Row],[CELOSIAS]])</f>
        <v>0</v>
      </c>
      <c r="CG382" s="3">
        <f>+IF(AVANCE[[#This Row],[VENTANAS]]=AT$2,100%,AVANCE[[#This Row],[VENTANAS]])</f>
        <v>0</v>
      </c>
      <c r="CH382" s="3">
        <f>+IF(AVANCE[[#This Row],[PUERTAS ACCESO - LOGIA - BANO]]=AU$2,100%,AVANCE[[#This Row],[PUERTAS ACCESO - LOGIA - BANO]])</f>
        <v>0</v>
      </c>
      <c r="CI382" s="3">
        <f>+IF(AVANCE[[#This Row],[CERRADURAS]]=AV$2,100%,AVANCE[[#This Row],[CERRADURAS]])</f>
        <v>0</v>
      </c>
      <c r="CJ382" s="3">
        <f>+IF(AVANCE[[#This Row],[REVESTIMIENTO INTERIOR ZONA SECA]]=AW$2,100%,AVANCE[[#This Row],[REVESTIMIENTO INTERIOR ZONA SECA]])</f>
        <v>0</v>
      </c>
      <c r="CK382" s="3">
        <f>+IF(AVANCE[[#This Row],[REVESTIMIENTO INTERIOR ZONAS HUMEDAS]]=AX$2,100%,AVANCE[[#This Row],[REVESTIMIENTO INTERIOR ZONAS HUMEDAS]])</f>
        <v>0</v>
      </c>
      <c r="CL382" s="3">
        <f>+IF(AVANCE[[#This Row],[MEMBRANA CIELO]]=AY$2,100%,AVANCE[[#This Row],[MEMBRANA CIELO]])</f>
        <v>0</v>
      </c>
      <c r="CM382" s="3">
        <f>+IF(AVANCE[[#This Row],[LIMPIEZA FINAL]]=AZ$2,100%,AVANCE[[#This Row],[LIMPIEZA FINAL]])</f>
        <v>0</v>
      </c>
      <c r="CN382" s="3">
        <f>+IF(AVANCE[[#This Row],[PUERTAS DORMITORIO]]=BA$2,100%,AVANCE[[#This Row],[PUERTAS DORMITORIO]])</f>
        <v>0</v>
      </c>
      <c r="CO382" s="3">
        <f>+IF(AVANCE[[#This Row],[REVESTIMIENTO INTERIOR BANO]]=BB$2,100%,AVANCE[[#This Row],[REVESTIMIENTO INTERIOR BANO]])</f>
        <v>0</v>
      </c>
      <c r="CP382" s="3">
        <f>+IF(AVANCE[[#This Row],[MUEBLE LAVAPLATOS]]=BC$2,100%,AVANCE[[#This Row],[MUEBLE LAVAPLATOS]])</f>
        <v>0</v>
      </c>
      <c r="CQ382" s="3">
        <f>+IF(AVANCE[[#This Row],[IMPERMEABILIZACION BANO - COCINA LOGIA]]=BD$2,100%,AVANCE[[#This Row],[IMPERMEABILIZACION BANO - COCINA LOGIA]])</f>
        <v>0</v>
      </c>
      <c r="CR382" s="40">
        <f ca="1">+IF(AVANCE[[#This Row],[ESTADO MODULO]]="PENDIENTE",(TODAY()-AVANCE[[#This Row],[FECHA TERMINO  PLANIFICADO]]),0)</f>
        <v>0</v>
      </c>
      <c r="CS382" s="42" t="str" cm="1">
        <f t="array" ref="CS382">_xlfn.TEXTJOIN(" | ",TRUE,IF(SUMPRODUCT((BF382:CQ382&lt;1)*(PARTIDAS!$I$2:$AT$2="OBRA GRUESA"))&gt;0,"OBRA GRUESA: "&amp;_xlfn.TEXTJOIN(", ",TRUE,IF((BF382:CQ382&lt;1)*(PARTIDAS!$I$2:$AT$2="OBRA GRUESA"),PARTIDAS!$I$1:$AT$1,"")),""),IF(SUMPRODUCT((BF382:CQ382&lt;1)*(PARTIDAS!$I$2:$AT$2="SANITARIOS"))&gt;0,"SANITARIOS: "&amp;_xlfn.TEXTJOIN(", ",TRUE,IF((BF382:CQ382&lt;1)*(PARTIDAS!$I$2:$AT$2="SANITARIOS"),PARTIDAS!$I$1:$AT$1,"")),""),IF(SUMPRODUCT((BF382:CQ382&lt;1)*(PARTIDAS!$I$2:$AT$2="ELÉCTRICO"))&gt;0,"ELÉCTRICO: "&amp;_xlfn.TEXTJOIN(", ",TRUE,IF((BF382:CQ382&lt;1)*(PARTIDAS!$I$2:$AT$2="ELÉCTRICO"),PARTIDAS!$I$1:$AT$1,"")),""),IF(SUMPRODUCT((BF382:CQ382&lt;1)*(PARTIDAS!$I$2:$AT$2="TERMINACIONES"))&gt;0,"TERMINACIONES: "&amp;_xlfn.TEXTJOIN(", ",TRUE,IF((BF382:CQ382&lt;1)*(PARTIDAS!$I$2:$AT$2="TERMINACIONES"),PARTIDAS!$I$1:$AT$1,"")),""))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2" s="45" t="str" cm="1">
        <f t="array" ref="CT382">_xlfn.TEXTJOIN(", ",TRUE,IF(SUMPRODUCT((BF382:CQ382&lt;1)*(PARTIDAS!$I$2:$AT$2="OBRA GRUESA"))&gt;0,"OBRA GRUESA",""),IF(SUMPRODUCT((BF382:CQ382&lt;1)*(PARTIDAS!$I$2:$AT$2="SANITARIOS"))&gt;0,"SANITARIOS",""),IF(SUMPRODUCT((BF382:CQ382&lt;1)*(PARTIDAS!$I$2:$AT$2="ELÉCTRICO"))&gt;0,"ELÉCTRICO",""),IF(SUMPRODUCT((BF382:CQ382&lt;1)*(PARTIDAS!$I$2:$AT$2="TERMINACIONES"))&gt;0,"TERMINACIONES",""))</f>
        <v>OBRA GRUESA, SANITARIOS, ELÉCTRICO, TERMINACIONES</v>
      </c>
      <c r="CU382" s="46" cm="1">
        <f t="array" ref="CU382">SUMPRODUCT(--(BF382:CQ382&lt;1))</f>
        <v>38</v>
      </c>
    </row>
    <row r="383" spans="1:99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46181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 s="3" t="str">
        <f>+IF(AVANCE[[#This Row],[% AVANCE]]=100%,"MODULO TERMINADO",IF(AVANCE[[#This Row],[FECHA INICIO REAL]]="","MODULO NO INICIADO","PENDIENTE"))</f>
        <v>MODULO NO INICIADO</v>
      </c>
      <c r="BF383" s="3">
        <f>+IF(AVANCE[[#This Row],[VENTANAS]]=8.10810810810811%,100%,AVANCE[[#This Row],[VENTANAS]])</f>
        <v>0</v>
      </c>
      <c r="BG383" s="3">
        <f>+IF(AVANCE[[#This Row],[PISO]]=N$2,100%,AVANCE[[#This Row],[PISO]])</f>
        <v>0</v>
      </c>
      <c r="BH383" s="3">
        <f>+IF(AVANCE[[#This Row],[TABIQUES]]=O$2,100%,AVANCE[[#This Row],[TABIQUES]])</f>
        <v>0</v>
      </c>
      <c r="BI383" s="3">
        <f>+IF(AVANCE[[#This Row],[MUROS]]=P$2,100%,AVANCE[[#This Row],[MUROS]])</f>
        <v>0</v>
      </c>
      <c r="BJ383" s="3">
        <f>+IF(AVANCE[[#This Row],[CIELO]]=Q$2,100%,AVANCE[[#This Row],[CIELO]])</f>
        <v>0</v>
      </c>
      <c r="BK383" s="3">
        <f>+IF(AVANCE[[#This Row],[BALCÓN]]=R$2,100%,AVANCE[[#This Row],[BALCÓN]])</f>
        <v>0</v>
      </c>
      <c r="BL383" s="3">
        <f>+IF(AVANCE[[#This Row],[RED ALCANTARILLADO]]=U$2,100%,AVANCE[[#This Row],[RED ALCANTARILLADO]])</f>
        <v>0</v>
      </c>
      <c r="BM383" s="3">
        <f>+IF(AVANCE[[#This Row],[RED DE AGUA]]=V$2,100%,AVANCE[[#This Row],[RED DE AGUA]])</f>
        <v>0</v>
      </c>
      <c r="BN383" s="3">
        <f>+IF(AVANCE[[#This Row],[VENTILACIONES]]=W$2,100%,AVANCE[[#This Row],[VENTILACIONES]])</f>
        <v>0</v>
      </c>
      <c r="BO383" s="3">
        <f>+IF(AVANCE[[#This Row],[TINA]]=X$2,100%,AVANCE[[#This Row],[TINA]])</f>
        <v>0</v>
      </c>
      <c r="BP383" s="3">
        <f>+IF(AVANCE[[#This Row],[WC]]=Y$2,100%,AVANCE[[#This Row],[WC]])</f>
        <v>0</v>
      </c>
      <c r="BQ383" s="3">
        <f>+IF(AVANCE[[#This Row],[LAVAMANOS / LAVAPLATOS / LAVADERO]]=Z$2,100%,AVANCE[[#This Row],[LAVAMANOS / LAVAPLATOS / LAVADERO]])</f>
        <v>0</v>
      </c>
      <c r="BR383" s="3">
        <f>+IF(AVANCE[[#This Row],[CANALIZACIÓN]]=AC$2,100%,AVANCE[[#This Row],[CANALIZACIÓN]])</f>
        <v>0</v>
      </c>
      <c r="BS383" s="3">
        <f>+IF(AVANCE[[#This Row],[CABLEADO]]=AD$2,100%,AVANCE[[#This Row],[CABLEADO]])</f>
        <v>0</v>
      </c>
      <c r="BT383" s="3">
        <f>+IF(AVANCE[[#This Row],[ARTEFACTOS]]=AE$2,100%,AVANCE[[#This Row],[ARTEFACTOS]])</f>
        <v>0</v>
      </c>
      <c r="BU383" s="3">
        <f>+IF(AVANCE[[#This Row],[TABLERO]]=AF$2,100%,AVANCE[[#This Row],[TABLERO]])</f>
        <v>0</v>
      </c>
      <c r="BV383" s="3">
        <f>+IF(AVANCE[[#This Row],[CAJA PAU]]=AG$2,100%,AVANCE[[#This Row],[CAJA PAU]])</f>
        <v>0</v>
      </c>
      <c r="BW383" s="3">
        <f>+IF(AVANCE[[#This Row],[INSTALACION VINILICO]]=AJ$2,100%,AVANCE[[#This Row],[INSTALACION VINILICO]])</f>
        <v>0</v>
      </c>
      <c r="BX383" s="3">
        <f>+IF(AVANCE[[#This Row],[OSB CUBIERTA]]=AK$2,100%,AVANCE[[#This Row],[OSB CUBIERTA]])</f>
        <v>0</v>
      </c>
      <c r="BY383" s="3">
        <f>+IF(AVANCE[[#This Row],[BARANDA BALCON]]=AL$2,100%,AVANCE[[#This Row],[BARANDA BALCON]])</f>
        <v>0</v>
      </c>
      <c r="BZ383" s="3">
        <f>+IF(AVANCE[[#This Row],[OSB EXTERIOR]]=AM$2,100%,AVANCE[[#This Row],[OSB EXTERIOR]])</f>
        <v>0</v>
      </c>
      <c r="CA383" s="3">
        <f>+IF(AVANCE[[#This Row],[SMART PANEL]]=AN$2,100%,AVANCE[[#This Row],[SMART PANEL]])</f>
        <v>0</v>
      </c>
      <c r="CB383" s="3">
        <f>+IF(AVANCE[[#This Row],[PINTURA EXTERIOR]]=AO$2,100%,AVANCE[[#This Row],[PINTURA EXTERIOR]])</f>
        <v>0</v>
      </c>
      <c r="CC383" s="3">
        <f>+IF(AVANCE[[#This Row],[ZOCALOS LOGIA]]=AP$2,100%,AVANCE[[#This Row],[ZOCALOS LOGIA]])</f>
        <v>0</v>
      </c>
      <c r="CD383" s="3">
        <f>+IF(AVANCE[[#This Row],[MOLDURAS]]=AQ$2,100%,AVANCE[[#This Row],[MOLDURAS]])</f>
        <v>0</v>
      </c>
      <c r="CE383" s="3">
        <f>+IF(AVANCE[[#This Row],[PILASTREO]]=AR$2,100%,AVANCE[[#This Row],[PILASTREO]])</f>
        <v>0</v>
      </c>
      <c r="CF383" s="3">
        <f>+IF(AVANCE[[#This Row],[CELOSIAS]]=AS$2,100%,AVANCE[[#This Row],[CELOSIAS]])</f>
        <v>0</v>
      </c>
      <c r="CG383" s="3">
        <f>+IF(AVANCE[[#This Row],[VENTANAS]]=AT$2,100%,AVANCE[[#This Row],[VENTANAS]])</f>
        <v>0</v>
      </c>
      <c r="CH383" s="3">
        <f>+IF(AVANCE[[#This Row],[PUERTAS ACCESO - LOGIA - BANO]]=AU$2,100%,AVANCE[[#This Row],[PUERTAS ACCESO - LOGIA - BANO]])</f>
        <v>0</v>
      </c>
      <c r="CI383" s="3">
        <f>+IF(AVANCE[[#This Row],[CERRADURAS]]=AV$2,100%,AVANCE[[#This Row],[CERRADURAS]])</f>
        <v>0</v>
      </c>
      <c r="CJ383" s="3">
        <f>+IF(AVANCE[[#This Row],[REVESTIMIENTO INTERIOR ZONA SECA]]=AW$2,100%,AVANCE[[#This Row],[REVESTIMIENTO INTERIOR ZONA SECA]])</f>
        <v>0</v>
      </c>
      <c r="CK383" s="3">
        <f>+IF(AVANCE[[#This Row],[REVESTIMIENTO INTERIOR ZONAS HUMEDAS]]=AX$2,100%,AVANCE[[#This Row],[REVESTIMIENTO INTERIOR ZONAS HUMEDAS]])</f>
        <v>0</v>
      </c>
      <c r="CL383" s="3">
        <f>+IF(AVANCE[[#This Row],[MEMBRANA CIELO]]=AY$2,100%,AVANCE[[#This Row],[MEMBRANA CIELO]])</f>
        <v>0</v>
      </c>
      <c r="CM383" s="3">
        <f>+IF(AVANCE[[#This Row],[LIMPIEZA FINAL]]=AZ$2,100%,AVANCE[[#This Row],[LIMPIEZA FINAL]])</f>
        <v>0</v>
      </c>
      <c r="CN383" s="3">
        <f>+IF(AVANCE[[#This Row],[PUERTAS DORMITORIO]]=BA$2,100%,AVANCE[[#This Row],[PUERTAS DORMITORIO]])</f>
        <v>0</v>
      </c>
      <c r="CO383" s="3">
        <f>+IF(AVANCE[[#This Row],[REVESTIMIENTO INTERIOR BANO]]=BB$2,100%,AVANCE[[#This Row],[REVESTIMIENTO INTERIOR BANO]])</f>
        <v>0</v>
      </c>
      <c r="CP383" s="3">
        <f>+IF(AVANCE[[#This Row],[MUEBLE LAVAPLATOS]]=BC$2,100%,AVANCE[[#This Row],[MUEBLE LAVAPLATOS]])</f>
        <v>0</v>
      </c>
      <c r="CQ383" s="3">
        <f>+IF(AVANCE[[#This Row],[IMPERMEABILIZACION BANO - COCINA LOGIA]]=BD$2,100%,AVANCE[[#This Row],[IMPERMEABILIZACION BANO - COCINA LOGIA]])</f>
        <v>0</v>
      </c>
      <c r="CR383" s="40">
        <f ca="1">+IF(AVANCE[[#This Row],[ESTADO MODULO]]="PENDIENTE",(TODAY()-AVANCE[[#This Row],[FECHA TERMINO  PLANIFICADO]]),0)</f>
        <v>0</v>
      </c>
      <c r="CS383" s="42" t="str" cm="1">
        <f t="array" ref="CS383">_xlfn.TEXTJOIN(" | ",TRUE,IF(SUMPRODUCT((BF383:CQ383&lt;1)*(PARTIDAS!$I$2:$AT$2="OBRA GRUESA"))&gt;0,"OBRA GRUESA: "&amp;_xlfn.TEXTJOIN(", ",TRUE,IF((BF383:CQ383&lt;1)*(PARTIDAS!$I$2:$AT$2="OBRA GRUESA"),PARTIDAS!$I$1:$AT$1,"")),""),IF(SUMPRODUCT((BF383:CQ383&lt;1)*(PARTIDAS!$I$2:$AT$2="SANITARIOS"))&gt;0,"SANITARIOS: "&amp;_xlfn.TEXTJOIN(", ",TRUE,IF((BF383:CQ383&lt;1)*(PARTIDAS!$I$2:$AT$2="SANITARIOS"),PARTIDAS!$I$1:$AT$1,"")),""),IF(SUMPRODUCT((BF383:CQ383&lt;1)*(PARTIDAS!$I$2:$AT$2="ELÉCTRICO"))&gt;0,"ELÉCTRICO: "&amp;_xlfn.TEXTJOIN(", ",TRUE,IF((BF383:CQ383&lt;1)*(PARTIDAS!$I$2:$AT$2="ELÉCTRICO"),PARTIDAS!$I$1:$AT$1,"")),""),IF(SUMPRODUCT((BF383:CQ383&lt;1)*(PARTIDAS!$I$2:$AT$2="TERMINACIONES"))&gt;0,"TERMINACIONES: "&amp;_xlfn.TEXTJOIN(", ",TRUE,IF((BF383:CQ383&lt;1)*(PARTIDAS!$I$2:$AT$2="TERMINACIONES"),PARTIDAS!$I$1:$AT$1,"")),""))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3" s="45" t="str" cm="1">
        <f t="array" ref="CT383">_xlfn.TEXTJOIN(", ",TRUE,IF(SUMPRODUCT((BF383:CQ383&lt;1)*(PARTIDAS!$I$2:$AT$2="OBRA GRUESA"))&gt;0,"OBRA GRUESA",""),IF(SUMPRODUCT((BF383:CQ383&lt;1)*(PARTIDAS!$I$2:$AT$2="SANITARIOS"))&gt;0,"SANITARIOS",""),IF(SUMPRODUCT((BF383:CQ383&lt;1)*(PARTIDAS!$I$2:$AT$2="ELÉCTRICO"))&gt;0,"ELÉCTRICO",""),IF(SUMPRODUCT((BF383:CQ383&lt;1)*(PARTIDAS!$I$2:$AT$2="TERMINACIONES"))&gt;0,"TERMINACIONES",""))</f>
        <v>OBRA GRUESA, SANITARIOS, ELÉCTRICO, TERMINACIONES</v>
      </c>
      <c r="CU383" s="46" cm="1">
        <f t="array" ref="CU383">SUMPRODUCT(--(BF383:CQ383&lt;1))</f>
        <v>38</v>
      </c>
    </row>
    <row r="384" spans="1:99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46181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 s="3" t="str">
        <f>+IF(AVANCE[[#This Row],[% AVANCE]]=100%,"MODULO TERMINADO",IF(AVANCE[[#This Row],[FECHA INICIO REAL]]="","MODULO NO INICIADO","PENDIENTE"))</f>
        <v>MODULO NO INICIADO</v>
      </c>
      <c r="BF384" s="3">
        <f>+IF(AVANCE[[#This Row],[VENTANAS]]=8.10810810810811%,100%,AVANCE[[#This Row],[VENTANAS]])</f>
        <v>0</v>
      </c>
      <c r="BG384" s="3">
        <f>+IF(AVANCE[[#This Row],[PISO]]=N$2,100%,AVANCE[[#This Row],[PISO]])</f>
        <v>0</v>
      </c>
      <c r="BH384" s="3">
        <f>+IF(AVANCE[[#This Row],[TABIQUES]]=O$2,100%,AVANCE[[#This Row],[TABIQUES]])</f>
        <v>0</v>
      </c>
      <c r="BI384" s="3">
        <f>+IF(AVANCE[[#This Row],[MUROS]]=P$2,100%,AVANCE[[#This Row],[MUROS]])</f>
        <v>0</v>
      </c>
      <c r="BJ384" s="3">
        <f>+IF(AVANCE[[#This Row],[CIELO]]=Q$2,100%,AVANCE[[#This Row],[CIELO]])</f>
        <v>0</v>
      </c>
      <c r="BK384" s="3">
        <f>+IF(AVANCE[[#This Row],[BALCÓN]]=R$2,100%,AVANCE[[#This Row],[BALCÓN]])</f>
        <v>0</v>
      </c>
      <c r="BL384" s="3">
        <f>+IF(AVANCE[[#This Row],[RED ALCANTARILLADO]]=U$2,100%,AVANCE[[#This Row],[RED ALCANTARILLADO]])</f>
        <v>0</v>
      </c>
      <c r="BM384" s="3">
        <f>+IF(AVANCE[[#This Row],[RED DE AGUA]]=V$2,100%,AVANCE[[#This Row],[RED DE AGUA]])</f>
        <v>0</v>
      </c>
      <c r="BN384" s="3">
        <f>+IF(AVANCE[[#This Row],[VENTILACIONES]]=W$2,100%,AVANCE[[#This Row],[VENTILACIONES]])</f>
        <v>0</v>
      </c>
      <c r="BO384" s="3">
        <f>+IF(AVANCE[[#This Row],[TINA]]=X$2,100%,AVANCE[[#This Row],[TINA]])</f>
        <v>0</v>
      </c>
      <c r="BP384" s="3">
        <f>+IF(AVANCE[[#This Row],[WC]]=Y$2,100%,AVANCE[[#This Row],[WC]])</f>
        <v>0</v>
      </c>
      <c r="BQ384" s="3">
        <f>+IF(AVANCE[[#This Row],[LAVAMANOS / LAVAPLATOS / LAVADERO]]=Z$2,100%,AVANCE[[#This Row],[LAVAMANOS / LAVAPLATOS / LAVADERO]])</f>
        <v>0</v>
      </c>
      <c r="BR384" s="3">
        <f>+IF(AVANCE[[#This Row],[CANALIZACIÓN]]=AC$2,100%,AVANCE[[#This Row],[CANALIZACIÓN]])</f>
        <v>0</v>
      </c>
      <c r="BS384" s="3">
        <f>+IF(AVANCE[[#This Row],[CABLEADO]]=AD$2,100%,AVANCE[[#This Row],[CABLEADO]])</f>
        <v>0</v>
      </c>
      <c r="BT384" s="3">
        <f>+IF(AVANCE[[#This Row],[ARTEFACTOS]]=AE$2,100%,AVANCE[[#This Row],[ARTEFACTOS]])</f>
        <v>0</v>
      </c>
      <c r="BU384" s="3">
        <f>+IF(AVANCE[[#This Row],[TABLERO]]=AF$2,100%,AVANCE[[#This Row],[TABLERO]])</f>
        <v>0</v>
      </c>
      <c r="BV384" s="3">
        <f>+IF(AVANCE[[#This Row],[CAJA PAU]]=AG$2,100%,AVANCE[[#This Row],[CAJA PAU]])</f>
        <v>0</v>
      </c>
      <c r="BW384" s="3">
        <f>+IF(AVANCE[[#This Row],[INSTALACION VINILICO]]=AJ$2,100%,AVANCE[[#This Row],[INSTALACION VINILICO]])</f>
        <v>0</v>
      </c>
      <c r="BX384" s="3">
        <f>+IF(AVANCE[[#This Row],[OSB CUBIERTA]]=AK$2,100%,AVANCE[[#This Row],[OSB CUBIERTA]])</f>
        <v>0</v>
      </c>
      <c r="BY384" s="3">
        <f>+IF(AVANCE[[#This Row],[BARANDA BALCON]]=AL$2,100%,AVANCE[[#This Row],[BARANDA BALCON]])</f>
        <v>0</v>
      </c>
      <c r="BZ384" s="3">
        <f>+IF(AVANCE[[#This Row],[OSB EXTERIOR]]=AM$2,100%,AVANCE[[#This Row],[OSB EXTERIOR]])</f>
        <v>0</v>
      </c>
      <c r="CA384" s="3">
        <f>+IF(AVANCE[[#This Row],[SMART PANEL]]=AN$2,100%,AVANCE[[#This Row],[SMART PANEL]])</f>
        <v>0</v>
      </c>
      <c r="CB384" s="3">
        <f>+IF(AVANCE[[#This Row],[PINTURA EXTERIOR]]=AO$2,100%,AVANCE[[#This Row],[PINTURA EXTERIOR]])</f>
        <v>0</v>
      </c>
      <c r="CC384" s="3">
        <f>+IF(AVANCE[[#This Row],[ZOCALOS LOGIA]]=AP$2,100%,AVANCE[[#This Row],[ZOCALOS LOGIA]])</f>
        <v>0</v>
      </c>
      <c r="CD384" s="3">
        <f>+IF(AVANCE[[#This Row],[MOLDURAS]]=AQ$2,100%,AVANCE[[#This Row],[MOLDURAS]])</f>
        <v>0</v>
      </c>
      <c r="CE384" s="3">
        <f>+IF(AVANCE[[#This Row],[PILASTREO]]=AR$2,100%,AVANCE[[#This Row],[PILASTREO]])</f>
        <v>0</v>
      </c>
      <c r="CF384" s="3">
        <f>+IF(AVANCE[[#This Row],[CELOSIAS]]=AS$2,100%,AVANCE[[#This Row],[CELOSIAS]])</f>
        <v>0</v>
      </c>
      <c r="CG384" s="3">
        <f>+IF(AVANCE[[#This Row],[VENTANAS]]=AT$2,100%,AVANCE[[#This Row],[VENTANAS]])</f>
        <v>0</v>
      </c>
      <c r="CH384" s="3">
        <f>+IF(AVANCE[[#This Row],[PUERTAS ACCESO - LOGIA - BANO]]=AU$2,100%,AVANCE[[#This Row],[PUERTAS ACCESO - LOGIA - BANO]])</f>
        <v>0</v>
      </c>
      <c r="CI384" s="3">
        <f>+IF(AVANCE[[#This Row],[CERRADURAS]]=AV$2,100%,AVANCE[[#This Row],[CERRADURAS]])</f>
        <v>0</v>
      </c>
      <c r="CJ384" s="3">
        <f>+IF(AVANCE[[#This Row],[REVESTIMIENTO INTERIOR ZONA SECA]]=AW$2,100%,AVANCE[[#This Row],[REVESTIMIENTO INTERIOR ZONA SECA]])</f>
        <v>0</v>
      </c>
      <c r="CK384" s="3">
        <f>+IF(AVANCE[[#This Row],[REVESTIMIENTO INTERIOR ZONAS HUMEDAS]]=AX$2,100%,AVANCE[[#This Row],[REVESTIMIENTO INTERIOR ZONAS HUMEDAS]])</f>
        <v>0</v>
      </c>
      <c r="CL384" s="3">
        <f>+IF(AVANCE[[#This Row],[MEMBRANA CIELO]]=AY$2,100%,AVANCE[[#This Row],[MEMBRANA CIELO]])</f>
        <v>0</v>
      </c>
      <c r="CM384" s="3">
        <f>+IF(AVANCE[[#This Row],[LIMPIEZA FINAL]]=AZ$2,100%,AVANCE[[#This Row],[LIMPIEZA FINAL]])</f>
        <v>0</v>
      </c>
      <c r="CN384" s="3">
        <f>+IF(AVANCE[[#This Row],[PUERTAS DORMITORIO]]=BA$2,100%,AVANCE[[#This Row],[PUERTAS DORMITORIO]])</f>
        <v>0</v>
      </c>
      <c r="CO384" s="3">
        <f>+IF(AVANCE[[#This Row],[REVESTIMIENTO INTERIOR BANO]]=BB$2,100%,AVANCE[[#This Row],[REVESTIMIENTO INTERIOR BANO]])</f>
        <v>0</v>
      </c>
      <c r="CP384" s="3">
        <f>+IF(AVANCE[[#This Row],[MUEBLE LAVAPLATOS]]=BC$2,100%,AVANCE[[#This Row],[MUEBLE LAVAPLATOS]])</f>
        <v>0</v>
      </c>
      <c r="CQ384" s="3">
        <f>+IF(AVANCE[[#This Row],[IMPERMEABILIZACION BANO - COCINA LOGIA]]=BD$2,100%,AVANCE[[#This Row],[IMPERMEABILIZACION BANO - COCINA LOGIA]])</f>
        <v>0</v>
      </c>
      <c r="CR384" s="40">
        <f ca="1">+IF(AVANCE[[#This Row],[ESTADO MODULO]]="PENDIENTE",(TODAY()-AVANCE[[#This Row],[FECHA TERMINO  PLANIFICADO]]),0)</f>
        <v>0</v>
      </c>
      <c r="CS384" s="42" t="str" cm="1">
        <f t="array" ref="CS384">_xlfn.TEXTJOIN(" | ",TRUE,IF(SUMPRODUCT((BF384:CQ384&lt;1)*(PARTIDAS!$I$2:$AT$2="OBRA GRUESA"))&gt;0,"OBRA GRUESA: "&amp;_xlfn.TEXTJOIN(", ",TRUE,IF((BF384:CQ384&lt;1)*(PARTIDAS!$I$2:$AT$2="OBRA GRUESA"),PARTIDAS!$I$1:$AT$1,"")),""),IF(SUMPRODUCT((BF384:CQ384&lt;1)*(PARTIDAS!$I$2:$AT$2="SANITARIOS"))&gt;0,"SANITARIOS: "&amp;_xlfn.TEXTJOIN(", ",TRUE,IF((BF384:CQ384&lt;1)*(PARTIDAS!$I$2:$AT$2="SANITARIOS"),PARTIDAS!$I$1:$AT$1,"")),""),IF(SUMPRODUCT((BF384:CQ384&lt;1)*(PARTIDAS!$I$2:$AT$2="ELÉCTRICO"))&gt;0,"ELÉCTRICO: "&amp;_xlfn.TEXTJOIN(", ",TRUE,IF((BF384:CQ384&lt;1)*(PARTIDAS!$I$2:$AT$2="ELÉCTRICO"),PARTIDAS!$I$1:$AT$1,"")),""),IF(SUMPRODUCT((BF384:CQ384&lt;1)*(PARTIDAS!$I$2:$AT$2="TERMINACIONES"))&gt;0,"TERMINACIONES: "&amp;_xlfn.TEXTJOIN(", ",TRUE,IF((BF384:CQ384&lt;1)*(PARTIDAS!$I$2:$AT$2="TERMINACIONES"),PARTIDAS!$I$1:$AT$1,"")),""))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4" s="45" t="str" cm="1">
        <f t="array" ref="CT384">_xlfn.TEXTJOIN(", ",TRUE,IF(SUMPRODUCT((BF384:CQ384&lt;1)*(PARTIDAS!$I$2:$AT$2="OBRA GRUESA"))&gt;0,"OBRA GRUESA",""),IF(SUMPRODUCT((BF384:CQ384&lt;1)*(PARTIDAS!$I$2:$AT$2="SANITARIOS"))&gt;0,"SANITARIOS",""),IF(SUMPRODUCT((BF384:CQ384&lt;1)*(PARTIDAS!$I$2:$AT$2="ELÉCTRICO"))&gt;0,"ELÉCTRICO",""),IF(SUMPRODUCT((BF384:CQ384&lt;1)*(PARTIDAS!$I$2:$AT$2="TERMINACIONES"))&gt;0,"TERMINACIONES",""))</f>
        <v>OBRA GRUESA, SANITARIOS, ELÉCTRICO, TERMINACIONES</v>
      </c>
      <c r="CU384" s="46" cm="1">
        <f t="array" ref="CU384">SUMPRODUCT(--(BF384:CQ384&lt;1))</f>
        <v>38</v>
      </c>
    </row>
    <row r="385" spans="1:99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46181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 s="3" t="str">
        <f>+IF(AVANCE[[#This Row],[% AVANCE]]=100%,"MODULO TERMINADO",IF(AVANCE[[#This Row],[FECHA INICIO REAL]]="","MODULO NO INICIADO","PENDIENTE"))</f>
        <v>MODULO NO INICIADO</v>
      </c>
      <c r="BF385" s="3">
        <f>+IF(AVANCE[[#This Row],[VENTANAS]]=8.10810810810811%,100%,AVANCE[[#This Row],[VENTANAS]])</f>
        <v>0</v>
      </c>
      <c r="BG385" s="3">
        <f>+IF(AVANCE[[#This Row],[PISO]]=N$2,100%,AVANCE[[#This Row],[PISO]])</f>
        <v>0</v>
      </c>
      <c r="BH385" s="3">
        <f>+IF(AVANCE[[#This Row],[TABIQUES]]=O$2,100%,AVANCE[[#This Row],[TABIQUES]])</f>
        <v>0</v>
      </c>
      <c r="BI385" s="3">
        <f>+IF(AVANCE[[#This Row],[MUROS]]=P$2,100%,AVANCE[[#This Row],[MUROS]])</f>
        <v>0</v>
      </c>
      <c r="BJ385" s="3">
        <f>+IF(AVANCE[[#This Row],[CIELO]]=Q$2,100%,AVANCE[[#This Row],[CIELO]])</f>
        <v>0</v>
      </c>
      <c r="BK385" s="3">
        <f>+IF(AVANCE[[#This Row],[BALCÓN]]=R$2,100%,AVANCE[[#This Row],[BALCÓN]])</f>
        <v>0</v>
      </c>
      <c r="BL385" s="3">
        <f>+IF(AVANCE[[#This Row],[RED ALCANTARILLADO]]=U$2,100%,AVANCE[[#This Row],[RED ALCANTARILLADO]])</f>
        <v>0</v>
      </c>
      <c r="BM385" s="3">
        <f>+IF(AVANCE[[#This Row],[RED DE AGUA]]=V$2,100%,AVANCE[[#This Row],[RED DE AGUA]])</f>
        <v>0</v>
      </c>
      <c r="BN385" s="3">
        <f>+IF(AVANCE[[#This Row],[VENTILACIONES]]=W$2,100%,AVANCE[[#This Row],[VENTILACIONES]])</f>
        <v>0</v>
      </c>
      <c r="BO385" s="3">
        <f>+IF(AVANCE[[#This Row],[TINA]]=X$2,100%,AVANCE[[#This Row],[TINA]])</f>
        <v>0</v>
      </c>
      <c r="BP385" s="3">
        <f>+IF(AVANCE[[#This Row],[WC]]=Y$2,100%,AVANCE[[#This Row],[WC]])</f>
        <v>0</v>
      </c>
      <c r="BQ385" s="3">
        <f>+IF(AVANCE[[#This Row],[LAVAMANOS / LAVAPLATOS / LAVADERO]]=Z$2,100%,AVANCE[[#This Row],[LAVAMANOS / LAVAPLATOS / LAVADERO]])</f>
        <v>0</v>
      </c>
      <c r="BR385" s="3">
        <f>+IF(AVANCE[[#This Row],[CANALIZACIÓN]]=AC$2,100%,AVANCE[[#This Row],[CANALIZACIÓN]])</f>
        <v>0</v>
      </c>
      <c r="BS385" s="3">
        <f>+IF(AVANCE[[#This Row],[CABLEADO]]=AD$2,100%,AVANCE[[#This Row],[CABLEADO]])</f>
        <v>0</v>
      </c>
      <c r="BT385" s="3">
        <f>+IF(AVANCE[[#This Row],[ARTEFACTOS]]=AE$2,100%,AVANCE[[#This Row],[ARTEFACTOS]])</f>
        <v>0</v>
      </c>
      <c r="BU385" s="3">
        <f>+IF(AVANCE[[#This Row],[TABLERO]]=AF$2,100%,AVANCE[[#This Row],[TABLERO]])</f>
        <v>0</v>
      </c>
      <c r="BV385" s="3">
        <f>+IF(AVANCE[[#This Row],[CAJA PAU]]=AG$2,100%,AVANCE[[#This Row],[CAJA PAU]])</f>
        <v>0</v>
      </c>
      <c r="BW385" s="3">
        <f>+IF(AVANCE[[#This Row],[INSTALACION VINILICO]]=AJ$2,100%,AVANCE[[#This Row],[INSTALACION VINILICO]])</f>
        <v>0</v>
      </c>
      <c r="BX385" s="3">
        <f>+IF(AVANCE[[#This Row],[OSB CUBIERTA]]=AK$2,100%,AVANCE[[#This Row],[OSB CUBIERTA]])</f>
        <v>0</v>
      </c>
      <c r="BY385" s="3">
        <f>+IF(AVANCE[[#This Row],[BARANDA BALCON]]=AL$2,100%,AVANCE[[#This Row],[BARANDA BALCON]])</f>
        <v>0</v>
      </c>
      <c r="BZ385" s="3">
        <f>+IF(AVANCE[[#This Row],[OSB EXTERIOR]]=AM$2,100%,AVANCE[[#This Row],[OSB EXTERIOR]])</f>
        <v>0</v>
      </c>
      <c r="CA385" s="3">
        <f>+IF(AVANCE[[#This Row],[SMART PANEL]]=AN$2,100%,AVANCE[[#This Row],[SMART PANEL]])</f>
        <v>0</v>
      </c>
      <c r="CB385" s="3">
        <f>+IF(AVANCE[[#This Row],[PINTURA EXTERIOR]]=AO$2,100%,AVANCE[[#This Row],[PINTURA EXTERIOR]])</f>
        <v>0</v>
      </c>
      <c r="CC385" s="3">
        <f>+IF(AVANCE[[#This Row],[ZOCALOS LOGIA]]=AP$2,100%,AVANCE[[#This Row],[ZOCALOS LOGIA]])</f>
        <v>0</v>
      </c>
      <c r="CD385" s="3">
        <f>+IF(AVANCE[[#This Row],[MOLDURAS]]=AQ$2,100%,AVANCE[[#This Row],[MOLDURAS]])</f>
        <v>0</v>
      </c>
      <c r="CE385" s="3">
        <f>+IF(AVANCE[[#This Row],[PILASTREO]]=AR$2,100%,AVANCE[[#This Row],[PILASTREO]])</f>
        <v>0</v>
      </c>
      <c r="CF385" s="3">
        <f>+IF(AVANCE[[#This Row],[CELOSIAS]]=AS$2,100%,AVANCE[[#This Row],[CELOSIAS]])</f>
        <v>0</v>
      </c>
      <c r="CG385" s="3">
        <f>+IF(AVANCE[[#This Row],[VENTANAS]]=AT$2,100%,AVANCE[[#This Row],[VENTANAS]])</f>
        <v>0</v>
      </c>
      <c r="CH385" s="3">
        <f>+IF(AVANCE[[#This Row],[PUERTAS ACCESO - LOGIA - BANO]]=AU$2,100%,AVANCE[[#This Row],[PUERTAS ACCESO - LOGIA - BANO]])</f>
        <v>0</v>
      </c>
      <c r="CI385" s="3">
        <f>+IF(AVANCE[[#This Row],[CERRADURAS]]=AV$2,100%,AVANCE[[#This Row],[CERRADURAS]])</f>
        <v>0</v>
      </c>
      <c r="CJ385" s="3">
        <f>+IF(AVANCE[[#This Row],[REVESTIMIENTO INTERIOR ZONA SECA]]=AW$2,100%,AVANCE[[#This Row],[REVESTIMIENTO INTERIOR ZONA SECA]])</f>
        <v>0</v>
      </c>
      <c r="CK385" s="3">
        <f>+IF(AVANCE[[#This Row],[REVESTIMIENTO INTERIOR ZONAS HUMEDAS]]=AX$2,100%,AVANCE[[#This Row],[REVESTIMIENTO INTERIOR ZONAS HUMEDAS]])</f>
        <v>0</v>
      </c>
      <c r="CL385" s="3">
        <f>+IF(AVANCE[[#This Row],[MEMBRANA CIELO]]=AY$2,100%,AVANCE[[#This Row],[MEMBRANA CIELO]])</f>
        <v>0</v>
      </c>
      <c r="CM385" s="3">
        <f>+IF(AVANCE[[#This Row],[LIMPIEZA FINAL]]=AZ$2,100%,AVANCE[[#This Row],[LIMPIEZA FINAL]])</f>
        <v>0</v>
      </c>
      <c r="CN385" s="3">
        <f>+IF(AVANCE[[#This Row],[PUERTAS DORMITORIO]]=BA$2,100%,AVANCE[[#This Row],[PUERTAS DORMITORIO]])</f>
        <v>0</v>
      </c>
      <c r="CO385" s="3">
        <f>+IF(AVANCE[[#This Row],[REVESTIMIENTO INTERIOR BANO]]=BB$2,100%,AVANCE[[#This Row],[REVESTIMIENTO INTERIOR BANO]])</f>
        <v>0</v>
      </c>
      <c r="CP385" s="3">
        <f>+IF(AVANCE[[#This Row],[MUEBLE LAVAPLATOS]]=BC$2,100%,AVANCE[[#This Row],[MUEBLE LAVAPLATOS]])</f>
        <v>0</v>
      </c>
      <c r="CQ385" s="3">
        <f>+IF(AVANCE[[#This Row],[IMPERMEABILIZACION BANO - COCINA LOGIA]]=BD$2,100%,AVANCE[[#This Row],[IMPERMEABILIZACION BANO - COCINA LOGIA]])</f>
        <v>0</v>
      </c>
      <c r="CR385" s="40">
        <f ca="1">+IF(AVANCE[[#This Row],[ESTADO MODULO]]="PENDIENTE",(TODAY()-AVANCE[[#This Row],[FECHA TERMINO  PLANIFICADO]]),0)</f>
        <v>0</v>
      </c>
      <c r="CS385" s="42" t="str" cm="1">
        <f t="array" ref="CS385">_xlfn.TEXTJOIN(" | ",TRUE,IF(SUMPRODUCT((BF385:CQ385&lt;1)*(PARTIDAS!$I$2:$AT$2="OBRA GRUESA"))&gt;0,"OBRA GRUESA: "&amp;_xlfn.TEXTJOIN(", ",TRUE,IF((BF385:CQ385&lt;1)*(PARTIDAS!$I$2:$AT$2="OBRA GRUESA"),PARTIDAS!$I$1:$AT$1,"")),""),IF(SUMPRODUCT((BF385:CQ385&lt;1)*(PARTIDAS!$I$2:$AT$2="SANITARIOS"))&gt;0,"SANITARIOS: "&amp;_xlfn.TEXTJOIN(", ",TRUE,IF((BF385:CQ385&lt;1)*(PARTIDAS!$I$2:$AT$2="SANITARIOS"),PARTIDAS!$I$1:$AT$1,"")),""),IF(SUMPRODUCT((BF385:CQ385&lt;1)*(PARTIDAS!$I$2:$AT$2="ELÉCTRICO"))&gt;0,"ELÉCTRICO: "&amp;_xlfn.TEXTJOIN(", ",TRUE,IF((BF385:CQ385&lt;1)*(PARTIDAS!$I$2:$AT$2="ELÉCTRICO"),PARTIDAS!$I$1:$AT$1,"")),""),IF(SUMPRODUCT((BF385:CQ385&lt;1)*(PARTIDAS!$I$2:$AT$2="TERMINACIONES"))&gt;0,"TERMINACIONES: "&amp;_xlfn.TEXTJOIN(", ",TRUE,IF((BF385:CQ385&lt;1)*(PARTIDAS!$I$2:$AT$2="TERMINACIONES"),PARTIDAS!$I$1:$AT$1,"")),""))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5" s="45" t="str" cm="1">
        <f t="array" ref="CT385">_xlfn.TEXTJOIN(", ",TRUE,IF(SUMPRODUCT((BF385:CQ385&lt;1)*(PARTIDAS!$I$2:$AT$2="OBRA GRUESA"))&gt;0,"OBRA GRUESA",""),IF(SUMPRODUCT((BF385:CQ385&lt;1)*(PARTIDAS!$I$2:$AT$2="SANITARIOS"))&gt;0,"SANITARIOS",""),IF(SUMPRODUCT((BF385:CQ385&lt;1)*(PARTIDAS!$I$2:$AT$2="ELÉCTRICO"))&gt;0,"ELÉCTRICO",""),IF(SUMPRODUCT((BF385:CQ385&lt;1)*(PARTIDAS!$I$2:$AT$2="TERMINACIONES"))&gt;0,"TERMINACIONES",""))</f>
        <v>OBRA GRUESA, SANITARIOS, ELÉCTRICO, TERMINACIONES</v>
      </c>
      <c r="CU385" s="46" cm="1">
        <f t="array" ref="CU385">SUMPRODUCT(--(BF385:CQ385&lt;1))</f>
        <v>38</v>
      </c>
    </row>
    <row r="386" spans="1:99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46181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 s="3" t="str">
        <f>+IF(AVANCE[[#This Row],[% AVANCE]]=100%,"MODULO TERMINADO",IF(AVANCE[[#This Row],[FECHA INICIO REAL]]="","MODULO NO INICIADO","PENDIENTE"))</f>
        <v>MODULO NO INICIADO</v>
      </c>
      <c r="BF386" s="3">
        <f>+IF(AVANCE[[#This Row],[VENTANAS]]=8.10810810810811%,100%,AVANCE[[#This Row],[VENTANAS]])</f>
        <v>0</v>
      </c>
      <c r="BG386" s="3">
        <f>+IF(AVANCE[[#This Row],[PISO]]=N$2,100%,AVANCE[[#This Row],[PISO]])</f>
        <v>0</v>
      </c>
      <c r="BH386" s="3">
        <f>+IF(AVANCE[[#This Row],[TABIQUES]]=O$2,100%,AVANCE[[#This Row],[TABIQUES]])</f>
        <v>0</v>
      </c>
      <c r="BI386" s="3">
        <f>+IF(AVANCE[[#This Row],[MUROS]]=P$2,100%,AVANCE[[#This Row],[MUROS]])</f>
        <v>0</v>
      </c>
      <c r="BJ386" s="3">
        <f>+IF(AVANCE[[#This Row],[CIELO]]=Q$2,100%,AVANCE[[#This Row],[CIELO]])</f>
        <v>0</v>
      </c>
      <c r="BK386" s="3">
        <f>+IF(AVANCE[[#This Row],[BALCÓN]]=R$2,100%,AVANCE[[#This Row],[BALCÓN]])</f>
        <v>0</v>
      </c>
      <c r="BL386" s="3">
        <f>+IF(AVANCE[[#This Row],[RED ALCANTARILLADO]]=U$2,100%,AVANCE[[#This Row],[RED ALCANTARILLADO]])</f>
        <v>0</v>
      </c>
      <c r="BM386" s="3">
        <f>+IF(AVANCE[[#This Row],[RED DE AGUA]]=V$2,100%,AVANCE[[#This Row],[RED DE AGUA]])</f>
        <v>0</v>
      </c>
      <c r="BN386" s="3">
        <f>+IF(AVANCE[[#This Row],[VENTILACIONES]]=W$2,100%,AVANCE[[#This Row],[VENTILACIONES]])</f>
        <v>0</v>
      </c>
      <c r="BO386" s="3">
        <f>+IF(AVANCE[[#This Row],[TINA]]=X$2,100%,AVANCE[[#This Row],[TINA]])</f>
        <v>0</v>
      </c>
      <c r="BP386" s="3">
        <f>+IF(AVANCE[[#This Row],[WC]]=Y$2,100%,AVANCE[[#This Row],[WC]])</f>
        <v>0</v>
      </c>
      <c r="BQ386" s="3">
        <f>+IF(AVANCE[[#This Row],[LAVAMANOS / LAVAPLATOS / LAVADERO]]=Z$2,100%,AVANCE[[#This Row],[LAVAMANOS / LAVAPLATOS / LAVADERO]])</f>
        <v>0</v>
      </c>
      <c r="BR386" s="3">
        <f>+IF(AVANCE[[#This Row],[CANALIZACIÓN]]=AC$2,100%,AVANCE[[#This Row],[CANALIZACIÓN]])</f>
        <v>0</v>
      </c>
      <c r="BS386" s="3">
        <f>+IF(AVANCE[[#This Row],[CABLEADO]]=AD$2,100%,AVANCE[[#This Row],[CABLEADO]])</f>
        <v>0</v>
      </c>
      <c r="BT386" s="3">
        <f>+IF(AVANCE[[#This Row],[ARTEFACTOS]]=AE$2,100%,AVANCE[[#This Row],[ARTEFACTOS]])</f>
        <v>0</v>
      </c>
      <c r="BU386" s="3">
        <f>+IF(AVANCE[[#This Row],[TABLERO]]=AF$2,100%,AVANCE[[#This Row],[TABLERO]])</f>
        <v>0</v>
      </c>
      <c r="BV386" s="3">
        <f>+IF(AVANCE[[#This Row],[CAJA PAU]]=AG$2,100%,AVANCE[[#This Row],[CAJA PAU]])</f>
        <v>0</v>
      </c>
      <c r="BW386" s="3">
        <f>+IF(AVANCE[[#This Row],[INSTALACION VINILICO]]=AJ$2,100%,AVANCE[[#This Row],[INSTALACION VINILICO]])</f>
        <v>0</v>
      </c>
      <c r="BX386" s="3">
        <f>+IF(AVANCE[[#This Row],[OSB CUBIERTA]]=AK$2,100%,AVANCE[[#This Row],[OSB CUBIERTA]])</f>
        <v>0</v>
      </c>
      <c r="BY386" s="3">
        <f>+IF(AVANCE[[#This Row],[BARANDA BALCON]]=AL$2,100%,AVANCE[[#This Row],[BARANDA BALCON]])</f>
        <v>0</v>
      </c>
      <c r="BZ386" s="3">
        <f>+IF(AVANCE[[#This Row],[OSB EXTERIOR]]=AM$2,100%,AVANCE[[#This Row],[OSB EXTERIOR]])</f>
        <v>0</v>
      </c>
      <c r="CA386" s="3">
        <f>+IF(AVANCE[[#This Row],[SMART PANEL]]=AN$2,100%,AVANCE[[#This Row],[SMART PANEL]])</f>
        <v>0</v>
      </c>
      <c r="CB386" s="3">
        <f>+IF(AVANCE[[#This Row],[PINTURA EXTERIOR]]=AO$2,100%,AVANCE[[#This Row],[PINTURA EXTERIOR]])</f>
        <v>0</v>
      </c>
      <c r="CC386" s="3">
        <f>+IF(AVANCE[[#This Row],[ZOCALOS LOGIA]]=AP$2,100%,AVANCE[[#This Row],[ZOCALOS LOGIA]])</f>
        <v>0</v>
      </c>
      <c r="CD386" s="3">
        <f>+IF(AVANCE[[#This Row],[MOLDURAS]]=AQ$2,100%,AVANCE[[#This Row],[MOLDURAS]])</f>
        <v>0</v>
      </c>
      <c r="CE386" s="3">
        <f>+IF(AVANCE[[#This Row],[PILASTREO]]=AR$2,100%,AVANCE[[#This Row],[PILASTREO]])</f>
        <v>0</v>
      </c>
      <c r="CF386" s="3">
        <f>+IF(AVANCE[[#This Row],[CELOSIAS]]=AS$2,100%,AVANCE[[#This Row],[CELOSIAS]])</f>
        <v>0</v>
      </c>
      <c r="CG386" s="3">
        <f>+IF(AVANCE[[#This Row],[VENTANAS]]=AT$2,100%,AVANCE[[#This Row],[VENTANAS]])</f>
        <v>0</v>
      </c>
      <c r="CH386" s="3">
        <f>+IF(AVANCE[[#This Row],[PUERTAS ACCESO - LOGIA - BANO]]=AU$2,100%,AVANCE[[#This Row],[PUERTAS ACCESO - LOGIA - BANO]])</f>
        <v>0</v>
      </c>
      <c r="CI386" s="3">
        <f>+IF(AVANCE[[#This Row],[CERRADURAS]]=AV$2,100%,AVANCE[[#This Row],[CERRADURAS]])</f>
        <v>0</v>
      </c>
      <c r="CJ386" s="3">
        <f>+IF(AVANCE[[#This Row],[REVESTIMIENTO INTERIOR ZONA SECA]]=AW$2,100%,AVANCE[[#This Row],[REVESTIMIENTO INTERIOR ZONA SECA]])</f>
        <v>0</v>
      </c>
      <c r="CK386" s="3">
        <f>+IF(AVANCE[[#This Row],[REVESTIMIENTO INTERIOR ZONAS HUMEDAS]]=AX$2,100%,AVANCE[[#This Row],[REVESTIMIENTO INTERIOR ZONAS HUMEDAS]])</f>
        <v>0</v>
      </c>
      <c r="CL386" s="3">
        <f>+IF(AVANCE[[#This Row],[MEMBRANA CIELO]]=AY$2,100%,AVANCE[[#This Row],[MEMBRANA CIELO]])</f>
        <v>0</v>
      </c>
      <c r="CM386" s="3">
        <f>+IF(AVANCE[[#This Row],[LIMPIEZA FINAL]]=AZ$2,100%,AVANCE[[#This Row],[LIMPIEZA FINAL]])</f>
        <v>0</v>
      </c>
      <c r="CN386" s="3">
        <f>+IF(AVANCE[[#This Row],[PUERTAS DORMITORIO]]=BA$2,100%,AVANCE[[#This Row],[PUERTAS DORMITORIO]])</f>
        <v>0</v>
      </c>
      <c r="CO386" s="3">
        <f>+IF(AVANCE[[#This Row],[REVESTIMIENTO INTERIOR BANO]]=BB$2,100%,AVANCE[[#This Row],[REVESTIMIENTO INTERIOR BANO]])</f>
        <v>0</v>
      </c>
      <c r="CP386" s="3">
        <f>+IF(AVANCE[[#This Row],[MUEBLE LAVAPLATOS]]=BC$2,100%,AVANCE[[#This Row],[MUEBLE LAVAPLATOS]])</f>
        <v>0</v>
      </c>
      <c r="CQ386" s="3">
        <f>+IF(AVANCE[[#This Row],[IMPERMEABILIZACION BANO - COCINA LOGIA]]=BD$2,100%,AVANCE[[#This Row],[IMPERMEABILIZACION BANO - COCINA LOGIA]])</f>
        <v>0</v>
      </c>
      <c r="CR386" s="40">
        <f ca="1">+IF(AVANCE[[#This Row],[ESTADO MODULO]]="PENDIENTE",(TODAY()-AVANCE[[#This Row],[FECHA TERMINO  PLANIFICADO]]),0)</f>
        <v>0</v>
      </c>
      <c r="CS386" s="42" t="str" cm="1">
        <f t="array" ref="CS386">_xlfn.TEXTJOIN(" | ",TRUE,IF(SUMPRODUCT((BF386:CQ386&lt;1)*(PARTIDAS!$I$2:$AT$2="OBRA GRUESA"))&gt;0,"OBRA GRUESA: "&amp;_xlfn.TEXTJOIN(", ",TRUE,IF((BF386:CQ386&lt;1)*(PARTIDAS!$I$2:$AT$2="OBRA GRUESA"),PARTIDAS!$I$1:$AT$1,"")),""),IF(SUMPRODUCT((BF386:CQ386&lt;1)*(PARTIDAS!$I$2:$AT$2="SANITARIOS"))&gt;0,"SANITARIOS: "&amp;_xlfn.TEXTJOIN(", ",TRUE,IF((BF386:CQ386&lt;1)*(PARTIDAS!$I$2:$AT$2="SANITARIOS"),PARTIDAS!$I$1:$AT$1,"")),""),IF(SUMPRODUCT((BF386:CQ386&lt;1)*(PARTIDAS!$I$2:$AT$2="ELÉCTRICO"))&gt;0,"ELÉCTRICO: "&amp;_xlfn.TEXTJOIN(", ",TRUE,IF((BF386:CQ386&lt;1)*(PARTIDAS!$I$2:$AT$2="ELÉCTRICO"),PARTIDAS!$I$1:$AT$1,"")),""),IF(SUMPRODUCT((BF386:CQ386&lt;1)*(PARTIDAS!$I$2:$AT$2="TERMINACIONES"))&gt;0,"TERMINACIONES: "&amp;_xlfn.TEXTJOIN(", ",TRUE,IF((BF386:CQ386&lt;1)*(PARTIDAS!$I$2:$AT$2="TERMINACIONES"),PARTIDAS!$I$1:$AT$1,"")),""))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6" s="45" t="str" cm="1">
        <f t="array" ref="CT386">_xlfn.TEXTJOIN(", ",TRUE,IF(SUMPRODUCT((BF386:CQ386&lt;1)*(PARTIDAS!$I$2:$AT$2="OBRA GRUESA"))&gt;0,"OBRA GRUESA",""),IF(SUMPRODUCT((BF386:CQ386&lt;1)*(PARTIDAS!$I$2:$AT$2="SANITARIOS"))&gt;0,"SANITARIOS",""),IF(SUMPRODUCT((BF386:CQ386&lt;1)*(PARTIDAS!$I$2:$AT$2="ELÉCTRICO"))&gt;0,"ELÉCTRICO",""),IF(SUMPRODUCT((BF386:CQ386&lt;1)*(PARTIDAS!$I$2:$AT$2="TERMINACIONES"))&gt;0,"TERMINACIONES",""))</f>
        <v>OBRA GRUESA, SANITARIOS, ELÉCTRICO, TERMINACIONES</v>
      </c>
      <c r="CU386" s="46" cm="1">
        <f t="array" ref="CU386">SUMPRODUCT(--(BF386:CQ386&lt;1))</f>
        <v>38</v>
      </c>
    </row>
    <row r="387" spans="1:99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46181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 s="3" t="str">
        <f>+IF(AVANCE[[#This Row],[% AVANCE]]=100%,"MODULO TERMINADO",IF(AVANCE[[#This Row],[FECHA INICIO REAL]]="","MODULO NO INICIADO","PENDIENTE"))</f>
        <v>MODULO NO INICIADO</v>
      </c>
      <c r="BF387" s="3">
        <f>+IF(AVANCE[[#This Row],[VENTANAS]]=8.10810810810811%,100%,AVANCE[[#This Row],[VENTANAS]])</f>
        <v>0</v>
      </c>
      <c r="BG387" s="3">
        <f>+IF(AVANCE[[#This Row],[PISO]]=N$2,100%,AVANCE[[#This Row],[PISO]])</f>
        <v>0</v>
      </c>
      <c r="BH387" s="3">
        <f>+IF(AVANCE[[#This Row],[TABIQUES]]=O$2,100%,AVANCE[[#This Row],[TABIQUES]])</f>
        <v>0</v>
      </c>
      <c r="BI387" s="3">
        <f>+IF(AVANCE[[#This Row],[MUROS]]=P$2,100%,AVANCE[[#This Row],[MUROS]])</f>
        <v>0</v>
      </c>
      <c r="BJ387" s="3">
        <f>+IF(AVANCE[[#This Row],[CIELO]]=Q$2,100%,AVANCE[[#This Row],[CIELO]])</f>
        <v>0</v>
      </c>
      <c r="BK387" s="3">
        <f>+IF(AVANCE[[#This Row],[BALCÓN]]=R$2,100%,AVANCE[[#This Row],[BALCÓN]])</f>
        <v>0</v>
      </c>
      <c r="BL387" s="3">
        <f>+IF(AVANCE[[#This Row],[RED ALCANTARILLADO]]=U$2,100%,AVANCE[[#This Row],[RED ALCANTARILLADO]])</f>
        <v>0</v>
      </c>
      <c r="BM387" s="3">
        <f>+IF(AVANCE[[#This Row],[RED DE AGUA]]=V$2,100%,AVANCE[[#This Row],[RED DE AGUA]])</f>
        <v>0</v>
      </c>
      <c r="BN387" s="3">
        <f>+IF(AVANCE[[#This Row],[VENTILACIONES]]=W$2,100%,AVANCE[[#This Row],[VENTILACIONES]])</f>
        <v>0</v>
      </c>
      <c r="BO387" s="3">
        <f>+IF(AVANCE[[#This Row],[TINA]]=X$2,100%,AVANCE[[#This Row],[TINA]])</f>
        <v>0</v>
      </c>
      <c r="BP387" s="3">
        <f>+IF(AVANCE[[#This Row],[WC]]=Y$2,100%,AVANCE[[#This Row],[WC]])</f>
        <v>0</v>
      </c>
      <c r="BQ387" s="3">
        <f>+IF(AVANCE[[#This Row],[LAVAMANOS / LAVAPLATOS / LAVADERO]]=Z$2,100%,AVANCE[[#This Row],[LAVAMANOS / LAVAPLATOS / LAVADERO]])</f>
        <v>0</v>
      </c>
      <c r="BR387" s="3">
        <f>+IF(AVANCE[[#This Row],[CANALIZACIÓN]]=AC$2,100%,AVANCE[[#This Row],[CANALIZACIÓN]])</f>
        <v>0</v>
      </c>
      <c r="BS387" s="3">
        <f>+IF(AVANCE[[#This Row],[CABLEADO]]=AD$2,100%,AVANCE[[#This Row],[CABLEADO]])</f>
        <v>0</v>
      </c>
      <c r="BT387" s="3">
        <f>+IF(AVANCE[[#This Row],[ARTEFACTOS]]=AE$2,100%,AVANCE[[#This Row],[ARTEFACTOS]])</f>
        <v>0</v>
      </c>
      <c r="BU387" s="3">
        <f>+IF(AVANCE[[#This Row],[TABLERO]]=AF$2,100%,AVANCE[[#This Row],[TABLERO]])</f>
        <v>0</v>
      </c>
      <c r="BV387" s="3">
        <f>+IF(AVANCE[[#This Row],[CAJA PAU]]=AG$2,100%,AVANCE[[#This Row],[CAJA PAU]])</f>
        <v>0</v>
      </c>
      <c r="BW387" s="3">
        <f>+IF(AVANCE[[#This Row],[INSTALACION VINILICO]]=AJ$2,100%,AVANCE[[#This Row],[INSTALACION VINILICO]])</f>
        <v>0</v>
      </c>
      <c r="BX387" s="3">
        <f>+IF(AVANCE[[#This Row],[OSB CUBIERTA]]=AK$2,100%,AVANCE[[#This Row],[OSB CUBIERTA]])</f>
        <v>0</v>
      </c>
      <c r="BY387" s="3">
        <f>+IF(AVANCE[[#This Row],[BARANDA BALCON]]=AL$2,100%,AVANCE[[#This Row],[BARANDA BALCON]])</f>
        <v>0</v>
      </c>
      <c r="BZ387" s="3">
        <f>+IF(AVANCE[[#This Row],[OSB EXTERIOR]]=AM$2,100%,AVANCE[[#This Row],[OSB EXTERIOR]])</f>
        <v>0</v>
      </c>
      <c r="CA387" s="3">
        <f>+IF(AVANCE[[#This Row],[SMART PANEL]]=AN$2,100%,AVANCE[[#This Row],[SMART PANEL]])</f>
        <v>0</v>
      </c>
      <c r="CB387" s="3">
        <f>+IF(AVANCE[[#This Row],[PINTURA EXTERIOR]]=AO$2,100%,AVANCE[[#This Row],[PINTURA EXTERIOR]])</f>
        <v>0</v>
      </c>
      <c r="CC387" s="3">
        <f>+IF(AVANCE[[#This Row],[ZOCALOS LOGIA]]=AP$2,100%,AVANCE[[#This Row],[ZOCALOS LOGIA]])</f>
        <v>0</v>
      </c>
      <c r="CD387" s="3">
        <f>+IF(AVANCE[[#This Row],[MOLDURAS]]=AQ$2,100%,AVANCE[[#This Row],[MOLDURAS]])</f>
        <v>0</v>
      </c>
      <c r="CE387" s="3">
        <f>+IF(AVANCE[[#This Row],[PILASTREO]]=AR$2,100%,AVANCE[[#This Row],[PILASTREO]])</f>
        <v>0</v>
      </c>
      <c r="CF387" s="3">
        <f>+IF(AVANCE[[#This Row],[CELOSIAS]]=AS$2,100%,AVANCE[[#This Row],[CELOSIAS]])</f>
        <v>0</v>
      </c>
      <c r="CG387" s="3">
        <f>+IF(AVANCE[[#This Row],[VENTANAS]]=AT$2,100%,AVANCE[[#This Row],[VENTANAS]])</f>
        <v>0</v>
      </c>
      <c r="CH387" s="3">
        <f>+IF(AVANCE[[#This Row],[PUERTAS ACCESO - LOGIA - BANO]]=AU$2,100%,AVANCE[[#This Row],[PUERTAS ACCESO - LOGIA - BANO]])</f>
        <v>0</v>
      </c>
      <c r="CI387" s="3">
        <f>+IF(AVANCE[[#This Row],[CERRADURAS]]=AV$2,100%,AVANCE[[#This Row],[CERRADURAS]])</f>
        <v>0</v>
      </c>
      <c r="CJ387" s="3">
        <f>+IF(AVANCE[[#This Row],[REVESTIMIENTO INTERIOR ZONA SECA]]=AW$2,100%,AVANCE[[#This Row],[REVESTIMIENTO INTERIOR ZONA SECA]])</f>
        <v>0</v>
      </c>
      <c r="CK387" s="3">
        <f>+IF(AVANCE[[#This Row],[REVESTIMIENTO INTERIOR ZONAS HUMEDAS]]=AX$2,100%,AVANCE[[#This Row],[REVESTIMIENTO INTERIOR ZONAS HUMEDAS]])</f>
        <v>0</v>
      </c>
      <c r="CL387" s="3">
        <f>+IF(AVANCE[[#This Row],[MEMBRANA CIELO]]=AY$2,100%,AVANCE[[#This Row],[MEMBRANA CIELO]])</f>
        <v>0</v>
      </c>
      <c r="CM387" s="3">
        <f>+IF(AVANCE[[#This Row],[LIMPIEZA FINAL]]=AZ$2,100%,AVANCE[[#This Row],[LIMPIEZA FINAL]])</f>
        <v>0</v>
      </c>
      <c r="CN387" s="3">
        <f>+IF(AVANCE[[#This Row],[PUERTAS DORMITORIO]]=BA$2,100%,AVANCE[[#This Row],[PUERTAS DORMITORIO]])</f>
        <v>0</v>
      </c>
      <c r="CO387" s="3">
        <f>+IF(AVANCE[[#This Row],[REVESTIMIENTO INTERIOR BANO]]=BB$2,100%,AVANCE[[#This Row],[REVESTIMIENTO INTERIOR BANO]])</f>
        <v>0</v>
      </c>
      <c r="CP387" s="3">
        <f>+IF(AVANCE[[#This Row],[MUEBLE LAVAPLATOS]]=BC$2,100%,AVANCE[[#This Row],[MUEBLE LAVAPLATOS]])</f>
        <v>0</v>
      </c>
      <c r="CQ387" s="3">
        <f>+IF(AVANCE[[#This Row],[IMPERMEABILIZACION BANO - COCINA LOGIA]]=BD$2,100%,AVANCE[[#This Row],[IMPERMEABILIZACION BANO - COCINA LOGIA]])</f>
        <v>0</v>
      </c>
      <c r="CR387" s="40">
        <f ca="1">+IF(AVANCE[[#This Row],[ESTADO MODULO]]="PENDIENTE",(TODAY()-AVANCE[[#This Row],[FECHA TERMINO  PLANIFICADO]]),0)</f>
        <v>0</v>
      </c>
      <c r="CS387" s="42" t="str" cm="1">
        <f t="array" ref="CS387">_xlfn.TEXTJOIN(" | ",TRUE,IF(SUMPRODUCT((BF387:CQ387&lt;1)*(PARTIDAS!$I$2:$AT$2="OBRA GRUESA"))&gt;0,"OBRA GRUESA: "&amp;_xlfn.TEXTJOIN(", ",TRUE,IF((BF387:CQ387&lt;1)*(PARTIDAS!$I$2:$AT$2="OBRA GRUESA"),PARTIDAS!$I$1:$AT$1,"")),""),IF(SUMPRODUCT((BF387:CQ387&lt;1)*(PARTIDAS!$I$2:$AT$2="SANITARIOS"))&gt;0,"SANITARIOS: "&amp;_xlfn.TEXTJOIN(", ",TRUE,IF((BF387:CQ387&lt;1)*(PARTIDAS!$I$2:$AT$2="SANITARIOS"),PARTIDAS!$I$1:$AT$1,"")),""),IF(SUMPRODUCT((BF387:CQ387&lt;1)*(PARTIDAS!$I$2:$AT$2="ELÉCTRICO"))&gt;0,"ELÉCTRICO: "&amp;_xlfn.TEXTJOIN(", ",TRUE,IF((BF387:CQ387&lt;1)*(PARTIDAS!$I$2:$AT$2="ELÉCTRICO"),PARTIDAS!$I$1:$AT$1,"")),""),IF(SUMPRODUCT((BF387:CQ387&lt;1)*(PARTIDAS!$I$2:$AT$2="TERMINACIONES"))&gt;0,"TERMINACIONES: "&amp;_xlfn.TEXTJOIN(", ",TRUE,IF((BF387:CQ387&lt;1)*(PARTIDAS!$I$2:$AT$2="TERMINACIONES"),PARTIDAS!$I$1:$AT$1,"")),""))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7" s="45" t="str" cm="1">
        <f t="array" ref="CT387">_xlfn.TEXTJOIN(", ",TRUE,IF(SUMPRODUCT((BF387:CQ387&lt;1)*(PARTIDAS!$I$2:$AT$2="OBRA GRUESA"))&gt;0,"OBRA GRUESA",""),IF(SUMPRODUCT((BF387:CQ387&lt;1)*(PARTIDAS!$I$2:$AT$2="SANITARIOS"))&gt;0,"SANITARIOS",""),IF(SUMPRODUCT((BF387:CQ387&lt;1)*(PARTIDAS!$I$2:$AT$2="ELÉCTRICO"))&gt;0,"ELÉCTRICO",""),IF(SUMPRODUCT((BF387:CQ387&lt;1)*(PARTIDAS!$I$2:$AT$2="TERMINACIONES"))&gt;0,"TERMINACIONES",""))</f>
        <v>OBRA GRUESA, SANITARIOS, ELÉCTRICO, TERMINACIONES</v>
      </c>
      <c r="CU387" s="46" cm="1">
        <f t="array" ref="CU387">SUMPRODUCT(--(BF387:CQ387&lt;1))</f>
        <v>38</v>
      </c>
    </row>
    <row r="388" spans="1:99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46181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 s="3" t="str">
        <f>+IF(AVANCE[[#This Row],[% AVANCE]]=100%,"MODULO TERMINADO",IF(AVANCE[[#This Row],[FECHA INICIO REAL]]="","MODULO NO INICIADO","PENDIENTE"))</f>
        <v>MODULO NO INICIADO</v>
      </c>
      <c r="BF388" s="3">
        <f>+IF(AVANCE[[#This Row],[VENTANAS]]=8.10810810810811%,100%,AVANCE[[#This Row],[VENTANAS]])</f>
        <v>0</v>
      </c>
      <c r="BG388" s="3">
        <f>+IF(AVANCE[[#This Row],[PISO]]=N$2,100%,AVANCE[[#This Row],[PISO]])</f>
        <v>0</v>
      </c>
      <c r="BH388" s="3">
        <f>+IF(AVANCE[[#This Row],[TABIQUES]]=O$2,100%,AVANCE[[#This Row],[TABIQUES]])</f>
        <v>0</v>
      </c>
      <c r="BI388" s="3">
        <f>+IF(AVANCE[[#This Row],[MUROS]]=P$2,100%,AVANCE[[#This Row],[MUROS]])</f>
        <v>0</v>
      </c>
      <c r="BJ388" s="3">
        <f>+IF(AVANCE[[#This Row],[CIELO]]=Q$2,100%,AVANCE[[#This Row],[CIELO]])</f>
        <v>0</v>
      </c>
      <c r="BK388" s="3">
        <f>+IF(AVANCE[[#This Row],[BALCÓN]]=R$2,100%,AVANCE[[#This Row],[BALCÓN]])</f>
        <v>0</v>
      </c>
      <c r="BL388" s="3">
        <f>+IF(AVANCE[[#This Row],[RED ALCANTARILLADO]]=U$2,100%,AVANCE[[#This Row],[RED ALCANTARILLADO]])</f>
        <v>0</v>
      </c>
      <c r="BM388" s="3">
        <f>+IF(AVANCE[[#This Row],[RED DE AGUA]]=V$2,100%,AVANCE[[#This Row],[RED DE AGUA]])</f>
        <v>0</v>
      </c>
      <c r="BN388" s="3">
        <f>+IF(AVANCE[[#This Row],[VENTILACIONES]]=W$2,100%,AVANCE[[#This Row],[VENTILACIONES]])</f>
        <v>0</v>
      </c>
      <c r="BO388" s="3">
        <f>+IF(AVANCE[[#This Row],[TINA]]=X$2,100%,AVANCE[[#This Row],[TINA]])</f>
        <v>0</v>
      </c>
      <c r="BP388" s="3">
        <f>+IF(AVANCE[[#This Row],[WC]]=Y$2,100%,AVANCE[[#This Row],[WC]])</f>
        <v>0</v>
      </c>
      <c r="BQ388" s="3">
        <f>+IF(AVANCE[[#This Row],[LAVAMANOS / LAVAPLATOS / LAVADERO]]=Z$2,100%,AVANCE[[#This Row],[LAVAMANOS / LAVAPLATOS / LAVADERO]])</f>
        <v>0</v>
      </c>
      <c r="BR388" s="3">
        <f>+IF(AVANCE[[#This Row],[CANALIZACIÓN]]=AC$2,100%,AVANCE[[#This Row],[CANALIZACIÓN]])</f>
        <v>0</v>
      </c>
      <c r="BS388" s="3">
        <f>+IF(AVANCE[[#This Row],[CABLEADO]]=AD$2,100%,AVANCE[[#This Row],[CABLEADO]])</f>
        <v>0</v>
      </c>
      <c r="BT388" s="3">
        <f>+IF(AVANCE[[#This Row],[ARTEFACTOS]]=AE$2,100%,AVANCE[[#This Row],[ARTEFACTOS]])</f>
        <v>0</v>
      </c>
      <c r="BU388" s="3">
        <f>+IF(AVANCE[[#This Row],[TABLERO]]=AF$2,100%,AVANCE[[#This Row],[TABLERO]])</f>
        <v>0</v>
      </c>
      <c r="BV388" s="3">
        <f>+IF(AVANCE[[#This Row],[CAJA PAU]]=AG$2,100%,AVANCE[[#This Row],[CAJA PAU]])</f>
        <v>0</v>
      </c>
      <c r="BW388" s="3">
        <f>+IF(AVANCE[[#This Row],[INSTALACION VINILICO]]=AJ$2,100%,AVANCE[[#This Row],[INSTALACION VINILICO]])</f>
        <v>0</v>
      </c>
      <c r="BX388" s="3">
        <f>+IF(AVANCE[[#This Row],[OSB CUBIERTA]]=AK$2,100%,AVANCE[[#This Row],[OSB CUBIERTA]])</f>
        <v>0</v>
      </c>
      <c r="BY388" s="3">
        <f>+IF(AVANCE[[#This Row],[BARANDA BALCON]]=AL$2,100%,AVANCE[[#This Row],[BARANDA BALCON]])</f>
        <v>0</v>
      </c>
      <c r="BZ388" s="3">
        <f>+IF(AVANCE[[#This Row],[OSB EXTERIOR]]=AM$2,100%,AVANCE[[#This Row],[OSB EXTERIOR]])</f>
        <v>0</v>
      </c>
      <c r="CA388" s="3">
        <f>+IF(AVANCE[[#This Row],[SMART PANEL]]=AN$2,100%,AVANCE[[#This Row],[SMART PANEL]])</f>
        <v>0</v>
      </c>
      <c r="CB388" s="3">
        <f>+IF(AVANCE[[#This Row],[PINTURA EXTERIOR]]=AO$2,100%,AVANCE[[#This Row],[PINTURA EXTERIOR]])</f>
        <v>0</v>
      </c>
      <c r="CC388" s="3">
        <f>+IF(AVANCE[[#This Row],[ZOCALOS LOGIA]]=AP$2,100%,AVANCE[[#This Row],[ZOCALOS LOGIA]])</f>
        <v>0</v>
      </c>
      <c r="CD388" s="3">
        <f>+IF(AVANCE[[#This Row],[MOLDURAS]]=AQ$2,100%,AVANCE[[#This Row],[MOLDURAS]])</f>
        <v>0</v>
      </c>
      <c r="CE388" s="3">
        <f>+IF(AVANCE[[#This Row],[PILASTREO]]=AR$2,100%,AVANCE[[#This Row],[PILASTREO]])</f>
        <v>0</v>
      </c>
      <c r="CF388" s="3">
        <f>+IF(AVANCE[[#This Row],[CELOSIAS]]=AS$2,100%,AVANCE[[#This Row],[CELOSIAS]])</f>
        <v>0</v>
      </c>
      <c r="CG388" s="3">
        <f>+IF(AVANCE[[#This Row],[VENTANAS]]=AT$2,100%,AVANCE[[#This Row],[VENTANAS]])</f>
        <v>0</v>
      </c>
      <c r="CH388" s="3">
        <f>+IF(AVANCE[[#This Row],[PUERTAS ACCESO - LOGIA - BANO]]=AU$2,100%,AVANCE[[#This Row],[PUERTAS ACCESO - LOGIA - BANO]])</f>
        <v>0</v>
      </c>
      <c r="CI388" s="3">
        <f>+IF(AVANCE[[#This Row],[CERRADURAS]]=AV$2,100%,AVANCE[[#This Row],[CERRADURAS]])</f>
        <v>0</v>
      </c>
      <c r="CJ388" s="3">
        <f>+IF(AVANCE[[#This Row],[REVESTIMIENTO INTERIOR ZONA SECA]]=AW$2,100%,AVANCE[[#This Row],[REVESTIMIENTO INTERIOR ZONA SECA]])</f>
        <v>0</v>
      </c>
      <c r="CK388" s="3">
        <f>+IF(AVANCE[[#This Row],[REVESTIMIENTO INTERIOR ZONAS HUMEDAS]]=AX$2,100%,AVANCE[[#This Row],[REVESTIMIENTO INTERIOR ZONAS HUMEDAS]])</f>
        <v>0</v>
      </c>
      <c r="CL388" s="3">
        <f>+IF(AVANCE[[#This Row],[MEMBRANA CIELO]]=AY$2,100%,AVANCE[[#This Row],[MEMBRANA CIELO]])</f>
        <v>0</v>
      </c>
      <c r="CM388" s="3">
        <f>+IF(AVANCE[[#This Row],[LIMPIEZA FINAL]]=AZ$2,100%,AVANCE[[#This Row],[LIMPIEZA FINAL]])</f>
        <v>0</v>
      </c>
      <c r="CN388" s="3">
        <f>+IF(AVANCE[[#This Row],[PUERTAS DORMITORIO]]=BA$2,100%,AVANCE[[#This Row],[PUERTAS DORMITORIO]])</f>
        <v>0</v>
      </c>
      <c r="CO388" s="3">
        <f>+IF(AVANCE[[#This Row],[REVESTIMIENTO INTERIOR BANO]]=BB$2,100%,AVANCE[[#This Row],[REVESTIMIENTO INTERIOR BANO]])</f>
        <v>0</v>
      </c>
      <c r="CP388" s="3">
        <f>+IF(AVANCE[[#This Row],[MUEBLE LAVAPLATOS]]=BC$2,100%,AVANCE[[#This Row],[MUEBLE LAVAPLATOS]])</f>
        <v>0</v>
      </c>
      <c r="CQ388" s="3">
        <f>+IF(AVANCE[[#This Row],[IMPERMEABILIZACION BANO - COCINA LOGIA]]=BD$2,100%,AVANCE[[#This Row],[IMPERMEABILIZACION BANO - COCINA LOGIA]])</f>
        <v>0</v>
      </c>
      <c r="CR388" s="40">
        <f ca="1">+IF(AVANCE[[#This Row],[ESTADO MODULO]]="PENDIENTE",(TODAY()-AVANCE[[#This Row],[FECHA TERMINO  PLANIFICADO]]),0)</f>
        <v>0</v>
      </c>
      <c r="CS388" s="42" t="str" cm="1">
        <f t="array" ref="CS388">_xlfn.TEXTJOIN(" | ",TRUE,IF(SUMPRODUCT((BF388:CQ388&lt;1)*(PARTIDAS!$I$2:$AT$2="OBRA GRUESA"))&gt;0,"OBRA GRUESA: "&amp;_xlfn.TEXTJOIN(", ",TRUE,IF((BF388:CQ388&lt;1)*(PARTIDAS!$I$2:$AT$2="OBRA GRUESA"),PARTIDAS!$I$1:$AT$1,"")),""),IF(SUMPRODUCT((BF388:CQ388&lt;1)*(PARTIDAS!$I$2:$AT$2="SANITARIOS"))&gt;0,"SANITARIOS: "&amp;_xlfn.TEXTJOIN(", ",TRUE,IF((BF388:CQ388&lt;1)*(PARTIDAS!$I$2:$AT$2="SANITARIOS"),PARTIDAS!$I$1:$AT$1,"")),""),IF(SUMPRODUCT((BF388:CQ388&lt;1)*(PARTIDAS!$I$2:$AT$2="ELÉCTRICO"))&gt;0,"ELÉCTRICO: "&amp;_xlfn.TEXTJOIN(", ",TRUE,IF((BF388:CQ388&lt;1)*(PARTIDAS!$I$2:$AT$2="ELÉCTRICO"),PARTIDAS!$I$1:$AT$1,"")),""),IF(SUMPRODUCT((BF388:CQ388&lt;1)*(PARTIDAS!$I$2:$AT$2="TERMINACIONES"))&gt;0,"TERMINACIONES: "&amp;_xlfn.TEXTJOIN(", ",TRUE,IF((BF388:CQ388&lt;1)*(PARTIDAS!$I$2:$AT$2="TERMINACIONES"),PARTIDAS!$I$1:$AT$1,"")),""))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8" s="45" t="str" cm="1">
        <f t="array" ref="CT388">_xlfn.TEXTJOIN(", ",TRUE,IF(SUMPRODUCT((BF388:CQ388&lt;1)*(PARTIDAS!$I$2:$AT$2="OBRA GRUESA"))&gt;0,"OBRA GRUESA",""),IF(SUMPRODUCT((BF388:CQ388&lt;1)*(PARTIDAS!$I$2:$AT$2="SANITARIOS"))&gt;0,"SANITARIOS",""),IF(SUMPRODUCT((BF388:CQ388&lt;1)*(PARTIDAS!$I$2:$AT$2="ELÉCTRICO"))&gt;0,"ELÉCTRICO",""),IF(SUMPRODUCT((BF388:CQ388&lt;1)*(PARTIDAS!$I$2:$AT$2="TERMINACIONES"))&gt;0,"TERMINACIONES",""))</f>
        <v>OBRA GRUESA, SANITARIOS, ELÉCTRICO, TERMINACIONES</v>
      </c>
      <c r="CU388" s="46" cm="1">
        <f t="array" ref="CU388">SUMPRODUCT(--(BF388:CQ388&lt;1))</f>
        <v>38</v>
      </c>
    </row>
    <row r="389" spans="1:99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46181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 s="3" t="str">
        <f>+IF(AVANCE[[#This Row],[% AVANCE]]=100%,"MODULO TERMINADO",IF(AVANCE[[#This Row],[FECHA INICIO REAL]]="","MODULO NO INICIADO","PENDIENTE"))</f>
        <v>MODULO NO INICIADO</v>
      </c>
      <c r="BF389" s="3">
        <f>+IF(AVANCE[[#This Row],[VENTANAS]]=8.10810810810811%,100%,AVANCE[[#This Row],[VENTANAS]])</f>
        <v>0</v>
      </c>
      <c r="BG389" s="3">
        <f>+IF(AVANCE[[#This Row],[PISO]]=N$2,100%,AVANCE[[#This Row],[PISO]])</f>
        <v>0</v>
      </c>
      <c r="BH389" s="3">
        <f>+IF(AVANCE[[#This Row],[TABIQUES]]=O$2,100%,AVANCE[[#This Row],[TABIQUES]])</f>
        <v>0</v>
      </c>
      <c r="BI389" s="3">
        <f>+IF(AVANCE[[#This Row],[MUROS]]=P$2,100%,AVANCE[[#This Row],[MUROS]])</f>
        <v>0</v>
      </c>
      <c r="BJ389" s="3">
        <f>+IF(AVANCE[[#This Row],[CIELO]]=Q$2,100%,AVANCE[[#This Row],[CIELO]])</f>
        <v>0</v>
      </c>
      <c r="BK389" s="3">
        <f>+IF(AVANCE[[#This Row],[BALCÓN]]=R$2,100%,AVANCE[[#This Row],[BALCÓN]])</f>
        <v>0</v>
      </c>
      <c r="BL389" s="3">
        <f>+IF(AVANCE[[#This Row],[RED ALCANTARILLADO]]=U$2,100%,AVANCE[[#This Row],[RED ALCANTARILLADO]])</f>
        <v>0</v>
      </c>
      <c r="BM389" s="3">
        <f>+IF(AVANCE[[#This Row],[RED DE AGUA]]=V$2,100%,AVANCE[[#This Row],[RED DE AGUA]])</f>
        <v>0</v>
      </c>
      <c r="BN389" s="3">
        <f>+IF(AVANCE[[#This Row],[VENTILACIONES]]=W$2,100%,AVANCE[[#This Row],[VENTILACIONES]])</f>
        <v>0</v>
      </c>
      <c r="BO389" s="3">
        <f>+IF(AVANCE[[#This Row],[TINA]]=X$2,100%,AVANCE[[#This Row],[TINA]])</f>
        <v>0</v>
      </c>
      <c r="BP389" s="3">
        <f>+IF(AVANCE[[#This Row],[WC]]=Y$2,100%,AVANCE[[#This Row],[WC]])</f>
        <v>0</v>
      </c>
      <c r="BQ389" s="3">
        <f>+IF(AVANCE[[#This Row],[LAVAMANOS / LAVAPLATOS / LAVADERO]]=Z$2,100%,AVANCE[[#This Row],[LAVAMANOS / LAVAPLATOS / LAVADERO]])</f>
        <v>0</v>
      </c>
      <c r="BR389" s="3">
        <f>+IF(AVANCE[[#This Row],[CANALIZACIÓN]]=AC$2,100%,AVANCE[[#This Row],[CANALIZACIÓN]])</f>
        <v>0</v>
      </c>
      <c r="BS389" s="3">
        <f>+IF(AVANCE[[#This Row],[CABLEADO]]=AD$2,100%,AVANCE[[#This Row],[CABLEADO]])</f>
        <v>0</v>
      </c>
      <c r="BT389" s="3">
        <f>+IF(AVANCE[[#This Row],[ARTEFACTOS]]=AE$2,100%,AVANCE[[#This Row],[ARTEFACTOS]])</f>
        <v>0</v>
      </c>
      <c r="BU389" s="3">
        <f>+IF(AVANCE[[#This Row],[TABLERO]]=AF$2,100%,AVANCE[[#This Row],[TABLERO]])</f>
        <v>0</v>
      </c>
      <c r="BV389" s="3">
        <f>+IF(AVANCE[[#This Row],[CAJA PAU]]=AG$2,100%,AVANCE[[#This Row],[CAJA PAU]])</f>
        <v>0</v>
      </c>
      <c r="BW389" s="3">
        <f>+IF(AVANCE[[#This Row],[INSTALACION VINILICO]]=AJ$2,100%,AVANCE[[#This Row],[INSTALACION VINILICO]])</f>
        <v>0</v>
      </c>
      <c r="BX389" s="3">
        <f>+IF(AVANCE[[#This Row],[OSB CUBIERTA]]=AK$2,100%,AVANCE[[#This Row],[OSB CUBIERTA]])</f>
        <v>0</v>
      </c>
      <c r="BY389" s="3">
        <f>+IF(AVANCE[[#This Row],[BARANDA BALCON]]=AL$2,100%,AVANCE[[#This Row],[BARANDA BALCON]])</f>
        <v>0</v>
      </c>
      <c r="BZ389" s="3">
        <f>+IF(AVANCE[[#This Row],[OSB EXTERIOR]]=AM$2,100%,AVANCE[[#This Row],[OSB EXTERIOR]])</f>
        <v>0</v>
      </c>
      <c r="CA389" s="3">
        <f>+IF(AVANCE[[#This Row],[SMART PANEL]]=AN$2,100%,AVANCE[[#This Row],[SMART PANEL]])</f>
        <v>0</v>
      </c>
      <c r="CB389" s="3">
        <f>+IF(AVANCE[[#This Row],[PINTURA EXTERIOR]]=AO$2,100%,AVANCE[[#This Row],[PINTURA EXTERIOR]])</f>
        <v>0</v>
      </c>
      <c r="CC389" s="3">
        <f>+IF(AVANCE[[#This Row],[ZOCALOS LOGIA]]=AP$2,100%,AVANCE[[#This Row],[ZOCALOS LOGIA]])</f>
        <v>0</v>
      </c>
      <c r="CD389" s="3">
        <f>+IF(AVANCE[[#This Row],[MOLDURAS]]=AQ$2,100%,AVANCE[[#This Row],[MOLDURAS]])</f>
        <v>0</v>
      </c>
      <c r="CE389" s="3">
        <f>+IF(AVANCE[[#This Row],[PILASTREO]]=AR$2,100%,AVANCE[[#This Row],[PILASTREO]])</f>
        <v>0</v>
      </c>
      <c r="CF389" s="3">
        <f>+IF(AVANCE[[#This Row],[CELOSIAS]]=AS$2,100%,AVANCE[[#This Row],[CELOSIAS]])</f>
        <v>0</v>
      </c>
      <c r="CG389" s="3">
        <f>+IF(AVANCE[[#This Row],[VENTANAS]]=AT$2,100%,AVANCE[[#This Row],[VENTANAS]])</f>
        <v>0</v>
      </c>
      <c r="CH389" s="3">
        <f>+IF(AVANCE[[#This Row],[PUERTAS ACCESO - LOGIA - BANO]]=AU$2,100%,AVANCE[[#This Row],[PUERTAS ACCESO - LOGIA - BANO]])</f>
        <v>0</v>
      </c>
      <c r="CI389" s="3">
        <f>+IF(AVANCE[[#This Row],[CERRADURAS]]=AV$2,100%,AVANCE[[#This Row],[CERRADURAS]])</f>
        <v>0</v>
      </c>
      <c r="CJ389" s="3">
        <f>+IF(AVANCE[[#This Row],[REVESTIMIENTO INTERIOR ZONA SECA]]=AW$2,100%,AVANCE[[#This Row],[REVESTIMIENTO INTERIOR ZONA SECA]])</f>
        <v>0</v>
      </c>
      <c r="CK389" s="3">
        <f>+IF(AVANCE[[#This Row],[REVESTIMIENTO INTERIOR ZONAS HUMEDAS]]=AX$2,100%,AVANCE[[#This Row],[REVESTIMIENTO INTERIOR ZONAS HUMEDAS]])</f>
        <v>0</v>
      </c>
      <c r="CL389" s="3">
        <f>+IF(AVANCE[[#This Row],[MEMBRANA CIELO]]=AY$2,100%,AVANCE[[#This Row],[MEMBRANA CIELO]])</f>
        <v>0</v>
      </c>
      <c r="CM389" s="3">
        <f>+IF(AVANCE[[#This Row],[LIMPIEZA FINAL]]=AZ$2,100%,AVANCE[[#This Row],[LIMPIEZA FINAL]])</f>
        <v>0</v>
      </c>
      <c r="CN389" s="3">
        <f>+IF(AVANCE[[#This Row],[PUERTAS DORMITORIO]]=BA$2,100%,AVANCE[[#This Row],[PUERTAS DORMITORIO]])</f>
        <v>0</v>
      </c>
      <c r="CO389" s="3">
        <f>+IF(AVANCE[[#This Row],[REVESTIMIENTO INTERIOR BANO]]=BB$2,100%,AVANCE[[#This Row],[REVESTIMIENTO INTERIOR BANO]])</f>
        <v>0</v>
      </c>
      <c r="CP389" s="3">
        <f>+IF(AVANCE[[#This Row],[MUEBLE LAVAPLATOS]]=BC$2,100%,AVANCE[[#This Row],[MUEBLE LAVAPLATOS]])</f>
        <v>0</v>
      </c>
      <c r="CQ389" s="3">
        <f>+IF(AVANCE[[#This Row],[IMPERMEABILIZACION BANO - COCINA LOGIA]]=BD$2,100%,AVANCE[[#This Row],[IMPERMEABILIZACION BANO - COCINA LOGIA]])</f>
        <v>0</v>
      </c>
      <c r="CR389" s="40">
        <f ca="1">+IF(AVANCE[[#This Row],[ESTADO MODULO]]="PENDIENTE",(TODAY()-AVANCE[[#This Row],[FECHA TERMINO  PLANIFICADO]]),0)</f>
        <v>0</v>
      </c>
      <c r="CS389" s="42" t="str" cm="1">
        <f t="array" ref="CS389">_xlfn.TEXTJOIN(" | ",TRUE,IF(SUMPRODUCT((BF389:CQ389&lt;1)*(PARTIDAS!$I$2:$AT$2="OBRA GRUESA"))&gt;0,"OBRA GRUESA: "&amp;_xlfn.TEXTJOIN(", ",TRUE,IF((BF389:CQ389&lt;1)*(PARTIDAS!$I$2:$AT$2="OBRA GRUESA"),PARTIDAS!$I$1:$AT$1,"")),""),IF(SUMPRODUCT((BF389:CQ389&lt;1)*(PARTIDAS!$I$2:$AT$2="SANITARIOS"))&gt;0,"SANITARIOS: "&amp;_xlfn.TEXTJOIN(", ",TRUE,IF((BF389:CQ389&lt;1)*(PARTIDAS!$I$2:$AT$2="SANITARIOS"),PARTIDAS!$I$1:$AT$1,"")),""),IF(SUMPRODUCT((BF389:CQ389&lt;1)*(PARTIDAS!$I$2:$AT$2="ELÉCTRICO"))&gt;0,"ELÉCTRICO: "&amp;_xlfn.TEXTJOIN(", ",TRUE,IF((BF389:CQ389&lt;1)*(PARTIDAS!$I$2:$AT$2="ELÉCTRICO"),PARTIDAS!$I$1:$AT$1,"")),""),IF(SUMPRODUCT((BF389:CQ389&lt;1)*(PARTIDAS!$I$2:$AT$2="TERMINACIONES"))&gt;0,"TERMINACIONES: "&amp;_xlfn.TEXTJOIN(", ",TRUE,IF((BF389:CQ389&lt;1)*(PARTIDAS!$I$2:$AT$2="TERMINACIONES"),PARTIDAS!$I$1:$AT$1,"")),""))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89" s="45" t="str" cm="1">
        <f t="array" ref="CT389">_xlfn.TEXTJOIN(", ",TRUE,IF(SUMPRODUCT((BF389:CQ389&lt;1)*(PARTIDAS!$I$2:$AT$2="OBRA GRUESA"))&gt;0,"OBRA GRUESA",""),IF(SUMPRODUCT((BF389:CQ389&lt;1)*(PARTIDAS!$I$2:$AT$2="SANITARIOS"))&gt;0,"SANITARIOS",""),IF(SUMPRODUCT((BF389:CQ389&lt;1)*(PARTIDAS!$I$2:$AT$2="ELÉCTRICO"))&gt;0,"ELÉCTRICO",""),IF(SUMPRODUCT((BF389:CQ389&lt;1)*(PARTIDAS!$I$2:$AT$2="TERMINACIONES"))&gt;0,"TERMINACIONES",""))</f>
        <v>OBRA GRUESA, SANITARIOS, ELÉCTRICO, TERMINACIONES</v>
      </c>
      <c r="CU389" s="46" cm="1">
        <f t="array" ref="CU389">SUMPRODUCT(--(BF389:CQ389&lt;1))</f>
        <v>38</v>
      </c>
    </row>
    <row r="390" spans="1:99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46181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 s="3" t="str">
        <f>+IF(AVANCE[[#This Row],[% AVANCE]]=100%,"MODULO TERMINADO",IF(AVANCE[[#This Row],[FECHA INICIO REAL]]="","MODULO NO INICIADO","PENDIENTE"))</f>
        <v>MODULO NO INICIADO</v>
      </c>
      <c r="BF390" s="3">
        <f>+IF(AVANCE[[#This Row],[VENTANAS]]=8.10810810810811%,100%,AVANCE[[#This Row],[VENTANAS]])</f>
        <v>0</v>
      </c>
      <c r="BG390" s="3">
        <f>+IF(AVANCE[[#This Row],[PISO]]=N$2,100%,AVANCE[[#This Row],[PISO]])</f>
        <v>0</v>
      </c>
      <c r="BH390" s="3">
        <f>+IF(AVANCE[[#This Row],[TABIQUES]]=O$2,100%,AVANCE[[#This Row],[TABIQUES]])</f>
        <v>0</v>
      </c>
      <c r="BI390" s="3">
        <f>+IF(AVANCE[[#This Row],[MUROS]]=P$2,100%,AVANCE[[#This Row],[MUROS]])</f>
        <v>0</v>
      </c>
      <c r="BJ390" s="3">
        <f>+IF(AVANCE[[#This Row],[CIELO]]=Q$2,100%,AVANCE[[#This Row],[CIELO]])</f>
        <v>0</v>
      </c>
      <c r="BK390" s="3">
        <f>+IF(AVANCE[[#This Row],[BALCÓN]]=R$2,100%,AVANCE[[#This Row],[BALCÓN]])</f>
        <v>0</v>
      </c>
      <c r="BL390" s="3">
        <f>+IF(AVANCE[[#This Row],[RED ALCANTARILLADO]]=U$2,100%,AVANCE[[#This Row],[RED ALCANTARILLADO]])</f>
        <v>0</v>
      </c>
      <c r="BM390" s="3">
        <f>+IF(AVANCE[[#This Row],[RED DE AGUA]]=V$2,100%,AVANCE[[#This Row],[RED DE AGUA]])</f>
        <v>0</v>
      </c>
      <c r="BN390" s="3">
        <f>+IF(AVANCE[[#This Row],[VENTILACIONES]]=W$2,100%,AVANCE[[#This Row],[VENTILACIONES]])</f>
        <v>0</v>
      </c>
      <c r="BO390" s="3">
        <f>+IF(AVANCE[[#This Row],[TINA]]=X$2,100%,AVANCE[[#This Row],[TINA]])</f>
        <v>0</v>
      </c>
      <c r="BP390" s="3">
        <f>+IF(AVANCE[[#This Row],[WC]]=Y$2,100%,AVANCE[[#This Row],[WC]])</f>
        <v>0</v>
      </c>
      <c r="BQ390" s="3">
        <f>+IF(AVANCE[[#This Row],[LAVAMANOS / LAVAPLATOS / LAVADERO]]=Z$2,100%,AVANCE[[#This Row],[LAVAMANOS / LAVAPLATOS / LAVADERO]])</f>
        <v>0</v>
      </c>
      <c r="BR390" s="3">
        <f>+IF(AVANCE[[#This Row],[CANALIZACIÓN]]=AC$2,100%,AVANCE[[#This Row],[CANALIZACIÓN]])</f>
        <v>0</v>
      </c>
      <c r="BS390" s="3">
        <f>+IF(AVANCE[[#This Row],[CABLEADO]]=AD$2,100%,AVANCE[[#This Row],[CABLEADO]])</f>
        <v>0</v>
      </c>
      <c r="BT390" s="3">
        <f>+IF(AVANCE[[#This Row],[ARTEFACTOS]]=AE$2,100%,AVANCE[[#This Row],[ARTEFACTOS]])</f>
        <v>0</v>
      </c>
      <c r="BU390" s="3">
        <f>+IF(AVANCE[[#This Row],[TABLERO]]=AF$2,100%,AVANCE[[#This Row],[TABLERO]])</f>
        <v>0</v>
      </c>
      <c r="BV390" s="3">
        <f>+IF(AVANCE[[#This Row],[CAJA PAU]]=AG$2,100%,AVANCE[[#This Row],[CAJA PAU]])</f>
        <v>0</v>
      </c>
      <c r="BW390" s="3">
        <f>+IF(AVANCE[[#This Row],[INSTALACION VINILICO]]=AJ$2,100%,AVANCE[[#This Row],[INSTALACION VINILICO]])</f>
        <v>0</v>
      </c>
      <c r="BX390" s="3">
        <f>+IF(AVANCE[[#This Row],[OSB CUBIERTA]]=AK$2,100%,AVANCE[[#This Row],[OSB CUBIERTA]])</f>
        <v>0</v>
      </c>
      <c r="BY390" s="3">
        <f>+IF(AVANCE[[#This Row],[BARANDA BALCON]]=AL$2,100%,AVANCE[[#This Row],[BARANDA BALCON]])</f>
        <v>0</v>
      </c>
      <c r="BZ390" s="3">
        <f>+IF(AVANCE[[#This Row],[OSB EXTERIOR]]=AM$2,100%,AVANCE[[#This Row],[OSB EXTERIOR]])</f>
        <v>0</v>
      </c>
      <c r="CA390" s="3">
        <f>+IF(AVANCE[[#This Row],[SMART PANEL]]=AN$2,100%,AVANCE[[#This Row],[SMART PANEL]])</f>
        <v>0</v>
      </c>
      <c r="CB390" s="3">
        <f>+IF(AVANCE[[#This Row],[PINTURA EXTERIOR]]=AO$2,100%,AVANCE[[#This Row],[PINTURA EXTERIOR]])</f>
        <v>0</v>
      </c>
      <c r="CC390" s="3">
        <f>+IF(AVANCE[[#This Row],[ZOCALOS LOGIA]]=AP$2,100%,AVANCE[[#This Row],[ZOCALOS LOGIA]])</f>
        <v>0</v>
      </c>
      <c r="CD390" s="3">
        <f>+IF(AVANCE[[#This Row],[MOLDURAS]]=AQ$2,100%,AVANCE[[#This Row],[MOLDURAS]])</f>
        <v>0</v>
      </c>
      <c r="CE390" s="3">
        <f>+IF(AVANCE[[#This Row],[PILASTREO]]=AR$2,100%,AVANCE[[#This Row],[PILASTREO]])</f>
        <v>0</v>
      </c>
      <c r="CF390" s="3">
        <f>+IF(AVANCE[[#This Row],[CELOSIAS]]=AS$2,100%,AVANCE[[#This Row],[CELOSIAS]])</f>
        <v>0</v>
      </c>
      <c r="CG390" s="3">
        <f>+IF(AVANCE[[#This Row],[VENTANAS]]=AT$2,100%,AVANCE[[#This Row],[VENTANAS]])</f>
        <v>0</v>
      </c>
      <c r="CH390" s="3">
        <f>+IF(AVANCE[[#This Row],[PUERTAS ACCESO - LOGIA - BANO]]=AU$2,100%,AVANCE[[#This Row],[PUERTAS ACCESO - LOGIA - BANO]])</f>
        <v>0</v>
      </c>
      <c r="CI390" s="3">
        <f>+IF(AVANCE[[#This Row],[CERRADURAS]]=AV$2,100%,AVANCE[[#This Row],[CERRADURAS]])</f>
        <v>0</v>
      </c>
      <c r="CJ390" s="3">
        <f>+IF(AVANCE[[#This Row],[REVESTIMIENTO INTERIOR ZONA SECA]]=AW$2,100%,AVANCE[[#This Row],[REVESTIMIENTO INTERIOR ZONA SECA]])</f>
        <v>0</v>
      </c>
      <c r="CK390" s="3">
        <f>+IF(AVANCE[[#This Row],[REVESTIMIENTO INTERIOR ZONAS HUMEDAS]]=AX$2,100%,AVANCE[[#This Row],[REVESTIMIENTO INTERIOR ZONAS HUMEDAS]])</f>
        <v>0</v>
      </c>
      <c r="CL390" s="3">
        <f>+IF(AVANCE[[#This Row],[MEMBRANA CIELO]]=AY$2,100%,AVANCE[[#This Row],[MEMBRANA CIELO]])</f>
        <v>0</v>
      </c>
      <c r="CM390" s="3">
        <f>+IF(AVANCE[[#This Row],[LIMPIEZA FINAL]]=AZ$2,100%,AVANCE[[#This Row],[LIMPIEZA FINAL]])</f>
        <v>0</v>
      </c>
      <c r="CN390" s="3">
        <f>+IF(AVANCE[[#This Row],[PUERTAS DORMITORIO]]=BA$2,100%,AVANCE[[#This Row],[PUERTAS DORMITORIO]])</f>
        <v>0</v>
      </c>
      <c r="CO390" s="3">
        <f>+IF(AVANCE[[#This Row],[REVESTIMIENTO INTERIOR BANO]]=BB$2,100%,AVANCE[[#This Row],[REVESTIMIENTO INTERIOR BANO]])</f>
        <v>0</v>
      </c>
      <c r="CP390" s="3">
        <f>+IF(AVANCE[[#This Row],[MUEBLE LAVAPLATOS]]=BC$2,100%,AVANCE[[#This Row],[MUEBLE LAVAPLATOS]])</f>
        <v>0</v>
      </c>
      <c r="CQ390" s="3">
        <f>+IF(AVANCE[[#This Row],[IMPERMEABILIZACION BANO - COCINA LOGIA]]=BD$2,100%,AVANCE[[#This Row],[IMPERMEABILIZACION BANO - COCINA LOGIA]])</f>
        <v>0</v>
      </c>
      <c r="CR390" s="40">
        <f ca="1">+IF(AVANCE[[#This Row],[ESTADO MODULO]]="PENDIENTE",(TODAY()-AVANCE[[#This Row],[FECHA TERMINO  PLANIFICADO]]),0)</f>
        <v>0</v>
      </c>
      <c r="CS390" s="42" t="str" cm="1">
        <f t="array" ref="CS390">_xlfn.TEXTJOIN(" | ",TRUE,IF(SUMPRODUCT((BF390:CQ390&lt;1)*(PARTIDAS!$I$2:$AT$2="OBRA GRUESA"))&gt;0,"OBRA GRUESA: "&amp;_xlfn.TEXTJOIN(", ",TRUE,IF((BF390:CQ390&lt;1)*(PARTIDAS!$I$2:$AT$2="OBRA GRUESA"),PARTIDAS!$I$1:$AT$1,"")),""),IF(SUMPRODUCT((BF390:CQ390&lt;1)*(PARTIDAS!$I$2:$AT$2="SANITARIOS"))&gt;0,"SANITARIOS: "&amp;_xlfn.TEXTJOIN(", ",TRUE,IF((BF390:CQ390&lt;1)*(PARTIDAS!$I$2:$AT$2="SANITARIOS"),PARTIDAS!$I$1:$AT$1,"")),""),IF(SUMPRODUCT((BF390:CQ390&lt;1)*(PARTIDAS!$I$2:$AT$2="ELÉCTRICO"))&gt;0,"ELÉCTRICO: "&amp;_xlfn.TEXTJOIN(", ",TRUE,IF((BF390:CQ390&lt;1)*(PARTIDAS!$I$2:$AT$2="ELÉCTRICO"),PARTIDAS!$I$1:$AT$1,"")),""),IF(SUMPRODUCT((BF390:CQ390&lt;1)*(PARTIDAS!$I$2:$AT$2="TERMINACIONES"))&gt;0,"TERMINACIONES: "&amp;_xlfn.TEXTJOIN(", ",TRUE,IF((BF390:CQ390&lt;1)*(PARTIDAS!$I$2:$AT$2="TERMINACIONES"),PARTIDAS!$I$1:$AT$1,"")),""))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0" s="45" t="str" cm="1">
        <f t="array" ref="CT390">_xlfn.TEXTJOIN(", ",TRUE,IF(SUMPRODUCT((BF390:CQ390&lt;1)*(PARTIDAS!$I$2:$AT$2="OBRA GRUESA"))&gt;0,"OBRA GRUESA",""),IF(SUMPRODUCT((BF390:CQ390&lt;1)*(PARTIDAS!$I$2:$AT$2="SANITARIOS"))&gt;0,"SANITARIOS",""),IF(SUMPRODUCT((BF390:CQ390&lt;1)*(PARTIDAS!$I$2:$AT$2="ELÉCTRICO"))&gt;0,"ELÉCTRICO",""),IF(SUMPRODUCT((BF390:CQ390&lt;1)*(PARTIDAS!$I$2:$AT$2="TERMINACIONES"))&gt;0,"TERMINACIONES",""))</f>
        <v>OBRA GRUESA, SANITARIOS, ELÉCTRICO, TERMINACIONES</v>
      </c>
      <c r="CU390" s="46" cm="1">
        <f t="array" ref="CU390">SUMPRODUCT(--(BF390:CQ390&lt;1))</f>
        <v>38</v>
      </c>
    </row>
    <row r="391" spans="1:99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46181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 s="3" t="str">
        <f>+IF(AVANCE[[#This Row],[% AVANCE]]=100%,"MODULO TERMINADO",IF(AVANCE[[#This Row],[FECHA INICIO REAL]]="","MODULO NO INICIADO","PENDIENTE"))</f>
        <v>MODULO NO INICIADO</v>
      </c>
      <c r="BF391" s="3">
        <f>+IF(AVANCE[[#This Row],[VENTANAS]]=8.10810810810811%,100%,AVANCE[[#This Row],[VENTANAS]])</f>
        <v>0</v>
      </c>
      <c r="BG391" s="3">
        <f>+IF(AVANCE[[#This Row],[PISO]]=N$2,100%,AVANCE[[#This Row],[PISO]])</f>
        <v>0</v>
      </c>
      <c r="BH391" s="3">
        <f>+IF(AVANCE[[#This Row],[TABIQUES]]=O$2,100%,AVANCE[[#This Row],[TABIQUES]])</f>
        <v>0</v>
      </c>
      <c r="BI391" s="3">
        <f>+IF(AVANCE[[#This Row],[MUROS]]=P$2,100%,AVANCE[[#This Row],[MUROS]])</f>
        <v>0</v>
      </c>
      <c r="BJ391" s="3">
        <f>+IF(AVANCE[[#This Row],[CIELO]]=Q$2,100%,AVANCE[[#This Row],[CIELO]])</f>
        <v>0</v>
      </c>
      <c r="BK391" s="3">
        <f>+IF(AVANCE[[#This Row],[BALCÓN]]=R$2,100%,AVANCE[[#This Row],[BALCÓN]])</f>
        <v>0</v>
      </c>
      <c r="BL391" s="3">
        <f>+IF(AVANCE[[#This Row],[RED ALCANTARILLADO]]=U$2,100%,AVANCE[[#This Row],[RED ALCANTARILLADO]])</f>
        <v>0</v>
      </c>
      <c r="BM391" s="3">
        <f>+IF(AVANCE[[#This Row],[RED DE AGUA]]=V$2,100%,AVANCE[[#This Row],[RED DE AGUA]])</f>
        <v>0</v>
      </c>
      <c r="BN391" s="3">
        <f>+IF(AVANCE[[#This Row],[VENTILACIONES]]=W$2,100%,AVANCE[[#This Row],[VENTILACIONES]])</f>
        <v>0</v>
      </c>
      <c r="BO391" s="3">
        <f>+IF(AVANCE[[#This Row],[TINA]]=X$2,100%,AVANCE[[#This Row],[TINA]])</f>
        <v>0</v>
      </c>
      <c r="BP391" s="3">
        <f>+IF(AVANCE[[#This Row],[WC]]=Y$2,100%,AVANCE[[#This Row],[WC]])</f>
        <v>0</v>
      </c>
      <c r="BQ391" s="3">
        <f>+IF(AVANCE[[#This Row],[LAVAMANOS / LAVAPLATOS / LAVADERO]]=Z$2,100%,AVANCE[[#This Row],[LAVAMANOS / LAVAPLATOS / LAVADERO]])</f>
        <v>0</v>
      </c>
      <c r="BR391" s="3">
        <f>+IF(AVANCE[[#This Row],[CANALIZACIÓN]]=AC$2,100%,AVANCE[[#This Row],[CANALIZACIÓN]])</f>
        <v>0</v>
      </c>
      <c r="BS391" s="3">
        <f>+IF(AVANCE[[#This Row],[CABLEADO]]=AD$2,100%,AVANCE[[#This Row],[CABLEADO]])</f>
        <v>0</v>
      </c>
      <c r="BT391" s="3">
        <f>+IF(AVANCE[[#This Row],[ARTEFACTOS]]=AE$2,100%,AVANCE[[#This Row],[ARTEFACTOS]])</f>
        <v>0</v>
      </c>
      <c r="BU391" s="3">
        <f>+IF(AVANCE[[#This Row],[TABLERO]]=AF$2,100%,AVANCE[[#This Row],[TABLERO]])</f>
        <v>0</v>
      </c>
      <c r="BV391" s="3">
        <f>+IF(AVANCE[[#This Row],[CAJA PAU]]=AG$2,100%,AVANCE[[#This Row],[CAJA PAU]])</f>
        <v>0</v>
      </c>
      <c r="BW391" s="3">
        <f>+IF(AVANCE[[#This Row],[INSTALACION VINILICO]]=AJ$2,100%,AVANCE[[#This Row],[INSTALACION VINILICO]])</f>
        <v>0</v>
      </c>
      <c r="BX391" s="3">
        <f>+IF(AVANCE[[#This Row],[OSB CUBIERTA]]=AK$2,100%,AVANCE[[#This Row],[OSB CUBIERTA]])</f>
        <v>0</v>
      </c>
      <c r="BY391" s="3">
        <f>+IF(AVANCE[[#This Row],[BARANDA BALCON]]=AL$2,100%,AVANCE[[#This Row],[BARANDA BALCON]])</f>
        <v>0</v>
      </c>
      <c r="BZ391" s="3">
        <f>+IF(AVANCE[[#This Row],[OSB EXTERIOR]]=AM$2,100%,AVANCE[[#This Row],[OSB EXTERIOR]])</f>
        <v>0</v>
      </c>
      <c r="CA391" s="3">
        <f>+IF(AVANCE[[#This Row],[SMART PANEL]]=AN$2,100%,AVANCE[[#This Row],[SMART PANEL]])</f>
        <v>0</v>
      </c>
      <c r="CB391" s="3">
        <f>+IF(AVANCE[[#This Row],[PINTURA EXTERIOR]]=AO$2,100%,AVANCE[[#This Row],[PINTURA EXTERIOR]])</f>
        <v>0</v>
      </c>
      <c r="CC391" s="3">
        <f>+IF(AVANCE[[#This Row],[ZOCALOS LOGIA]]=AP$2,100%,AVANCE[[#This Row],[ZOCALOS LOGIA]])</f>
        <v>0</v>
      </c>
      <c r="CD391" s="3">
        <f>+IF(AVANCE[[#This Row],[MOLDURAS]]=AQ$2,100%,AVANCE[[#This Row],[MOLDURAS]])</f>
        <v>0</v>
      </c>
      <c r="CE391" s="3">
        <f>+IF(AVANCE[[#This Row],[PILASTREO]]=AR$2,100%,AVANCE[[#This Row],[PILASTREO]])</f>
        <v>0</v>
      </c>
      <c r="CF391" s="3">
        <f>+IF(AVANCE[[#This Row],[CELOSIAS]]=AS$2,100%,AVANCE[[#This Row],[CELOSIAS]])</f>
        <v>0</v>
      </c>
      <c r="CG391" s="3">
        <f>+IF(AVANCE[[#This Row],[VENTANAS]]=AT$2,100%,AVANCE[[#This Row],[VENTANAS]])</f>
        <v>0</v>
      </c>
      <c r="CH391" s="3">
        <f>+IF(AVANCE[[#This Row],[PUERTAS ACCESO - LOGIA - BANO]]=AU$2,100%,AVANCE[[#This Row],[PUERTAS ACCESO - LOGIA - BANO]])</f>
        <v>0</v>
      </c>
      <c r="CI391" s="3">
        <f>+IF(AVANCE[[#This Row],[CERRADURAS]]=AV$2,100%,AVANCE[[#This Row],[CERRADURAS]])</f>
        <v>0</v>
      </c>
      <c r="CJ391" s="3">
        <f>+IF(AVANCE[[#This Row],[REVESTIMIENTO INTERIOR ZONA SECA]]=AW$2,100%,AVANCE[[#This Row],[REVESTIMIENTO INTERIOR ZONA SECA]])</f>
        <v>0</v>
      </c>
      <c r="CK391" s="3">
        <f>+IF(AVANCE[[#This Row],[REVESTIMIENTO INTERIOR ZONAS HUMEDAS]]=AX$2,100%,AVANCE[[#This Row],[REVESTIMIENTO INTERIOR ZONAS HUMEDAS]])</f>
        <v>0</v>
      </c>
      <c r="CL391" s="3">
        <f>+IF(AVANCE[[#This Row],[MEMBRANA CIELO]]=AY$2,100%,AVANCE[[#This Row],[MEMBRANA CIELO]])</f>
        <v>0</v>
      </c>
      <c r="CM391" s="3">
        <f>+IF(AVANCE[[#This Row],[LIMPIEZA FINAL]]=AZ$2,100%,AVANCE[[#This Row],[LIMPIEZA FINAL]])</f>
        <v>0</v>
      </c>
      <c r="CN391" s="3">
        <f>+IF(AVANCE[[#This Row],[PUERTAS DORMITORIO]]=BA$2,100%,AVANCE[[#This Row],[PUERTAS DORMITORIO]])</f>
        <v>0</v>
      </c>
      <c r="CO391" s="3">
        <f>+IF(AVANCE[[#This Row],[REVESTIMIENTO INTERIOR BANO]]=BB$2,100%,AVANCE[[#This Row],[REVESTIMIENTO INTERIOR BANO]])</f>
        <v>0</v>
      </c>
      <c r="CP391" s="3">
        <f>+IF(AVANCE[[#This Row],[MUEBLE LAVAPLATOS]]=BC$2,100%,AVANCE[[#This Row],[MUEBLE LAVAPLATOS]])</f>
        <v>0</v>
      </c>
      <c r="CQ391" s="3">
        <f>+IF(AVANCE[[#This Row],[IMPERMEABILIZACION BANO - COCINA LOGIA]]=BD$2,100%,AVANCE[[#This Row],[IMPERMEABILIZACION BANO - COCINA LOGIA]])</f>
        <v>0</v>
      </c>
      <c r="CR391" s="40">
        <f ca="1">+IF(AVANCE[[#This Row],[ESTADO MODULO]]="PENDIENTE",(TODAY()-AVANCE[[#This Row],[FECHA TERMINO  PLANIFICADO]]),0)</f>
        <v>0</v>
      </c>
      <c r="CS391" s="42" t="str" cm="1">
        <f t="array" ref="CS391">_xlfn.TEXTJOIN(" | ",TRUE,IF(SUMPRODUCT((BF391:CQ391&lt;1)*(PARTIDAS!$I$2:$AT$2="OBRA GRUESA"))&gt;0,"OBRA GRUESA: "&amp;_xlfn.TEXTJOIN(", ",TRUE,IF((BF391:CQ391&lt;1)*(PARTIDAS!$I$2:$AT$2="OBRA GRUESA"),PARTIDAS!$I$1:$AT$1,"")),""),IF(SUMPRODUCT((BF391:CQ391&lt;1)*(PARTIDAS!$I$2:$AT$2="SANITARIOS"))&gt;0,"SANITARIOS: "&amp;_xlfn.TEXTJOIN(", ",TRUE,IF((BF391:CQ391&lt;1)*(PARTIDAS!$I$2:$AT$2="SANITARIOS"),PARTIDAS!$I$1:$AT$1,"")),""),IF(SUMPRODUCT((BF391:CQ391&lt;1)*(PARTIDAS!$I$2:$AT$2="ELÉCTRICO"))&gt;0,"ELÉCTRICO: "&amp;_xlfn.TEXTJOIN(", ",TRUE,IF((BF391:CQ391&lt;1)*(PARTIDAS!$I$2:$AT$2="ELÉCTRICO"),PARTIDAS!$I$1:$AT$1,"")),""),IF(SUMPRODUCT((BF391:CQ391&lt;1)*(PARTIDAS!$I$2:$AT$2="TERMINACIONES"))&gt;0,"TERMINACIONES: "&amp;_xlfn.TEXTJOIN(", ",TRUE,IF((BF391:CQ391&lt;1)*(PARTIDAS!$I$2:$AT$2="TERMINACIONES"),PARTIDAS!$I$1:$AT$1,"")),""))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1" s="45" t="str" cm="1">
        <f t="array" ref="CT391">_xlfn.TEXTJOIN(", ",TRUE,IF(SUMPRODUCT((BF391:CQ391&lt;1)*(PARTIDAS!$I$2:$AT$2="OBRA GRUESA"))&gt;0,"OBRA GRUESA",""),IF(SUMPRODUCT((BF391:CQ391&lt;1)*(PARTIDAS!$I$2:$AT$2="SANITARIOS"))&gt;0,"SANITARIOS",""),IF(SUMPRODUCT((BF391:CQ391&lt;1)*(PARTIDAS!$I$2:$AT$2="ELÉCTRICO"))&gt;0,"ELÉCTRICO",""),IF(SUMPRODUCT((BF391:CQ391&lt;1)*(PARTIDAS!$I$2:$AT$2="TERMINACIONES"))&gt;0,"TERMINACIONES",""))</f>
        <v>OBRA GRUESA, SANITARIOS, ELÉCTRICO, TERMINACIONES</v>
      </c>
      <c r="CU391" s="46" cm="1">
        <f t="array" ref="CU391">SUMPRODUCT(--(BF391:CQ391&lt;1))</f>
        <v>38</v>
      </c>
    </row>
    <row r="392" spans="1:99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46181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 s="3" t="str">
        <f>+IF(AVANCE[[#This Row],[% AVANCE]]=100%,"MODULO TERMINADO",IF(AVANCE[[#This Row],[FECHA INICIO REAL]]="","MODULO NO INICIADO","PENDIENTE"))</f>
        <v>MODULO NO INICIADO</v>
      </c>
      <c r="BF392" s="3">
        <f>+IF(AVANCE[[#This Row],[VENTANAS]]=8.10810810810811%,100%,AVANCE[[#This Row],[VENTANAS]])</f>
        <v>0</v>
      </c>
      <c r="BG392" s="3">
        <f>+IF(AVANCE[[#This Row],[PISO]]=N$2,100%,AVANCE[[#This Row],[PISO]])</f>
        <v>0</v>
      </c>
      <c r="BH392" s="3">
        <f>+IF(AVANCE[[#This Row],[TABIQUES]]=O$2,100%,AVANCE[[#This Row],[TABIQUES]])</f>
        <v>0</v>
      </c>
      <c r="BI392" s="3">
        <f>+IF(AVANCE[[#This Row],[MUROS]]=P$2,100%,AVANCE[[#This Row],[MUROS]])</f>
        <v>0</v>
      </c>
      <c r="BJ392" s="3">
        <f>+IF(AVANCE[[#This Row],[CIELO]]=Q$2,100%,AVANCE[[#This Row],[CIELO]])</f>
        <v>0</v>
      </c>
      <c r="BK392" s="3">
        <f>+IF(AVANCE[[#This Row],[BALCÓN]]=R$2,100%,AVANCE[[#This Row],[BALCÓN]])</f>
        <v>0</v>
      </c>
      <c r="BL392" s="3">
        <f>+IF(AVANCE[[#This Row],[RED ALCANTARILLADO]]=U$2,100%,AVANCE[[#This Row],[RED ALCANTARILLADO]])</f>
        <v>0</v>
      </c>
      <c r="BM392" s="3">
        <f>+IF(AVANCE[[#This Row],[RED DE AGUA]]=V$2,100%,AVANCE[[#This Row],[RED DE AGUA]])</f>
        <v>0</v>
      </c>
      <c r="BN392" s="3">
        <f>+IF(AVANCE[[#This Row],[VENTILACIONES]]=W$2,100%,AVANCE[[#This Row],[VENTILACIONES]])</f>
        <v>0</v>
      </c>
      <c r="BO392" s="3">
        <f>+IF(AVANCE[[#This Row],[TINA]]=X$2,100%,AVANCE[[#This Row],[TINA]])</f>
        <v>0</v>
      </c>
      <c r="BP392" s="3">
        <f>+IF(AVANCE[[#This Row],[WC]]=Y$2,100%,AVANCE[[#This Row],[WC]])</f>
        <v>0</v>
      </c>
      <c r="BQ392" s="3">
        <f>+IF(AVANCE[[#This Row],[LAVAMANOS / LAVAPLATOS / LAVADERO]]=Z$2,100%,AVANCE[[#This Row],[LAVAMANOS / LAVAPLATOS / LAVADERO]])</f>
        <v>0</v>
      </c>
      <c r="BR392" s="3">
        <f>+IF(AVANCE[[#This Row],[CANALIZACIÓN]]=AC$2,100%,AVANCE[[#This Row],[CANALIZACIÓN]])</f>
        <v>0</v>
      </c>
      <c r="BS392" s="3">
        <f>+IF(AVANCE[[#This Row],[CABLEADO]]=AD$2,100%,AVANCE[[#This Row],[CABLEADO]])</f>
        <v>0</v>
      </c>
      <c r="BT392" s="3">
        <f>+IF(AVANCE[[#This Row],[ARTEFACTOS]]=AE$2,100%,AVANCE[[#This Row],[ARTEFACTOS]])</f>
        <v>0</v>
      </c>
      <c r="BU392" s="3">
        <f>+IF(AVANCE[[#This Row],[TABLERO]]=AF$2,100%,AVANCE[[#This Row],[TABLERO]])</f>
        <v>0</v>
      </c>
      <c r="BV392" s="3">
        <f>+IF(AVANCE[[#This Row],[CAJA PAU]]=AG$2,100%,AVANCE[[#This Row],[CAJA PAU]])</f>
        <v>0</v>
      </c>
      <c r="BW392" s="3">
        <f>+IF(AVANCE[[#This Row],[INSTALACION VINILICO]]=AJ$2,100%,AVANCE[[#This Row],[INSTALACION VINILICO]])</f>
        <v>0</v>
      </c>
      <c r="BX392" s="3">
        <f>+IF(AVANCE[[#This Row],[OSB CUBIERTA]]=AK$2,100%,AVANCE[[#This Row],[OSB CUBIERTA]])</f>
        <v>0</v>
      </c>
      <c r="BY392" s="3">
        <f>+IF(AVANCE[[#This Row],[BARANDA BALCON]]=AL$2,100%,AVANCE[[#This Row],[BARANDA BALCON]])</f>
        <v>0</v>
      </c>
      <c r="BZ392" s="3">
        <f>+IF(AVANCE[[#This Row],[OSB EXTERIOR]]=AM$2,100%,AVANCE[[#This Row],[OSB EXTERIOR]])</f>
        <v>0</v>
      </c>
      <c r="CA392" s="3">
        <f>+IF(AVANCE[[#This Row],[SMART PANEL]]=AN$2,100%,AVANCE[[#This Row],[SMART PANEL]])</f>
        <v>0</v>
      </c>
      <c r="CB392" s="3">
        <f>+IF(AVANCE[[#This Row],[PINTURA EXTERIOR]]=AO$2,100%,AVANCE[[#This Row],[PINTURA EXTERIOR]])</f>
        <v>0</v>
      </c>
      <c r="CC392" s="3">
        <f>+IF(AVANCE[[#This Row],[ZOCALOS LOGIA]]=AP$2,100%,AVANCE[[#This Row],[ZOCALOS LOGIA]])</f>
        <v>0</v>
      </c>
      <c r="CD392" s="3">
        <f>+IF(AVANCE[[#This Row],[MOLDURAS]]=AQ$2,100%,AVANCE[[#This Row],[MOLDURAS]])</f>
        <v>0</v>
      </c>
      <c r="CE392" s="3">
        <f>+IF(AVANCE[[#This Row],[PILASTREO]]=AR$2,100%,AVANCE[[#This Row],[PILASTREO]])</f>
        <v>0</v>
      </c>
      <c r="CF392" s="3">
        <f>+IF(AVANCE[[#This Row],[CELOSIAS]]=AS$2,100%,AVANCE[[#This Row],[CELOSIAS]])</f>
        <v>0</v>
      </c>
      <c r="CG392" s="3">
        <f>+IF(AVANCE[[#This Row],[VENTANAS]]=AT$2,100%,AVANCE[[#This Row],[VENTANAS]])</f>
        <v>0</v>
      </c>
      <c r="CH392" s="3">
        <f>+IF(AVANCE[[#This Row],[PUERTAS ACCESO - LOGIA - BANO]]=AU$2,100%,AVANCE[[#This Row],[PUERTAS ACCESO - LOGIA - BANO]])</f>
        <v>0</v>
      </c>
      <c r="CI392" s="3">
        <f>+IF(AVANCE[[#This Row],[CERRADURAS]]=AV$2,100%,AVANCE[[#This Row],[CERRADURAS]])</f>
        <v>0</v>
      </c>
      <c r="CJ392" s="3">
        <f>+IF(AVANCE[[#This Row],[REVESTIMIENTO INTERIOR ZONA SECA]]=AW$2,100%,AVANCE[[#This Row],[REVESTIMIENTO INTERIOR ZONA SECA]])</f>
        <v>0</v>
      </c>
      <c r="CK392" s="3">
        <f>+IF(AVANCE[[#This Row],[REVESTIMIENTO INTERIOR ZONAS HUMEDAS]]=AX$2,100%,AVANCE[[#This Row],[REVESTIMIENTO INTERIOR ZONAS HUMEDAS]])</f>
        <v>0</v>
      </c>
      <c r="CL392" s="3">
        <f>+IF(AVANCE[[#This Row],[MEMBRANA CIELO]]=AY$2,100%,AVANCE[[#This Row],[MEMBRANA CIELO]])</f>
        <v>0</v>
      </c>
      <c r="CM392" s="3">
        <f>+IF(AVANCE[[#This Row],[LIMPIEZA FINAL]]=AZ$2,100%,AVANCE[[#This Row],[LIMPIEZA FINAL]])</f>
        <v>0</v>
      </c>
      <c r="CN392" s="3">
        <f>+IF(AVANCE[[#This Row],[PUERTAS DORMITORIO]]=BA$2,100%,AVANCE[[#This Row],[PUERTAS DORMITORIO]])</f>
        <v>0</v>
      </c>
      <c r="CO392" s="3">
        <f>+IF(AVANCE[[#This Row],[REVESTIMIENTO INTERIOR BANO]]=BB$2,100%,AVANCE[[#This Row],[REVESTIMIENTO INTERIOR BANO]])</f>
        <v>0</v>
      </c>
      <c r="CP392" s="3">
        <f>+IF(AVANCE[[#This Row],[MUEBLE LAVAPLATOS]]=BC$2,100%,AVANCE[[#This Row],[MUEBLE LAVAPLATOS]])</f>
        <v>0</v>
      </c>
      <c r="CQ392" s="3">
        <f>+IF(AVANCE[[#This Row],[IMPERMEABILIZACION BANO - COCINA LOGIA]]=BD$2,100%,AVANCE[[#This Row],[IMPERMEABILIZACION BANO - COCINA LOGIA]])</f>
        <v>0</v>
      </c>
      <c r="CR392" s="40">
        <f ca="1">+IF(AVANCE[[#This Row],[ESTADO MODULO]]="PENDIENTE",(TODAY()-AVANCE[[#This Row],[FECHA TERMINO  PLANIFICADO]]),0)</f>
        <v>0</v>
      </c>
      <c r="CS392" s="42" t="str" cm="1">
        <f t="array" ref="CS392">_xlfn.TEXTJOIN(" | ",TRUE,IF(SUMPRODUCT((BF392:CQ392&lt;1)*(PARTIDAS!$I$2:$AT$2="OBRA GRUESA"))&gt;0,"OBRA GRUESA: "&amp;_xlfn.TEXTJOIN(", ",TRUE,IF((BF392:CQ392&lt;1)*(PARTIDAS!$I$2:$AT$2="OBRA GRUESA"),PARTIDAS!$I$1:$AT$1,"")),""),IF(SUMPRODUCT((BF392:CQ392&lt;1)*(PARTIDAS!$I$2:$AT$2="SANITARIOS"))&gt;0,"SANITARIOS: "&amp;_xlfn.TEXTJOIN(", ",TRUE,IF((BF392:CQ392&lt;1)*(PARTIDAS!$I$2:$AT$2="SANITARIOS"),PARTIDAS!$I$1:$AT$1,"")),""),IF(SUMPRODUCT((BF392:CQ392&lt;1)*(PARTIDAS!$I$2:$AT$2="ELÉCTRICO"))&gt;0,"ELÉCTRICO: "&amp;_xlfn.TEXTJOIN(", ",TRUE,IF((BF392:CQ392&lt;1)*(PARTIDAS!$I$2:$AT$2="ELÉCTRICO"),PARTIDAS!$I$1:$AT$1,"")),""),IF(SUMPRODUCT((BF392:CQ392&lt;1)*(PARTIDAS!$I$2:$AT$2="TERMINACIONES"))&gt;0,"TERMINACIONES: "&amp;_xlfn.TEXTJOIN(", ",TRUE,IF((BF392:CQ392&lt;1)*(PARTIDAS!$I$2:$AT$2="TERMINACIONES"),PARTIDAS!$I$1:$AT$1,"")),""))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2" s="45" t="str" cm="1">
        <f t="array" ref="CT392">_xlfn.TEXTJOIN(", ",TRUE,IF(SUMPRODUCT((BF392:CQ392&lt;1)*(PARTIDAS!$I$2:$AT$2="OBRA GRUESA"))&gt;0,"OBRA GRUESA",""),IF(SUMPRODUCT((BF392:CQ392&lt;1)*(PARTIDAS!$I$2:$AT$2="SANITARIOS"))&gt;0,"SANITARIOS",""),IF(SUMPRODUCT((BF392:CQ392&lt;1)*(PARTIDAS!$I$2:$AT$2="ELÉCTRICO"))&gt;0,"ELÉCTRICO",""),IF(SUMPRODUCT((BF392:CQ392&lt;1)*(PARTIDAS!$I$2:$AT$2="TERMINACIONES"))&gt;0,"TERMINACIONES",""))</f>
        <v>OBRA GRUESA, SANITARIOS, ELÉCTRICO, TERMINACIONES</v>
      </c>
      <c r="CU392" s="46" cm="1">
        <f t="array" ref="CU392">SUMPRODUCT(--(BF392:CQ392&lt;1))</f>
        <v>38</v>
      </c>
    </row>
    <row r="393" spans="1:99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46181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 s="3" t="str">
        <f>+IF(AVANCE[[#This Row],[% AVANCE]]=100%,"MODULO TERMINADO",IF(AVANCE[[#This Row],[FECHA INICIO REAL]]="","MODULO NO INICIADO","PENDIENTE"))</f>
        <v>MODULO NO INICIADO</v>
      </c>
      <c r="BF393" s="3">
        <f>+IF(AVANCE[[#This Row],[VENTANAS]]=8.10810810810811%,100%,AVANCE[[#This Row],[VENTANAS]])</f>
        <v>0</v>
      </c>
      <c r="BG393" s="3">
        <f>+IF(AVANCE[[#This Row],[PISO]]=N$2,100%,AVANCE[[#This Row],[PISO]])</f>
        <v>0</v>
      </c>
      <c r="BH393" s="3">
        <f>+IF(AVANCE[[#This Row],[TABIQUES]]=O$2,100%,AVANCE[[#This Row],[TABIQUES]])</f>
        <v>0</v>
      </c>
      <c r="BI393" s="3">
        <f>+IF(AVANCE[[#This Row],[MUROS]]=P$2,100%,AVANCE[[#This Row],[MUROS]])</f>
        <v>0</v>
      </c>
      <c r="BJ393" s="3">
        <f>+IF(AVANCE[[#This Row],[CIELO]]=Q$2,100%,AVANCE[[#This Row],[CIELO]])</f>
        <v>0</v>
      </c>
      <c r="BK393" s="3">
        <f>+IF(AVANCE[[#This Row],[BALCÓN]]=R$2,100%,AVANCE[[#This Row],[BALCÓN]])</f>
        <v>0</v>
      </c>
      <c r="BL393" s="3">
        <f>+IF(AVANCE[[#This Row],[RED ALCANTARILLADO]]=U$2,100%,AVANCE[[#This Row],[RED ALCANTARILLADO]])</f>
        <v>0</v>
      </c>
      <c r="BM393" s="3">
        <f>+IF(AVANCE[[#This Row],[RED DE AGUA]]=V$2,100%,AVANCE[[#This Row],[RED DE AGUA]])</f>
        <v>0</v>
      </c>
      <c r="BN393" s="3">
        <f>+IF(AVANCE[[#This Row],[VENTILACIONES]]=W$2,100%,AVANCE[[#This Row],[VENTILACIONES]])</f>
        <v>0</v>
      </c>
      <c r="BO393" s="3">
        <f>+IF(AVANCE[[#This Row],[TINA]]=X$2,100%,AVANCE[[#This Row],[TINA]])</f>
        <v>0</v>
      </c>
      <c r="BP393" s="3">
        <f>+IF(AVANCE[[#This Row],[WC]]=Y$2,100%,AVANCE[[#This Row],[WC]])</f>
        <v>0</v>
      </c>
      <c r="BQ393" s="3">
        <f>+IF(AVANCE[[#This Row],[LAVAMANOS / LAVAPLATOS / LAVADERO]]=Z$2,100%,AVANCE[[#This Row],[LAVAMANOS / LAVAPLATOS / LAVADERO]])</f>
        <v>0</v>
      </c>
      <c r="BR393" s="3">
        <f>+IF(AVANCE[[#This Row],[CANALIZACIÓN]]=AC$2,100%,AVANCE[[#This Row],[CANALIZACIÓN]])</f>
        <v>0</v>
      </c>
      <c r="BS393" s="3">
        <f>+IF(AVANCE[[#This Row],[CABLEADO]]=AD$2,100%,AVANCE[[#This Row],[CABLEADO]])</f>
        <v>0</v>
      </c>
      <c r="BT393" s="3">
        <f>+IF(AVANCE[[#This Row],[ARTEFACTOS]]=AE$2,100%,AVANCE[[#This Row],[ARTEFACTOS]])</f>
        <v>0</v>
      </c>
      <c r="BU393" s="3">
        <f>+IF(AVANCE[[#This Row],[TABLERO]]=AF$2,100%,AVANCE[[#This Row],[TABLERO]])</f>
        <v>0</v>
      </c>
      <c r="BV393" s="3">
        <f>+IF(AVANCE[[#This Row],[CAJA PAU]]=AG$2,100%,AVANCE[[#This Row],[CAJA PAU]])</f>
        <v>0</v>
      </c>
      <c r="BW393" s="3">
        <f>+IF(AVANCE[[#This Row],[INSTALACION VINILICO]]=AJ$2,100%,AVANCE[[#This Row],[INSTALACION VINILICO]])</f>
        <v>0</v>
      </c>
      <c r="BX393" s="3">
        <f>+IF(AVANCE[[#This Row],[OSB CUBIERTA]]=AK$2,100%,AVANCE[[#This Row],[OSB CUBIERTA]])</f>
        <v>0</v>
      </c>
      <c r="BY393" s="3">
        <f>+IF(AVANCE[[#This Row],[BARANDA BALCON]]=AL$2,100%,AVANCE[[#This Row],[BARANDA BALCON]])</f>
        <v>0</v>
      </c>
      <c r="BZ393" s="3">
        <f>+IF(AVANCE[[#This Row],[OSB EXTERIOR]]=AM$2,100%,AVANCE[[#This Row],[OSB EXTERIOR]])</f>
        <v>0</v>
      </c>
      <c r="CA393" s="3">
        <f>+IF(AVANCE[[#This Row],[SMART PANEL]]=AN$2,100%,AVANCE[[#This Row],[SMART PANEL]])</f>
        <v>0</v>
      </c>
      <c r="CB393" s="3">
        <f>+IF(AVANCE[[#This Row],[PINTURA EXTERIOR]]=AO$2,100%,AVANCE[[#This Row],[PINTURA EXTERIOR]])</f>
        <v>0</v>
      </c>
      <c r="CC393" s="3">
        <f>+IF(AVANCE[[#This Row],[ZOCALOS LOGIA]]=AP$2,100%,AVANCE[[#This Row],[ZOCALOS LOGIA]])</f>
        <v>0</v>
      </c>
      <c r="CD393" s="3">
        <f>+IF(AVANCE[[#This Row],[MOLDURAS]]=AQ$2,100%,AVANCE[[#This Row],[MOLDURAS]])</f>
        <v>0</v>
      </c>
      <c r="CE393" s="3">
        <f>+IF(AVANCE[[#This Row],[PILASTREO]]=AR$2,100%,AVANCE[[#This Row],[PILASTREO]])</f>
        <v>0</v>
      </c>
      <c r="CF393" s="3">
        <f>+IF(AVANCE[[#This Row],[CELOSIAS]]=AS$2,100%,AVANCE[[#This Row],[CELOSIAS]])</f>
        <v>0</v>
      </c>
      <c r="CG393" s="3">
        <f>+IF(AVANCE[[#This Row],[VENTANAS]]=AT$2,100%,AVANCE[[#This Row],[VENTANAS]])</f>
        <v>0</v>
      </c>
      <c r="CH393" s="3">
        <f>+IF(AVANCE[[#This Row],[PUERTAS ACCESO - LOGIA - BANO]]=AU$2,100%,AVANCE[[#This Row],[PUERTAS ACCESO - LOGIA - BANO]])</f>
        <v>0</v>
      </c>
      <c r="CI393" s="3">
        <f>+IF(AVANCE[[#This Row],[CERRADURAS]]=AV$2,100%,AVANCE[[#This Row],[CERRADURAS]])</f>
        <v>0</v>
      </c>
      <c r="CJ393" s="3">
        <f>+IF(AVANCE[[#This Row],[REVESTIMIENTO INTERIOR ZONA SECA]]=AW$2,100%,AVANCE[[#This Row],[REVESTIMIENTO INTERIOR ZONA SECA]])</f>
        <v>0</v>
      </c>
      <c r="CK393" s="3">
        <f>+IF(AVANCE[[#This Row],[REVESTIMIENTO INTERIOR ZONAS HUMEDAS]]=AX$2,100%,AVANCE[[#This Row],[REVESTIMIENTO INTERIOR ZONAS HUMEDAS]])</f>
        <v>0</v>
      </c>
      <c r="CL393" s="3">
        <f>+IF(AVANCE[[#This Row],[MEMBRANA CIELO]]=AY$2,100%,AVANCE[[#This Row],[MEMBRANA CIELO]])</f>
        <v>0</v>
      </c>
      <c r="CM393" s="3">
        <f>+IF(AVANCE[[#This Row],[LIMPIEZA FINAL]]=AZ$2,100%,AVANCE[[#This Row],[LIMPIEZA FINAL]])</f>
        <v>0</v>
      </c>
      <c r="CN393" s="3">
        <f>+IF(AVANCE[[#This Row],[PUERTAS DORMITORIO]]=BA$2,100%,AVANCE[[#This Row],[PUERTAS DORMITORIO]])</f>
        <v>0</v>
      </c>
      <c r="CO393" s="3">
        <f>+IF(AVANCE[[#This Row],[REVESTIMIENTO INTERIOR BANO]]=BB$2,100%,AVANCE[[#This Row],[REVESTIMIENTO INTERIOR BANO]])</f>
        <v>0</v>
      </c>
      <c r="CP393" s="3">
        <f>+IF(AVANCE[[#This Row],[MUEBLE LAVAPLATOS]]=BC$2,100%,AVANCE[[#This Row],[MUEBLE LAVAPLATOS]])</f>
        <v>0</v>
      </c>
      <c r="CQ393" s="3">
        <f>+IF(AVANCE[[#This Row],[IMPERMEABILIZACION BANO - COCINA LOGIA]]=BD$2,100%,AVANCE[[#This Row],[IMPERMEABILIZACION BANO - COCINA LOGIA]])</f>
        <v>0</v>
      </c>
      <c r="CR393" s="40">
        <f ca="1">+IF(AVANCE[[#This Row],[ESTADO MODULO]]="PENDIENTE",(TODAY()-AVANCE[[#This Row],[FECHA TERMINO  PLANIFICADO]]),0)</f>
        <v>0</v>
      </c>
      <c r="CS393" s="42" t="str" cm="1">
        <f t="array" ref="CS393">_xlfn.TEXTJOIN(" | ",TRUE,IF(SUMPRODUCT((BF393:CQ393&lt;1)*(PARTIDAS!$I$2:$AT$2="OBRA GRUESA"))&gt;0,"OBRA GRUESA: "&amp;_xlfn.TEXTJOIN(", ",TRUE,IF((BF393:CQ393&lt;1)*(PARTIDAS!$I$2:$AT$2="OBRA GRUESA"),PARTIDAS!$I$1:$AT$1,"")),""),IF(SUMPRODUCT((BF393:CQ393&lt;1)*(PARTIDAS!$I$2:$AT$2="SANITARIOS"))&gt;0,"SANITARIOS: "&amp;_xlfn.TEXTJOIN(", ",TRUE,IF((BF393:CQ393&lt;1)*(PARTIDAS!$I$2:$AT$2="SANITARIOS"),PARTIDAS!$I$1:$AT$1,"")),""),IF(SUMPRODUCT((BF393:CQ393&lt;1)*(PARTIDAS!$I$2:$AT$2="ELÉCTRICO"))&gt;0,"ELÉCTRICO: "&amp;_xlfn.TEXTJOIN(", ",TRUE,IF((BF393:CQ393&lt;1)*(PARTIDAS!$I$2:$AT$2="ELÉCTRICO"),PARTIDAS!$I$1:$AT$1,"")),""),IF(SUMPRODUCT((BF393:CQ393&lt;1)*(PARTIDAS!$I$2:$AT$2="TERMINACIONES"))&gt;0,"TERMINACIONES: "&amp;_xlfn.TEXTJOIN(", ",TRUE,IF((BF393:CQ393&lt;1)*(PARTIDAS!$I$2:$AT$2="TERMINACIONES"),PARTIDAS!$I$1:$AT$1,"")),""))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3" s="45" t="str" cm="1">
        <f t="array" ref="CT393">_xlfn.TEXTJOIN(", ",TRUE,IF(SUMPRODUCT((BF393:CQ393&lt;1)*(PARTIDAS!$I$2:$AT$2="OBRA GRUESA"))&gt;0,"OBRA GRUESA",""),IF(SUMPRODUCT((BF393:CQ393&lt;1)*(PARTIDAS!$I$2:$AT$2="SANITARIOS"))&gt;0,"SANITARIOS",""),IF(SUMPRODUCT((BF393:CQ393&lt;1)*(PARTIDAS!$I$2:$AT$2="ELÉCTRICO"))&gt;0,"ELÉCTRICO",""),IF(SUMPRODUCT((BF393:CQ393&lt;1)*(PARTIDAS!$I$2:$AT$2="TERMINACIONES"))&gt;0,"TERMINACIONES",""))</f>
        <v>OBRA GRUESA, SANITARIOS, ELÉCTRICO, TERMINACIONES</v>
      </c>
      <c r="CU393" s="46" cm="1">
        <f t="array" ref="CU393">SUMPRODUCT(--(BF393:CQ393&lt;1))</f>
        <v>38</v>
      </c>
    </row>
    <row r="394" spans="1:99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46181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 s="3" t="str">
        <f>+IF(AVANCE[[#This Row],[% AVANCE]]=100%,"MODULO TERMINADO",IF(AVANCE[[#This Row],[FECHA INICIO REAL]]="","MODULO NO INICIADO","PENDIENTE"))</f>
        <v>MODULO NO INICIADO</v>
      </c>
      <c r="BF394" s="3">
        <f>+IF(AVANCE[[#This Row],[VENTANAS]]=8.10810810810811%,100%,AVANCE[[#This Row],[VENTANAS]])</f>
        <v>0</v>
      </c>
      <c r="BG394" s="3">
        <f>+IF(AVANCE[[#This Row],[PISO]]=N$2,100%,AVANCE[[#This Row],[PISO]])</f>
        <v>0</v>
      </c>
      <c r="BH394" s="3">
        <f>+IF(AVANCE[[#This Row],[TABIQUES]]=O$2,100%,AVANCE[[#This Row],[TABIQUES]])</f>
        <v>0</v>
      </c>
      <c r="BI394" s="3">
        <f>+IF(AVANCE[[#This Row],[MUROS]]=P$2,100%,AVANCE[[#This Row],[MUROS]])</f>
        <v>0</v>
      </c>
      <c r="BJ394" s="3">
        <f>+IF(AVANCE[[#This Row],[CIELO]]=Q$2,100%,AVANCE[[#This Row],[CIELO]])</f>
        <v>0</v>
      </c>
      <c r="BK394" s="3">
        <f>+IF(AVANCE[[#This Row],[BALCÓN]]=R$2,100%,AVANCE[[#This Row],[BALCÓN]])</f>
        <v>0</v>
      </c>
      <c r="BL394" s="3">
        <f>+IF(AVANCE[[#This Row],[RED ALCANTARILLADO]]=U$2,100%,AVANCE[[#This Row],[RED ALCANTARILLADO]])</f>
        <v>0</v>
      </c>
      <c r="BM394" s="3">
        <f>+IF(AVANCE[[#This Row],[RED DE AGUA]]=V$2,100%,AVANCE[[#This Row],[RED DE AGUA]])</f>
        <v>0</v>
      </c>
      <c r="BN394" s="3">
        <f>+IF(AVANCE[[#This Row],[VENTILACIONES]]=W$2,100%,AVANCE[[#This Row],[VENTILACIONES]])</f>
        <v>0</v>
      </c>
      <c r="BO394" s="3">
        <f>+IF(AVANCE[[#This Row],[TINA]]=X$2,100%,AVANCE[[#This Row],[TINA]])</f>
        <v>0</v>
      </c>
      <c r="BP394" s="3">
        <f>+IF(AVANCE[[#This Row],[WC]]=Y$2,100%,AVANCE[[#This Row],[WC]])</f>
        <v>0</v>
      </c>
      <c r="BQ394" s="3">
        <f>+IF(AVANCE[[#This Row],[LAVAMANOS / LAVAPLATOS / LAVADERO]]=Z$2,100%,AVANCE[[#This Row],[LAVAMANOS / LAVAPLATOS / LAVADERO]])</f>
        <v>0</v>
      </c>
      <c r="BR394" s="3">
        <f>+IF(AVANCE[[#This Row],[CANALIZACIÓN]]=AC$2,100%,AVANCE[[#This Row],[CANALIZACIÓN]])</f>
        <v>0</v>
      </c>
      <c r="BS394" s="3">
        <f>+IF(AVANCE[[#This Row],[CABLEADO]]=AD$2,100%,AVANCE[[#This Row],[CABLEADO]])</f>
        <v>0</v>
      </c>
      <c r="BT394" s="3">
        <f>+IF(AVANCE[[#This Row],[ARTEFACTOS]]=AE$2,100%,AVANCE[[#This Row],[ARTEFACTOS]])</f>
        <v>0</v>
      </c>
      <c r="BU394" s="3">
        <f>+IF(AVANCE[[#This Row],[TABLERO]]=AF$2,100%,AVANCE[[#This Row],[TABLERO]])</f>
        <v>0</v>
      </c>
      <c r="BV394" s="3">
        <f>+IF(AVANCE[[#This Row],[CAJA PAU]]=AG$2,100%,AVANCE[[#This Row],[CAJA PAU]])</f>
        <v>0</v>
      </c>
      <c r="BW394" s="3">
        <f>+IF(AVANCE[[#This Row],[INSTALACION VINILICO]]=AJ$2,100%,AVANCE[[#This Row],[INSTALACION VINILICO]])</f>
        <v>0</v>
      </c>
      <c r="BX394" s="3">
        <f>+IF(AVANCE[[#This Row],[OSB CUBIERTA]]=AK$2,100%,AVANCE[[#This Row],[OSB CUBIERTA]])</f>
        <v>0</v>
      </c>
      <c r="BY394" s="3">
        <f>+IF(AVANCE[[#This Row],[BARANDA BALCON]]=AL$2,100%,AVANCE[[#This Row],[BARANDA BALCON]])</f>
        <v>0</v>
      </c>
      <c r="BZ394" s="3">
        <f>+IF(AVANCE[[#This Row],[OSB EXTERIOR]]=AM$2,100%,AVANCE[[#This Row],[OSB EXTERIOR]])</f>
        <v>0</v>
      </c>
      <c r="CA394" s="3">
        <f>+IF(AVANCE[[#This Row],[SMART PANEL]]=AN$2,100%,AVANCE[[#This Row],[SMART PANEL]])</f>
        <v>0</v>
      </c>
      <c r="CB394" s="3">
        <f>+IF(AVANCE[[#This Row],[PINTURA EXTERIOR]]=AO$2,100%,AVANCE[[#This Row],[PINTURA EXTERIOR]])</f>
        <v>0</v>
      </c>
      <c r="CC394" s="3">
        <f>+IF(AVANCE[[#This Row],[ZOCALOS LOGIA]]=AP$2,100%,AVANCE[[#This Row],[ZOCALOS LOGIA]])</f>
        <v>0</v>
      </c>
      <c r="CD394" s="3">
        <f>+IF(AVANCE[[#This Row],[MOLDURAS]]=AQ$2,100%,AVANCE[[#This Row],[MOLDURAS]])</f>
        <v>0</v>
      </c>
      <c r="CE394" s="3">
        <f>+IF(AVANCE[[#This Row],[PILASTREO]]=AR$2,100%,AVANCE[[#This Row],[PILASTREO]])</f>
        <v>0</v>
      </c>
      <c r="CF394" s="3">
        <f>+IF(AVANCE[[#This Row],[CELOSIAS]]=AS$2,100%,AVANCE[[#This Row],[CELOSIAS]])</f>
        <v>0</v>
      </c>
      <c r="CG394" s="3">
        <f>+IF(AVANCE[[#This Row],[VENTANAS]]=AT$2,100%,AVANCE[[#This Row],[VENTANAS]])</f>
        <v>0</v>
      </c>
      <c r="CH394" s="3">
        <f>+IF(AVANCE[[#This Row],[PUERTAS ACCESO - LOGIA - BANO]]=AU$2,100%,AVANCE[[#This Row],[PUERTAS ACCESO - LOGIA - BANO]])</f>
        <v>0</v>
      </c>
      <c r="CI394" s="3">
        <f>+IF(AVANCE[[#This Row],[CERRADURAS]]=AV$2,100%,AVANCE[[#This Row],[CERRADURAS]])</f>
        <v>0</v>
      </c>
      <c r="CJ394" s="3">
        <f>+IF(AVANCE[[#This Row],[REVESTIMIENTO INTERIOR ZONA SECA]]=AW$2,100%,AVANCE[[#This Row],[REVESTIMIENTO INTERIOR ZONA SECA]])</f>
        <v>0</v>
      </c>
      <c r="CK394" s="3">
        <f>+IF(AVANCE[[#This Row],[REVESTIMIENTO INTERIOR ZONAS HUMEDAS]]=AX$2,100%,AVANCE[[#This Row],[REVESTIMIENTO INTERIOR ZONAS HUMEDAS]])</f>
        <v>0</v>
      </c>
      <c r="CL394" s="3">
        <f>+IF(AVANCE[[#This Row],[MEMBRANA CIELO]]=AY$2,100%,AVANCE[[#This Row],[MEMBRANA CIELO]])</f>
        <v>0</v>
      </c>
      <c r="CM394" s="3">
        <f>+IF(AVANCE[[#This Row],[LIMPIEZA FINAL]]=AZ$2,100%,AVANCE[[#This Row],[LIMPIEZA FINAL]])</f>
        <v>0</v>
      </c>
      <c r="CN394" s="3">
        <f>+IF(AVANCE[[#This Row],[PUERTAS DORMITORIO]]=BA$2,100%,AVANCE[[#This Row],[PUERTAS DORMITORIO]])</f>
        <v>0</v>
      </c>
      <c r="CO394" s="3">
        <f>+IF(AVANCE[[#This Row],[REVESTIMIENTO INTERIOR BANO]]=BB$2,100%,AVANCE[[#This Row],[REVESTIMIENTO INTERIOR BANO]])</f>
        <v>0</v>
      </c>
      <c r="CP394" s="3">
        <f>+IF(AVANCE[[#This Row],[MUEBLE LAVAPLATOS]]=BC$2,100%,AVANCE[[#This Row],[MUEBLE LAVAPLATOS]])</f>
        <v>0</v>
      </c>
      <c r="CQ394" s="3">
        <f>+IF(AVANCE[[#This Row],[IMPERMEABILIZACION BANO - COCINA LOGIA]]=BD$2,100%,AVANCE[[#This Row],[IMPERMEABILIZACION BANO - COCINA LOGIA]])</f>
        <v>0</v>
      </c>
      <c r="CR394" s="40">
        <f ca="1">+IF(AVANCE[[#This Row],[ESTADO MODULO]]="PENDIENTE",(TODAY()-AVANCE[[#This Row],[FECHA TERMINO  PLANIFICADO]]),0)</f>
        <v>0</v>
      </c>
      <c r="CS394" s="42" t="str" cm="1">
        <f t="array" ref="CS394">_xlfn.TEXTJOIN(" | ",TRUE,IF(SUMPRODUCT((BF394:CQ394&lt;1)*(PARTIDAS!$I$2:$AT$2="OBRA GRUESA"))&gt;0,"OBRA GRUESA: "&amp;_xlfn.TEXTJOIN(", ",TRUE,IF((BF394:CQ394&lt;1)*(PARTIDAS!$I$2:$AT$2="OBRA GRUESA"),PARTIDAS!$I$1:$AT$1,"")),""),IF(SUMPRODUCT((BF394:CQ394&lt;1)*(PARTIDAS!$I$2:$AT$2="SANITARIOS"))&gt;0,"SANITARIOS: "&amp;_xlfn.TEXTJOIN(", ",TRUE,IF((BF394:CQ394&lt;1)*(PARTIDAS!$I$2:$AT$2="SANITARIOS"),PARTIDAS!$I$1:$AT$1,"")),""),IF(SUMPRODUCT((BF394:CQ394&lt;1)*(PARTIDAS!$I$2:$AT$2="ELÉCTRICO"))&gt;0,"ELÉCTRICO: "&amp;_xlfn.TEXTJOIN(", ",TRUE,IF((BF394:CQ394&lt;1)*(PARTIDAS!$I$2:$AT$2="ELÉCTRICO"),PARTIDAS!$I$1:$AT$1,"")),""),IF(SUMPRODUCT((BF394:CQ394&lt;1)*(PARTIDAS!$I$2:$AT$2="TERMINACIONES"))&gt;0,"TERMINACIONES: "&amp;_xlfn.TEXTJOIN(", ",TRUE,IF((BF394:CQ394&lt;1)*(PARTIDAS!$I$2:$AT$2="TERMINACIONES"),PARTIDAS!$I$1:$AT$1,"")),""))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4" s="45" t="str" cm="1">
        <f t="array" ref="CT394">_xlfn.TEXTJOIN(", ",TRUE,IF(SUMPRODUCT((BF394:CQ394&lt;1)*(PARTIDAS!$I$2:$AT$2="OBRA GRUESA"))&gt;0,"OBRA GRUESA",""),IF(SUMPRODUCT((BF394:CQ394&lt;1)*(PARTIDAS!$I$2:$AT$2="SANITARIOS"))&gt;0,"SANITARIOS",""),IF(SUMPRODUCT((BF394:CQ394&lt;1)*(PARTIDAS!$I$2:$AT$2="ELÉCTRICO"))&gt;0,"ELÉCTRICO",""),IF(SUMPRODUCT((BF394:CQ394&lt;1)*(PARTIDAS!$I$2:$AT$2="TERMINACIONES"))&gt;0,"TERMINACIONES",""))</f>
        <v>OBRA GRUESA, SANITARIOS, ELÉCTRICO, TERMINACIONES</v>
      </c>
      <c r="CU394" s="46" cm="1">
        <f t="array" ref="CU394">SUMPRODUCT(--(BF394:CQ394&lt;1))</f>
        <v>38</v>
      </c>
    </row>
    <row r="395" spans="1:99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46181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 s="3" t="str">
        <f>+IF(AVANCE[[#This Row],[% AVANCE]]=100%,"MODULO TERMINADO",IF(AVANCE[[#This Row],[FECHA INICIO REAL]]="","MODULO NO INICIADO","PENDIENTE"))</f>
        <v>MODULO NO INICIADO</v>
      </c>
      <c r="BF395" s="3">
        <f>+IF(AVANCE[[#This Row],[VENTANAS]]=8.10810810810811%,100%,AVANCE[[#This Row],[VENTANAS]])</f>
        <v>0</v>
      </c>
      <c r="BG395" s="3">
        <f>+IF(AVANCE[[#This Row],[PISO]]=N$2,100%,AVANCE[[#This Row],[PISO]])</f>
        <v>0</v>
      </c>
      <c r="BH395" s="3">
        <f>+IF(AVANCE[[#This Row],[TABIQUES]]=O$2,100%,AVANCE[[#This Row],[TABIQUES]])</f>
        <v>0</v>
      </c>
      <c r="BI395" s="3">
        <f>+IF(AVANCE[[#This Row],[MUROS]]=P$2,100%,AVANCE[[#This Row],[MUROS]])</f>
        <v>0</v>
      </c>
      <c r="BJ395" s="3">
        <f>+IF(AVANCE[[#This Row],[CIELO]]=Q$2,100%,AVANCE[[#This Row],[CIELO]])</f>
        <v>0</v>
      </c>
      <c r="BK395" s="3">
        <f>+IF(AVANCE[[#This Row],[BALCÓN]]=R$2,100%,AVANCE[[#This Row],[BALCÓN]])</f>
        <v>0</v>
      </c>
      <c r="BL395" s="3">
        <f>+IF(AVANCE[[#This Row],[RED ALCANTARILLADO]]=U$2,100%,AVANCE[[#This Row],[RED ALCANTARILLADO]])</f>
        <v>0</v>
      </c>
      <c r="BM395" s="3">
        <f>+IF(AVANCE[[#This Row],[RED DE AGUA]]=V$2,100%,AVANCE[[#This Row],[RED DE AGUA]])</f>
        <v>0</v>
      </c>
      <c r="BN395" s="3">
        <f>+IF(AVANCE[[#This Row],[VENTILACIONES]]=W$2,100%,AVANCE[[#This Row],[VENTILACIONES]])</f>
        <v>0</v>
      </c>
      <c r="BO395" s="3">
        <f>+IF(AVANCE[[#This Row],[TINA]]=X$2,100%,AVANCE[[#This Row],[TINA]])</f>
        <v>0</v>
      </c>
      <c r="BP395" s="3">
        <f>+IF(AVANCE[[#This Row],[WC]]=Y$2,100%,AVANCE[[#This Row],[WC]])</f>
        <v>0</v>
      </c>
      <c r="BQ395" s="3">
        <f>+IF(AVANCE[[#This Row],[LAVAMANOS / LAVAPLATOS / LAVADERO]]=Z$2,100%,AVANCE[[#This Row],[LAVAMANOS / LAVAPLATOS / LAVADERO]])</f>
        <v>0</v>
      </c>
      <c r="BR395" s="3">
        <f>+IF(AVANCE[[#This Row],[CANALIZACIÓN]]=AC$2,100%,AVANCE[[#This Row],[CANALIZACIÓN]])</f>
        <v>0</v>
      </c>
      <c r="BS395" s="3">
        <f>+IF(AVANCE[[#This Row],[CABLEADO]]=AD$2,100%,AVANCE[[#This Row],[CABLEADO]])</f>
        <v>0</v>
      </c>
      <c r="BT395" s="3">
        <f>+IF(AVANCE[[#This Row],[ARTEFACTOS]]=AE$2,100%,AVANCE[[#This Row],[ARTEFACTOS]])</f>
        <v>0</v>
      </c>
      <c r="BU395" s="3">
        <f>+IF(AVANCE[[#This Row],[TABLERO]]=AF$2,100%,AVANCE[[#This Row],[TABLERO]])</f>
        <v>0</v>
      </c>
      <c r="BV395" s="3">
        <f>+IF(AVANCE[[#This Row],[CAJA PAU]]=AG$2,100%,AVANCE[[#This Row],[CAJA PAU]])</f>
        <v>0</v>
      </c>
      <c r="BW395" s="3">
        <f>+IF(AVANCE[[#This Row],[INSTALACION VINILICO]]=AJ$2,100%,AVANCE[[#This Row],[INSTALACION VINILICO]])</f>
        <v>0</v>
      </c>
      <c r="BX395" s="3">
        <f>+IF(AVANCE[[#This Row],[OSB CUBIERTA]]=AK$2,100%,AVANCE[[#This Row],[OSB CUBIERTA]])</f>
        <v>0</v>
      </c>
      <c r="BY395" s="3">
        <f>+IF(AVANCE[[#This Row],[BARANDA BALCON]]=AL$2,100%,AVANCE[[#This Row],[BARANDA BALCON]])</f>
        <v>0</v>
      </c>
      <c r="BZ395" s="3">
        <f>+IF(AVANCE[[#This Row],[OSB EXTERIOR]]=AM$2,100%,AVANCE[[#This Row],[OSB EXTERIOR]])</f>
        <v>0</v>
      </c>
      <c r="CA395" s="3">
        <f>+IF(AVANCE[[#This Row],[SMART PANEL]]=AN$2,100%,AVANCE[[#This Row],[SMART PANEL]])</f>
        <v>0</v>
      </c>
      <c r="CB395" s="3">
        <f>+IF(AVANCE[[#This Row],[PINTURA EXTERIOR]]=AO$2,100%,AVANCE[[#This Row],[PINTURA EXTERIOR]])</f>
        <v>0</v>
      </c>
      <c r="CC395" s="3">
        <f>+IF(AVANCE[[#This Row],[ZOCALOS LOGIA]]=AP$2,100%,AVANCE[[#This Row],[ZOCALOS LOGIA]])</f>
        <v>0</v>
      </c>
      <c r="CD395" s="3">
        <f>+IF(AVANCE[[#This Row],[MOLDURAS]]=AQ$2,100%,AVANCE[[#This Row],[MOLDURAS]])</f>
        <v>0</v>
      </c>
      <c r="CE395" s="3">
        <f>+IF(AVANCE[[#This Row],[PILASTREO]]=AR$2,100%,AVANCE[[#This Row],[PILASTREO]])</f>
        <v>0</v>
      </c>
      <c r="CF395" s="3">
        <f>+IF(AVANCE[[#This Row],[CELOSIAS]]=AS$2,100%,AVANCE[[#This Row],[CELOSIAS]])</f>
        <v>0</v>
      </c>
      <c r="CG395" s="3">
        <f>+IF(AVANCE[[#This Row],[VENTANAS]]=AT$2,100%,AVANCE[[#This Row],[VENTANAS]])</f>
        <v>0</v>
      </c>
      <c r="CH395" s="3">
        <f>+IF(AVANCE[[#This Row],[PUERTAS ACCESO - LOGIA - BANO]]=AU$2,100%,AVANCE[[#This Row],[PUERTAS ACCESO - LOGIA - BANO]])</f>
        <v>0</v>
      </c>
      <c r="CI395" s="3">
        <f>+IF(AVANCE[[#This Row],[CERRADURAS]]=AV$2,100%,AVANCE[[#This Row],[CERRADURAS]])</f>
        <v>0</v>
      </c>
      <c r="CJ395" s="3">
        <f>+IF(AVANCE[[#This Row],[REVESTIMIENTO INTERIOR ZONA SECA]]=AW$2,100%,AVANCE[[#This Row],[REVESTIMIENTO INTERIOR ZONA SECA]])</f>
        <v>0</v>
      </c>
      <c r="CK395" s="3">
        <f>+IF(AVANCE[[#This Row],[REVESTIMIENTO INTERIOR ZONAS HUMEDAS]]=AX$2,100%,AVANCE[[#This Row],[REVESTIMIENTO INTERIOR ZONAS HUMEDAS]])</f>
        <v>0</v>
      </c>
      <c r="CL395" s="3">
        <f>+IF(AVANCE[[#This Row],[MEMBRANA CIELO]]=AY$2,100%,AVANCE[[#This Row],[MEMBRANA CIELO]])</f>
        <v>0</v>
      </c>
      <c r="CM395" s="3">
        <f>+IF(AVANCE[[#This Row],[LIMPIEZA FINAL]]=AZ$2,100%,AVANCE[[#This Row],[LIMPIEZA FINAL]])</f>
        <v>0</v>
      </c>
      <c r="CN395" s="3">
        <f>+IF(AVANCE[[#This Row],[PUERTAS DORMITORIO]]=BA$2,100%,AVANCE[[#This Row],[PUERTAS DORMITORIO]])</f>
        <v>0</v>
      </c>
      <c r="CO395" s="3">
        <f>+IF(AVANCE[[#This Row],[REVESTIMIENTO INTERIOR BANO]]=BB$2,100%,AVANCE[[#This Row],[REVESTIMIENTO INTERIOR BANO]])</f>
        <v>0</v>
      </c>
      <c r="CP395" s="3">
        <f>+IF(AVANCE[[#This Row],[MUEBLE LAVAPLATOS]]=BC$2,100%,AVANCE[[#This Row],[MUEBLE LAVAPLATOS]])</f>
        <v>0</v>
      </c>
      <c r="CQ395" s="3">
        <f>+IF(AVANCE[[#This Row],[IMPERMEABILIZACION BANO - COCINA LOGIA]]=BD$2,100%,AVANCE[[#This Row],[IMPERMEABILIZACION BANO - COCINA LOGIA]])</f>
        <v>0</v>
      </c>
      <c r="CR395" s="40">
        <f ca="1">+IF(AVANCE[[#This Row],[ESTADO MODULO]]="PENDIENTE",(TODAY()-AVANCE[[#This Row],[FECHA TERMINO  PLANIFICADO]]),0)</f>
        <v>0</v>
      </c>
      <c r="CS395" s="42" t="str" cm="1">
        <f t="array" ref="CS395">_xlfn.TEXTJOIN(" | ",TRUE,IF(SUMPRODUCT((BF395:CQ395&lt;1)*(PARTIDAS!$I$2:$AT$2="OBRA GRUESA"))&gt;0,"OBRA GRUESA: "&amp;_xlfn.TEXTJOIN(", ",TRUE,IF((BF395:CQ395&lt;1)*(PARTIDAS!$I$2:$AT$2="OBRA GRUESA"),PARTIDAS!$I$1:$AT$1,"")),""),IF(SUMPRODUCT((BF395:CQ395&lt;1)*(PARTIDAS!$I$2:$AT$2="SANITARIOS"))&gt;0,"SANITARIOS: "&amp;_xlfn.TEXTJOIN(", ",TRUE,IF((BF395:CQ395&lt;1)*(PARTIDAS!$I$2:$AT$2="SANITARIOS"),PARTIDAS!$I$1:$AT$1,"")),""),IF(SUMPRODUCT((BF395:CQ395&lt;1)*(PARTIDAS!$I$2:$AT$2="ELÉCTRICO"))&gt;0,"ELÉCTRICO: "&amp;_xlfn.TEXTJOIN(", ",TRUE,IF((BF395:CQ395&lt;1)*(PARTIDAS!$I$2:$AT$2="ELÉCTRICO"),PARTIDAS!$I$1:$AT$1,"")),""),IF(SUMPRODUCT((BF395:CQ395&lt;1)*(PARTIDAS!$I$2:$AT$2="TERMINACIONES"))&gt;0,"TERMINACIONES: "&amp;_xlfn.TEXTJOIN(", ",TRUE,IF((BF395:CQ395&lt;1)*(PARTIDAS!$I$2:$AT$2="TERMINACIONES"),PARTIDAS!$I$1:$AT$1,"")),""))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5" s="45" t="str" cm="1">
        <f t="array" ref="CT395">_xlfn.TEXTJOIN(", ",TRUE,IF(SUMPRODUCT((BF395:CQ395&lt;1)*(PARTIDAS!$I$2:$AT$2="OBRA GRUESA"))&gt;0,"OBRA GRUESA",""),IF(SUMPRODUCT((BF395:CQ395&lt;1)*(PARTIDAS!$I$2:$AT$2="SANITARIOS"))&gt;0,"SANITARIOS",""),IF(SUMPRODUCT((BF395:CQ395&lt;1)*(PARTIDAS!$I$2:$AT$2="ELÉCTRICO"))&gt;0,"ELÉCTRICO",""),IF(SUMPRODUCT((BF395:CQ395&lt;1)*(PARTIDAS!$I$2:$AT$2="TERMINACIONES"))&gt;0,"TERMINACIONES",""))</f>
        <v>OBRA GRUESA, SANITARIOS, ELÉCTRICO, TERMINACIONES</v>
      </c>
      <c r="CU395" s="46" cm="1">
        <f t="array" ref="CU395">SUMPRODUCT(--(BF395:CQ395&lt;1))</f>
        <v>38</v>
      </c>
    </row>
    <row r="396" spans="1:99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46181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 s="3" t="str">
        <f>+IF(AVANCE[[#This Row],[% AVANCE]]=100%,"MODULO TERMINADO",IF(AVANCE[[#This Row],[FECHA INICIO REAL]]="","MODULO NO INICIADO","PENDIENTE"))</f>
        <v>MODULO NO INICIADO</v>
      </c>
      <c r="BF396" s="3">
        <f>+IF(AVANCE[[#This Row],[VENTANAS]]=8.10810810810811%,100%,AVANCE[[#This Row],[VENTANAS]])</f>
        <v>0</v>
      </c>
      <c r="BG396" s="3">
        <f>+IF(AVANCE[[#This Row],[PISO]]=N$2,100%,AVANCE[[#This Row],[PISO]])</f>
        <v>0</v>
      </c>
      <c r="BH396" s="3">
        <f>+IF(AVANCE[[#This Row],[TABIQUES]]=O$2,100%,AVANCE[[#This Row],[TABIQUES]])</f>
        <v>0</v>
      </c>
      <c r="BI396" s="3">
        <f>+IF(AVANCE[[#This Row],[MUROS]]=P$2,100%,AVANCE[[#This Row],[MUROS]])</f>
        <v>0</v>
      </c>
      <c r="BJ396" s="3">
        <f>+IF(AVANCE[[#This Row],[CIELO]]=Q$2,100%,AVANCE[[#This Row],[CIELO]])</f>
        <v>0</v>
      </c>
      <c r="BK396" s="3">
        <f>+IF(AVANCE[[#This Row],[BALCÓN]]=R$2,100%,AVANCE[[#This Row],[BALCÓN]])</f>
        <v>0</v>
      </c>
      <c r="BL396" s="3">
        <f>+IF(AVANCE[[#This Row],[RED ALCANTARILLADO]]=U$2,100%,AVANCE[[#This Row],[RED ALCANTARILLADO]])</f>
        <v>0</v>
      </c>
      <c r="BM396" s="3">
        <f>+IF(AVANCE[[#This Row],[RED DE AGUA]]=V$2,100%,AVANCE[[#This Row],[RED DE AGUA]])</f>
        <v>0</v>
      </c>
      <c r="BN396" s="3">
        <f>+IF(AVANCE[[#This Row],[VENTILACIONES]]=W$2,100%,AVANCE[[#This Row],[VENTILACIONES]])</f>
        <v>0</v>
      </c>
      <c r="BO396" s="3">
        <f>+IF(AVANCE[[#This Row],[TINA]]=X$2,100%,AVANCE[[#This Row],[TINA]])</f>
        <v>0</v>
      </c>
      <c r="BP396" s="3">
        <f>+IF(AVANCE[[#This Row],[WC]]=Y$2,100%,AVANCE[[#This Row],[WC]])</f>
        <v>0</v>
      </c>
      <c r="BQ396" s="3">
        <f>+IF(AVANCE[[#This Row],[LAVAMANOS / LAVAPLATOS / LAVADERO]]=Z$2,100%,AVANCE[[#This Row],[LAVAMANOS / LAVAPLATOS / LAVADERO]])</f>
        <v>0</v>
      </c>
      <c r="BR396" s="3">
        <f>+IF(AVANCE[[#This Row],[CANALIZACIÓN]]=AC$2,100%,AVANCE[[#This Row],[CANALIZACIÓN]])</f>
        <v>0</v>
      </c>
      <c r="BS396" s="3">
        <f>+IF(AVANCE[[#This Row],[CABLEADO]]=AD$2,100%,AVANCE[[#This Row],[CABLEADO]])</f>
        <v>0</v>
      </c>
      <c r="BT396" s="3">
        <f>+IF(AVANCE[[#This Row],[ARTEFACTOS]]=AE$2,100%,AVANCE[[#This Row],[ARTEFACTOS]])</f>
        <v>0</v>
      </c>
      <c r="BU396" s="3">
        <f>+IF(AVANCE[[#This Row],[TABLERO]]=AF$2,100%,AVANCE[[#This Row],[TABLERO]])</f>
        <v>0</v>
      </c>
      <c r="BV396" s="3">
        <f>+IF(AVANCE[[#This Row],[CAJA PAU]]=AG$2,100%,AVANCE[[#This Row],[CAJA PAU]])</f>
        <v>0</v>
      </c>
      <c r="BW396" s="3">
        <f>+IF(AVANCE[[#This Row],[INSTALACION VINILICO]]=AJ$2,100%,AVANCE[[#This Row],[INSTALACION VINILICO]])</f>
        <v>0</v>
      </c>
      <c r="BX396" s="3">
        <f>+IF(AVANCE[[#This Row],[OSB CUBIERTA]]=AK$2,100%,AVANCE[[#This Row],[OSB CUBIERTA]])</f>
        <v>0</v>
      </c>
      <c r="BY396" s="3">
        <f>+IF(AVANCE[[#This Row],[BARANDA BALCON]]=AL$2,100%,AVANCE[[#This Row],[BARANDA BALCON]])</f>
        <v>0</v>
      </c>
      <c r="BZ396" s="3">
        <f>+IF(AVANCE[[#This Row],[OSB EXTERIOR]]=AM$2,100%,AVANCE[[#This Row],[OSB EXTERIOR]])</f>
        <v>0</v>
      </c>
      <c r="CA396" s="3">
        <f>+IF(AVANCE[[#This Row],[SMART PANEL]]=AN$2,100%,AVANCE[[#This Row],[SMART PANEL]])</f>
        <v>0</v>
      </c>
      <c r="CB396" s="3">
        <f>+IF(AVANCE[[#This Row],[PINTURA EXTERIOR]]=AO$2,100%,AVANCE[[#This Row],[PINTURA EXTERIOR]])</f>
        <v>0</v>
      </c>
      <c r="CC396" s="3">
        <f>+IF(AVANCE[[#This Row],[ZOCALOS LOGIA]]=AP$2,100%,AVANCE[[#This Row],[ZOCALOS LOGIA]])</f>
        <v>0</v>
      </c>
      <c r="CD396" s="3">
        <f>+IF(AVANCE[[#This Row],[MOLDURAS]]=AQ$2,100%,AVANCE[[#This Row],[MOLDURAS]])</f>
        <v>0</v>
      </c>
      <c r="CE396" s="3">
        <f>+IF(AVANCE[[#This Row],[PILASTREO]]=AR$2,100%,AVANCE[[#This Row],[PILASTREO]])</f>
        <v>0</v>
      </c>
      <c r="CF396" s="3">
        <f>+IF(AVANCE[[#This Row],[CELOSIAS]]=AS$2,100%,AVANCE[[#This Row],[CELOSIAS]])</f>
        <v>0</v>
      </c>
      <c r="CG396" s="3">
        <f>+IF(AVANCE[[#This Row],[VENTANAS]]=AT$2,100%,AVANCE[[#This Row],[VENTANAS]])</f>
        <v>0</v>
      </c>
      <c r="CH396" s="3">
        <f>+IF(AVANCE[[#This Row],[PUERTAS ACCESO - LOGIA - BANO]]=AU$2,100%,AVANCE[[#This Row],[PUERTAS ACCESO - LOGIA - BANO]])</f>
        <v>0</v>
      </c>
      <c r="CI396" s="3">
        <f>+IF(AVANCE[[#This Row],[CERRADURAS]]=AV$2,100%,AVANCE[[#This Row],[CERRADURAS]])</f>
        <v>0</v>
      </c>
      <c r="CJ396" s="3">
        <f>+IF(AVANCE[[#This Row],[REVESTIMIENTO INTERIOR ZONA SECA]]=AW$2,100%,AVANCE[[#This Row],[REVESTIMIENTO INTERIOR ZONA SECA]])</f>
        <v>0</v>
      </c>
      <c r="CK396" s="3">
        <f>+IF(AVANCE[[#This Row],[REVESTIMIENTO INTERIOR ZONAS HUMEDAS]]=AX$2,100%,AVANCE[[#This Row],[REVESTIMIENTO INTERIOR ZONAS HUMEDAS]])</f>
        <v>0</v>
      </c>
      <c r="CL396" s="3">
        <f>+IF(AVANCE[[#This Row],[MEMBRANA CIELO]]=AY$2,100%,AVANCE[[#This Row],[MEMBRANA CIELO]])</f>
        <v>0</v>
      </c>
      <c r="CM396" s="3">
        <f>+IF(AVANCE[[#This Row],[LIMPIEZA FINAL]]=AZ$2,100%,AVANCE[[#This Row],[LIMPIEZA FINAL]])</f>
        <v>0</v>
      </c>
      <c r="CN396" s="3">
        <f>+IF(AVANCE[[#This Row],[PUERTAS DORMITORIO]]=BA$2,100%,AVANCE[[#This Row],[PUERTAS DORMITORIO]])</f>
        <v>0</v>
      </c>
      <c r="CO396" s="3">
        <f>+IF(AVANCE[[#This Row],[REVESTIMIENTO INTERIOR BANO]]=BB$2,100%,AVANCE[[#This Row],[REVESTIMIENTO INTERIOR BANO]])</f>
        <v>0</v>
      </c>
      <c r="CP396" s="3">
        <f>+IF(AVANCE[[#This Row],[MUEBLE LAVAPLATOS]]=BC$2,100%,AVANCE[[#This Row],[MUEBLE LAVAPLATOS]])</f>
        <v>0</v>
      </c>
      <c r="CQ396" s="3">
        <f>+IF(AVANCE[[#This Row],[IMPERMEABILIZACION BANO - COCINA LOGIA]]=BD$2,100%,AVANCE[[#This Row],[IMPERMEABILIZACION BANO - COCINA LOGIA]])</f>
        <v>0</v>
      </c>
      <c r="CR396" s="40">
        <f ca="1">+IF(AVANCE[[#This Row],[ESTADO MODULO]]="PENDIENTE",(TODAY()-AVANCE[[#This Row],[FECHA TERMINO  PLANIFICADO]]),0)</f>
        <v>0</v>
      </c>
      <c r="CS396" s="42" t="str" cm="1">
        <f t="array" ref="CS396">_xlfn.TEXTJOIN(" | ",TRUE,IF(SUMPRODUCT((BF396:CQ396&lt;1)*(PARTIDAS!$I$2:$AT$2="OBRA GRUESA"))&gt;0,"OBRA GRUESA: "&amp;_xlfn.TEXTJOIN(", ",TRUE,IF((BF396:CQ396&lt;1)*(PARTIDAS!$I$2:$AT$2="OBRA GRUESA"),PARTIDAS!$I$1:$AT$1,"")),""),IF(SUMPRODUCT((BF396:CQ396&lt;1)*(PARTIDAS!$I$2:$AT$2="SANITARIOS"))&gt;0,"SANITARIOS: "&amp;_xlfn.TEXTJOIN(", ",TRUE,IF((BF396:CQ396&lt;1)*(PARTIDAS!$I$2:$AT$2="SANITARIOS"),PARTIDAS!$I$1:$AT$1,"")),""),IF(SUMPRODUCT((BF396:CQ396&lt;1)*(PARTIDAS!$I$2:$AT$2="ELÉCTRICO"))&gt;0,"ELÉCTRICO: "&amp;_xlfn.TEXTJOIN(", ",TRUE,IF((BF396:CQ396&lt;1)*(PARTIDAS!$I$2:$AT$2="ELÉCTRICO"),PARTIDAS!$I$1:$AT$1,"")),""),IF(SUMPRODUCT((BF396:CQ396&lt;1)*(PARTIDAS!$I$2:$AT$2="TERMINACIONES"))&gt;0,"TERMINACIONES: "&amp;_xlfn.TEXTJOIN(", ",TRUE,IF((BF396:CQ396&lt;1)*(PARTIDAS!$I$2:$AT$2="TERMINACIONES"),PARTIDAS!$I$1:$AT$1,"")),""))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6" s="45" t="str" cm="1">
        <f t="array" ref="CT396">_xlfn.TEXTJOIN(", ",TRUE,IF(SUMPRODUCT((BF396:CQ396&lt;1)*(PARTIDAS!$I$2:$AT$2="OBRA GRUESA"))&gt;0,"OBRA GRUESA",""),IF(SUMPRODUCT((BF396:CQ396&lt;1)*(PARTIDAS!$I$2:$AT$2="SANITARIOS"))&gt;0,"SANITARIOS",""),IF(SUMPRODUCT((BF396:CQ396&lt;1)*(PARTIDAS!$I$2:$AT$2="ELÉCTRICO"))&gt;0,"ELÉCTRICO",""),IF(SUMPRODUCT((BF396:CQ396&lt;1)*(PARTIDAS!$I$2:$AT$2="TERMINACIONES"))&gt;0,"TERMINACIONES",""))</f>
        <v>OBRA GRUESA, SANITARIOS, ELÉCTRICO, TERMINACIONES</v>
      </c>
      <c r="CU396" s="46" cm="1">
        <f t="array" ref="CU396">SUMPRODUCT(--(BF396:CQ396&lt;1))</f>
        <v>38</v>
      </c>
    </row>
    <row r="397" spans="1:99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46181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 s="3" t="str">
        <f>+IF(AVANCE[[#This Row],[% AVANCE]]=100%,"MODULO TERMINADO",IF(AVANCE[[#This Row],[FECHA INICIO REAL]]="","MODULO NO INICIADO","PENDIENTE"))</f>
        <v>MODULO NO INICIADO</v>
      </c>
      <c r="BF397" s="3">
        <f>+IF(AVANCE[[#This Row],[VENTANAS]]=8.10810810810811%,100%,AVANCE[[#This Row],[VENTANAS]])</f>
        <v>0</v>
      </c>
      <c r="BG397" s="3">
        <f>+IF(AVANCE[[#This Row],[PISO]]=N$2,100%,AVANCE[[#This Row],[PISO]])</f>
        <v>0</v>
      </c>
      <c r="BH397" s="3">
        <f>+IF(AVANCE[[#This Row],[TABIQUES]]=O$2,100%,AVANCE[[#This Row],[TABIQUES]])</f>
        <v>0</v>
      </c>
      <c r="BI397" s="3">
        <f>+IF(AVANCE[[#This Row],[MUROS]]=P$2,100%,AVANCE[[#This Row],[MUROS]])</f>
        <v>0</v>
      </c>
      <c r="BJ397" s="3">
        <f>+IF(AVANCE[[#This Row],[CIELO]]=Q$2,100%,AVANCE[[#This Row],[CIELO]])</f>
        <v>0</v>
      </c>
      <c r="BK397" s="3">
        <f>+IF(AVANCE[[#This Row],[BALCÓN]]=R$2,100%,AVANCE[[#This Row],[BALCÓN]])</f>
        <v>0</v>
      </c>
      <c r="BL397" s="3">
        <f>+IF(AVANCE[[#This Row],[RED ALCANTARILLADO]]=U$2,100%,AVANCE[[#This Row],[RED ALCANTARILLADO]])</f>
        <v>0</v>
      </c>
      <c r="BM397" s="3">
        <f>+IF(AVANCE[[#This Row],[RED DE AGUA]]=V$2,100%,AVANCE[[#This Row],[RED DE AGUA]])</f>
        <v>0</v>
      </c>
      <c r="BN397" s="3">
        <f>+IF(AVANCE[[#This Row],[VENTILACIONES]]=W$2,100%,AVANCE[[#This Row],[VENTILACIONES]])</f>
        <v>0</v>
      </c>
      <c r="BO397" s="3">
        <f>+IF(AVANCE[[#This Row],[TINA]]=X$2,100%,AVANCE[[#This Row],[TINA]])</f>
        <v>0</v>
      </c>
      <c r="BP397" s="3">
        <f>+IF(AVANCE[[#This Row],[WC]]=Y$2,100%,AVANCE[[#This Row],[WC]])</f>
        <v>0</v>
      </c>
      <c r="BQ397" s="3">
        <f>+IF(AVANCE[[#This Row],[LAVAMANOS / LAVAPLATOS / LAVADERO]]=Z$2,100%,AVANCE[[#This Row],[LAVAMANOS / LAVAPLATOS / LAVADERO]])</f>
        <v>0</v>
      </c>
      <c r="BR397" s="3">
        <f>+IF(AVANCE[[#This Row],[CANALIZACIÓN]]=AC$2,100%,AVANCE[[#This Row],[CANALIZACIÓN]])</f>
        <v>0</v>
      </c>
      <c r="BS397" s="3">
        <f>+IF(AVANCE[[#This Row],[CABLEADO]]=AD$2,100%,AVANCE[[#This Row],[CABLEADO]])</f>
        <v>0</v>
      </c>
      <c r="BT397" s="3">
        <f>+IF(AVANCE[[#This Row],[ARTEFACTOS]]=AE$2,100%,AVANCE[[#This Row],[ARTEFACTOS]])</f>
        <v>0</v>
      </c>
      <c r="BU397" s="3">
        <f>+IF(AVANCE[[#This Row],[TABLERO]]=AF$2,100%,AVANCE[[#This Row],[TABLERO]])</f>
        <v>0</v>
      </c>
      <c r="BV397" s="3">
        <f>+IF(AVANCE[[#This Row],[CAJA PAU]]=AG$2,100%,AVANCE[[#This Row],[CAJA PAU]])</f>
        <v>0</v>
      </c>
      <c r="BW397" s="3">
        <f>+IF(AVANCE[[#This Row],[INSTALACION VINILICO]]=AJ$2,100%,AVANCE[[#This Row],[INSTALACION VINILICO]])</f>
        <v>0</v>
      </c>
      <c r="BX397" s="3">
        <f>+IF(AVANCE[[#This Row],[OSB CUBIERTA]]=AK$2,100%,AVANCE[[#This Row],[OSB CUBIERTA]])</f>
        <v>0</v>
      </c>
      <c r="BY397" s="3">
        <f>+IF(AVANCE[[#This Row],[BARANDA BALCON]]=AL$2,100%,AVANCE[[#This Row],[BARANDA BALCON]])</f>
        <v>0</v>
      </c>
      <c r="BZ397" s="3">
        <f>+IF(AVANCE[[#This Row],[OSB EXTERIOR]]=AM$2,100%,AVANCE[[#This Row],[OSB EXTERIOR]])</f>
        <v>0</v>
      </c>
      <c r="CA397" s="3">
        <f>+IF(AVANCE[[#This Row],[SMART PANEL]]=AN$2,100%,AVANCE[[#This Row],[SMART PANEL]])</f>
        <v>0</v>
      </c>
      <c r="CB397" s="3">
        <f>+IF(AVANCE[[#This Row],[PINTURA EXTERIOR]]=AO$2,100%,AVANCE[[#This Row],[PINTURA EXTERIOR]])</f>
        <v>0</v>
      </c>
      <c r="CC397" s="3">
        <f>+IF(AVANCE[[#This Row],[ZOCALOS LOGIA]]=AP$2,100%,AVANCE[[#This Row],[ZOCALOS LOGIA]])</f>
        <v>0</v>
      </c>
      <c r="CD397" s="3">
        <f>+IF(AVANCE[[#This Row],[MOLDURAS]]=AQ$2,100%,AVANCE[[#This Row],[MOLDURAS]])</f>
        <v>0</v>
      </c>
      <c r="CE397" s="3">
        <f>+IF(AVANCE[[#This Row],[PILASTREO]]=AR$2,100%,AVANCE[[#This Row],[PILASTREO]])</f>
        <v>0</v>
      </c>
      <c r="CF397" s="3">
        <f>+IF(AVANCE[[#This Row],[CELOSIAS]]=AS$2,100%,AVANCE[[#This Row],[CELOSIAS]])</f>
        <v>0</v>
      </c>
      <c r="CG397" s="3">
        <f>+IF(AVANCE[[#This Row],[VENTANAS]]=AT$2,100%,AVANCE[[#This Row],[VENTANAS]])</f>
        <v>0</v>
      </c>
      <c r="CH397" s="3">
        <f>+IF(AVANCE[[#This Row],[PUERTAS ACCESO - LOGIA - BANO]]=AU$2,100%,AVANCE[[#This Row],[PUERTAS ACCESO - LOGIA - BANO]])</f>
        <v>0</v>
      </c>
      <c r="CI397" s="3">
        <f>+IF(AVANCE[[#This Row],[CERRADURAS]]=AV$2,100%,AVANCE[[#This Row],[CERRADURAS]])</f>
        <v>0</v>
      </c>
      <c r="CJ397" s="3">
        <f>+IF(AVANCE[[#This Row],[REVESTIMIENTO INTERIOR ZONA SECA]]=AW$2,100%,AVANCE[[#This Row],[REVESTIMIENTO INTERIOR ZONA SECA]])</f>
        <v>0</v>
      </c>
      <c r="CK397" s="3">
        <f>+IF(AVANCE[[#This Row],[REVESTIMIENTO INTERIOR ZONAS HUMEDAS]]=AX$2,100%,AVANCE[[#This Row],[REVESTIMIENTO INTERIOR ZONAS HUMEDAS]])</f>
        <v>0</v>
      </c>
      <c r="CL397" s="3">
        <f>+IF(AVANCE[[#This Row],[MEMBRANA CIELO]]=AY$2,100%,AVANCE[[#This Row],[MEMBRANA CIELO]])</f>
        <v>0</v>
      </c>
      <c r="CM397" s="3">
        <f>+IF(AVANCE[[#This Row],[LIMPIEZA FINAL]]=AZ$2,100%,AVANCE[[#This Row],[LIMPIEZA FINAL]])</f>
        <v>0</v>
      </c>
      <c r="CN397" s="3">
        <f>+IF(AVANCE[[#This Row],[PUERTAS DORMITORIO]]=BA$2,100%,AVANCE[[#This Row],[PUERTAS DORMITORIO]])</f>
        <v>0</v>
      </c>
      <c r="CO397" s="3">
        <f>+IF(AVANCE[[#This Row],[REVESTIMIENTO INTERIOR BANO]]=BB$2,100%,AVANCE[[#This Row],[REVESTIMIENTO INTERIOR BANO]])</f>
        <v>0</v>
      </c>
      <c r="CP397" s="3">
        <f>+IF(AVANCE[[#This Row],[MUEBLE LAVAPLATOS]]=BC$2,100%,AVANCE[[#This Row],[MUEBLE LAVAPLATOS]])</f>
        <v>0</v>
      </c>
      <c r="CQ397" s="3">
        <f>+IF(AVANCE[[#This Row],[IMPERMEABILIZACION BANO - COCINA LOGIA]]=BD$2,100%,AVANCE[[#This Row],[IMPERMEABILIZACION BANO - COCINA LOGIA]])</f>
        <v>0</v>
      </c>
      <c r="CR397" s="40">
        <f ca="1">+IF(AVANCE[[#This Row],[ESTADO MODULO]]="PENDIENTE",(TODAY()-AVANCE[[#This Row],[FECHA TERMINO  PLANIFICADO]]),0)</f>
        <v>0</v>
      </c>
      <c r="CS397" s="42" t="str" cm="1">
        <f t="array" ref="CS397">_xlfn.TEXTJOIN(" | ",TRUE,IF(SUMPRODUCT((BF397:CQ397&lt;1)*(PARTIDAS!$I$2:$AT$2="OBRA GRUESA"))&gt;0,"OBRA GRUESA: "&amp;_xlfn.TEXTJOIN(", ",TRUE,IF((BF397:CQ397&lt;1)*(PARTIDAS!$I$2:$AT$2="OBRA GRUESA"),PARTIDAS!$I$1:$AT$1,"")),""),IF(SUMPRODUCT((BF397:CQ397&lt;1)*(PARTIDAS!$I$2:$AT$2="SANITARIOS"))&gt;0,"SANITARIOS: "&amp;_xlfn.TEXTJOIN(", ",TRUE,IF((BF397:CQ397&lt;1)*(PARTIDAS!$I$2:$AT$2="SANITARIOS"),PARTIDAS!$I$1:$AT$1,"")),""),IF(SUMPRODUCT((BF397:CQ397&lt;1)*(PARTIDAS!$I$2:$AT$2="ELÉCTRICO"))&gt;0,"ELÉCTRICO: "&amp;_xlfn.TEXTJOIN(", ",TRUE,IF((BF397:CQ397&lt;1)*(PARTIDAS!$I$2:$AT$2="ELÉCTRICO"),PARTIDAS!$I$1:$AT$1,"")),""),IF(SUMPRODUCT((BF397:CQ397&lt;1)*(PARTIDAS!$I$2:$AT$2="TERMINACIONES"))&gt;0,"TERMINACIONES: "&amp;_xlfn.TEXTJOIN(", ",TRUE,IF((BF397:CQ397&lt;1)*(PARTIDAS!$I$2:$AT$2="TERMINACIONES"),PARTIDAS!$I$1:$AT$1,"")),""))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7" s="45" t="str" cm="1">
        <f t="array" ref="CT397">_xlfn.TEXTJOIN(", ",TRUE,IF(SUMPRODUCT((BF397:CQ397&lt;1)*(PARTIDAS!$I$2:$AT$2="OBRA GRUESA"))&gt;0,"OBRA GRUESA",""),IF(SUMPRODUCT((BF397:CQ397&lt;1)*(PARTIDAS!$I$2:$AT$2="SANITARIOS"))&gt;0,"SANITARIOS",""),IF(SUMPRODUCT((BF397:CQ397&lt;1)*(PARTIDAS!$I$2:$AT$2="ELÉCTRICO"))&gt;0,"ELÉCTRICO",""),IF(SUMPRODUCT((BF397:CQ397&lt;1)*(PARTIDAS!$I$2:$AT$2="TERMINACIONES"))&gt;0,"TERMINACIONES",""))</f>
        <v>OBRA GRUESA, SANITARIOS, ELÉCTRICO, TERMINACIONES</v>
      </c>
      <c r="CU397" s="46" cm="1">
        <f t="array" ref="CU397">SUMPRODUCT(--(BF397:CQ397&lt;1))</f>
        <v>38</v>
      </c>
    </row>
    <row r="398" spans="1:99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46181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 s="3" t="str">
        <f>+IF(AVANCE[[#This Row],[% AVANCE]]=100%,"MODULO TERMINADO",IF(AVANCE[[#This Row],[FECHA INICIO REAL]]="","MODULO NO INICIADO","PENDIENTE"))</f>
        <v>MODULO NO INICIADO</v>
      </c>
      <c r="BF398" s="3">
        <f>+IF(AVANCE[[#This Row],[VENTANAS]]=8.10810810810811%,100%,AVANCE[[#This Row],[VENTANAS]])</f>
        <v>0</v>
      </c>
      <c r="BG398" s="3">
        <f>+IF(AVANCE[[#This Row],[PISO]]=N$2,100%,AVANCE[[#This Row],[PISO]])</f>
        <v>0</v>
      </c>
      <c r="BH398" s="3">
        <f>+IF(AVANCE[[#This Row],[TABIQUES]]=O$2,100%,AVANCE[[#This Row],[TABIQUES]])</f>
        <v>0</v>
      </c>
      <c r="BI398" s="3">
        <f>+IF(AVANCE[[#This Row],[MUROS]]=P$2,100%,AVANCE[[#This Row],[MUROS]])</f>
        <v>0</v>
      </c>
      <c r="BJ398" s="3">
        <f>+IF(AVANCE[[#This Row],[CIELO]]=Q$2,100%,AVANCE[[#This Row],[CIELO]])</f>
        <v>0</v>
      </c>
      <c r="BK398" s="3">
        <f>+IF(AVANCE[[#This Row],[BALCÓN]]=R$2,100%,AVANCE[[#This Row],[BALCÓN]])</f>
        <v>0</v>
      </c>
      <c r="BL398" s="3">
        <f>+IF(AVANCE[[#This Row],[RED ALCANTARILLADO]]=U$2,100%,AVANCE[[#This Row],[RED ALCANTARILLADO]])</f>
        <v>0</v>
      </c>
      <c r="BM398" s="3">
        <f>+IF(AVANCE[[#This Row],[RED DE AGUA]]=V$2,100%,AVANCE[[#This Row],[RED DE AGUA]])</f>
        <v>0</v>
      </c>
      <c r="BN398" s="3">
        <f>+IF(AVANCE[[#This Row],[VENTILACIONES]]=W$2,100%,AVANCE[[#This Row],[VENTILACIONES]])</f>
        <v>0</v>
      </c>
      <c r="BO398" s="3">
        <f>+IF(AVANCE[[#This Row],[TINA]]=X$2,100%,AVANCE[[#This Row],[TINA]])</f>
        <v>0</v>
      </c>
      <c r="BP398" s="3">
        <f>+IF(AVANCE[[#This Row],[WC]]=Y$2,100%,AVANCE[[#This Row],[WC]])</f>
        <v>0</v>
      </c>
      <c r="BQ398" s="3">
        <f>+IF(AVANCE[[#This Row],[LAVAMANOS / LAVAPLATOS / LAVADERO]]=Z$2,100%,AVANCE[[#This Row],[LAVAMANOS / LAVAPLATOS / LAVADERO]])</f>
        <v>0</v>
      </c>
      <c r="BR398" s="3">
        <f>+IF(AVANCE[[#This Row],[CANALIZACIÓN]]=AC$2,100%,AVANCE[[#This Row],[CANALIZACIÓN]])</f>
        <v>0</v>
      </c>
      <c r="BS398" s="3">
        <f>+IF(AVANCE[[#This Row],[CABLEADO]]=AD$2,100%,AVANCE[[#This Row],[CABLEADO]])</f>
        <v>0</v>
      </c>
      <c r="BT398" s="3">
        <f>+IF(AVANCE[[#This Row],[ARTEFACTOS]]=AE$2,100%,AVANCE[[#This Row],[ARTEFACTOS]])</f>
        <v>0</v>
      </c>
      <c r="BU398" s="3">
        <f>+IF(AVANCE[[#This Row],[TABLERO]]=AF$2,100%,AVANCE[[#This Row],[TABLERO]])</f>
        <v>0</v>
      </c>
      <c r="BV398" s="3">
        <f>+IF(AVANCE[[#This Row],[CAJA PAU]]=AG$2,100%,AVANCE[[#This Row],[CAJA PAU]])</f>
        <v>0</v>
      </c>
      <c r="BW398" s="3">
        <f>+IF(AVANCE[[#This Row],[INSTALACION VINILICO]]=AJ$2,100%,AVANCE[[#This Row],[INSTALACION VINILICO]])</f>
        <v>0</v>
      </c>
      <c r="BX398" s="3">
        <f>+IF(AVANCE[[#This Row],[OSB CUBIERTA]]=AK$2,100%,AVANCE[[#This Row],[OSB CUBIERTA]])</f>
        <v>0</v>
      </c>
      <c r="BY398" s="3">
        <f>+IF(AVANCE[[#This Row],[BARANDA BALCON]]=AL$2,100%,AVANCE[[#This Row],[BARANDA BALCON]])</f>
        <v>0</v>
      </c>
      <c r="BZ398" s="3">
        <f>+IF(AVANCE[[#This Row],[OSB EXTERIOR]]=AM$2,100%,AVANCE[[#This Row],[OSB EXTERIOR]])</f>
        <v>0</v>
      </c>
      <c r="CA398" s="3">
        <f>+IF(AVANCE[[#This Row],[SMART PANEL]]=AN$2,100%,AVANCE[[#This Row],[SMART PANEL]])</f>
        <v>0</v>
      </c>
      <c r="CB398" s="3">
        <f>+IF(AVANCE[[#This Row],[PINTURA EXTERIOR]]=AO$2,100%,AVANCE[[#This Row],[PINTURA EXTERIOR]])</f>
        <v>0</v>
      </c>
      <c r="CC398" s="3">
        <f>+IF(AVANCE[[#This Row],[ZOCALOS LOGIA]]=AP$2,100%,AVANCE[[#This Row],[ZOCALOS LOGIA]])</f>
        <v>0</v>
      </c>
      <c r="CD398" s="3">
        <f>+IF(AVANCE[[#This Row],[MOLDURAS]]=AQ$2,100%,AVANCE[[#This Row],[MOLDURAS]])</f>
        <v>0</v>
      </c>
      <c r="CE398" s="3">
        <f>+IF(AVANCE[[#This Row],[PILASTREO]]=AR$2,100%,AVANCE[[#This Row],[PILASTREO]])</f>
        <v>0</v>
      </c>
      <c r="CF398" s="3">
        <f>+IF(AVANCE[[#This Row],[CELOSIAS]]=AS$2,100%,AVANCE[[#This Row],[CELOSIAS]])</f>
        <v>0</v>
      </c>
      <c r="CG398" s="3">
        <f>+IF(AVANCE[[#This Row],[VENTANAS]]=AT$2,100%,AVANCE[[#This Row],[VENTANAS]])</f>
        <v>0</v>
      </c>
      <c r="CH398" s="3">
        <f>+IF(AVANCE[[#This Row],[PUERTAS ACCESO - LOGIA - BANO]]=AU$2,100%,AVANCE[[#This Row],[PUERTAS ACCESO - LOGIA - BANO]])</f>
        <v>0</v>
      </c>
      <c r="CI398" s="3">
        <f>+IF(AVANCE[[#This Row],[CERRADURAS]]=AV$2,100%,AVANCE[[#This Row],[CERRADURAS]])</f>
        <v>0</v>
      </c>
      <c r="CJ398" s="3">
        <f>+IF(AVANCE[[#This Row],[REVESTIMIENTO INTERIOR ZONA SECA]]=AW$2,100%,AVANCE[[#This Row],[REVESTIMIENTO INTERIOR ZONA SECA]])</f>
        <v>0</v>
      </c>
      <c r="CK398" s="3">
        <f>+IF(AVANCE[[#This Row],[REVESTIMIENTO INTERIOR ZONAS HUMEDAS]]=AX$2,100%,AVANCE[[#This Row],[REVESTIMIENTO INTERIOR ZONAS HUMEDAS]])</f>
        <v>0</v>
      </c>
      <c r="CL398" s="3">
        <f>+IF(AVANCE[[#This Row],[MEMBRANA CIELO]]=AY$2,100%,AVANCE[[#This Row],[MEMBRANA CIELO]])</f>
        <v>0</v>
      </c>
      <c r="CM398" s="3">
        <f>+IF(AVANCE[[#This Row],[LIMPIEZA FINAL]]=AZ$2,100%,AVANCE[[#This Row],[LIMPIEZA FINAL]])</f>
        <v>0</v>
      </c>
      <c r="CN398" s="3">
        <f>+IF(AVANCE[[#This Row],[PUERTAS DORMITORIO]]=BA$2,100%,AVANCE[[#This Row],[PUERTAS DORMITORIO]])</f>
        <v>0</v>
      </c>
      <c r="CO398" s="3">
        <f>+IF(AVANCE[[#This Row],[REVESTIMIENTO INTERIOR BANO]]=BB$2,100%,AVANCE[[#This Row],[REVESTIMIENTO INTERIOR BANO]])</f>
        <v>0</v>
      </c>
      <c r="CP398" s="3">
        <f>+IF(AVANCE[[#This Row],[MUEBLE LAVAPLATOS]]=BC$2,100%,AVANCE[[#This Row],[MUEBLE LAVAPLATOS]])</f>
        <v>0</v>
      </c>
      <c r="CQ398" s="3">
        <f>+IF(AVANCE[[#This Row],[IMPERMEABILIZACION BANO - COCINA LOGIA]]=BD$2,100%,AVANCE[[#This Row],[IMPERMEABILIZACION BANO - COCINA LOGIA]])</f>
        <v>0</v>
      </c>
      <c r="CR398" s="40">
        <f ca="1">+IF(AVANCE[[#This Row],[ESTADO MODULO]]="PENDIENTE",(TODAY()-AVANCE[[#This Row],[FECHA TERMINO  PLANIFICADO]]),0)</f>
        <v>0</v>
      </c>
      <c r="CS398" s="42" t="str" cm="1">
        <f t="array" ref="CS398">_xlfn.TEXTJOIN(" | ",TRUE,IF(SUMPRODUCT((BF398:CQ398&lt;1)*(PARTIDAS!$I$2:$AT$2="OBRA GRUESA"))&gt;0,"OBRA GRUESA: "&amp;_xlfn.TEXTJOIN(", ",TRUE,IF((BF398:CQ398&lt;1)*(PARTIDAS!$I$2:$AT$2="OBRA GRUESA"),PARTIDAS!$I$1:$AT$1,"")),""),IF(SUMPRODUCT((BF398:CQ398&lt;1)*(PARTIDAS!$I$2:$AT$2="SANITARIOS"))&gt;0,"SANITARIOS: "&amp;_xlfn.TEXTJOIN(", ",TRUE,IF((BF398:CQ398&lt;1)*(PARTIDAS!$I$2:$AT$2="SANITARIOS"),PARTIDAS!$I$1:$AT$1,"")),""),IF(SUMPRODUCT((BF398:CQ398&lt;1)*(PARTIDAS!$I$2:$AT$2="ELÉCTRICO"))&gt;0,"ELÉCTRICO: "&amp;_xlfn.TEXTJOIN(", ",TRUE,IF((BF398:CQ398&lt;1)*(PARTIDAS!$I$2:$AT$2="ELÉCTRICO"),PARTIDAS!$I$1:$AT$1,"")),""),IF(SUMPRODUCT((BF398:CQ398&lt;1)*(PARTIDAS!$I$2:$AT$2="TERMINACIONES"))&gt;0,"TERMINACIONES: "&amp;_xlfn.TEXTJOIN(", ",TRUE,IF((BF398:CQ398&lt;1)*(PARTIDAS!$I$2:$AT$2="TERMINACIONES"),PARTIDAS!$I$1:$AT$1,"")),""))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8" s="45" t="str" cm="1">
        <f t="array" ref="CT398">_xlfn.TEXTJOIN(", ",TRUE,IF(SUMPRODUCT((BF398:CQ398&lt;1)*(PARTIDAS!$I$2:$AT$2="OBRA GRUESA"))&gt;0,"OBRA GRUESA",""),IF(SUMPRODUCT((BF398:CQ398&lt;1)*(PARTIDAS!$I$2:$AT$2="SANITARIOS"))&gt;0,"SANITARIOS",""),IF(SUMPRODUCT((BF398:CQ398&lt;1)*(PARTIDAS!$I$2:$AT$2="ELÉCTRICO"))&gt;0,"ELÉCTRICO",""),IF(SUMPRODUCT((BF398:CQ398&lt;1)*(PARTIDAS!$I$2:$AT$2="TERMINACIONES"))&gt;0,"TERMINACIONES",""))</f>
        <v>OBRA GRUESA, SANITARIOS, ELÉCTRICO, TERMINACIONES</v>
      </c>
      <c r="CU398" s="46" cm="1">
        <f t="array" ref="CU398">SUMPRODUCT(--(BF398:CQ398&lt;1))</f>
        <v>38</v>
      </c>
    </row>
    <row r="399" spans="1:99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46181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 s="3" t="str">
        <f>+IF(AVANCE[[#This Row],[% AVANCE]]=100%,"MODULO TERMINADO",IF(AVANCE[[#This Row],[FECHA INICIO REAL]]="","MODULO NO INICIADO","PENDIENTE"))</f>
        <v>MODULO NO INICIADO</v>
      </c>
      <c r="BF399" s="3">
        <f>+IF(AVANCE[[#This Row],[VENTANAS]]=8.10810810810811%,100%,AVANCE[[#This Row],[VENTANAS]])</f>
        <v>0</v>
      </c>
      <c r="BG399" s="3">
        <f>+IF(AVANCE[[#This Row],[PISO]]=N$2,100%,AVANCE[[#This Row],[PISO]])</f>
        <v>0</v>
      </c>
      <c r="BH399" s="3">
        <f>+IF(AVANCE[[#This Row],[TABIQUES]]=O$2,100%,AVANCE[[#This Row],[TABIQUES]])</f>
        <v>0</v>
      </c>
      <c r="BI399" s="3">
        <f>+IF(AVANCE[[#This Row],[MUROS]]=P$2,100%,AVANCE[[#This Row],[MUROS]])</f>
        <v>0</v>
      </c>
      <c r="BJ399" s="3">
        <f>+IF(AVANCE[[#This Row],[CIELO]]=Q$2,100%,AVANCE[[#This Row],[CIELO]])</f>
        <v>0</v>
      </c>
      <c r="BK399" s="3">
        <f>+IF(AVANCE[[#This Row],[BALCÓN]]=R$2,100%,AVANCE[[#This Row],[BALCÓN]])</f>
        <v>0</v>
      </c>
      <c r="BL399" s="3">
        <f>+IF(AVANCE[[#This Row],[RED ALCANTARILLADO]]=U$2,100%,AVANCE[[#This Row],[RED ALCANTARILLADO]])</f>
        <v>0</v>
      </c>
      <c r="BM399" s="3">
        <f>+IF(AVANCE[[#This Row],[RED DE AGUA]]=V$2,100%,AVANCE[[#This Row],[RED DE AGUA]])</f>
        <v>0</v>
      </c>
      <c r="BN399" s="3">
        <f>+IF(AVANCE[[#This Row],[VENTILACIONES]]=W$2,100%,AVANCE[[#This Row],[VENTILACIONES]])</f>
        <v>0</v>
      </c>
      <c r="BO399" s="3">
        <f>+IF(AVANCE[[#This Row],[TINA]]=X$2,100%,AVANCE[[#This Row],[TINA]])</f>
        <v>0</v>
      </c>
      <c r="BP399" s="3">
        <f>+IF(AVANCE[[#This Row],[WC]]=Y$2,100%,AVANCE[[#This Row],[WC]])</f>
        <v>0</v>
      </c>
      <c r="BQ399" s="3">
        <f>+IF(AVANCE[[#This Row],[LAVAMANOS / LAVAPLATOS / LAVADERO]]=Z$2,100%,AVANCE[[#This Row],[LAVAMANOS / LAVAPLATOS / LAVADERO]])</f>
        <v>0</v>
      </c>
      <c r="BR399" s="3">
        <f>+IF(AVANCE[[#This Row],[CANALIZACIÓN]]=AC$2,100%,AVANCE[[#This Row],[CANALIZACIÓN]])</f>
        <v>0</v>
      </c>
      <c r="BS399" s="3">
        <f>+IF(AVANCE[[#This Row],[CABLEADO]]=AD$2,100%,AVANCE[[#This Row],[CABLEADO]])</f>
        <v>0</v>
      </c>
      <c r="BT399" s="3">
        <f>+IF(AVANCE[[#This Row],[ARTEFACTOS]]=AE$2,100%,AVANCE[[#This Row],[ARTEFACTOS]])</f>
        <v>0</v>
      </c>
      <c r="BU399" s="3">
        <f>+IF(AVANCE[[#This Row],[TABLERO]]=AF$2,100%,AVANCE[[#This Row],[TABLERO]])</f>
        <v>0</v>
      </c>
      <c r="BV399" s="3">
        <f>+IF(AVANCE[[#This Row],[CAJA PAU]]=AG$2,100%,AVANCE[[#This Row],[CAJA PAU]])</f>
        <v>0</v>
      </c>
      <c r="BW399" s="3">
        <f>+IF(AVANCE[[#This Row],[INSTALACION VINILICO]]=AJ$2,100%,AVANCE[[#This Row],[INSTALACION VINILICO]])</f>
        <v>0</v>
      </c>
      <c r="BX399" s="3">
        <f>+IF(AVANCE[[#This Row],[OSB CUBIERTA]]=AK$2,100%,AVANCE[[#This Row],[OSB CUBIERTA]])</f>
        <v>0</v>
      </c>
      <c r="BY399" s="3">
        <f>+IF(AVANCE[[#This Row],[BARANDA BALCON]]=AL$2,100%,AVANCE[[#This Row],[BARANDA BALCON]])</f>
        <v>0</v>
      </c>
      <c r="BZ399" s="3">
        <f>+IF(AVANCE[[#This Row],[OSB EXTERIOR]]=AM$2,100%,AVANCE[[#This Row],[OSB EXTERIOR]])</f>
        <v>0</v>
      </c>
      <c r="CA399" s="3">
        <f>+IF(AVANCE[[#This Row],[SMART PANEL]]=AN$2,100%,AVANCE[[#This Row],[SMART PANEL]])</f>
        <v>0</v>
      </c>
      <c r="CB399" s="3">
        <f>+IF(AVANCE[[#This Row],[PINTURA EXTERIOR]]=AO$2,100%,AVANCE[[#This Row],[PINTURA EXTERIOR]])</f>
        <v>0</v>
      </c>
      <c r="CC399" s="3">
        <f>+IF(AVANCE[[#This Row],[ZOCALOS LOGIA]]=AP$2,100%,AVANCE[[#This Row],[ZOCALOS LOGIA]])</f>
        <v>0</v>
      </c>
      <c r="CD399" s="3">
        <f>+IF(AVANCE[[#This Row],[MOLDURAS]]=AQ$2,100%,AVANCE[[#This Row],[MOLDURAS]])</f>
        <v>0</v>
      </c>
      <c r="CE399" s="3">
        <f>+IF(AVANCE[[#This Row],[PILASTREO]]=AR$2,100%,AVANCE[[#This Row],[PILASTREO]])</f>
        <v>0</v>
      </c>
      <c r="CF399" s="3">
        <f>+IF(AVANCE[[#This Row],[CELOSIAS]]=AS$2,100%,AVANCE[[#This Row],[CELOSIAS]])</f>
        <v>0</v>
      </c>
      <c r="CG399" s="3">
        <f>+IF(AVANCE[[#This Row],[VENTANAS]]=AT$2,100%,AVANCE[[#This Row],[VENTANAS]])</f>
        <v>0</v>
      </c>
      <c r="CH399" s="3">
        <f>+IF(AVANCE[[#This Row],[PUERTAS ACCESO - LOGIA - BANO]]=AU$2,100%,AVANCE[[#This Row],[PUERTAS ACCESO - LOGIA - BANO]])</f>
        <v>0</v>
      </c>
      <c r="CI399" s="3">
        <f>+IF(AVANCE[[#This Row],[CERRADURAS]]=AV$2,100%,AVANCE[[#This Row],[CERRADURAS]])</f>
        <v>0</v>
      </c>
      <c r="CJ399" s="3">
        <f>+IF(AVANCE[[#This Row],[REVESTIMIENTO INTERIOR ZONA SECA]]=AW$2,100%,AVANCE[[#This Row],[REVESTIMIENTO INTERIOR ZONA SECA]])</f>
        <v>0</v>
      </c>
      <c r="CK399" s="3">
        <f>+IF(AVANCE[[#This Row],[REVESTIMIENTO INTERIOR ZONAS HUMEDAS]]=AX$2,100%,AVANCE[[#This Row],[REVESTIMIENTO INTERIOR ZONAS HUMEDAS]])</f>
        <v>0</v>
      </c>
      <c r="CL399" s="3">
        <f>+IF(AVANCE[[#This Row],[MEMBRANA CIELO]]=AY$2,100%,AVANCE[[#This Row],[MEMBRANA CIELO]])</f>
        <v>0</v>
      </c>
      <c r="CM399" s="3">
        <f>+IF(AVANCE[[#This Row],[LIMPIEZA FINAL]]=AZ$2,100%,AVANCE[[#This Row],[LIMPIEZA FINAL]])</f>
        <v>0</v>
      </c>
      <c r="CN399" s="3">
        <f>+IF(AVANCE[[#This Row],[PUERTAS DORMITORIO]]=BA$2,100%,AVANCE[[#This Row],[PUERTAS DORMITORIO]])</f>
        <v>0</v>
      </c>
      <c r="CO399" s="3">
        <f>+IF(AVANCE[[#This Row],[REVESTIMIENTO INTERIOR BANO]]=BB$2,100%,AVANCE[[#This Row],[REVESTIMIENTO INTERIOR BANO]])</f>
        <v>0</v>
      </c>
      <c r="CP399" s="3">
        <f>+IF(AVANCE[[#This Row],[MUEBLE LAVAPLATOS]]=BC$2,100%,AVANCE[[#This Row],[MUEBLE LAVAPLATOS]])</f>
        <v>0</v>
      </c>
      <c r="CQ399" s="3">
        <f>+IF(AVANCE[[#This Row],[IMPERMEABILIZACION BANO - COCINA LOGIA]]=BD$2,100%,AVANCE[[#This Row],[IMPERMEABILIZACION BANO - COCINA LOGIA]])</f>
        <v>0</v>
      </c>
      <c r="CR399" s="40">
        <f ca="1">+IF(AVANCE[[#This Row],[ESTADO MODULO]]="PENDIENTE",(TODAY()-AVANCE[[#This Row],[FECHA TERMINO  PLANIFICADO]]),0)</f>
        <v>0</v>
      </c>
      <c r="CS399" s="42" t="str" cm="1">
        <f t="array" ref="CS399">_xlfn.TEXTJOIN(" | ",TRUE,IF(SUMPRODUCT((BF399:CQ399&lt;1)*(PARTIDAS!$I$2:$AT$2="OBRA GRUESA"))&gt;0,"OBRA GRUESA: "&amp;_xlfn.TEXTJOIN(", ",TRUE,IF((BF399:CQ399&lt;1)*(PARTIDAS!$I$2:$AT$2="OBRA GRUESA"),PARTIDAS!$I$1:$AT$1,"")),""),IF(SUMPRODUCT((BF399:CQ399&lt;1)*(PARTIDAS!$I$2:$AT$2="SANITARIOS"))&gt;0,"SANITARIOS: "&amp;_xlfn.TEXTJOIN(", ",TRUE,IF((BF399:CQ399&lt;1)*(PARTIDAS!$I$2:$AT$2="SANITARIOS"),PARTIDAS!$I$1:$AT$1,"")),""),IF(SUMPRODUCT((BF399:CQ399&lt;1)*(PARTIDAS!$I$2:$AT$2="ELÉCTRICO"))&gt;0,"ELÉCTRICO: "&amp;_xlfn.TEXTJOIN(", ",TRUE,IF((BF399:CQ399&lt;1)*(PARTIDAS!$I$2:$AT$2="ELÉCTRICO"),PARTIDAS!$I$1:$AT$1,"")),""),IF(SUMPRODUCT((BF399:CQ399&lt;1)*(PARTIDAS!$I$2:$AT$2="TERMINACIONES"))&gt;0,"TERMINACIONES: "&amp;_xlfn.TEXTJOIN(", ",TRUE,IF((BF399:CQ399&lt;1)*(PARTIDAS!$I$2:$AT$2="TERMINACIONES"),PARTIDAS!$I$1:$AT$1,"")),""))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399" s="45" t="str" cm="1">
        <f t="array" ref="CT399">_xlfn.TEXTJOIN(", ",TRUE,IF(SUMPRODUCT((BF399:CQ399&lt;1)*(PARTIDAS!$I$2:$AT$2="OBRA GRUESA"))&gt;0,"OBRA GRUESA",""),IF(SUMPRODUCT((BF399:CQ399&lt;1)*(PARTIDAS!$I$2:$AT$2="SANITARIOS"))&gt;0,"SANITARIOS",""),IF(SUMPRODUCT((BF399:CQ399&lt;1)*(PARTIDAS!$I$2:$AT$2="ELÉCTRICO"))&gt;0,"ELÉCTRICO",""),IF(SUMPRODUCT((BF399:CQ399&lt;1)*(PARTIDAS!$I$2:$AT$2="TERMINACIONES"))&gt;0,"TERMINACIONES",""))</f>
        <v>OBRA GRUESA, SANITARIOS, ELÉCTRICO, TERMINACIONES</v>
      </c>
      <c r="CU399" s="46" cm="1">
        <f t="array" ref="CU399">SUMPRODUCT(--(BF399:CQ399&lt;1))</f>
        <v>38</v>
      </c>
    </row>
    <row r="400" spans="1:99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46181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 s="3" t="str">
        <f>+IF(AVANCE[[#This Row],[% AVANCE]]=100%,"MODULO TERMINADO",IF(AVANCE[[#This Row],[FECHA INICIO REAL]]="","MODULO NO INICIADO","PENDIENTE"))</f>
        <v>MODULO NO INICIADO</v>
      </c>
      <c r="BF400" s="3">
        <f>+IF(AVANCE[[#This Row],[VENTANAS]]=8.10810810810811%,100%,AVANCE[[#This Row],[VENTANAS]])</f>
        <v>0</v>
      </c>
      <c r="BG400" s="3">
        <f>+IF(AVANCE[[#This Row],[PISO]]=N$2,100%,AVANCE[[#This Row],[PISO]])</f>
        <v>0</v>
      </c>
      <c r="BH400" s="3">
        <f>+IF(AVANCE[[#This Row],[TABIQUES]]=O$2,100%,AVANCE[[#This Row],[TABIQUES]])</f>
        <v>0</v>
      </c>
      <c r="BI400" s="3">
        <f>+IF(AVANCE[[#This Row],[MUROS]]=P$2,100%,AVANCE[[#This Row],[MUROS]])</f>
        <v>0</v>
      </c>
      <c r="BJ400" s="3">
        <f>+IF(AVANCE[[#This Row],[CIELO]]=Q$2,100%,AVANCE[[#This Row],[CIELO]])</f>
        <v>0</v>
      </c>
      <c r="BK400" s="3">
        <f>+IF(AVANCE[[#This Row],[BALCÓN]]=R$2,100%,AVANCE[[#This Row],[BALCÓN]])</f>
        <v>0</v>
      </c>
      <c r="BL400" s="3">
        <f>+IF(AVANCE[[#This Row],[RED ALCANTARILLADO]]=U$2,100%,AVANCE[[#This Row],[RED ALCANTARILLADO]])</f>
        <v>0</v>
      </c>
      <c r="BM400" s="3">
        <f>+IF(AVANCE[[#This Row],[RED DE AGUA]]=V$2,100%,AVANCE[[#This Row],[RED DE AGUA]])</f>
        <v>0</v>
      </c>
      <c r="BN400" s="3">
        <f>+IF(AVANCE[[#This Row],[VENTILACIONES]]=W$2,100%,AVANCE[[#This Row],[VENTILACIONES]])</f>
        <v>0</v>
      </c>
      <c r="BO400" s="3">
        <f>+IF(AVANCE[[#This Row],[TINA]]=X$2,100%,AVANCE[[#This Row],[TINA]])</f>
        <v>0</v>
      </c>
      <c r="BP400" s="3">
        <f>+IF(AVANCE[[#This Row],[WC]]=Y$2,100%,AVANCE[[#This Row],[WC]])</f>
        <v>0</v>
      </c>
      <c r="BQ400" s="3">
        <f>+IF(AVANCE[[#This Row],[LAVAMANOS / LAVAPLATOS / LAVADERO]]=Z$2,100%,AVANCE[[#This Row],[LAVAMANOS / LAVAPLATOS / LAVADERO]])</f>
        <v>0</v>
      </c>
      <c r="BR400" s="3">
        <f>+IF(AVANCE[[#This Row],[CANALIZACIÓN]]=AC$2,100%,AVANCE[[#This Row],[CANALIZACIÓN]])</f>
        <v>0</v>
      </c>
      <c r="BS400" s="3">
        <f>+IF(AVANCE[[#This Row],[CABLEADO]]=AD$2,100%,AVANCE[[#This Row],[CABLEADO]])</f>
        <v>0</v>
      </c>
      <c r="BT400" s="3">
        <f>+IF(AVANCE[[#This Row],[ARTEFACTOS]]=AE$2,100%,AVANCE[[#This Row],[ARTEFACTOS]])</f>
        <v>0</v>
      </c>
      <c r="BU400" s="3">
        <f>+IF(AVANCE[[#This Row],[TABLERO]]=AF$2,100%,AVANCE[[#This Row],[TABLERO]])</f>
        <v>0</v>
      </c>
      <c r="BV400" s="3">
        <f>+IF(AVANCE[[#This Row],[CAJA PAU]]=AG$2,100%,AVANCE[[#This Row],[CAJA PAU]])</f>
        <v>0</v>
      </c>
      <c r="BW400" s="3">
        <f>+IF(AVANCE[[#This Row],[INSTALACION VINILICO]]=AJ$2,100%,AVANCE[[#This Row],[INSTALACION VINILICO]])</f>
        <v>0</v>
      </c>
      <c r="BX400" s="3">
        <f>+IF(AVANCE[[#This Row],[OSB CUBIERTA]]=AK$2,100%,AVANCE[[#This Row],[OSB CUBIERTA]])</f>
        <v>0</v>
      </c>
      <c r="BY400" s="3">
        <f>+IF(AVANCE[[#This Row],[BARANDA BALCON]]=AL$2,100%,AVANCE[[#This Row],[BARANDA BALCON]])</f>
        <v>0</v>
      </c>
      <c r="BZ400" s="3">
        <f>+IF(AVANCE[[#This Row],[OSB EXTERIOR]]=AM$2,100%,AVANCE[[#This Row],[OSB EXTERIOR]])</f>
        <v>0</v>
      </c>
      <c r="CA400" s="3">
        <f>+IF(AVANCE[[#This Row],[SMART PANEL]]=AN$2,100%,AVANCE[[#This Row],[SMART PANEL]])</f>
        <v>0</v>
      </c>
      <c r="CB400" s="3">
        <f>+IF(AVANCE[[#This Row],[PINTURA EXTERIOR]]=AO$2,100%,AVANCE[[#This Row],[PINTURA EXTERIOR]])</f>
        <v>0</v>
      </c>
      <c r="CC400" s="3">
        <f>+IF(AVANCE[[#This Row],[ZOCALOS LOGIA]]=AP$2,100%,AVANCE[[#This Row],[ZOCALOS LOGIA]])</f>
        <v>0</v>
      </c>
      <c r="CD400" s="3">
        <f>+IF(AVANCE[[#This Row],[MOLDURAS]]=AQ$2,100%,AVANCE[[#This Row],[MOLDURAS]])</f>
        <v>0</v>
      </c>
      <c r="CE400" s="3">
        <f>+IF(AVANCE[[#This Row],[PILASTREO]]=AR$2,100%,AVANCE[[#This Row],[PILASTREO]])</f>
        <v>0</v>
      </c>
      <c r="CF400" s="3">
        <f>+IF(AVANCE[[#This Row],[CELOSIAS]]=AS$2,100%,AVANCE[[#This Row],[CELOSIAS]])</f>
        <v>0</v>
      </c>
      <c r="CG400" s="3">
        <f>+IF(AVANCE[[#This Row],[VENTANAS]]=AT$2,100%,AVANCE[[#This Row],[VENTANAS]])</f>
        <v>0</v>
      </c>
      <c r="CH400" s="3">
        <f>+IF(AVANCE[[#This Row],[PUERTAS ACCESO - LOGIA - BANO]]=AU$2,100%,AVANCE[[#This Row],[PUERTAS ACCESO - LOGIA - BANO]])</f>
        <v>0</v>
      </c>
      <c r="CI400" s="3">
        <f>+IF(AVANCE[[#This Row],[CERRADURAS]]=AV$2,100%,AVANCE[[#This Row],[CERRADURAS]])</f>
        <v>0</v>
      </c>
      <c r="CJ400" s="3">
        <f>+IF(AVANCE[[#This Row],[REVESTIMIENTO INTERIOR ZONA SECA]]=AW$2,100%,AVANCE[[#This Row],[REVESTIMIENTO INTERIOR ZONA SECA]])</f>
        <v>0</v>
      </c>
      <c r="CK400" s="3">
        <f>+IF(AVANCE[[#This Row],[REVESTIMIENTO INTERIOR ZONAS HUMEDAS]]=AX$2,100%,AVANCE[[#This Row],[REVESTIMIENTO INTERIOR ZONAS HUMEDAS]])</f>
        <v>0</v>
      </c>
      <c r="CL400" s="3">
        <f>+IF(AVANCE[[#This Row],[MEMBRANA CIELO]]=AY$2,100%,AVANCE[[#This Row],[MEMBRANA CIELO]])</f>
        <v>0</v>
      </c>
      <c r="CM400" s="3">
        <f>+IF(AVANCE[[#This Row],[LIMPIEZA FINAL]]=AZ$2,100%,AVANCE[[#This Row],[LIMPIEZA FINAL]])</f>
        <v>0</v>
      </c>
      <c r="CN400" s="3">
        <f>+IF(AVANCE[[#This Row],[PUERTAS DORMITORIO]]=BA$2,100%,AVANCE[[#This Row],[PUERTAS DORMITORIO]])</f>
        <v>0</v>
      </c>
      <c r="CO400" s="3">
        <f>+IF(AVANCE[[#This Row],[REVESTIMIENTO INTERIOR BANO]]=BB$2,100%,AVANCE[[#This Row],[REVESTIMIENTO INTERIOR BANO]])</f>
        <v>0</v>
      </c>
      <c r="CP400" s="3">
        <f>+IF(AVANCE[[#This Row],[MUEBLE LAVAPLATOS]]=BC$2,100%,AVANCE[[#This Row],[MUEBLE LAVAPLATOS]])</f>
        <v>0</v>
      </c>
      <c r="CQ400" s="3">
        <f>+IF(AVANCE[[#This Row],[IMPERMEABILIZACION BANO - COCINA LOGIA]]=BD$2,100%,AVANCE[[#This Row],[IMPERMEABILIZACION BANO - COCINA LOGIA]])</f>
        <v>0</v>
      </c>
      <c r="CR400" s="40">
        <f ca="1">+IF(AVANCE[[#This Row],[ESTADO MODULO]]="PENDIENTE",(TODAY()-AVANCE[[#This Row],[FECHA TERMINO  PLANIFICADO]]),0)</f>
        <v>0</v>
      </c>
      <c r="CS400" s="42" t="str" cm="1">
        <f t="array" ref="CS400">_xlfn.TEXTJOIN(" | ",TRUE,IF(SUMPRODUCT((BF400:CQ400&lt;1)*(PARTIDAS!$I$2:$AT$2="OBRA GRUESA"))&gt;0,"OBRA GRUESA: "&amp;_xlfn.TEXTJOIN(", ",TRUE,IF((BF400:CQ400&lt;1)*(PARTIDAS!$I$2:$AT$2="OBRA GRUESA"),PARTIDAS!$I$1:$AT$1,"")),""),IF(SUMPRODUCT((BF400:CQ400&lt;1)*(PARTIDAS!$I$2:$AT$2="SANITARIOS"))&gt;0,"SANITARIOS: "&amp;_xlfn.TEXTJOIN(", ",TRUE,IF((BF400:CQ400&lt;1)*(PARTIDAS!$I$2:$AT$2="SANITARIOS"),PARTIDAS!$I$1:$AT$1,"")),""),IF(SUMPRODUCT((BF400:CQ400&lt;1)*(PARTIDAS!$I$2:$AT$2="ELÉCTRICO"))&gt;0,"ELÉCTRICO: "&amp;_xlfn.TEXTJOIN(", ",TRUE,IF((BF400:CQ400&lt;1)*(PARTIDAS!$I$2:$AT$2="ELÉCTRICO"),PARTIDAS!$I$1:$AT$1,"")),""),IF(SUMPRODUCT((BF400:CQ400&lt;1)*(PARTIDAS!$I$2:$AT$2="TERMINACIONES"))&gt;0,"TERMINACIONES: "&amp;_xlfn.TEXTJOIN(", ",TRUE,IF((BF400:CQ400&lt;1)*(PARTIDAS!$I$2:$AT$2="TERMINACIONES"),PARTIDAS!$I$1:$AT$1,"")),""))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0" s="45" t="str" cm="1">
        <f t="array" ref="CT400">_xlfn.TEXTJOIN(", ",TRUE,IF(SUMPRODUCT((BF400:CQ400&lt;1)*(PARTIDAS!$I$2:$AT$2="OBRA GRUESA"))&gt;0,"OBRA GRUESA",""),IF(SUMPRODUCT((BF400:CQ400&lt;1)*(PARTIDAS!$I$2:$AT$2="SANITARIOS"))&gt;0,"SANITARIOS",""),IF(SUMPRODUCT((BF400:CQ400&lt;1)*(PARTIDAS!$I$2:$AT$2="ELÉCTRICO"))&gt;0,"ELÉCTRICO",""),IF(SUMPRODUCT((BF400:CQ400&lt;1)*(PARTIDAS!$I$2:$AT$2="TERMINACIONES"))&gt;0,"TERMINACIONES",""))</f>
        <v>OBRA GRUESA, SANITARIOS, ELÉCTRICO, TERMINACIONES</v>
      </c>
      <c r="CU400" s="46" cm="1">
        <f t="array" ref="CU400">SUMPRODUCT(--(BF400:CQ400&lt;1))</f>
        <v>38</v>
      </c>
    </row>
    <row r="401" spans="1:99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46181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 s="3" t="str">
        <f>+IF(AVANCE[[#This Row],[% AVANCE]]=100%,"MODULO TERMINADO",IF(AVANCE[[#This Row],[FECHA INICIO REAL]]="","MODULO NO INICIADO","PENDIENTE"))</f>
        <v>MODULO NO INICIADO</v>
      </c>
      <c r="BF401" s="3">
        <f>+IF(AVANCE[[#This Row],[VENTANAS]]=8.10810810810811%,100%,AVANCE[[#This Row],[VENTANAS]])</f>
        <v>0</v>
      </c>
      <c r="BG401" s="3">
        <f>+IF(AVANCE[[#This Row],[PISO]]=N$2,100%,AVANCE[[#This Row],[PISO]])</f>
        <v>0</v>
      </c>
      <c r="BH401" s="3">
        <f>+IF(AVANCE[[#This Row],[TABIQUES]]=O$2,100%,AVANCE[[#This Row],[TABIQUES]])</f>
        <v>0</v>
      </c>
      <c r="BI401" s="3">
        <f>+IF(AVANCE[[#This Row],[MUROS]]=P$2,100%,AVANCE[[#This Row],[MUROS]])</f>
        <v>0</v>
      </c>
      <c r="BJ401" s="3">
        <f>+IF(AVANCE[[#This Row],[CIELO]]=Q$2,100%,AVANCE[[#This Row],[CIELO]])</f>
        <v>0</v>
      </c>
      <c r="BK401" s="3">
        <f>+IF(AVANCE[[#This Row],[BALCÓN]]=R$2,100%,AVANCE[[#This Row],[BALCÓN]])</f>
        <v>0</v>
      </c>
      <c r="BL401" s="3">
        <f>+IF(AVANCE[[#This Row],[RED ALCANTARILLADO]]=U$2,100%,AVANCE[[#This Row],[RED ALCANTARILLADO]])</f>
        <v>0</v>
      </c>
      <c r="BM401" s="3">
        <f>+IF(AVANCE[[#This Row],[RED DE AGUA]]=V$2,100%,AVANCE[[#This Row],[RED DE AGUA]])</f>
        <v>0</v>
      </c>
      <c r="BN401" s="3">
        <f>+IF(AVANCE[[#This Row],[VENTILACIONES]]=W$2,100%,AVANCE[[#This Row],[VENTILACIONES]])</f>
        <v>0</v>
      </c>
      <c r="BO401" s="3">
        <f>+IF(AVANCE[[#This Row],[TINA]]=X$2,100%,AVANCE[[#This Row],[TINA]])</f>
        <v>0</v>
      </c>
      <c r="BP401" s="3">
        <f>+IF(AVANCE[[#This Row],[WC]]=Y$2,100%,AVANCE[[#This Row],[WC]])</f>
        <v>0</v>
      </c>
      <c r="BQ401" s="3">
        <f>+IF(AVANCE[[#This Row],[LAVAMANOS / LAVAPLATOS / LAVADERO]]=Z$2,100%,AVANCE[[#This Row],[LAVAMANOS / LAVAPLATOS / LAVADERO]])</f>
        <v>0</v>
      </c>
      <c r="BR401" s="3">
        <f>+IF(AVANCE[[#This Row],[CANALIZACIÓN]]=AC$2,100%,AVANCE[[#This Row],[CANALIZACIÓN]])</f>
        <v>0</v>
      </c>
      <c r="BS401" s="3">
        <f>+IF(AVANCE[[#This Row],[CABLEADO]]=AD$2,100%,AVANCE[[#This Row],[CABLEADO]])</f>
        <v>0</v>
      </c>
      <c r="BT401" s="3">
        <f>+IF(AVANCE[[#This Row],[ARTEFACTOS]]=AE$2,100%,AVANCE[[#This Row],[ARTEFACTOS]])</f>
        <v>0</v>
      </c>
      <c r="BU401" s="3">
        <f>+IF(AVANCE[[#This Row],[TABLERO]]=AF$2,100%,AVANCE[[#This Row],[TABLERO]])</f>
        <v>0</v>
      </c>
      <c r="BV401" s="3">
        <f>+IF(AVANCE[[#This Row],[CAJA PAU]]=AG$2,100%,AVANCE[[#This Row],[CAJA PAU]])</f>
        <v>0</v>
      </c>
      <c r="BW401" s="3">
        <f>+IF(AVANCE[[#This Row],[INSTALACION VINILICO]]=AJ$2,100%,AVANCE[[#This Row],[INSTALACION VINILICO]])</f>
        <v>0</v>
      </c>
      <c r="BX401" s="3">
        <f>+IF(AVANCE[[#This Row],[OSB CUBIERTA]]=AK$2,100%,AVANCE[[#This Row],[OSB CUBIERTA]])</f>
        <v>0</v>
      </c>
      <c r="BY401" s="3">
        <f>+IF(AVANCE[[#This Row],[BARANDA BALCON]]=AL$2,100%,AVANCE[[#This Row],[BARANDA BALCON]])</f>
        <v>0</v>
      </c>
      <c r="BZ401" s="3">
        <f>+IF(AVANCE[[#This Row],[OSB EXTERIOR]]=AM$2,100%,AVANCE[[#This Row],[OSB EXTERIOR]])</f>
        <v>0</v>
      </c>
      <c r="CA401" s="3">
        <f>+IF(AVANCE[[#This Row],[SMART PANEL]]=AN$2,100%,AVANCE[[#This Row],[SMART PANEL]])</f>
        <v>0</v>
      </c>
      <c r="CB401" s="3">
        <f>+IF(AVANCE[[#This Row],[PINTURA EXTERIOR]]=AO$2,100%,AVANCE[[#This Row],[PINTURA EXTERIOR]])</f>
        <v>0</v>
      </c>
      <c r="CC401" s="3">
        <f>+IF(AVANCE[[#This Row],[ZOCALOS LOGIA]]=AP$2,100%,AVANCE[[#This Row],[ZOCALOS LOGIA]])</f>
        <v>0</v>
      </c>
      <c r="CD401" s="3">
        <f>+IF(AVANCE[[#This Row],[MOLDURAS]]=AQ$2,100%,AVANCE[[#This Row],[MOLDURAS]])</f>
        <v>0</v>
      </c>
      <c r="CE401" s="3">
        <f>+IF(AVANCE[[#This Row],[PILASTREO]]=AR$2,100%,AVANCE[[#This Row],[PILASTREO]])</f>
        <v>0</v>
      </c>
      <c r="CF401" s="3">
        <f>+IF(AVANCE[[#This Row],[CELOSIAS]]=AS$2,100%,AVANCE[[#This Row],[CELOSIAS]])</f>
        <v>0</v>
      </c>
      <c r="CG401" s="3">
        <f>+IF(AVANCE[[#This Row],[VENTANAS]]=AT$2,100%,AVANCE[[#This Row],[VENTANAS]])</f>
        <v>0</v>
      </c>
      <c r="CH401" s="3">
        <f>+IF(AVANCE[[#This Row],[PUERTAS ACCESO - LOGIA - BANO]]=AU$2,100%,AVANCE[[#This Row],[PUERTAS ACCESO - LOGIA - BANO]])</f>
        <v>0</v>
      </c>
      <c r="CI401" s="3">
        <f>+IF(AVANCE[[#This Row],[CERRADURAS]]=AV$2,100%,AVANCE[[#This Row],[CERRADURAS]])</f>
        <v>0</v>
      </c>
      <c r="CJ401" s="3">
        <f>+IF(AVANCE[[#This Row],[REVESTIMIENTO INTERIOR ZONA SECA]]=AW$2,100%,AVANCE[[#This Row],[REVESTIMIENTO INTERIOR ZONA SECA]])</f>
        <v>0</v>
      </c>
      <c r="CK401" s="3">
        <f>+IF(AVANCE[[#This Row],[REVESTIMIENTO INTERIOR ZONAS HUMEDAS]]=AX$2,100%,AVANCE[[#This Row],[REVESTIMIENTO INTERIOR ZONAS HUMEDAS]])</f>
        <v>0</v>
      </c>
      <c r="CL401" s="3">
        <f>+IF(AVANCE[[#This Row],[MEMBRANA CIELO]]=AY$2,100%,AVANCE[[#This Row],[MEMBRANA CIELO]])</f>
        <v>0</v>
      </c>
      <c r="CM401" s="3">
        <f>+IF(AVANCE[[#This Row],[LIMPIEZA FINAL]]=AZ$2,100%,AVANCE[[#This Row],[LIMPIEZA FINAL]])</f>
        <v>0</v>
      </c>
      <c r="CN401" s="3">
        <f>+IF(AVANCE[[#This Row],[PUERTAS DORMITORIO]]=BA$2,100%,AVANCE[[#This Row],[PUERTAS DORMITORIO]])</f>
        <v>0</v>
      </c>
      <c r="CO401" s="3">
        <f>+IF(AVANCE[[#This Row],[REVESTIMIENTO INTERIOR BANO]]=BB$2,100%,AVANCE[[#This Row],[REVESTIMIENTO INTERIOR BANO]])</f>
        <v>0</v>
      </c>
      <c r="CP401" s="3">
        <f>+IF(AVANCE[[#This Row],[MUEBLE LAVAPLATOS]]=BC$2,100%,AVANCE[[#This Row],[MUEBLE LAVAPLATOS]])</f>
        <v>0</v>
      </c>
      <c r="CQ401" s="3">
        <f>+IF(AVANCE[[#This Row],[IMPERMEABILIZACION BANO - COCINA LOGIA]]=BD$2,100%,AVANCE[[#This Row],[IMPERMEABILIZACION BANO - COCINA LOGIA]])</f>
        <v>0</v>
      </c>
      <c r="CR401" s="40">
        <f ca="1">+IF(AVANCE[[#This Row],[ESTADO MODULO]]="PENDIENTE",(TODAY()-AVANCE[[#This Row],[FECHA TERMINO  PLANIFICADO]]),0)</f>
        <v>0</v>
      </c>
      <c r="CS401" s="42" t="str" cm="1">
        <f t="array" ref="CS401">_xlfn.TEXTJOIN(" | ",TRUE,IF(SUMPRODUCT((BF401:CQ401&lt;1)*(PARTIDAS!$I$2:$AT$2="OBRA GRUESA"))&gt;0,"OBRA GRUESA: "&amp;_xlfn.TEXTJOIN(", ",TRUE,IF((BF401:CQ401&lt;1)*(PARTIDAS!$I$2:$AT$2="OBRA GRUESA"),PARTIDAS!$I$1:$AT$1,"")),""),IF(SUMPRODUCT((BF401:CQ401&lt;1)*(PARTIDAS!$I$2:$AT$2="SANITARIOS"))&gt;0,"SANITARIOS: "&amp;_xlfn.TEXTJOIN(", ",TRUE,IF((BF401:CQ401&lt;1)*(PARTIDAS!$I$2:$AT$2="SANITARIOS"),PARTIDAS!$I$1:$AT$1,"")),""),IF(SUMPRODUCT((BF401:CQ401&lt;1)*(PARTIDAS!$I$2:$AT$2="ELÉCTRICO"))&gt;0,"ELÉCTRICO: "&amp;_xlfn.TEXTJOIN(", ",TRUE,IF((BF401:CQ401&lt;1)*(PARTIDAS!$I$2:$AT$2="ELÉCTRICO"),PARTIDAS!$I$1:$AT$1,"")),""),IF(SUMPRODUCT((BF401:CQ401&lt;1)*(PARTIDAS!$I$2:$AT$2="TERMINACIONES"))&gt;0,"TERMINACIONES: "&amp;_xlfn.TEXTJOIN(", ",TRUE,IF((BF401:CQ401&lt;1)*(PARTIDAS!$I$2:$AT$2="TERMINACIONES"),PARTIDAS!$I$1:$AT$1,"")),""))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1" s="45" t="str" cm="1">
        <f t="array" ref="CT401">_xlfn.TEXTJOIN(", ",TRUE,IF(SUMPRODUCT((BF401:CQ401&lt;1)*(PARTIDAS!$I$2:$AT$2="OBRA GRUESA"))&gt;0,"OBRA GRUESA",""),IF(SUMPRODUCT((BF401:CQ401&lt;1)*(PARTIDAS!$I$2:$AT$2="SANITARIOS"))&gt;0,"SANITARIOS",""),IF(SUMPRODUCT((BF401:CQ401&lt;1)*(PARTIDAS!$I$2:$AT$2="ELÉCTRICO"))&gt;0,"ELÉCTRICO",""),IF(SUMPRODUCT((BF401:CQ401&lt;1)*(PARTIDAS!$I$2:$AT$2="TERMINACIONES"))&gt;0,"TERMINACIONES",""))</f>
        <v>OBRA GRUESA, SANITARIOS, ELÉCTRICO, TERMINACIONES</v>
      </c>
      <c r="CU401" s="46" cm="1">
        <f t="array" ref="CU401">SUMPRODUCT(--(BF401:CQ401&lt;1))</f>
        <v>38</v>
      </c>
    </row>
    <row r="402" spans="1:99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46181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 s="3" t="str">
        <f>+IF(AVANCE[[#This Row],[% AVANCE]]=100%,"MODULO TERMINADO",IF(AVANCE[[#This Row],[FECHA INICIO REAL]]="","MODULO NO INICIADO","PENDIENTE"))</f>
        <v>MODULO NO INICIADO</v>
      </c>
      <c r="BF402" s="3">
        <f>+IF(AVANCE[[#This Row],[VENTANAS]]=8.10810810810811%,100%,AVANCE[[#This Row],[VENTANAS]])</f>
        <v>0</v>
      </c>
      <c r="BG402" s="3">
        <f>+IF(AVANCE[[#This Row],[PISO]]=N$2,100%,AVANCE[[#This Row],[PISO]])</f>
        <v>0</v>
      </c>
      <c r="BH402" s="3">
        <f>+IF(AVANCE[[#This Row],[TABIQUES]]=O$2,100%,AVANCE[[#This Row],[TABIQUES]])</f>
        <v>0</v>
      </c>
      <c r="BI402" s="3">
        <f>+IF(AVANCE[[#This Row],[MUROS]]=P$2,100%,AVANCE[[#This Row],[MUROS]])</f>
        <v>0</v>
      </c>
      <c r="BJ402" s="3">
        <f>+IF(AVANCE[[#This Row],[CIELO]]=Q$2,100%,AVANCE[[#This Row],[CIELO]])</f>
        <v>0</v>
      </c>
      <c r="BK402" s="3">
        <f>+IF(AVANCE[[#This Row],[BALCÓN]]=R$2,100%,AVANCE[[#This Row],[BALCÓN]])</f>
        <v>0</v>
      </c>
      <c r="BL402" s="3">
        <f>+IF(AVANCE[[#This Row],[RED ALCANTARILLADO]]=U$2,100%,AVANCE[[#This Row],[RED ALCANTARILLADO]])</f>
        <v>0</v>
      </c>
      <c r="BM402" s="3">
        <f>+IF(AVANCE[[#This Row],[RED DE AGUA]]=V$2,100%,AVANCE[[#This Row],[RED DE AGUA]])</f>
        <v>0</v>
      </c>
      <c r="BN402" s="3">
        <f>+IF(AVANCE[[#This Row],[VENTILACIONES]]=W$2,100%,AVANCE[[#This Row],[VENTILACIONES]])</f>
        <v>0</v>
      </c>
      <c r="BO402" s="3">
        <f>+IF(AVANCE[[#This Row],[TINA]]=X$2,100%,AVANCE[[#This Row],[TINA]])</f>
        <v>0</v>
      </c>
      <c r="BP402" s="3">
        <f>+IF(AVANCE[[#This Row],[WC]]=Y$2,100%,AVANCE[[#This Row],[WC]])</f>
        <v>0</v>
      </c>
      <c r="BQ402" s="3">
        <f>+IF(AVANCE[[#This Row],[LAVAMANOS / LAVAPLATOS / LAVADERO]]=Z$2,100%,AVANCE[[#This Row],[LAVAMANOS / LAVAPLATOS / LAVADERO]])</f>
        <v>0</v>
      </c>
      <c r="BR402" s="3">
        <f>+IF(AVANCE[[#This Row],[CANALIZACIÓN]]=AC$2,100%,AVANCE[[#This Row],[CANALIZACIÓN]])</f>
        <v>0</v>
      </c>
      <c r="BS402" s="3">
        <f>+IF(AVANCE[[#This Row],[CABLEADO]]=AD$2,100%,AVANCE[[#This Row],[CABLEADO]])</f>
        <v>0</v>
      </c>
      <c r="BT402" s="3">
        <f>+IF(AVANCE[[#This Row],[ARTEFACTOS]]=AE$2,100%,AVANCE[[#This Row],[ARTEFACTOS]])</f>
        <v>0</v>
      </c>
      <c r="BU402" s="3">
        <f>+IF(AVANCE[[#This Row],[TABLERO]]=AF$2,100%,AVANCE[[#This Row],[TABLERO]])</f>
        <v>0</v>
      </c>
      <c r="BV402" s="3">
        <f>+IF(AVANCE[[#This Row],[CAJA PAU]]=AG$2,100%,AVANCE[[#This Row],[CAJA PAU]])</f>
        <v>0</v>
      </c>
      <c r="BW402" s="3">
        <f>+IF(AVANCE[[#This Row],[INSTALACION VINILICO]]=AJ$2,100%,AVANCE[[#This Row],[INSTALACION VINILICO]])</f>
        <v>0</v>
      </c>
      <c r="BX402" s="3">
        <f>+IF(AVANCE[[#This Row],[OSB CUBIERTA]]=AK$2,100%,AVANCE[[#This Row],[OSB CUBIERTA]])</f>
        <v>0</v>
      </c>
      <c r="BY402" s="3">
        <f>+IF(AVANCE[[#This Row],[BARANDA BALCON]]=AL$2,100%,AVANCE[[#This Row],[BARANDA BALCON]])</f>
        <v>0</v>
      </c>
      <c r="BZ402" s="3">
        <f>+IF(AVANCE[[#This Row],[OSB EXTERIOR]]=AM$2,100%,AVANCE[[#This Row],[OSB EXTERIOR]])</f>
        <v>0</v>
      </c>
      <c r="CA402" s="3">
        <f>+IF(AVANCE[[#This Row],[SMART PANEL]]=AN$2,100%,AVANCE[[#This Row],[SMART PANEL]])</f>
        <v>0</v>
      </c>
      <c r="CB402" s="3">
        <f>+IF(AVANCE[[#This Row],[PINTURA EXTERIOR]]=AO$2,100%,AVANCE[[#This Row],[PINTURA EXTERIOR]])</f>
        <v>0</v>
      </c>
      <c r="CC402" s="3">
        <f>+IF(AVANCE[[#This Row],[ZOCALOS LOGIA]]=AP$2,100%,AVANCE[[#This Row],[ZOCALOS LOGIA]])</f>
        <v>0</v>
      </c>
      <c r="CD402" s="3">
        <f>+IF(AVANCE[[#This Row],[MOLDURAS]]=AQ$2,100%,AVANCE[[#This Row],[MOLDURAS]])</f>
        <v>0</v>
      </c>
      <c r="CE402" s="3">
        <f>+IF(AVANCE[[#This Row],[PILASTREO]]=AR$2,100%,AVANCE[[#This Row],[PILASTREO]])</f>
        <v>0</v>
      </c>
      <c r="CF402" s="3">
        <f>+IF(AVANCE[[#This Row],[CELOSIAS]]=AS$2,100%,AVANCE[[#This Row],[CELOSIAS]])</f>
        <v>0</v>
      </c>
      <c r="CG402" s="3">
        <f>+IF(AVANCE[[#This Row],[VENTANAS]]=AT$2,100%,AVANCE[[#This Row],[VENTANAS]])</f>
        <v>0</v>
      </c>
      <c r="CH402" s="3">
        <f>+IF(AVANCE[[#This Row],[PUERTAS ACCESO - LOGIA - BANO]]=AU$2,100%,AVANCE[[#This Row],[PUERTAS ACCESO - LOGIA - BANO]])</f>
        <v>0</v>
      </c>
      <c r="CI402" s="3">
        <f>+IF(AVANCE[[#This Row],[CERRADURAS]]=AV$2,100%,AVANCE[[#This Row],[CERRADURAS]])</f>
        <v>0</v>
      </c>
      <c r="CJ402" s="3">
        <f>+IF(AVANCE[[#This Row],[REVESTIMIENTO INTERIOR ZONA SECA]]=AW$2,100%,AVANCE[[#This Row],[REVESTIMIENTO INTERIOR ZONA SECA]])</f>
        <v>0</v>
      </c>
      <c r="CK402" s="3">
        <f>+IF(AVANCE[[#This Row],[REVESTIMIENTO INTERIOR ZONAS HUMEDAS]]=AX$2,100%,AVANCE[[#This Row],[REVESTIMIENTO INTERIOR ZONAS HUMEDAS]])</f>
        <v>0</v>
      </c>
      <c r="CL402" s="3">
        <f>+IF(AVANCE[[#This Row],[MEMBRANA CIELO]]=AY$2,100%,AVANCE[[#This Row],[MEMBRANA CIELO]])</f>
        <v>0</v>
      </c>
      <c r="CM402" s="3">
        <f>+IF(AVANCE[[#This Row],[LIMPIEZA FINAL]]=AZ$2,100%,AVANCE[[#This Row],[LIMPIEZA FINAL]])</f>
        <v>0</v>
      </c>
      <c r="CN402" s="3">
        <f>+IF(AVANCE[[#This Row],[PUERTAS DORMITORIO]]=BA$2,100%,AVANCE[[#This Row],[PUERTAS DORMITORIO]])</f>
        <v>0</v>
      </c>
      <c r="CO402" s="3">
        <f>+IF(AVANCE[[#This Row],[REVESTIMIENTO INTERIOR BANO]]=BB$2,100%,AVANCE[[#This Row],[REVESTIMIENTO INTERIOR BANO]])</f>
        <v>0</v>
      </c>
      <c r="CP402" s="3">
        <f>+IF(AVANCE[[#This Row],[MUEBLE LAVAPLATOS]]=BC$2,100%,AVANCE[[#This Row],[MUEBLE LAVAPLATOS]])</f>
        <v>0</v>
      </c>
      <c r="CQ402" s="3">
        <f>+IF(AVANCE[[#This Row],[IMPERMEABILIZACION BANO - COCINA LOGIA]]=BD$2,100%,AVANCE[[#This Row],[IMPERMEABILIZACION BANO - COCINA LOGIA]])</f>
        <v>0</v>
      </c>
      <c r="CR402" s="40">
        <f ca="1">+IF(AVANCE[[#This Row],[ESTADO MODULO]]="PENDIENTE",(TODAY()-AVANCE[[#This Row],[FECHA TERMINO  PLANIFICADO]]),0)</f>
        <v>0</v>
      </c>
      <c r="CS402" s="42" t="str" cm="1">
        <f t="array" ref="CS402">_xlfn.TEXTJOIN(" | ",TRUE,IF(SUMPRODUCT((BF402:CQ402&lt;1)*(PARTIDAS!$I$2:$AT$2="OBRA GRUESA"))&gt;0,"OBRA GRUESA: "&amp;_xlfn.TEXTJOIN(", ",TRUE,IF((BF402:CQ402&lt;1)*(PARTIDAS!$I$2:$AT$2="OBRA GRUESA"),PARTIDAS!$I$1:$AT$1,"")),""),IF(SUMPRODUCT((BF402:CQ402&lt;1)*(PARTIDAS!$I$2:$AT$2="SANITARIOS"))&gt;0,"SANITARIOS: "&amp;_xlfn.TEXTJOIN(", ",TRUE,IF((BF402:CQ402&lt;1)*(PARTIDAS!$I$2:$AT$2="SANITARIOS"),PARTIDAS!$I$1:$AT$1,"")),""),IF(SUMPRODUCT((BF402:CQ402&lt;1)*(PARTIDAS!$I$2:$AT$2="ELÉCTRICO"))&gt;0,"ELÉCTRICO: "&amp;_xlfn.TEXTJOIN(", ",TRUE,IF((BF402:CQ402&lt;1)*(PARTIDAS!$I$2:$AT$2="ELÉCTRICO"),PARTIDAS!$I$1:$AT$1,"")),""),IF(SUMPRODUCT((BF402:CQ402&lt;1)*(PARTIDAS!$I$2:$AT$2="TERMINACIONES"))&gt;0,"TERMINACIONES: "&amp;_xlfn.TEXTJOIN(", ",TRUE,IF((BF402:CQ402&lt;1)*(PARTIDAS!$I$2:$AT$2="TERMINACIONES"),PARTIDAS!$I$1:$AT$1,"")),""))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2" s="45" t="str" cm="1">
        <f t="array" ref="CT402">_xlfn.TEXTJOIN(", ",TRUE,IF(SUMPRODUCT((BF402:CQ402&lt;1)*(PARTIDAS!$I$2:$AT$2="OBRA GRUESA"))&gt;0,"OBRA GRUESA",""),IF(SUMPRODUCT((BF402:CQ402&lt;1)*(PARTIDAS!$I$2:$AT$2="SANITARIOS"))&gt;0,"SANITARIOS",""),IF(SUMPRODUCT((BF402:CQ402&lt;1)*(PARTIDAS!$I$2:$AT$2="ELÉCTRICO"))&gt;0,"ELÉCTRICO",""),IF(SUMPRODUCT((BF402:CQ402&lt;1)*(PARTIDAS!$I$2:$AT$2="TERMINACIONES"))&gt;0,"TERMINACIONES",""))</f>
        <v>OBRA GRUESA, SANITARIOS, ELÉCTRICO, TERMINACIONES</v>
      </c>
      <c r="CU402" s="46" cm="1">
        <f t="array" ref="CU402">SUMPRODUCT(--(BF402:CQ402&lt;1))</f>
        <v>38</v>
      </c>
    </row>
    <row r="403" spans="1:99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46181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 s="3" t="str">
        <f>+IF(AVANCE[[#This Row],[% AVANCE]]=100%,"MODULO TERMINADO",IF(AVANCE[[#This Row],[FECHA INICIO REAL]]="","MODULO NO INICIADO","PENDIENTE"))</f>
        <v>MODULO NO INICIADO</v>
      </c>
      <c r="BF403" s="3">
        <f>+IF(AVANCE[[#This Row],[VENTANAS]]=8.10810810810811%,100%,AVANCE[[#This Row],[VENTANAS]])</f>
        <v>0</v>
      </c>
      <c r="BG403" s="3">
        <f>+IF(AVANCE[[#This Row],[PISO]]=N$2,100%,AVANCE[[#This Row],[PISO]])</f>
        <v>0</v>
      </c>
      <c r="BH403" s="3">
        <f>+IF(AVANCE[[#This Row],[TABIQUES]]=O$2,100%,AVANCE[[#This Row],[TABIQUES]])</f>
        <v>0</v>
      </c>
      <c r="BI403" s="3">
        <f>+IF(AVANCE[[#This Row],[MUROS]]=P$2,100%,AVANCE[[#This Row],[MUROS]])</f>
        <v>0</v>
      </c>
      <c r="BJ403" s="3">
        <f>+IF(AVANCE[[#This Row],[CIELO]]=Q$2,100%,AVANCE[[#This Row],[CIELO]])</f>
        <v>0</v>
      </c>
      <c r="BK403" s="3">
        <f>+IF(AVANCE[[#This Row],[BALCÓN]]=R$2,100%,AVANCE[[#This Row],[BALCÓN]])</f>
        <v>0</v>
      </c>
      <c r="BL403" s="3">
        <f>+IF(AVANCE[[#This Row],[RED ALCANTARILLADO]]=U$2,100%,AVANCE[[#This Row],[RED ALCANTARILLADO]])</f>
        <v>0</v>
      </c>
      <c r="BM403" s="3">
        <f>+IF(AVANCE[[#This Row],[RED DE AGUA]]=V$2,100%,AVANCE[[#This Row],[RED DE AGUA]])</f>
        <v>0</v>
      </c>
      <c r="BN403" s="3">
        <f>+IF(AVANCE[[#This Row],[VENTILACIONES]]=W$2,100%,AVANCE[[#This Row],[VENTILACIONES]])</f>
        <v>0</v>
      </c>
      <c r="BO403" s="3">
        <f>+IF(AVANCE[[#This Row],[TINA]]=X$2,100%,AVANCE[[#This Row],[TINA]])</f>
        <v>0</v>
      </c>
      <c r="BP403" s="3">
        <f>+IF(AVANCE[[#This Row],[WC]]=Y$2,100%,AVANCE[[#This Row],[WC]])</f>
        <v>0</v>
      </c>
      <c r="BQ403" s="3">
        <f>+IF(AVANCE[[#This Row],[LAVAMANOS / LAVAPLATOS / LAVADERO]]=Z$2,100%,AVANCE[[#This Row],[LAVAMANOS / LAVAPLATOS / LAVADERO]])</f>
        <v>0</v>
      </c>
      <c r="BR403" s="3">
        <f>+IF(AVANCE[[#This Row],[CANALIZACIÓN]]=AC$2,100%,AVANCE[[#This Row],[CANALIZACIÓN]])</f>
        <v>0</v>
      </c>
      <c r="BS403" s="3">
        <f>+IF(AVANCE[[#This Row],[CABLEADO]]=AD$2,100%,AVANCE[[#This Row],[CABLEADO]])</f>
        <v>0</v>
      </c>
      <c r="BT403" s="3">
        <f>+IF(AVANCE[[#This Row],[ARTEFACTOS]]=AE$2,100%,AVANCE[[#This Row],[ARTEFACTOS]])</f>
        <v>0</v>
      </c>
      <c r="BU403" s="3">
        <f>+IF(AVANCE[[#This Row],[TABLERO]]=AF$2,100%,AVANCE[[#This Row],[TABLERO]])</f>
        <v>0</v>
      </c>
      <c r="BV403" s="3">
        <f>+IF(AVANCE[[#This Row],[CAJA PAU]]=AG$2,100%,AVANCE[[#This Row],[CAJA PAU]])</f>
        <v>0</v>
      </c>
      <c r="BW403" s="3">
        <f>+IF(AVANCE[[#This Row],[INSTALACION VINILICO]]=AJ$2,100%,AVANCE[[#This Row],[INSTALACION VINILICO]])</f>
        <v>0</v>
      </c>
      <c r="BX403" s="3">
        <f>+IF(AVANCE[[#This Row],[OSB CUBIERTA]]=AK$2,100%,AVANCE[[#This Row],[OSB CUBIERTA]])</f>
        <v>0</v>
      </c>
      <c r="BY403" s="3">
        <f>+IF(AVANCE[[#This Row],[BARANDA BALCON]]=AL$2,100%,AVANCE[[#This Row],[BARANDA BALCON]])</f>
        <v>0</v>
      </c>
      <c r="BZ403" s="3">
        <f>+IF(AVANCE[[#This Row],[OSB EXTERIOR]]=AM$2,100%,AVANCE[[#This Row],[OSB EXTERIOR]])</f>
        <v>0</v>
      </c>
      <c r="CA403" s="3">
        <f>+IF(AVANCE[[#This Row],[SMART PANEL]]=AN$2,100%,AVANCE[[#This Row],[SMART PANEL]])</f>
        <v>0</v>
      </c>
      <c r="CB403" s="3">
        <f>+IF(AVANCE[[#This Row],[PINTURA EXTERIOR]]=AO$2,100%,AVANCE[[#This Row],[PINTURA EXTERIOR]])</f>
        <v>0</v>
      </c>
      <c r="CC403" s="3">
        <f>+IF(AVANCE[[#This Row],[ZOCALOS LOGIA]]=AP$2,100%,AVANCE[[#This Row],[ZOCALOS LOGIA]])</f>
        <v>0</v>
      </c>
      <c r="CD403" s="3">
        <f>+IF(AVANCE[[#This Row],[MOLDURAS]]=AQ$2,100%,AVANCE[[#This Row],[MOLDURAS]])</f>
        <v>0</v>
      </c>
      <c r="CE403" s="3">
        <f>+IF(AVANCE[[#This Row],[PILASTREO]]=AR$2,100%,AVANCE[[#This Row],[PILASTREO]])</f>
        <v>0</v>
      </c>
      <c r="CF403" s="3">
        <f>+IF(AVANCE[[#This Row],[CELOSIAS]]=AS$2,100%,AVANCE[[#This Row],[CELOSIAS]])</f>
        <v>0</v>
      </c>
      <c r="CG403" s="3">
        <f>+IF(AVANCE[[#This Row],[VENTANAS]]=AT$2,100%,AVANCE[[#This Row],[VENTANAS]])</f>
        <v>0</v>
      </c>
      <c r="CH403" s="3">
        <f>+IF(AVANCE[[#This Row],[PUERTAS ACCESO - LOGIA - BANO]]=AU$2,100%,AVANCE[[#This Row],[PUERTAS ACCESO - LOGIA - BANO]])</f>
        <v>0</v>
      </c>
      <c r="CI403" s="3">
        <f>+IF(AVANCE[[#This Row],[CERRADURAS]]=AV$2,100%,AVANCE[[#This Row],[CERRADURAS]])</f>
        <v>0</v>
      </c>
      <c r="CJ403" s="3">
        <f>+IF(AVANCE[[#This Row],[REVESTIMIENTO INTERIOR ZONA SECA]]=AW$2,100%,AVANCE[[#This Row],[REVESTIMIENTO INTERIOR ZONA SECA]])</f>
        <v>0</v>
      </c>
      <c r="CK403" s="3">
        <f>+IF(AVANCE[[#This Row],[REVESTIMIENTO INTERIOR ZONAS HUMEDAS]]=AX$2,100%,AVANCE[[#This Row],[REVESTIMIENTO INTERIOR ZONAS HUMEDAS]])</f>
        <v>0</v>
      </c>
      <c r="CL403" s="3">
        <f>+IF(AVANCE[[#This Row],[MEMBRANA CIELO]]=AY$2,100%,AVANCE[[#This Row],[MEMBRANA CIELO]])</f>
        <v>0</v>
      </c>
      <c r="CM403" s="3">
        <f>+IF(AVANCE[[#This Row],[LIMPIEZA FINAL]]=AZ$2,100%,AVANCE[[#This Row],[LIMPIEZA FINAL]])</f>
        <v>0</v>
      </c>
      <c r="CN403" s="3">
        <f>+IF(AVANCE[[#This Row],[PUERTAS DORMITORIO]]=BA$2,100%,AVANCE[[#This Row],[PUERTAS DORMITORIO]])</f>
        <v>0</v>
      </c>
      <c r="CO403" s="3">
        <f>+IF(AVANCE[[#This Row],[REVESTIMIENTO INTERIOR BANO]]=BB$2,100%,AVANCE[[#This Row],[REVESTIMIENTO INTERIOR BANO]])</f>
        <v>0</v>
      </c>
      <c r="CP403" s="3">
        <f>+IF(AVANCE[[#This Row],[MUEBLE LAVAPLATOS]]=BC$2,100%,AVANCE[[#This Row],[MUEBLE LAVAPLATOS]])</f>
        <v>0</v>
      </c>
      <c r="CQ403" s="3">
        <f>+IF(AVANCE[[#This Row],[IMPERMEABILIZACION BANO - COCINA LOGIA]]=BD$2,100%,AVANCE[[#This Row],[IMPERMEABILIZACION BANO - COCINA LOGIA]])</f>
        <v>0</v>
      </c>
      <c r="CR403" s="40">
        <f ca="1">+IF(AVANCE[[#This Row],[ESTADO MODULO]]="PENDIENTE",(TODAY()-AVANCE[[#This Row],[FECHA TERMINO  PLANIFICADO]]),0)</f>
        <v>0</v>
      </c>
      <c r="CS403" s="42" t="str" cm="1">
        <f t="array" ref="CS403">_xlfn.TEXTJOIN(" | ",TRUE,IF(SUMPRODUCT((BF403:CQ403&lt;1)*(PARTIDAS!$I$2:$AT$2="OBRA GRUESA"))&gt;0,"OBRA GRUESA: "&amp;_xlfn.TEXTJOIN(", ",TRUE,IF((BF403:CQ403&lt;1)*(PARTIDAS!$I$2:$AT$2="OBRA GRUESA"),PARTIDAS!$I$1:$AT$1,"")),""),IF(SUMPRODUCT((BF403:CQ403&lt;1)*(PARTIDAS!$I$2:$AT$2="SANITARIOS"))&gt;0,"SANITARIOS: "&amp;_xlfn.TEXTJOIN(", ",TRUE,IF((BF403:CQ403&lt;1)*(PARTIDAS!$I$2:$AT$2="SANITARIOS"),PARTIDAS!$I$1:$AT$1,"")),""),IF(SUMPRODUCT((BF403:CQ403&lt;1)*(PARTIDAS!$I$2:$AT$2="ELÉCTRICO"))&gt;0,"ELÉCTRICO: "&amp;_xlfn.TEXTJOIN(", ",TRUE,IF((BF403:CQ403&lt;1)*(PARTIDAS!$I$2:$AT$2="ELÉCTRICO"),PARTIDAS!$I$1:$AT$1,"")),""),IF(SUMPRODUCT((BF403:CQ403&lt;1)*(PARTIDAS!$I$2:$AT$2="TERMINACIONES"))&gt;0,"TERMINACIONES: "&amp;_xlfn.TEXTJOIN(", ",TRUE,IF((BF403:CQ403&lt;1)*(PARTIDAS!$I$2:$AT$2="TERMINACIONES"),PARTIDAS!$I$1:$AT$1,"")),""))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3" s="45" t="str" cm="1">
        <f t="array" ref="CT403">_xlfn.TEXTJOIN(", ",TRUE,IF(SUMPRODUCT((BF403:CQ403&lt;1)*(PARTIDAS!$I$2:$AT$2="OBRA GRUESA"))&gt;0,"OBRA GRUESA",""),IF(SUMPRODUCT((BF403:CQ403&lt;1)*(PARTIDAS!$I$2:$AT$2="SANITARIOS"))&gt;0,"SANITARIOS",""),IF(SUMPRODUCT((BF403:CQ403&lt;1)*(PARTIDAS!$I$2:$AT$2="ELÉCTRICO"))&gt;0,"ELÉCTRICO",""),IF(SUMPRODUCT((BF403:CQ403&lt;1)*(PARTIDAS!$I$2:$AT$2="TERMINACIONES"))&gt;0,"TERMINACIONES",""))</f>
        <v>OBRA GRUESA, SANITARIOS, ELÉCTRICO, TERMINACIONES</v>
      </c>
      <c r="CU403" s="46" cm="1">
        <f t="array" ref="CU403">SUMPRODUCT(--(BF403:CQ403&lt;1))</f>
        <v>38</v>
      </c>
    </row>
    <row r="404" spans="1:99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46181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 s="3" t="str">
        <f>+IF(AVANCE[[#This Row],[% AVANCE]]=100%,"MODULO TERMINADO",IF(AVANCE[[#This Row],[FECHA INICIO REAL]]="","MODULO NO INICIADO","PENDIENTE"))</f>
        <v>MODULO NO INICIADO</v>
      </c>
      <c r="BF404" s="3">
        <f>+IF(AVANCE[[#This Row],[VENTANAS]]=8.10810810810811%,100%,AVANCE[[#This Row],[VENTANAS]])</f>
        <v>0</v>
      </c>
      <c r="BG404" s="3">
        <f>+IF(AVANCE[[#This Row],[PISO]]=N$2,100%,AVANCE[[#This Row],[PISO]])</f>
        <v>0</v>
      </c>
      <c r="BH404" s="3">
        <f>+IF(AVANCE[[#This Row],[TABIQUES]]=O$2,100%,AVANCE[[#This Row],[TABIQUES]])</f>
        <v>0</v>
      </c>
      <c r="BI404" s="3">
        <f>+IF(AVANCE[[#This Row],[MUROS]]=P$2,100%,AVANCE[[#This Row],[MUROS]])</f>
        <v>0</v>
      </c>
      <c r="BJ404" s="3">
        <f>+IF(AVANCE[[#This Row],[CIELO]]=Q$2,100%,AVANCE[[#This Row],[CIELO]])</f>
        <v>0</v>
      </c>
      <c r="BK404" s="3">
        <f>+IF(AVANCE[[#This Row],[BALCÓN]]=R$2,100%,AVANCE[[#This Row],[BALCÓN]])</f>
        <v>0</v>
      </c>
      <c r="BL404" s="3">
        <f>+IF(AVANCE[[#This Row],[RED ALCANTARILLADO]]=U$2,100%,AVANCE[[#This Row],[RED ALCANTARILLADO]])</f>
        <v>0</v>
      </c>
      <c r="BM404" s="3">
        <f>+IF(AVANCE[[#This Row],[RED DE AGUA]]=V$2,100%,AVANCE[[#This Row],[RED DE AGUA]])</f>
        <v>0</v>
      </c>
      <c r="BN404" s="3">
        <f>+IF(AVANCE[[#This Row],[VENTILACIONES]]=W$2,100%,AVANCE[[#This Row],[VENTILACIONES]])</f>
        <v>0</v>
      </c>
      <c r="BO404" s="3">
        <f>+IF(AVANCE[[#This Row],[TINA]]=X$2,100%,AVANCE[[#This Row],[TINA]])</f>
        <v>0</v>
      </c>
      <c r="BP404" s="3">
        <f>+IF(AVANCE[[#This Row],[WC]]=Y$2,100%,AVANCE[[#This Row],[WC]])</f>
        <v>0</v>
      </c>
      <c r="BQ404" s="3">
        <f>+IF(AVANCE[[#This Row],[LAVAMANOS / LAVAPLATOS / LAVADERO]]=Z$2,100%,AVANCE[[#This Row],[LAVAMANOS / LAVAPLATOS / LAVADERO]])</f>
        <v>0</v>
      </c>
      <c r="BR404" s="3">
        <f>+IF(AVANCE[[#This Row],[CANALIZACIÓN]]=AC$2,100%,AVANCE[[#This Row],[CANALIZACIÓN]])</f>
        <v>0</v>
      </c>
      <c r="BS404" s="3">
        <f>+IF(AVANCE[[#This Row],[CABLEADO]]=AD$2,100%,AVANCE[[#This Row],[CABLEADO]])</f>
        <v>0</v>
      </c>
      <c r="BT404" s="3">
        <f>+IF(AVANCE[[#This Row],[ARTEFACTOS]]=AE$2,100%,AVANCE[[#This Row],[ARTEFACTOS]])</f>
        <v>0</v>
      </c>
      <c r="BU404" s="3">
        <f>+IF(AVANCE[[#This Row],[TABLERO]]=AF$2,100%,AVANCE[[#This Row],[TABLERO]])</f>
        <v>0</v>
      </c>
      <c r="BV404" s="3">
        <f>+IF(AVANCE[[#This Row],[CAJA PAU]]=AG$2,100%,AVANCE[[#This Row],[CAJA PAU]])</f>
        <v>0</v>
      </c>
      <c r="BW404" s="3">
        <f>+IF(AVANCE[[#This Row],[INSTALACION VINILICO]]=AJ$2,100%,AVANCE[[#This Row],[INSTALACION VINILICO]])</f>
        <v>0</v>
      </c>
      <c r="BX404" s="3">
        <f>+IF(AVANCE[[#This Row],[OSB CUBIERTA]]=AK$2,100%,AVANCE[[#This Row],[OSB CUBIERTA]])</f>
        <v>0</v>
      </c>
      <c r="BY404" s="3">
        <f>+IF(AVANCE[[#This Row],[BARANDA BALCON]]=AL$2,100%,AVANCE[[#This Row],[BARANDA BALCON]])</f>
        <v>0</v>
      </c>
      <c r="BZ404" s="3">
        <f>+IF(AVANCE[[#This Row],[OSB EXTERIOR]]=AM$2,100%,AVANCE[[#This Row],[OSB EXTERIOR]])</f>
        <v>0</v>
      </c>
      <c r="CA404" s="3">
        <f>+IF(AVANCE[[#This Row],[SMART PANEL]]=AN$2,100%,AVANCE[[#This Row],[SMART PANEL]])</f>
        <v>0</v>
      </c>
      <c r="CB404" s="3">
        <f>+IF(AVANCE[[#This Row],[PINTURA EXTERIOR]]=AO$2,100%,AVANCE[[#This Row],[PINTURA EXTERIOR]])</f>
        <v>0</v>
      </c>
      <c r="CC404" s="3">
        <f>+IF(AVANCE[[#This Row],[ZOCALOS LOGIA]]=AP$2,100%,AVANCE[[#This Row],[ZOCALOS LOGIA]])</f>
        <v>0</v>
      </c>
      <c r="CD404" s="3">
        <f>+IF(AVANCE[[#This Row],[MOLDURAS]]=AQ$2,100%,AVANCE[[#This Row],[MOLDURAS]])</f>
        <v>0</v>
      </c>
      <c r="CE404" s="3">
        <f>+IF(AVANCE[[#This Row],[PILASTREO]]=AR$2,100%,AVANCE[[#This Row],[PILASTREO]])</f>
        <v>0</v>
      </c>
      <c r="CF404" s="3">
        <f>+IF(AVANCE[[#This Row],[CELOSIAS]]=AS$2,100%,AVANCE[[#This Row],[CELOSIAS]])</f>
        <v>0</v>
      </c>
      <c r="CG404" s="3">
        <f>+IF(AVANCE[[#This Row],[VENTANAS]]=AT$2,100%,AVANCE[[#This Row],[VENTANAS]])</f>
        <v>0</v>
      </c>
      <c r="CH404" s="3">
        <f>+IF(AVANCE[[#This Row],[PUERTAS ACCESO - LOGIA - BANO]]=AU$2,100%,AVANCE[[#This Row],[PUERTAS ACCESO - LOGIA - BANO]])</f>
        <v>0</v>
      </c>
      <c r="CI404" s="3">
        <f>+IF(AVANCE[[#This Row],[CERRADURAS]]=AV$2,100%,AVANCE[[#This Row],[CERRADURAS]])</f>
        <v>0</v>
      </c>
      <c r="CJ404" s="3">
        <f>+IF(AVANCE[[#This Row],[REVESTIMIENTO INTERIOR ZONA SECA]]=AW$2,100%,AVANCE[[#This Row],[REVESTIMIENTO INTERIOR ZONA SECA]])</f>
        <v>0</v>
      </c>
      <c r="CK404" s="3">
        <f>+IF(AVANCE[[#This Row],[REVESTIMIENTO INTERIOR ZONAS HUMEDAS]]=AX$2,100%,AVANCE[[#This Row],[REVESTIMIENTO INTERIOR ZONAS HUMEDAS]])</f>
        <v>0</v>
      </c>
      <c r="CL404" s="3">
        <f>+IF(AVANCE[[#This Row],[MEMBRANA CIELO]]=AY$2,100%,AVANCE[[#This Row],[MEMBRANA CIELO]])</f>
        <v>0</v>
      </c>
      <c r="CM404" s="3">
        <f>+IF(AVANCE[[#This Row],[LIMPIEZA FINAL]]=AZ$2,100%,AVANCE[[#This Row],[LIMPIEZA FINAL]])</f>
        <v>0</v>
      </c>
      <c r="CN404" s="3">
        <f>+IF(AVANCE[[#This Row],[PUERTAS DORMITORIO]]=BA$2,100%,AVANCE[[#This Row],[PUERTAS DORMITORIO]])</f>
        <v>0</v>
      </c>
      <c r="CO404" s="3">
        <f>+IF(AVANCE[[#This Row],[REVESTIMIENTO INTERIOR BANO]]=BB$2,100%,AVANCE[[#This Row],[REVESTIMIENTO INTERIOR BANO]])</f>
        <v>0</v>
      </c>
      <c r="CP404" s="3">
        <f>+IF(AVANCE[[#This Row],[MUEBLE LAVAPLATOS]]=BC$2,100%,AVANCE[[#This Row],[MUEBLE LAVAPLATOS]])</f>
        <v>0</v>
      </c>
      <c r="CQ404" s="3">
        <f>+IF(AVANCE[[#This Row],[IMPERMEABILIZACION BANO - COCINA LOGIA]]=BD$2,100%,AVANCE[[#This Row],[IMPERMEABILIZACION BANO - COCINA LOGIA]])</f>
        <v>0</v>
      </c>
      <c r="CR404" s="40">
        <f ca="1">+IF(AVANCE[[#This Row],[ESTADO MODULO]]="PENDIENTE",(TODAY()-AVANCE[[#This Row],[FECHA TERMINO  PLANIFICADO]]),0)</f>
        <v>0</v>
      </c>
      <c r="CS404" s="42" t="str" cm="1">
        <f t="array" ref="CS404">_xlfn.TEXTJOIN(" | ",TRUE,IF(SUMPRODUCT((BF404:CQ404&lt;1)*(PARTIDAS!$I$2:$AT$2="OBRA GRUESA"))&gt;0,"OBRA GRUESA: "&amp;_xlfn.TEXTJOIN(", ",TRUE,IF((BF404:CQ404&lt;1)*(PARTIDAS!$I$2:$AT$2="OBRA GRUESA"),PARTIDAS!$I$1:$AT$1,"")),""),IF(SUMPRODUCT((BF404:CQ404&lt;1)*(PARTIDAS!$I$2:$AT$2="SANITARIOS"))&gt;0,"SANITARIOS: "&amp;_xlfn.TEXTJOIN(", ",TRUE,IF((BF404:CQ404&lt;1)*(PARTIDAS!$I$2:$AT$2="SANITARIOS"),PARTIDAS!$I$1:$AT$1,"")),""),IF(SUMPRODUCT((BF404:CQ404&lt;1)*(PARTIDAS!$I$2:$AT$2="ELÉCTRICO"))&gt;0,"ELÉCTRICO: "&amp;_xlfn.TEXTJOIN(", ",TRUE,IF((BF404:CQ404&lt;1)*(PARTIDAS!$I$2:$AT$2="ELÉCTRICO"),PARTIDAS!$I$1:$AT$1,"")),""),IF(SUMPRODUCT((BF404:CQ404&lt;1)*(PARTIDAS!$I$2:$AT$2="TERMINACIONES"))&gt;0,"TERMINACIONES: "&amp;_xlfn.TEXTJOIN(", ",TRUE,IF((BF404:CQ404&lt;1)*(PARTIDAS!$I$2:$AT$2="TERMINACIONES"),PARTIDAS!$I$1:$AT$1,"")),""))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4" s="45" t="str" cm="1">
        <f t="array" ref="CT404">_xlfn.TEXTJOIN(", ",TRUE,IF(SUMPRODUCT((BF404:CQ404&lt;1)*(PARTIDAS!$I$2:$AT$2="OBRA GRUESA"))&gt;0,"OBRA GRUESA",""),IF(SUMPRODUCT((BF404:CQ404&lt;1)*(PARTIDAS!$I$2:$AT$2="SANITARIOS"))&gt;0,"SANITARIOS",""),IF(SUMPRODUCT((BF404:CQ404&lt;1)*(PARTIDAS!$I$2:$AT$2="ELÉCTRICO"))&gt;0,"ELÉCTRICO",""),IF(SUMPRODUCT((BF404:CQ404&lt;1)*(PARTIDAS!$I$2:$AT$2="TERMINACIONES"))&gt;0,"TERMINACIONES",""))</f>
        <v>OBRA GRUESA, SANITARIOS, ELÉCTRICO, TERMINACIONES</v>
      </c>
      <c r="CU404" s="46" cm="1">
        <f t="array" ref="CU404">SUMPRODUCT(--(BF404:CQ404&lt;1))</f>
        <v>38</v>
      </c>
    </row>
    <row r="405" spans="1:99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46181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 s="3" t="str">
        <f>+IF(AVANCE[[#This Row],[% AVANCE]]=100%,"MODULO TERMINADO",IF(AVANCE[[#This Row],[FECHA INICIO REAL]]="","MODULO NO INICIADO","PENDIENTE"))</f>
        <v>MODULO NO INICIADO</v>
      </c>
      <c r="BF405" s="3">
        <f>+IF(AVANCE[[#This Row],[VENTANAS]]=8.10810810810811%,100%,AVANCE[[#This Row],[VENTANAS]])</f>
        <v>0</v>
      </c>
      <c r="BG405" s="3">
        <f>+IF(AVANCE[[#This Row],[PISO]]=N$2,100%,AVANCE[[#This Row],[PISO]])</f>
        <v>0</v>
      </c>
      <c r="BH405" s="3">
        <f>+IF(AVANCE[[#This Row],[TABIQUES]]=O$2,100%,AVANCE[[#This Row],[TABIQUES]])</f>
        <v>0</v>
      </c>
      <c r="BI405" s="3">
        <f>+IF(AVANCE[[#This Row],[MUROS]]=P$2,100%,AVANCE[[#This Row],[MUROS]])</f>
        <v>0</v>
      </c>
      <c r="BJ405" s="3">
        <f>+IF(AVANCE[[#This Row],[CIELO]]=Q$2,100%,AVANCE[[#This Row],[CIELO]])</f>
        <v>0</v>
      </c>
      <c r="BK405" s="3">
        <f>+IF(AVANCE[[#This Row],[BALCÓN]]=R$2,100%,AVANCE[[#This Row],[BALCÓN]])</f>
        <v>0</v>
      </c>
      <c r="BL405" s="3">
        <f>+IF(AVANCE[[#This Row],[RED ALCANTARILLADO]]=U$2,100%,AVANCE[[#This Row],[RED ALCANTARILLADO]])</f>
        <v>0</v>
      </c>
      <c r="BM405" s="3">
        <f>+IF(AVANCE[[#This Row],[RED DE AGUA]]=V$2,100%,AVANCE[[#This Row],[RED DE AGUA]])</f>
        <v>0</v>
      </c>
      <c r="BN405" s="3">
        <f>+IF(AVANCE[[#This Row],[VENTILACIONES]]=W$2,100%,AVANCE[[#This Row],[VENTILACIONES]])</f>
        <v>0</v>
      </c>
      <c r="BO405" s="3">
        <f>+IF(AVANCE[[#This Row],[TINA]]=X$2,100%,AVANCE[[#This Row],[TINA]])</f>
        <v>0</v>
      </c>
      <c r="BP405" s="3">
        <f>+IF(AVANCE[[#This Row],[WC]]=Y$2,100%,AVANCE[[#This Row],[WC]])</f>
        <v>0</v>
      </c>
      <c r="BQ405" s="3">
        <f>+IF(AVANCE[[#This Row],[LAVAMANOS / LAVAPLATOS / LAVADERO]]=Z$2,100%,AVANCE[[#This Row],[LAVAMANOS / LAVAPLATOS / LAVADERO]])</f>
        <v>0</v>
      </c>
      <c r="BR405" s="3">
        <f>+IF(AVANCE[[#This Row],[CANALIZACIÓN]]=AC$2,100%,AVANCE[[#This Row],[CANALIZACIÓN]])</f>
        <v>0</v>
      </c>
      <c r="BS405" s="3">
        <f>+IF(AVANCE[[#This Row],[CABLEADO]]=AD$2,100%,AVANCE[[#This Row],[CABLEADO]])</f>
        <v>0</v>
      </c>
      <c r="BT405" s="3">
        <f>+IF(AVANCE[[#This Row],[ARTEFACTOS]]=AE$2,100%,AVANCE[[#This Row],[ARTEFACTOS]])</f>
        <v>0</v>
      </c>
      <c r="BU405" s="3">
        <f>+IF(AVANCE[[#This Row],[TABLERO]]=AF$2,100%,AVANCE[[#This Row],[TABLERO]])</f>
        <v>0</v>
      </c>
      <c r="BV405" s="3">
        <f>+IF(AVANCE[[#This Row],[CAJA PAU]]=AG$2,100%,AVANCE[[#This Row],[CAJA PAU]])</f>
        <v>0</v>
      </c>
      <c r="BW405" s="3">
        <f>+IF(AVANCE[[#This Row],[INSTALACION VINILICO]]=AJ$2,100%,AVANCE[[#This Row],[INSTALACION VINILICO]])</f>
        <v>0</v>
      </c>
      <c r="BX405" s="3">
        <f>+IF(AVANCE[[#This Row],[OSB CUBIERTA]]=AK$2,100%,AVANCE[[#This Row],[OSB CUBIERTA]])</f>
        <v>0</v>
      </c>
      <c r="BY405" s="3">
        <f>+IF(AVANCE[[#This Row],[BARANDA BALCON]]=AL$2,100%,AVANCE[[#This Row],[BARANDA BALCON]])</f>
        <v>0</v>
      </c>
      <c r="BZ405" s="3">
        <f>+IF(AVANCE[[#This Row],[OSB EXTERIOR]]=AM$2,100%,AVANCE[[#This Row],[OSB EXTERIOR]])</f>
        <v>0</v>
      </c>
      <c r="CA405" s="3">
        <f>+IF(AVANCE[[#This Row],[SMART PANEL]]=AN$2,100%,AVANCE[[#This Row],[SMART PANEL]])</f>
        <v>0</v>
      </c>
      <c r="CB405" s="3">
        <f>+IF(AVANCE[[#This Row],[PINTURA EXTERIOR]]=AO$2,100%,AVANCE[[#This Row],[PINTURA EXTERIOR]])</f>
        <v>0</v>
      </c>
      <c r="CC405" s="3">
        <f>+IF(AVANCE[[#This Row],[ZOCALOS LOGIA]]=AP$2,100%,AVANCE[[#This Row],[ZOCALOS LOGIA]])</f>
        <v>0</v>
      </c>
      <c r="CD405" s="3">
        <f>+IF(AVANCE[[#This Row],[MOLDURAS]]=AQ$2,100%,AVANCE[[#This Row],[MOLDURAS]])</f>
        <v>0</v>
      </c>
      <c r="CE405" s="3">
        <f>+IF(AVANCE[[#This Row],[PILASTREO]]=AR$2,100%,AVANCE[[#This Row],[PILASTREO]])</f>
        <v>0</v>
      </c>
      <c r="CF405" s="3">
        <f>+IF(AVANCE[[#This Row],[CELOSIAS]]=AS$2,100%,AVANCE[[#This Row],[CELOSIAS]])</f>
        <v>0</v>
      </c>
      <c r="CG405" s="3">
        <f>+IF(AVANCE[[#This Row],[VENTANAS]]=AT$2,100%,AVANCE[[#This Row],[VENTANAS]])</f>
        <v>0</v>
      </c>
      <c r="CH405" s="3">
        <f>+IF(AVANCE[[#This Row],[PUERTAS ACCESO - LOGIA - BANO]]=AU$2,100%,AVANCE[[#This Row],[PUERTAS ACCESO - LOGIA - BANO]])</f>
        <v>0</v>
      </c>
      <c r="CI405" s="3">
        <f>+IF(AVANCE[[#This Row],[CERRADURAS]]=AV$2,100%,AVANCE[[#This Row],[CERRADURAS]])</f>
        <v>0</v>
      </c>
      <c r="CJ405" s="3">
        <f>+IF(AVANCE[[#This Row],[REVESTIMIENTO INTERIOR ZONA SECA]]=AW$2,100%,AVANCE[[#This Row],[REVESTIMIENTO INTERIOR ZONA SECA]])</f>
        <v>0</v>
      </c>
      <c r="CK405" s="3">
        <f>+IF(AVANCE[[#This Row],[REVESTIMIENTO INTERIOR ZONAS HUMEDAS]]=AX$2,100%,AVANCE[[#This Row],[REVESTIMIENTO INTERIOR ZONAS HUMEDAS]])</f>
        <v>0</v>
      </c>
      <c r="CL405" s="3">
        <f>+IF(AVANCE[[#This Row],[MEMBRANA CIELO]]=AY$2,100%,AVANCE[[#This Row],[MEMBRANA CIELO]])</f>
        <v>0</v>
      </c>
      <c r="CM405" s="3">
        <f>+IF(AVANCE[[#This Row],[LIMPIEZA FINAL]]=AZ$2,100%,AVANCE[[#This Row],[LIMPIEZA FINAL]])</f>
        <v>0</v>
      </c>
      <c r="CN405" s="3">
        <f>+IF(AVANCE[[#This Row],[PUERTAS DORMITORIO]]=BA$2,100%,AVANCE[[#This Row],[PUERTAS DORMITORIO]])</f>
        <v>0</v>
      </c>
      <c r="CO405" s="3">
        <f>+IF(AVANCE[[#This Row],[REVESTIMIENTO INTERIOR BANO]]=BB$2,100%,AVANCE[[#This Row],[REVESTIMIENTO INTERIOR BANO]])</f>
        <v>0</v>
      </c>
      <c r="CP405" s="3">
        <f>+IF(AVANCE[[#This Row],[MUEBLE LAVAPLATOS]]=BC$2,100%,AVANCE[[#This Row],[MUEBLE LAVAPLATOS]])</f>
        <v>0</v>
      </c>
      <c r="CQ405" s="3">
        <f>+IF(AVANCE[[#This Row],[IMPERMEABILIZACION BANO - COCINA LOGIA]]=BD$2,100%,AVANCE[[#This Row],[IMPERMEABILIZACION BANO - COCINA LOGIA]])</f>
        <v>0</v>
      </c>
      <c r="CR405" s="40">
        <f ca="1">+IF(AVANCE[[#This Row],[ESTADO MODULO]]="PENDIENTE",(TODAY()-AVANCE[[#This Row],[FECHA TERMINO  PLANIFICADO]]),0)</f>
        <v>0</v>
      </c>
      <c r="CS405" s="42" t="str" cm="1">
        <f t="array" ref="CS405">_xlfn.TEXTJOIN(" | ",TRUE,IF(SUMPRODUCT((BF405:CQ405&lt;1)*(PARTIDAS!$I$2:$AT$2="OBRA GRUESA"))&gt;0,"OBRA GRUESA: "&amp;_xlfn.TEXTJOIN(", ",TRUE,IF((BF405:CQ405&lt;1)*(PARTIDAS!$I$2:$AT$2="OBRA GRUESA"),PARTIDAS!$I$1:$AT$1,"")),""),IF(SUMPRODUCT((BF405:CQ405&lt;1)*(PARTIDAS!$I$2:$AT$2="SANITARIOS"))&gt;0,"SANITARIOS: "&amp;_xlfn.TEXTJOIN(", ",TRUE,IF((BF405:CQ405&lt;1)*(PARTIDAS!$I$2:$AT$2="SANITARIOS"),PARTIDAS!$I$1:$AT$1,"")),""),IF(SUMPRODUCT((BF405:CQ405&lt;1)*(PARTIDAS!$I$2:$AT$2="ELÉCTRICO"))&gt;0,"ELÉCTRICO: "&amp;_xlfn.TEXTJOIN(", ",TRUE,IF((BF405:CQ405&lt;1)*(PARTIDAS!$I$2:$AT$2="ELÉCTRICO"),PARTIDAS!$I$1:$AT$1,"")),""),IF(SUMPRODUCT((BF405:CQ405&lt;1)*(PARTIDAS!$I$2:$AT$2="TERMINACIONES"))&gt;0,"TERMINACIONES: "&amp;_xlfn.TEXTJOIN(", ",TRUE,IF((BF405:CQ405&lt;1)*(PARTIDAS!$I$2:$AT$2="TERMINACIONES"),PARTIDAS!$I$1:$AT$1,"")),""))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5" s="45" t="str" cm="1">
        <f t="array" ref="CT405">_xlfn.TEXTJOIN(", ",TRUE,IF(SUMPRODUCT((BF405:CQ405&lt;1)*(PARTIDAS!$I$2:$AT$2="OBRA GRUESA"))&gt;0,"OBRA GRUESA",""),IF(SUMPRODUCT((BF405:CQ405&lt;1)*(PARTIDAS!$I$2:$AT$2="SANITARIOS"))&gt;0,"SANITARIOS",""),IF(SUMPRODUCT((BF405:CQ405&lt;1)*(PARTIDAS!$I$2:$AT$2="ELÉCTRICO"))&gt;0,"ELÉCTRICO",""),IF(SUMPRODUCT((BF405:CQ405&lt;1)*(PARTIDAS!$I$2:$AT$2="TERMINACIONES"))&gt;0,"TERMINACIONES",""))</f>
        <v>OBRA GRUESA, SANITARIOS, ELÉCTRICO, TERMINACIONES</v>
      </c>
      <c r="CU405" s="46" cm="1">
        <f t="array" ref="CU405">SUMPRODUCT(--(BF405:CQ405&lt;1))</f>
        <v>38</v>
      </c>
    </row>
    <row r="406" spans="1:99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46181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 s="3" t="str">
        <f>+IF(AVANCE[[#This Row],[% AVANCE]]=100%,"MODULO TERMINADO",IF(AVANCE[[#This Row],[FECHA INICIO REAL]]="","MODULO NO INICIADO","PENDIENTE"))</f>
        <v>MODULO NO INICIADO</v>
      </c>
      <c r="BF406" s="3">
        <f>+IF(AVANCE[[#This Row],[VENTANAS]]=8.10810810810811%,100%,AVANCE[[#This Row],[VENTANAS]])</f>
        <v>0</v>
      </c>
      <c r="BG406" s="3">
        <f>+IF(AVANCE[[#This Row],[PISO]]=N$2,100%,AVANCE[[#This Row],[PISO]])</f>
        <v>0</v>
      </c>
      <c r="BH406" s="3">
        <f>+IF(AVANCE[[#This Row],[TABIQUES]]=O$2,100%,AVANCE[[#This Row],[TABIQUES]])</f>
        <v>0</v>
      </c>
      <c r="BI406" s="3">
        <f>+IF(AVANCE[[#This Row],[MUROS]]=P$2,100%,AVANCE[[#This Row],[MUROS]])</f>
        <v>0</v>
      </c>
      <c r="BJ406" s="3">
        <f>+IF(AVANCE[[#This Row],[CIELO]]=Q$2,100%,AVANCE[[#This Row],[CIELO]])</f>
        <v>0</v>
      </c>
      <c r="BK406" s="3">
        <f>+IF(AVANCE[[#This Row],[BALCÓN]]=R$2,100%,AVANCE[[#This Row],[BALCÓN]])</f>
        <v>0</v>
      </c>
      <c r="BL406" s="3">
        <f>+IF(AVANCE[[#This Row],[RED ALCANTARILLADO]]=U$2,100%,AVANCE[[#This Row],[RED ALCANTARILLADO]])</f>
        <v>0</v>
      </c>
      <c r="BM406" s="3">
        <f>+IF(AVANCE[[#This Row],[RED DE AGUA]]=V$2,100%,AVANCE[[#This Row],[RED DE AGUA]])</f>
        <v>0</v>
      </c>
      <c r="BN406" s="3">
        <f>+IF(AVANCE[[#This Row],[VENTILACIONES]]=W$2,100%,AVANCE[[#This Row],[VENTILACIONES]])</f>
        <v>0</v>
      </c>
      <c r="BO406" s="3">
        <f>+IF(AVANCE[[#This Row],[TINA]]=X$2,100%,AVANCE[[#This Row],[TINA]])</f>
        <v>0</v>
      </c>
      <c r="BP406" s="3">
        <f>+IF(AVANCE[[#This Row],[WC]]=Y$2,100%,AVANCE[[#This Row],[WC]])</f>
        <v>0</v>
      </c>
      <c r="BQ406" s="3">
        <f>+IF(AVANCE[[#This Row],[LAVAMANOS / LAVAPLATOS / LAVADERO]]=Z$2,100%,AVANCE[[#This Row],[LAVAMANOS / LAVAPLATOS / LAVADERO]])</f>
        <v>0</v>
      </c>
      <c r="BR406" s="3">
        <f>+IF(AVANCE[[#This Row],[CANALIZACIÓN]]=AC$2,100%,AVANCE[[#This Row],[CANALIZACIÓN]])</f>
        <v>0</v>
      </c>
      <c r="BS406" s="3">
        <f>+IF(AVANCE[[#This Row],[CABLEADO]]=AD$2,100%,AVANCE[[#This Row],[CABLEADO]])</f>
        <v>0</v>
      </c>
      <c r="BT406" s="3">
        <f>+IF(AVANCE[[#This Row],[ARTEFACTOS]]=AE$2,100%,AVANCE[[#This Row],[ARTEFACTOS]])</f>
        <v>0</v>
      </c>
      <c r="BU406" s="3">
        <f>+IF(AVANCE[[#This Row],[TABLERO]]=AF$2,100%,AVANCE[[#This Row],[TABLERO]])</f>
        <v>0</v>
      </c>
      <c r="BV406" s="3">
        <f>+IF(AVANCE[[#This Row],[CAJA PAU]]=AG$2,100%,AVANCE[[#This Row],[CAJA PAU]])</f>
        <v>0</v>
      </c>
      <c r="BW406" s="3">
        <f>+IF(AVANCE[[#This Row],[INSTALACION VINILICO]]=AJ$2,100%,AVANCE[[#This Row],[INSTALACION VINILICO]])</f>
        <v>0</v>
      </c>
      <c r="BX406" s="3">
        <f>+IF(AVANCE[[#This Row],[OSB CUBIERTA]]=AK$2,100%,AVANCE[[#This Row],[OSB CUBIERTA]])</f>
        <v>0</v>
      </c>
      <c r="BY406" s="3">
        <f>+IF(AVANCE[[#This Row],[BARANDA BALCON]]=AL$2,100%,AVANCE[[#This Row],[BARANDA BALCON]])</f>
        <v>0</v>
      </c>
      <c r="BZ406" s="3">
        <f>+IF(AVANCE[[#This Row],[OSB EXTERIOR]]=AM$2,100%,AVANCE[[#This Row],[OSB EXTERIOR]])</f>
        <v>0</v>
      </c>
      <c r="CA406" s="3">
        <f>+IF(AVANCE[[#This Row],[SMART PANEL]]=AN$2,100%,AVANCE[[#This Row],[SMART PANEL]])</f>
        <v>0</v>
      </c>
      <c r="CB406" s="3">
        <f>+IF(AVANCE[[#This Row],[PINTURA EXTERIOR]]=AO$2,100%,AVANCE[[#This Row],[PINTURA EXTERIOR]])</f>
        <v>0</v>
      </c>
      <c r="CC406" s="3">
        <f>+IF(AVANCE[[#This Row],[ZOCALOS LOGIA]]=AP$2,100%,AVANCE[[#This Row],[ZOCALOS LOGIA]])</f>
        <v>0</v>
      </c>
      <c r="CD406" s="3">
        <f>+IF(AVANCE[[#This Row],[MOLDURAS]]=AQ$2,100%,AVANCE[[#This Row],[MOLDURAS]])</f>
        <v>0</v>
      </c>
      <c r="CE406" s="3">
        <f>+IF(AVANCE[[#This Row],[PILASTREO]]=AR$2,100%,AVANCE[[#This Row],[PILASTREO]])</f>
        <v>0</v>
      </c>
      <c r="CF406" s="3">
        <f>+IF(AVANCE[[#This Row],[CELOSIAS]]=AS$2,100%,AVANCE[[#This Row],[CELOSIAS]])</f>
        <v>0</v>
      </c>
      <c r="CG406" s="3">
        <f>+IF(AVANCE[[#This Row],[VENTANAS]]=AT$2,100%,AVANCE[[#This Row],[VENTANAS]])</f>
        <v>0</v>
      </c>
      <c r="CH406" s="3">
        <f>+IF(AVANCE[[#This Row],[PUERTAS ACCESO - LOGIA - BANO]]=AU$2,100%,AVANCE[[#This Row],[PUERTAS ACCESO - LOGIA - BANO]])</f>
        <v>0</v>
      </c>
      <c r="CI406" s="3">
        <f>+IF(AVANCE[[#This Row],[CERRADURAS]]=AV$2,100%,AVANCE[[#This Row],[CERRADURAS]])</f>
        <v>0</v>
      </c>
      <c r="CJ406" s="3">
        <f>+IF(AVANCE[[#This Row],[REVESTIMIENTO INTERIOR ZONA SECA]]=AW$2,100%,AVANCE[[#This Row],[REVESTIMIENTO INTERIOR ZONA SECA]])</f>
        <v>0</v>
      </c>
      <c r="CK406" s="3">
        <f>+IF(AVANCE[[#This Row],[REVESTIMIENTO INTERIOR ZONAS HUMEDAS]]=AX$2,100%,AVANCE[[#This Row],[REVESTIMIENTO INTERIOR ZONAS HUMEDAS]])</f>
        <v>0</v>
      </c>
      <c r="CL406" s="3">
        <f>+IF(AVANCE[[#This Row],[MEMBRANA CIELO]]=AY$2,100%,AVANCE[[#This Row],[MEMBRANA CIELO]])</f>
        <v>0</v>
      </c>
      <c r="CM406" s="3">
        <f>+IF(AVANCE[[#This Row],[LIMPIEZA FINAL]]=AZ$2,100%,AVANCE[[#This Row],[LIMPIEZA FINAL]])</f>
        <v>0</v>
      </c>
      <c r="CN406" s="3">
        <f>+IF(AVANCE[[#This Row],[PUERTAS DORMITORIO]]=BA$2,100%,AVANCE[[#This Row],[PUERTAS DORMITORIO]])</f>
        <v>0</v>
      </c>
      <c r="CO406" s="3">
        <f>+IF(AVANCE[[#This Row],[REVESTIMIENTO INTERIOR BANO]]=BB$2,100%,AVANCE[[#This Row],[REVESTIMIENTO INTERIOR BANO]])</f>
        <v>0</v>
      </c>
      <c r="CP406" s="3">
        <f>+IF(AVANCE[[#This Row],[MUEBLE LAVAPLATOS]]=BC$2,100%,AVANCE[[#This Row],[MUEBLE LAVAPLATOS]])</f>
        <v>0</v>
      </c>
      <c r="CQ406" s="3">
        <f>+IF(AVANCE[[#This Row],[IMPERMEABILIZACION BANO - COCINA LOGIA]]=BD$2,100%,AVANCE[[#This Row],[IMPERMEABILIZACION BANO - COCINA LOGIA]])</f>
        <v>0</v>
      </c>
      <c r="CR406" s="40">
        <f ca="1">+IF(AVANCE[[#This Row],[ESTADO MODULO]]="PENDIENTE",(TODAY()-AVANCE[[#This Row],[FECHA TERMINO  PLANIFICADO]]),0)</f>
        <v>0</v>
      </c>
      <c r="CS406" s="42" t="str" cm="1">
        <f t="array" ref="CS406">_xlfn.TEXTJOIN(" | ",TRUE,IF(SUMPRODUCT((BF406:CQ406&lt;1)*(PARTIDAS!$I$2:$AT$2="OBRA GRUESA"))&gt;0,"OBRA GRUESA: "&amp;_xlfn.TEXTJOIN(", ",TRUE,IF((BF406:CQ406&lt;1)*(PARTIDAS!$I$2:$AT$2="OBRA GRUESA"),PARTIDAS!$I$1:$AT$1,"")),""),IF(SUMPRODUCT((BF406:CQ406&lt;1)*(PARTIDAS!$I$2:$AT$2="SANITARIOS"))&gt;0,"SANITARIOS: "&amp;_xlfn.TEXTJOIN(", ",TRUE,IF((BF406:CQ406&lt;1)*(PARTIDAS!$I$2:$AT$2="SANITARIOS"),PARTIDAS!$I$1:$AT$1,"")),""),IF(SUMPRODUCT((BF406:CQ406&lt;1)*(PARTIDAS!$I$2:$AT$2="ELÉCTRICO"))&gt;0,"ELÉCTRICO: "&amp;_xlfn.TEXTJOIN(", ",TRUE,IF((BF406:CQ406&lt;1)*(PARTIDAS!$I$2:$AT$2="ELÉCTRICO"),PARTIDAS!$I$1:$AT$1,"")),""),IF(SUMPRODUCT((BF406:CQ406&lt;1)*(PARTIDAS!$I$2:$AT$2="TERMINACIONES"))&gt;0,"TERMINACIONES: "&amp;_xlfn.TEXTJOIN(", ",TRUE,IF((BF406:CQ406&lt;1)*(PARTIDAS!$I$2:$AT$2="TERMINACIONES"),PARTIDAS!$I$1:$AT$1,"")),""))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6" s="45" t="str" cm="1">
        <f t="array" ref="CT406">_xlfn.TEXTJOIN(", ",TRUE,IF(SUMPRODUCT((BF406:CQ406&lt;1)*(PARTIDAS!$I$2:$AT$2="OBRA GRUESA"))&gt;0,"OBRA GRUESA",""),IF(SUMPRODUCT((BF406:CQ406&lt;1)*(PARTIDAS!$I$2:$AT$2="SANITARIOS"))&gt;0,"SANITARIOS",""),IF(SUMPRODUCT((BF406:CQ406&lt;1)*(PARTIDAS!$I$2:$AT$2="ELÉCTRICO"))&gt;0,"ELÉCTRICO",""),IF(SUMPRODUCT((BF406:CQ406&lt;1)*(PARTIDAS!$I$2:$AT$2="TERMINACIONES"))&gt;0,"TERMINACIONES",""))</f>
        <v>OBRA GRUESA, SANITARIOS, ELÉCTRICO, TERMINACIONES</v>
      </c>
      <c r="CU406" s="46" cm="1">
        <f t="array" ref="CU406">SUMPRODUCT(--(BF406:CQ406&lt;1))</f>
        <v>38</v>
      </c>
    </row>
    <row r="407" spans="1:99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46181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 s="3" t="str">
        <f>+IF(AVANCE[[#This Row],[% AVANCE]]=100%,"MODULO TERMINADO",IF(AVANCE[[#This Row],[FECHA INICIO REAL]]="","MODULO NO INICIADO","PENDIENTE"))</f>
        <v>MODULO NO INICIADO</v>
      </c>
      <c r="BF407" s="3">
        <f>+IF(AVANCE[[#This Row],[VENTANAS]]=8.10810810810811%,100%,AVANCE[[#This Row],[VENTANAS]])</f>
        <v>0</v>
      </c>
      <c r="BG407" s="3">
        <f>+IF(AVANCE[[#This Row],[PISO]]=N$2,100%,AVANCE[[#This Row],[PISO]])</f>
        <v>0</v>
      </c>
      <c r="BH407" s="3">
        <f>+IF(AVANCE[[#This Row],[TABIQUES]]=O$2,100%,AVANCE[[#This Row],[TABIQUES]])</f>
        <v>0</v>
      </c>
      <c r="BI407" s="3">
        <f>+IF(AVANCE[[#This Row],[MUROS]]=P$2,100%,AVANCE[[#This Row],[MUROS]])</f>
        <v>0</v>
      </c>
      <c r="BJ407" s="3">
        <f>+IF(AVANCE[[#This Row],[CIELO]]=Q$2,100%,AVANCE[[#This Row],[CIELO]])</f>
        <v>0</v>
      </c>
      <c r="BK407" s="3">
        <f>+IF(AVANCE[[#This Row],[BALCÓN]]=R$2,100%,AVANCE[[#This Row],[BALCÓN]])</f>
        <v>0</v>
      </c>
      <c r="BL407" s="3">
        <f>+IF(AVANCE[[#This Row],[RED ALCANTARILLADO]]=U$2,100%,AVANCE[[#This Row],[RED ALCANTARILLADO]])</f>
        <v>0</v>
      </c>
      <c r="BM407" s="3">
        <f>+IF(AVANCE[[#This Row],[RED DE AGUA]]=V$2,100%,AVANCE[[#This Row],[RED DE AGUA]])</f>
        <v>0</v>
      </c>
      <c r="BN407" s="3">
        <f>+IF(AVANCE[[#This Row],[VENTILACIONES]]=W$2,100%,AVANCE[[#This Row],[VENTILACIONES]])</f>
        <v>0</v>
      </c>
      <c r="BO407" s="3">
        <f>+IF(AVANCE[[#This Row],[TINA]]=X$2,100%,AVANCE[[#This Row],[TINA]])</f>
        <v>0</v>
      </c>
      <c r="BP407" s="3">
        <f>+IF(AVANCE[[#This Row],[WC]]=Y$2,100%,AVANCE[[#This Row],[WC]])</f>
        <v>0</v>
      </c>
      <c r="BQ407" s="3">
        <f>+IF(AVANCE[[#This Row],[LAVAMANOS / LAVAPLATOS / LAVADERO]]=Z$2,100%,AVANCE[[#This Row],[LAVAMANOS / LAVAPLATOS / LAVADERO]])</f>
        <v>0</v>
      </c>
      <c r="BR407" s="3">
        <f>+IF(AVANCE[[#This Row],[CANALIZACIÓN]]=AC$2,100%,AVANCE[[#This Row],[CANALIZACIÓN]])</f>
        <v>0</v>
      </c>
      <c r="BS407" s="3">
        <f>+IF(AVANCE[[#This Row],[CABLEADO]]=AD$2,100%,AVANCE[[#This Row],[CABLEADO]])</f>
        <v>0</v>
      </c>
      <c r="BT407" s="3">
        <f>+IF(AVANCE[[#This Row],[ARTEFACTOS]]=AE$2,100%,AVANCE[[#This Row],[ARTEFACTOS]])</f>
        <v>0</v>
      </c>
      <c r="BU407" s="3">
        <f>+IF(AVANCE[[#This Row],[TABLERO]]=AF$2,100%,AVANCE[[#This Row],[TABLERO]])</f>
        <v>0</v>
      </c>
      <c r="BV407" s="3">
        <f>+IF(AVANCE[[#This Row],[CAJA PAU]]=AG$2,100%,AVANCE[[#This Row],[CAJA PAU]])</f>
        <v>0</v>
      </c>
      <c r="BW407" s="3">
        <f>+IF(AVANCE[[#This Row],[INSTALACION VINILICO]]=AJ$2,100%,AVANCE[[#This Row],[INSTALACION VINILICO]])</f>
        <v>0</v>
      </c>
      <c r="BX407" s="3">
        <f>+IF(AVANCE[[#This Row],[OSB CUBIERTA]]=AK$2,100%,AVANCE[[#This Row],[OSB CUBIERTA]])</f>
        <v>0</v>
      </c>
      <c r="BY407" s="3">
        <f>+IF(AVANCE[[#This Row],[BARANDA BALCON]]=AL$2,100%,AVANCE[[#This Row],[BARANDA BALCON]])</f>
        <v>0</v>
      </c>
      <c r="BZ407" s="3">
        <f>+IF(AVANCE[[#This Row],[OSB EXTERIOR]]=AM$2,100%,AVANCE[[#This Row],[OSB EXTERIOR]])</f>
        <v>0</v>
      </c>
      <c r="CA407" s="3">
        <f>+IF(AVANCE[[#This Row],[SMART PANEL]]=AN$2,100%,AVANCE[[#This Row],[SMART PANEL]])</f>
        <v>0</v>
      </c>
      <c r="CB407" s="3">
        <f>+IF(AVANCE[[#This Row],[PINTURA EXTERIOR]]=AO$2,100%,AVANCE[[#This Row],[PINTURA EXTERIOR]])</f>
        <v>0</v>
      </c>
      <c r="CC407" s="3">
        <f>+IF(AVANCE[[#This Row],[ZOCALOS LOGIA]]=AP$2,100%,AVANCE[[#This Row],[ZOCALOS LOGIA]])</f>
        <v>0</v>
      </c>
      <c r="CD407" s="3">
        <f>+IF(AVANCE[[#This Row],[MOLDURAS]]=AQ$2,100%,AVANCE[[#This Row],[MOLDURAS]])</f>
        <v>0</v>
      </c>
      <c r="CE407" s="3">
        <f>+IF(AVANCE[[#This Row],[PILASTREO]]=AR$2,100%,AVANCE[[#This Row],[PILASTREO]])</f>
        <v>0</v>
      </c>
      <c r="CF407" s="3">
        <f>+IF(AVANCE[[#This Row],[CELOSIAS]]=AS$2,100%,AVANCE[[#This Row],[CELOSIAS]])</f>
        <v>0</v>
      </c>
      <c r="CG407" s="3">
        <f>+IF(AVANCE[[#This Row],[VENTANAS]]=AT$2,100%,AVANCE[[#This Row],[VENTANAS]])</f>
        <v>0</v>
      </c>
      <c r="CH407" s="3">
        <f>+IF(AVANCE[[#This Row],[PUERTAS ACCESO - LOGIA - BANO]]=AU$2,100%,AVANCE[[#This Row],[PUERTAS ACCESO - LOGIA - BANO]])</f>
        <v>0</v>
      </c>
      <c r="CI407" s="3">
        <f>+IF(AVANCE[[#This Row],[CERRADURAS]]=AV$2,100%,AVANCE[[#This Row],[CERRADURAS]])</f>
        <v>0</v>
      </c>
      <c r="CJ407" s="3">
        <f>+IF(AVANCE[[#This Row],[REVESTIMIENTO INTERIOR ZONA SECA]]=AW$2,100%,AVANCE[[#This Row],[REVESTIMIENTO INTERIOR ZONA SECA]])</f>
        <v>0</v>
      </c>
      <c r="CK407" s="3">
        <f>+IF(AVANCE[[#This Row],[REVESTIMIENTO INTERIOR ZONAS HUMEDAS]]=AX$2,100%,AVANCE[[#This Row],[REVESTIMIENTO INTERIOR ZONAS HUMEDAS]])</f>
        <v>0</v>
      </c>
      <c r="CL407" s="3">
        <f>+IF(AVANCE[[#This Row],[MEMBRANA CIELO]]=AY$2,100%,AVANCE[[#This Row],[MEMBRANA CIELO]])</f>
        <v>0</v>
      </c>
      <c r="CM407" s="3">
        <f>+IF(AVANCE[[#This Row],[LIMPIEZA FINAL]]=AZ$2,100%,AVANCE[[#This Row],[LIMPIEZA FINAL]])</f>
        <v>0</v>
      </c>
      <c r="CN407" s="3">
        <f>+IF(AVANCE[[#This Row],[PUERTAS DORMITORIO]]=BA$2,100%,AVANCE[[#This Row],[PUERTAS DORMITORIO]])</f>
        <v>0</v>
      </c>
      <c r="CO407" s="3">
        <f>+IF(AVANCE[[#This Row],[REVESTIMIENTO INTERIOR BANO]]=BB$2,100%,AVANCE[[#This Row],[REVESTIMIENTO INTERIOR BANO]])</f>
        <v>0</v>
      </c>
      <c r="CP407" s="3">
        <f>+IF(AVANCE[[#This Row],[MUEBLE LAVAPLATOS]]=BC$2,100%,AVANCE[[#This Row],[MUEBLE LAVAPLATOS]])</f>
        <v>0</v>
      </c>
      <c r="CQ407" s="3">
        <f>+IF(AVANCE[[#This Row],[IMPERMEABILIZACION BANO - COCINA LOGIA]]=BD$2,100%,AVANCE[[#This Row],[IMPERMEABILIZACION BANO - COCINA LOGIA]])</f>
        <v>0</v>
      </c>
      <c r="CR407" s="40">
        <f ca="1">+IF(AVANCE[[#This Row],[ESTADO MODULO]]="PENDIENTE",(TODAY()-AVANCE[[#This Row],[FECHA TERMINO  PLANIFICADO]]),0)</f>
        <v>0</v>
      </c>
      <c r="CS407" s="42" t="str" cm="1">
        <f t="array" ref="CS407">_xlfn.TEXTJOIN(" | ",TRUE,IF(SUMPRODUCT((BF407:CQ407&lt;1)*(PARTIDAS!$I$2:$AT$2="OBRA GRUESA"))&gt;0,"OBRA GRUESA: "&amp;_xlfn.TEXTJOIN(", ",TRUE,IF((BF407:CQ407&lt;1)*(PARTIDAS!$I$2:$AT$2="OBRA GRUESA"),PARTIDAS!$I$1:$AT$1,"")),""),IF(SUMPRODUCT((BF407:CQ407&lt;1)*(PARTIDAS!$I$2:$AT$2="SANITARIOS"))&gt;0,"SANITARIOS: "&amp;_xlfn.TEXTJOIN(", ",TRUE,IF((BF407:CQ407&lt;1)*(PARTIDAS!$I$2:$AT$2="SANITARIOS"),PARTIDAS!$I$1:$AT$1,"")),""),IF(SUMPRODUCT((BF407:CQ407&lt;1)*(PARTIDAS!$I$2:$AT$2="ELÉCTRICO"))&gt;0,"ELÉCTRICO: "&amp;_xlfn.TEXTJOIN(", ",TRUE,IF((BF407:CQ407&lt;1)*(PARTIDAS!$I$2:$AT$2="ELÉCTRICO"),PARTIDAS!$I$1:$AT$1,"")),""),IF(SUMPRODUCT((BF407:CQ407&lt;1)*(PARTIDAS!$I$2:$AT$2="TERMINACIONES"))&gt;0,"TERMINACIONES: "&amp;_xlfn.TEXTJOIN(", ",TRUE,IF((BF407:CQ407&lt;1)*(PARTIDAS!$I$2:$AT$2="TERMINACIONES"),PARTIDAS!$I$1:$AT$1,"")),""))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7" s="45" t="str" cm="1">
        <f t="array" ref="CT407">_xlfn.TEXTJOIN(", ",TRUE,IF(SUMPRODUCT((BF407:CQ407&lt;1)*(PARTIDAS!$I$2:$AT$2="OBRA GRUESA"))&gt;0,"OBRA GRUESA",""),IF(SUMPRODUCT((BF407:CQ407&lt;1)*(PARTIDAS!$I$2:$AT$2="SANITARIOS"))&gt;0,"SANITARIOS",""),IF(SUMPRODUCT((BF407:CQ407&lt;1)*(PARTIDAS!$I$2:$AT$2="ELÉCTRICO"))&gt;0,"ELÉCTRICO",""),IF(SUMPRODUCT((BF407:CQ407&lt;1)*(PARTIDAS!$I$2:$AT$2="TERMINACIONES"))&gt;0,"TERMINACIONES",""))</f>
        <v>OBRA GRUESA, SANITARIOS, ELÉCTRICO, TERMINACIONES</v>
      </c>
      <c r="CU407" s="46" cm="1">
        <f t="array" ref="CU407">SUMPRODUCT(--(BF407:CQ407&lt;1))</f>
        <v>38</v>
      </c>
    </row>
    <row r="408" spans="1:99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46181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 s="3" t="str">
        <f>+IF(AVANCE[[#This Row],[% AVANCE]]=100%,"MODULO TERMINADO",IF(AVANCE[[#This Row],[FECHA INICIO REAL]]="","MODULO NO INICIADO","PENDIENTE"))</f>
        <v>MODULO NO INICIADO</v>
      </c>
      <c r="BF408" s="3">
        <f>+IF(AVANCE[[#This Row],[VENTANAS]]=8.10810810810811%,100%,AVANCE[[#This Row],[VENTANAS]])</f>
        <v>0</v>
      </c>
      <c r="BG408" s="3">
        <f>+IF(AVANCE[[#This Row],[PISO]]=N$2,100%,AVANCE[[#This Row],[PISO]])</f>
        <v>0</v>
      </c>
      <c r="BH408" s="3">
        <f>+IF(AVANCE[[#This Row],[TABIQUES]]=O$2,100%,AVANCE[[#This Row],[TABIQUES]])</f>
        <v>0</v>
      </c>
      <c r="BI408" s="3">
        <f>+IF(AVANCE[[#This Row],[MUROS]]=P$2,100%,AVANCE[[#This Row],[MUROS]])</f>
        <v>0</v>
      </c>
      <c r="BJ408" s="3">
        <f>+IF(AVANCE[[#This Row],[CIELO]]=Q$2,100%,AVANCE[[#This Row],[CIELO]])</f>
        <v>0</v>
      </c>
      <c r="BK408" s="3">
        <f>+IF(AVANCE[[#This Row],[BALCÓN]]=R$2,100%,AVANCE[[#This Row],[BALCÓN]])</f>
        <v>0</v>
      </c>
      <c r="BL408" s="3">
        <f>+IF(AVANCE[[#This Row],[RED ALCANTARILLADO]]=U$2,100%,AVANCE[[#This Row],[RED ALCANTARILLADO]])</f>
        <v>0</v>
      </c>
      <c r="BM408" s="3">
        <f>+IF(AVANCE[[#This Row],[RED DE AGUA]]=V$2,100%,AVANCE[[#This Row],[RED DE AGUA]])</f>
        <v>0</v>
      </c>
      <c r="BN408" s="3">
        <f>+IF(AVANCE[[#This Row],[VENTILACIONES]]=W$2,100%,AVANCE[[#This Row],[VENTILACIONES]])</f>
        <v>0</v>
      </c>
      <c r="BO408" s="3">
        <f>+IF(AVANCE[[#This Row],[TINA]]=X$2,100%,AVANCE[[#This Row],[TINA]])</f>
        <v>0</v>
      </c>
      <c r="BP408" s="3">
        <f>+IF(AVANCE[[#This Row],[WC]]=Y$2,100%,AVANCE[[#This Row],[WC]])</f>
        <v>0</v>
      </c>
      <c r="BQ408" s="3">
        <f>+IF(AVANCE[[#This Row],[LAVAMANOS / LAVAPLATOS / LAVADERO]]=Z$2,100%,AVANCE[[#This Row],[LAVAMANOS / LAVAPLATOS / LAVADERO]])</f>
        <v>0</v>
      </c>
      <c r="BR408" s="3">
        <f>+IF(AVANCE[[#This Row],[CANALIZACIÓN]]=AC$2,100%,AVANCE[[#This Row],[CANALIZACIÓN]])</f>
        <v>0</v>
      </c>
      <c r="BS408" s="3">
        <f>+IF(AVANCE[[#This Row],[CABLEADO]]=AD$2,100%,AVANCE[[#This Row],[CABLEADO]])</f>
        <v>0</v>
      </c>
      <c r="BT408" s="3">
        <f>+IF(AVANCE[[#This Row],[ARTEFACTOS]]=AE$2,100%,AVANCE[[#This Row],[ARTEFACTOS]])</f>
        <v>0</v>
      </c>
      <c r="BU408" s="3">
        <f>+IF(AVANCE[[#This Row],[TABLERO]]=AF$2,100%,AVANCE[[#This Row],[TABLERO]])</f>
        <v>0</v>
      </c>
      <c r="BV408" s="3">
        <f>+IF(AVANCE[[#This Row],[CAJA PAU]]=AG$2,100%,AVANCE[[#This Row],[CAJA PAU]])</f>
        <v>0</v>
      </c>
      <c r="BW408" s="3">
        <f>+IF(AVANCE[[#This Row],[INSTALACION VINILICO]]=AJ$2,100%,AVANCE[[#This Row],[INSTALACION VINILICO]])</f>
        <v>0</v>
      </c>
      <c r="BX408" s="3">
        <f>+IF(AVANCE[[#This Row],[OSB CUBIERTA]]=AK$2,100%,AVANCE[[#This Row],[OSB CUBIERTA]])</f>
        <v>0</v>
      </c>
      <c r="BY408" s="3">
        <f>+IF(AVANCE[[#This Row],[BARANDA BALCON]]=AL$2,100%,AVANCE[[#This Row],[BARANDA BALCON]])</f>
        <v>0</v>
      </c>
      <c r="BZ408" s="3">
        <f>+IF(AVANCE[[#This Row],[OSB EXTERIOR]]=AM$2,100%,AVANCE[[#This Row],[OSB EXTERIOR]])</f>
        <v>0</v>
      </c>
      <c r="CA408" s="3">
        <f>+IF(AVANCE[[#This Row],[SMART PANEL]]=AN$2,100%,AVANCE[[#This Row],[SMART PANEL]])</f>
        <v>0</v>
      </c>
      <c r="CB408" s="3">
        <f>+IF(AVANCE[[#This Row],[PINTURA EXTERIOR]]=AO$2,100%,AVANCE[[#This Row],[PINTURA EXTERIOR]])</f>
        <v>0</v>
      </c>
      <c r="CC408" s="3">
        <f>+IF(AVANCE[[#This Row],[ZOCALOS LOGIA]]=AP$2,100%,AVANCE[[#This Row],[ZOCALOS LOGIA]])</f>
        <v>0</v>
      </c>
      <c r="CD408" s="3">
        <f>+IF(AVANCE[[#This Row],[MOLDURAS]]=AQ$2,100%,AVANCE[[#This Row],[MOLDURAS]])</f>
        <v>0</v>
      </c>
      <c r="CE408" s="3">
        <f>+IF(AVANCE[[#This Row],[PILASTREO]]=AR$2,100%,AVANCE[[#This Row],[PILASTREO]])</f>
        <v>0</v>
      </c>
      <c r="CF408" s="3">
        <f>+IF(AVANCE[[#This Row],[CELOSIAS]]=AS$2,100%,AVANCE[[#This Row],[CELOSIAS]])</f>
        <v>0</v>
      </c>
      <c r="CG408" s="3">
        <f>+IF(AVANCE[[#This Row],[VENTANAS]]=AT$2,100%,AVANCE[[#This Row],[VENTANAS]])</f>
        <v>0</v>
      </c>
      <c r="CH408" s="3">
        <f>+IF(AVANCE[[#This Row],[PUERTAS ACCESO - LOGIA - BANO]]=AU$2,100%,AVANCE[[#This Row],[PUERTAS ACCESO - LOGIA - BANO]])</f>
        <v>0</v>
      </c>
      <c r="CI408" s="3">
        <f>+IF(AVANCE[[#This Row],[CERRADURAS]]=AV$2,100%,AVANCE[[#This Row],[CERRADURAS]])</f>
        <v>0</v>
      </c>
      <c r="CJ408" s="3">
        <f>+IF(AVANCE[[#This Row],[REVESTIMIENTO INTERIOR ZONA SECA]]=AW$2,100%,AVANCE[[#This Row],[REVESTIMIENTO INTERIOR ZONA SECA]])</f>
        <v>0</v>
      </c>
      <c r="CK408" s="3">
        <f>+IF(AVANCE[[#This Row],[REVESTIMIENTO INTERIOR ZONAS HUMEDAS]]=AX$2,100%,AVANCE[[#This Row],[REVESTIMIENTO INTERIOR ZONAS HUMEDAS]])</f>
        <v>0</v>
      </c>
      <c r="CL408" s="3">
        <f>+IF(AVANCE[[#This Row],[MEMBRANA CIELO]]=AY$2,100%,AVANCE[[#This Row],[MEMBRANA CIELO]])</f>
        <v>0</v>
      </c>
      <c r="CM408" s="3">
        <f>+IF(AVANCE[[#This Row],[LIMPIEZA FINAL]]=AZ$2,100%,AVANCE[[#This Row],[LIMPIEZA FINAL]])</f>
        <v>0</v>
      </c>
      <c r="CN408" s="3">
        <f>+IF(AVANCE[[#This Row],[PUERTAS DORMITORIO]]=BA$2,100%,AVANCE[[#This Row],[PUERTAS DORMITORIO]])</f>
        <v>0</v>
      </c>
      <c r="CO408" s="3">
        <f>+IF(AVANCE[[#This Row],[REVESTIMIENTO INTERIOR BANO]]=BB$2,100%,AVANCE[[#This Row],[REVESTIMIENTO INTERIOR BANO]])</f>
        <v>0</v>
      </c>
      <c r="CP408" s="3">
        <f>+IF(AVANCE[[#This Row],[MUEBLE LAVAPLATOS]]=BC$2,100%,AVANCE[[#This Row],[MUEBLE LAVAPLATOS]])</f>
        <v>0</v>
      </c>
      <c r="CQ408" s="3">
        <f>+IF(AVANCE[[#This Row],[IMPERMEABILIZACION BANO - COCINA LOGIA]]=BD$2,100%,AVANCE[[#This Row],[IMPERMEABILIZACION BANO - COCINA LOGIA]])</f>
        <v>0</v>
      </c>
      <c r="CR408" s="40">
        <f ca="1">+IF(AVANCE[[#This Row],[ESTADO MODULO]]="PENDIENTE",(TODAY()-AVANCE[[#This Row],[FECHA TERMINO  PLANIFICADO]]),0)</f>
        <v>0</v>
      </c>
      <c r="CS408" s="42" t="str" cm="1">
        <f t="array" ref="CS408">_xlfn.TEXTJOIN(" | ",TRUE,IF(SUMPRODUCT((BF408:CQ408&lt;1)*(PARTIDAS!$I$2:$AT$2="OBRA GRUESA"))&gt;0,"OBRA GRUESA: "&amp;_xlfn.TEXTJOIN(", ",TRUE,IF((BF408:CQ408&lt;1)*(PARTIDAS!$I$2:$AT$2="OBRA GRUESA"),PARTIDAS!$I$1:$AT$1,"")),""),IF(SUMPRODUCT((BF408:CQ408&lt;1)*(PARTIDAS!$I$2:$AT$2="SANITARIOS"))&gt;0,"SANITARIOS: "&amp;_xlfn.TEXTJOIN(", ",TRUE,IF((BF408:CQ408&lt;1)*(PARTIDAS!$I$2:$AT$2="SANITARIOS"),PARTIDAS!$I$1:$AT$1,"")),""),IF(SUMPRODUCT((BF408:CQ408&lt;1)*(PARTIDAS!$I$2:$AT$2="ELÉCTRICO"))&gt;0,"ELÉCTRICO: "&amp;_xlfn.TEXTJOIN(", ",TRUE,IF((BF408:CQ408&lt;1)*(PARTIDAS!$I$2:$AT$2="ELÉCTRICO"),PARTIDAS!$I$1:$AT$1,"")),""),IF(SUMPRODUCT((BF408:CQ408&lt;1)*(PARTIDAS!$I$2:$AT$2="TERMINACIONES"))&gt;0,"TERMINACIONES: "&amp;_xlfn.TEXTJOIN(", ",TRUE,IF((BF408:CQ408&lt;1)*(PARTIDAS!$I$2:$AT$2="TERMINACIONES"),PARTIDAS!$I$1:$AT$1,"")),""))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8" s="45" t="str" cm="1">
        <f t="array" ref="CT408">_xlfn.TEXTJOIN(", ",TRUE,IF(SUMPRODUCT((BF408:CQ408&lt;1)*(PARTIDAS!$I$2:$AT$2="OBRA GRUESA"))&gt;0,"OBRA GRUESA",""),IF(SUMPRODUCT((BF408:CQ408&lt;1)*(PARTIDAS!$I$2:$AT$2="SANITARIOS"))&gt;0,"SANITARIOS",""),IF(SUMPRODUCT((BF408:CQ408&lt;1)*(PARTIDAS!$I$2:$AT$2="ELÉCTRICO"))&gt;0,"ELÉCTRICO",""),IF(SUMPRODUCT((BF408:CQ408&lt;1)*(PARTIDAS!$I$2:$AT$2="TERMINACIONES"))&gt;0,"TERMINACIONES",""))</f>
        <v>OBRA GRUESA, SANITARIOS, ELÉCTRICO, TERMINACIONES</v>
      </c>
      <c r="CU408" s="46" cm="1">
        <f t="array" ref="CU408">SUMPRODUCT(--(BF408:CQ408&lt;1))</f>
        <v>38</v>
      </c>
    </row>
    <row r="409" spans="1:99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46181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 s="3" t="str">
        <f>+IF(AVANCE[[#This Row],[% AVANCE]]=100%,"MODULO TERMINADO",IF(AVANCE[[#This Row],[FECHA INICIO REAL]]="","MODULO NO INICIADO","PENDIENTE"))</f>
        <v>MODULO NO INICIADO</v>
      </c>
      <c r="BF409" s="3">
        <f>+IF(AVANCE[[#This Row],[VENTANAS]]=8.10810810810811%,100%,AVANCE[[#This Row],[VENTANAS]])</f>
        <v>0</v>
      </c>
      <c r="BG409" s="3">
        <f>+IF(AVANCE[[#This Row],[PISO]]=N$2,100%,AVANCE[[#This Row],[PISO]])</f>
        <v>0</v>
      </c>
      <c r="BH409" s="3">
        <f>+IF(AVANCE[[#This Row],[TABIQUES]]=O$2,100%,AVANCE[[#This Row],[TABIQUES]])</f>
        <v>0</v>
      </c>
      <c r="BI409" s="3">
        <f>+IF(AVANCE[[#This Row],[MUROS]]=P$2,100%,AVANCE[[#This Row],[MUROS]])</f>
        <v>0</v>
      </c>
      <c r="BJ409" s="3">
        <f>+IF(AVANCE[[#This Row],[CIELO]]=Q$2,100%,AVANCE[[#This Row],[CIELO]])</f>
        <v>0</v>
      </c>
      <c r="BK409" s="3">
        <f>+IF(AVANCE[[#This Row],[BALCÓN]]=R$2,100%,AVANCE[[#This Row],[BALCÓN]])</f>
        <v>0</v>
      </c>
      <c r="BL409" s="3">
        <f>+IF(AVANCE[[#This Row],[RED ALCANTARILLADO]]=U$2,100%,AVANCE[[#This Row],[RED ALCANTARILLADO]])</f>
        <v>0</v>
      </c>
      <c r="BM409" s="3">
        <f>+IF(AVANCE[[#This Row],[RED DE AGUA]]=V$2,100%,AVANCE[[#This Row],[RED DE AGUA]])</f>
        <v>0</v>
      </c>
      <c r="BN409" s="3">
        <f>+IF(AVANCE[[#This Row],[VENTILACIONES]]=W$2,100%,AVANCE[[#This Row],[VENTILACIONES]])</f>
        <v>0</v>
      </c>
      <c r="BO409" s="3">
        <f>+IF(AVANCE[[#This Row],[TINA]]=X$2,100%,AVANCE[[#This Row],[TINA]])</f>
        <v>0</v>
      </c>
      <c r="BP409" s="3">
        <f>+IF(AVANCE[[#This Row],[WC]]=Y$2,100%,AVANCE[[#This Row],[WC]])</f>
        <v>0</v>
      </c>
      <c r="BQ409" s="3">
        <f>+IF(AVANCE[[#This Row],[LAVAMANOS / LAVAPLATOS / LAVADERO]]=Z$2,100%,AVANCE[[#This Row],[LAVAMANOS / LAVAPLATOS / LAVADERO]])</f>
        <v>0</v>
      </c>
      <c r="BR409" s="3">
        <f>+IF(AVANCE[[#This Row],[CANALIZACIÓN]]=AC$2,100%,AVANCE[[#This Row],[CANALIZACIÓN]])</f>
        <v>0</v>
      </c>
      <c r="BS409" s="3">
        <f>+IF(AVANCE[[#This Row],[CABLEADO]]=AD$2,100%,AVANCE[[#This Row],[CABLEADO]])</f>
        <v>0</v>
      </c>
      <c r="BT409" s="3">
        <f>+IF(AVANCE[[#This Row],[ARTEFACTOS]]=AE$2,100%,AVANCE[[#This Row],[ARTEFACTOS]])</f>
        <v>0</v>
      </c>
      <c r="BU409" s="3">
        <f>+IF(AVANCE[[#This Row],[TABLERO]]=AF$2,100%,AVANCE[[#This Row],[TABLERO]])</f>
        <v>0</v>
      </c>
      <c r="BV409" s="3">
        <f>+IF(AVANCE[[#This Row],[CAJA PAU]]=AG$2,100%,AVANCE[[#This Row],[CAJA PAU]])</f>
        <v>0</v>
      </c>
      <c r="BW409" s="3">
        <f>+IF(AVANCE[[#This Row],[INSTALACION VINILICO]]=AJ$2,100%,AVANCE[[#This Row],[INSTALACION VINILICO]])</f>
        <v>0</v>
      </c>
      <c r="BX409" s="3">
        <f>+IF(AVANCE[[#This Row],[OSB CUBIERTA]]=AK$2,100%,AVANCE[[#This Row],[OSB CUBIERTA]])</f>
        <v>0</v>
      </c>
      <c r="BY409" s="3">
        <f>+IF(AVANCE[[#This Row],[BARANDA BALCON]]=AL$2,100%,AVANCE[[#This Row],[BARANDA BALCON]])</f>
        <v>0</v>
      </c>
      <c r="BZ409" s="3">
        <f>+IF(AVANCE[[#This Row],[OSB EXTERIOR]]=AM$2,100%,AVANCE[[#This Row],[OSB EXTERIOR]])</f>
        <v>0</v>
      </c>
      <c r="CA409" s="3">
        <f>+IF(AVANCE[[#This Row],[SMART PANEL]]=AN$2,100%,AVANCE[[#This Row],[SMART PANEL]])</f>
        <v>0</v>
      </c>
      <c r="CB409" s="3">
        <f>+IF(AVANCE[[#This Row],[PINTURA EXTERIOR]]=AO$2,100%,AVANCE[[#This Row],[PINTURA EXTERIOR]])</f>
        <v>0</v>
      </c>
      <c r="CC409" s="3">
        <f>+IF(AVANCE[[#This Row],[ZOCALOS LOGIA]]=AP$2,100%,AVANCE[[#This Row],[ZOCALOS LOGIA]])</f>
        <v>0</v>
      </c>
      <c r="CD409" s="3">
        <f>+IF(AVANCE[[#This Row],[MOLDURAS]]=AQ$2,100%,AVANCE[[#This Row],[MOLDURAS]])</f>
        <v>0</v>
      </c>
      <c r="CE409" s="3">
        <f>+IF(AVANCE[[#This Row],[PILASTREO]]=AR$2,100%,AVANCE[[#This Row],[PILASTREO]])</f>
        <v>0</v>
      </c>
      <c r="CF409" s="3">
        <f>+IF(AVANCE[[#This Row],[CELOSIAS]]=AS$2,100%,AVANCE[[#This Row],[CELOSIAS]])</f>
        <v>0</v>
      </c>
      <c r="CG409" s="3">
        <f>+IF(AVANCE[[#This Row],[VENTANAS]]=AT$2,100%,AVANCE[[#This Row],[VENTANAS]])</f>
        <v>0</v>
      </c>
      <c r="CH409" s="3">
        <f>+IF(AVANCE[[#This Row],[PUERTAS ACCESO - LOGIA - BANO]]=AU$2,100%,AVANCE[[#This Row],[PUERTAS ACCESO - LOGIA - BANO]])</f>
        <v>0</v>
      </c>
      <c r="CI409" s="3">
        <f>+IF(AVANCE[[#This Row],[CERRADURAS]]=AV$2,100%,AVANCE[[#This Row],[CERRADURAS]])</f>
        <v>0</v>
      </c>
      <c r="CJ409" s="3">
        <f>+IF(AVANCE[[#This Row],[REVESTIMIENTO INTERIOR ZONA SECA]]=AW$2,100%,AVANCE[[#This Row],[REVESTIMIENTO INTERIOR ZONA SECA]])</f>
        <v>0</v>
      </c>
      <c r="CK409" s="3">
        <f>+IF(AVANCE[[#This Row],[REVESTIMIENTO INTERIOR ZONAS HUMEDAS]]=AX$2,100%,AVANCE[[#This Row],[REVESTIMIENTO INTERIOR ZONAS HUMEDAS]])</f>
        <v>0</v>
      </c>
      <c r="CL409" s="3">
        <f>+IF(AVANCE[[#This Row],[MEMBRANA CIELO]]=AY$2,100%,AVANCE[[#This Row],[MEMBRANA CIELO]])</f>
        <v>0</v>
      </c>
      <c r="CM409" s="3">
        <f>+IF(AVANCE[[#This Row],[LIMPIEZA FINAL]]=AZ$2,100%,AVANCE[[#This Row],[LIMPIEZA FINAL]])</f>
        <v>0</v>
      </c>
      <c r="CN409" s="3">
        <f>+IF(AVANCE[[#This Row],[PUERTAS DORMITORIO]]=BA$2,100%,AVANCE[[#This Row],[PUERTAS DORMITORIO]])</f>
        <v>0</v>
      </c>
      <c r="CO409" s="3">
        <f>+IF(AVANCE[[#This Row],[REVESTIMIENTO INTERIOR BANO]]=BB$2,100%,AVANCE[[#This Row],[REVESTIMIENTO INTERIOR BANO]])</f>
        <v>0</v>
      </c>
      <c r="CP409" s="3">
        <f>+IF(AVANCE[[#This Row],[MUEBLE LAVAPLATOS]]=BC$2,100%,AVANCE[[#This Row],[MUEBLE LAVAPLATOS]])</f>
        <v>0</v>
      </c>
      <c r="CQ409" s="3">
        <f>+IF(AVANCE[[#This Row],[IMPERMEABILIZACION BANO - COCINA LOGIA]]=BD$2,100%,AVANCE[[#This Row],[IMPERMEABILIZACION BANO - COCINA LOGIA]])</f>
        <v>0</v>
      </c>
      <c r="CR409" s="40">
        <f ca="1">+IF(AVANCE[[#This Row],[ESTADO MODULO]]="PENDIENTE",(TODAY()-AVANCE[[#This Row],[FECHA TERMINO  PLANIFICADO]]),0)</f>
        <v>0</v>
      </c>
      <c r="CS409" s="42" t="str" cm="1">
        <f t="array" ref="CS409">_xlfn.TEXTJOIN(" | ",TRUE,IF(SUMPRODUCT((BF409:CQ409&lt;1)*(PARTIDAS!$I$2:$AT$2="OBRA GRUESA"))&gt;0,"OBRA GRUESA: "&amp;_xlfn.TEXTJOIN(", ",TRUE,IF((BF409:CQ409&lt;1)*(PARTIDAS!$I$2:$AT$2="OBRA GRUESA"),PARTIDAS!$I$1:$AT$1,"")),""),IF(SUMPRODUCT((BF409:CQ409&lt;1)*(PARTIDAS!$I$2:$AT$2="SANITARIOS"))&gt;0,"SANITARIOS: "&amp;_xlfn.TEXTJOIN(", ",TRUE,IF((BF409:CQ409&lt;1)*(PARTIDAS!$I$2:$AT$2="SANITARIOS"),PARTIDAS!$I$1:$AT$1,"")),""),IF(SUMPRODUCT((BF409:CQ409&lt;1)*(PARTIDAS!$I$2:$AT$2="ELÉCTRICO"))&gt;0,"ELÉCTRICO: "&amp;_xlfn.TEXTJOIN(", ",TRUE,IF((BF409:CQ409&lt;1)*(PARTIDAS!$I$2:$AT$2="ELÉCTRICO"),PARTIDAS!$I$1:$AT$1,"")),""),IF(SUMPRODUCT((BF409:CQ409&lt;1)*(PARTIDAS!$I$2:$AT$2="TERMINACIONES"))&gt;0,"TERMINACIONES: "&amp;_xlfn.TEXTJOIN(", ",TRUE,IF((BF409:CQ409&lt;1)*(PARTIDAS!$I$2:$AT$2="TERMINACIONES"),PARTIDAS!$I$1:$AT$1,"")),""))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09" s="45" t="str" cm="1">
        <f t="array" ref="CT409">_xlfn.TEXTJOIN(", ",TRUE,IF(SUMPRODUCT((BF409:CQ409&lt;1)*(PARTIDAS!$I$2:$AT$2="OBRA GRUESA"))&gt;0,"OBRA GRUESA",""),IF(SUMPRODUCT((BF409:CQ409&lt;1)*(PARTIDAS!$I$2:$AT$2="SANITARIOS"))&gt;0,"SANITARIOS",""),IF(SUMPRODUCT((BF409:CQ409&lt;1)*(PARTIDAS!$I$2:$AT$2="ELÉCTRICO"))&gt;0,"ELÉCTRICO",""),IF(SUMPRODUCT((BF409:CQ409&lt;1)*(PARTIDAS!$I$2:$AT$2="TERMINACIONES"))&gt;0,"TERMINACIONES",""))</f>
        <v>OBRA GRUESA, SANITARIOS, ELÉCTRICO, TERMINACIONES</v>
      </c>
      <c r="CU409" s="46" cm="1">
        <f t="array" ref="CU409">SUMPRODUCT(--(BF409:CQ409&lt;1))</f>
        <v>38</v>
      </c>
    </row>
    <row r="410" spans="1:99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46181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 s="3" t="str">
        <f>+IF(AVANCE[[#This Row],[% AVANCE]]=100%,"MODULO TERMINADO",IF(AVANCE[[#This Row],[FECHA INICIO REAL]]="","MODULO NO INICIADO","PENDIENTE"))</f>
        <v>MODULO NO INICIADO</v>
      </c>
      <c r="BF410" s="3">
        <f>+IF(AVANCE[[#This Row],[VENTANAS]]=8.10810810810811%,100%,AVANCE[[#This Row],[VENTANAS]])</f>
        <v>0</v>
      </c>
      <c r="BG410" s="3">
        <f>+IF(AVANCE[[#This Row],[PISO]]=N$2,100%,AVANCE[[#This Row],[PISO]])</f>
        <v>0</v>
      </c>
      <c r="BH410" s="3">
        <f>+IF(AVANCE[[#This Row],[TABIQUES]]=O$2,100%,AVANCE[[#This Row],[TABIQUES]])</f>
        <v>0</v>
      </c>
      <c r="BI410" s="3">
        <f>+IF(AVANCE[[#This Row],[MUROS]]=P$2,100%,AVANCE[[#This Row],[MUROS]])</f>
        <v>0</v>
      </c>
      <c r="BJ410" s="3">
        <f>+IF(AVANCE[[#This Row],[CIELO]]=Q$2,100%,AVANCE[[#This Row],[CIELO]])</f>
        <v>0</v>
      </c>
      <c r="BK410" s="3">
        <f>+IF(AVANCE[[#This Row],[BALCÓN]]=R$2,100%,AVANCE[[#This Row],[BALCÓN]])</f>
        <v>0</v>
      </c>
      <c r="BL410" s="3">
        <f>+IF(AVANCE[[#This Row],[RED ALCANTARILLADO]]=U$2,100%,AVANCE[[#This Row],[RED ALCANTARILLADO]])</f>
        <v>0</v>
      </c>
      <c r="BM410" s="3">
        <f>+IF(AVANCE[[#This Row],[RED DE AGUA]]=V$2,100%,AVANCE[[#This Row],[RED DE AGUA]])</f>
        <v>0</v>
      </c>
      <c r="BN410" s="3">
        <f>+IF(AVANCE[[#This Row],[VENTILACIONES]]=W$2,100%,AVANCE[[#This Row],[VENTILACIONES]])</f>
        <v>0</v>
      </c>
      <c r="BO410" s="3">
        <f>+IF(AVANCE[[#This Row],[TINA]]=X$2,100%,AVANCE[[#This Row],[TINA]])</f>
        <v>0</v>
      </c>
      <c r="BP410" s="3">
        <f>+IF(AVANCE[[#This Row],[WC]]=Y$2,100%,AVANCE[[#This Row],[WC]])</f>
        <v>0</v>
      </c>
      <c r="BQ410" s="3">
        <f>+IF(AVANCE[[#This Row],[LAVAMANOS / LAVAPLATOS / LAVADERO]]=Z$2,100%,AVANCE[[#This Row],[LAVAMANOS / LAVAPLATOS / LAVADERO]])</f>
        <v>0</v>
      </c>
      <c r="BR410" s="3">
        <f>+IF(AVANCE[[#This Row],[CANALIZACIÓN]]=AC$2,100%,AVANCE[[#This Row],[CANALIZACIÓN]])</f>
        <v>0</v>
      </c>
      <c r="BS410" s="3">
        <f>+IF(AVANCE[[#This Row],[CABLEADO]]=AD$2,100%,AVANCE[[#This Row],[CABLEADO]])</f>
        <v>0</v>
      </c>
      <c r="BT410" s="3">
        <f>+IF(AVANCE[[#This Row],[ARTEFACTOS]]=AE$2,100%,AVANCE[[#This Row],[ARTEFACTOS]])</f>
        <v>0</v>
      </c>
      <c r="BU410" s="3">
        <f>+IF(AVANCE[[#This Row],[TABLERO]]=AF$2,100%,AVANCE[[#This Row],[TABLERO]])</f>
        <v>0</v>
      </c>
      <c r="BV410" s="3">
        <f>+IF(AVANCE[[#This Row],[CAJA PAU]]=AG$2,100%,AVANCE[[#This Row],[CAJA PAU]])</f>
        <v>0</v>
      </c>
      <c r="BW410" s="3">
        <f>+IF(AVANCE[[#This Row],[INSTALACION VINILICO]]=AJ$2,100%,AVANCE[[#This Row],[INSTALACION VINILICO]])</f>
        <v>0</v>
      </c>
      <c r="BX410" s="3">
        <f>+IF(AVANCE[[#This Row],[OSB CUBIERTA]]=AK$2,100%,AVANCE[[#This Row],[OSB CUBIERTA]])</f>
        <v>0</v>
      </c>
      <c r="BY410" s="3">
        <f>+IF(AVANCE[[#This Row],[BARANDA BALCON]]=AL$2,100%,AVANCE[[#This Row],[BARANDA BALCON]])</f>
        <v>0</v>
      </c>
      <c r="BZ410" s="3">
        <f>+IF(AVANCE[[#This Row],[OSB EXTERIOR]]=AM$2,100%,AVANCE[[#This Row],[OSB EXTERIOR]])</f>
        <v>0</v>
      </c>
      <c r="CA410" s="3">
        <f>+IF(AVANCE[[#This Row],[SMART PANEL]]=AN$2,100%,AVANCE[[#This Row],[SMART PANEL]])</f>
        <v>0</v>
      </c>
      <c r="CB410" s="3">
        <f>+IF(AVANCE[[#This Row],[PINTURA EXTERIOR]]=AO$2,100%,AVANCE[[#This Row],[PINTURA EXTERIOR]])</f>
        <v>0</v>
      </c>
      <c r="CC410" s="3">
        <f>+IF(AVANCE[[#This Row],[ZOCALOS LOGIA]]=AP$2,100%,AVANCE[[#This Row],[ZOCALOS LOGIA]])</f>
        <v>0</v>
      </c>
      <c r="CD410" s="3">
        <f>+IF(AVANCE[[#This Row],[MOLDURAS]]=AQ$2,100%,AVANCE[[#This Row],[MOLDURAS]])</f>
        <v>0</v>
      </c>
      <c r="CE410" s="3">
        <f>+IF(AVANCE[[#This Row],[PILASTREO]]=AR$2,100%,AVANCE[[#This Row],[PILASTREO]])</f>
        <v>0</v>
      </c>
      <c r="CF410" s="3">
        <f>+IF(AVANCE[[#This Row],[CELOSIAS]]=AS$2,100%,AVANCE[[#This Row],[CELOSIAS]])</f>
        <v>0</v>
      </c>
      <c r="CG410" s="3">
        <f>+IF(AVANCE[[#This Row],[VENTANAS]]=AT$2,100%,AVANCE[[#This Row],[VENTANAS]])</f>
        <v>0</v>
      </c>
      <c r="CH410" s="3">
        <f>+IF(AVANCE[[#This Row],[PUERTAS ACCESO - LOGIA - BANO]]=AU$2,100%,AVANCE[[#This Row],[PUERTAS ACCESO - LOGIA - BANO]])</f>
        <v>0</v>
      </c>
      <c r="CI410" s="3">
        <f>+IF(AVANCE[[#This Row],[CERRADURAS]]=AV$2,100%,AVANCE[[#This Row],[CERRADURAS]])</f>
        <v>0</v>
      </c>
      <c r="CJ410" s="3">
        <f>+IF(AVANCE[[#This Row],[REVESTIMIENTO INTERIOR ZONA SECA]]=AW$2,100%,AVANCE[[#This Row],[REVESTIMIENTO INTERIOR ZONA SECA]])</f>
        <v>0</v>
      </c>
      <c r="CK410" s="3">
        <f>+IF(AVANCE[[#This Row],[REVESTIMIENTO INTERIOR ZONAS HUMEDAS]]=AX$2,100%,AVANCE[[#This Row],[REVESTIMIENTO INTERIOR ZONAS HUMEDAS]])</f>
        <v>0</v>
      </c>
      <c r="CL410" s="3">
        <f>+IF(AVANCE[[#This Row],[MEMBRANA CIELO]]=AY$2,100%,AVANCE[[#This Row],[MEMBRANA CIELO]])</f>
        <v>0</v>
      </c>
      <c r="CM410" s="3">
        <f>+IF(AVANCE[[#This Row],[LIMPIEZA FINAL]]=AZ$2,100%,AVANCE[[#This Row],[LIMPIEZA FINAL]])</f>
        <v>0</v>
      </c>
      <c r="CN410" s="3">
        <f>+IF(AVANCE[[#This Row],[PUERTAS DORMITORIO]]=BA$2,100%,AVANCE[[#This Row],[PUERTAS DORMITORIO]])</f>
        <v>0</v>
      </c>
      <c r="CO410" s="3">
        <f>+IF(AVANCE[[#This Row],[REVESTIMIENTO INTERIOR BANO]]=BB$2,100%,AVANCE[[#This Row],[REVESTIMIENTO INTERIOR BANO]])</f>
        <v>0</v>
      </c>
      <c r="CP410" s="3">
        <f>+IF(AVANCE[[#This Row],[MUEBLE LAVAPLATOS]]=BC$2,100%,AVANCE[[#This Row],[MUEBLE LAVAPLATOS]])</f>
        <v>0</v>
      </c>
      <c r="CQ410" s="3">
        <f>+IF(AVANCE[[#This Row],[IMPERMEABILIZACION BANO - COCINA LOGIA]]=BD$2,100%,AVANCE[[#This Row],[IMPERMEABILIZACION BANO - COCINA LOGIA]])</f>
        <v>0</v>
      </c>
      <c r="CR410" s="40">
        <f ca="1">+IF(AVANCE[[#This Row],[ESTADO MODULO]]="PENDIENTE",(TODAY()-AVANCE[[#This Row],[FECHA TERMINO  PLANIFICADO]]),0)</f>
        <v>0</v>
      </c>
      <c r="CS410" s="42" t="str" cm="1">
        <f t="array" ref="CS410">_xlfn.TEXTJOIN(" | ",TRUE,IF(SUMPRODUCT((BF410:CQ410&lt;1)*(PARTIDAS!$I$2:$AT$2="OBRA GRUESA"))&gt;0,"OBRA GRUESA: "&amp;_xlfn.TEXTJOIN(", ",TRUE,IF((BF410:CQ410&lt;1)*(PARTIDAS!$I$2:$AT$2="OBRA GRUESA"),PARTIDAS!$I$1:$AT$1,"")),""),IF(SUMPRODUCT((BF410:CQ410&lt;1)*(PARTIDAS!$I$2:$AT$2="SANITARIOS"))&gt;0,"SANITARIOS: "&amp;_xlfn.TEXTJOIN(", ",TRUE,IF((BF410:CQ410&lt;1)*(PARTIDAS!$I$2:$AT$2="SANITARIOS"),PARTIDAS!$I$1:$AT$1,"")),""),IF(SUMPRODUCT((BF410:CQ410&lt;1)*(PARTIDAS!$I$2:$AT$2="ELÉCTRICO"))&gt;0,"ELÉCTRICO: "&amp;_xlfn.TEXTJOIN(", ",TRUE,IF((BF410:CQ410&lt;1)*(PARTIDAS!$I$2:$AT$2="ELÉCTRICO"),PARTIDAS!$I$1:$AT$1,"")),""),IF(SUMPRODUCT((BF410:CQ410&lt;1)*(PARTIDAS!$I$2:$AT$2="TERMINACIONES"))&gt;0,"TERMINACIONES: "&amp;_xlfn.TEXTJOIN(", ",TRUE,IF((BF410:CQ410&lt;1)*(PARTIDAS!$I$2:$AT$2="TERMINACIONES"),PARTIDAS!$I$1:$AT$1,"")),""))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0" s="45" t="str" cm="1">
        <f t="array" ref="CT410">_xlfn.TEXTJOIN(", ",TRUE,IF(SUMPRODUCT((BF410:CQ410&lt;1)*(PARTIDAS!$I$2:$AT$2="OBRA GRUESA"))&gt;0,"OBRA GRUESA",""),IF(SUMPRODUCT((BF410:CQ410&lt;1)*(PARTIDAS!$I$2:$AT$2="SANITARIOS"))&gt;0,"SANITARIOS",""),IF(SUMPRODUCT((BF410:CQ410&lt;1)*(PARTIDAS!$I$2:$AT$2="ELÉCTRICO"))&gt;0,"ELÉCTRICO",""),IF(SUMPRODUCT((BF410:CQ410&lt;1)*(PARTIDAS!$I$2:$AT$2="TERMINACIONES"))&gt;0,"TERMINACIONES",""))</f>
        <v>OBRA GRUESA, SANITARIOS, ELÉCTRICO, TERMINACIONES</v>
      </c>
      <c r="CU410" s="46" cm="1">
        <f t="array" ref="CU410">SUMPRODUCT(--(BF410:CQ410&lt;1))</f>
        <v>38</v>
      </c>
    </row>
    <row r="411" spans="1:99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46181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 s="3" t="str">
        <f>+IF(AVANCE[[#This Row],[% AVANCE]]=100%,"MODULO TERMINADO",IF(AVANCE[[#This Row],[FECHA INICIO REAL]]="","MODULO NO INICIADO","PENDIENTE"))</f>
        <v>MODULO NO INICIADO</v>
      </c>
      <c r="BF411" s="3">
        <f>+IF(AVANCE[[#This Row],[VENTANAS]]=8.10810810810811%,100%,AVANCE[[#This Row],[VENTANAS]])</f>
        <v>0</v>
      </c>
      <c r="BG411" s="3">
        <f>+IF(AVANCE[[#This Row],[PISO]]=N$2,100%,AVANCE[[#This Row],[PISO]])</f>
        <v>0</v>
      </c>
      <c r="BH411" s="3">
        <f>+IF(AVANCE[[#This Row],[TABIQUES]]=O$2,100%,AVANCE[[#This Row],[TABIQUES]])</f>
        <v>0</v>
      </c>
      <c r="BI411" s="3">
        <f>+IF(AVANCE[[#This Row],[MUROS]]=P$2,100%,AVANCE[[#This Row],[MUROS]])</f>
        <v>0</v>
      </c>
      <c r="BJ411" s="3">
        <f>+IF(AVANCE[[#This Row],[CIELO]]=Q$2,100%,AVANCE[[#This Row],[CIELO]])</f>
        <v>0</v>
      </c>
      <c r="BK411" s="3">
        <f>+IF(AVANCE[[#This Row],[BALCÓN]]=R$2,100%,AVANCE[[#This Row],[BALCÓN]])</f>
        <v>0</v>
      </c>
      <c r="BL411" s="3">
        <f>+IF(AVANCE[[#This Row],[RED ALCANTARILLADO]]=U$2,100%,AVANCE[[#This Row],[RED ALCANTARILLADO]])</f>
        <v>0</v>
      </c>
      <c r="BM411" s="3">
        <f>+IF(AVANCE[[#This Row],[RED DE AGUA]]=V$2,100%,AVANCE[[#This Row],[RED DE AGUA]])</f>
        <v>0</v>
      </c>
      <c r="BN411" s="3">
        <f>+IF(AVANCE[[#This Row],[VENTILACIONES]]=W$2,100%,AVANCE[[#This Row],[VENTILACIONES]])</f>
        <v>0</v>
      </c>
      <c r="BO411" s="3">
        <f>+IF(AVANCE[[#This Row],[TINA]]=X$2,100%,AVANCE[[#This Row],[TINA]])</f>
        <v>0</v>
      </c>
      <c r="BP411" s="3">
        <f>+IF(AVANCE[[#This Row],[WC]]=Y$2,100%,AVANCE[[#This Row],[WC]])</f>
        <v>0</v>
      </c>
      <c r="BQ411" s="3">
        <f>+IF(AVANCE[[#This Row],[LAVAMANOS / LAVAPLATOS / LAVADERO]]=Z$2,100%,AVANCE[[#This Row],[LAVAMANOS / LAVAPLATOS / LAVADERO]])</f>
        <v>0</v>
      </c>
      <c r="BR411" s="3">
        <f>+IF(AVANCE[[#This Row],[CANALIZACIÓN]]=AC$2,100%,AVANCE[[#This Row],[CANALIZACIÓN]])</f>
        <v>0</v>
      </c>
      <c r="BS411" s="3">
        <f>+IF(AVANCE[[#This Row],[CABLEADO]]=AD$2,100%,AVANCE[[#This Row],[CABLEADO]])</f>
        <v>0</v>
      </c>
      <c r="BT411" s="3">
        <f>+IF(AVANCE[[#This Row],[ARTEFACTOS]]=AE$2,100%,AVANCE[[#This Row],[ARTEFACTOS]])</f>
        <v>0</v>
      </c>
      <c r="BU411" s="3">
        <f>+IF(AVANCE[[#This Row],[TABLERO]]=AF$2,100%,AVANCE[[#This Row],[TABLERO]])</f>
        <v>0</v>
      </c>
      <c r="BV411" s="3">
        <f>+IF(AVANCE[[#This Row],[CAJA PAU]]=AG$2,100%,AVANCE[[#This Row],[CAJA PAU]])</f>
        <v>0</v>
      </c>
      <c r="BW411" s="3">
        <f>+IF(AVANCE[[#This Row],[INSTALACION VINILICO]]=AJ$2,100%,AVANCE[[#This Row],[INSTALACION VINILICO]])</f>
        <v>0</v>
      </c>
      <c r="BX411" s="3">
        <f>+IF(AVANCE[[#This Row],[OSB CUBIERTA]]=AK$2,100%,AVANCE[[#This Row],[OSB CUBIERTA]])</f>
        <v>0</v>
      </c>
      <c r="BY411" s="3">
        <f>+IF(AVANCE[[#This Row],[BARANDA BALCON]]=AL$2,100%,AVANCE[[#This Row],[BARANDA BALCON]])</f>
        <v>0</v>
      </c>
      <c r="BZ411" s="3">
        <f>+IF(AVANCE[[#This Row],[OSB EXTERIOR]]=AM$2,100%,AVANCE[[#This Row],[OSB EXTERIOR]])</f>
        <v>0</v>
      </c>
      <c r="CA411" s="3">
        <f>+IF(AVANCE[[#This Row],[SMART PANEL]]=AN$2,100%,AVANCE[[#This Row],[SMART PANEL]])</f>
        <v>0</v>
      </c>
      <c r="CB411" s="3">
        <f>+IF(AVANCE[[#This Row],[PINTURA EXTERIOR]]=AO$2,100%,AVANCE[[#This Row],[PINTURA EXTERIOR]])</f>
        <v>0</v>
      </c>
      <c r="CC411" s="3">
        <f>+IF(AVANCE[[#This Row],[ZOCALOS LOGIA]]=AP$2,100%,AVANCE[[#This Row],[ZOCALOS LOGIA]])</f>
        <v>0</v>
      </c>
      <c r="CD411" s="3">
        <f>+IF(AVANCE[[#This Row],[MOLDURAS]]=AQ$2,100%,AVANCE[[#This Row],[MOLDURAS]])</f>
        <v>0</v>
      </c>
      <c r="CE411" s="3">
        <f>+IF(AVANCE[[#This Row],[PILASTREO]]=AR$2,100%,AVANCE[[#This Row],[PILASTREO]])</f>
        <v>0</v>
      </c>
      <c r="CF411" s="3">
        <f>+IF(AVANCE[[#This Row],[CELOSIAS]]=AS$2,100%,AVANCE[[#This Row],[CELOSIAS]])</f>
        <v>0</v>
      </c>
      <c r="CG411" s="3">
        <f>+IF(AVANCE[[#This Row],[VENTANAS]]=AT$2,100%,AVANCE[[#This Row],[VENTANAS]])</f>
        <v>0</v>
      </c>
      <c r="CH411" s="3">
        <f>+IF(AVANCE[[#This Row],[PUERTAS ACCESO - LOGIA - BANO]]=AU$2,100%,AVANCE[[#This Row],[PUERTAS ACCESO - LOGIA - BANO]])</f>
        <v>0</v>
      </c>
      <c r="CI411" s="3">
        <f>+IF(AVANCE[[#This Row],[CERRADURAS]]=AV$2,100%,AVANCE[[#This Row],[CERRADURAS]])</f>
        <v>0</v>
      </c>
      <c r="CJ411" s="3">
        <f>+IF(AVANCE[[#This Row],[REVESTIMIENTO INTERIOR ZONA SECA]]=AW$2,100%,AVANCE[[#This Row],[REVESTIMIENTO INTERIOR ZONA SECA]])</f>
        <v>0</v>
      </c>
      <c r="CK411" s="3">
        <f>+IF(AVANCE[[#This Row],[REVESTIMIENTO INTERIOR ZONAS HUMEDAS]]=AX$2,100%,AVANCE[[#This Row],[REVESTIMIENTO INTERIOR ZONAS HUMEDAS]])</f>
        <v>0</v>
      </c>
      <c r="CL411" s="3">
        <f>+IF(AVANCE[[#This Row],[MEMBRANA CIELO]]=AY$2,100%,AVANCE[[#This Row],[MEMBRANA CIELO]])</f>
        <v>0</v>
      </c>
      <c r="CM411" s="3">
        <f>+IF(AVANCE[[#This Row],[LIMPIEZA FINAL]]=AZ$2,100%,AVANCE[[#This Row],[LIMPIEZA FINAL]])</f>
        <v>0</v>
      </c>
      <c r="CN411" s="3">
        <f>+IF(AVANCE[[#This Row],[PUERTAS DORMITORIO]]=BA$2,100%,AVANCE[[#This Row],[PUERTAS DORMITORIO]])</f>
        <v>0</v>
      </c>
      <c r="CO411" s="3">
        <f>+IF(AVANCE[[#This Row],[REVESTIMIENTO INTERIOR BANO]]=BB$2,100%,AVANCE[[#This Row],[REVESTIMIENTO INTERIOR BANO]])</f>
        <v>0</v>
      </c>
      <c r="CP411" s="3">
        <f>+IF(AVANCE[[#This Row],[MUEBLE LAVAPLATOS]]=BC$2,100%,AVANCE[[#This Row],[MUEBLE LAVAPLATOS]])</f>
        <v>0</v>
      </c>
      <c r="CQ411" s="3">
        <f>+IF(AVANCE[[#This Row],[IMPERMEABILIZACION BANO - COCINA LOGIA]]=BD$2,100%,AVANCE[[#This Row],[IMPERMEABILIZACION BANO - COCINA LOGIA]])</f>
        <v>0</v>
      </c>
      <c r="CR411" s="40">
        <f ca="1">+IF(AVANCE[[#This Row],[ESTADO MODULO]]="PENDIENTE",(TODAY()-AVANCE[[#This Row],[FECHA TERMINO  PLANIFICADO]]),0)</f>
        <v>0</v>
      </c>
      <c r="CS411" s="42" t="str" cm="1">
        <f t="array" ref="CS411">_xlfn.TEXTJOIN(" | ",TRUE,IF(SUMPRODUCT((BF411:CQ411&lt;1)*(PARTIDAS!$I$2:$AT$2="OBRA GRUESA"))&gt;0,"OBRA GRUESA: "&amp;_xlfn.TEXTJOIN(", ",TRUE,IF((BF411:CQ411&lt;1)*(PARTIDAS!$I$2:$AT$2="OBRA GRUESA"),PARTIDAS!$I$1:$AT$1,"")),""),IF(SUMPRODUCT((BF411:CQ411&lt;1)*(PARTIDAS!$I$2:$AT$2="SANITARIOS"))&gt;0,"SANITARIOS: "&amp;_xlfn.TEXTJOIN(", ",TRUE,IF((BF411:CQ411&lt;1)*(PARTIDAS!$I$2:$AT$2="SANITARIOS"),PARTIDAS!$I$1:$AT$1,"")),""),IF(SUMPRODUCT((BF411:CQ411&lt;1)*(PARTIDAS!$I$2:$AT$2="ELÉCTRICO"))&gt;0,"ELÉCTRICO: "&amp;_xlfn.TEXTJOIN(", ",TRUE,IF((BF411:CQ411&lt;1)*(PARTIDAS!$I$2:$AT$2="ELÉCTRICO"),PARTIDAS!$I$1:$AT$1,"")),""),IF(SUMPRODUCT((BF411:CQ411&lt;1)*(PARTIDAS!$I$2:$AT$2="TERMINACIONES"))&gt;0,"TERMINACIONES: "&amp;_xlfn.TEXTJOIN(", ",TRUE,IF((BF411:CQ411&lt;1)*(PARTIDAS!$I$2:$AT$2="TERMINACIONES"),PARTIDAS!$I$1:$AT$1,"")),""))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1" s="45" t="str" cm="1">
        <f t="array" ref="CT411">_xlfn.TEXTJOIN(", ",TRUE,IF(SUMPRODUCT((BF411:CQ411&lt;1)*(PARTIDAS!$I$2:$AT$2="OBRA GRUESA"))&gt;0,"OBRA GRUESA",""),IF(SUMPRODUCT((BF411:CQ411&lt;1)*(PARTIDAS!$I$2:$AT$2="SANITARIOS"))&gt;0,"SANITARIOS",""),IF(SUMPRODUCT((BF411:CQ411&lt;1)*(PARTIDAS!$I$2:$AT$2="ELÉCTRICO"))&gt;0,"ELÉCTRICO",""),IF(SUMPRODUCT((BF411:CQ411&lt;1)*(PARTIDAS!$I$2:$AT$2="TERMINACIONES"))&gt;0,"TERMINACIONES",""))</f>
        <v>OBRA GRUESA, SANITARIOS, ELÉCTRICO, TERMINACIONES</v>
      </c>
      <c r="CU411" s="46" cm="1">
        <f t="array" ref="CU411">SUMPRODUCT(--(BF411:CQ411&lt;1))</f>
        <v>38</v>
      </c>
    </row>
    <row r="412" spans="1:99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46181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 s="3" t="str">
        <f>+IF(AVANCE[[#This Row],[% AVANCE]]=100%,"MODULO TERMINADO",IF(AVANCE[[#This Row],[FECHA INICIO REAL]]="","MODULO NO INICIADO","PENDIENTE"))</f>
        <v>MODULO NO INICIADO</v>
      </c>
      <c r="BF412" s="3">
        <f>+IF(AVANCE[[#This Row],[VENTANAS]]=8.10810810810811%,100%,AVANCE[[#This Row],[VENTANAS]])</f>
        <v>0</v>
      </c>
      <c r="BG412" s="3">
        <f>+IF(AVANCE[[#This Row],[PISO]]=N$2,100%,AVANCE[[#This Row],[PISO]])</f>
        <v>0</v>
      </c>
      <c r="BH412" s="3">
        <f>+IF(AVANCE[[#This Row],[TABIQUES]]=O$2,100%,AVANCE[[#This Row],[TABIQUES]])</f>
        <v>0</v>
      </c>
      <c r="BI412" s="3">
        <f>+IF(AVANCE[[#This Row],[MUROS]]=P$2,100%,AVANCE[[#This Row],[MUROS]])</f>
        <v>0</v>
      </c>
      <c r="BJ412" s="3">
        <f>+IF(AVANCE[[#This Row],[CIELO]]=Q$2,100%,AVANCE[[#This Row],[CIELO]])</f>
        <v>0</v>
      </c>
      <c r="BK412" s="3">
        <f>+IF(AVANCE[[#This Row],[BALCÓN]]=R$2,100%,AVANCE[[#This Row],[BALCÓN]])</f>
        <v>0</v>
      </c>
      <c r="BL412" s="3">
        <f>+IF(AVANCE[[#This Row],[RED ALCANTARILLADO]]=U$2,100%,AVANCE[[#This Row],[RED ALCANTARILLADO]])</f>
        <v>0</v>
      </c>
      <c r="BM412" s="3">
        <f>+IF(AVANCE[[#This Row],[RED DE AGUA]]=V$2,100%,AVANCE[[#This Row],[RED DE AGUA]])</f>
        <v>0</v>
      </c>
      <c r="BN412" s="3">
        <f>+IF(AVANCE[[#This Row],[VENTILACIONES]]=W$2,100%,AVANCE[[#This Row],[VENTILACIONES]])</f>
        <v>0</v>
      </c>
      <c r="BO412" s="3">
        <f>+IF(AVANCE[[#This Row],[TINA]]=X$2,100%,AVANCE[[#This Row],[TINA]])</f>
        <v>0</v>
      </c>
      <c r="BP412" s="3">
        <f>+IF(AVANCE[[#This Row],[WC]]=Y$2,100%,AVANCE[[#This Row],[WC]])</f>
        <v>0</v>
      </c>
      <c r="BQ412" s="3">
        <f>+IF(AVANCE[[#This Row],[LAVAMANOS / LAVAPLATOS / LAVADERO]]=Z$2,100%,AVANCE[[#This Row],[LAVAMANOS / LAVAPLATOS / LAVADERO]])</f>
        <v>0</v>
      </c>
      <c r="BR412" s="3">
        <f>+IF(AVANCE[[#This Row],[CANALIZACIÓN]]=AC$2,100%,AVANCE[[#This Row],[CANALIZACIÓN]])</f>
        <v>0</v>
      </c>
      <c r="BS412" s="3">
        <f>+IF(AVANCE[[#This Row],[CABLEADO]]=AD$2,100%,AVANCE[[#This Row],[CABLEADO]])</f>
        <v>0</v>
      </c>
      <c r="BT412" s="3">
        <f>+IF(AVANCE[[#This Row],[ARTEFACTOS]]=AE$2,100%,AVANCE[[#This Row],[ARTEFACTOS]])</f>
        <v>0</v>
      </c>
      <c r="BU412" s="3">
        <f>+IF(AVANCE[[#This Row],[TABLERO]]=AF$2,100%,AVANCE[[#This Row],[TABLERO]])</f>
        <v>0</v>
      </c>
      <c r="BV412" s="3">
        <f>+IF(AVANCE[[#This Row],[CAJA PAU]]=AG$2,100%,AVANCE[[#This Row],[CAJA PAU]])</f>
        <v>0</v>
      </c>
      <c r="BW412" s="3">
        <f>+IF(AVANCE[[#This Row],[INSTALACION VINILICO]]=AJ$2,100%,AVANCE[[#This Row],[INSTALACION VINILICO]])</f>
        <v>0</v>
      </c>
      <c r="BX412" s="3">
        <f>+IF(AVANCE[[#This Row],[OSB CUBIERTA]]=AK$2,100%,AVANCE[[#This Row],[OSB CUBIERTA]])</f>
        <v>0</v>
      </c>
      <c r="BY412" s="3">
        <f>+IF(AVANCE[[#This Row],[BARANDA BALCON]]=AL$2,100%,AVANCE[[#This Row],[BARANDA BALCON]])</f>
        <v>0</v>
      </c>
      <c r="BZ412" s="3">
        <f>+IF(AVANCE[[#This Row],[OSB EXTERIOR]]=AM$2,100%,AVANCE[[#This Row],[OSB EXTERIOR]])</f>
        <v>0</v>
      </c>
      <c r="CA412" s="3">
        <f>+IF(AVANCE[[#This Row],[SMART PANEL]]=AN$2,100%,AVANCE[[#This Row],[SMART PANEL]])</f>
        <v>0</v>
      </c>
      <c r="CB412" s="3">
        <f>+IF(AVANCE[[#This Row],[PINTURA EXTERIOR]]=AO$2,100%,AVANCE[[#This Row],[PINTURA EXTERIOR]])</f>
        <v>0</v>
      </c>
      <c r="CC412" s="3">
        <f>+IF(AVANCE[[#This Row],[ZOCALOS LOGIA]]=AP$2,100%,AVANCE[[#This Row],[ZOCALOS LOGIA]])</f>
        <v>0</v>
      </c>
      <c r="CD412" s="3">
        <f>+IF(AVANCE[[#This Row],[MOLDURAS]]=AQ$2,100%,AVANCE[[#This Row],[MOLDURAS]])</f>
        <v>0</v>
      </c>
      <c r="CE412" s="3">
        <f>+IF(AVANCE[[#This Row],[PILASTREO]]=AR$2,100%,AVANCE[[#This Row],[PILASTREO]])</f>
        <v>0</v>
      </c>
      <c r="CF412" s="3">
        <f>+IF(AVANCE[[#This Row],[CELOSIAS]]=AS$2,100%,AVANCE[[#This Row],[CELOSIAS]])</f>
        <v>0</v>
      </c>
      <c r="CG412" s="3">
        <f>+IF(AVANCE[[#This Row],[VENTANAS]]=AT$2,100%,AVANCE[[#This Row],[VENTANAS]])</f>
        <v>0</v>
      </c>
      <c r="CH412" s="3">
        <f>+IF(AVANCE[[#This Row],[PUERTAS ACCESO - LOGIA - BANO]]=AU$2,100%,AVANCE[[#This Row],[PUERTAS ACCESO - LOGIA - BANO]])</f>
        <v>0</v>
      </c>
      <c r="CI412" s="3">
        <f>+IF(AVANCE[[#This Row],[CERRADURAS]]=AV$2,100%,AVANCE[[#This Row],[CERRADURAS]])</f>
        <v>0</v>
      </c>
      <c r="CJ412" s="3">
        <f>+IF(AVANCE[[#This Row],[REVESTIMIENTO INTERIOR ZONA SECA]]=AW$2,100%,AVANCE[[#This Row],[REVESTIMIENTO INTERIOR ZONA SECA]])</f>
        <v>0</v>
      </c>
      <c r="CK412" s="3">
        <f>+IF(AVANCE[[#This Row],[REVESTIMIENTO INTERIOR ZONAS HUMEDAS]]=AX$2,100%,AVANCE[[#This Row],[REVESTIMIENTO INTERIOR ZONAS HUMEDAS]])</f>
        <v>0</v>
      </c>
      <c r="CL412" s="3">
        <f>+IF(AVANCE[[#This Row],[MEMBRANA CIELO]]=AY$2,100%,AVANCE[[#This Row],[MEMBRANA CIELO]])</f>
        <v>0</v>
      </c>
      <c r="CM412" s="3">
        <f>+IF(AVANCE[[#This Row],[LIMPIEZA FINAL]]=AZ$2,100%,AVANCE[[#This Row],[LIMPIEZA FINAL]])</f>
        <v>0</v>
      </c>
      <c r="CN412" s="3">
        <f>+IF(AVANCE[[#This Row],[PUERTAS DORMITORIO]]=BA$2,100%,AVANCE[[#This Row],[PUERTAS DORMITORIO]])</f>
        <v>0</v>
      </c>
      <c r="CO412" s="3">
        <f>+IF(AVANCE[[#This Row],[REVESTIMIENTO INTERIOR BANO]]=BB$2,100%,AVANCE[[#This Row],[REVESTIMIENTO INTERIOR BANO]])</f>
        <v>0</v>
      </c>
      <c r="CP412" s="3">
        <f>+IF(AVANCE[[#This Row],[MUEBLE LAVAPLATOS]]=BC$2,100%,AVANCE[[#This Row],[MUEBLE LAVAPLATOS]])</f>
        <v>0</v>
      </c>
      <c r="CQ412" s="3">
        <f>+IF(AVANCE[[#This Row],[IMPERMEABILIZACION BANO - COCINA LOGIA]]=BD$2,100%,AVANCE[[#This Row],[IMPERMEABILIZACION BANO - COCINA LOGIA]])</f>
        <v>0</v>
      </c>
      <c r="CR412" s="40">
        <f ca="1">+IF(AVANCE[[#This Row],[ESTADO MODULO]]="PENDIENTE",(TODAY()-AVANCE[[#This Row],[FECHA TERMINO  PLANIFICADO]]),0)</f>
        <v>0</v>
      </c>
      <c r="CS412" s="42" t="str" cm="1">
        <f t="array" ref="CS412">_xlfn.TEXTJOIN(" | ",TRUE,IF(SUMPRODUCT((BF412:CQ412&lt;1)*(PARTIDAS!$I$2:$AT$2="OBRA GRUESA"))&gt;0,"OBRA GRUESA: "&amp;_xlfn.TEXTJOIN(", ",TRUE,IF((BF412:CQ412&lt;1)*(PARTIDAS!$I$2:$AT$2="OBRA GRUESA"),PARTIDAS!$I$1:$AT$1,"")),""),IF(SUMPRODUCT((BF412:CQ412&lt;1)*(PARTIDAS!$I$2:$AT$2="SANITARIOS"))&gt;0,"SANITARIOS: "&amp;_xlfn.TEXTJOIN(", ",TRUE,IF((BF412:CQ412&lt;1)*(PARTIDAS!$I$2:$AT$2="SANITARIOS"),PARTIDAS!$I$1:$AT$1,"")),""),IF(SUMPRODUCT((BF412:CQ412&lt;1)*(PARTIDAS!$I$2:$AT$2="ELÉCTRICO"))&gt;0,"ELÉCTRICO: "&amp;_xlfn.TEXTJOIN(", ",TRUE,IF((BF412:CQ412&lt;1)*(PARTIDAS!$I$2:$AT$2="ELÉCTRICO"),PARTIDAS!$I$1:$AT$1,"")),""),IF(SUMPRODUCT((BF412:CQ412&lt;1)*(PARTIDAS!$I$2:$AT$2="TERMINACIONES"))&gt;0,"TERMINACIONES: "&amp;_xlfn.TEXTJOIN(", ",TRUE,IF((BF412:CQ412&lt;1)*(PARTIDAS!$I$2:$AT$2="TERMINACIONES"),PARTIDAS!$I$1:$AT$1,"")),""))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2" s="45" t="str" cm="1">
        <f t="array" ref="CT412">_xlfn.TEXTJOIN(", ",TRUE,IF(SUMPRODUCT((BF412:CQ412&lt;1)*(PARTIDAS!$I$2:$AT$2="OBRA GRUESA"))&gt;0,"OBRA GRUESA",""),IF(SUMPRODUCT((BF412:CQ412&lt;1)*(PARTIDAS!$I$2:$AT$2="SANITARIOS"))&gt;0,"SANITARIOS",""),IF(SUMPRODUCT((BF412:CQ412&lt;1)*(PARTIDAS!$I$2:$AT$2="ELÉCTRICO"))&gt;0,"ELÉCTRICO",""),IF(SUMPRODUCT((BF412:CQ412&lt;1)*(PARTIDAS!$I$2:$AT$2="TERMINACIONES"))&gt;0,"TERMINACIONES",""))</f>
        <v>OBRA GRUESA, SANITARIOS, ELÉCTRICO, TERMINACIONES</v>
      </c>
      <c r="CU412" s="46" cm="1">
        <f t="array" ref="CU412">SUMPRODUCT(--(BF412:CQ412&lt;1))</f>
        <v>38</v>
      </c>
    </row>
    <row r="413" spans="1:99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46181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 s="3" t="str">
        <f>+IF(AVANCE[[#This Row],[% AVANCE]]=100%,"MODULO TERMINADO",IF(AVANCE[[#This Row],[FECHA INICIO REAL]]="","MODULO NO INICIADO","PENDIENTE"))</f>
        <v>MODULO NO INICIADO</v>
      </c>
      <c r="BF413" s="3">
        <f>+IF(AVANCE[[#This Row],[VENTANAS]]=8.10810810810811%,100%,AVANCE[[#This Row],[VENTANAS]])</f>
        <v>0</v>
      </c>
      <c r="BG413" s="3">
        <f>+IF(AVANCE[[#This Row],[PISO]]=N$2,100%,AVANCE[[#This Row],[PISO]])</f>
        <v>0</v>
      </c>
      <c r="BH413" s="3">
        <f>+IF(AVANCE[[#This Row],[TABIQUES]]=O$2,100%,AVANCE[[#This Row],[TABIQUES]])</f>
        <v>0</v>
      </c>
      <c r="BI413" s="3">
        <f>+IF(AVANCE[[#This Row],[MUROS]]=P$2,100%,AVANCE[[#This Row],[MUROS]])</f>
        <v>0</v>
      </c>
      <c r="BJ413" s="3">
        <f>+IF(AVANCE[[#This Row],[CIELO]]=Q$2,100%,AVANCE[[#This Row],[CIELO]])</f>
        <v>0</v>
      </c>
      <c r="BK413" s="3">
        <f>+IF(AVANCE[[#This Row],[BALCÓN]]=R$2,100%,AVANCE[[#This Row],[BALCÓN]])</f>
        <v>0</v>
      </c>
      <c r="BL413" s="3">
        <f>+IF(AVANCE[[#This Row],[RED ALCANTARILLADO]]=U$2,100%,AVANCE[[#This Row],[RED ALCANTARILLADO]])</f>
        <v>0</v>
      </c>
      <c r="BM413" s="3">
        <f>+IF(AVANCE[[#This Row],[RED DE AGUA]]=V$2,100%,AVANCE[[#This Row],[RED DE AGUA]])</f>
        <v>0</v>
      </c>
      <c r="BN413" s="3">
        <f>+IF(AVANCE[[#This Row],[VENTILACIONES]]=W$2,100%,AVANCE[[#This Row],[VENTILACIONES]])</f>
        <v>0</v>
      </c>
      <c r="BO413" s="3">
        <f>+IF(AVANCE[[#This Row],[TINA]]=X$2,100%,AVANCE[[#This Row],[TINA]])</f>
        <v>0</v>
      </c>
      <c r="BP413" s="3">
        <f>+IF(AVANCE[[#This Row],[WC]]=Y$2,100%,AVANCE[[#This Row],[WC]])</f>
        <v>0</v>
      </c>
      <c r="BQ413" s="3">
        <f>+IF(AVANCE[[#This Row],[LAVAMANOS / LAVAPLATOS / LAVADERO]]=Z$2,100%,AVANCE[[#This Row],[LAVAMANOS / LAVAPLATOS / LAVADERO]])</f>
        <v>0</v>
      </c>
      <c r="BR413" s="3">
        <f>+IF(AVANCE[[#This Row],[CANALIZACIÓN]]=AC$2,100%,AVANCE[[#This Row],[CANALIZACIÓN]])</f>
        <v>0</v>
      </c>
      <c r="BS413" s="3">
        <f>+IF(AVANCE[[#This Row],[CABLEADO]]=AD$2,100%,AVANCE[[#This Row],[CABLEADO]])</f>
        <v>0</v>
      </c>
      <c r="BT413" s="3">
        <f>+IF(AVANCE[[#This Row],[ARTEFACTOS]]=AE$2,100%,AVANCE[[#This Row],[ARTEFACTOS]])</f>
        <v>0</v>
      </c>
      <c r="BU413" s="3">
        <f>+IF(AVANCE[[#This Row],[TABLERO]]=AF$2,100%,AVANCE[[#This Row],[TABLERO]])</f>
        <v>0</v>
      </c>
      <c r="BV413" s="3">
        <f>+IF(AVANCE[[#This Row],[CAJA PAU]]=AG$2,100%,AVANCE[[#This Row],[CAJA PAU]])</f>
        <v>0</v>
      </c>
      <c r="BW413" s="3">
        <f>+IF(AVANCE[[#This Row],[INSTALACION VINILICO]]=AJ$2,100%,AVANCE[[#This Row],[INSTALACION VINILICO]])</f>
        <v>0</v>
      </c>
      <c r="BX413" s="3">
        <f>+IF(AVANCE[[#This Row],[OSB CUBIERTA]]=AK$2,100%,AVANCE[[#This Row],[OSB CUBIERTA]])</f>
        <v>0</v>
      </c>
      <c r="BY413" s="3">
        <f>+IF(AVANCE[[#This Row],[BARANDA BALCON]]=AL$2,100%,AVANCE[[#This Row],[BARANDA BALCON]])</f>
        <v>0</v>
      </c>
      <c r="BZ413" s="3">
        <f>+IF(AVANCE[[#This Row],[OSB EXTERIOR]]=AM$2,100%,AVANCE[[#This Row],[OSB EXTERIOR]])</f>
        <v>0</v>
      </c>
      <c r="CA413" s="3">
        <f>+IF(AVANCE[[#This Row],[SMART PANEL]]=AN$2,100%,AVANCE[[#This Row],[SMART PANEL]])</f>
        <v>0</v>
      </c>
      <c r="CB413" s="3">
        <f>+IF(AVANCE[[#This Row],[PINTURA EXTERIOR]]=AO$2,100%,AVANCE[[#This Row],[PINTURA EXTERIOR]])</f>
        <v>0</v>
      </c>
      <c r="CC413" s="3">
        <f>+IF(AVANCE[[#This Row],[ZOCALOS LOGIA]]=AP$2,100%,AVANCE[[#This Row],[ZOCALOS LOGIA]])</f>
        <v>0</v>
      </c>
      <c r="CD413" s="3">
        <f>+IF(AVANCE[[#This Row],[MOLDURAS]]=AQ$2,100%,AVANCE[[#This Row],[MOLDURAS]])</f>
        <v>0</v>
      </c>
      <c r="CE413" s="3">
        <f>+IF(AVANCE[[#This Row],[PILASTREO]]=AR$2,100%,AVANCE[[#This Row],[PILASTREO]])</f>
        <v>0</v>
      </c>
      <c r="CF413" s="3">
        <f>+IF(AVANCE[[#This Row],[CELOSIAS]]=AS$2,100%,AVANCE[[#This Row],[CELOSIAS]])</f>
        <v>0</v>
      </c>
      <c r="CG413" s="3">
        <f>+IF(AVANCE[[#This Row],[VENTANAS]]=AT$2,100%,AVANCE[[#This Row],[VENTANAS]])</f>
        <v>0</v>
      </c>
      <c r="CH413" s="3">
        <f>+IF(AVANCE[[#This Row],[PUERTAS ACCESO - LOGIA - BANO]]=AU$2,100%,AVANCE[[#This Row],[PUERTAS ACCESO - LOGIA - BANO]])</f>
        <v>0</v>
      </c>
      <c r="CI413" s="3">
        <f>+IF(AVANCE[[#This Row],[CERRADURAS]]=AV$2,100%,AVANCE[[#This Row],[CERRADURAS]])</f>
        <v>0</v>
      </c>
      <c r="CJ413" s="3">
        <f>+IF(AVANCE[[#This Row],[REVESTIMIENTO INTERIOR ZONA SECA]]=AW$2,100%,AVANCE[[#This Row],[REVESTIMIENTO INTERIOR ZONA SECA]])</f>
        <v>0</v>
      </c>
      <c r="CK413" s="3">
        <f>+IF(AVANCE[[#This Row],[REVESTIMIENTO INTERIOR ZONAS HUMEDAS]]=AX$2,100%,AVANCE[[#This Row],[REVESTIMIENTO INTERIOR ZONAS HUMEDAS]])</f>
        <v>0</v>
      </c>
      <c r="CL413" s="3">
        <f>+IF(AVANCE[[#This Row],[MEMBRANA CIELO]]=AY$2,100%,AVANCE[[#This Row],[MEMBRANA CIELO]])</f>
        <v>0</v>
      </c>
      <c r="CM413" s="3">
        <f>+IF(AVANCE[[#This Row],[LIMPIEZA FINAL]]=AZ$2,100%,AVANCE[[#This Row],[LIMPIEZA FINAL]])</f>
        <v>0</v>
      </c>
      <c r="CN413" s="3">
        <f>+IF(AVANCE[[#This Row],[PUERTAS DORMITORIO]]=BA$2,100%,AVANCE[[#This Row],[PUERTAS DORMITORIO]])</f>
        <v>0</v>
      </c>
      <c r="CO413" s="3">
        <f>+IF(AVANCE[[#This Row],[REVESTIMIENTO INTERIOR BANO]]=BB$2,100%,AVANCE[[#This Row],[REVESTIMIENTO INTERIOR BANO]])</f>
        <v>0</v>
      </c>
      <c r="CP413" s="3">
        <f>+IF(AVANCE[[#This Row],[MUEBLE LAVAPLATOS]]=BC$2,100%,AVANCE[[#This Row],[MUEBLE LAVAPLATOS]])</f>
        <v>0</v>
      </c>
      <c r="CQ413" s="3">
        <f>+IF(AVANCE[[#This Row],[IMPERMEABILIZACION BANO - COCINA LOGIA]]=BD$2,100%,AVANCE[[#This Row],[IMPERMEABILIZACION BANO - COCINA LOGIA]])</f>
        <v>0</v>
      </c>
      <c r="CR413" s="40">
        <f ca="1">+IF(AVANCE[[#This Row],[ESTADO MODULO]]="PENDIENTE",(TODAY()-AVANCE[[#This Row],[FECHA TERMINO  PLANIFICADO]]),0)</f>
        <v>0</v>
      </c>
      <c r="CS413" s="42" t="str" cm="1">
        <f t="array" ref="CS413">_xlfn.TEXTJOIN(" | ",TRUE,IF(SUMPRODUCT((BF413:CQ413&lt;1)*(PARTIDAS!$I$2:$AT$2="OBRA GRUESA"))&gt;0,"OBRA GRUESA: "&amp;_xlfn.TEXTJOIN(", ",TRUE,IF((BF413:CQ413&lt;1)*(PARTIDAS!$I$2:$AT$2="OBRA GRUESA"),PARTIDAS!$I$1:$AT$1,"")),""),IF(SUMPRODUCT((BF413:CQ413&lt;1)*(PARTIDAS!$I$2:$AT$2="SANITARIOS"))&gt;0,"SANITARIOS: "&amp;_xlfn.TEXTJOIN(", ",TRUE,IF((BF413:CQ413&lt;1)*(PARTIDAS!$I$2:$AT$2="SANITARIOS"),PARTIDAS!$I$1:$AT$1,"")),""),IF(SUMPRODUCT((BF413:CQ413&lt;1)*(PARTIDAS!$I$2:$AT$2="ELÉCTRICO"))&gt;0,"ELÉCTRICO: "&amp;_xlfn.TEXTJOIN(", ",TRUE,IF((BF413:CQ413&lt;1)*(PARTIDAS!$I$2:$AT$2="ELÉCTRICO"),PARTIDAS!$I$1:$AT$1,"")),""),IF(SUMPRODUCT((BF413:CQ413&lt;1)*(PARTIDAS!$I$2:$AT$2="TERMINACIONES"))&gt;0,"TERMINACIONES: "&amp;_xlfn.TEXTJOIN(", ",TRUE,IF((BF413:CQ413&lt;1)*(PARTIDAS!$I$2:$AT$2="TERMINACIONES"),PARTIDAS!$I$1:$AT$1,"")),""))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3" s="45" t="str" cm="1">
        <f t="array" ref="CT413">_xlfn.TEXTJOIN(", ",TRUE,IF(SUMPRODUCT((BF413:CQ413&lt;1)*(PARTIDAS!$I$2:$AT$2="OBRA GRUESA"))&gt;0,"OBRA GRUESA",""),IF(SUMPRODUCT((BF413:CQ413&lt;1)*(PARTIDAS!$I$2:$AT$2="SANITARIOS"))&gt;0,"SANITARIOS",""),IF(SUMPRODUCT((BF413:CQ413&lt;1)*(PARTIDAS!$I$2:$AT$2="ELÉCTRICO"))&gt;0,"ELÉCTRICO",""),IF(SUMPRODUCT((BF413:CQ413&lt;1)*(PARTIDAS!$I$2:$AT$2="TERMINACIONES"))&gt;0,"TERMINACIONES",""))</f>
        <v>OBRA GRUESA, SANITARIOS, ELÉCTRICO, TERMINACIONES</v>
      </c>
      <c r="CU413" s="46" cm="1">
        <f t="array" ref="CU413">SUMPRODUCT(--(BF413:CQ413&lt;1))</f>
        <v>38</v>
      </c>
    </row>
    <row r="414" spans="1:99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46181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 s="3" t="str">
        <f>+IF(AVANCE[[#This Row],[% AVANCE]]=100%,"MODULO TERMINADO",IF(AVANCE[[#This Row],[FECHA INICIO REAL]]="","MODULO NO INICIADO","PENDIENTE"))</f>
        <v>MODULO NO INICIADO</v>
      </c>
      <c r="BF414" s="3">
        <f>+IF(AVANCE[[#This Row],[VENTANAS]]=8.10810810810811%,100%,AVANCE[[#This Row],[VENTANAS]])</f>
        <v>0</v>
      </c>
      <c r="BG414" s="3">
        <f>+IF(AVANCE[[#This Row],[PISO]]=N$2,100%,AVANCE[[#This Row],[PISO]])</f>
        <v>0</v>
      </c>
      <c r="BH414" s="3">
        <f>+IF(AVANCE[[#This Row],[TABIQUES]]=O$2,100%,AVANCE[[#This Row],[TABIQUES]])</f>
        <v>0</v>
      </c>
      <c r="BI414" s="3">
        <f>+IF(AVANCE[[#This Row],[MUROS]]=P$2,100%,AVANCE[[#This Row],[MUROS]])</f>
        <v>0</v>
      </c>
      <c r="BJ414" s="3">
        <f>+IF(AVANCE[[#This Row],[CIELO]]=Q$2,100%,AVANCE[[#This Row],[CIELO]])</f>
        <v>0</v>
      </c>
      <c r="BK414" s="3">
        <f>+IF(AVANCE[[#This Row],[BALCÓN]]=R$2,100%,AVANCE[[#This Row],[BALCÓN]])</f>
        <v>0</v>
      </c>
      <c r="BL414" s="3">
        <f>+IF(AVANCE[[#This Row],[RED ALCANTARILLADO]]=U$2,100%,AVANCE[[#This Row],[RED ALCANTARILLADO]])</f>
        <v>0</v>
      </c>
      <c r="BM414" s="3">
        <f>+IF(AVANCE[[#This Row],[RED DE AGUA]]=V$2,100%,AVANCE[[#This Row],[RED DE AGUA]])</f>
        <v>0</v>
      </c>
      <c r="BN414" s="3">
        <f>+IF(AVANCE[[#This Row],[VENTILACIONES]]=W$2,100%,AVANCE[[#This Row],[VENTILACIONES]])</f>
        <v>0</v>
      </c>
      <c r="BO414" s="3">
        <f>+IF(AVANCE[[#This Row],[TINA]]=X$2,100%,AVANCE[[#This Row],[TINA]])</f>
        <v>0</v>
      </c>
      <c r="BP414" s="3">
        <f>+IF(AVANCE[[#This Row],[WC]]=Y$2,100%,AVANCE[[#This Row],[WC]])</f>
        <v>0</v>
      </c>
      <c r="BQ414" s="3">
        <f>+IF(AVANCE[[#This Row],[LAVAMANOS / LAVAPLATOS / LAVADERO]]=Z$2,100%,AVANCE[[#This Row],[LAVAMANOS / LAVAPLATOS / LAVADERO]])</f>
        <v>0</v>
      </c>
      <c r="BR414" s="3">
        <f>+IF(AVANCE[[#This Row],[CANALIZACIÓN]]=AC$2,100%,AVANCE[[#This Row],[CANALIZACIÓN]])</f>
        <v>0</v>
      </c>
      <c r="BS414" s="3">
        <f>+IF(AVANCE[[#This Row],[CABLEADO]]=AD$2,100%,AVANCE[[#This Row],[CABLEADO]])</f>
        <v>0</v>
      </c>
      <c r="BT414" s="3">
        <f>+IF(AVANCE[[#This Row],[ARTEFACTOS]]=AE$2,100%,AVANCE[[#This Row],[ARTEFACTOS]])</f>
        <v>0</v>
      </c>
      <c r="BU414" s="3">
        <f>+IF(AVANCE[[#This Row],[TABLERO]]=AF$2,100%,AVANCE[[#This Row],[TABLERO]])</f>
        <v>0</v>
      </c>
      <c r="BV414" s="3">
        <f>+IF(AVANCE[[#This Row],[CAJA PAU]]=AG$2,100%,AVANCE[[#This Row],[CAJA PAU]])</f>
        <v>0</v>
      </c>
      <c r="BW414" s="3">
        <f>+IF(AVANCE[[#This Row],[INSTALACION VINILICO]]=AJ$2,100%,AVANCE[[#This Row],[INSTALACION VINILICO]])</f>
        <v>0</v>
      </c>
      <c r="BX414" s="3">
        <f>+IF(AVANCE[[#This Row],[OSB CUBIERTA]]=AK$2,100%,AVANCE[[#This Row],[OSB CUBIERTA]])</f>
        <v>0</v>
      </c>
      <c r="BY414" s="3">
        <f>+IF(AVANCE[[#This Row],[BARANDA BALCON]]=AL$2,100%,AVANCE[[#This Row],[BARANDA BALCON]])</f>
        <v>0</v>
      </c>
      <c r="BZ414" s="3">
        <f>+IF(AVANCE[[#This Row],[OSB EXTERIOR]]=AM$2,100%,AVANCE[[#This Row],[OSB EXTERIOR]])</f>
        <v>0</v>
      </c>
      <c r="CA414" s="3">
        <f>+IF(AVANCE[[#This Row],[SMART PANEL]]=AN$2,100%,AVANCE[[#This Row],[SMART PANEL]])</f>
        <v>0</v>
      </c>
      <c r="CB414" s="3">
        <f>+IF(AVANCE[[#This Row],[PINTURA EXTERIOR]]=AO$2,100%,AVANCE[[#This Row],[PINTURA EXTERIOR]])</f>
        <v>0</v>
      </c>
      <c r="CC414" s="3">
        <f>+IF(AVANCE[[#This Row],[ZOCALOS LOGIA]]=AP$2,100%,AVANCE[[#This Row],[ZOCALOS LOGIA]])</f>
        <v>0</v>
      </c>
      <c r="CD414" s="3">
        <f>+IF(AVANCE[[#This Row],[MOLDURAS]]=AQ$2,100%,AVANCE[[#This Row],[MOLDURAS]])</f>
        <v>0</v>
      </c>
      <c r="CE414" s="3">
        <f>+IF(AVANCE[[#This Row],[PILASTREO]]=AR$2,100%,AVANCE[[#This Row],[PILASTREO]])</f>
        <v>0</v>
      </c>
      <c r="CF414" s="3">
        <f>+IF(AVANCE[[#This Row],[CELOSIAS]]=AS$2,100%,AVANCE[[#This Row],[CELOSIAS]])</f>
        <v>0</v>
      </c>
      <c r="CG414" s="3">
        <f>+IF(AVANCE[[#This Row],[VENTANAS]]=AT$2,100%,AVANCE[[#This Row],[VENTANAS]])</f>
        <v>0</v>
      </c>
      <c r="CH414" s="3">
        <f>+IF(AVANCE[[#This Row],[PUERTAS ACCESO - LOGIA - BANO]]=AU$2,100%,AVANCE[[#This Row],[PUERTAS ACCESO - LOGIA - BANO]])</f>
        <v>0</v>
      </c>
      <c r="CI414" s="3">
        <f>+IF(AVANCE[[#This Row],[CERRADURAS]]=AV$2,100%,AVANCE[[#This Row],[CERRADURAS]])</f>
        <v>0</v>
      </c>
      <c r="CJ414" s="3">
        <f>+IF(AVANCE[[#This Row],[REVESTIMIENTO INTERIOR ZONA SECA]]=AW$2,100%,AVANCE[[#This Row],[REVESTIMIENTO INTERIOR ZONA SECA]])</f>
        <v>0</v>
      </c>
      <c r="CK414" s="3">
        <f>+IF(AVANCE[[#This Row],[REVESTIMIENTO INTERIOR ZONAS HUMEDAS]]=AX$2,100%,AVANCE[[#This Row],[REVESTIMIENTO INTERIOR ZONAS HUMEDAS]])</f>
        <v>0</v>
      </c>
      <c r="CL414" s="3">
        <f>+IF(AVANCE[[#This Row],[MEMBRANA CIELO]]=AY$2,100%,AVANCE[[#This Row],[MEMBRANA CIELO]])</f>
        <v>0</v>
      </c>
      <c r="CM414" s="3">
        <f>+IF(AVANCE[[#This Row],[LIMPIEZA FINAL]]=AZ$2,100%,AVANCE[[#This Row],[LIMPIEZA FINAL]])</f>
        <v>0</v>
      </c>
      <c r="CN414" s="3">
        <f>+IF(AVANCE[[#This Row],[PUERTAS DORMITORIO]]=BA$2,100%,AVANCE[[#This Row],[PUERTAS DORMITORIO]])</f>
        <v>0</v>
      </c>
      <c r="CO414" s="3">
        <f>+IF(AVANCE[[#This Row],[REVESTIMIENTO INTERIOR BANO]]=BB$2,100%,AVANCE[[#This Row],[REVESTIMIENTO INTERIOR BANO]])</f>
        <v>0</v>
      </c>
      <c r="CP414" s="3">
        <f>+IF(AVANCE[[#This Row],[MUEBLE LAVAPLATOS]]=BC$2,100%,AVANCE[[#This Row],[MUEBLE LAVAPLATOS]])</f>
        <v>0</v>
      </c>
      <c r="CQ414" s="3">
        <f>+IF(AVANCE[[#This Row],[IMPERMEABILIZACION BANO - COCINA LOGIA]]=BD$2,100%,AVANCE[[#This Row],[IMPERMEABILIZACION BANO - COCINA LOGIA]])</f>
        <v>0</v>
      </c>
      <c r="CR414" s="40">
        <f ca="1">+IF(AVANCE[[#This Row],[ESTADO MODULO]]="PENDIENTE",(TODAY()-AVANCE[[#This Row],[FECHA TERMINO  PLANIFICADO]]),0)</f>
        <v>0</v>
      </c>
      <c r="CS414" s="42" t="str" cm="1">
        <f t="array" ref="CS414">_xlfn.TEXTJOIN(" | ",TRUE,IF(SUMPRODUCT((BF414:CQ414&lt;1)*(PARTIDAS!$I$2:$AT$2="OBRA GRUESA"))&gt;0,"OBRA GRUESA: "&amp;_xlfn.TEXTJOIN(", ",TRUE,IF((BF414:CQ414&lt;1)*(PARTIDAS!$I$2:$AT$2="OBRA GRUESA"),PARTIDAS!$I$1:$AT$1,"")),""),IF(SUMPRODUCT((BF414:CQ414&lt;1)*(PARTIDAS!$I$2:$AT$2="SANITARIOS"))&gt;0,"SANITARIOS: "&amp;_xlfn.TEXTJOIN(", ",TRUE,IF((BF414:CQ414&lt;1)*(PARTIDAS!$I$2:$AT$2="SANITARIOS"),PARTIDAS!$I$1:$AT$1,"")),""),IF(SUMPRODUCT((BF414:CQ414&lt;1)*(PARTIDAS!$I$2:$AT$2="ELÉCTRICO"))&gt;0,"ELÉCTRICO: "&amp;_xlfn.TEXTJOIN(", ",TRUE,IF((BF414:CQ414&lt;1)*(PARTIDAS!$I$2:$AT$2="ELÉCTRICO"),PARTIDAS!$I$1:$AT$1,"")),""),IF(SUMPRODUCT((BF414:CQ414&lt;1)*(PARTIDAS!$I$2:$AT$2="TERMINACIONES"))&gt;0,"TERMINACIONES: "&amp;_xlfn.TEXTJOIN(", ",TRUE,IF((BF414:CQ414&lt;1)*(PARTIDAS!$I$2:$AT$2="TERMINACIONES"),PARTIDAS!$I$1:$AT$1,"")),""))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4" s="45" t="str" cm="1">
        <f t="array" ref="CT414">_xlfn.TEXTJOIN(", ",TRUE,IF(SUMPRODUCT((BF414:CQ414&lt;1)*(PARTIDAS!$I$2:$AT$2="OBRA GRUESA"))&gt;0,"OBRA GRUESA",""),IF(SUMPRODUCT((BF414:CQ414&lt;1)*(PARTIDAS!$I$2:$AT$2="SANITARIOS"))&gt;0,"SANITARIOS",""),IF(SUMPRODUCT((BF414:CQ414&lt;1)*(PARTIDAS!$I$2:$AT$2="ELÉCTRICO"))&gt;0,"ELÉCTRICO",""),IF(SUMPRODUCT((BF414:CQ414&lt;1)*(PARTIDAS!$I$2:$AT$2="TERMINACIONES"))&gt;0,"TERMINACIONES",""))</f>
        <v>OBRA GRUESA, SANITARIOS, ELÉCTRICO, TERMINACIONES</v>
      </c>
      <c r="CU414" s="46" cm="1">
        <f t="array" ref="CU414">SUMPRODUCT(--(BF414:CQ414&lt;1))</f>
        <v>38</v>
      </c>
    </row>
    <row r="415" spans="1:99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46181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 s="3" t="str">
        <f>+IF(AVANCE[[#This Row],[% AVANCE]]=100%,"MODULO TERMINADO",IF(AVANCE[[#This Row],[FECHA INICIO REAL]]="","MODULO NO INICIADO","PENDIENTE"))</f>
        <v>MODULO NO INICIADO</v>
      </c>
      <c r="BF415" s="3">
        <f>+IF(AVANCE[[#This Row],[VENTANAS]]=8.10810810810811%,100%,AVANCE[[#This Row],[VENTANAS]])</f>
        <v>0</v>
      </c>
      <c r="BG415" s="3">
        <f>+IF(AVANCE[[#This Row],[PISO]]=N$2,100%,AVANCE[[#This Row],[PISO]])</f>
        <v>0</v>
      </c>
      <c r="BH415" s="3">
        <f>+IF(AVANCE[[#This Row],[TABIQUES]]=O$2,100%,AVANCE[[#This Row],[TABIQUES]])</f>
        <v>0</v>
      </c>
      <c r="BI415" s="3">
        <f>+IF(AVANCE[[#This Row],[MUROS]]=P$2,100%,AVANCE[[#This Row],[MUROS]])</f>
        <v>0</v>
      </c>
      <c r="BJ415" s="3">
        <f>+IF(AVANCE[[#This Row],[CIELO]]=Q$2,100%,AVANCE[[#This Row],[CIELO]])</f>
        <v>0</v>
      </c>
      <c r="BK415" s="3">
        <f>+IF(AVANCE[[#This Row],[BALCÓN]]=R$2,100%,AVANCE[[#This Row],[BALCÓN]])</f>
        <v>0</v>
      </c>
      <c r="BL415" s="3">
        <f>+IF(AVANCE[[#This Row],[RED ALCANTARILLADO]]=U$2,100%,AVANCE[[#This Row],[RED ALCANTARILLADO]])</f>
        <v>0</v>
      </c>
      <c r="BM415" s="3">
        <f>+IF(AVANCE[[#This Row],[RED DE AGUA]]=V$2,100%,AVANCE[[#This Row],[RED DE AGUA]])</f>
        <v>0</v>
      </c>
      <c r="BN415" s="3">
        <f>+IF(AVANCE[[#This Row],[VENTILACIONES]]=W$2,100%,AVANCE[[#This Row],[VENTILACIONES]])</f>
        <v>0</v>
      </c>
      <c r="BO415" s="3">
        <f>+IF(AVANCE[[#This Row],[TINA]]=X$2,100%,AVANCE[[#This Row],[TINA]])</f>
        <v>0</v>
      </c>
      <c r="BP415" s="3">
        <f>+IF(AVANCE[[#This Row],[WC]]=Y$2,100%,AVANCE[[#This Row],[WC]])</f>
        <v>0</v>
      </c>
      <c r="BQ415" s="3">
        <f>+IF(AVANCE[[#This Row],[LAVAMANOS / LAVAPLATOS / LAVADERO]]=Z$2,100%,AVANCE[[#This Row],[LAVAMANOS / LAVAPLATOS / LAVADERO]])</f>
        <v>0</v>
      </c>
      <c r="BR415" s="3">
        <f>+IF(AVANCE[[#This Row],[CANALIZACIÓN]]=AC$2,100%,AVANCE[[#This Row],[CANALIZACIÓN]])</f>
        <v>0</v>
      </c>
      <c r="BS415" s="3">
        <f>+IF(AVANCE[[#This Row],[CABLEADO]]=AD$2,100%,AVANCE[[#This Row],[CABLEADO]])</f>
        <v>0</v>
      </c>
      <c r="BT415" s="3">
        <f>+IF(AVANCE[[#This Row],[ARTEFACTOS]]=AE$2,100%,AVANCE[[#This Row],[ARTEFACTOS]])</f>
        <v>0</v>
      </c>
      <c r="BU415" s="3">
        <f>+IF(AVANCE[[#This Row],[TABLERO]]=AF$2,100%,AVANCE[[#This Row],[TABLERO]])</f>
        <v>0</v>
      </c>
      <c r="BV415" s="3">
        <f>+IF(AVANCE[[#This Row],[CAJA PAU]]=AG$2,100%,AVANCE[[#This Row],[CAJA PAU]])</f>
        <v>0</v>
      </c>
      <c r="BW415" s="3">
        <f>+IF(AVANCE[[#This Row],[INSTALACION VINILICO]]=AJ$2,100%,AVANCE[[#This Row],[INSTALACION VINILICO]])</f>
        <v>0</v>
      </c>
      <c r="BX415" s="3">
        <f>+IF(AVANCE[[#This Row],[OSB CUBIERTA]]=AK$2,100%,AVANCE[[#This Row],[OSB CUBIERTA]])</f>
        <v>0</v>
      </c>
      <c r="BY415" s="3">
        <f>+IF(AVANCE[[#This Row],[BARANDA BALCON]]=AL$2,100%,AVANCE[[#This Row],[BARANDA BALCON]])</f>
        <v>0</v>
      </c>
      <c r="BZ415" s="3">
        <f>+IF(AVANCE[[#This Row],[OSB EXTERIOR]]=AM$2,100%,AVANCE[[#This Row],[OSB EXTERIOR]])</f>
        <v>0</v>
      </c>
      <c r="CA415" s="3">
        <f>+IF(AVANCE[[#This Row],[SMART PANEL]]=AN$2,100%,AVANCE[[#This Row],[SMART PANEL]])</f>
        <v>0</v>
      </c>
      <c r="CB415" s="3">
        <f>+IF(AVANCE[[#This Row],[PINTURA EXTERIOR]]=AO$2,100%,AVANCE[[#This Row],[PINTURA EXTERIOR]])</f>
        <v>0</v>
      </c>
      <c r="CC415" s="3">
        <f>+IF(AVANCE[[#This Row],[ZOCALOS LOGIA]]=AP$2,100%,AVANCE[[#This Row],[ZOCALOS LOGIA]])</f>
        <v>0</v>
      </c>
      <c r="CD415" s="3">
        <f>+IF(AVANCE[[#This Row],[MOLDURAS]]=AQ$2,100%,AVANCE[[#This Row],[MOLDURAS]])</f>
        <v>0</v>
      </c>
      <c r="CE415" s="3">
        <f>+IF(AVANCE[[#This Row],[PILASTREO]]=AR$2,100%,AVANCE[[#This Row],[PILASTREO]])</f>
        <v>0</v>
      </c>
      <c r="CF415" s="3">
        <f>+IF(AVANCE[[#This Row],[CELOSIAS]]=AS$2,100%,AVANCE[[#This Row],[CELOSIAS]])</f>
        <v>0</v>
      </c>
      <c r="CG415" s="3">
        <f>+IF(AVANCE[[#This Row],[VENTANAS]]=AT$2,100%,AVANCE[[#This Row],[VENTANAS]])</f>
        <v>0</v>
      </c>
      <c r="CH415" s="3">
        <f>+IF(AVANCE[[#This Row],[PUERTAS ACCESO - LOGIA - BANO]]=AU$2,100%,AVANCE[[#This Row],[PUERTAS ACCESO - LOGIA - BANO]])</f>
        <v>0</v>
      </c>
      <c r="CI415" s="3">
        <f>+IF(AVANCE[[#This Row],[CERRADURAS]]=AV$2,100%,AVANCE[[#This Row],[CERRADURAS]])</f>
        <v>0</v>
      </c>
      <c r="CJ415" s="3">
        <f>+IF(AVANCE[[#This Row],[REVESTIMIENTO INTERIOR ZONA SECA]]=AW$2,100%,AVANCE[[#This Row],[REVESTIMIENTO INTERIOR ZONA SECA]])</f>
        <v>0</v>
      </c>
      <c r="CK415" s="3">
        <f>+IF(AVANCE[[#This Row],[REVESTIMIENTO INTERIOR ZONAS HUMEDAS]]=AX$2,100%,AVANCE[[#This Row],[REVESTIMIENTO INTERIOR ZONAS HUMEDAS]])</f>
        <v>0</v>
      </c>
      <c r="CL415" s="3">
        <f>+IF(AVANCE[[#This Row],[MEMBRANA CIELO]]=AY$2,100%,AVANCE[[#This Row],[MEMBRANA CIELO]])</f>
        <v>0</v>
      </c>
      <c r="CM415" s="3">
        <f>+IF(AVANCE[[#This Row],[LIMPIEZA FINAL]]=AZ$2,100%,AVANCE[[#This Row],[LIMPIEZA FINAL]])</f>
        <v>0</v>
      </c>
      <c r="CN415" s="3">
        <f>+IF(AVANCE[[#This Row],[PUERTAS DORMITORIO]]=BA$2,100%,AVANCE[[#This Row],[PUERTAS DORMITORIO]])</f>
        <v>0</v>
      </c>
      <c r="CO415" s="3">
        <f>+IF(AVANCE[[#This Row],[REVESTIMIENTO INTERIOR BANO]]=BB$2,100%,AVANCE[[#This Row],[REVESTIMIENTO INTERIOR BANO]])</f>
        <v>0</v>
      </c>
      <c r="CP415" s="3">
        <f>+IF(AVANCE[[#This Row],[MUEBLE LAVAPLATOS]]=BC$2,100%,AVANCE[[#This Row],[MUEBLE LAVAPLATOS]])</f>
        <v>0</v>
      </c>
      <c r="CQ415" s="3">
        <f>+IF(AVANCE[[#This Row],[IMPERMEABILIZACION BANO - COCINA LOGIA]]=BD$2,100%,AVANCE[[#This Row],[IMPERMEABILIZACION BANO - COCINA LOGIA]])</f>
        <v>0</v>
      </c>
      <c r="CR415" s="40">
        <f ca="1">+IF(AVANCE[[#This Row],[ESTADO MODULO]]="PENDIENTE",(TODAY()-AVANCE[[#This Row],[FECHA TERMINO  PLANIFICADO]]),0)</f>
        <v>0</v>
      </c>
      <c r="CS415" s="42" t="str" cm="1">
        <f t="array" ref="CS415">_xlfn.TEXTJOIN(" | ",TRUE,IF(SUMPRODUCT((BF415:CQ415&lt;1)*(PARTIDAS!$I$2:$AT$2="OBRA GRUESA"))&gt;0,"OBRA GRUESA: "&amp;_xlfn.TEXTJOIN(", ",TRUE,IF((BF415:CQ415&lt;1)*(PARTIDAS!$I$2:$AT$2="OBRA GRUESA"),PARTIDAS!$I$1:$AT$1,"")),""),IF(SUMPRODUCT((BF415:CQ415&lt;1)*(PARTIDAS!$I$2:$AT$2="SANITARIOS"))&gt;0,"SANITARIOS: "&amp;_xlfn.TEXTJOIN(", ",TRUE,IF((BF415:CQ415&lt;1)*(PARTIDAS!$I$2:$AT$2="SANITARIOS"),PARTIDAS!$I$1:$AT$1,"")),""),IF(SUMPRODUCT((BF415:CQ415&lt;1)*(PARTIDAS!$I$2:$AT$2="ELÉCTRICO"))&gt;0,"ELÉCTRICO: "&amp;_xlfn.TEXTJOIN(", ",TRUE,IF((BF415:CQ415&lt;1)*(PARTIDAS!$I$2:$AT$2="ELÉCTRICO"),PARTIDAS!$I$1:$AT$1,"")),""),IF(SUMPRODUCT((BF415:CQ415&lt;1)*(PARTIDAS!$I$2:$AT$2="TERMINACIONES"))&gt;0,"TERMINACIONES: "&amp;_xlfn.TEXTJOIN(", ",TRUE,IF((BF415:CQ415&lt;1)*(PARTIDAS!$I$2:$AT$2="TERMINACIONES"),PARTIDAS!$I$1:$AT$1,"")),""))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5" s="45" t="str" cm="1">
        <f t="array" ref="CT415">_xlfn.TEXTJOIN(", ",TRUE,IF(SUMPRODUCT((BF415:CQ415&lt;1)*(PARTIDAS!$I$2:$AT$2="OBRA GRUESA"))&gt;0,"OBRA GRUESA",""),IF(SUMPRODUCT((BF415:CQ415&lt;1)*(PARTIDAS!$I$2:$AT$2="SANITARIOS"))&gt;0,"SANITARIOS",""),IF(SUMPRODUCT((BF415:CQ415&lt;1)*(PARTIDAS!$I$2:$AT$2="ELÉCTRICO"))&gt;0,"ELÉCTRICO",""),IF(SUMPRODUCT((BF415:CQ415&lt;1)*(PARTIDAS!$I$2:$AT$2="TERMINACIONES"))&gt;0,"TERMINACIONES",""))</f>
        <v>OBRA GRUESA, SANITARIOS, ELÉCTRICO, TERMINACIONES</v>
      </c>
      <c r="CU415" s="46" cm="1">
        <f t="array" ref="CU415">SUMPRODUCT(--(BF415:CQ415&lt;1))</f>
        <v>38</v>
      </c>
    </row>
    <row r="416" spans="1:99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46181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 s="3" t="str">
        <f>+IF(AVANCE[[#This Row],[% AVANCE]]=100%,"MODULO TERMINADO",IF(AVANCE[[#This Row],[FECHA INICIO REAL]]="","MODULO NO INICIADO","PENDIENTE"))</f>
        <v>MODULO NO INICIADO</v>
      </c>
      <c r="BF416" s="3">
        <f>+IF(AVANCE[[#This Row],[VENTANAS]]=8.10810810810811%,100%,AVANCE[[#This Row],[VENTANAS]])</f>
        <v>0</v>
      </c>
      <c r="BG416" s="3">
        <f>+IF(AVANCE[[#This Row],[PISO]]=N$2,100%,AVANCE[[#This Row],[PISO]])</f>
        <v>0</v>
      </c>
      <c r="BH416" s="3">
        <f>+IF(AVANCE[[#This Row],[TABIQUES]]=O$2,100%,AVANCE[[#This Row],[TABIQUES]])</f>
        <v>0</v>
      </c>
      <c r="BI416" s="3">
        <f>+IF(AVANCE[[#This Row],[MUROS]]=P$2,100%,AVANCE[[#This Row],[MUROS]])</f>
        <v>0</v>
      </c>
      <c r="BJ416" s="3">
        <f>+IF(AVANCE[[#This Row],[CIELO]]=Q$2,100%,AVANCE[[#This Row],[CIELO]])</f>
        <v>0</v>
      </c>
      <c r="BK416" s="3">
        <f>+IF(AVANCE[[#This Row],[BALCÓN]]=R$2,100%,AVANCE[[#This Row],[BALCÓN]])</f>
        <v>0</v>
      </c>
      <c r="BL416" s="3">
        <f>+IF(AVANCE[[#This Row],[RED ALCANTARILLADO]]=U$2,100%,AVANCE[[#This Row],[RED ALCANTARILLADO]])</f>
        <v>0</v>
      </c>
      <c r="BM416" s="3">
        <f>+IF(AVANCE[[#This Row],[RED DE AGUA]]=V$2,100%,AVANCE[[#This Row],[RED DE AGUA]])</f>
        <v>0</v>
      </c>
      <c r="BN416" s="3">
        <f>+IF(AVANCE[[#This Row],[VENTILACIONES]]=W$2,100%,AVANCE[[#This Row],[VENTILACIONES]])</f>
        <v>0</v>
      </c>
      <c r="BO416" s="3">
        <f>+IF(AVANCE[[#This Row],[TINA]]=X$2,100%,AVANCE[[#This Row],[TINA]])</f>
        <v>0</v>
      </c>
      <c r="BP416" s="3">
        <f>+IF(AVANCE[[#This Row],[WC]]=Y$2,100%,AVANCE[[#This Row],[WC]])</f>
        <v>0</v>
      </c>
      <c r="BQ416" s="3">
        <f>+IF(AVANCE[[#This Row],[LAVAMANOS / LAVAPLATOS / LAVADERO]]=Z$2,100%,AVANCE[[#This Row],[LAVAMANOS / LAVAPLATOS / LAVADERO]])</f>
        <v>0</v>
      </c>
      <c r="BR416" s="3">
        <f>+IF(AVANCE[[#This Row],[CANALIZACIÓN]]=AC$2,100%,AVANCE[[#This Row],[CANALIZACIÓN]])</f>
        <v>0</v>
      </c>
      <c r="BS416" s="3">
        <f>+IF(AVANCE[[#This Row],[CABLEADO]]=AD$2,100%,AVANCE[[#This Row],[CABLEADO]])</f>
        <v>0</v>
      </c>
      <c r="BT416" s="3">
        <f>+IF(AVANCE[[#This Row],[ARTEFACTOS]]=AE$2,100%,AVANCE[[#This Row],[ARTEFACTOS]])</f>
        <v>0</v>
      </c>
      <c r="BU416" s="3">
        <f>+IF(AVANCE[[#This Row],[TABLERO]]=AF$2,100%,AVANCE[[#This Row],[TABLERO]])</f>
        <v>0</v>
      </c>
      <c r="BV416" s="3">
        <f>+IF(AVANCE[[#This Row],[CAJA PAU]]=AG$2,100%,AVANCE[[#This Row],[CAJA PAU]])</f>
        <v>0</v>
      </c>
      <c r="BW416" s="3">
        <f>+IF(AVANCE[[#This Row],[INSTALACION VINILICO]]=AJ$2,100%,AVANCE[[#This Row],[INSTALACION VINILICO]])</f>
        <v>0</v>
      </c>
      <c r="BX416" s="3">
        <f>+IF(AVANCE[[#This Row],[OSB CUBIERTA]]=AK$2,100%,AVANCE[[#This Row],[OSB CUBIERTA]])</f>
        <v>0</v>
      </c>
      <c r="BY416" s="3">
        <f>+IF(AVANCE[[#This Row],[BARANDA BALCON]]=AL$2,100%,AVANCE[[#This Row],[BARANDA BALCON]])</f>
        <v>0</v>
      </c>
      <c r="BZ416" s="3">
        <f>+IF(AVANCE[[#This Row],[OSB EXTERIOR]]=AM$2,100%,AVANCE[[#This Row],[OSB EXTERIOR]])</f>
        <v>0</v>
      </c>
      <c r="CA416" s="3">
        <f>+IF(AVANCE[[#This Row],[SMART PANEL]]=AN$2,100%,AVANCE[[#This Row],[SMART PANEL]])</f>
        <v>0</v>
      </c>
      <c r="CB416" s="3">
        <f>+IF(AVANCE[[#This Row],[PINTURA EXTERIOR]]=AO$2,100%,AVANCE[[#This Row],[PINTURA EXTERIOR]])</f>
        <v>0</v>
      </c>
      <c r="CC416" s="3">
        <f>+IF(AVANCE[[#This Row],[ZOCALOS LOGIA]]=AP$2,100%,AVANCE[[#This Row],[ZOCALOS LOGIA]])</f>
        <v>0</v>
      </c>
      <c r="CD416" s="3">
        <f>+IF(AVANCE[[#This Row],[MOLDURAS]]=AQ$2,100%,AVANCE[[#This Row],[MOLDURAS]])</f>
        <v>0</v>
      </c>
      <c r="CE416" s="3">
        <f>+IF(AVANCE[[#This Row],[PILASTREO]]=AR$2,100%,AVANCE[[#This Row],[PILASTREO]])</f>
        <v>0</v>
      </c>
      <c r="CF416" s="3">
        <f>+IF(AVANCE[[#This Row],[CELOSIAS]]=AS$2,100%,AVANCE[[#This Row],[CELOSIAS]])</f>
        <v>0</v>
      </c>
      <c r="CG416" s="3">
        <f>+IF(AVANCE[[#This Row],[VENTANAS]]=AT$2,100%,AVANCE[[#This Row],[VENTANAS]])</f>
        <v>0</v>
      </c>
      <c r="CH416" s="3">
        <f>+IF(AVANCE[[#This Row],[PUERTAS ACCESO - LOGIA - BANO]]=AU$2,100%,AVANCE[[#This Row],[PUERTAS ACCESO - LOGIA - BANO]])</f>
        <v>0</v>
      </c>
      <c r="CI416" s="3">
        <f>+IF(AVANCE[[#This Row],[CERRADURAS]]=AV$2,100%,AVANCE[[#This Row],[CERRADURAS]])</f>
        <v>0</v>
      </c>
      <c r="CJ416" s="3">
        <f>+IF(AVANCE[[#This Row],[REVESTIMIENTO INTERIOR ZONA SECA]]=AW$2,100%,AVANCE[[#This Row],[REVESTIMIENTO INTERIOR ZONA SECA]])</f>
        <v>0</v>
      </c>
      <c r="CK416" s="3">
        <f>+IF(AVANCE[[#This Row],[REVESTIMIENTO INTERIOR ZONAS HUMEDAS]]=AX$2,100%,AVANCE[[#This Row],[REVESTIMIENTO INTERIOR ZONAS HUMEDAS]])</f>
        <v>0</v>
      </c>
      <c r="CL416" s="3">
        <f>+IF(AVANCE[[#This Row],[MEMBRANA CIELO]]=AY$2,100%,AVANCE[[#This Row],[MEMBRANA CIELO]])</f>
        <v>0</v>
      </c>
      <c r="CM416" s="3">
        <f>+IF(AVANCE[[#This Row],[LIMPIEZA FINAL]]=AZ$2,100%,AVANCE[[#This Row],[LIMPIEZA FINAL]])</f>
        <v>0</v>
      </c>
      <c r="CN416" s="3">
        <f>+IF(AVANCE[[#This Row],[PUERTAS DORMITORIO]]=BA$2,100%,AVANCE[[#This Row],[PUERTAS DORMITORIO]])</f>
        <v>0</v>
      </c>
      <c r="CO416" s="3">
        <f>+IF(AVANCE[[#This Row],[REVESTIMIENTO INTERIOR BANO]]=BB$2,100%,AVANCE[[#This Row],[REVESTIMIENTO INTERIOR BANO]])</f>
        <v>0</v>
      </c>
      <c r="CP416" s="3">
        <f>+IF(AVANCE[[#This Row],[MUEBLE LAVAPLATOS]]=BC$2,100%,AVANCE[[#This Row],[MUEBLE LAVAPLATOS]])</f>
        <v>0</v>
      </c>
      <c r="CQ416" s="3">
        <f>+IF(AVANCE[[#This Row],[IMPERMEABILIZACION BANO - COCINA LOGIA]]=BD$2,100%,AVANCE[[#This Row],[IMPERMEABILIZACION BANO - COCINA LOGIA]])</f>
        <v>0</v>
      </c>
      <c r="CR416" s="40">
        <f ca="1">+IF(AVANCE[[#This Row],[ESTADO MODULO]]="PENDIENTE",(TODAY()-AVANCE[[#This Row],[FECHA TERMINO  PLANIFICADO]]),0)</f>
        <v>0</v>
      </c>
      <c r="CS416" s="42" t="str" cm="1">
        <f t="array" ref="CS416">_xlfn.TEXTJOIN(" | ",TRUE,IF(SUMPRODUCT((BF416:CQ416&lt;1)*(PARTIDAS!$I$2:$AT$2="OBRA GRUESA"))&gt;0,"OBRA GRUESA: "&amp;_xlfn.TEXTJOIN(", ",TRUE,IF((BF416:CQ416&lt;1)*(PARTIDAS!$I$2:$AT$2="OBRA GRUESA"),PARTIDAS!$I$1:$AT$1,"")),""),IF(SUMPRODUCT((BF416:CQ416&lt;1)*(PARTIDAS!$I$2:$AT$2="SANITARIOS"))&gt;0,"SANITARIOS: "&amp;_xlfn.TEXTJOIN(", ",TRUE,IF((BF416:CQ416&lt;1)*(PARTIDAS!$I$2:$AT$2="SANITARIOS"),PARTIDAS!$I$1:$AT$1,"")),""),IF(SUMPRODUCT((BF416:CQ416&lt;1)*(PARTIDAS!$I$2:$AT$2="ELÉCTRICO"))&gt;0,"ELÉCTRICO: "&amp;_xlfn.TEXTJOIN(", ",TRUE,IF((BF416:CQ416&lt;1)*(PARTIDAS!$I$2:$AT$2="ELÉCTRICO"),PARTIDAS!$I$1:$AT$1,"")),""),IF(SUMPRODUCT((BF416:CQ416&lt;1)*(PARTIDAS!$I$2:$AT$2="TERMINACIONES"))&gt;0,"TERMINACIONES: "&amp;_xlfn.TEXTJOIN(", ",TRUE,IF((BF416:CQ416&lt;1)*(PARTIDAS!$I$2:$AT$2="TERMINACIONES"),PARTIDAS!$I$1:$AT$1,"")),""))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6" s="45" t="str" cm="1">
        <f t="array" ref="CT416">_xlfn.TEXTJOIN(", ",TRUE,IF(SUMPRODUCT((BF416:CQ416&lt;1)*(PARTIDAS!$I$2:$AT$2="OBRA GRUESA"))&gt;0,"OBRA GRUESA",""),IF(SUMPRODUCT((BF416:CQ416&lt;1)*(PARTIDAS!$I$2:$AT$2="SANITARIOS"))&gt;0,"SANITARIOS",""),IF(SUMPRODUCT((BF416:CQ416&lt;1)*(PARTIDAS!$I$2:$AT$2="ELÉCTRICO"))&gt;0,"ELÉCTRICO",""),IF(SUMPRODUCT((BF416:CQ416&lt;1)*(PARTIDAS!$I$2:$AT$2="TERMINACIONES"))&gt;0,"TERMINACIONES",""))</f>
        <v>OBRA GRUESA, SANITARIOS, ELÉCTRICO, TERMINACIONES</v>
      </c>
      <c r="CU416" s="46" cm="1">
        <f t="array" ref="CU416">SUMPRODUCT(--(BF416:CQ416&lt;1))</f>
        <v>38</v>
      </c>
    </row>
    <row r="417" spans="1:99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46181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 s="3" t="str">
        <f>+IF(AVANCE[[#This Row],[% AVANCE]]=100%,"MODULO TERMINADO",IF(AVANCE[[#This Row],[FECHA INICIO REAL]]="","MODULO NO INICIADO","PENDIENTE"))</f>
        <v>MODULO NO INICIADO</v>
      </c>
      <c r="BF417" s="3">
        <f>+IF(AVANCE[[#This Row],[VENTANAS]]=8.10810810810811%,100%,AVANCE[[#This Row],[VENTANAS]])</f>
        <v>0</v>
      </c>
      <c r="BG417" s="3">
        <f>+IF(AVANCE[[#This Row],[PISO]]=N$2,100%,AVANCE[[#This Row],[PISO]])</f>
        <v>0</v>
      </c>
      <c r="BH417" s="3">
        <f>+IF(AVANCE[[#This Row],[TABIQUES]]=O$2,100%,AVANCE[[#This Row],[TABIQUES]])</f>
        <v>0</v>
      </c>
      <c r="BI417" s="3">
        <f>+IF(AVANCE[[#This Row],[MUROS]]=P$2,100%,AVANCE[[#This Row],[MUROS]])</f>
        <v>0</v>
      </c>
      <c r="BJ417" s="3">
        <f>+IF(AVANCE[[#This Row],[CIELO]]=Q$2,100%,AVANCE[[#This Row],[CIELO]])</f>
        <v>0</v>
      </c>
      <c r="BK417" s="3">
        <f>+IF(AVANCE[[#This Row],[BALCÓN]]=R$2,100%,AVANCE[[#This Row],[BALCÓN]])</f>
        <v>0</v>
      </c>
      <c r="BL417" s="3">
        <f>+IF(AVANCE[[#This Row],[RED ALCANTARILLADO]]=U$2,100%,AVANCE[[#This Row],[RED ALCANTARILLADO]])</f>
        <v>0</v>
      </c>
      <c r="BM417" s="3">
        <f>+IF(AVANCE[[#This Row],[RED DE AGUA]]=V$2,100%,AVANCE[[#This Row],[RED DE AGUA]])</f>
        <v>0</v>
      </c>
      <c r="BN417" s="3">
        <f>+IF(AVANCE[[#This Row],[VENTILACIONES]]=W$2,100%,AVANCE[[#This Row],[VENTILACIONES]])</f>
        <v>0</v>
      </c>
      <c r="BO417" s="3">
        <f>+IF(AVANCE[[#This Row],[TINA]]=X$2,100%,AVANCE[[#This Row],[TINA]])</f>
        <v>0</v>
      </c>
      <c r="BP417" s="3">
        <f>+IF(AVANCE[[#This Row],[WC]]=Y$2,100%,AVANCE[[#This Row],[WC]])</f>
        <v>0</v>
      </c>
      <c r="BQ417" s="3">
        <f>+IF(AVANCE[[#This Row],[LAVAMANOS / LAVAPLATOS / LAVADERO]]=Z$2,100%,AVANCE[[#This Row],[LAVAMANOS / LAVAPLATOS / LAVADERO]])</f>
        <v>0</v>
      </c>
      <c r="BR417" s="3">
        <f>+IF(AVANCE[[#This Row],[CANALIZACIÓN]]=AC$2,100%,AVANCE[[#This Row],[CANALIZACIÓN]])</f>
        <v>0</v>
      </c>
      <c r="BS417" s="3">
        <f>+IF(AVANCE[[#This Row],[CABLEADO]]=AD$2,100%,AVANCE[[#This Row],[CABLEADO]])</f>
        <v>0</v>
      </c>
      <c r="BT417" s="3">
        <f>+IF(AVANCE[[#This Row],[ARTEFACTOS]]=AE$2,100%,AVANCE[[#This Row],[ARTEFACTOS]])</f>
        <v>0</v>
      </c>
      <c r="BU417" s="3">
        <f>+IF(AVANCE[[#This Row],[TABLERO]]=AF$2,100%,AVANCE[[#This Row],[TABLERO]])</f>
        <v>0</v>
      </c>
      <c r="BV417" s="3">
        <f>+IF(AVANCE[[#This Row],[CAJA PAU]]=AG$2,100%,AVANCE[[#This Row],[CAJA PAU]])</f>
        <v>0</v>
      </c>
      <c r="BW417" s="3">
        <f>+IF(AVANCE[[#This Row],[INSTALACION VINILICO]]=AJ$2,100%,AVANCE[[#This Row],[INSTALACION VINILICO]])</f>
        <v>0</v>
      </c>
      <c r="BX417" s="3">
        <f>+IF(AVANCE[[#This Row],[OSB CUBIERTA]]=AK$2,100%,AVANCE[[#This Row],[OSB CUBIERTA]])</f>
        <v>0</v>
      </c>
      <c r="BY417" s="3">
        <f>+IF(AVANCE[[#This Row],[BARANDA BALCON]]=AL$2,100%,AVANCE[[#This Row],[BARANDA BALCON]])</f>
        <v>0</v>
      </c>
      <c r="BZ417" s="3">
        <f>+IF(AVANCE[[#This Row],[OSB EXTERIOR]]=AM$2,100%,AVANCE[[#This Row],[OSB EXTERIOR]])</f>
        <v>0</v>
      </c>
      <c r="CA417" s="3">
        <f>+IF(AVANCE[[#This Row],[SMART PANEL]]=AN$2,100%,AVANCE[[#This Row],[SMART PANEL]])</f>
        <v>0</v>
      </c>
      <c r="CB417" s="3">
        <f>+IF(AVANCE[[#This Row],[PINTURA EXTERIOR]]=AO$2,100%,AVANCE[[#This Row],[PINTURA EXTERIOR]])</f>
        <v>0</v>
      </c>
      <c r="CC417" s="3">
        <f>+IF(AVANCE[[#This Row],[ZOCALOS LOGIA]]=AP$2,100%,AVANCE[[#This Row],[ZOCALOS LOGIA]])</f>
        <v>0</v>
      </c>
      <c r="CD417" s="3">
        <f>+IF(AVANCE[[#This Row],[MOLDURAS]]=AQ$2,100%,AVANCE[[#This Row],[MOLDURAS]])</f>
        <v>0</v>
      </c>
      <c r="CE417" s="3">
        <f>+IF(AVANCE[[#This Row],[PILASTREO]]=AR$2,100%,AVANCE[[#This Row],[PILASTREO]])</f>
        <v>0</v>
      </c>
      <c r="CF417" s="3">
        <f>+IF(AVANCE[[#This Row],[CELOSIAS]]=AS$2,100%,AVANCE[[#This Row],[CELOSIAS]])</f>
        <v>0</v>
      </c>
      <c r="CG417" s="3">
        <f>+IF(AVANCE[[#This Row],[VENTANAS]]=AT$2,100%,AVANCE[[#This Row],[VENTANAS]])</f>
        <v>0</v>
      </c>
      <c r="CH417" s="3">
        <f>+IF(AVANCE[[#This Row],[PUERTAS ACCESO - LOGIA - BANO]]=AU$2,100%,AVANCE[[#This Row],[PUERTAS ACCESO - LOGIA - BANO]])</f>
        <v>0</v>
      </c>
      <c r="CI417" s="3">
        <f>+IF(AVANCE[[#This Row],[CERRADURAS]]=AV$2,100%,AVANCE[[#This Row],[CERRADURAS]])</f>
        <v>0</v>
      </c>
      <c r="CJ417" s="3">
        <f>+IF(AVANCE[[#This Row],[REVESTIMIENTO INTERIOR ZONA SECA]]=AW$2,100%,AVANCE[[#This Row],[REVESTIMIENTO INTERIOR ZONA SECA]])</f>
        <v>0</v>
      </c>
      <c r="CK417" s="3">
        <f>+IF(AVANCE[[#This Row],[REVESTIMIENTO INTERIOR ZONAS HUMEDAS]]=AX$2,100%,AVANCE[[#This Row],[REVESTIMIENTO INTERIOR ZONAS HUMEDAS]])</f>
        <v>0</v>
      </c>
      <c r="CL417" s="3">
        <f>+IF(AVANCE[[#This Row],[MEMBRANA CIELO]]=AY$2,100%,AVANCE[[#This Row],[MEMBRANA CIELO]])</f>
        <v>0</v>
      </c>
      <c r="CM417" s="3">
        <f>+IF(AVANCE[[#This Row],[LIMPIEZA FINAL]]=AZ$2,100%,AVANCE[[#This Row],[LIMPIEZA FINAL]])</f>
        <v>0</v>
      </c>
      <c r="CN417" s="3">
        <f>+IF(AVANCE[[#This Row],[PUERTAS DORMITORIO]]=BA$2,100%,AVANCE[[#This Row],[PUERTAS DORMITORIO]])</f>
        <v>0</v>
      </c>
      <c r="CO417" s="3">
        <f>+IF(AVANCE[[#This Row],[REVESTIMIENTO INTERIOR BANO]]=BB$2,100%,AVANCE[[#This Row],[REVESTIMIENTO INTERIOR BANO]])</f>
        <v>0</v>
      </c>
      <c r="CP417" s="3">
        <f>+IF(AVANCE[[#This Row],[MUEBLE LAVAPLATOS]]=BC$2,100%,AVANCE[[#This Row],[MUEBLE LAVAPLATOS]])</f>
        <v>0</v>
      </c>
      <c r="CQ417" s="3">
        <f>+IF(AVANCE[[#This Row],[IMPERMEABILIZACION BANO - COCINA LOGIA]]=BD$2,100%,AVANCE[[#This Row],[IMPERMEABILIZACION BANO - COCINA LOGIA]])</f>
        <v>0</v>
      </c>
      <c r="CR417" s="40">
        <f ca="1">+IF(AVANCE[[#This Row],[ESTADO MODULO]]="PENDIENTE",(TODAY()-AVANCE[[#This Row],[FECHA TERMINO  PLANIFICADO]]),0)</f>
        <v>0</v>
      </c>
      <c r="CS417" s="42" t="str" cm="1">
        <f t="array" ref="CS417">_xlfn.TEXTJOIN(" | ",TRUE,IF(SUMPRODUCT((BF417:CQ417&lt;1)*(PARTIDAS!$I$2:$AT$2="OBRA GRUESA"))&gt;0,"OBRA GRUESA: "&amp;_xlfn.TEXTJOIN(", ",TRUE,IF((BF417:CQ417&lt;1)*(PARTIDAS!$I$2:$AT$2="OBRA GRUESA"),PARTIDAS!$I$1:$AT$1,"")),""),IF(SUMPRODUCT((BF417:CQ417&lt;1)*(PARTIDAS!$I$2:$AT$2="SANITARIOS"))&gt;0,"SANITARIOS: "&amp;_xlfn.TEXTJOIN(", ",TRUE,IF((BF417:CQ417&lt;1)*(PARTIDAS!$I$2:$AT$2="SANITARIOS"),PARTIDAS!$I$1:$AT$1,"")),""),IF(SUMPRODUCT((BF417:CQ417&lt;1)*(PARTIDAS!$I$2:$AT$2="ELÉCTRICO"))&gt;0,"ELÉCTRICO: "&amp;_xlfn.TEXTJOIN(", ",TRUE,IF((BF417:CQ417&lt;1)*(PARTIDAS!$I$2:$AT$2="ELÉCTRICO"),PARTIDAS!$I$1:$AT$1,"")),""),IF(SUMPRODUCT((BF417:CQ417&lt;1)*(PARTIDAS!$I$2:$AT$2="TERMINACIONES"))&gt;0,"TERMINACIONES: "&amp;_xlfn.TEXTJOIN(", ",TRUE,IF((BF417:CQ417&lt;1)*(PARTIDAS!$I$2:$AT$2="TERMINACIONES"),PARTIDAS!$I$1:$AT$1,"")),""))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7" s="45" t="str" cm="1">
        <f t="array" ref="CT417">_xlfn.TEXTJOIN(", ",TRUE,IF(SUMPRODUCT((BF417:CQ417&lt;1)*(PARTIDAS!$I$2:$AT$2="OBRA GRUESA"))&gt;0,"OBRA GRUESA",""),IF(SUMPRODUCT((BF417:CQ417&lt;1)*(PARTIDAS!$I$2:$AT$2="SANITARIOS"))&gt;0,"SANITARIOS",""),IF(SUMPRODUCT((BF417:CQ417&lt;1)*(PARTIDAS!$I$2:$AT$2="ELÉCTRICO"))&gt;0,"ELÉCTRICO",""),IF(SUMPRODUCT((BF417:CQ417&lt;1)*(PARTIDAS!$I$2:$AT$2="TERMINACIONES"))&gt;0,"TERMINACIONES",""))</f>
        <v>OBRA GRUESA, SANITARIOS, ELÉCTRICO, TERMINACIONES</v>
      </c>
      <c r="CU417" s="46" cm="1">
        <f t="array" ref="CU417">SUMPRODUCT(--(BF417:CQ417&lt;1))</f>
        <v>38</v>
      </c>
    </row>
    <row r="418" spans="1:99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46181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 s="3" t="str">
        <f>+IF(AVANCE[[#This Row],[% AVANCE]]=100%,"MODULO TERMINADO",IF(AVANCE[[#This Row],[FECHA INICIO REAL]]="","MODULO NO INICIADO","PENDIENTE"))</f>
        <v>MODULO NO INICIADO</v>
      </c>
      <c r="BF418" s="3">
        <f>+IF(AVANCE[[#This Row],[VENTANAS]]=8.10810810810811%,100%,AVANCE[[#This Row],[VENTANAS]])</f>
        <v>0</v>
      </c>
      <c r="BG418" s="3">
        <f>+IF(AVANCE[[#This Row],[PISO]]=N$2,100%,AVANCE[[#This Row],[PISO]])</f>
        <v>0</v>
      </c>
      <c r="BH418" s="3">
        <f>+IF(AVANCE[[#This Row],[TABIQUES]]=O$2,100%,AVANCE[[#This Row],[TABIQUES]])</f>
        <v>0</v>
      </c>
      <c r="BI418" s="3">
        <f>+IF(AVANCE[[#This Row],[MUROS]]=P$2,100%,AVANCE[[#This Row],[MUROS]])</f>
        <v>0</v>
      </c>
      <c r="BJ418" s="3">
        <f>+IF(AVANCE[[#This Row],[CIELO]]=Q$2,100%,AVANCE[[#This Row],[CIELO]])</f>
        <v>0</v>
      </c>
      <c r="BK418" s="3">
        <f>+IF(AVANCE[[#This Row],[BALCÓN]]=R$2,100%,AVANCE[[#This Row],[BALCÓN]])</f>
        <v>0</v>
      </c>
      <c r="BL418" s="3">
        <f>+IF(AVANCE[[#This Row],[RED ALCANTARILLADO]]=U$2,100%,AVANCE[[#This Row],[RED ALCANTARILLADO]])</f>
        <v>0</v>
      </c>
      <c r="BM418" s="3">
        <f>+IF(AVANCE[[#This Row],[RED DE AGUA]]=V$2,100%,AVANCE[[#This Row],[RED DE AGUA]])</f>
        <v>0</v>
      </c>
      <c r="BN418" s="3">
        <f>+IF(AVANCE[[#This Row],[VENTILACIONES]]=W$2,100%,AVANCE[[#This Row],[VENTILACIONES]])</f>
        <v>0</v>
      </c>
      <c r="BO418" s="3">
        <f>+IF(AVANCE[[#This Row],[TINA]]=X$2,100%,AVANCE[[#This Row],[TINA]])</f>
        <v>0</v>
      </c>
      <c r="BP418" s="3">
        <f>+IF(AVANCE[[#This Row],[WC]]=Y$2,100%,AVANCE[[#This Row],[WC]])</f>
        <v>0</v>
      </c>
      <c r="BQ418" s="3">
        <f>+IF(AVANCE[[#This Row],[LAVAMANOS / LAVAPLATOS / LAVADERO]]=Z$2,100%,AVANCE[[#This Row],[LAVAMANOS / LAVAPLATOS / LAVADERO]])</f>
        <v>0</v>
      </c>
      <c r="BR418" s="3">
        <f>+IF(AVANCE[[#This Row],[CANALIZACIÓN]]=AC$2,100%,AVANCE[[#This Row],[CANALIZACIÓN]])</f>
        <v>0</v>
      </c>
      <c r="BS418" s="3">
        <f>+IF(AVANCE[[#This Row],[CABLEADO]]=AD$2,100%,AVANCE[[#This Row],[CABLEADO]])</f>
        <v>0</v>
      </c>
      <c r="BT418" s="3">
        <f>+IF(AVANCE[[#This Row],[ARTEFACTOS]]=AE$2,100%,AVANCE[[#This Row],[ARTEFACTOS]])</f>
        <v>0</v>
      </c>
      <c r="BU418" s="3">
        <f>+IF(AVANCE[[#This Row],[TABLERO]]=AF$2,100%,AVANCE[[#This Row],[TABLERO]])</f>
        <v>0</v>
      </c>
      <c r="BV418" s="3">
        <f>+IF(AVANCE[[#This Row],[CAJA PAU]]=AG$2,100%,AVANCE[[#This Row],[CAJA PAU]])</f>
        <v>0</v>
      </c>
      <c r="BW418" s="3">
        <f>+IF(AVANCE[[#This Row],[INSTALACION VINILICO]]=AJ$2,100%,AVANCE[[#This Row],[INSTALACION VINILICO]])</f>
        <v>0</v>
      </c>
      <c r="BX418" s="3">
        <f>+IF(AVANCE[[#This Row],[OSB CUBIERTA]]=AK$2,100%,AVANCE[[#This Row],[OSB CUBIERTA]])</f>
        <v>0</v>
      </c>
      <c r="BY418" s="3">
        <f>+IF(AVANCE[[#This Row],[BARANDA BALCON]]=AL$2,100%,AVANCE[[#This Row],[BARANDA BALCON]])</f>
        <v>0</v>
      </c>
      <c r="BZ418" s="3">
        <f>+IF(AVANCE[[#This Row],[OSB EXTERIOR]]=AM$2,100%,AVANCE[[#This Row],[OSB EXTERIOR]])</f>
        <v>0</v>
      </c>
      <c r="CA418" s="3">
        <f>+IF(AVANCE[[#This Row],[SMART PANEL]]=AN$2,100%,AVANCE[[#This Row],[SMART PANEL]])</f>
        <v>0</v>
      </c>
      <c r="CB418" s="3">
        <f>+IF(AVANCE[[#This Row],[PINTURA EXTERIOR]]=AO$2,100%,AVANCE[[#This Row],[PINTURA EXTERIOR]])</f>
        <v>0</v>
      </c>
      <c r="CC418" s="3">
        <f>+IF(AVANCE[[#This Row],[ZOCALOS LOGIA]]=AP$2,100%,AVANCE[[#This Row],[ZOCALOS LOGIA]])</f>
        <v>0</v>
      </c>
      <c r="CD418" s="3">
        <f>+IF(AVANCE[[#This Row],[MOLDURAS]]=AQ$2,100%,AVANCE[[#This Row],[MOLDURAS]])</f>
        <v>0</v>
      </c>
      <c r="CE418" s="3">
        <f>+IF(AVANCE[[#This Row],[PILASTREO]]=AR$2,100%,AVANCE[[#This Row],[PILASTREO]])</f>
        <v>0</v>
      </c>
      <c r="CF418" s="3">
        <f>+IF(AVANCE[[#This Row],[CELOSIAS]]=AS$2,100%,AVANCE[[#This Row],[CELOSIAS]])</f>
        <v>0</v>
      </c>
      <c r="CG418" s="3">
        <f>+IF(AVANCE[[#This Row],[VENTANAS]]=AT$2,100%,AVANCE[[#This Row],[VENTANAS]])</f>
        <v>0</v>
      </c>
      <c r="CH418" s="3">
        <f>+IF(AVANCE[[#This Row],[PUERTAS ACCESO - LOGIA - BANO]]=AU$2,100%,AVANCE[[#This Row],[PUERTAS ACCESO - LOGIA - BANO]])</f>
        <v>0</v>
      </c>
      <c r="CI418" s="3">
        <f>+IF(AVANCE[[#This Row],[CERRADURAS]]=AV$2,100%,AVANCE[[#This Row],[CERRADURAS]])</f>
        <v>0</v>
      </c>
      <c r="CJ418" s="3">
        <f>+IF(AVANCE[[#This Row],[REVESTIMIENTO INTERIOR ZONA SECA]]=AW$2,100%,AVANCE[[#This Row],[REVESTIMIENTO INTERIOR ZONA SECA]])</f>
        <v>0</v>
      </c>
      <c r="CK418" s="3">
        <f>+IF(AVANCE[[#This Row],[REVESTIMIENTO INTERIOR ZONAS HUMEDAS]]=AX$2,100%,AVANCE[[#This Row],[REVESTIMIENTO INTERIOR ZONAS HUMEDAS]])</f>
        <v>0</v>
      </c>
      <c r="CL418" s="3">
        <f>+IF(AVANCE[[#This Row],[MEMBRANA CIELO]]=AY$2,100%,AVANCE[[#This Row],[MEMBRANA CIELO]])</f>
        <v>0</v>
      </c>
      <c r="CM418" s="3">
        <f>+IF(AVANCE[[#This Row],[LIMPIEZA FINAL]]=AZ$2,100%,AVANCE[[#This Row],[LIMPIEZA FINAL]])</f>
        <v>0</v>
      </c>
      <c r="CN418" s="3">
        <f>+IF(AVANCE[[#This Row],[PUERTAS DORMITORIO]]=BA$2,100%,AVANCE[[#This Row],[PUERTAS DORMITORIO]])</f>
        <v>0</v>
      </c>
      <c r="CO418" s="3">
        <f>+IF(AVANCE[[#This Row],[REVESTIMIENTO INTERIOR BANO]]=BB$2,100%,AVANCE[[#This Row],[REVESTIMIENTO INTERIOR BANO]])</f>
        <v>0</v>
      </c>
      <c r="CP418" s="3">
        <f>+IF(AVANCE[[#This Row],[MUEBLE LAVAPLATOS]]=BC$2,100%,AVANCE[[#This Row],[MUEBLE LAVAPLATOS]])</f>
        <v>0</v>
      </c>
      <c r="CQ418" s="3">
        <f>+IF(AVANCE[[#This Row],[IMPERMEABILIZACION BANO - COCINA LOGIA]]=BD$2,100%,AVANCE[[#This Row],[IMPERMEABILIZACION BANO - COCINA LOGIA]])</f>
        <v>0</v>
      </c>
      <c r="CR418" s="40">
        <f ca="1">+IF(AVANCE[[#This Row],[ESTADO MODULO]]="PENDIENTE",(TODAY()-AVANCE[[#This Row],[FECHA TERMINO  PLANIFICADO]]),0)</f>
        <v>0</v>
      </c>
      <c r="CS418" s="42" t="str" cm="1">
        <f t="array" ref="CS418">_xlfn.TEXTJOIN(" | ",TRUE,IF(SUMPRODUCT((BF418:CQ418&lt;1)*(PARTIDAS!$I$2:$AT$2="OBRA GRUESA"))&gt;0,"OBRA GRUESA: "&amp;_xlfn.TEXTJOIN(", ",TRUE,IF((BF418:CQ418&lt;1)*(PARTIDAS!$I$2:$AT$2="OBRA GRUESA"),PARTIDAS!$I$1:$AT$1,"")),""),IF(SUMPRODUCT((BF418:CQ418&lt;1)*(PARTIDAS!$I$2:$AT$2="SANITARIOS"))&gt;0,"SANITARIOS: "&amp;_xlfn.TEXTJOIN(", ",TRUE,IF((BF418:CQ418&lt;1)*(PARTIDAS!$I$2:$AT$2="SANITARIOS"),PARTIDAS!$I$1:$AT$1,"")),""),IF(SUMPRODUCT((BF418:CQ418&lt;1)*(PARTIDAS!$I$2:$AT$2="ELÉCTRICO"))&gt;0,"ELÉCTRICO: "&amp;_xlfn.TEXTJOIN(", ",TRUE,IF((BF418:CQ418&lt;1)*(PARTIDAS!$I$2:$AT$2="ELÉCTRICO"),PARTIDAS!$I$1:$AT$1,"")),""),IF(SUMPRODUCT((BF418:CQ418&lt;1)*(PARTIDAS!$I$2:$AT$2="TERMINACIONES"))&gt;0,"TERMINACIONES: "&amp;_xlfn.TEXTJOIN(", ",TRUE,IF((BF418:CQ418&lt;1)*(PARTIDAS!$I$2:$AT$2="TERMINACIONES"),PARTIDAS!$I$1:$AT$1,"")),""))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8" s="45" t="str" cm="1">
        <f t="array" ref="CT418">_xlfn.TEXTJOIN(", ",TRUE,IF(SUMPRODUCT((BF418:CQ418&lt;1)*(PARTIDAS!$I$2:$AT$2="OBRA GRUESA"))&gt;0,"OBRA GRUESA",""),IF(SUMPRODUCT((BF418:CQ418&lt;1)*(PARTIDAS!$I$2:$AT$2="SANITARIOS"))&gt;0,"SANITARIOS",""),IF(SUMPRODUCT((BF418:CQ418&lt;1)*(PARTIDAS!$I$2:$AT$2="ELÉCTRICO"))&gt;0,"ELÉCTRICO",""),IF(SUMPRODUCT((BF418:CQ418&lt;1)*(PARTIDAS!$I$2:$AT$2="TERMINACIONES"))&gt;0,"TERMINACIONES",""))</f>
        <v>OBRA GRUESA, SANITARIOS, ELÉCTRICO, TERMINACIONES</v>
      </c>
      <c r="CU418" s="46" cm="1">
        <f t="array" ref="CU418">SUMPRODUCT(--(BF418:CQ418&lt;1))</f>
        <v>38</v>
      </c>
    </row>
    <row r="419" spans="1:99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46181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 s="3" t="str">
        <f>+IF(AVANCE[[#This Row],[% AVANCE]]=100%,"MODULO TERMINADO",IF(AVANCE[[#This Row],[FECHA INICIO REAL]]="","MODULO NO INICIADO","PENDIENTE"))</f>
        <v>MODULO NO INICIADO</v>
      </c>
      <c r="BF419" s="3">
        <f>+IF(AVANCE[[#This Row],[VENTANAS]]=8.10810810810811%,100%,AVANCE[[#This Row],[VENTANAS]])</f>
        <v>0</v>
      </c>
      <c r="BG419" s="3">
        <f>+IF(AVANCE[[#This Row],[PISO]]=N$2,100%,AVANCE[[#This Row],[PISO]])</f>
        <v>0</v>
      </c>
      <c r="BH419" s="3">
        <f>+IF(AVANCE[[#This Row],[TABIQUES]]=O$2,100%,AVANCE[[#This Row],[TABIQUES]])</f>
        <v>0</v>
      </c>
      <c r="BI419" s="3">
        <f>+IF(AVANCE[[#This Row],[MUROS]]=P$2,100%,AVANCE[[#This Row],[MUROS]])</f>
        <v>0</v>
      </c>
      <c r="BJ419" s="3">
        <f>+IF(AVANCE[[#This Row],[CIELO]]=Q$2,100%,AVANCE[[#This Row],[CIELO]])</f>
        <v>0</v>
      </c>
      <c r="BK419" s="3">
        <f>+IF(AVANCE[[#This Row],[BALCÓN]]=R$2,100%,AVANCE[[#This Row],[BALCÓN]])</f>
        <v>0</v>
      </c>
      <c r="BL419" s="3">
        <f>+IF(AVANCE[[#This Row],[RED ALCANTARILLADO]]=U$2,100%,AVANCE[[#This Row],[RED ALCANTARILLADO]])</f>
        <v>0</v>
      </c>
      <c r="BM419" s="3">
        <f>+IF(AVANCE[[#This Row],[RED DE AGUA]]=V$2,100%,AVANCE[[#This Row],[RED DE AGUA]])</f>
        <v>0</v>
      </c>
      <c r="BN419" s="3">
        <f>+IF(AVANCE[[#This Row],[VENTILACIONES]]=W$2,100%,AVANCE[[#This Row],[VENTILACIONES]])</f>
        <v>0</v>
      </c>
      <c r="BO419" s="3">
        <f>+IF(AVANCE[[#This Row],[TINA]]=X$2,100%,AVANCE[[#This Row],[TINA]])</f>
        <v>0</v>
      </c>
      <c r="BP419" s="3">
        <f>+IF(AVANCE[[#This Row],[WC]]=Y$2,100%,AVANCE[[#This Row],[WC]])</f>
        <v>0</v>
      </c>
      <c r="BQ419" s="3">
        <f>+IF(AVANCE[[#This Row],[LAVAMANOS / LAVAPLATOS / LAVADERO]]=Z$2,100%,AVANCE[[#This Row],[LAVAMANOS / LAVAPLATOS / LAVADERO]])</f>
        <v>0</v>
      </c>
      <c r="BR419" s="3">
        <f>+IF(AVANCE[[#This Row],[CANALIZACIÓN]]=AC$2,100%,AVANCE[[#This Row],[CANALIZACIÓN]])</f>
        <v>0</v>
      </c>
      <c r="BS419" s="3">
        <f>+IF(AVANCE[[#This Row],[CABLEADO]]=AD$2,100%,AVANCE[[#This Row],[CABLEADO]])</f>
        <v>0</v>
      </c>
      <c r="BT419" s="3">
        <f>+IF(AVANCE[[#This Row],[ARTEFACTOS]]=AE$2,100%,AVANCE[[#This Row],[ARTEFACTOS]])</f>
        <v>0</v>
      </c>
      <c r="BU419" s="3">
        <f>+IF(AVANCE[[#This Row],[TABLERO]]=AF$2,100%,AVANCE[[#This Row],[TABLERO]])</f>
        <v>0</v>
      </c>
      <c r="BV419" s="3">
        <f>+IF(AVANCE[[#This Row],[CAJA PAU]]=AG$2,100%,AVANCE[[#This Row],[CAJA PAU]])</f>
        <v>0</v>
      </c>
      <c r="BW419" s="3">
        <f>+IF(AVANCE[[#This Row],[INSTALACION VINILICO]]=AJ$2,100%,AVANCE[[#This Row],[INSTALACION VINILICO]])</f>
        <v>0</v>
      </c>
      <c r="BX419" s="3">
        <f>+IF(AVANCE[[#This Row],[OSB CUBIERTA]]=AK$2,100%,AVANCE[[#This Row],[OSB CUBIERTA]])</f>
        <v>0</v>
      </c>
      <c r="BY419" s="3">
        <f>+IF(AVANCE[[#This Row],[BARANDA BALCON]]=AL$2,100%,AVANCE[[#This Row],[BARANDA BALCON]])</f>
        <v>0</v>
      </c>
      <c r="BZ419" s="3">
        <f>+IF(AVANCE[[#This Row],[OSB EXTERIOR]]=AM$2,100%,AVANCE[[#This Row],[OSB EXTERIOR]])</f>
        <v>0</v>
      </c>
      <c r="CA419" s="3">
        <f>+IF(AVANCE[[#This Row],[SMART PANEL]]=AN$2,100%,AVANCE[[#This Row],[SMART PANEL]])</f>
        <v>0</v>
      </c>
      <c r="CB419" s="3">
        <f>+IF(AVANCE[[#This Row],[PINTURA EXTERIOR]]=AO$2,100%,AVANCE[[#This Row],[PINTURA EXTERIOR]])</f>
        <v>0</v>
      </c>
      <c r="CC419" s="3">
        <f>+IF(AVANCE[[#This Row],[ZOCALOS LOGIA]]=AP$2,100%,AVANCE[[#This Row],[ZOCALOS LOGIA]])</f>
        <v>0</v>
      </c>
      <c r="CD419" s="3">
        <f>+IF(AVANCE[[#This Row],[MOLDURAS]]=AQ$2,100%,AVANCE[[#This Row],[MOLDURAS]])</f>
        <v>0</v>
      </c>
      <c r="CE419" s="3">
        <f>+IF(AVANCE[[#This Row],[PILASTREO]]=AR$2,100%,AVANCE[[#This Row],[PILASTREO]])</f>
        <v>0</v>
      </c>
      <c r="CF419" s="3">
        <f>+IF(AVANCE[[#This Row],[CELOSIAS]]=AS$2,100%,AVANCE[[#This Row],[CELOSIAS]])</f>
        <v>0</v>
      </c>
      <c r="CG419" s="3">
        <f>+IF(AVANCE[[#This Row],[VENTANAS]]=AT$2,100%,AVANCE[[#This Row],[VENTANAS]])</f>
        <v>0</v>
      </c>
      <c r="CH419" s="3">
        <f>+IF(AVANCE[[#This Row],[PUERTAS ACCESO - LOGIA - BANO]]=AU$2,100%,AVANCE[[#This Row],[PUERTAS ACCESO - LOGIA - BANO]])</f>
        <v>0</v>
      </c>
      <c r="CI419" s="3">
        <f>+IF(AVANCE[[#This Row],[CERRADURAS]]=AV$2,100%,AVANCE[[#This Row],[CERRADURAS]])</f>
        <v>0</v>
      </c>
      <c r="CJ419" s="3">
        <f>+IF(AVANCE[[#This Row],[REVESTIMIENTO INTERIOR ZONA SECA]]=AW$2,100%,AVANCE[[#This Row],[REVESTIMIENTO INTERIOR ZONA SECA]])</f>
        <v>0</v>
      </c>
      <c r="CK419" s="3">
        <f>+IF(AVANCE[[#This Row],[REVESTIMIENTO INTERIOR ZONAS HUMEDAS]]=AX$2,100%,AVANCE[[#This Row],[REVESTIMIENTO INTERIOR ZONAS HUMEDAS]])</f>
        <v>0</v>
      </c>
      <c r="CL419" s="3">
        <f>+IF(AVANCE[[#This Row],[MEMBRANA CIELO]]=AY$2,100%,AVANCE[[#This Row],[MEMBRANA CIELO]])</f>
        <v>0</v>
      </c>
      <c r="CM419" s="3">
        <f>+IF(AVANCE[[#This Row],[LIMPIEZA FINAL]]=AZ$2,100%,AVANCE[[#This Row],[LIMPIEZA FINAL]])</f>
        <v>0</v>
      </c>
      <c r="CN419" s="3">
        <f>+IF(AVANCE[[#This Row],[PUERTAS DORMITORIO]]=BA$2,100%,AVANCE[[#This Row],[PUERTAS DORMITORIO]])</f>
        <v>0</v>
      </c>
      <c r="CO419" s="3">
        <f>+IF(AVANCE[[#This Row],[REVESTIMIENTO INTERIOR BANO]]=BB$2,100%,AVANCE[[#This Row],[REVESTIMIENTO INTERIOR BANO]])</f>
        <v>0</v>
      </c>
      <c r="CP419" s="3">
        <f>+IF(AVANCE[[#This Row],[MUEBLE LAVAPLATOS]]=BC$2,100%,AVANCE[[#This Row],[MUEBLE LAVAPLATOS]])</f>
        <v>0</v>
      </c>
      <c r="CQ419" s="3">
        <f>+IF(AVANCE[[#This Row],[IMPERMEABILIZACION BANO - COCINA LOGIA]]=BD$2,100%,AVANCE[[#This Row],[IMPERMEABILIZACION BANO - COCINA LOGIA]])</f>
        <v>0</v>
      </c>
      <c r="CR419" s="40">
        <f ca="1">+IF(AVANCE[[#This Row],[ESTADO MODULO]]="PENDIENTE",(TODAY()-AVANCE[[#This Row],[FECHA TERMINO  PLANIFICADO]]),0)</f>
        <v>0</v>
      </c>
      <c r="CS419" s="42" t="str" cm="1">
        <f t="array" ref="CS419">_xlfn.TEXTJOIN(" | ",TRUE,IF(SUMPRODUCT((BF419:CQ419&lt;1)*(PARTIDAS!$I$2:$AT$2="OBRA GRUESA"))&gt;0,"OBRA GRUESA: "&amp;_xlfn.TEXTJOIN(", ",TRUE,IF((BF419:CQ419&lt;1)*(PARTIDAS!$I$2:$AT$2="OBRA GRUESA"),PARTIDAS!$I$1:$AT$1,"")),""),IF(SUMPRODUCT((BF419:CQ419&lt;1)*(PARTIDAS!$I$2:$AT$2="SANITARIOS"))&gt;0,"SANITARIOS: "&amp;_xlfn.TEXTJOIN(", ",TRUE,IF((BF419:CQ419&lt;1)*(PARTIDAS!$I$2:$AT$2="SANITARIOS"),PARTIDAS!$I$1:$AT$1,"")),""),IF(SUMPRODUCT((BF419:CQ419&lt;1)*(PARTIDAS!$I$2:$AT$2="ELÉCTRICO"))&gt;0,"ELÉCTRICO: "&amp;_xlfn.TEXTJOIN(", ",TRUE,IF((BF419:CQ419&lt;1)*(PARTIDAS!$I$2:$AT$2="ELÉCTRICO"),PARTIDAS!$I$1:$AT$1,"")),""),IF(SUMPRODUCT((BF419:CQ419&lt;1)*(PARTIDAS!$I$2:$AT$2="TERMINACIONES"))&gt;0,"TERMINACIONES: "&amp;_xlfn.TEXTJOIN(", ",TRUE,IF((BF419:CQ419&lt;1)*(PARTIDAS!$I$2:$AT$2="TERMINACIONES"),PARTIDAS!$I$1:$AT$1,"")),""))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19" s="45" t="str" cm="1">
        <f t="array" ref="CT419">_xlfn.TEXTJOIN(", ",TRUE,IF(SUMPRODUCT((BF419:CQ419&lt;1)*(PARTIDAS!$I$2:$AT$2="OBRA GRUESA"))&gt;0,"OBRA GRUESA",""),IF(SUMPRODUCT((BF419:CQ419&lt;1)*(PARTIDAS!$I$2:$AT$2="SANITARIOS"))&gt;0,"SANITARIOS",""),IF(SUMPRODUCT((BF419:CQ419&lt;1)*(PARTIDAS!$I$2:$AT$2="ELÉCTRICO"))&gt;0,"ELÉCTRICO",""),IF(SUMPRODUCT((BF419:CQ419&lt;1)*(PARTIDAS!$I$2:$AT$2="TERMINACIONES"))&gt;0,"TERMINACIONES",""))</f>
        <v>OBRA GRUESA, SANITARIOS, ELÉCTRICO, TERMINACIONES</v>
      </c>
      <c r="CU419" s="46" cm="1">
        <f t="array" ref="CU419">SUMPRODUCT(--(BF419:CQ419&lt;1))</f>
        <v>38</v>
      </c>
    </row>
    <row r="420" spans="1:99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46181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 s="3" t="str">
        <f>+IF(AVANCE[[#This Row],[% AVANCE]]=100%,"MODULO TERMINADO",IF(AVANCE[[#This Row],[FECHA INICIO REAL]]="","MODULO NO INICIADO","PENDIENTE"))</f>
        <v>MODULO NO INICIADO</v>
      </c>
      <c r="BF420" s="3">
        <f>+IF(AVANCE[[#This Row],[VENTANAS]]=8.10810810810811%,100%,AVANCE[[#This Row],[VENTANAS]])</f>
        <v>0</v>
      </c>
      <c r="BG420" s="3">
        <f>+IF(AVANCE[[#This Row],[PISO]]=N$2,100%,AVANCE[[#This Row],[PISO]])</f>
        <v>0</v>
      </c>
      <c r="BH420" s="3">
        <f>+IF(AVANCE[[#This Row],[TABIQUES]]=O$2,100%,AVANCE[[#This Row],[TABIQUES]])</f>
        <v>0</v>
      </c>
      <c r="BI420" s="3">
        <f>+IF(AVANCE[[#This Row],[MUROS]]=P$2,100%,AVANCE[[#This Row],[MUROS]])</f>
        <v>0</v>
      </c>
      <c r="BJ420" s="3">
        <f>+IF(AVANCE[[#This Row],[CIELO]]=Q$2,100%,AVANCE[[#This Row],[CIELO]])</f>
        <v>0</v>
      </c>
      <c r="BK420" s="3">
        <f>+IF(AVANCE[[#This Row],[BALCÓN]]=R$2,100%,AVANCE[[#This Row],[BALCÓN]])</f>
        <v>0</v>
      </c>
      <c r="BL420" s="3">
        <f>+IF(AVANCE[[#This Row],[RED ALCANTARILLADO]]=U$2,100%,AVANCE[[#This Row],[RED ALCANTARILLADO]])</f>
        <v>0</v>
      </c>
      <c r="BM420" s="3">
        <f>+IF(AVANCE[[#This Row],[RED DE AGUA]]=V$2,100%,AVANCE[[#This Row],[RED DE AGUA]])</f>
        <v>0</v>
      </c>
      <c r="BN420" s="3">
        <f>+IF(AVANCE[[#This Row],[VENTILACIONES]]=W$2,100%,AVANCE[[#This Row],[VENTILACIONES]])</f>
        <v>0</v>
      </c>
      <c r="BO420" s="3">
        <f>+IF(AVANCE[[#This Row],[TINA]]=X$2,100%,AVANCE[[#This Row],[TINA]])</f>
        <v>0</v>
      </c>
      <c r="BP420" s="3">
        <f>+IF(AVANCE[[#This Row],[WC]]=Y$2,100%,AVANCE[[#This Row],[WC]])</f>
        <v>0</v>
      </c>
      <c r="BQ420" s="3">
        <f>+IF(AVANCE[[#This Row],[LAVAMANOS / LAVAPLATOS / LAVADERO]]=Z$2,100%,AVANCE[[#This Row],[LAVAMANOS / LAVAPLATOS / LAVADERO]])</f>
        <v>0</v>
      </c>
      <c r="BR420" s="3">
        <f>+IF(AVANCE[[#This Row],[CANALIZACIÓN]]=AC$2,100%,AVANCE[[#This Row],[CANALIZACIÓN]])</f>
        <v>0</v>
      </c>
      <c r="BS420" s="3">
        <f>+IF(AVANCE[[#This Row],[CABLEADO]]=AD$2,100%,AVANCE[[#This Row],[CABLEADO]])</f>
        <v>0</v>
      </c>
      <c r="BT420" s="3">
        <f>+IF(AVANCE[[#This Row],[ARTEFACTOS]]=AE$2,100%,AVANCE[[#This Row],[ARTEFACTOS]])</f>
        <v>0</v>
      </c>
      <c r="BU420" s="3">
        <f>+IF(AVANCE[[#This Row],[TABLERO]]=AF$2,100%,AVANCE[[#This Row],[TABLERO]])</f>
        <v>0</v>
      </c>
      <c r="BV420" s="3">
        <f>+IF(AVANCE[[#This Row],[CAJA PAU]]=AG$2,100%,AVANCE[[#This Row],[CAJA PAU]])</f>
        <v>0</v>
      </c>
      <c r="BW420" s="3">
        <f>+IF(AVANCE[[#This Row],[INSTALACION VINILICO]]=AJ$2,100%,AVANCE[[#This Row],[INSTALACION VINILICO]])</f>
        <v>0</v>
      </c>
      <c r="BX420" s="3">
        <f>+IF(AVANCE[[#This Row],[OSB CUBIERTA]]=AK$2,100%,AVANCE[[#This Row],[OSB CUBIERTA]])</f>
        <v>0</v>
      </c>
      <c r="BY420" s="3">
        <f>+IF(AVANCE[[#This Row],[BARANDA BALCON]]=AL$2,100%,AVANCE[[#This Row],[BARANDA BALCON]])</f>
        <v>0</v>
      </c>
      <c r="BZ420" s="3">
        <f>+IF(AVANCE[[#This Row],[OSB EXTERIOR]]=AM$2,100%,AVANCE[[#This Row],[OSB EXTERIOR]])</f>
        <v>0</v>
      </c>
      <c r="CA420" s="3">
        <f>+IF(AVANCE[[#This Row],[SMART PANEL]]=AN$2,100%,AVANCE[[#This Row],[SMART PANEL]])</f>
        <v>0</v>
      </c>
      <c r="CB420" s="3">
        <f>+IF(AVANCE[[#This Row],[PINTURA EXTERIOR]]=AO$2,100%,AVANCE[[#This Row],[PINTURA EXTERIOR]])</f>
        <v>0</v>
      </c>
      <c r="CC420" s="3">
        <f>+IF(AVANCE[[#This Row],[ZOCALOS LOGIA]]=AP$2,100%,AVANCE[[#This Row],[ZOCALOS LOGIA]])</f>
        <v>0</v>
      </c>
      <c r="CD420" s="3">
        <f>+IF(AVANCE[[#This Row],[MOLDURAS]]=AQ$2,100%,AVANCE[[#This Row],[MOLDURAS]])</f>
        <v>0</v>
      </c>
      <c r="CE420" s="3">
        <f>+IF(AVANCE[[#This Row],[PILASTREO]]=AR$2,100%,AVANCE[[#This Row],[PILASTREO]])</f>
        <v>0</v>
      </c>
      <c r="CF420" s="3">
        <f>+IF(AVANCE[[#This Row],[CELOSIAS]]=AS$2,100%,AVANCE[[#This Row],[CELOSIAS]])</f>
        <v>0</v>
      </c>
      <c r="CG420" s="3">
        <f>+IF(AVANCE[[#This Row],[VENTANAS]]=AT$2,100%,AVANCE[[#This Row],[VENTANAS]])</f>
        <v>0</v>
      </c>
      <c r="CH420" s="3">
        <f>+IF(AVANCE[[#This Row],[PUERTAS ACCESO - LOGIA - BANO]]=AU$2,100%,AVANCE[[#This Row],[PUERTAS ACCESO - LOGIA - BANO]])</f>
        <v>0</v>
      </c>
      <c r="CI420" s="3">
        <f>+IF(AVANCE[[#This Row],[CERRADURAS]]=AV$2,100%,AVANCE[[#This Row],[CERRADURAS]])</f>
        <v>0</v>
      </c>
      <c r="CJ420" s="3">
        <f>+IF(AVANCE[[#This Row],[REVESTIMIENTO INTERIOR ZONA SECA]]=AW$2,100%,AVANCE[[#This Row],[REVESTIMIENTO INTERIOR ZONA SECA]])</f>
        <v>0</v>
      </c>
      <c r="CK420" s="3">
        <f>+IF(AVANCE[[#This Row],[REVESTIMIENTO INTERIOR ZONAS HUMEDAS]]=AX$2,100%,AVANCE[[#This Row],[REVESTIMIENTO INTERIOR ZONAS HUMEDAS]])</f>
        <v>0</v>
      </c>
      <c r="CL420" s="3">
        <f>+IF(AVANCE[[#This Row],[MEMBRANA CIELO]]=AY$2,100%,AVANCE[[#This Row],[MEMBRANA CIELO]])</f>
        <v>0</v>
      </c>
      <c r="CM420" s="3">
        <f>+IF(AVANCE[[#This Row],[LIMPIEZA FINAL]]=AZ$2,100%,AVANCE[[#This Row],[LIMPIEZA FINAL]])</f>
        <v>0</v>
      </c>
      <c r="CN420" s="3">
        <f>+IF(AVANCE[[#This Row],[PUERTAS DORMITORIO]]=BA$2,100%,AVANCE[[#This Row],[PUERTAS DORMITORIO]])</f>
        <v>0</v>
      </c>
      <c r="CO420" s="3">
        <f>+IF(AVANCE[[#This Row],[REVESTIMIENTO INTERIOR BANO]]=BB$2,100%,AVANCE[[#This Row],[REVESTIMIENTO INTERIOR BANO]])</f>
        <v>0</v>
      </c>
      <c r="CP420" s="3">
        <f>+IF(AVANCE[[#This Row],[MUEBLE LAVAPLATOS]]=BC$2,100%,AVANCE[[#This Row],[MUEBLE LAVAPLATOS]])</f>
        <v>0</v>
      </c>
      <c r="CQ420" s="3">
        <f>+IF(AVANCE[[#This Row],[IMPERMEABILIZACION BANO - COCINA LOGIA]]=BD$2,100%,AVANCE[[#This Row],[IMPERMEABILIZACION BANO - COCINA LOGIA]])</f>
        <v>0</v>
      </c>
      <c r="CR420" s="40">
        <f ca="1">+IF(AVANCE[[#This Row],[ESTADO MODULO]]="PENDIENTE",(TODAY()-AVANCE[[#This Row],[FECHA TERMINO  PLANIFICADO]]),0)</f>
        <v>0</v>
      </c>
      <c r="CS420" s="42" t="str" cm="1">
        <f t="array" ref="CS420">_xlfn.TEXTJOIN(" | ",TRUE,IF(SUMPRODUCT((BF420:CQ420&lt;1)*(PARTIDAS!$I$2:$AT$2="OBRA GRUESA"))&gt;0,"OBRA GRUESA: "&amp;_xlfn.TEXTJOIN(", ",TRUE,IF((BF420:CQ420&lt;1)*(PARTIDAS!$I$2:$AT$2="OBRA GRUESA"),PARTIDAS!$I$1:$AT$1,"")),""),IF(SUMPRODUCT((BF420:CQ420&lt;1)*(PARTIDAS!$I$2:$AT$2="SANITARIOS"))&gt;0,"SANITARIOS: "&amp;_xlfn.TEXTJOIN(", ",TRUE,IF((BF420:CQ420&lt;1)*(PARTIDAS!$I$2:$AT$2="SANITARIOS"),PARTIDAS!$I$1:$AT$1,"")),""),IF(SUMPRODUCT((BF420:CQ420&lt;1)*(PARTIDAS!$I$2:$AT$2="ELÉCTRICO"))&gt;0,"ELÉCTRICO: "&amp;_xlfn.TEXTJOIN(", ",TRUE,IF((BF420:CQ420&lt;1)*(PARTIDAS!$I$2:$AT$2="ELÉCTRICO"),PARTIDAS!$I$1:$AT$1,"")),""),IF(SUMPRODUCT((BF420:CQ420&lt;1)*(PARTIDAS!$I$2:$AT$2="TERMINACIONES"))&gt;0,"TERMINACIONES: "&amp;_xlfn.TEXTJOIN(", ",TRUE,IF((BF420:CQ420&lt;1)*(PARTIDAS!$I$2:$AT$2="TERMINACIONES"),PARTIDAS!$I$1:$AT$1,"")),""))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0" s="45" t="str" cm="1">
        <f t="array" ref="CT420">_xlfn.TEXTJOIN(", ",TRUE,IF(SUMPRODUCT((BF420:CQ420&lt;1)*(PARTIDAS!$I$2:$AT$2="OBRA GRUESA"))&gt;0,"OBRA GRUESA",""),IF(SUMPRODUCT((BF420:CQ420&lt;1)*(PARTIDAS!$I$2:$AT$2="SANITARIOS"))&gt;0,"SANITARIOS",""),IF(SUMPRODUCT((BF420:CQ420&lt;1)*(PARTIDAS!$I$2:$AT$2="ELÉCTRICO"))&gt;0,"ELÉCTRICO",""),IF(SUMPRODUCT((BF420:CQ420&lt;1)*(PARTIDAS!$I$2:$AT$2="TERMINACIONES"))&gt;0,"TERMINACIONES",""))</f>
        <v>OBRA GRUESA, SANITARIOS, ELÉCTRICO, TERMINACIONES</v>
      </c>
      <c r="CU420" s="46" cm="1">
        <f t="array" ref="CU420">SUMPRODUCT(--(BF420:CQ420&lt;1))</f>
        <v>38</v>
      </c>
    </row>
    <row r="421" spans="1:99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46181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 s="3" t="str">
        <f>+IF(AVANCE[[#This Row],[% AVANCE]]=100%,"MODULO TERMINADO",IF(AVANCE[[#This Row],[FECHA INICIO REAL]]="","MODULO NO INICIADO","PENDIENTE"))</f>
        <v>MODULO NO INICIADO</v>
      </c>
      <c r="BF421" s="3">
        <f>+IF(AVANCE[[#This Row],[VENTANAS]]=8.10810810810811%,100%,AVANCE[[#This Row],[VENTANAS]])</f>
        <v>0</v>
      </c>
      <c r="BG421" s="3">
        <f>+IF(AVANCE[[#This Row],[PISO]]=N$2,100%,AVANCE[[#This Row],[PISO]])</f>
        <v>0</v>
      </c>
      <c r="BH421" s="3">
        <f>+IF(AVANCE[[#This Row],[TABIQUES]]=O$2,100%,AVANCE[[#This Row],[TABIQUES]])</f>
        <v>0</v>
      </c>
      <c r="BI421" s="3">
        <f>+IF(AVANCE[[#This Row],[MUROS]]=P$2,100%,AVANCE[[#This Row],[MUROS]])</f>
        <v>0</v>
      </c>
      <c r="BJ421" s="3">
        <f>+IF(AVANCE[[#This Row],[CIELO]]=Q$2,100%,AVANCE[[#This Row],[CIELO]])</f>
        <v>0</v>
      </c>
      <c r="BK421" s="3">
        <f>+IF(AVANCE[[#This Row],[BALCÓN]]=R$2,100%,AVANCE[[#This Row],[BALCÓN]])</f>
        <v>0</v>
      </c>
      <c r="BL421" s="3">
        <f>+IF(AVANCE[[#This Row],[RED ALCANTARILLADO]]=U$2,100%,AVANCE[[#This Row],[RED ALCANTARILLADO]])</f>
        <v>0</v>
      </c>
      <c r="BM421" s="3">
        <f>+IF(AVANCE[[#This Row],[RED DE AGUA]]=V$2,100%,AVANCE[[#This Row],[RED DE AGUA]])</f>
        <v>0</v>
      </c>
      <c r="BN421" s="3">
        <f>+IF(AVANCE[[#This Row],[VENTILACIONES]]=W$2,100%,AVANCE[[#This Row],[VENTILACIONES]])</f>
        <v>0</v>
      </c>
      <c r="BO421" s="3">
        <f>+IF(AVANCE[[#This Row],[TINA]]=X$2,100%,AVANCE[[#This Row],[TINA]])</f>
        <v>0</v>
      </c>
      <c r="BP421" s="3">
        <f>+IF(AVANCE[[#This Row],[WC]]=Y$2,100%,AVANCE[[#This Row],[WC]])</f>
        <v>0</v>
      </c>
      <c r="BQ421" s="3">
        <f>+IF(AVANCE[[#This Row],[LAVAMANOS / LAVAPLATOS / LAVADERO]]=Z$2,100%,AVANCE[[#This Row],[LAVAMANOS / LAVAPLATOS / LAVADERO]])</f>
        <v>0</v>
      </c>
      <c r="BR421" s="3">
        <f>+IF(AVANCE[[#This Row],[CANALIZACIÓN]]=AC$2,100%,AVANCE[[#This Row],[CANALIZACIÓN]])</f>
        <v>0</v>
      </c>
      <c r="BS421" s="3">
        <f>+IF(AVANCE[[#This Row],[CABLEADO]]=AD$2,100%,AVANCE[[#This Row],[CABLEADO]])</f>
        <v>0</v>
      </c>
      <c r="BT421" s="3">
        <f>+IF(AVANCE[[#This Row],[ARTEFACTOS]]=AE$2,100%,AVANCE[[#This Row],[ARTEFACTOS]])</f>
        <v>0</v>
      </c>
      <c r="BU421" s="3">
        <f>+IF(AVANCE[[#This Row],[TABLERO]]=AF$2,100%,AVANCE[[#This Row],[TABLERO]])</f>
        <v>0</v>
      </c>
      <c r="BV421" s="3">
        <f>+IF(AVANCE[[#This Row],[CAJA PAU]]=AG$2,100%,AVANCE[[#This Row],[CAJA PAU]])</f>
        <v>0</v>
      </c>
      <c r="BW421" s="3">
        <f>+IF(AVANCE[[#This Row],[INSTALACION VINILICO]]=AJ$2,100%,AVANCE[[#This Row],[INSTALACION VINILICO]])</f>
        <v>0</v>
      </c>
      <c r="BX421" s="3">
        <f>+IF(AVANCE[[#This Row],[OSB CUBIERTA]]=AK$2,100%,AVANCE[[#This Row],[OSB CUBIERTA]])</f>
        <v>0</v>
      </c>
      <c r="BY421" s="3">
        <f>+IF(AVANCE[[#This Row],[BARANDA BALCON]]=AL$2,100%,AVANCE[[#This Row],[BARANDA BALCON]])</f>
        <v>0</v>
      </c>
      <c r="BZ421" s="3">
        <f>+IF(AVANCE[[#This Row],[OSB EXTERIOR]]=AM$2,100%,AVANCE[[#This Row],[OSB EXTERIOR]])</f>
        <v>0</v>
      </c>
      <c r="CA421" s="3">
        <f>+IF(AVANCE[[#This Row],[SMART PANEL]]=AN$2,100%,AVANCE[[#This Row],[SMART PANEL]])</f>
        <v>0</v>
      </c>
      <c r="CB421" s="3">
        <f>+IF(AVANCE[[#This Row],[PINTURA EXTERIOR]]=AO$2,100%,AVANCE[[#This Row],[PINTURA EXTERIOR]])</f>
        <v>0</v>
      </c>
      <c r="CC421" s="3">
        <f>+IF(AVANCE[[#This Row],[ZOCALOS LOGIA]]=AP$2,100%,AVANCE[[#This Row],[ZOCALOS LOGIA]])</f>
        <v>0</v>
      </c>
      <c r="CD421" s="3">
        <f>+IF(AVANCE[[#This Row],[MOLDURAS]]=AQ$2,100%,AVANCE[[#This Row],[MOLDURAS]])</f>
        <v>0</v>
      </c>
      <c r="CE421" s="3">
        <f>+IF(AVANCE[[#This Row],[PILASTREO]]=AR$2,100%,AVANCE[[#This Row],[PILASTREO]])</f>
        <v>0</v>
      </c>
      <c r="CF421" s="3">
        <f>+IF(AVANCE[[#This Row],[CELOSIAS]]=AS$2,100%,AVANCE[[#This Row],[CELOSIAS]])</f>
        <v>0</v>
      </c>
      <c r="CG421" s="3">
        <f>+IF(AVANCE[[#This Row],[VENTANAS]]=AT$2,100%,AVANCE[[#This Row],[VENTANAS]])</f>
        <v>0</v>
      </c>
      <c r="CH421" s="3">
        <f>+IF(AVANCE[[#This Row],[PUERTAS ACCESO - LOGIA - BANO]]=AU$2,100%,AVANCE[[#This Row],[PUERTAS ACCESO - LOGIA - BANO]])</f>
        <v>0</v>
      </c>
      <c r="CI421" s="3">
        <f>+IF(AVANCE[[#This Row],[CERRADURAS]]=AV$2,100%,AVANCE[[#This Row],[CERRADURAS]])</f>
        <v>0</v>
      </c>
      <c r="CJ421" s="3">
        <f>+IF(AVANCE[[#This Row],[REVESTIMIENTO INTERIOR ZONA SECA]]=AW$2,100%,AVANCE[[#This Row],[REVESTIMIENTO INTERIOR ZONA SECA]])</f>
        <v>0</v>
      </c>
      <c r="CK421" s="3">
        <f>+IF(AVANCE[[#This Row],[REVESTIMIENTO INTERIOR ZONAS HUMEDAS]]=AX$2,100%,AVANCE[[#This Row],[REVESTIMIENTO INTERIOR ZONAS HUMEDAS]])</f>
        <v>0</v>
      </c>
      <c r="CL421" s="3">
        <f>+IF(AVANCE[[#This Row],[MEMBRANA CIELO]]=AY$2,100%,AVANCE[[#This Row],[MEMBRANA CIELO]])</f>
        <v>0</v>
      </c>
      <c r="CM421" s="3">
        <f>+IF(AVANCE[[#This Row],[LIMPIEZA FINAL]]=AZ$2,100%,AVANCE[[#This Row],[LIMPIEZA FINAL]])</f>
        <v>0</v>
      </c>
      <c r="CN421" s="3">
        <f>+IF(AVANCE[[#This Row],[PUERTAS DORMITORIO]]=BA$2,100%,AVANCE[[#This Row],[PUERTAS DORMITORIO]])</f>
        <v>0</v>
      </c>
      <c r="CO421" s="3">
        <f>+IF(AVANCE[[#This Row],[REVESTIMIENTO INTERIOR BANO]]=BB$2,100%,AVANCE[[#This Row],[REVESTIMIENTO INTERIOR BANO]])</f>
        <v>0</v>
      </c>
      <c r="CP421" s="3">
        <f>+IF(AVANCE[[#This Row],[MUEBLE LAVAPLATOS]]=BC$2,100%,AVANCE[[#This Row],[MUEBLE LAVAPLATOS]])</f>
        <v>0</v>
      </c>
      <c r="CQ421" s="3">
        <f>+IF(AVANCE[[#This Row],[IMPERMEABILIZACION BANO - COCINA LOGIA]]=BD$2,100%,AVANCE[[#This Row],[IMPERMEABILIZACION BANO - COCINA LOGIA]])</f>
        <v>0</v>
      </c>
      <c r="CR421" s="40">
        <f ca="1">+IF(AVANCE[[#This Row],[ESTADO MODULO]]="PENDIENTE",(TODAY()-AVANCE[[#This Row],[FECHA TERMINO  PLANIFICADO]]),0)</f>
        <v>0</v>
      </c>
      <c r="CS421" s="42" t="str" cm="1">
        <f t="array" ref="CS421">_xlfn.TEXTJOIN(" | ",TRUE,IF(SUMPRODUCT((BF421:CQ421&lt;1)*(PARTIDAS!$I$2:$AT$2="OBRA GRUESA"))&gt;0,"OBRA GRUESA: "&amp;_xlfn.TEXTJOIN(", ",TRUE,IF((BF421:CQ421&lt;1)*(PARTIDAS!$I$2:$AT$2="OBRA GRUESA"),PARTIDAS!$I$1:$AT$1,"")),""),IF(SUMPRODUCT((BF421:CQ421&lt;1)*(PARTIDAS!$I$2:$AT$2="SANITARIOS"))&gt;0,"SANITARIOS: "&amp;_xlfn.TEXTJOIN(", ",TRUE,IF((BF421:CQ421&lt;1)*(PARTIDAS!$I$2:$AT$2="SANITARIOS"),PARTIDAS!$I$1:$AT$1,"")),""),IF(SUMPRODUCT((BF421:CQ421&lt;1)*(PARTIDAS!$I$2:$AT$2="ELÉCTRICO"))&gt;0,"ELÉCTRICO: "&amp;_xlfn.TEXTJOIN(", ",TRUE,IF((BF421:CQ421&lt;1)*(PARTIDAS!$I$2:$AT$2="ELÉCTRICO"),PARTIDAS!$I$1:$AT$1,"")),""),IF(SUMPRODUCT((BF421:CQ421&lt;1)*(PARTIDAS!$I$2:$AT$2="TERMINACIONES"))&gt;0,"TERMINACIONES: "&amp;_xlfn.TEXTJOIN(", ",TRUE,IF((BF421:CQ421&lt;1)*(PARTIDAS!$I$2:$AT$2="TERMINACIONES"),PARTIDAS!$I$1:$AT$1,"")),""))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1" s="45" t="str" cm="1">
        <f t="array" ref="CT421">_xlfn.TEXTJOIN(", ",TRUE,IF(SUMPRODUCT((BF421:CQ421&lt;1)*(PARTIDAS!$I$2:$AT$2="OBRA GRUESA"))&gt;0,"OBRA GRUESA",""),IF(SUMPRODUCT((BF421:CQ421&lt;1)*(PARTIDAS!$I$2:$AT$2="SANITARIOS"))&gt;0,"SANITARIOS",""),IF(SUMPRODUCT((BF421:CQ421&lt;1)*(PARTIDAS!$I$2:$AT$2="ELÉCTRICO"))&gt;0,"ELÉCTRICO",""),IF(SUMPRODUCT((BF421:CQ421&lt;1)*(PARTIDAS!$I$2:$AT$2="TERMINACIONES"))&gt;0,"TERMINACIONES",""))</f>
        <v>OBRA GRUESA, SANITARIOS, ELÉCTRICO, TERMINACIONES</v>
      </c>
      <c r="CU421" s="46" cm="1">
        <f t="array" ref="CU421">SUMPRODUCT(--(BF421:CQ421&lt;1))</f>
        <v>38</v>
      </c>
    </row>
    <row r="422" spans="1:99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46181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 s="3" t="str">
        <f>+IF(AVANCE[[#This Row],[% AVANCE]]=100%,"MODULO TERMINADO",IF(AVANCE[[#This Row],[FECHA INICIO REAL]]="","MODULO NO INICIADO","PENDIENTE"))</f>
        <v>MODULO NO INICIADO</v>
      </c>
      <c r="BF422" s="3">
        <f>+IF(AVANCE[[#This Row],[VENTANAS]]=8.10810810810811%,100%,AVANCE[[#This Row],[VENTANAS]])</f>
        <v>0</v>
      </c>
      <c r="BG422" s="3">
        <f>+IF(AVANCE[[#This Row],[PISO]]=N$2,100%,AVANCE[[#This Row],[PISO]])</f>
        <v>0</v>
      </c>
      <c r="BH422" s="3">
        <f>+IF(AVANCE[[#This Row],[TABIQUES]]=O$2,100%,AVANCE[[#This Row],[TABIQUES]])</f>
        <v>0</v>
      </c>
      <c r="BI422" s="3">
        <f>+IF(AVANCE[[#This Row],[MUROS]]=P$2,100%,AVANCE[[#This Row],[MUROS]])</f>
        <v>0</v>
      </c>
      <c r="BJ422" s="3">
        <f>+IF(AVANCE[[#This Row],[CIELO]]=Q$2,100%,AVANCE[[#This Row],[CIELO]])</f>
        <v>0</v>
      </c>
      <c r="BK422" s="3">
        <f>+IF(AVANCE[[#This Row],[BALCÓN]]=R$2,100%,AVANCE[[#This Row],[BALCÓN]])</f>
        <v>0</v>
      </c>
      <c r="BL422" s="3">
        <f>+IF(AVANCE[[#This Row],[RED ALCANTARILLADO]]=U$2,100%,AVANCE[[#This Row],[RED ALCANTARILLADO]])</f>
        <v>0</v>
      </c>
      <c r="BM422" s="3">
        <f>+IF(AVANCE[[#This Row],[RED DE AGUA]]=V$2,100%,AVANCE[[#This Row],[RED DE AGUA]])</f>
        <v>0</v>
      </c>
      <c r="BN422" s="3">
        <f>+IF(AVANCE[[#This Row],[VENTILACIONES]]=W$2,100%,AVANCE[[#This Row],[VENTILACIONES]])</f>
        <v>0</v>
      </c>
      <c r="BO422" s="3">
        <f>+IF(AVANCE[[#This Row],[TINA]]=X$2,100%,AVANCE[[#This Row],[TINA]])</f>
        <v>0</v>
      </c>
      <c r="BP422" s="3">
        <f>+IF(AVANCE[[#This Row],[WC]]=Y$2,100%,AVANCE[[#This Row],[WC]])</f>
        <v>0</v>
      </c>
      <c r="BQ422" s="3">
        <f>+IF(AVANCE[[#This Row],[LAVAMANOS / LAVAPLATOS / LAVADERO]]=Z$2,100%,AVANCE[[#This Row],[LAVAMANOS / LAVAPLATOS / LAVADERO]])</f>
        <v>0</v>
      </c>
      <c r="BR422" s="3">
        <f>+IF(AVANCE[[#This Row],[CANALIZACIÓN]]=AC$2,100%,AVANCE[[#This Row],[CANALIZACIÓN]])</f>
        <v>0</v>
      </c>
      <c r="BS422" s="3">
        <f>+IF(AVANCE[[#This Row],[CABLEADO]]=AD$2,100%,AVANCE[[#This Row],[CABLEADO]])</f>
        <v>0</v>
      </c>
      <c r="BT422" s="3">
        <f>+IF(AVANCE[[#This Row],[ARTEFACTOS]]=AE$2,100%,AVANCE[[#This Row],[ARTEFACTOS]])</f>
        <v>0</v>
      </c>
      <c r="BU422" s="3">
        <f>+IF(AVANCE[[#This Row],[TABLERO]]=AF$2,100%,AVANCE[[#This Row],[TABLERO]])</f>
        <v>0</v>
      </c>
      <c r="BV422" s="3">
        <f>+IF(AVANCE[[#This Row],[CAJA PAU]]=AG$2,100%,AVANCE[[#This Row],[CAJA PAU]])</f>
        <v>0</v>
      </c>
      <c r="BW422" s="3">
        <f>+IF(AVANCE[[#This Row],[INSTALACION VINILICO]]=AJ$2,100%,AVANCE[[#This Row],[INSTALACION VINILICO]])</f>
        <v>0</v>
      </c>
      <c r="BX422" s="3">
        <f>+IF(AVANCE[[#This Row],[OSB CUBIERTA]]=AK$2,100%,AVANCE[[#This Row],[OSB CUBIERTA]])</f>
        <v>0</v>
      </c>
      <c r="BY422" s="3">
        <f>+IF(AVANCE[[#This Row],[BARANDA BALCON]]=AL$2,100%,AVANCE[[#This Row],[BARANDA BALCON]])</f>
        <v>0</v>
      </c>
      <c r="BZ422" s="3">
        <f>+IF(AVANCE[[#This Row],[OSB EXTERIOR]]=AM$2,100%,AVANCE[[#This Row],[OSB EXTERIOR]])</f>
        <v>0</v>
      </c>
      <c r="CA422" s="3">
        <f>+IF(AVANCE[[#This Row],[SMART PANEL]]=AN$2,100%,AVANCE[[#This Row],[SMART PANEL]])</f>
        <v>0</v>
      </c>
      <c r="CB422" s="3">
        <f>+IF(AVANCE[[#This Row],[PINTURA EXTERIOR]]=AO$2,100%,AVANCE[[#This Row],[PINTURA EXTERIOR]])</f>
        <v>0</v>
      </c>
      <c r="CC422" s="3">
        <f>+IF(AVANCE[[#This Row],[ZOCALOS LOGIA]]=AP$2,100%,AVANCE[[#This Row],[ZOCALOS LOGIA]])</f>
        <v>0</v>
      </c>
      <c r="CD422" s="3">
        <f>+IF(AVANCE[[#This Row],[MOLDURAS]]=AQ$2,100%,AVANCE[[#This Row],[MOLDURAS]])</f>
        <v>0</v>
      </c>
      <c r="CE422" s="3">
        <f>+IF(AVANCE[[#This Row],[PILASTREO]]=AR$2,100%,AVANCE[[#This Row],[PILASTREO]])</f>
        <v>0</v>
      </c>
      <c r="CF422" s="3">
        <f>+IF(AVANCE[[#This Row],[CELOSIAS]]=AS$2,100%,AVANCE[[#This Row],[CELOSIAS]])</f>
        <v>0</v>
      </c>
      <c r="CG422" s="3">
        <f>+IF(AVANCE[[#This Row],[VENTANAS]]=AT$2,100%,AVANCE[[#This Row],[VENTANAS]])</f>
        <v>0</v>
      </c>
      <c r="CH422" s="3">
        <f>+IF(AVANCE[[#This Row],[PUERTAS ACCESO - LOGIA - BANO]]=AU$2,100%,AVANCE[[#This Row],[PUERTAS ACCESO - LOGIA - BANO]])</f>
        <v>0</v>
      </c>
      <c r="CI422" s="3">
        <f>+IF(AVANCE[[#This Row],[CERRADURAS]]=AV$2,100%,AVANCE[[#This Row],[CERRADURAS]])</f>
        <v>0</v>
      </c>
      <c r="CJ422" s="3">
        <f>+IF(AVANCE[[#This Row],[REVESTIMIENTO INTERIOR ZONA SECA]]=AW$2,100%,AVANCE[[#This Row],[REVESTIMIENTO INTERIOR ZONA SECA]])</f>
        <v>0</v>
      </c>
      <c r="CK422" s="3">
        <f>+IF(AVANCE[[#This Row],[REVESTIMIENTO INTERIOR ZONAS HUMEDAS]]=AX$2,100%,AVANCE[[#This Row],[REVESTIMIENTO INTERIOR ZONAS HUMEDAS]])</f>
        <v>0</v>
      </c>
      <c r="CL422" s="3">
        <f>+IF(AVANCE[[#This Row],[MEMBRANA CIELO]]=AY$2,100%,AVANCE[[#This Row],[MEMBRANA CIELO]])</f>
        <v>0</v>
      </c>
      <c r="CM422" s="3">
        <f>+IF(AVANCE[[#This Row],[LIMPIEZA FINAL]]=AZ$2,100%,AVANCE[[#This Row],[LIMPIEZA FINAL]])</f>
        <v>0</v>
      </c>
      <c r="CN422" s="3">
        <f>+IF(AVANCE[[#This Row],[PUERTAS DORMITORIO]]=BA$2,100%,AVANCE[[#This Row],[PUERTAS DORMITORIO]])</f>
        <v>0</v>
      </c>
      <c r="CO422" s="3">
        <f>+IF(AVANCE[[#This Row],[REVESTIMIENTO INTERIOR BANO]]=BB$2,100%,AVANCE[[#This Row],[REVESTIMIENTO INTERIOR BANO]])</f>
        <v>0</v>
      </c>
      <c r="CP422" s="3">
        <f>+IF(AVANCE[[#This Row],[MUEBLE LAVAPLATOS]]=BC$2,100%,AVANCE[[#This Row],[MUEBLE LAVAPLATOS]])</f>
        <v>0</v>
      </c>
      <c r="CQ422" s="3">
        <f>+IF(AVANCE[[#This Row],[IMPERMEABILIZACION BANO - COCINA LOGIA]]=BD$2,100%,AVANCE[[#This Row],[IMPERMEABILIZACION BANO - COCINA LOGIA]])</f>
        <v>0</v>
      </c>
      <c r="CR422" s="40">
        <f ca="1">+IF(AVANCE[[#This Row],[ESTADO MODULO]]="PENDIENTE",(TODAY()-AVANCE[[#This Row],[FECHA TERMINO  PLANIFICADO]]),0)</f>
        <v>0</v>
      </c>
      <c r="CS422" s="42" t="str" cm="1">
        <f t="array" ref="CS422">_xlfn.TEXTJOIN(" | ",TRUE,IF(SUMPRODUCT((BF422:CQ422&lt;1)*(PARTIDAS!$I$2:$AT$2="OBRA GRUESA"))&gt;0,"OBRA GRUESA: "&amp;_xlfn.TEXTJOIN(", ",TRUE,IF((BF422:CQ422&lt;1)*(PARTIDAS!$I$2:$AT$2="OBRA GRUESA"),PARTIDAS!$I$1:$AT$1,"")),""),IF(SUMPRODUCT((BF422:CQ422&lt;1)*(PARTIDAS!$I$2:$AT$2="SANITARIOS"))&gt;0,"SANITARIOS: "&amp;_xlfn.TEXTJOIN(", ",TRUE,IF((BF422:CQ422&lt;1)*(PARTIDAS!$I$2:$AT$2="SANITARIOS"),PARTIDAS!$I$1:$AT$1,"")),""),IF(SUMPRODUCT((BF422:CQ422&lt;1)*(PARTIDAS!$I$2:$AT$2="ELÉCTRICO"))&gt;0,"ELÉCTRICO: "&amp;_xlfn.TEXTJOIN(", ",TRUE,IF((BF422:CQ422&lt;1)*(PARTIDAS!$I$2:$AT$2="ELÉCTRICO"),PARTIDAS!$I$1:$AT$1,"")),""),IF(SUMPRODUCT((BF422:CQ422&lt;1)*(PARTIDAS!$I$2:$AT$2="TERMINACIONES"))&gt;0,"TERMINACIONES: "&amp;_xlfn.TEXTJOIN(", ",TRUE,IF((BF422:CQ422&lt;1)*(PARTIDAS!$I$2:$AT$2="TERMINACIONES"),PARTIDAS!$I$1:$AT$1,"")),""))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2" s="45" t="str" cm="1">
        <f t="array" ref="CT422">_xlfn.TEXTJOIN(", ",TRUE,IF(SUMPRODUCT((BF422:CQ422&lt;1)*(PARTIDAS!$I$2:$AT$2="OBRA GRUESA"))&gt;0,"OBRA GRUESA",""),IF(SUMPRODUCT((BF422:CQ422&lt;1)*(PARTIDAS!$I$2:$AT$2="SANITARIOS"))&gt;0,"SANITARIOS",""),IF(SUMPRODUCT((BF422:CQ422&lt;1)*(PARTIDAS!$I$2:$AT$2="ELÉCTRICO"))&gt;0,"ELÉCTRICO",""),IF(SUMPRODUCT((BF422:CQ422&lt;1)*(PARTIDAS!$I$2:$AT$2="TERMINACIONES"))&gt;0,"TERMINACIONES",""))</f>
        <v>OBRA GRUESA, SANITARIOS, ELÉCTRICO, TERMINACIONES</v>
      </c>
      <c r="CU422" s="46" cm="1">
        <f t="array" ref="CU422">SUMPRODUCT(--(BF422:CQ422&lt;1))</f>
        <v>38</v>
      </c>
    </row>
    <row r="423" spans="1:99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46181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 s="3" t="str">
        <f>+IF(AVANCE[[#This Row],[% AVANCE]]=100%,"MODULO TERMINADO",IF(AVANCE[[#This Row],[FECHA INICIO REAL]]="","MODULO NO INICIADO","PENDIENTE"))</f>
        <v>MODULO NO INICIADO</v>
      </c>
      <c r="BF423" s="3">
        <f>+IF(AVANCE[[#This Row],[VENTANAS]]=8.10810810810811%,100%,AVANCE[[#This Row],[VENTANAS]])</f>
        <v>0</v>
      </c>
      <c r="BG423" s="3">
        <f>+IF(AVANCE[[#This Row],[PISO]]=N$2,100%,AVANCE[[#This Row],[PISO]])</f>
        <v>0</v>
      </c>
      <c r="BH423" s="3">
        <f>+IF(AVANCE[[#This Row],[TABIQUES]]=O$2,100%,AVANCE[[#This Row],[TABIQUES]])</f>
        <v>0</v>
      </c>
      <c r="BI423" s="3">
        <f>+IF(AVANCE[[#This Row],[MUROS]]=P$2,100%,AVANCE[[#This Row],[MUROS]])</f>
        <v>0</v>
      </c>
      <c r="BJ423" s="3">
        <f>+IF(AVANCE[[#This Row],[CIELO]]=Q$2,100%,AVANCE[[#This Row],[CIELO]])</f>
        <v>0</v>
      </c>
      <c r="BK423" s="3">
        <f>+IF(AVANCE[[#This Row],[BALCÓN]]=R$2,100%,AVANCE[[#This Row],[BALCÓN]])</f>
        <v>0</v>
      </c>
      <c r="BL423" s="3">
        <f>+IF(AVANCE[[#This Row],[RED ALCANTARILLADO]]=U$2,100%,AVANCE[[#This Row],[RED ALCANTARILLADO]])</f>
        <v>0</v>
      </c>
      <c r="BM423" s="3">
        <f>+IF(AVANCE[[#This Row],[RED DE AGUA]]=V$2,100%,AVANCE[[#This Row],[RED DE AGUA]])</f>
        <v>0</v>
      </c>
      <c r="BN423" s="3">
        <f>+IF(AVANCE[[#This Row],[VENTILACIONES]]=W$2,100%,AVANCE[[#This Row],[VENTILACIONES]])</f>
        <v>0</v>
      </c>
      <c r="BO423" s="3">
        <f>+IF(AVANCE[[#This Row],[TINA]]=X$2,100%,AVANCE[[#This Row],[TINA]])</f>
        <v>0</v>
      </c>
      <c r="BP423" s="3">
        <f>+IF(AVANCE[[#This Row],[WC]]=Y$2,100%,AVANCE[[#This Row],[WC]])</f>
        <v>0</v>
      </c>
      <c r="BQ423" s="3">
        <f>+IF(AVANCE[[#This Row],[LAVAMANOS / LAVAPLATOS / LAVADERO]]=Z$2,100%,AVANCE[[#This Row],[LAVAMANOS / LAVAPLATOS / LAVADERO]])</f>
        <v>0</v>
      </c>
      <c r="BR423" s="3">
        <f>+IF(AVANCE[[#This Row],[CANALIZACIÓN]]=AC$2,100%,AVANCE[[#This Row],[CANALIZACIÓN]])</f>
        <v>0</v>
      </c>
      <c r="BS423" s="3">
        <f>+IF(AVANCE[[#This Row],[CABLEADO]]=AD$2,100%,AVANCE[[#This Row],[CABLEADO]])</f>
        <v>0</v>
      </c>
      <c r="BT423" s="3">
        <f>+IF(AVANCE[[#This Row],[ARTEFACTOS]]=AE$2,100%,AVANCE[[#This Row],[ARTEFACTOS]])</f>
        <v>0</v>
      </c>
      <c r="BU423" s="3">
        <f>+IF(AVANCE[[#This Row],[TABLERO]]=AF$2,100%,AVANCE[[#This Row],[TABLERO]])</f>
        <v>0</v>
      </c>
      <c r="BV423" s="3">
        <f>+IF(AVANCE[[#This Row],[CAJA PAU]]=AG$2,100%,AVANCE[[#This Row],[CAJA PAU]])</f>
        <v>0</v>
      </c>
      <c r="BW423" s="3">
        <f>+IF(AVANCE[[#This Row],[INSTALACION VINILICO]]=AJ$2,100%,AVANCE[[#This Row],[INSTALACION VINILICO]])</f>
        <v>0</v>
      </c>
      <c r="BX423" s="3">
        <f>+IF(AVANCE[[#This Row],[OSB CUBIERTA]]=AK$2,100%,AVANCE[[#This Row],[OSB CUBIERTA]])</f>
        <v>0</v>
      </c>
      <c r="BY423" s="3">
        <f>+IF(AVANCE[[#This Row],[BARANDA BALCON]]=AL$2,100%,AVANCE[[#This Row],[BARANDA BALCON]])</f>
        <v>0</v>
      </c>
      <c r="BZ423" s="3">
        <f>+IF(AVANCE[[#This Row],[OSB EXTERIOR]]=AM$2,100%,AVANCE[[#This Row],[OSB EXTERIOR]])</f>
        <v>0</v>
      </c>
      <c r="CA423" s="3">
        <f>+IF(AVANCE[[#This Row],[SMART PANEL]]=AN$2,100%,AVANCE[[#This Row],[SMART PANEL]])</f>
        <v>0</v>
      </c>
      <c r="CB423" s="3">
        <f>+IF(AVANCE[[#This Row],[PINTURA EXTERIOR]]=AO$2,100%,AVANCE[[#This Row],[PINTURA EXTERIOR]])</f>
        <v>0</v>
      </c>
      <c r="CC423" s="3">
        <f>+IF(AVANCE[[#This Row],[ZOCALOS LOGIA]]=AP$2,100%,AVANCE[[#This Row],[ZOCALOS LOGIA]])</f>
        <v>0</v>
      </c>
      <c r="CD423" s="3">
        <f>+IF(AVANCE[[#This Row],[MOLDURAS]]=AQ$2,100%,AVANCE[[#This Row],[MOLDURAS]])</f>
        <v>0</v>
      </c>
      <c r="CE423" s="3">
        <f>+IF(AVANCE[[#This Row],[PILASTREO]]=AR$2,100%,AVANCE[[#This Row],[PILASTREO]])</f>
        <v>0</v>
      </c>
      <c r="CF423" s="3">
        <f>+IF(AVANCE[[#This Row],[CELOSIAS]]=AS$2,100%,AVANCE[[#This Row],[CELOSIAS]])</f>
        <v>0</v>
      </c>
      <c r="CG423" s="3">
        <f>+IF(AVANCE[[#This Row],[VENTANAS]]=AT$2,100%,AVANCE[[#This Row],[VENTANAS]])</f>
        <v>0</v>
      </c>
      <c r="CH423" s="3">
        <f>+IF(AVANCE[[#This Row],[PUERTAS ACCESO - LOGIA - BANO]]=AU$2,100%,AVANCE[[#This Row],[PUERTAS ACCESO - LOGIA - BANO]])</f>
        <v>0</v>
      </c>
      <c r="CI423" s="3">
        <f>+IF(AVANCE[[#This Row],[CERRADURAS]]=AV$2,100%,AVANCE[[#This Row],[CERRADURAS]])</f>
        <v>0</v>
      </c>
      <c r="CJ423" s="3">
        <f>+IF(AVANCE[[#This Row],[REVESTIMIENTO INTERIOR ZONA SECA]]=AW$2,100%,AVANCE[[#This Row],[REVESTIMIENTO INTERIOR ZONA SECA]])</f>
        <v>0</v>
      </c>
      <c r="CK423" s="3">
        <f>+IF(AVANCE[[#This Row],[REVESTIMIENTO INTERIOR ZONAS HUMEDAS]]=AX$2,100%,AVANCE[[#This Row],[REVESTIMIENTO INTERIOR ZONAS HUMEDAS]])</f>
        <v>0</v>
      </c>
      <c r="CL423" s="3">
        <f>+IF(AVANCE[[#This Row],[MEMBRANA CIELO]]=AY$2,100%,AVANCE[[#This Row],[MEMBRANA CIELO]])</f>
        <v>0</v>
      </c>
      <c r="CM423" s="3">
        <f>+IF(AVANCE[[#This Row],[LIMPIEZA FINAL]]=AZ$2,100%,AVANCE[[#This Row],[LIMPIEZA FINAL]])</f>
        <v>0</v>
      </c>
      <c r="CN423" s="3">
        <f>+IF(AVANCE[[#This Row],[PUERTAS DORMITORIO]]=BA$2,100%,AVANCE[[#This Row],[PUERTAS DORMITORIO]])</f>
        <v>0</v>
      </c>
      <c r="CO423" s="3">
        <f>+IF(AVANCE[[#This Row],[REVESTIMIENTO INTERIOR BANO]]=BB$2,100%,AVANCE[[#This Row],[REVESTIMIENTO INTERIOR BANO]])</f>
        <v>0</v>
      </c>
      <c r="CP423" s="3">
        <f>+IF(AVANCE[[#This Row],[MUEBLE LAVAPLATOS]]=BC$2,100%,AVANCE[[#This Row],[MUEBLE LAVAPLATOS]])</f>
        <v>0</v>
      </c>
      <c r="CQ423" s="3">
        <f>+IF(AVANCE[[#This Row],[IMPERMEABILIZACION BANO - COCINA LOGIA]]=BD$2,100%,AVANCE[[#This Row],[IMPERMEABILIZACION BANO - COCINA LOGIA]])</f>
        <v>0</v>
      </c>
      <c r="CR423" s="40">
        <f ca="1">+IF(AVANCE[[#This Row],[ESTADO MODULO]]="PENDIENTE",(TODAY()-AVANCE[[#This Row],[FECHA TERMINO  PLANIFICADO]]),0)</f>
        <v>0</v>
      </c>
      <c r="CS423" s="42" t="str" cm="1">
        <f t="array" ref="CS423">_xlfn.TEXTJOIN(" | ",TRUE,IF(SUMPRODUCT((BF423:CQ423&lt;1)*(PARTIDAS!$I$2:$AT$2="OBRA GRUESA"))&gt;0,"OBRA GRUESA: "&amp;_xlfn.TEXTJOIN(", ",TRUE,IF((BF423:CQ423&lt;1)*(PARTIDAS!$I$2:$AT$2="OBRA GRUESA"),PARTIDAS!$I$1:$AT$1,"")),""),IF(SUMPRODUCT((BF423:CQ423&lt;1)*(PARTIDAS!$I$2:$AT$2="SANITARIOS"))&gt;0,"SANITARIOS: "&amp;_xlfn.TEXTJOIN(", ",TRUE,IF((BF423:CQ423&lt;1)*(PARTIDAS!$I$2:$AT$2="SANITARIOS"),PARTIDAS!$I$1:$AT$1,"")),""),IF(SUMPRODUCT((BF423:CQ423&lt;1)*(PARTIDAS!$I$2:$AT$2="ELÉCTRICO"))&gt;0,"ELÉCTRICO: "&amp;_xlfn.TEXTJOIN(", ",TRUE,IF((BF423:CQ423&lt;1)*(PARTIDAS!$I$2:$AT$2="ELÉCTRICO"),PARTIDAS!$I$1:$AT$1,"")),""),IF(SUMPRODUCT((BF423:CQ423&lt;1)*(PARTIDAS!$I$2:$AT$2="TERMINACIONES"))&gt;0,"TERMINACIONES: "&amp;_xlfn.TEXTJOIN(", ",TRUE,IF((BF423:CQ423&lt;1)*(PARTIDAS!$I$2:$AT$2="TERMINACIONES"),PARTIDAS!$I$1:$AT$1,"")),""))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3" s="45" t="str" cm="1">
        <f t="array" ref="CT423">_xlfn.TEXTJOIN(", ",TRUE,IF(SUMPRODUCT((BF423:CQ423&lt;1)*(PARTIDAS!$I$2:$AT$2="OBRA GRUESA"))&gt;0,"OBRA GRUESA",""),IF(SUMPRODUCT((BF423:CQ423&lt;1)*(PARTIDAS!$I$2:$AT$2="SANITARIOS"))&gt;0,"SANITARIOS",""),IF(SUMPRODUCT((BF423:CQ423&lt;1)*(PARTIDAS!$I$2:$AT$2="ELÉCTRICO"))&gt;0,"ELÉCTRICO",""),IF(SUMPRODUCT((BF423:CQ423&lt;1)*(PARTIDAS!$I$2:$AT$2="TERMINACIONES"))&gt;0,"TERMINACIONES",""))</f>
        <v>OBRA GRUESA, SANITARIOS, ELÉCTRICO, TERMINACIONES</v>
      </c>
      <c r="CU423" s="46" cm="1">
        <f t="array" ref="CU423">SUMPRODUCT(--(BF423:CQ423&lt;1))</f>
        <v>38</v>
      </c>
    </row>
    <row r="424" spans="1:99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46181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 s="3" t="str">
        <f>+IF(AVANCE[[#This Row],[% AVANCE]]=100%,"MODULO TERMINADO",IF(AVANCE[[#This Row],[FECHA INICIO REAL]]="","MODULO NO INICIADO","PENDIENTE"))</f>
        <v>MODULO NO INICIADO</v>
      </c>
      <c r="BF424" s="3">
        <f>+IF(AVANCE[[#This Row],[VENTANAS]]=8.10810810810811%,100%,AVANCE[[#This Row],[VENTANAS]])</f>
        <v>0</v>
      </c>
      <c r="BG424" s="3">
        <f>+IF(AVANCE[[#This Row],[PISO]]=N$2,100%,AVANCE[[#This Row],[PISO]])</f>
        <v>0</v>
      </c>
      <c r="BH424" s="3">
        <f>+IF(AVANCE[[#This Row],[TABIQUES]]=O$2,100%,AVANCE[[#This Row],[TABIQUES]])</f>
        <v>0</v>
      </c>
      <c r="BI424" s="3">
        <f>+IF(AVANCE[[#This Row],[MUROS]]=P$2,100%,AVANCE[[#This Row],[MUROS]])</f>
        <v>0</v>
      </c>
      <c r="BJ424" s="3">
        <f>+IF(AVANCE[[#This Row],[CIELO]]=Q$2,100%,AVANCE[[#This Row],[CIELO]])</f>
        <v>0</v>
      </c>
      <c r="BK424" s="3">
        <f>+IF(AVANCE[[#This Row],[BALCÓN]]=R$2,100%,AVANCE[[#This Row],[BALCÓN]])</f>
        <v>0</v>
      </c>
      <c r="BL424" s="3">
        <f>+IF(AVANCE[[#This Row],[RED ALCANTARILLADO]]=U$2,100%,AVANCE[[#This Row],[RED ALCANTARILLADO]])</f>
        <v>0</v>
      </c>
      <c r="BM424" s="3">
        <f>+IF(AVANCE[[#This Row],[RED DE AGUA]]=V$2,100%,AVANCE[[#This Row],[RED DE AGUA]])</f>
        <v>0</v>
      </c>
      <c r="BN424" s="3">
        <f>+IF(AVANCE[[#This Row],[VENTILACIONES]]=W$2,100%,AVANCE[[#This Row],[VENTILACIONES]])</f>
        <v>0</v>
      </c>
      <c r="BO424" s="3">
        <f>+IF(AVANCE[[#This Row],[TINA]]=X$2,100%,AVANCE[[#This Row],[TINA]])</f>
        <v>0</v>
      </c>
      <c r="BP424" s="3">
        <f>+IF(AVANCE[[#This Row],[WC]]=Y$2,100%,AVANCE[[#This Row],[WC]])</f>
        <v>0</v>
      </c>
      <c r="BQ424" s="3">
        <f>+IF(AVANCE[[#This Row],[LAVAMANOS / LAVAPLATOS / LAVADERO]]=Z$2,100%,AVANCE[[#This Row],[LAVAMANOS / LAVAPLATOS / LAVADERO]])</f>
        <v>0</v>
      </c>
      <c r="BR424" s="3">
        <f>+IF(AVANCE[[#This Row],[CANALIZACIÓN]]=AC$2,100%,AVANCE[[#This Row],[CANALIZACIÓN]])</f>
        <v>0</v>
      </c>
      <c r="BS424" s="3">
        <f>+IF(AVANCE[[#This Row],[CABLEADO]]=AD$2,100%,AVANCE[[#This Row],[CABLEADO]])</f>
        <v>0</v>
      </c>
      <c r="BT424" s="3">
        <f>+IF(AVANCE[[#This Row],[ARTEFACTOS]]=AE$2,100%,AVANCE[[#This Row],[ARTEFACTOS]])</f>
        <v>0</v>
      </c>
      <c r="BU424" s="3">
        <f>+IF(AVANCE[[#This Row],[TABLERO]]=AF$2,100%,AVANCE[[#This Row],[TABLERO]])</f>
        <v>0</v>
      </c>
      <c r="BV424" s="3">
        <f>+IF(AVANCE[[#This Row],[CAJA PAU]]=AG$2,100%,AVANCE[[#This Row],[CAJA PAU]])</f>
        <v>0</v>
      </c>
      <c r="BW424" s="3">
        <f>+IF(AVANCE[[#This Row],[INSTALACION VINILICO]]=AJ$2,100%,AVANCE[[#This Row],[INSTALACION VINILICO]])</f>
        <v>0</v>
      </c>
      <c r="BX424" s="3">
        <f>+IF(AVANCE[[#This Row],[OSB CUBIERTA]]=AK$2,100%,AVANCE[[#This Row],[OSB CUBIERTA]])</f>
        <v>0</v>
      </c>
      <c r="BY424" s="3">
        <f>+IF(AVANCE[[#This Row],[BARANDA BALCON]]=AL$2,100%,AVANCE[[#This Row],[BARANDA BALCON]])</f>
        <v>0</v>
      </c>
      <c r="BZ424" s="3">
        <f>+IF(AVANCE[[#This Row],[OSB EXTERIOR]]=AM$2,100%,AVANCE[[#This Row],[OSB EXTERIOR]])</f>
        <v>0</v>
      </c>
      <c r="CA424" s="3">
        <f>+IF(AVANCE[[#This Row],[SMART PANEL]]=AN$2,100%,AVANCE[[#This Row],[SMART PANEL]])</f>
        <v>0</v>
      </c>
      <c r="CB424" s="3">
        <f>+IF(AVANCE[[#This Row],[PINTURA EXTERIOR]]=AO$2,100%,AVANCE[[#This Row],[PINTURA EXTERIOR]])</f>
        <v>0</v>
      </c>
      <c r="CC424" s="3">
        <f>+IF(AVANCE[[#This Row],[ZOCALOS LOGIA]]=AP$2,100%,AVANCE[[#This Row],[ZOCALOS LOGIA]])</f>
        <v>0</v>
      </c>
      <c r="CD424" s="3">
        <f>+IF(AVANCE[[#This Row],[MOLDURAS]]=AQ$2,100%,AVANCE[[#This Row],[MOLDURAS]])</f>
        <v>0</v>
      </c>
      <c r="CE424" s="3">
        <f>+IF(AVANCE[[#This Row],[PILASTREO]]=AR$2,100%,AVANCE[[#This Row],[PILASTREO]])</f>
        <v>0</v>
      </c>
      <c r="CF424" s="3">
        <f>+IF(AVANCE[[#This Row],[CELOSIAS]]=AS$2,100%,AVANCE[[#This Row],[CELOSIAS]])</f>
        <v>0</v>
      </c>
      <c r="CG424" s="3">
        <f>+IF(AVANCE[[#This Row],[VENTANAS]]=AT$2,100%,AVANCE[[#This Row],[VENTANAS]])</f>
        <v>0</v>
      </c>
      <c r="CH424" s="3">
        <f>+IF(AVANCE[[#This Row],[PUERTAS ACCESO - LOGIA - BANO]]=AU$2,100%,AVANCE[[#This Row],[PUERTAS ACCESO - LOGIA - BANO]])</f>
        <v>0</v>
      </c>
      <c r="CI424" s="3">
        <f>+IF(AVANCE[[#This Row],[CERRADURAS]]=AV$2,100%,AVANCE[[#This Row],[CERRADURAS]])</f>
        <v>0</v>
      </c>
      <c r="CJ424" s="3">
        <f>+IF(AVANCE[[#This Row],[REVESTIMIENTO INTERIOR ZONA SECA]]=AW$2,100%,AVANCE[[#This Row],[REVESTIMIENTO INTERIOR ZONA SECA]])</f>
        <v>0</v>
      </c>
      <c r="CK424" s="3">
        <f>+IF(AVANCE[[#This Row],[REVESTIMIENTO INTERIOR ZONAS HUMEDAS]]=AX$2,100%,AVANCE[[#This Row],[REVESTIMIENTO INTERIOR ZONAS HUMEDAS]])</f>
        <v>0</v>
      </c>
      <c r="CL424" s="3">
        <f>+IF(AVANCE[[#This Row],[MEMBRANA CIELO]]=AY$2,100%,AVANCE[[#This Row],[MEMBRANA CIELO]])</f>
        <v>0</v>
      </c>
      <c r="CM424" s="3">
        <f>+IF(AVANCE[[#This Row],[LIMPIEZA FINAL]]=AZ$2,100%,AVANCE[[#This Row],[LIMPIEZA FINAL]])</f>
        <v>0</v>
      </c>
      <c r="CN424" s="3">
        <f>+IF(AVANCE[[#This Row],[PUERTAS DORMITORIO]]=BA$2,100%,AVANCE[[#This Row],[PUERTAS DORMITORIO]])</f>
        <v>0</v>
      </c>
      <c r="CO424" s="3">
        <f>+IF(AVANCE[[#This Row],[REVESTIMIENTO INTERIOR BANO]]=BB$2,100%,AVANCE[[#This Row],[REVESTIMIENTO INTERIOR BANO]])</f>
        <v>0</v>
      </c>
      <c r="CP424" s="3">
        <f>+IF(AVANCE[[#This Row],[MUEBLE LAVAPLATOS]]=BC$2,100%,AVANCE[[#This Row],[MUEBLE LAVAPLATOS]])</f>
        <v>0</v>
      </c>
      <c r="CQ424" s="3">
        <f>+IF(AVANCE[[#This Row],[IMPERMEABILIZACION BANO - COCINA LOGIA]]=BD$2,100%,AVANCE[[#This Row],[IMPERMEABILIZACION BANO - COCINA LOGIA]])</f>
        <v>0</v>
      </c>
      <c r="CR424" s="40">
        <f ca="1">+IF(AVANCE[[#This Row],[ESTADO MODULO]]="PENDIENTE",(TODAY()-AVANCE[[#This Row],[FECHA TERMINO  PLANIFICADO]]),0)</f>
        <v>0</v>
      </c>
      <c r="CS424" s="42" t="str" cm="1">
        <f t="array" ref="CS424">_xlfn.TEXTJOIN(" | ",TRUE,IF(SUMPRODUCT((BF424:CQ424&lt;1)*(PARTIDAS!$I$2:$AT$2="OBRA GRUESA"))&gt;0,"OBRA GRUESA: "&amp;_xlfn.TEXTJOIN(", ",TRUE,IF((BF424:CQ424&lt;1)*(PARTIDAS!$I$2:$AT$2="OBRA GRUESA"),PARTIDAS!$I$1:$AT$1,"")),""),IF(SUMPRODUCT((BF424:CQ424&lt;1)*(PARTIDAS!$I$2:$AT$2="SANITARIOS"))&gt;0,"SANITARIOS: "&amp;_xlfn.TEXTJOIN(", ",TRUE,IF((BF424:CQ424&lt;1)*(PARTIDAS!$I$2:$AT$2="SANITARIOS"),PARTIDAS!$I$1:$AT$1,"")),""),IF(SUMPRODUCT((BF424:CQ424&lt;1)*(PARTIDAS!$I$2:$AT$2="ELÉCTRICO"))&gt;0,"ELÉCTRICO: "&amp;_xlfn.TEXTJOIN(", ",TRUE,IF((BF424:CQ424&lt;1)*(PARTIDAS!$I$2:$AT$2="ELÉCTRICO"),PARTIDAS!$I$1:$AT$1,"")),""),IF(SUMPRODUCT((BF424:CQ424&lt;1)*(PARTIDAS!$I$2:$AT$2="TERMINACIONES"))&gt;0,"TERMINACIONES: "&amp;_xlfn.TEXTJOIN(", ",TRUE,IF((BF424:CQ424&lt;1)*(PARTIDAS!$I$2:$AT$2="TERMINACIONES"),PARTIDAS!$I$1:$AT$1,"")),""))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4" s="45" t="str" cm="1">
        <f t="array" ref="CT424">_xlfn.TEXTJOIN(", ",TRUE,IF(SUMPRODUCT((BF424:CQ424&lt;1)*(PARTIDAS!$I$2:$AT$2="OBRA GRUESA"))&gt;0,"OBRA GRUESA",""),IF(SUMPRODUCT((BF424:CQ424&lt;1)*(PARTIDAS!$I$2:$AT$2="SANITARIOS"))&gt;0,"SANITARIOS",""),IF(SUMPRODUCT((BF424:CQ424&lt;1)*(PARTIDAS!$I$2:$AT$2="ELÉCTRICO"))&gt;0,"ELÉCTRICO",""),IF(SUMPRODUCT((BF424:CQ424&lt;1)*(PARTIDAS!$I$2:$AT$2="TERMINACIONES"))&gt;0,"TERMINACIONES",""))</f>
        <v>OBRA GRUESA, SANITARIOS, ELÉCTRICO, TERMINACIONES</v>
      </c>
      <c r="CU424" s="46" cm="1">
        <f t="array" ref="CU424">SUMPRODUCT(--(BF424:CQ424&lt;1))</f>
        <v>38</v>
      </c>
    </row>
    <row r="425" spans="1:99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46181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 s="3" t="str">
        <f>+IF(AVANCE[[#This Row],[% AVANCE]]=100%,"MODULO TERMINADO",IF(AVANCE[[#This Row],[FECHA INICIO REAL]]="","MODULO NO INICIADO","PENDIENTE"))</f>
        <v>MODULO NO INICIADO</v>
      </c>
      <c r="BF425" s="3">
        <f>+IF(AVANCE[[#This Row],[VENTANAS]]=8.10810810810811%,100%,AVANCE[[#This Row],[VENTANAS]])</f>
        <v>0</v>
      </c>
      <c r="BG425" s="3">
        <f>+IF(AVANCE[[#This Row],[PISO]]=N$2,100%,AVANCE[[#This Row],[PISO]])</f>
        <v>0</v>
      </c>
      <c r="BH425" s="3">
        <f>+IF(AVANCE[[#This Row],[TABIQUES]]=O$2,100%,AVANCE[[#This Row],[TABIQUES]])</f>
        <v>0</v>
      </c>
      <c r="BI425" s="3">
        <f>+IF(AVANCE[[#This Row],[MUROS]]=P$2,100%,AVANCE[[#This Row],[MUROS]])</f>
        <v>0</v>
      </c>
      <c r="BJ425" s="3">
        <f>+IF(AVANCE[[#This Row],[CIELO]]=Q$2,100%,AVANCE[[#This Row],[CIELO]])</f>
        <v>0</v>
      </c>
      <c r="BK425" s="3">
        <f>+IF(AVANCE[[#This Row],[BALCÓN]]=R$2,100%,AVANCE[[#This Row],[BALCÓN]])</f>
        <v>0</v>
      </c>
      <c r="BL425" s="3">
        <f>+IF(AVANCE[[#This Row],[RED ALCANTARILLADO]]=U$2,100%,AVANCE[[#This Row],[RED ALCANTARILLADO]])</f>
        <v>0</v>
      </c>
      <c r="BM425" s="3">
        <f>+IF(AVANCE[[#This Row],[RED DE AGUA]]=V$2,100%,AVANCE[[#This Row],[RED DE AGUA]])</f>
        <v>0</v>
      </c>
      <c r="BN425" s="3">
        <f>+IF(AVANCE[[#This Row],[VENTILACIONES]]=W$2,100%,AVANCE[[#This Row],[VENTILACIONES]])</f>
        <v>0</v>
      </c>
      <c r="BO425" s="3">
        <f>+IF(AVANCE[[#This Row],[TINA]]=X$2,100%,AVANCE[[#This Row],[TINA]])</f>
        <v>0</v>
      </c>
      <c r="BP425" s="3">
        <f>+IF(AVANCE[[#This Row],[WC]]=Y$2,100%,AVANCE[[#This Row],[WC]])</f>
        <v>0</v>
      </c>
      <c r="BQ425" s="3">
        <f>+IF(AVANCE[[#This Row],[LAVAMANOS / LAVAPLATOS / LAVADERO]]=Z$2,100%,AVANCE[[#This Row],[LAVAMANOS / LAVAPLATOS / LAVADERO]])</f>
        <v>0</v>
      </c>
      <c r="BR425" s="3">
        <f>+IF(AVANCE[[#This Row],[CANALIZACIÓN]]=AC$2,100%,AVANCE[[#This Row],[CANALIZACIÓN]])</f>
        <v>0</v>
      </c>
      <c r="BS425" s="3">
        <f>+IF(AVANCE[[#This Row],[CABLEADO]]=AD$2,100%,AVANCE[[#This Row],[CABLEADO]])</f>
        <v>0</v>
      </c>
      <c r="BT425" s="3">
        <f>+IF(AVANCE[[#This Row],[ARTEFACTOS]]=AE$2,100%,AVANCE[[#This Row],[ARTEFACTOS]])</f>
        <v>0</v>
      </c>
      <c r="BU425" s="3">
        <f>+IF(AVANCE[[#This Row],[TABLERO]]=AF$2,100%,AVANCE[[#This Row],[TABLERO]])</f>
        <v>0</v>
      </c>
      <c r="BV425" s="3">
        <f>+IF(AVANCE[[#This Row],[CAJA PAU]]=AG$2,100%,AVANCE[[#This Row],[CAJA PAU]])</f>
        <v>0</v>
      </c>
      <c r="BW425" s="3">
        <f>+IF(AVANCE[[#This Row],[INSTALACION VINILICO]]=AJ$2,100%,AVANCE[[#This Row],[INSTALACION VINILICO]])</f>
        <v>0</v>
      </c>
      <c r="BX425" s="3">
        <f>+IF(AVANCE[[#This Row],[OSB CUBIERTA]]=AK$2,100%,AVANCE[[#This Row],[OSB CUBIERTA]])</f>
        <v>0</v>
      </c>
      <c r="BY425" s="3">
        <f>+IF(AVANCE[[#This Row],[BARANDA BALCON]]=AL$2,100%,AVANCE[[#This Row],[BARANDA BALCON]])</f>
        <v>0</v>
      </c>
      <c r="BZ425" s="3">
        <f>+IF(AVANCE[[#This Row],[OSB EXTERIOR]]=AM$2,100%,AVANCE[[#This Row],[OSB EXTERIOR]])</f>
        <v>0</v>
      </c>
      <c r="CA425" s="3">
        <f>+IF(AVANCE[[#This Row],[SMART PANEL]]=AN$2,100%,AVANCE[[#This Row],[SMART PANEL]])</f>
        <v>0</v>
      </c>
      <c r="CB425" s="3">
        <f>+IF(AVANCE[[#This Row],[PINTURA EXTERIOR]]=AO$2,100%,AVANCE[[#This Row],[PINTURA EXTERIOR]])</f>
        <v>0</v>
      </c>
      <c r="CC425" s="3">
        <f>+IF(AVANCE[[#This Row],[ZOCALOS LOGIA]]=AP$2,100%,AVANCE[[#This Row],[ZOCALOS LOGIA]])</f>
        <v>0</v>
      </c>
      <c r="CD425" s="3">
        <f>+IF(AVANCE[[#This Row],[MOLDURAS]]=AQ$2,100%,AVANCE[[#This Row],[MOLDURAS]])</f>
        <v>0</v>
      </c>
      <c r="CE425" s="3">
        <f>+IF(AVANCE[[#This Row],[PILASTREO]]=AR$2,100%,AVANCE[[#This Row],[PILASTREO]])</f>
        <v>0</v>
      </c>
      <c r="CF425" s="3">
        <f>+IF(AVANCE[[#This Row],[CELOSIAS]]=AS$2,100%,AVANCE[[#This Row],[CELOSIAS]])</f>
        <v>0</v>
      </c>
      <c r="CG425" s="3">
        <f>+IF(AVANCE[[#This Row],[VENTANAS]]=AT$2,100%,AVANCE[[#This Row],[VENTANAS]])</f>
        <v>0</v>
      </c>
      <c r="CH425" s="3">
        <f>+IF(AVANCE[[#This Row],[PUERTAS ACCESO - LOGIA - BANO]]=AU$2,100%,AVANCE[[#This Row],[PUERTAS ACCESO - LOGIA - BANO]])</f>
        <v>0</v>
      </c>
      <c r="CI425" s="3">
        <f>+IF(AVANCE[[#This Row],[CERRADURAS]]=AV$2,100%,AVANCE[[#This Row],[CERRADURAS]])</f>
        <v>0</v>
      </c>
      <c r="CJ425" s="3">
        <f>+IF(AVANCE[[#This Row],[REVESTIMIENTO INTERIOR ZONA SECA]]=AW$2,100%,AVANCE[[#This Row],[REVESTIMIENTO INTERIOR ZONA SECA]])</f>
        <v>0</v>
      </c>
      <c r="CK425" s="3">
        <f>+IF(AVANCE[[#This Row],[REVESTIMIENTO INTERIOR ZONAS HUMEDAS]]=AX$2,100%,AVANCE[[#This Row],[REVESTIMIENTO INTERIOR ZONAS HUMEDAS]])</f>
        <v>0</v>
      </c>
      <c r="CL425" s="3">
        <f>+IF(AVANCE[[#This Row],[MEMBRANA CIELO]]=AY$2,100%,AVANCE[[#This Row],[MEMBRANA CIELO]])</f>
        <v>0</v>
      </c>
      <c r="CM425" s="3">
        <f>+IF(AVANCE[[#This Row],[LIMPIEZA FINAL]]=AZ$2,100%,AVANCE[[#This Row],[LIMPIEZA FINAL]])</f>
        <v>0</v>
      </c>
      <c r="CN425" s="3">
        <f>+IF(AVANCE[[#This Row],[PUERTAS DORMITORIO]]=BA$2,100%,AVANCE[[#This Row],[PUERTAS DORMITORIO]])</f>
        <v>0</v>
      </c>
      <c r="CO425" s="3">
        <f>+IF(AVANCE[[#This Row],[REVESTIMIENTO INTERIOR BANO]]=BB$2,100%,AVANCE[[#This Row],[REVESTIMIENTO INTERIOR BANO]])</f>
        <v>0</v>
      </c>
      <c r="CP425" s="3">
        <f>+IF(AVANCE[[#This Row],[MUEBLE LAVAPLATOS]]=BC$2,100%,AVANCE[[#This Row],[MUEBLE LAVAPLATOS]])</f>
        <v>0</v>
      </c>
      <c r="CQ425" s="3">
        <f>+IF(AVANCE[[#This Row],[IMPERMEABILIZACION BANO - COCINA LOGIA]]=BD$2,100%,AVANCE[[#This Row],[IMPERMEABILIZACION BANO - COCINA LOGIA]])</f>
        <v>0</v>
      </c>
      <c r="CR425" s="40">
        <f ca="1">+IF(AVANCE[[#This Row],[ESTADO MODULO]]="PENDIENTE",(TODAY()-AVANCE[[#This Row],[FECHA TERMINO  PLANIFICADO]]),0)</f>
        <v>0</v>
      </c>
      <c r="CS425" s="42" t="str" cm="1">
        <f t="array" ref="CS425">_xlfn.TEXTJOIN(" | ",TRUE,IF(SUMPRODUCT((BF425:CQ425&lt;1)*(PARTIDAS!$I$2:$AT$2="OBRA GRUESA"))&gt;0,"OBRA GRUESA: "&amp;_xlfn.TEXTJOIN(", ",TRUE,IF((BF425:CQ425&lt;1)*(PARTIDAS!$I$2:$AT$2="OBRA GRUESA"),PARTIDAS!$I$1:$AT$1,"")),""),IF(SUMPRODUCT((BF425:CQ425&lt;1)*(PARTIDAS!$I$2:$AT$2="SANITARIOS"))&gt;0,"SANITARIOS: "&amp;_xlfn.TEXTJOIN(", ",TRUE,IF((BF425:CQ425&lt;1)*(PARTIDAS!$I$2:$AT$2="SANITARIOS"),PARTIDAS!$I$1:$AT$1,"")),""),IF(SUMPRODUCT((BF425:CQ425&lt;1)*(PARTIDAS!$I$2:$AT$2="ELÉCTRICO"))&gt;0,"ELÉCTRICO: "&amp;_xlfn.TEXTJOIN(", ",TRUE,IF((BF425:CQ425&lt;1)*(PARTIDAS!$I$2:$AT$2="ELÉCTRICO"),PARTIDAS!$I$1:$AT$1,"")),""),IF(SUMPRODUCT((BF425:CQ425&lt;1)*(PARTIDAS!$I$2:$AT$2="TERMINACIONES"))&gt;0,"TERMINACIONES: "&amp;_xlfn.TEXTJOIN(", ",TRUE,IF((BF425:CQ425&lt;1)*(PARTIDAS!$I$2:$AT$2="TERMINACIONES"),PARTIDAS!$I$1:$AT$1,"")),""))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5" s="45" t="str" cm="1">
        <f t="array" ref="CT425">_xlfn.TEXTJOIN(", ",TRUE,IF(SUMPRODUCT((BF425:CQ425&lt;1)*(PARTIDAS!$I$2:$AT$2="OBRA GRUESA"))&gt;0,"OBRA GRUESA",""),IF(SUMPRODUCT((BF425:CQ425&lt;1)*(PARTIDAS!$I$2:$AT$2="SANITARIOS"))&gt;0,"SANITARIOS",""),IF(SUMPRODUCT((BF425:CQ425&lt;1)*(PARTIDAS!$I$2:$AT$2="ELÉCTRICO"))&gt;0,"ELÉCTRICO",""),IF(SUMPRODUCT((BF425:CQ425&lt;1)*(PARTIDAS!$I$2:$AT$2="TERMINACIONES"))&gt;0,"TERMINACIONES",""))</f>
        <v>OBRA GRUESA, SANITARIOS, ELÉCTRICO, TERMINACIONES</v>
      </c>
      <c r="CU425" s="46" cm="1">
        <f t="array" ref="CU425">SUMPRODUCT(--(BF425:CQ425&lt;1))</f>
        <v>38</v>
      </c>
    </row>
    <row r="426" spans="1:99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46181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 s="3" t="str">
        <f>+IF(AVANCE[[#This Row],[% AVANCE]]=100%,"MODULO TERMINADO",IF(AVANCE[[#This Row],[FECHA INICIO REAL]]="","MODULO NO INICIADO","PENDIENTE"))</f>
        <v>MODULO NO INICIADO</v>
      </c>
      <c r="BF426" s="3">
        <f>+IF(AVANCE[[#This Row],[VENTANAS]]=8.10810810810811%,100%,AVANCE[[#This Row],[VENTANAS]])</f>
        <v>0</v>
      </c>
      <c r="BG426" s="3">
        <f>+IF(AVANCE[[#This Row],[PISO]]=N$2,100%,AVANCE[[#This Row],[PISO]])</f>
        <v>0</v>
      </c>
      <c r="BH426" s="3">
        <f>+IF(AVANCE[[#This Row],[TABIQUES]]=O$2,100%,AVANCE[[#This Row],[TABIQUES]])</f>
        <v>0</v>
      </c>
      <c r="BI426" s="3">
        <f>+IF(AVANCE[[#This Row],[MUROS]]=P$2,100%,AVANCE[[#This Row],[MUROS]])</f>
        <v>0</v>
      </c>
      <c r="BJ426" s="3">
        <f>+IF(AVANCE[[#This Row],[CIELO]]=Q$2,100%,AVANCE[[#This Row],[CIELO]])</f>
        <v>0</v>
      </c>
      <c r="BK426" s="3">
        <f>+IF(AVANCE[[#This Row],[BALCÓN]]=R$2,100%,AVANCE[[#This Row],[BALCÓN]])</f>
        <v>0</v>
      </c>
      <c r="BL426" s="3">
        <f>+IF(AVANCE[[#This Row],[RED ALCANTARILLADO]]=U$2,100%,AVANCE[[#This Row],[RED ALCANTARILLADO]])</f>
        <v>0</v>
      </c>
      <c r="BM426" s="3">
        <f>+IF(AVANCE[[#This Row],[RED DE AGUA]]=V$2,100%,AVANCE[[#This Row],[RED DE AGUA]])</f>
        <v>0</v>
      </c>
      <c r="BN426" s="3">
        <f>+IF(AVANCE[[#This Row],[VENTILACIONES]]=W$2,100%,AVANCE[[#This Row],[VENTILACIONES]])</f>
        <v>0</v>
      </c>
      <c r="BO426" s="3">
        <f>+IF(AVANCE[[#This Row],[TINA]]=X$2,100%,AVANCE[[#This Row],[TINA]])</f>
        <v>0</v>
      </c>
      <c r="BP426" s="3">
        <f>+IF(AVANCE[[#This Row],[WC]]=Y$2,100%,AVANCE[[#This Row],[WC]])</f>
        <v>0</v>
      </c>
      <c r="BQ426" s="3">
        <f>+IF(AVANCE[[#This Row],[LAVAMANOS / LAVAPLATOS / LAVADERO]]=Z$2,100%,AVANCE[[#This Row],[LAVAMANOS / LAVAPLATOS / LAVADERO]])</f>
        <v>0</v>
      </c>
      <c r="BR426" s="3">
        <f>+IF(AVANCE[[#This Row],[CANALIZACIÓN]]=AC$2,100%,AVANCE[[#This Row],[CANALIZACIÓN]])</f>
        <v>0</v>
      </c>
      <c r="BS426" s="3">
        <f>+IF(AVANCE[[#This Row],[CABLEADO]]=AD$2,100%,AVANCE[[#This Row],[CABLEADO]])</f>
        <v>0</v>
      </c>
      <c r="BT426" s="3">
        <f>+IF(AVANCE[[#This Row],[ARTEFACTOS]]=AE$2,100%,AVANCE[[#This Row],[ARTEFACTOS]])</f>
        <v>0</v>
      </c>
      <c r="BU426" s="3">
        <f>+IF(AVANCE[[#This Row],[TABLERO]]=AF$2,100%,AVANCE[[#This Row],[TABLERO]])</f>
        <v>0</v>
      </c>
      <c r="BV426" s="3">
        <f>+IF(AVANCE[[#This Row],[CAJA PAU]]=AG$2,100%,AVANCE[[#This Row],[CAJA PAU]])</f>
        <v>0</v>
      </c>
      <c r="BW426" s="3">
        <f>+IF(AVANCE[[#This Row],[INSTALACION VINILICO]]=AJ$2,100%,AVANCE[[#This Row],[INSTALACION VINILICO]])</f>
        <v>0</v>
      </c>
      <c r="BX426" s="3">
        <f>+IF(AVANCE[[#This Row],[OSB CUBIERTA]]=AK$2,100%,AVANCE[[#This Row],[OSB CUBIERTA]])</f>
        <v>0</v>
      </c>
      <c r="BY426" s="3">
        <f>+IF(AVANCE[[#This Row],[BARANDA BALCON]]=AL$2,100%,AVANCE[[#This Row],[BARANDA BALCON]])</f>
        <v>0</v>
      </c>
      <c r="BZ426" s="3">
        <f>+IF(AVANCE[[#This Row],[OSB EXTERIOR]]=AM$2,100%,AVANCE[[#This Row],[OSB EXTERIOR]])</f>
        <v>0</v>
      </c>
      <c r="CA426" s="3">
        <f>+IF(AVANCE[[#This Row],[SMART PANEL]]=AN$2,100%,AVANCE[[#This Row],[SMART PANEL]])</f>
        <v>0</v>
      </c>
      <c r="CB426" s="3">
        <f>+IF(AVANCE[[#This Row],[PINTURA EXTERIOR]]=AO$2,100%,AVANCE[[#This Row],[PINTURA EXTERIOR]])</f>
        <v>0</v>
      </c>
      <c r="CC426" s="3">
        <f>+IF(AVANCE[[#This Row],[ZOCALOS LOGIA]]=AP$2,100%,AVANCE[[#This Row],[ZOCALOS LOGIA]])</f>
        <v>0</v>
      </c>
      <c r="CD426" s="3">
        <f>+IF(AVANCE[[#This Row],[MOLDURAS]]=AQ$2,100%,AVANCE[[#This Row],[MOLDURAS]])</f>
        <v>0</v>
      </c>
      <c r="CE426" s="3">
        <f>+IF(AVANCE[[#This Row],[PILASTREO]]=AR$2,100%,AVANCE[[#This Row],[PILASTREO]])</f>
        <v>0</v>
      </c>
      <c r="CF426" s="3">
        <f>+IF(AVANCE[[#This Row],[CELOSIAS]]=AS$2,100%,AVANCE[[#This Row],[CELOSIAS]])</f>
        <v>0</v>
      </c>
      <c r="CG426" s="3">
        <f>+IF(AVANCE[[#This Row],[VENTANAS]]=AT$2,100%,AVANCE[[#This Row],[VENTANAS]])</f>
        <v>0</v>
      </c>
      <c r="CH426" s="3">
        <f>+IF(AVANCE[[#This Row],[PUERTAS ACCESO - LOGIA - BANO]]=AU$2,100%,AVANCE[[#This Row],[PUERTAS ACCESO - LOGIA - BANO]])</f>
        <v>0</v>
      </c>
      <c r="CI426" s="3">
        <f>+IF(AVANCE[[#This Row],[CERRADURAS]]=AV$2,100%,AVANCE[[#This Row],[CERRADURAS]])</f>
        <v>0</v>
      </c>
      <c r="CJ426" s="3">
        <f>+IF(AVANCE[[#This Row],[REVESTIMIENTO INTERIOR ZONA SECA]]=AW$2,100%,AVANCE[[#This Row],[REVESTIMIENTO INTERIOR ZONA SECA]])</f>
        <v>0</v>
      </c>
      <c r="CK426" s="3">
        <f>+IF(AVANCE[[#This Row],[REVESTIMIENTO INTERIOR ZONAS HUMEDAS]]=AX$2,100%,AVANCE[[#This Row],[REVESTIMIENTO INTERIOR ZONAS HUMEDAS]])</f>
        <v>0</v>
      </c>
      <c r="CL426" s="3">
        <f>+IF(AVANCE[[#This Row],[MEMBRANA CIELO]]=AY$2,100%,AVANCE[[#This Row],[MEMBRANA CIELO]])</f>
        <v>0</v>
      </c>
      <c r="CM426" s="3">
        <f>+IF(AVANCE[[#This Row],[LIMPIEZA FINAL]]=AZ$2,100%,AVANCE[[#This Row],[LIMPIEZA FINAL]])</f>
        <v>0</v>
      </c>
      <c r="CN426" s="3">
        <f>+IF(AVANCE[[#This Row],[PUERTAS DORMITORIO]]=BA$2,100%,AVANCE[[#This Row],[PUERTAS DORMITORIO]])</f>
        <v>0</v>
      </c>
      <c r="CO426" s="3">
        <f>+IF(AVANCE[[#This Row],[REVESTIMIENTO INTERIOR BANO]]=BB$2,100%,AVANCE[[#This Row],[REVESTIMIENTO INTERIOR BANO]])</f>
        <v>0</v>
      </c>
      <c r="CP426" s="3">
        <f>+IF(AVANCE[[#This Row],[MUEBLE LAVAPLATOS]]=BC$2,100%,AVANCE[[#This Row],[MUEBLE LAVAPLATOS]])</f>
        <v>0</v>
      </c>
      <c r="CQ426" s="3">
        <f>+IF(AVANCE[[#This Row],[IMPERMEABILIZACION BANO - COCINA LOGIA]]=BD$2,100%,AVANCE[[#This Row],[IMPERMEABILIZACION BANO - COCINA LOGIA]])</f>
        <v>0</v>
      </c>
      <c r="CR426" s="40">
        <f ca="1">+IF(AVANCE[[#This Row],[ESTADO MODULO]]="PENDIENTE",(TODAY()-AVANCE[[#This Row],[FECHA TERMINO  PLANIFICADO]]),0)</f>
        <v>0</v>
      </c>
      <c r="CS426" s="42" t="str" cm="1">
        <f t="array" ref="CS426">_xlfn.TEXTJOIN(" | ",TRUE,IF(SUMPRODUCT((BF426:CQ426&lt;1)*(PARTIDAS!$I$2:$AT$2="OBRA GRUESA"))&gt;0,"OBRA GRUESA: "&amp;_xlfn.TEXTJOIN(", ",TRUE,IF((BF426:CQ426&lt;1)*(PARTIDAS!$I$2:$AT$2="OBRA GRUESA"),PARTIDAS!$I$1:$AT$1,"")),""),IF(SUMPRODUCT((BF426:CQ426&lt;1)*(PARTIDAS!$I$2:$AT$2="SANITARIOS"))&gt;0,"SANITARIOS: "&amp;_xlfn.TEXTJOIN(", ",TRUE,IF((BF426:CQ426&lt;1)*(PARTIDAS!$I$2:$AT$2="SANITARIOS"),PARTIDAS!$I$1:$AT$1,"")),""),IF(SUMPRODUCT((BF426:CQ426&lt;1)*(PARTIDAS!$I$2:$AT$2="ELÉCTRICO"))&gt;0,"ELÉCTRICO: "&amp;_xlfn.TEXTJOIN(", ",TRUE,IF((BF426:CQ426&lt;1)*(PARTIDAS!$I$2:$AT$2="ELÉCTRICO"),PARTIDAS!$I$1:$AT$1,"")),""),IF(SUMPRODUCT((BF426:CQ426&lt;1)*(PARTIDAS!$I$2:$AT$2="TERMINACIONES"))&gt;0,"TERMINACIONES: "&amp;_xlfn.TEXTJOIN(", ",TRUE,IF((BF426:CQ426&lt;1)*(PARTIDAS!$I$2:$AT$2="TERMINACIONES"),PARTIDAS!$I$1:$AT$1,"")),""))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6" s="45" t="str" cm="1">
        <f t="array" ref="CT426">_xlfn.TEXTJOIN(", ",TRUE,IF(SUMPRODUCT((BF426:CQ426&lt;1)*(PARTIDAS!$I$2:$AT$2="OBRA GRUESA"))&gt;0,"OBRA GRUESA",""),IF(SUMPRODUCT((BF426:CQ426&lt;1)*(PARTIDAS!$I$2:$AT$2="SANITARIOS"))&gt;0,"SANITARIOS",""),IF(SUMPRODUCT((BF426:CQ426&lt;1)*(PARTIDAS!$I$2:$AT$2="ELÉCTRICO"))&gt;0,"ELÉCTRICO",""),IF(SUMPRODUCT((BF426:CQ426&lt;1)*(PARTIDAS!$I$2:$AT$2="TERMINACIONES"))&gt;0,"TERMINACIONES",""))</f>
        <v>OBRA GRUESA, SANITARIOS, ELÉCTRICO, TERMINACIONES</v>
      </c>
      <c r="CU426" s="46" cm="1">
        <f t="array" ref="CU426">SUMPRODUCT(--(BF426:CQ426&lt;1))</f>
        <v>38</v>
      </c>
    </row>
    <row r="427" spans="1:99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46181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 s="3" t="str">
        <f>+IF(AVANCE[[#This Row],[% AVANCE]]=100%,"MODULO TERMINADO",IF(AVANCE[[#This Row],[FECHA INICIO REAL]]="","MODULO NO INICIADO","PENDIENTE"))</f>
        <v>MODULO NO INICIADO</v>
      </c>
      <c r="BF427" s="3">
        <f>+IF(AVANCE[[#This Row],[VENTANAS]]=8.10810810810811%,100%,AVANCE[[#This Row],[VENTANAS]])</f>
        <v>0</v>
      </c>
      <c r="BG427" s="3">
        <f>+IF(AVANCE[[#This Row],[PISO]]=N$2,100%,AVANCE[[#This Row],[PISO]])</f>
        <v>0</v>
      </c>
      <c r="BH427" s="3">
        <f>+IF(AVANCE[[#This Row],[TABIQUES]]=O$2,100%,AVANCE[[#This Row],[TABIQUES]])</f>
        <v>0</v>
      </c>
      <c r="BI427" s="3">
        <f>+IF(AVANCE[[#This Row],[MUROS]]=P$2,100%,AVANCE[[#This Row],[MUROS]])</f>
        <v>0</v>
      </c>
      <c r="BJ427" s="3">
        <f>+IF(AVANCE[[#This Row],[CIELO]]=Q$2,100%,AVANCE[[#This Row],[CIELO]])</f>
        <v>0</v>
      </c>
      <c r="BK427" s="3">
        <f>+IF(AVANCE[[#This Row],[BALCÓN]]=R$2,100%,AVANCE[[#This Row],[BALCÓN]])</f>
        <v>0</v>
      </c>
      <c r="BL427" s="3">
        <f>+IF(AVANCE[[#This Row],[RED ALCANTARILLADO]]=U$2,100%,AVANCE[[#This Row],[RED ALCANTARILLADO]])</f>
        <v>0</v>
      </c>
      <c r="BM427" s="3">
        <f>+IF(AVANCE[[#This Row],[RED DE AGUA]]=V$2,100%,AVANCE[[#This Row],[RED DE AGUA]])</f>
        <v>0</v>
      </c>
      <c r="BN427" s="3">
        <f>+IF(AVANCE[[#This Row],[VENTILACIONES]]=W$2,100%,AVANCE[[#This Row],[VENTILACIONES]])</f>
        <v>0</v>
      </c>
      <c r="BO427" s="3">
        <f>+IF(AVANCE[[#This Row],[TINA]]=X$2,100%,AVANCE[[#This Row],[TINA]])</f>
        <v>0</v>
      </c>
      <c r="BP427" s="3">
        <f>+IF(AVANCE[[#This Row],[WC]]=Y$2,100%,AVANCE[[#This Row],[WC]])</f>
        <v>0</v>
      </c>
      <c r="BQ427" s="3">
        <f>+IF(AVANCE[[#This Row],[LAVAMANOS / LAVAPLATOS / LAVADERO]]=Z$2,100%,AVANCE[[#This Row],[LAVAMANOS / LAVAPLATOS / LAVADERO]])</f>
        <v>0</v>
      </c>
      <c r="BR427" s="3">
        <f>+IF(AVANCE[[#This Row],[CANALIZACIÓN]]=AC$2,100%,AVANCE[[#This Row],[CANALIZACIÓN]])</f>
        <v>0</v>
      </c>
      <c r="BS427" s="3">
        <f>+IF(AVANCE[[#This Row],[CABLEADO]]=AD$2,100%,AVANCE[[#This Row],[CABLEADO]])</f>
        <v>0</v>
      </c>
      <c r="BT427" s="3">
        <f>+IF(AVANCE[[#This Row],[ARTEFACTOS]]=AE$2,100%,AVANCE[[#This Row],[ARTEFACTOS]])</f>
        <v>0</v>
      </c>
      <c r="BU427" s="3">
        <f>+IF(AVANCE[[#This Row],[TABLERO]]=AF$2,100%,AVANCE[[#This Row],[TABLERO]])</f>
        <v>0</v>
      </c>
      <c r="BV427" s="3">
        <f>+IF(AVANCE[[#This Row],[CAJA PAU]]=AG$2,100%,AVANCE[[#This Row],[CAJA PAU]])</f>
        <v>0</v>
      </c>
      <c r="BW427" s="3">
        <f>+IF(AVANCE[[#This Row],[INSTALACION VINILICO]]=AJ$2,100%,AVANCE[[#This Row],[INSTALACION VINILICO]])</f>
        <v>0</v>
      </c>
      <c r="BX427" s="3">
        <f>+IF(AVANCE[[#This Row],[OSB CUBIERTA]]=AK$2,100%,AVANCE[[#This Row],[OSB CUBIERTA]])</f>
        <v>0</v>
      </c>
      <c r="BY427" s="3">
        <f>+IF(AVANCE[[#This Row],[BARANDA BALCON]]=AL$2,100%,AVANCE[[#This Row],[BARANDA BALCON]])</f>
        <v>0</v>
      </c>
      <c r="BZ427" s="3">
        <f>+IF(AVANCE[[#This Row],[OSB EXTERIOR]]=AM$2,100%,AVANCE[[#This Row],[OSB EXTERIOR]])</f>
        <v>0</v>
      </c>
      <c r="CA427" s="3">
        <f>+IF(AVANCE[[#This Row],[SMART PANEL]]=AN$2,100%,AVANCE[[#This Row],[SMART PANEL]])</f>
        <v>0</v>
      </c>
      <c r="CB427" s="3">
        <f>+IF(AVANCE[[#This Row],[PINTURA EXTERIOR]]=AO$2,100%,AVANCE[[#This Row],[PINTURA EXTERIOR]])</f>
        <v>0</v>
      </c>
      <c r="CC427" s="3">
        <f>+IF(AVANCE[[#This Row],[ZOCALOS LOGIA]]=AP$2,100%,AVANCE[[#This Row],[ZOCALOS LOGIA]])</f>
        <v>0</v>
      </c>
      <c r="CD427" s="3">
        <f>+IF(AVANCE[[#This Row],[MOLDURAS]]=AQ$2,100%,AVANCE[[#This Row],[MOLDURAS]])</f>
        <v>0</v>
      </c>
      <c r="CE427" s="3">
        <f>+IF(AVANCE[[#This Row],[PILASTREO]]=AR$2,100%,AVANCE[[#This Row],[PILASTREO]])</f>
        <v>0</v>
      </c>
      <c r="CF427" s="3">
        <f>+IF(AVANCE[[#This Row],[CELOSIAS]]=AS$2,100%,AVANCE[[#This Row],[CELOSIAS]])</f>
        <v>0</v>
      </c>
      <c r="CG427" s="3">
        <f>+IF(AVANCE[[#This Row],[VENTANAS]]=AT$2,100%,AVANCE[[#This Row],[VENTANAS]])</f>
        <v>0</v>
      </c>
      <c r="CH427" s="3">
        <f>+IF(AVANCE[[#This Row],[PUERTAS ACCESO - LOGIA - BANO]]=AU$2,100%,AVANCE[[#This Row],[PUERTAS ACCESO - LOGIA - BANO]])</f>
        <v>0</v>
      </c>
      <c r="CI427" s="3">
        <f>+IF(AVANCE[[#This Row],[CERRADURAS]]=AV$2,100%,AVANCE[[#This Row],[CERRADURAS]])</f>
        <v>0</v>
      </c>
      <c r="CJ427" s="3">
        <f>+IF(AVANCE[[#This Row],[REVESTIMIENTO INTERIOR ZONA SECA]]=AW$2,100%,AVANCE[[#This Row],[REVESTIMIENTO INTERIOR ZONA SECA]])</f>
        <v>0</v>
      </c>
      <c r="CK427" s="3">
        <f>+IF(AVANCE[[#This Row],[REVESTIMIENTO INTERIOR ZONAS HUMEDAS]]=AX$2,100%,AVANCE[[#This Row],[REVESTIMIENTO INTERIOR ZONAS HUMEDAS]])</f>
        <v>0</v>
      </c>
      <c r="CL427" s="3">
        <f>+IF(AVANCE[[#This Row],[MEMBRANA CIELO]]=AY$2,100%,AVANCE[[#This Row],[MEMBRANA CIELO]])</f>
        <v>0</v>
      </c>
      <c r="CM427" s="3">
        <f>+IF(AVANCE[[#This Row],[LIMPIEZA FINAL]]=AZ$2,100%,AVANCE[[#This Row],[LIMPIEZA FINAL]])</f>
        <v>0</v>
      </c>
      <c r="CN427" s="3">
        <f>+IF(AVANCE[[#This Row],[PUERTAS DORMITORIO]]=BA$2,100%,AVANCE[[#This Row],[PUERTAS DORMITORIO]])</f>
        <v>0</v>
      </c>
      <c r="CO427" s="3">
        <f>+IF(AVANCE[[#This Row],[REVESTIMIENTO INTERIOR BANO]]=BB$2,100%,AVANCE[[#This Row],[REVESTIMIENTO INTERIOR BANO]])</f>
        <v>0</v>
      </c>
      <c r="CP427" s="3">
        <f>+IF(AVANCE[[#This Row],[MUEBLE LAVAPLATOS]]=BC$2,100%,AVANCE[[#This Row],[MUEBLE LAVAPLATOS]])</f>
        <v>0</v>
      </c>
      <c r="CQ427" s="3">
        <f>+IF(AVANCE[[#This Row],[IMPERMEABILIZACION BANO - COCINA LOGIA]]=BD$2,100%,AVANCE[[#This Row],[IMPERMEABILIZACION BANO - COCINA LOGIA]])</f>
        <v>0</v>
      </c>
      <c r="CR427" s="40">
        <f ca="1">+IF(AVANCE[[#This Row],[ESTADO MODULO]]="PENDIENTE",(TODAY()-AVANCE[[#This Row],[FECHA TERMINO  PLANIFICADO]]),0)</f>
        <v>0</v>
      </c>
      <c r="CS427" s="42" t="str" cm="1">
        <f t="array" ref="CS427">_xlfn.TEXTJOIN(" | ",TRUE,IF(SUMPRODUCT((BF427:CQ427&lt;1)*(PARTIDAS!$I$2:$AT$2="OBRA GRUESA"))&gt;0,"OBRA GRUESA: "&amp;_xlfn.TEXTJOIN(", ",TRUE,IF((BF427:CQ427&lt;1)*(PARTIDAS!$I$2:$AT$2="OBRA GRUESA"),PARTIDAS!$I$1:$AT$1,"")),""),IF(SUMPRODUCT((BF427:CQ427&lt;1)*(PARTIDAS!$I$2:$AT$2="SANITARIOS"))&gt;0,"SANITARIOS: "&amp;_xlfn.TEXTJOIN(", ",TRUE,IF((BF427:CQ427&lt;1)*(PARTIDAS!$I$2:$AT$2="SANITARIOS"),PARTIDAS!$I$1:$AT$1,"")),""),IF(SUMPRODUCT((BF427:CQ427&lt;1)*(PARTIDAS!$I$2:$AT$2="ELÉCTRICO"))&gt;0,"ELÉCTRICO: "&amp;_xlfn.TEXTJOIN(", ",TRUE,IF((BF427:CQ427&lt;1)*(PARTIDAS!$I$2:$AT$2="ELÉCTRICO"),PARTIDAS!$I$1:$AT$1,"")),""),IF(SUMPRODUCT((BF427:CQ427&lt;1)*(PARTIDAS!$I$2:$AT$2="TERMINACIONES"))&gt;0,"TERMINACIONES: "&amp;_xlfn.TEXTJOIN(", ",TRUE,IF((BF427:CQ427&lt;1)*(PARTIDAS!$I$2:$AT$2="TERMINACIONES"),PARTIDAS!$I$1:$AT$1,"")),""))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7" s="45" t="str" cm="1">
        <f t="array" ref="CT427">_xlfn.TEXTJOIN(", ",TRUE,IF(SUMPRODUCT((BF427:CQ427&lt;1)*(PARTIDAS!$I$2:$AT$2="OBRA GRUESA"))&gt;0,"OBRA GRUESA",""),IF(SUMPRODUCT((BF427:CQ427&lt;1)*(PARTIDAS!$I$2:$AT$2="SANITARIOS"))&gt;0,"SANITARIOS",""),IF(SUMPRODUCT((BF427:CQ427&lt;1)*(PARTIDAS!$I$2:$AT$2="ELÉCTRICO"))&gt;0,"ELÉCTRICO",""),IF(SUMPRODUCT((BF427:CQ427&lt;1)*(PARTIDAS!$I$2:$AT$2="TERMINACIONES"))&gt;0,"TERMINACIONES",""))</f>
        <v>OBRA GRUESA, SANITARIOS, ELÉCTRICO, TERMINACIONES</v>
      </c>
      <c r="CU427" s="46" cm="1">
        <f t="array" ref="CU427">SUMPRODUCT(--(BF427:CQ427&lt;1))</f>
        <v>38</v>
      </c>
    </row>
    <row r="428" spans="1:99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46181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 s="3" t="str">
        <f>+IF(AVANCE[[#This Row],[% AVANCE]]=100%,"MODULO TERMINADO",IF(AVANCE[[#This Row],[FECHA INICIO REAL]]="","MODULO NO INICIADO","PENDIENTE"))</f>
        <v>MODULO NO INICIADO</v>
      </c>
      <c r="BF428" s="3">
        <f>+IF(AVANCE[[#This Row],[VENTANAS]]=8.10810810810811%,100%,AVANCE[[#This Row],[VENTANAS]])</f>
        <v>0</v>
      </c>
      <c r="BG428" s="3">
        <f>+IF(AVANCE[[#This Row],[PISO]]=N$2,100%,AVANCE[[#This Row],[PISO]])</f>
        <v>0</v>
      </c>
      <c r="BH428" s="3">
        <f>+IF(AVANCE[[#This Row],[TABIQUES]]=O$2,100%,AVANCE[[#This Row],[TABIQUES]])</f>
        <v>0</v>
      </c>
      <c r="BI428" s="3">
        <f>+IF(AVANCE[[#This Row],[MUROS]]=P$2,100%,AVANCE[[#This Row],[MUROS]])</f>
        <v>0</v>
      </c>
      <c r="BJ428" s="3">
        <f>+IF(AVANCE[[#This Row],[CIELO]]=Q$2,100%,AVANCE[[#This Row],[CIELO]])</f>
        <v>0</v>
      </c>
      <c r="BK428" s="3">
        <f>+IF(AVANCE[[#This Row],[BALCÓN]]=R$2,100%,AVANCE[[#This Row],[BALCÓN]])</f>
        <v>0</v>
      </c>
      <c r="BL428" s="3">
        <f>+IF(AVANCE[[#This Row],[RED ALCANTARILLADO]]=U$2,100%,AVANCE[[#This Row],[RED ALCANTARILLADO]])</f>
        <v>0</v>
      </c>
      <c r="BM428" s="3">
        <f>+IF(AVANCE[[#This Row],[RED DE AGUA]]=V$2,100%,AVANCE[[#This Row],[RED DE AGUA]])</f>
        <v>0</v>
      </c>
      <c r="BN428" s="3">
        <f>+IF(AVANCE[[#This Row],[VENTILACIONES]]=W$2,100%,AVANCE[[#This Row],[VENTILACIONES]])</f>
        <v>0</v>
      </c>
      <c r="BO428" s="3">
        <f>+IF(AVANCE[[#This Row],[TINA]]=X$2,100%,AVANCE[[#This Row],[TINA]])</f>
        <v>0</v>
      </c>
      <c r="BP428" s="3">
        <f>+IF(AVANCE[[#This Row],[WC]]=Y$2,100%,AVANCE[[#This Row],[WC]])</f>
        <v>0</v>
      </c>
      <c r="BQ428" s="3">
        <f>+IF(AVANCE[[#This Row],[LAVAMANOS / LAVAPLATOS / LAVADERO]]=Z$2,100%,AVANCE[[#This Row],[LAVAMANOS / LAVAPLATOS / LAVADERO]])</f>
        <v>0</v>
      </c>
      <c r="BR428" s="3">
        <f>+IF(AVANCE[[#This Row],[CANALIZACIÓN]]=AC$2,100%,AVANCE[[#This Row],[CANALIZACIÓN]])</f>
        <v>0</v>
      </c>
      <c r="BS428" s="3">
        <f>+IF(AVANCE[[#This Row],[CABLEADO]]=AD$2,100%,AVANCE[[#This Row],[CABLEADO]])</f>
        <v>0</v>
      </c>
      <c r="BT428" s="3">
        <f>+IF(AVANCE[[#This Row],[ARTEFACTOS]]=AE$2,100%,AVANCE[[#This Row],[ARTEFACTOS]])</f>
        <v>0</v>
      </c>
      <c r="BU428" s="3">
        <f>+IF(AVANCE[[#This Row],[TABLERO]]=AF$2,100%,AVANCE[[#This Row],[TABLERO]])</f>
        <v>0</v>
      </c>
      <c r="BV428" s="3">
        <f>+IF(AVANCE[[#This Row],[CAJA PAU]]=AG$2,100%,AVANCE[[#This Row],[CAJA PAU]])</f>
        <v>0</v>
      </c>
      <c r="BW428" s="3">
        <f>+IF(AVANCE[[#This Row],[INSTALACION VINILICO]]=AJ$2,100%,AVANCE[[#This Row],[INSTALACION VINILICO]])</f>
        <v>0</v>
      </c>
      <c r="BX428" s="3">
        <f>+IF(AVANCE[[#This Row],[OSB CUBIERTA]]=AK$2,100%,AVANCE[[#This Row],[OSB CUBIERTA]])</f>
        <v>0</v>
      </c>
      <c r="BY428" s="3">
        <f>+IF(AVANCE[[#This Row],[BARANDA BALCON]]=AL$2,100%,AVANCE[[#This Row],[BARANDA BALCON]])</f>
        <v>0</v>
      </c>
      <c r="BZ428" s="3">
        <f>+IF(AVANCE[[#This Row],[OSB EXTERIOR]]=AM$2,100%,AVANCE[[#This Row],[OSB EXTERIOR]])</f>
        <v>0</v>
      </c>
      <c r="CA428" s="3">
        <f>+IF(AVANCE[[#This Row],[SMART PANEL]]=AN$2,100%,AVANCE[[#This Row],[SMART PANEL]])</f>
        <v>0</v>
      </c>
      <c r="CB428" s="3">
        <f>+IF(AVANCE[[#This Row],[PINTURA EXTERIOR]]=AO$2,100%,AVANCE[[#This Row],[PINTURA EXTERIOR]])</f>
        <v>0</v>
      </c>
      <c r="CC428" s="3">
        <f>+IF(AVANCE[[#This Row],[ZOCALOS LOGIA]]=AP$2,100%,AVANCE[[#This Row],[ZOCALOS LOGIA]])</f>
        <v>0</v>
      </c>
      <c r="CD428" s="3">
        <f>+IF(AVANCE[[#This Row],[MOLDURAS]]=AQ$2,100%,AVANCE[[#This Row],[MOLDURAS]])</f>
        <v>0</v>
      </c>
      <c r="CE428" s="3">
        <f>+IF(AVANCE[[#This Row],[PILASTREO]]=AR$2,100%,AVANCE[[#This Row],[PILASTREO]])</f>
        <v>0</v>
      </c>
      <c r="CF428" s="3">
        <f>+IF(AVANCE[[#This Row],[CELOSIAS]]=AS$2,100%,AVANCE[[#This Row],[CELOSIAS]])</f>
        <v>0</v>
      </c>
      <c r="CG428" s="3">
        <f>+IF(AVANCE[[#This Row],[VENTANAS]]=AT$2,100%,AVANCE[[#This Row],[VENTANAS]])</f>
        <v>0</v>
      </c>
      <c r="CH428" s="3">
        <f>+IF(AVANCE[[#This Row],[PUERTAS ACCESO - LOGIA - BANO]]=AU$2,100%,AVANCE[[#This Row],[PUERTAS ACCESO - LOGIA - BANO]])</f>
        <v>0</v>
      </c>
      <c r="CI428" s="3">
        <f>+IF(AVANCE[[#This Row],[CERRADURAS]]=AV$2,100%,AVANCE[[#This Row],[CERRADURAS]])</f>
        <v>0</v>
      </c>
      <c r="CJ428" s="3">
        <f>+IF(AVANCE[[#This Row],[REVESTIMIENTO INTERIOR ZONA SECA]]=AW$2,100%,AVANCE[[#This Row],[REVESTIMIENTO INTERIOR ZONA SECA]])</f>
        <v>0</v>
      </c>
      <c r="CK428" s="3">
        <f>+IF(AVANCE[[#This Row],[REVESTIMIENTO INTERIOR ZONAS HUMEDAS]]=AX$2,100%,AVANCE[[#This Row],[REVESTIMIENTO INTERIOR ZONAS HUMEDAS]])</f>
        <v>0</v>
      </c>
      <c r="CL428" s="3">
        <f>+IF(AVANCE[[#This Row],[MEMBRANA CIELO]]=AY$2,100%,AVANCE[[#This Row],[MEMBRANA CIELO]])</f>
        <v>0</v>
      </c>
      <c r="CM428" s="3">
        <f>+IF(AVANCE[[#This Row],[LIMPIEZA FINAL]]=AZ$2,100%,AVANCE[[#This Row],[LIMPIEZA FINAL]])</f>
        <v>0</v>
      </c>
      <c r="CN428" s="3">
        <f>+IF(AVANCE[[#This Row],[PUERTAS DORMITORIO]]=BA$2,100%,AVANCE[[#This Row],[PUERTAS DORMITORIO]])</f>
        <v>0</v>
      </c>
      <c r="CO428" s="3">
        <f>+IF(AVANCE[[#This Row],[REVESTIMIENTO INTERIOR BANO]]=BB$2,100%,AVANCE[[#This Row],[REVESTIMIENTO INTERIOR BANO]])</f>
        <v>0</v>
      </c>
      <c r="CP428" s="3">
        <f>+IF(AVANCE[[#This Row],[MUEBLE LAVAPLATOS]]=BC$2,100%,AVANCE[[#This Row],[MUEBLE LAVAPLATOS]])</f>
        <v>0</v>
      </c>
      <c r="CQ428" s="3">
        <f>+IF(AVANCE[[#This Row],[IMPERMEABILIZACION BANO - COCINA LOGIA]]=BD$2,100%,AVANCE[[#This Row],[IMPERMEABILIZACION BANO - COCINA LOGIA]])</f>
        <v>0</v>
      </c>
      <c r="CR428" s="40">
        <f ca="1">+IF(AVANCE[[#This Row],[ESTADO MODULO]]="PENDIENTE",(TODAY()-AVANCE[[#This Row],[FECHA TERMINO  PLANIFICADO]]),0)</f>
        <v>0</v>
      </c>
      <c r="CS428" s="42" t="str" cm="1">
        <f t="array" ref="CS428">_xlfn.TEXTJOIN(" | ",TRUE,IF(SUMPRODUCT((BF428:CQ428&lt;1)*(PARTIDAS!$I$2:$AT$2="OBRA GRUESA"))&gt;0,"OBRA GRUESA: "&amp;_xlfn.TEXTJOIN(", ",TRUE,IF((BF428:CQ428&lt;1)*(PARTIDAS!$I$2:$AT$2="OBRA GRUESA"),PARTIDAS!$I$1:$AT$1,"")),""),IF(SUMPRODUCT((BF428:CQ428&lt;1)*(PARTIDAS!$I$2:$AT$2="SANITARIOS"))&gt;0,"SANITARIOS: "&amp;_xlfn.TEXTJOIN(", ",TRUE,IF((BF428:CQ428&lt;1)*(PARTIDAS!$I$2:$AT$2="SANITARIOS"),PARTIDAS!$I$1:$AT$1,"")),""),IF(SUMPRODUCT((BF428:CQ428&lt;1)*(PARTIDAS!$I$2:$AT$2="ELÉCTRICO"))&gt;0,"ELÉCTRICO: "&amp;_xlfn.TEXTJOIN(", ",TRUE,IF((BF428:CQ428&lt;1)*(PARTIDAS!$I$2:$AT$2="ELÉCTRICO"),PARTIDAS!$I$1:$AT$1,"")),""),IF(SUMPRODUCT((BF428:CQ428&lt;1)*(PARTIDAS!$I$2:$AT$2="TERMINACIONES"))&gt;0,"TERMINACIONES: "&amp;_xlfn.TEXTJOIN(", ",TRUE,IF((BF428:CQ428&lt;1)*(PARTIDAS!$I$2:$AT$2="TERMINACIONES"),PARTIDAS!$I$1:$AT$1,"")),""))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8" s="45" t="str" cm="1">
        <f t="array" ref="CT428">_xlfn.TEXTJOIN(", ",TRUE,IF(SUMPRODUCT((BF428:CQ428&lt;1)*(PARTIDAS!$I$2:$AT$2="OBRA GRUESA"))&gt;0,"OBRA GRUESA",""),IF(SUMPRODUCT((BF428:CQ428&lt;1)*(PARTIDAS!$I$2:$AT$2="SANITARIOS"))&gt;0,"SANITARIOS",""),IF(SUMPRODUCT((BF428:CQ428&lt;1)*(PARTIDAS!$I$2:$AT$2="ELÉCTRICO"))&gt;0,"ELÉCTRICO",""),IF(SUMPRODUCT((BF428:CQ428&lt;1)*(PARTIDAS!$I$2:$AT$2="TERMINACIONES"))&gt;0,"TERMINACIONES",""))</f>
        <v>OBRA GRUESA, SANITARIOS, ELÉCTRICO, TERMINACIONES</v>
      </c>
      <c r="CU428" s="46" cm="1">
        <f t="array" ref="CU428">SUMPRODUCT(--(BF428:CQ428&lt;1))</f>
        <v>38</v>
      </c>
    </row>
    <row r="429" spans="1:99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46181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 s="3" t="str">
        <f>+IF(AVANCE[[#This Row],[% AVANCE]]=100%,"MODULO TERMINADO",IF(AVANCE[[#This Row],[FECHA INICIO REAL]]="","MODULO NO INICIADO","PENDIENTE"))</f>
        <v>MODULO NO INICIADO</v>
      </c>
      <c r="BF429" s="3">
        <f>+IF(AVANCE[[#This Row],[VENTANAS]]=8.10810810810811%,100%,AVANCE[[#This Row],[VENTANAS]])</f>
        <v>0</v>
      </c>
      <c r="BG429" s="3">
        <f>+IF(AVANCE[[#This Row],[PISO]]=N$2,100%,AVANCE[[#This Row],[PISO]])</f>
        <v>0</v>
      </c>
      <c r="BH429" s="3">
        <f>+IF(AVANCE[[#This Row],[TABIQUES]]=O$2,100%,AVANCE[[#This Row],[TABIQUES]])</f>
        <v>0</v>
      </c>
      <c r="BI429" s="3">
        <f>+IF(AVANCE[[#This Row],[MUROS]]=P$2,100%,AVANCE[[#This Row],[MUROS]])</f>
        <v>0</v>
      </c>
      <c r="BJ429" s="3">
        <f>+IF(AVANCE[[#This Row],[CIELO]]=Q$2,100%,AVANCE[[#This Row],[CIELO]])</f>
        <v>0</v>
      </c>
      <c r="BK429" s="3">
        <f>+IF(AVANCE[[#This Row],[BALCÓN]]=R$2,100%,AVANCE[[#This Row],[BALCÓN]])</f>
        <v>0</v>
      </c>
      <c r="BL429" s="3">
        <f>+IF(AVANCE[[#This Row],[RED ALCANTARILLADO]]=U$2,100%,AVANCE[[#This Row],[RED ALCANTARILLADO]])</f>
        <v>0</v>
      </c>
      <c r="BM429" s="3">
        <f>+IF(AVANCE[[#This Row],[RED DE AGUA]]=V$2,100%,AVANCE[[#This Row],[RED DE AGUA]])</f>
        <v>0</v>
      </c>
      <c r="BN429" s="3">
        <f>+IF(AVANCE[[#This Row],[VENTILACIONES]]=W$2,100%,AVANCE[[#This Row],[VENTILACIONES]])</f>
        <v>0</v>
      </c>
      <c r="BO429" s="3">
        <f>+IF(AVANCE[[#This Row],[TINA]]=X$2,100%,AVANCE[[#This Row],[TINA]])</f>
        <v>0</v>
      </c>
      <c r="BP429" s="3">
        <f>+IF(AVANCE[[#This Row],[WC]]=Y$2,100%,AVANCE[[#This Row],[WC]])</f>
        <v>0</v>
      </c>
      <c r="BQ429" s="3">
        <f>+IF(AVANCE[[#This Row],[LAVAMANOS / LAVAPLATOS / LAVADERO]]=Z$2,100%,AVANCE[[#This Row],[LAVAMANOS / LAVAPLATOS / LAVADERO]])</f>
        <v>0</v>
      </c>
      <c r="BR429" s="3">
        <f>+IF(AVANCE[[#This Row],[CANALIZACIÓN]]=AC$2,100%,AVANCE[[#This Row],[CANALIZACIÓN]])</f>
        <v>0</v>
      </c>
      <c r="BS429" s="3">
        <f>+IF(AVANCE[[#This Row],[CABLEADO]]=AD$2,100%,AVANCE[[#This Row],[CABLEADO]])</f>
        <v>0</v>
      </c>
      <c r="BT429" s="3">
        <f>+IF(AVANCE[[#This Row],[ARTEFACTOS]]=AE$2,100%,AVANCE[[#This Row],[ARTEFACTOS]])</f>
        <v>0</v>
      </c>
      <c r="BU429" s="3">
        <f>+IF(AVANCE[[#This Row],[TABLERO]]=AF$2,100%,AVANCE[[#This Row],[TABLERO]])</f>
        <v>0</v>
      </c>
      <c r="BV429" s="3">
        <f>+IF(AVANCE[[#This Row],[CAJA PAU]]=AG$2,100%,AVANCE[[#This Row],[CAJA PAU]])</f>
        <v>0</v>
      </c>
      <c r="BW429" s="3">
        <f>+IF(AVANCE[[#This Row],[INSTALACION VINILICO]]=AJ$2,100%,AVANCE[[#This Row],[INSTALACION VINILICO]])</f>
        <v>0</v>
      </c>
      <c r="BX429" s="3">
        <f>+IF(AVANCE[[#This Row],[OSB CUBIERTA]]=AK$2,100%,AVANCE[[#This Row],[OSB CUBIERTA]])</f>
        <v>0</v>
      </c>
      <c r="BY429" s="3">
        <f>+IF(AVANCE[[#This Row],[BARANDA BALCON]]=AL$2,100%,AVANCE[[#This Row],[BARANDA BALCON]])</f>
        <v>0</v>
      </c>
      <c r="BZ429" s="3">
        <f>+IF(AVANCE[[#This Row],[OSB EXTERIOR]]=AM$2,100%,AVANCE[[#This Row],[OSB EXTERIOR]])</f>
        <v>0</v>
      </c>
      <c r="CA429" s="3">
        <f>+IF(AVANCE[[#This Row],[SMART PANEL]]=AN$2,100%,AVANCE[[#This Row],[SMART PANEL]])</f>
        <v>0</v>
      </c>
      <c r="CB429" s="3">
        <f>+IF(AVANCE[[#This Row],[PINTURA EXTERIOR]]=AO$2,100%,AVANCE[[#This Row],[PINTURA EXTERIOR]])</f>
        <v>0</v>
      </c>
      <c r="CC429" s="3">
        <f>+IF(AVANCE[[#This Row],[ZOCALOS LOGIA]]=AP$2,100%,AVANCE[[#This Row],[ZOCALOS LOGIA]])</f>
        <v>0</v>
      </c>
      <c r="CD429" s="3">
        <f>+IF(AVANCE[[#This Row],[MOLDURAS]]=AQ$2,100%,AVANCE[[#This Row],[MOLDURAS]])</f>
        <v>0</v>
      </c>
      <c r="CE429" s="3">
        <f>+IF(AVANCE[[#This Row],[PILASTREO]]=AR$2,100%,AVANCE[[#This Row],[PILASTREO]])</f>
        <v>0</v>
      </c>
      <c r="CF429" s="3">
        <f>+IF(AVANCE[[#This Row],[CELOSIAS]]=AS$2,100%,AVANCE[[#This Row],[CELOSIAS]])</f>
        <v>0</v>
      </c>
      <c r="CG429" s="3">
        <f>+IF(AVANCE[[#This Row],[VENTANAS]]=AT$2,100%,AVANCE[[#This Row],[VENTANAS]])</f>
        <v>0</v>
      </c>
      <c r="CH429" s="3">
        <f>+IF(AVANCE[[#This Row],[PUERTAS ACCESO - LOGIA - BANO]]=AU$2,100%,AVANCE[[#This Row],[PUERTAS ACCESO - LOGIA - BANO]])</f>
        <v>0</v>
      </c>
      <c r="CI429" s="3">
        <f>+IF(AVANCE[[#This Row],[CERRADURAS]]=AV$2,100%,AVANCE[[#This Row],[CERRADURAS]])</f>
        <v>0</v>
      </c>
      <c r="CJ429" s="3">
        <f>+IF(AVANCE[[#This Row],[REVESTIMIENTO INTERIOR ZONA SECA]]=AW$2,100%,AVANCE[[#This Row],[REVESTIMIENTO INTERIOR ZONA SECA]])</f>
        <v>0</v>
      </c>
      <c r="CK429" s="3">
        <f>+IF(AVANCE[[#This Row],[REVESTIMIENTO INTERIOR ZONAS HUMEDAS]]=AX$2,100%,AVANCE[[#This Row],[REVESTIMIENTO INTERIOR ZONAS HUMEDAS]])</f>
        <v>0</v>
      </c>
      <c r="CL429" s="3">
        <f>+IF(AVANCE[[#This Row],[MEMBRANA CIELO]]=AY$2,100%,AVANCE[[#This Row],[MEMBRANA CIELO]])</f>
        <v>0</v>
      </c>
      <c r="CM429" s="3">
        <f>+IF(AVANCE[[#This Row],[LIMPIEZA FINAL]]=AZ$2,100%,AVANCE[[#This Row],[LIMPIEZA FINAL]])</f>
        <v>0</v>
      </c>
      <c r="CN429" s="3">
        <f>+IF(AVANCE[[#This Row],[PUERTAS DORMITORIO]]=BA$2,100%,AVANCE[[#This Row],[PUERTAS DORMITORIO]])</f>
        <v>0</v>
      </c>
      <c r="CO429" s="3">
        <f>+IF(AVANCE[[#This Row],[REVESTIMIENTO INTERIOR BANO]]=BB$2,100%,AVANCE[[#This Row],[REVESTIMIENTO INTERIOR BANO]])</f>
        <v>0</v>
      </c>
      <c r="CP429" s="3">
        <f>+IF(AVANCE[[#This Row],[MUEBLE LAVAPLATOS]]=BC$2,100%,AVANCE[[#This Row],[MUEBLE LAVAPLATOS]])</f>
        <v>0</v>
      </c>
      <c r="CQ429" s="3">
        <f>+IF(AVANCE[[#This Row],[IMPERMEABILIZACION BANO - COCINA LOGIA]]=BD$2,100%,AVANCE[[#This Row],[IMPERMEABILIZACION BANO - COCINA LOGIA]])</f>
        <v>0</v>
      </c>
      <c r="CR429" s="40">
        <f ca="1">+IF(AVANCE[[#This Row],[ESTADO MODULO]]="PENDIENTE",(TODAY()-AVANCE[[#This Row],[FECHA TERMINO  PLANIFICADO]]),0)</f>
        <v>0</v>
      </c>
      <c r="CS429" s="42" t="str" cm="1">
        <f t="array" ref="CS429">_xlfn.TEXTJOIN(" | ",TRUE,IF(SUMPRODUCT((BF429:CQ429&lt;1)*(PARTIDAS!$I$2:$AT$2="OBRA GRUESA"))&gt;0,"OBRA GRUESA: "&amp;_xlfn.TEXTJOIN(", ",TRUE,IF((BF429:CQ429&lt;1)*(PARTIDAS!$I$2:$AT$2="OBRA GRUESA"),PARTIDAS!$I$1:$AT$1,"")),""),IF(SUMPRODUCT((BF429:CQ429&lt;1)*(PARTIDAS!$I$2:$AT$2="SANITARIOS"))&gt;0,"SANITARIOS: "&amp;_xlfn.TEXTJOIN(", ",TRUE,IF((BF429:CQ429&lt;1)*(PARTIDAS!$I$2:$AT$2="SANITARIOS"),PARTIDAS!$I$1:$AT$1,"")),""),IF(SUMPRODUCT((BF429:CQ429&lt;1)*(PARTIDAS!$I$2:$AT$2="ELÉCTRICO"))&gt;0,"ELÉCTRICO: "&amp;_xlfn.TEXTJOIN(", ",TRUE,IF((BF429:CQ429&lt;1)*(PARTIDAS!$I$2:$AT$2="ELÉCTRICO"),PARTIDAS!$I$1:$AT$1,"")),""),IF(SUMPRODUCT((BF429:CQ429&lt;1)*(PARTIDAS!$I$2:$AT$2="TERMINACIONES"))&gt;0,"TERMINACIONES: "&amp;_xlfn.TEXTJOIN(", ",TRUE,IF((BF429:CQ429&lt;1)*(PARTIDAS!$I$2:$AT$2="TERMINACIONES"),PARTIDAS!$I$1:$AT$1,"")),""))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29" s="45" t="str" cm="1">
        <f t="array" ref="CT429">_xlfn.TEXTJOIN(", ",TRUE,IF(SUMPRODUCT((BF429:CQ429&lt;1)*(PARTIDAS!$I$2:$AT$2="OBRA GRUESA"))&gt;0,"OBRA GRUESA",""),IF(SUMPRODUCT((BF429:CQ429&lt;1)*(PARTIDAS!$I$2:$AT$2="SANITARIOS"))&gt;0,"SANITARIOS",""),IF(SUMPRODUCT((BF429:CQ429&lt;1)*(PARTIDAS!$I$2:$AT$2="ELÉCTRICO"))&gt;0,"ELÉCTRICO",""),IF(SUMPRODUCT((BF429:CQ429&lt;1)*(PARTIDAS!$I$2:$AT$2="TERMINACIONES"))&gt;0,"TERMINACIONES",""))</f>
        <v>OBRA GRUESA, SANITARIOS, ELÉCTRICO, TERMINACIONES</v>
      </c>
      <c r="CU429" s="46" cm="1">
        <f t="array" ref="CU429">SUMPRODUCT(--(BF429:CQ429&lt;1))</f>
        <v>38</v>
      </c>
    </row>
    <row r="430" spans="1:99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46181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 s="3" t="str">
        <f>+IF(AVANCE[[#This Row],[% AVANCE]]=100%,"MODULO TERMINADO",IF(AVANCE[[#This Row],[FECHA INICIO REAL]]="","MODULO NO INICIADO","PENDIENTE"))</f>
        <v>MODULO NO INICIADO</v>
      </c>
      <c r="BF430" s="3">
        <f>+IF(AVANCE[[#This Row],[VENTANAS]]=8.10810810810811%,100%,AVANCE[[#This Row],[VENTANAS]])</f>
        <v>0</v>
      </c>
      <c r="BG430" s="3">
        <f>+IF(AVANCE[[#This Row],[PISO]]=N$2,100%,AVANCE[[#This Row],[PISO]])</f>
        <v>0</v>
      </c>
      <c r="BH430" s="3">
        <f>+IF(AVANCE[[#This Row],[TABIQUES]]=O$2,100%,AVANCE[[#This Row],[TABIQUES]])</f>
        <v>0</v>
      </c>
      <c r="BI430" s="3">
        <f>+IF(AVANCE[[#This Row],[MUROS]]=P$2,100%,AVANCE[[#This Row],[MUROS]])</f>
        <v>0</v>
      </c>
      <c r="BJ430" s="3">
        <f>+IF(AVANCE[[#This Row],[CIELO]]=Q$2,100%,AVANCE[[#This Row],[CIELO]])</f>
        <v>0</v>
      </c>
      <c r="BK430" s="3">
        <f>+IF(AVANCE[[#This Row],[BALCÓN]]=R$2,100%,AVANCE[[#This Row],[BALCÓN]])</f>
        <v>0</v>
      </c>
      <c r="BL430" s="3">
        <f>+IF(AVANCE[[#This Row],[RED ALCANTARILLADO]]=U$2,100%,AVANCE[[#This Row],[RED ALCANTARILLADO]])</f>
        <v>0</v>
      </c>
      <c r="BM430" s="3">
        <f>+IF(AVANCE[[#This Row],[RED DE AGUA]]=V$2,100%,AVANCE[[#This Row],[RED DE AGUA]])</f>
        <v>0</v>
      </c>
      <c r="BN430" s="3">
        <f>+IF(AVANCE[[#This Row],[VENTILACIONES]]=W$2,100%,AVANCE[[#This Row],[VENTILACIONES]])</f>
        <v>0</v>
      </c>
      <c r="BO430" s="3">
        <f>+IF(AVANCE[[#This Row],[TINA]]=X$2,100%,AVANCE[[#This Row],[TINA]])</f>
        <v>0</v>
      </c>
      <c r="BP430" s="3">
        <f>+IF(AVANCE[[#This Row],[WC]]=Y$2,100%,AVANCE[[#This Row],[WC]])</f>
        <v>0</v>
      </c>
      <c r="BQ430" s="3">
        <f>+IF(AVANCE[[#This Row],[LAVAMANOS / LAVAPLATOS / LAVADERO]]=Z$2,100%,AVANCE[[#This Row],[LAVAMANOS / LAVAPLATOS / LAVADERO]])</f>
        <v>0</v>
      </c>
      <c r="BR430" s="3">
        <f>+IF(AVANCE[[#This Row],[CANALIZACIÓN]]=AC$2,100%,AVANCE[[#This Row],[CANALIZACIÓN]])</f>
        <v>0</v>
      </c>
      <c r="BS430" s="3">
        <f>+IF(AVANCE[[#This Row],[CABLEADO]]=AD$2,100%,AVANCE[[#This Row],[CABLEADO]])</f>
        <v>0</v>
      </c>
      <c r="BT430" s="3">
        <f>+IF(AVANCE[[#This Row],[ARTEFACTOS]]=AE$2,100%,AVANCE[[#This Row],[ARTEFACTOS]])</f>
        <v>0</v>
      </c>
      <c r="BU430" s="3">
        <f>+IF(AVANCE[[#This Row],[TABLERO]]=AF$2,100%,AVANCE[[#This Row],[TABLERO]])</f>
        <v>0</v>
      </c>
      <c r="BV430" s="3">
        <f>+IF(AVANCE[[#This Row],[CAJA PAU]]=AG$2,100%,AVANCE[[#This Row],[CAJA PAU]])</f>
        <v>0</v>
      </c>
      <c r="BW430" s="3">
        <f>+IF(AVANCE[[#This Row],[INSTALACION VINILICO]]=AJ$2,100%,AVANCE[[#This Row],[INSTALACION VINILICO]])</f>
        <v>0</v>
      </c>
      <c r="BX430" s="3">
        <f>+IF(AVANCE[[#This Row],[OSB CUBIERTA]]=AK$2,100%,AVANCE[[#This Row],[OSB CUBIERTA]])</f>
        <v>0</v>
      </c>
      <c r="BY430" s="3">
        <f>+IF(AVANCE[[#This Row],[BARANDA BALCON]]=AL$2,100%,AVANCE[[#This Row],[BARANDA BALCON]])</f>
        <v>0</v>
      </c>
      <c r="BZ430" s="3">
        <f>+IF(AVANCE[[#This Row],[OSB EXTERIOR]]=AM$2,100%,AVANCE[[#This Row],[OSB EXTERIOR]])</f>
        <v>0</v>
      </c>
      <c r="CA430" s="3">
        <f>+IF(AVANCE[[#This Row],[SMART PANEL]]=AN$2,100%,AVANCE[[#This Row],[SMART PANEL]])</f>
        <v>0</v>
      </c>
      <c r="CB430" s="3">
        <f>+IF(AVANCE[[#This Row],[PINTURA EXTERIOR]]=AO$2,100%,AVANCE[[#This Row],[PINTURA EXTERIOR]])</f>
        <v>0</v>
      </c>
      <c r="CC430" s="3">
        <f>+IF(AVANCE[[#This Row],[ZOCALOS LOGIA]]=AP$2,100%,AVANCE[[#This Row],[ZOCALOS LOGIA]])</f>
        <v>0</v>
      </c>
      <c r="CD430" s="3">
        <f>+IF(AVANCE[[#This Row],[MOLDURAS]]=AQ$2,100%,AVANCE[[#This Row],[MOLDURAS]])</f>
        <v>0</v>
      </c>
      <c r="CE430" s="3">
        <f>+IF(AVANCE[[#This Row],[PILASTREO]]=AR$2,100%,AVANCE[[#This Row],[PILASTREO]])</f>
        <v>0</v>
      </c>
      <c r="CF430" s="3">
        <f>+IF(AVANCE[[#This Row],[CELOSIAS]]=AS$2,100%,AVANCE[[#This Row],[CELOSIAS]])</f>
        <v>0</v>
      </c>
      <c r="CG430" s="3">
        <f>+IF(AVANCE[[#This Row],[VENTANAS]]=AT$2,100%,AVANCE[[#This Row],[VENTANAS]])</f>
        <v>0</v>
      </c>
      <c r="CH430" s="3">
        <f>+IF(AVANCE[[#This Row],[PUERTAS ACCESO - LOGIA - BANO]]=AU$2,100%,AVANCE[[#This Row],[PUERTAS ACCESO - LOGIA - BANO]])</f>
        <v>0</v>
      </c>
      <c r="CI430" s="3">
        <f>+IF(AVANCE[[#This Row],[CERRADURAS]]=AV$2,100%,AVANCE[[#This Row],[CERRADURAS]])</f>
        <v>0</v>
      </c>
      <c r="CJ430" s="3">
        <f>+IF(AVANCE[[#This Row],[REVESTIMIENTO INTERIOR ZONA SECA]]=AW$2,100%,AVANCE[[#This Row],[REVESTIMIENTO INTERIOR ZONA SECA]])</f>
        <v>0</v>
      </c>
      <c r="CK430" s="3">
        <f>+IF(AVANCE[[#This Row],[REVESTIMIENTO INTERIOR ZONAS HUMEDAS]]=AX$2,100%,AVANCE[[#This Row],[REVESTIMIENTO INTERIOR ZONAS HUMEDAS]])</f>
        <v>0</v>
      </c>
      <c r="CL430" s="3">
        <f>+IF(AVANCE[[#This Row],[MEMBRANA CIELO]]=AY$2,100%,AVANCE[[#This Row],[MEMBRANA CIELO]])</f>
        <v>0</v>
      </c>
      <c r="CM430" s="3">
        <f>+IF(AVANCE[[#This Row],[LIMPIEZA FINAL]]=AZ$2,100%,AVANCE[[#This Row],[LIMPIEZA FINAL]])</f>
        <v>0</v>
      </c>
      <c r="CN430" s="3">
        <f>+IF(AVANCE[[#This Row],[PUERTAS DORMITORIO]]=BA$2,100%,AVANCE[[#This Row],[PUERTAS DORMITORIO]])</f>
        <v>0</v>
      </c>
      <c r="CO430" s="3">
        <f>+IF(AVANCE[[#This Row],[REVESTIMIENTO INTERIOR BANO]]=BB$2,100%,AVANCE[[#This Row],[REVESTIMIENTO INTERIOR BANO]])</f>
        <v>0</v>
      </c>
      <c r="CP430" s="3">
        <f>+IF(AVANCE[[#This Row],[MUEBLE LAVAPLATOS]]=BC$2,100%,AVANCE[[#This Row],[MUEBLE LAVAPLATOS]])</f>
        <v>0</v>
      </c>
      <c r="CQ430" s="3">
        <f>+IF(AVANCE[[#This Row],[IMPERMEABILIZACION BANO - COCINA LOGIA]]=BD$2,100%,AVANCE[[#This Row],[IMPERMEABILIZACION BANO - COCINA LOGIA]])</f>
        <v>0</v>
      </c>
      <c r="CR430" s="40">
        <f ca="1">+IF(AVANCE[[#This Row],[ESTADO MODULO]]="PENDIENTE",(TODAY()-AVANCE[[#This Row],[FECHA TERMINO  PLANIFICADO]]),0)</f>
        <v>0</v>
      </c>
      <c r="CS430" s="42" t="str" cm="1">
        <f t="array" ref="CS430">_xlfn.TEXTJOIN(" | ",TRUE,IF(SUMPRODUCT((BF430:CQ430&lt;1)*(PARTIDAS!$I$2:$AT$2="OBRA GRUESA"))&gt;0,"OBRA GRUESA: "&amp;_xlfn.TEXTJOIN(", ",TRUE,IF((BF430:CQ430&lt;1)*(PARTIDAS!$I$2:$AT$2="OBRA GRUESA"),PARTIDAS!$I$1:$AT$1,"")),""),IF(SUMPRODUCT((BF430:CQ430&lt;1)*(PARTIDAS!$I$2:$AT$2="SANITARIOS"))&gt;0,"SANITARIOS: "&amp;_xlfn.TEXTJOIN(", ",TRUE,IF((BF430:CQ430&lt;1)*(PARTIDAS!$I$2:$AT$2="SANITARIOS"),PARTIDAS!$I$1:$AT$1,"")),""),IF(SUMPRODUCT((BF430:CQ430&lt;1)*(PARTIDAS!$I$2:$AT$2="ELÉCTRICO"))&gt;0,"ELÉCTRICO: "&amp;_xlfn.TEXTJOIN(", ",TRUE,IF((BF430:CQ430&lt;1)*(PARTIDAS!$I$2:$AT$2="ELÉCTRICO"),PARTIDAS!$I$1:$AT$1,"")),""),IF(SUMPRODUCT((BF430:CQ430&lt;1)*(PARTIDAS!$I$2:$AT$2="TERMINACIONES"))&gt;0,"TERMINACIONES: "&amp;_xlfn.TEXTJOIN(", ",TRUE,IF((BF430:CQ430&lt;1)*(PARTIDAS!$I$2:$AT$2="TERMINACIONES"),PARTIDAS!$I$1:$AT$1,"")),""))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0" s="45" t="str" cm="1">
        <f t="array" ref="CT430">_xlfn.TEXTJOIN(", ",TRUE,IF(SUMPRODUCT((BF430:CQ430&lt;1)*(PARTIDAS!$I$2:$AT$2="OBRA GRUESA"))&gt;0,"OBRA GRUESA",""),IF(SUMPRODUCT((BF430:CQ430&lt;1)*(PARTIDAS!$I$2:$AT$2="SANITARIOS"))&gt;0,"SANITARIOS",""),IF(SUMPRODUCT((BF430:CQ430&lt;1)*(PARTIDAS!$I$2:$AT$2="ELÉCTRICO"))&gt;0,"ELÉCTRICO",""),IF(SUMPRODUCT((BF430:CQ430&lt;1)*(PARTIDAS!$I$2:$AT$2="TERMINACIONES"))&gt;0,"TERMINACIONES",""))</f>
        <v>OBRA GRUESA, SANITARIOS, ELÉCTRICO, TERMINACIONES</v>
      </c>
      <c r="CU430" s="46" cm="1">
        <f t="array" ref="CU430">SUMPRODUCT(--(BF430:CQ430&lt;1))</f>
        <v>38</v>
      </c>
    </row>
    <row r="431" spans="1:99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46181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 s="3" t="str">
        <f>+IF(AVANCE[[#This Row],[% AVANCE]]=100%,"MODULO TERMINADO",IF(AVANCE[[#This Row],[FECHA INICIO REAL]]="","MODULO NO INICIADO","PENDIENTE"))</f>
        <v>MODULO NO INICIADO</v>
      </c>
      <c r="BF431" s="3">
        <f>+IF(AVANCE[[#This Row],[VENTANAS]]=8.10810810810811%,100%,AVANCE[[#This Row],[VENTANAS]])</f>
        <v>0</v>
      </c>
      <c r="BG431" s="3">
        <f>+IF(AVANCE[[#This Row],[PISO]]=N$2,100%,AVANCE[[#This Row],[PISO]])</f>
        <v>0</v>
      </c>
      <c r="BH431" s="3">
        <f>+IF(AVANCE[[#This Row],[TABIQUES]]=O$2,100%,AVANCE[[#This Row],[TABIQUES]])</f>
        <v>0</v>
      </c>
      <c r="BI431" s="3">
        <f>+IF(AVANCE[[#This Row],[MUROS]]=P$2,100%,AVANCE[[#This Row],[MUROS]])</f>
        <v>0</v>
      </c>
      <c r="BJ431" s="3">
        <f>+IF(AVANCE[[#This Row],[CIELO]]=Q$2,100%,AVANCE[[#This Row],[CIELO]])</f>
        <v>0</v>
      </c>
      <c r="BK431" s="3">
        <f>+IF(AVANCE[[#This Row],[BALCÓN]]=R$2,100%,AVANCE[[#This Row],[BALCÓN]])</f>
        <v>0</v>
      </c>
      <c r="BL431" s="3">
        <f>+IF(AVANCE[[#This Row],[RED ALCANTARILLADO]]=U$2,100%,AVANCE[[#This Row],[RED ALCANTARILLADO]])</f>
        <v>0</v>
      </c>
      <c r="BM431" s="3">
        <f>+IF(AVANCE[[#This Row],[RED DE AGUA]]=V$2,100%,AVANCE[[#This Row],[RED DE AGUA]])</f>
        <v>0</v>
      </c>
      <c r="BN431" s="3">
        <f>+IF(AVANCE[[#This Row],[VENTILACIONES]]=W$2,100%,AVANCE[[#This Row],[VENTILACIONES]])</f>
        <v>0</v>
      </c>
      <c r="BO431" s="3">
        <f>+IF(AVANCE[[#This Row],[TINA]]=X$2,100%,AVANCE[[#This Row],[TINA]])</f>
        <v>0</v>
      </c>
      <c r="BP431" s="3">
        <f>+IF(AVANCE[[#This Row],[WC]]=Y$2,100%,AVANCE[[#This Row],[WC]])</f>
        <v>0</v>
      </c>
      <c r="BQ431" s="3">
        <f>+IF(AVANCE[[#This Row],[LAVAMANOS / LAVAPLATOS / LAVADERO]]=Z$2,100%,AVANCE[[#This Row],[LAVAMANOS / LAVAPLATOS / LAVADERO]])</f>
        <v>0</v>
      </c>
      <c r="BR431" s="3">
        <f>+IF(AVANCE[[#This Row],[CANALIZACIÓN]]=AC$2,100%,AVANCE[[#This Row],[CANALIZACIÓN]])</f>
        <v>0</v>
      </c>
      <c r="BS431" s="3">
        <f>+IF(AVANCE[[#This Row],[CABLEADO]]=AD$2,100%,AVANCE[[#This Row],[CABLEADO]])</f>
        <v>0</v>
      </c>
      <c r="BT431" s="3">
        <f>+IF(AVANCE[[#This Row],[ARTEFACTOS]]=AE$2,100%,AVANCE[[#This Row],[ARTEFACTOS]])</f>
        <v>0</v>
      </c>
      <c r="BU431" s="3">
        <f>+IF(AVANCE[[#This Row],[TABLERO]]=AF$2,100%,AVANCE[[#This Row],[TABLERO]])</f>
        <v>0</v>
      </c>
      <c r="BV431" s="3">
        <f>+IF(AVANCE[[#This Row],[CAJA PAU]]=AG$2,100%,AVANCE[[#This Row],[CAJA PAU]])</f>
        <v>0</v>
      </c>
      <c r="BW431" s="3">
        <f>+IF(AVANCE[[#This Row],[INSTALACION VINILICO]]=AJ$2,100%,AVANCE[[#This Row],[INSTALACION VINILICO]])</f>
        <v>0</v>
      </c>
      <c r="BX431" s="3">
        <f>+IF(AVANCE[[#This Row],[OSB CUBIERTA]]=AK$2,100%,AVANCE[[#This Row],[OSB CUBIERTA]])</f>
        <v>0</v>
      </c>
      <c r="BY431" s="3">
        <f>+IF(AVANCE[[#This Row],[BARANDA BALCON]]=AL$2,100%,AVANCE[[#This Row],[BARANDA BALCON]])</f>
        <v>0</v>
      </c>
      <c r="BZ431" s="3">
        <f>+IF(AVANCE[[#This Row],[OSB EXTERIOR]]=AM$2,100%,AVANCE[[#This Row],[OSB EXTERIOR]])</f>
        <v>0</v>
      </c>
      <c r="CA431" s="3">
        <f>+IF(AVANCE[[#This Row],[SMART PANEL]]=AN$2,100%,AVANCE[[#This Row],[SMART PANEL]])</f>
        <v>0</v>
      </c>
      <c r="CB431" s="3">
        <f>+IF(AVANCE[[#This Row],[PINTURA EXTERIOR]]=AO$2,100%,AVANCE[[#This Row],[PINTURA EXTERIOR]])</f>
        <v>0</v>
      </c>
      <c r="CC431" s="3">
        <f>+IF(AVANCE[[#This Row],[ZOCALOS LOGIA]]=AP$2,100%,AVANCE[[#This Row],[ZOCALOS LOGIA]])</f>
        <v>0</v>
      </c>
      <c r="CD431" s="3">
        <f>+IF(AVANCE[[#This Row],[MOLDURAS]]=AQ$2,100%,AVANCE[[#This Row],[MOLDURAS]])</f>
        <v>0</v>
      </c>
      <c r="CE431" s="3">
        <f>+IF(AVANCE[[#This Row],[PILASTREO]]=AR$2,100%,AVANCE[[#This Row],[PILASTREO]])</f>
        <v>0</v>
      </c>
      <c r="CF431" s="3">
        <f>+IF(AVANCE[[#This Row],[CELOSIAS]]=AS$2,100%,AVANCE[[#This Row],[CELOSIAS]])</f>
        <v>0</v>
      </c>
      <c r="CG431" s="3">
        <f>+IF(AVANCE[[#This Row],[VENTANAS]]=AT$2,100%,AVANCE[[#This Row],[VENTANAS]])</f>
        <v>0</v>
      </c>
      <c r="CH431" s="3">
        <f>+IF(AVANCE[[#This Row],[PUERTAS ACCESO - LOGIA - BANO]]=AU$2,100%,AVANCE[[#This Row],[PUERTAS ACCESO - LOGIA - BANO]])</f>
        <v>0</v>
      </c>
      <c r="CI431" s="3">
        <f>+IF(AVANCE[[#This Row],[CERRADURAS]]=AV$2,100%,AVANCE[[#This Row],[CERRADURAS]])</f>
        <v>0</v>
      </c>
      <c r="CJ431" s="3">
        <f>+IF(AVANCE[[#This Row],[REVESTIMIENTO INTERIOR ZONA SECA]]=AW$2,100%,AVANCE[[#This Row],[REVESTIMIENTO INTERIOR ZONA SECA]])</f>
        <v>0</v>
      </c>
      <c r="CK431" s="3">
        <f>+IF(AVANCE[[#This Row],[REVESTIMIENTO INTERIOR ZONAS HUMEDAS]]=AX$2,100%,AVANCE[[#This Row],[REVESTIMIENTO INTERIOR ZONAS HUMEDAS]])</f>
        <v>0</v>
      </c>
      <c r="CL431" s="3">
        <f>+IF(AVANCE[[#This Row],[MEMBRANA CIELO]]=AY$2,100%,AVANCE[[#This Row],[MEMBRANA CIELO]])</f>
        <v>0</v>
      </c>
      <c r="CM431" s="3">
        <f>+IF(AVANCE[[#This Row],[LIMPIEZA FINAL]]=AZ$2,100%,AVANCE[[#This Row],[LIMPIEZA FINAL]])</f>
        <v>0</v>
      </c>
      <c r="CN431" s="3">
        <f>+IF(AVANCE[[#This Row],[PUERTAS DORMITORIO]]=BA$2,100%,AVANCE[[#This Row],[PUERTAS DORMITORIO]])</f>
        <v>0</v>
      </c>
      <c r="CO431" s="3">
        <f>+IF(AVANCE[[#This Row],[REVESTIMIENTO INTERIOR BANO]]=BB$2,100%,AVANCE[[#This Row],[REVESTIMIENTO INTERIOR BANO]])</f>
        <v>0</v>
      </c>
      <c r="CP431" s="3">
        <f>+IF(AVANCE[[#This Row],[MUEBLE LAVAPLATOS]]=BC$2,100%,AVANCE[[#This Row],[MUEBLE LAVAPLATOS]])</f>
        <v>0</v>
      </c>
      <c r="CQ431" s="3">
        <f>+IF(AVANCE[[#This Row],[IMPERMEABILIZACION BANO - COCINA LOGIA]]=BD$2,100%,AVANCE[[#This Row],[IMPERMEABILIZACION BANO - COCINA LOGIA]])</f>
        <v>0</v>
      </c>
      <c r="CR431" s="40">
        <f ca="1">+IF(AVANCE[[#This Row],[ESTADO MODULO]]="PENDIENTE",(TODAY()-AVANCE[[#This Row],[FECHA TERMINO  PLANIFICADO]]),0)</f>
        <v>0</v>
      </c>
      <c r="CS431" s="42" t="str" cm="1">
        <f t="array" ref="CS431">_xlfn.TEXTJOIN(" | ",TRUE,IF(SUMPRODUCT((BF431:CQ431&lt;1)*(PARTIDAS!$I$2:$AT$2="OBRA GRUESA"))&gt;0,"OBRA GRUESA: "&amp;_xlfn.TEXTJOIN(", ",TRUE,IF((BF431:CQ431&lt;1)*(PARTIDAS!$I$2:$AT$2="OBRA GRUESA"),PARTIDAS!$I$1:$AT$1,"")),""),IF(SUMPRODUCT((BF431:CQ431&lt;1)*(PARTIDAS!$I$2:$AT$2="SANITARIOS"))&gt;0,"SANITARIOS: "&amp;_xlfn.TEXTJOIN(", ",TRUE,IF((BF431:CQ431&lt;1)*(PARTIDAS!$I$2:$AT$2="SANITARIOS"),PARTIDAS!$I$1:$AT$1,"")),""),IF(SUMPRODUCT((BF431:CQ431&lt;1)*(PARTIDAS!$I$2:$AT$2="ELÉCTRICO"))&gt;0,"ELÉCTRICO: "&amp;_xlfn.TEXTJOIN(", ",TRUE,IF((BF431:CQ431&lt;1)*(PARTIDAS!$I$2:$AT$2="ELÉCTRICO"),PARTIDAS!$I$1:$AT$1,"")),""),IF(SUMPRODUCT((BF431:CQ431&lt;1)*(PARTIDAS!$I$2:$AT$2="TERMINACIONES"))&gt;0,"TERMINACIONES: "&amp;_xlfn.TEXTJOIN(", ",TRUE,IF((BF431:CQ431&lt;1)*(PARTIDAS!$I$2:$AT$2="TERMINACIONES"),PARTIDAS!$I$1:$AT$1,"")),""))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1" s="45" t="str" cm="1">
        <f t="array" ref="CT431">_xlfn.TEXTJOIN(", ",TRUE,IF(SUMPRODUCT((BF431:CQ431&lt;1)*(PARTIDAS!$I$2:$AT$2="OBRA GRUESA"))&gt;0,"OBRA GRUESA",""),IF(SUMPRODUCT((BF431:CQ431&lt;1)*(PARTIDAS!$I$2:$AT$2="SANITARIOS"))&gt;0,"SANITARIOS",""),IF(SUMPRODUCT((BF431:CQ431&lt;1)*(PARTIDAS!$I$2:$AT$2="ELÉCTRICO"))&gt;0,"ELÉCTRICO",""),IF(SUMPRODUCT((BF431:CQ431&lt;1)*(PARTIDAS!$I$2:$AT$2="TERMINACIONES"))&gt;0,"TERMINACIONES",""))</f>
        <v>OBRA GRUESA, SANITARIOS, ELÉCTRICO, TERMINACIONES</v>
      </c>
      <c r="CU431" s="46" cm="1">
        <f t="array" ref="CU431">SUMPRODUCT(--(BF431:CQ431&lt;1))</f>
        <v>38</v>
      </c>
    </row>
    <row r="432" spans="1:99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46181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 s="3" t="str">
        <f>+IF(AVANCE[[#This Row],[% AVANCE]]=100%,"MODULO TERMINADO",IF(AVANCE[[#This Row],[FECHA INICIO REAL]]="","MODULO NO INICIADO","PENDIENTE"))</f>
        <v>MODULO NO INICIADO</v>
      </c>
      <c r="BF432" s="3">
        <f>+IF(AVANCE[[#This Row],[VENTANAS]]=8.10810810810811%,100%,AVANCE[[#This Row],[VENTANAS]])</f>
        <v>0</v>
      </c>
      <c r="BG432" s="3">
        <f>+IF(AVANCE[[#This Row],[PISO]]=N$2,100%,AVANCE[[#This Row],[PISO]])</f>
        <v>0</v>
      </c>
      <c r="BH432" s="3">
        <f>+IF(AVANCE[[#This Row],[TABIQUES]]=O$2,100%,AVANCE[[#This Row],[TABIQUES]])</f>
        <v>0</v>
      </c>
      <c r="BI432" s="3">
        <f>+IF(AVANCE[[#This Row],[MUROS]]=P$2,100%,AVANCE[[#This Row],[MUROS]])</f>
        <v>0</v>
      </c>
      <c r="BJ432" s="3">
        <f>+IF(AVANCE[[#This Row],[CIELO]]=Q$2,100%,AVANCE[[#This Row],[CIELO]])</f>
        <v>0</v>
      </c>
      <c r="BK432" s="3">
        <f>+IF(AVANCE[[#This Row],[BALCÓN]]=R$2,100%,AVANCE[[#This Row],[BALCÓN]])</f>
        <v>0</v>
      </c>
      <c r="BL432" s="3">
        <f>+IF(AVANCE[[#This Row],[RED ALCANTARILLADO]]=U$2,100%,AVANCE[[#This Row],[RED ALCANTARILLADO]])</f>
        <v>0</v>
      </c>
      <c r="BM432" s="3">
        <f>+IF(AVANCE[[#This Row],[RED DE AGUA]]=V$2,100%,AVANCE[[#This Row],[RED DE AGUA]])</f>
        <v>0</v>
      </c>
      <c r="BN432" s="3">
        <f>+IF(AVANCE[[#This Row],[VENTILACIONES]]=W$2,100%,AVANCE[[#This Row],[VENTILACIONES]])</f>
        <v>0</v>
      </c>
      <c r="BO432" s="3">
        <f>+IF(AVANCE[[#This Row],[TINA]]=X$2,100%,AVANCE[[#This Row],[TINA]])</f>
        <v>0</v>
      </c>
      <c r="BP432" s="3">
        <f>+IF(AVANCE[[#This Row],[WC]]=Y$2,100%,AVANCE[[#This Row],[WC]])</f>
        <v>0</v>
      </c>
      <c r="BQ432" s="3">
        <f>+IF(AVANCE[[#This Row],[LAVAMANOS / LAVAPLATOS / LAVADERO]]=Z$2,100%,AVANCE[[#This Row],[LAVAMANOS / LAVAPLATOS / LAVADERO]])</f>
        <v>0</v>
      </c>
      <c r="BR432" s="3">
        <f>+IF(AVANCE[[#This Row],[CANALIZACIÓN]]=AC$2,100%,AVANCE[[#This Row],[CANALIZACIÓN]])</f>
        <v>0</v>
      </c>
      <c r="BS432" s="3">
        <f>+IF(AVANCE[[#This Row],[CABLEADO]]=AD$2,100%,AVANCE[[#This Row],[CABLEADO]])</f>
        <v>0</v>
      </c>
      <c r="BT432" s="3">
        <f>+IF(AVANCE[[#This Row],[ARTEFACTOS]]=AE$2,100%,AVANCE[[#This Row],[ARTEFACTOS]])</f>
        <v>0</v>
      </c>
      <c r="BU432" s="3">
        <f>+IF(AVANCE[[#This Row],[TABLERO]]=AF$2,100%,AVANCE[[#This Row],[TABLERO]])</f>
        <v>0</v>
      </c>
      <c r="BV432" s="3">
        <f>+IF(AVANCE[[#This Row],[CAJA PAU]]=AG$2,100%,AVANCE[[#This Row],[CAJA PAU]])</f>
        <v>0</v>
      </c>
      <c r="BW432" s="3">
        <f>+IF(AVANCE[[#This Row],[INSTALACION VINILICO]]=AJ$2,100%,AVANCE[[#This Row],[INSTALACION VINILICO]])</f>
        <v>0</v>
      </c>
      <c r="BX432" s="3">
        <f>+IF(AVANCE[[#This Row],[OSB CUBIERTA]]=AK$2,100%,AVANCE[[#This Row],[OSB CUBIERTA]])</f>
        <v>0</v>
      </c>
      <c r="BY432" s="3">
        <f>+IF(AVANCE[[#This Row],[BARANDA BALCON]]=AL$2,100%,AVANCE[[#This Row],[BARANDA BALCON]])</f>
        <v>0</v>
      </c>
      <c r="BZ432" s="3">
        <f>+IF(AVANCE[[#This Row],[OSB EXTERIOR]]=AM$2,100%,AVANCE[[#This Row],[OSB EXTERIOR]])</f>
        <v>0</v>
      </c>
      <c r="CA432" s="3">
        <f>+IF(AVANCE[[#This Row],[SMART PANEL]]=AN$2,100%,AVANCE[[#This Row],[SMART PANEL]])</f>
        <v>0</v>
      </c>
      <c r="CB432" s="3">
        <f>+IF(AVANCE[[#This Row],[PINTURA EXTERIOR]]=AO$2,100%,AVANCE[[#This Row],[PINTURA EXTERIOR]])</f>
        <v>0</v>
      </c>
      <c r="CC432" s="3">
        <f>+IF(AVANCE[[#This Row],[ZOCALOS LOGIA]]=AP$2,100%,AVANCE[[#This Row],[ZOCALOS LOGIA]])</f>
        <v>0</v>
      </c>
      <c r="CD432" s="3">
        <f>+IF(AVANCE[[#This Row],[MOLDURAS]]=AQ$2,100%,AVANCE[[#This Row],[MOLDURAS]])</f>
        <v>0</v>
      </c>
      <c r="CE432" s="3">
        <f>+IF(AVANCE[[#This Row],[PILASTREO]]=AR$2,100%,AVANCE[[#This Row],[PILASTREO]])</f>
        <v>0</v>
      </c>
      <c r="CF432" s="3">
        <f>+IF(AVANCE[[#This Row],[CELOSIAS]]=AS$2,100%,AVANCE[[#This Row],[CELOSIAS]])</f>
        <v>0</v>
      </c>
      <c r="CG432" s="3">
        <f>+IF(AVANCE[[#This Row],[VENTANAS]]=AT$2,100%,AVANCE[[#This Row],[VENTANAS]])</f>
        <v>0</v>
      </c>
      <c r="CH432" s="3">
        <f>+IF(AVANCE[[#This Row],[PUERTAS ACCESO - LOGIA - BANO]]=AU$2,100%,AVANCE[[#This Row],[PUERTAS ACCESO - LOGIA - BANO]])</f>
        <v>0</v>
      </c>
      <c r="CI432" s="3">
        <f>+IF(AVANCE[[#This Row],[CERRADURAS]]=AV$2,100%,AVANCE[[#This Row],[CERRADURAS]])</f>
        <v>0</v>
      </c>
      <c r="CJ432" s="3">
        <f>+IF(AVANCE[[#This Row],[REVESTIMIENTO INTERIOR ZONA SECA]]=AW$2,100%,AVANCE[[#This Row],[REVESTIMIENTO INTERIOR ZONA SECA]])</f>
        <v>0</v>
      </c>
      <c r="CK432" s="3">
        <f>+IF(AVANCE[[#This Row],[REVESTIMIENTO INTERIOR ZONAS HUMEDAS]]=AX$2,100%,AVANCE[[#This Row],[REVESTIMIENTO INTERIOR ZONAS HUMEDAS]])</f>
        <v>0</v>
      </c>
      <c r="CL432" s="3">
        <f>+IF(AVANCE[[#This Row],[MEMBRANA CIELO]]=AY$2,100%,AVANCE[[#This Row],[MEMBRANA CIELO]])</f>
        <v>0</v>
      </c>
      <c r="CM432" s="3">
        <f>+IF(AVANCE[[#This Row],[LIMPIEZA FINAL]]=AZ$2,100%,AVANCE[[#This Row],[LIMPIEZA FINAL]])</f>
        <v>0</v>
      </c>
      <c r="CN432" s="3">
        <f>+IF(AVANCE[[#This Row],[PUERTAS DORMITORIO]]=BA$2,100%,AVANCE[[#This Row],[PUERTAS DORMITORIO]])</f>
        <v>0</v>
      </c>
      <c r="CO432" s="3">
        <f>+IF(AVANCE[[#This Row],[REVESTIMIENTO INTERIOR BANO]]=BB$2,100%,AVANCE[[#This Row],[REVESTIMIENTO INTERIOR BANO]])</f>
        <v>0</v>
      </c>
      <c r="CP432" s="3">
        <f>+IF(AVANCE[[#This Row],[MUEBLE LAVAPLATOS]]=BC$2,100%,AVANCE[[#This Row],[MUEBLE LAVAPLATOS]])</f>
        <v>0</v>
      </c>
      <c r="CQ432" s="3">
        <f>+IF(AVANCE[[#This Row],[IMPERMEABILIZACION BANO - COCINA LOGIA]]=BD$2,100%,AVANCE[[#This Row],[IMPERMEABILIZACION BANO - COCINA LOGIA]])</f>
        <v>0</v>
      </c>
      <c r="CR432" s="40">
        <f ca="1">+IF(AVANCE[[#This Row],[ESTADO MODULO]]="PENDIENTE",(TODAY()-AVANCE[[#This Row],[FECHA TERMINO  PLANIFICADO]]),0)</f>
        <v>0</v>
      </c>
      <c r="CS432" s="42" t="str" cm="1">
        <f t="array" ref="CS432">_xlfn.TEXTJOIN(" | ",TRUE,IF(SUMPRODUCT((BF432:CQ432&lt;1)*(PARTIDAS!$I$2:$AT$2="OBRA GRUESA"))&gt;0,"OBRA GRUESA: "&amp;_xlfn.TEXTJOIN(", ",TRUE,IF((BF432:CQ432&lt;1)*(PARTIDAS!$I$2:$AT$2="OBRA GRUESA"),PARTIDAS!$I$1:$AT$1,"")),""),IF(SUMPRODUCT((BF432:CQ432&lt;1)*(PARTIDAS!$I$2:$AT$2="SANITARIOS"))&gt;0,"SANITARIOS: "&amp;_xlfn.TEXTJOIN(", ",TRUE,IF((BF432:CQ432&lt;1)*(PARTIDAS!$I$2:$AT$2="SANITARIOS"),PARTIDAS!$I$1:$AT$1,"")),""),IF(SUMPRODUCT((BF432:CQ432&lt;1)*(PARTIDAS!$I$2:$AT$2="ELÉCTRICO"))&gt;0,"ELÉCTRICO: "&amp;_xlfn.TEXTJOIN(", ",TRUE,IF((BF432:CQ432&lt;1)*(PARTIDAS!$I$2:$AT$2="ELÉCTRICO"),PARTIDAS!$I$1:$AT$1,"")),""),IF(SUMPRODUCT((BF432:CQ432&lt;1)*(PARTIDAS!$I$2:$AT$2="TERMINACIONES"))&gt;0,"TERMINACIONES: "&amp;_xlfn.TEXTJOIN(", ",TRUE,IF((BF432:CQ432&lt;1)*(PARTIDAS!$I$2:$AT$2="TERMINACIONES"),PARTIDAS!$I$1:$AT$1,"")),""))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2" s="45" t="str" cm="1">
        <f t="array" ref="CT432">_xlfn.TEXTJOIN(", ",TRUE,IF(SUMPRODUCT((BF432:CQ432&lt;1)*(PARTIDAS!$I$2:$AT$2="OBRA GRUESA"))&gt;0,"OBRA GRUESA",""),IF(SUMPRODUCT((BF432:CQ432&lt;1)*(PARTIDAS!$I$2:$AT$2="SANITARIOS"))&gt;0,"SANITARIOS",""),IF(SUMPRODUCT((BF432:CQ432&lt;1)*(PARTIDAS!$I$2:$AT$2="ELÉCTRICO"))&gt;0,"ELÉCTRICO",""),IF(SUMPRODUCT((BF432:CQ432&lt;1)*(PARTIDAS!$I$2:$AT$2="TERMINACIONES"))&gt;0,"TERMINACIONES",""))</f>
        <v>OBRA GRUESA, SANITARIOS, ELÉCTRICO, TERMINACIONES</v>
      </c>
      <c r="CU432" s="46" cm="1">
        <f t="array" ref="CU432">SUMPRODUCT(--(BF432:CQ432&lt;1))</f>
        <v>38</v>
      </c>
    </row>
    <row r="433" spans="1:99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46181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 s="3" t="str">
        <f>+IF(AVANCE[[#This Row],[% AVANCE]]=100%,"MODULO TERMINADO",IF(AVANCE[[#This Row],[FECHA INICIO REAL]]="","MODULO NO INICIADO","PENDIENTE"))</f>
        <v>MODULO NO INICIADO</v>
      </c>
      <c r="BF433" s="3">
        <f>+IF(AVANCE[[#This Row],[VENTANAS]]=8.10810810810811%,100%,AVANCE[[#This Row],[VENTANAS]])</f>
        <v>0</v>
      </c>
      <c r="BG433" s="3">
        <f>+IF(AVANCE[[#This Row],[PISO]]=N$2,100%,AVANCE[[#This Row],[PISO]])</f>
        <v>0</v>
      </c>
      <c r="BH433" s="3">
        <f>+IF(AVANCE[[#This Row],[TABIQUES]]=O$2,100%,AVANCE[[#This Row],[TABIQUES]])</f>
        <v>0</v>
      </c>
      <c r="BI433" s="3">
        <f>+IF(AVANCE[[#This Row],[MUROS]]=P$2,100%,AVANCE[[#This Row],[MUROS]])</f>
        <v>0</v>
      </c>
      <c r="BJ433" s="3">
        <f>+IF(AVANCE[[#This Row],[CIELO]]=Q$2,100%,AVANCE[[#This Row],[CIELO]])</f>
        <v>0</v>
      </c>
      <c r="BK433" s="3">
        <f>+IF(AVANCE[[#This Row],[BALCÓN]]=R$2,100%,AVANCE[[#This Row],[BALCÓN]])</f>
        <v>0</v>
      </c>
      <c r="BL433" s="3">
        <f>+IF(AVANCE[[#This Row],[RED ALCANTARILLADO]]=U$2,100%,AVANCE[[#This Row],[RED ALCANTARILLADO]])</f>
        <v>0</v>
      </c>
      <c r="BM433" s="3">
        <f>+IF(AVANCE[[#This Row],[RED DE AGUA]]=V$2,100%,AVANCE[[#This Row],[RED DE AGUA]])</f>
        <v>0</v>
      </c>
      <c r="BN433" s="3">
        <f>+IF(AVANCE[[#This Row],[VENTILACIONES]]=W$2,100%,AVANCE[[#This Row],[VENTILACIONES]])</f>
        <v>0</v>
      </c>
      <c r="BO433" s="3">
        <f>+IF(AVANCE[[#This Row],[TINA]]=X$2,100%,AVANCE[[#This Row],[TINA]])</f>
        <v>0</v>
      </c>
      <c r="BP433" s="3">
        <f>+IF(AVANCE[[#This Row],[WC]]=Y$2,100%,AVANCE[[#This Row],[WC]])</f>
        <v>0</v>
      </c>
      <c r="BQ433" s="3">
        <f>+IF(AVANCE[[#This Row],[LAVAMANOS / LAVAPLATOS / LAVADERO]]=Z$2,100%,AVANCE[[#This Row],[LAVAMANOS / LAVAPLATOS / LAVADERO]])</f>
        <v>0</v>
      </c>
      <c r="BR433" s="3">
        <f>+IF(AVANCE[[#This Row],[CANALIZACIÓN]]=AC$2,100%,AVANCE[[#This Row],[CANALIZACIÓN]])</f>
        <v>0</v>
      </c>
      <c r="BS433" s="3">
        <f>+IF(AVANCE[[#This Row],[CABLEADO]]=AD$2,100%,AVANCE[[#This Row],[CABLEADO]])</f>
        <v>0</v>
      </c>
      <c r="BT433" s="3">
        <f>+IF(AVANCE[[#This Row],[ARTEFACTOS]]=AE$2,100%,AVANCE[[#This Row],[ARTEFACTOS]])</f>
        <v>0</v>
      </c>
      <c r="BU433" s="3">
        <f>+IF(AVANCE[[#This Row],[TABLERO]]=AF$2,100%,AVANCE[[#This Row],[TABLERO]])</f>
        <v>0</v>
      </c>
      <c r="BV433" s="3">
        <f>+IF(AVANCE[[#This Row],[CAJA PAU]]=AG$2,100%,AVANCE[[#This Row],[CAJA PAU]])</f>
        <v>0</v>
      </c>
      <c r="BW433" s="3">
        <f>+IF(AVANCE[[#This Row],[INSTALACION VINILICO]]=AJ$2,100%,AVANCE[[#This Row],[INSTALACION VINILICO]])</f>
        <v>0</v>
      </c>
      <c r="BX433" s="3">
        <f>+IF(AVANCE[[#This Row],[OSB CUBIERTA]]=AK$2,100%,AVANCE[[#This Row],[OSB CUBIERTA]])</f>
        <v>0</v>
      </c>
      <c r="BY433" s="3">
        <f>+IF(AVANCE[[#This Row],[BARANDA BALCON]]=AL$2,100%,AVANCE[[#This Row],[BARANDA BALCON]])</f>
        <v>0</v>
      </c>
      <c r="BZ433" s="3">
        <f>+IF(AVANCE[[#This Row],[OSB EXTERIOR]]=AM$2,100%,AVANCE[[#This Row],[OSB EXTERIOR]])</f>
        <v>0</v>
      </c>
      <c r="CA433" s="3">
        <f>+IF(AVANCE[[#This Row],[SMART PANEL]]=AN$2,100%,AVANCE[[#This Row],[SMART PANEL]])</f>
        <v>0</v>
      </c>
      <c r="CB433" s="3">
        <f>+IF(AVANCE[[#This Row],[PINTURA EXTERIOR]]=AO$2,100%,AVANCE[[#This Row],[PINTURA EXTERIOR]])</f>
        <v>0</v>
      </c>
      <c r="CC433" s="3">
        <f>+IF(AVANCE[[#This Row],[ZOCALOS LOGIA]]=AP$2,100%,AVANCE[[#This Row],[ZOCALOS LOGIA]])</f>
        <v>0</v>
      </c>
      <c r="CD433" s="3">
        <f>+IF(AVANCE[[#This Row],[MOLDURAS]]=AQ$2,100%,AVANCE[[#This Row],[MOLDURAS]])</f>
        <v>0</v>
      </c>
      <c r="CE433" s="3">
        <f>+IF(AVANCE[[#This Row],[PILASTREO]]=AR$2,100%,AVANCE[[#This Row],[PILASTREO]])</f>
        <v>0</v>
      </c>
      <c r="CF433" s="3">
        <f>+IF(AVANCE[[#This Row],[CELOSIAS]]=AS$2,100%,AVANCE[[#This Row],[CELOSIAS]])</f>
        <v>0</v>
      </c>
      <c r="CG433" s="3">
        <f>+IF(AVANCE[[#This Row],[VENTANAS]]=AT$2,100%,AVANCE[[#This Row],[VENTANAS]])</f>
        <v>0</v>
      </c>
      <c r="CH433" s="3">
        <f>+IF(AVANCE[[#This Row],[PUERTAS ACCESO - LOGIA - BANO]]=AU$2,100%,AVANCE[[#This Row],[PUERTAS ACCESO - LOGIA - BANO]])</f>
        <v>0</v>
      </c>
      <c r="CI433" s="3">
        <f>+IF(AVANCE[[#This Row],[CERRADURAS]]=AV$2,100%,AVANCE[[#This Row],[CERRADURAS]])</f>
        <v>0</v>
      </c>
      <c r="CJ433" s="3">
        <f>+IF(AVANCE[[#This Row],[REVESTIMIENTO INTERIOR ZONA SECA]]=AW$2,100%,AVANCE[[#This Row],[REVESTIMIENTO INTERIOR ZONA SECA]])</f>
        <v>0</v>
      </c>
      <c r="CK433" s="3">
        <f>+IF(AVANCE[[#This Row],[REVESTIMIENTO INTERIOR ZONAS HUMEDAS]]=AX$2,100%,AVANCE[[#This Row],[REVESTIMIENTO INTERIOR ZONAS HUMEDAS]])</f>
        <v>0</v>
      </c>
      <c r="CL433" s="3">
        <f>+IF(AVANCE[[#This Row],[MEMBRANA CIELO]]=AY$2,100%,AVANCE[[#This Row],[MEMBRANA CIELO]])</f>
        <v>0</v>
      </c>
      <c r="CM433" s="3">
        <f>+IF(AVANCE[[#This Row],[LIMPIEZA FINAL]]=AZ$2,100%,AVANCE[[#This Row],[LIMPIEZA FINAL]])</f>
        <v>0</v>
      </c>
      <c r="CN433" s="3">
        <f>+IF(AVANCE[[#This Row],[PUERTAS DORMITORIO]]=BA$2,100%,AVANCE[[#This Row],[PUERTAS DORMITORIO]])</f>
        <v>0</v>
      </c>
      <c r="CO433" s="3">
        <f>+IF(AVANCE[[#This Row],[REVESTIMIENTO INTERIOR BANO]]=BB$2,100%,AVANCE[[#This Row],[REVESTIMIENTO INTERIOR BANO]])</f>
        <v>0</v>
      </c>
      <c r="CP433" s="3">
        <f>+IF(AVANCE[[#This Row],[MUEBLE LAVAPLATOS]]=BC$2,100%,AVANCE[[#This Row],[MUEBLE LAVAPLATOS]])</f>
        <v>0</v>
      </c>
      <c r="CQ433" s="3">
        <f>+IF(AVANCE[[#This Row],[IMPERMEABILIZACION BANO - COCINA LOGIA]]=BD$2,100%,AVANCE[[#This Row],[IMPERMEABILIZACION BANO - COCINA LOGIA]])</f>
        <v>0</v>
      </c>
      <c r="CR433" s="40">
        <f ca="1">+IF(AVANCE[[#This Row],[ESTADO MODULO]]="PENDIENTE",(TODAY()-AVANCE[[#This Row],[FECHA TERMINO  PLANIFICADO]]),0)</f>
        <v>0</v>
      </c>
      <c r="CS433" s="42" t="str" cm="1">
        <f t="array" ref="CS433">_xlfn.TEXTJOIN(" | ",TRUE,IF(SUMPRODUCT((BF433:CQ433&lt;1)*(PARTIDAS!$I$2:$AT$2="OBRA GRUESA"))&gt;0,"OBRA GRUESA: "&amp;_xlfn.TEXTJOIN(", ",TRUE,IF((BF433:CQ433&lt;1)*(PARTIDAS!$I$2:$AT$2="OBRA GRUESA"),PARTIDAS!$I$1:$AT$1,"")),""),IF(SUMPRODUCT((BF433:CQ433&lt;1)*(PARTIDAS!$I$2:$AT$2="SANITARIOS"))&gt;0,"SANITARIOS: "&amp;_xlfn.TEXTJOIN(", ",TRUE,IF((BF433:CQ433&lt;1)*(PARTIDAS!$I$2:$AT$2="SANITARIOS"),PARTIDAS!$I$1:$AT$1,"")),""),IF(SUMPRODUCT((BF433:CQ433&lt;1)*(PARTIDAS!$I$2:$AT$2="ELÉCTRICO"))&gt;0,"ELÉCTRICO: "&amp;_xlfn.TEXTJOIN(", ",TRUE,IF((BF433:CQ433&lt;1)*(PARTIDAS!$I$2:$AT$2="ELÉCTRICO"),PARTIDAS!$I$1:$AT$1,"")),""),IF(SUMPRODUCT((BF433:CQ433&lt;1)*(PARTIDAS!$I$2:$AT$2="TERMINACIONES"))&gt;0,"TERMINACIONES: "&amp;_xlfn.TEXTJOIN(", ",TRUE,IF((BF433:CQ433&lt;1)*(PARTIDAS!$I$2:$AT$2="TERMINACIONES"),PARTIDAS!$I$1:$AT$1,"")),""))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3" s="45" t="str" cm="1">
        <f t="array" ref="CT433">_xlfn.TEXTJOIN(", ",TRUE,IF(SUMPRODUCT((BF433:CQ433&lt;1)*(PARTIDAS!$I$2:$AT$2="OBRA GRUESA"))&gt;0,"OBRA GRUESA",""),IF(SUMPRODUCT((BF433:CQ433&lt;1)*(PARTIDAS!$I$2:$AT$2="SANITARIOS"))&gt;0,"SANITARIOS",""),IF(SUMPRODUCT((BF433:CQ433&lt;1)*(PARTIDAS!$I$2:$AT$2="ELÉCTRICO"))&gt;0,"ELÉCTRICO",""),IF(SUMPRODUCT((BF433:CQ433&lt;1)*(PARTIDAS!$I$2:$AT$2="TERMINACIONES"))&gt;0,"TERMINACIONES",""))</f>
        <v>OBRA GRUESA, SANITARIOS, ELÉCTRICO, TERMINACIONES</v>
      </c>
      <c r="CU433" s="46" cm="1">
        <f t="array" ref="CU433">SUMPRODUCT(--(BF433:CQ433&lt;1))</f>
        <v>38</v>
      </c>
    </row>
    <row r="434" spans="1:99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46181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 s="3" t="str">
        <f>+IF(AVANCE[[#This Row],[% AVANCE]]=100%,"MODULO TERMINADO",IF(AVANCE[[#This Row],[FECHA INICIO REAL]]="","MODULO NO INICIADO","PENDIENTE"))</f>
        <v>MODULO NO INICIADO</v>
      </c>
      <c r="BF434" s="3">
        <f>+IF(AVANCE[[#This Row],[VENTANAS]]=8.10810810810811%,100%,AVANCE[[#This Row],[VENTANAS]])</f>
        <v>0</v>
      </c>
      <c r="BG434" s="3">
        <f>+IF(AVANCE[[#This Row],[PISO]]=N$2,100%,AVANCE[[#This Row],[PISO]])</f>
        <v>0</v>
      </c>
      <c r="BH434" s="3">
        <f>+IF(AVANCE[[#This Row],[TABIQUES]]=O$2,100%,AVANCE[[#This Row],[TABIQUES]])</f>
        <v>0</v>
      </c>
      <c r="BI434" s="3">
        <f>+IF(AVANCE[[#This Row],[MUROS]]=P$2,100%,AVANCE[[#This Row],[MUROS]])</f>
        <v>0</v>
      </c>
      <c r="BJ434" s="3">
        <f>+IF(AVANCE[[#This Row],[CIELO]]=Q$2,100%,AVANCE[[#This Row],[CIELO]])</f>
        <v>0</v>
      </c>
      <c r="BK434" s="3">
        <f>+IF(AVANCE[[#This Row],[BALCÓN]]=R$2,100%,AVANCE[[#This Row],[BALCÓN]])</f>
        <v>0</v>
      </c>
      <c r="BL434" s="3">
        <f>+IF(AVANCE[[#This Row],[RED ALCANTARILLADO]]=U$2,100%,AVANCE[[#This Row],[RED ALCANTARILLADO]])</f>
        <v>0</v>
      </c>
      <c r="BM434" s="3">
        <f>+IF(AVANCE[[#This Row],[RED DE AGUA]]=V$2,100%,AVANCE[[#This Row],[RED DE AGUA]])</f>
        <v>0</v>
      </c>
      <c r="BN434" s="3">
        <f>+IF(AVANCE[[#This Row],[VENTILACIONES]]=W$2,100%,AVANCE[[#This Row],[VENTILACIONES]])</f>
        <v>0</v>
      </c>
      <c r="BO434" s="3">
        <f>+IF(AVANCE[[#This Row],[TINA]]=X$2,100%,AVANCE[[#This Row],[TINA]])</f>
        <v>0</v>
      </c>
      <c r="BP434" s="3">
        <f>+IF(AVANCE[[#This Row],[WC]]=Y$2,100%,AVANCE[[#This Row],[WC]])</f>
        <v>0</v>
      </c>
      <c r="BQ434" s="3">
        <f>+IF(AVANCE[[#This Row],[LAVAMANOS / LAVAPLATOS / LAVADERO]]=Z$2,100%,AVANCE[[#This Row],[LAVAMANOS / LAVAPLATOS / LAVADERO]])</f>
        <v>0</v>
      </c>
      <c r="BR434" s="3">
        <f>+IF(AVANCE[[#This Row],[CANALIZACIÓN]]=AC$2,100%,AVANCE[[#This Row],[CANALIZACIÓN]])</f>
        <v>0</v>
      </c>
      <c r="BS434" s="3">
        <f>+IF(AVANCE[[#This Row],[CABLEADO]]=AD$2,100%,AVANCE[[#This Row],[CABLEADO]])</f>
        <v>0</v>
      </c>
      <c r="BT434" s="3">
        <f>+IF(AVANCE[[#This Row],[ARTEFACTOS]]=AE$2,100%,AVANCE[[#This Row],[ARTEFACTOS]])</f>
        <v>0</v>
      </c>
      <c r="BU434" s="3">
        <f>+IF(AVANCE[[#This Row],[TABLERO]]=AF$2,100%,AVANCE[[#This Row],[TABLERO]])</f>
        <v>0</v>
      </c>
      <c r="BV434" s="3">
        <f>+IF(AVANCE[[#This Row],[CAJA PAU]]=AG$2,100%,AVANCE[[#This Row],[CAJA PAU]])</f>
        <v>0</v>
      </c>
      <c r="BW434" s="3">
        <f>+IF(AVANCE[[#This Row],[INSTALACION VINILICO]]=AJ$2,100%,AVANCE[[#This Row],[INSTALACION VINILICO]])</f>
        <v>0</v>
      </c>
      <c r="BX434" s="3">
        <f>+IF(AVANCE[[#This Row],[OSB CUBIERTA]]=AK$2,100%,AVANCE[[#This Row],[OSB CUBIERTA]])</f>
        <v>0</v>
      </c>
      <c r="BY434" s="3">
        <f>+IF(AVANCE[[#This Row],[BARANDA BALCON]]=AL$2,100%,AVANCE[[#This Row],[BARANDA BALCON]])</f>
        <v>0</v>
      </c>
      <c r="BZ434" s="3">
        <f>+IF(AVANCE[[#This Row],[OSB EXTERIOR]]=AM$2,100%,AVANCE[[#This Row],[OSB EXTERIOR]])</f>
        <v>0</v>
      </c>
      <c r="CA434" s="3">
        <f>+IF(AVANCE[[#This Row],[SMART PANEL]]=AN$2,100%,AVANCE[[#This Row],[SMART PANEL]])</f>
        <v>0</v>
      </c>
      <c r="CB434" s="3">
        <f>+IF(AVANCE[[#This Row],[PINTURA EXTERIOR]]=AO$2,100%,AVANCE[[#This Row],[PINTURA EXTERIOR]])</f>
        <v>0</v>
      </c>
      <c r="CC434" s="3">
        <f>+IF(AVANCE[[#This Row],[ZOCALOS LOGIA]]=AP$2,100%,AVANCE[[#This Row],[ZOCALOS LOGIA]])</f>
        <v>0</v>
      </c>
      <c r="CD434" s="3">
        <f>+IF(AVANCE[[#This Row],[MOLDURAS]]=AQ$2,100%,AVANCE[[#This Row],[MOLDURAS]])</f>
        <v>0</v>
      </c>
      <c r="CE434" s="3">
        <f>+IF(AVANCE[[#This Row],[PILASTREO]]=AR$2,100%,AVANCE[[#This Row],[PILASTREO]])</f>
        <v>0</v>
      </c>
      <c r="CF434" s="3">
        <f>+IF(AVANCE[[#This Row],[CELOSIAS]]=AS$2,100%,AVANCE[[#This Row],[CELOSIAS]])</f>
        <v>0</v>
      </c>
      <c r="CG434" s="3">
        <f>+IF(AVANCE[[#This Row],[VENTANAS]]=AT$2,100%,AVANCE[[#This Row],[VENTANAS]])</f>
        <v>0</v>
      </c>
      <c r="CH434" s="3">
        <f>+IF(AVANCE[[#This Row],[PUERTAS ACCESO - LOGIA - BANO]]=AU$2,100%,AVANCE[[#This Row],[PUERTAS ACCESO - LOGIA - BANO]])</f>
        <v>0</v>
      </c>
      <c r="CI434" s="3">
        <f>+IF(AVANCE[[#This Row],[CERRADURAS]]=AV$2,100%,AVANCE[[#This Row],[CERRADURAS]])</f>
        <v>0</v>
      </c>
      <c r="CJ434" s="3">
        <f>+IF(AVANCE[[#This Row],[REVESTIMIENTO INTERIOR ZONA SECA]]=AW$2,100%,AVANCE[[#This Row],[REVESTIMIENTO INTERIOR ZONA SECA]])</f>
        <v>0</v>
      </c>
      <c r="CK434" s="3">
        <f>+IF(AVANCE[[#This Row],[REVESTIMIENTO INTERIOR ZONAS HUMEDAS]]=AX$2,100%,AVANCE[[#This Row],[REVESTIMIENTO INTERIOR ZONAS HUMEDAS]])</f>
        <v>0</v>
      </c>
      <c r="CL434" s="3">
        <f>+IF(AVANCE[[#This Row],[MEMBRANA CIELO]]=AY$2,100%,AVANCE[[#This Row],[MEMBRANA CIELO]])</f>
        <v>0</v>
      </c>
      <c r="CM434" s="3">
        <f>+IF(AVANCE[[#This Row],[LIMPIEZA FINAL]]=AZ$2,100%,AVANCE[[#This Row],[LIMPIEZA FINAL]])</f>
        <v>0</v>
      </c>
      <c r="CN434" s="3">
        <f>+IF(AVANCE[[#This Row],[PUERTAS DORMITORIO]]=BA$2,100%,AVANCE[[#This Row],[PUERTAS DORMITORIO]])</f>
        <v>0</v>
      </c>
      <c r="CO434" s="3">
        <f>+IF(AVANCE[[#This Row],[REVESTIMIENTO INTERIOR BANO]]=BB$2,100%,AVANCE[[#This Row],[REVESTIMIENTO INTERIOR BANO]])</f>
        <v>0</v>
      </c>
      <c r="CP434" s="3">
        <f>+IF(AVANCE[[#This Row],[MUEBLE LAVAPLATOS]]=BC$2,100%,AVANCE[[#This Row],[MUEBLE LAVAPLATOS]])</f>
        <v>0</v>
      </c>
      <c r="CQ434" s="3">
        <f>+IF(AVANCE[[#This Row],[IMPERMEABILIZACION BANO - COCINA LOGIA]]=BD$2,100%,AVANCE[[#This Row],[IMPERMEABILIZACION BANO - COCINA LOGIA]])</f>
        <v>0</v>
      </c>
      <c r="CR434" s="40">
        <f ca="1">+IF(AVANCE[[#This Row],[ESTADO MODULO]]="PENDIENTE",(TODAY()-AVANCE[[#This Row],[FECHA TERMINO  PLANIFICADO]]),0)</f>
        <v>0</v>
      </c>
      <c r="CS434" s="42" t="str" cm="1">
        <f t="array" ref="CS434">_xlfn.TEXTJOIN(" | ",TRUE,IF(SUMPRODUCT((BF434:CQ434&lt;1)*(PARTIDAS!$I$2:$AT$2="OBRA GRUESA"))&gt;0,"OBRA GRUESA: "&amp;_xlfn.TEXTJOIN(", ",TRUE,IF((BF434:CQ434&lt;1)*(PARTIDAS!$I$2:$AT$2="OBRA GRUESA"),PARTIDAS!$I$1:$AT$1,"")),""),IF(SUMPRODUCT((BF434:CQ434&lt;1)*(PARTIDAS!$I$2:$AT$2="SANITARIOS"))&gt;0,"SANITARIOS: "&amp;_xlfn.TEXTJOIN(", ",TRUE,IF((BF434:CQ434&lt;1)*(PARTIDAS!$I$2:$AT$2="SANITARIOS"),PARTIDAS!$I$1:$AT$1,"")),""),IF(SUMPRODUCT((BF434:CQ434&lt;1)*(PARTIDAS!$I$2:$AT$2="ELÉCTRICO"))&gt;0,"ELÉCTRICO: "&amp;_xlfn.TEXTJOIN(", ",TRUE,IF((BF434:CQ434&lt;1)*(PARTIDAS!$I$2:$AT$2="ELÉCTRICO"),PARTIDAS!$I$1:$AT$1,"")),""),IF(SUMPRODUCT((BF434:CQ434&lt;1)*(PARTIDAS!$I$2:$AT$2="TERMINACIONES"))&gt;0,"TERMINACIONES: "&amp;_xlfn.TEXTJOIN(", ",TRUE,IF((BF434:CQ434&lt;1)*(PARTIDAS!$I$2:$AT$2="TERMINACIONES"),PARTIDAS!$I$1:$AT$1,"")),""))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4" s="45" t="str" cm="1">
        <f t="array" ref="CT434">_xlfn.TEXTJOIN(", ",TRUE,IF(SUMPRODUCT((BF434:CQ434&lt;1)*(PARTIDAS!$I$2:$AT$2="OBRA GRUESA"))&gt;0,"OBRA GRUESA",""),IF(SUMPRODUCT((BF434:CQ434&lt;1)*(PARTIDAS!$I$2:$AT$2="SANITARIOS"))&gt;0,"SANITARIOS",""),IF(SUMPRODUCT((BF434:CQ434&lt;1)*(PARTIDAS!$I$2:$AT$2="ELÉCTRICO"))&gt;0,"ELÉCTRICO",""),IF(SUMPRODUCT((BF434:CQ434&lt;1)*(PARTIDAS!$I$2:$AT$2="TERMINACIONES"))&gt;0,"TERMINACIONES",""))</f>
        <v>OBRA GRUESA, SANITARIOS, ELÉCTRICO, TERMINACIONES</v>
      </c>
      <c r="CU434" s="46" cm="1">
        <f t="array" ref="CU434">SUMPRODUCT(--(BF434:CQ434&lt;1))</f>
        <v>38</v>
      </c>
    </row>
    <row r="435" spans="1:99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46181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 s="3" t="str">
        <f>+IF(AVANCE[[#This Row],[% AVANCE]]=100%,"MODULO TERMINADO",IF(AVANCE[[#This Row],[FECHA INICIO REAL]]="","MODULO NO INICIADO","PENDIENTE"))</f>
        <v>MODULO NO INICIADO</v>
      </c>
      <c r="BF435" s="3">
        <f>+IF(AVANCE[[#This Row],[VENTANAS]]=8.10810810810811%,100%,AVANCE[[#This Row],[VENTANAS]])</f>
        <v>0</v>
      </c>
      <c r="BG435" s="3">
        <f>+IF(AVANCE[[#This Row],[PISO]]=N$2,100%,AVANCE[[#This Row],[PISO]])</f>
        <v>0</v>
      </c>
      <c r="BH435" s="3">
        <f>+IF(AVANCE[[#This Row],[TABIQUES]]=O$2,100%,AVANCE[[#This Row],[TABIQUES]])</f>
        <v>0</v>
      </c>
      <c r="BI435" s="3">
        <f>+IF(AVANCE[[#This Row],[MUROS]]=P$2,100%,AVANCE[[#This Row],[MUROS]])</f>
        <v>0</v>
      </c>
      <c r="BJ435" s="3">
        <f>+IF(AVANCE[[#This Row],[CIELO]]=Q$2,100%,AVANCE[[#This Row],[CIELO]])</f>
        <v>0</v>
      </c>
      <c r="BK435" s="3">
        <f>+IF(AVANCE[[#This Row],[BALCÓN]]=R$2,100%,AVANCE[[#This Row],[BALCÓN]])</f>
        <v>0</v>
      </c>
      <c r="BL435" s="3">
        <f>+IF(AVANCE[[#This Row],[RED ALCANTARILLADO]]=U$2,100%,AVANCE[[#This Row],[RED ALCANTARILLADO]])</f>
        <v>0</v>
      </c>
      <c r="BM435" s="3">
        <f>+IF(AVANCE[[#This Row],[RED DE AGUA]]=V$2,100%,AVANCE[[#This Row],[RED DE AGUA]])</f>
        <v>0</v>
      </c>
      <c r="BN435" s="3">
        <f>+IF(AVANCE[[#This Row],[VENTILACIONES]]=W$2,100%,AVANCE[[#This Row],[VENTILACIONES]])</f>
        <v>0</v>
      </c>
      <c r="BO435" s="3">
        <f>+IF(AVANCE[[#This Row],[TINA]]=X$2,100%,AVANCE[[#This Row],[TINA]])</f>
        <v>0</v>
      </c>
      <c r="BP435" s="3">
        <f>+IF(AVANCE[[#This Row],[WC]]=Y$2,100%,AVANCE[[#This Row],[WC]])</f>
        <v>0</v>
      </c>
      <c r="BQ435" s="3">
        <f>+IF(AVANCE[[#This Row],[LAVAMANOS / LAVAPLATOS / LAVADERO]]=Z$2,100%,AVANCE[[#This Row],[LAVAMANOS / LAVAPLATOS / LAVADERO]])</f>
        <v>0</v>
      </c>
      <c r="BR435" s="3">
        <f>+IF(AVANCE[[#This Row],[CANALIZACIÓN]]=AC$2,100%,AVANCE[[#This Row],[CANALIZACIÓN]])</f>
        <v>0</v>
      </c>
      <c r="BS435" s="3">
        <f>+IF(AVANCE[[#This Row],[CABLEADO]]=AD$2,100%,AVANCE[[#This Row],[CABLEADO]])</f>
        <v>0</v>
      </c>
      <c r="BT435" s="3">
        <f>+IF(AVANCE[[#This Row],[ARTEFACTOS]]=AE$2,100%,AVANCE[[#This Row],[ARTEFACTOS]])</f>
        <v>0</v>
      </c>
      <c r="BU435" s="3">
        <f>+IF(AVANCE[[#This Row],[TABLERO]]=AF$2,100%,AVANCE[[#This Row],[TABLERO]])</f>
        <v>0</v>
      </c>
      <c r="BV435" s="3">
        <f>+IF(AVANCE[[#This Row],[CAJA PAU]]=AG$2,100%,AVANCE[[#This Row],[CAJA PAU]])</f>
        <v>0</v>
      </c>
      <c r="BW435" s="3">
        <f>+IF(AVANCE[[#This Row],[INSTALACION VINILICO]]=AJ$2,100%,AVANCE[[#This Row],[INSTALACION VINILICO]])</f>
        <v>0</v>
      </c>
      <c r="BX435" s="3">
        <f>+IF(AVANCE[[#This Row],[OSB CUBIERTA]]=AK$2,100%,AVANCE[[#This Row],[OSB CUBIERTA]])</f>
        <v>0</v>
      </c>
      <c r="BY435" s="3">
        <f>+IF(AVANCE[[#This Row],[BARANDA BALCON]]=AL$2,100%,AVANCE[[#This Row],[BARANDA BALCON]])</f>
        <v>0</v>
      </c>
      <c r="BZ435" s="3">
        <f>+IF(AVANCE[[#This Row],[OSB EXTERIOR]]=AM$2,100%,AVANCE[[#This Row],[OSB EXTERIOR]])</f>
        <v>0</v>
      </c>
      <c r="CA435" s="3">
        <f>+IF(AVANCE[[#This Row],[SMART PANEL]]=AN$2,100%,AVANCE[[#This Row],[SMART PANEL]])</f>
        <v>0</v>
      </c>
      <c r="CB435" s="3">
        <f>+IF(AVANCE[[#This Row],[PINTURA EXTERIOR]]=AO$2,100%,AVANCE[[#This Row],[PINTURA EXTERIOR]])</f>
        <v>0</v>
      </c>
      <c r="CC435" s="3">
        <f>+IF(AVANCE[[#This Row],[ZOCALOS LOGIA]]=AP$2,100%,AVANCE[[#This Row],[ZOCALOS LOGIA]])</f>
        <v>0</v>
      </c>
      <c r="CD435" s="3">
        <f>+IF(AVANCE[[#This Row],[MOLDURAS]]=AQ$2,100%,AVANCE[[#This Row],[MOLDURAS]])</f>
        <v>0</v>
      </c>
      <c r="CE435" s="3">
        <f>+IF(AVANCE[[#This Row],[PILASTREO]]=AR$2,100%,AVANCE[[#This Row],[PILASTREO]])</f>
        <v>0</v>
      </c>
      <c r="CF435" s="3">
        <f>+IF(AVANCE[[#This Row],[CELOSIAS]]=AS$2,100%,AVANCE[[#This Row],[CELOSIAS]])</f>
        <v>0</v>
      </c>
      <c r="CG435" s="3">
        <f>+IF(AVANCE[[#This Row],[VENTANAS]]=AT$2,100%,AVANCE[[#This Row],[VENTANAS]])</f>
        <v>0</v>
      </c>
      <c r="CH435" s="3">
        <f>+IF(AVANCE[[#This Row],[PUERTAS ACCESO - LOGIA - BANO]]=AU$2,100%,AVANCE[[#This Row],[PUERTAS ACCESO - LOGIA - BANO]])</f>
        <v>0</v>
      </c>
      <c r="CI435" s="3">
        <f>+IF(AVANCE[[#This Row],[CERRADURAS]]=AV$2,100%,AVANCE[[#This Row],[CERRADURAS]])</f>
        <v>0</v>
      </c>
      <c r="CJ435" s="3">
        <f>+IF(AVANCE[[#This Row],[REVESTIMIENTO INTERIOR ZONA SECA]]=AW$2,100%,AVANCE[[#This Row],[REVESTIMIENTO INTERIOR ZONA SECA]])</f>
        <v>0</v>
      </c>
      <c r="CK435" s="3">
        <f>+IF(AVANCE[[#This Row],[REVESTIMIENTO INTERIOR ZONAS HUMEDAS]]=AX$2,100%,AVANCE[[#This Row],[REVESTIMIENTO INTERIOR ZONAS HUMEDAS]])</f>
        <v>0</v>
      </c>
      <c r="CL435" s="3">
        <f>+IF(AVANCE[[#This Row],[MEMBRANA CIELO]]=AY$2,100%,AVANCE[[#This Row],[MEMBRANA CIELO]])</f>
        <v>0</v>
      </c>
      <c r="CM435" s="3">
        <f>+IF(AVANCE[[#This Row],[LIMPIEZA FINAL]]=AZ$2,100%,AVANCE[[#This Row],[LIMPIEZA FINAL]])</f>
        <v>0</v>
      </c>
      <c r="CN435" s="3">
        <f>+IF(AVANCE[[#This Row],[PUERTAS DORMITORIO]]=BA$2,100%,AVANCE[[#This Row],[PUERTAS DORMITORIO]])</f>
        <v>0</v>
      </c>
      <c r="CO435" s="3">
        <f>+IF(AVANCE[[#This Row],[REVESTIMIENTO INTERIOR BANO]]=BB$2,100%,AVANCE[[#This Row],[REVESTIMIENTO INTERIOR BANO]])</f>
        <v>0</v>
      </c>
      <c r="CP435" s="3">
        <f>+IF(AVANCE[[#This Row],[MUEBLE LAVAPLATOS]]=BC$2,100%,AVANCE[[#This Row],[MUEBLE LAVAPLATOS]])</f>
        <v>0</v>
      </c>
      <c r="CQ435" s="3">
        <f>+IF(AVANCE[[#This Row],[IMPERMEABILIZACION BANO - COCINA LOGIA]]=BD$2,100%,AVANCE[[#This Row],[IMPERMEABILIZACION BANO - COCINA LOGIA]])</f>
        <v>0</v>
      </c>
      <c r="CR435" s="40">
        <f ca="1">+IF(AVANCE[[#This Row],[ESTADO MODULO]]="PENDIENTE",(TODAY()-AVANCE[[#This Row],[FECHA TERMINO  PLANIFICADO]]),0)</f>
        <v>0</v>
      </c>
      <c r="CS435" s="42" t="str" cm="1">
        <f t="array" ref="CS435">_xlfn.TEXTJOIN(" | ",TRUE,IF(SUMPRODUCT((BF435:CQ435&lt;1)*(PARTIDAS!$I$2:$AT$2="OBRA GRUESA"))&gt;0,"OBRA GRUESA: "&amp;_xlfn.TEXTJOIN(", ",TRUE,IF((BF435:CQ435&lt;1)*(PARTIDAS!$I$2:$AT$2="OBRA GRUESA"),PARTIDAS!$I$1:$AT$1,"")),""),IF(SUMPRODUCT((BF435:CQ435&lt;1)*(PARTIDAS!$I$2:$AT$2="SANITARIOS"))&gt;0,"SANITARIOS: "&amp;_xlfn.TEXTJOIN(", ",TRUE,IF((BF435:CQ435&lt;1)*(PARTIDAS!$I$2:$AT$2="SANITARIOS"),PARTIDAS!$I$1:$AT$1,"")),""),IF(SUMPRODUCT((BF435:CQ435&lt;1)*(PARTIDAS!$I$2:$AT$2="ELÉCTRICO"))&gt;0,"ELÉCTRICO: "&amp;_xlfn.TEXTJOIN(", ",TRUE,IF((BF435:CQ435&lt;1)*(PARTIDAS!$I$2:$AT$2="ELÉCTRICO"),PARTIDAS!$I$1:$AT$1,"")),""),IF(SUMPRODUCT((BF435:CQ435&lt;1)*(PARTIDAS!$I$2:$AT$2="TERMINACIONES"))&gt;0,"TERMINACIONES: "&amp;_xlfn.TEXTJOIN(", ",TRUE,IF((BF435:CQ435&lt;1)*(PARTIDAS!$I$2:$AT$2="TERMINACIONES"),PARTIDAS!$I$1:$AT$1,"")),""))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5" s="45" t="str" cm="1">
        <f t="array" ref="CT435">_xlfn.TEXTJOIN(", ",TRUE,IF(SUMPRODUCT((BF435:CQ435&lt;1)*(PARTIDAS!$I$2:$AT$2="OBRA GRUESA"))&gt;0,"OBRA GRUESA",""),IF(SUMPRODUCT((BF435:CQ435&lt;1)*(PARTIDAS!$I$2:$AT$2="SANITARIOS"))&gt;0,"SANITARIOS",""),IF(SUMPRODUCT((BF435:CQ435&lt;1)*(PARTIDAS!$I$2:$AT$2="ELÉCTRICO"))&gt;0,"ELÉCTRICO",""),IF(SUMPRODUCT((BF435:CQ435&lt;1)*(PARTIDAS!$I$2:$AT$2="TERMINACIONES"))&gt;0,"TERMINACIONES",""))</f>
        <v>OBRA GRUESA, SANITARIOS, ELÉCTRICO, TERMINACIONES</v>
      </c>
      <c r="CU435" s="46" cm="1">
        <f t="array" ref="CU435">SUMPRODUCT(--(BF435:CQ435&lt;1))</f>
        <v>38</v>
      </c>
    </row>
    <row r="436" spans="1:99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46181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 s="3" t="str">
        <f>+IF(AVANCE[[#This Row],[% AVANCE]]=100%,"MODULO TERMINADO",IF(AVANCE[[#This Row],[FECHA INICIO REAL]]="","MODULO NO INICIADO","PENDIENTE"))</f>
        <v>MODULO NO INICIADO</v>
      </c>
      <c r="BF436" s="3">
        <f>+IF(AVANCE[[#This Row],[VENTANAS]]=8.10810810810811%,100%,AVANCE[[#This Row],[VENTANAS]])</f>
        <v>0</v>
      </c>
      <c r="BG436" s="3">
        <f>+IF(AVANCE[[#This Row],[PISO]]=N$2,100%,AVANCE[[#This Row],[PISO]])</f>
        <v>0</v>
      </c>
      <c r="BH436" s="3">
        <f>+IF(AVANCE[[#This Row],[TABIQUES]]=O$2,100%,AVANCE[[#This Row],[TABIQUES]])</f>
        <v>0</v>
      </c>
      <c r="BI436" s="3">
        <f>+IF(AVANCE[[#This Row],[MUROS]]=P$2,100%,AVANCE[[#This Row],[MUROS]])</f>
        <v>0</v>
      </c>
      <c r="BJ436" s="3">
        <f>+IF(AVANCE[[#This Row],[CIELO]]=Q$2,100%,AVANCE[[#This Row],[CIELO]])</f>
        <v>0</v>
      </c>
      <c r="BK436" s="3">
        <f>+IF(AVANCE[[#This Row],[BALCÓN]]=R$2,100%,AVANCE[[#This Row],[BALCÓN]])</f>
        <v>0</v>
      </c>
      <c r="BL436" s="3">
        <f>+IF(AVANCE[[#This Row],[RED ALCANTARILLADO]]=U$2,100%,AVANCE[[#This Row],[RED ALCANTARILLADO]])</f>
        <v>0</v>
      </c>
      <c r="BM436" s="3">
        <f>+IF(AVANCE[[#This Row],[RED DE AGUA]]=V$2,100%,AVANCE[[#This Row],[RED DE AGUA]])</f>
        <v>0</v>
      </c>
      <c r="BN436" s="3">
        <f>+IF(AVANCE[[#This Row],[VENTILACIONES]]=W$2,100%,AVANCE[[#This Row],[VENTILACIONES]])</f>
        <v>0</v>
      </c>
      <c r="BO436" s="3">
        <f>+IF(AVANCE[[#This Row],[TINA]]=X$2,100%,AVANCE[[#This Row],[TINA]])</f>
        <v>0</v>
      </c>
      <c r="BP436" s="3">
        <f>+IF(AVANCE[[#This Row],[WC]]=Y$2,100%,AVANCE[[#This Row],[WC]])</f>
        <v>0</v>
      </c>
      <c r="BQ436" s="3">
        <f>+IF(AVANCE[[#This Row],[LAVAMANOS / LAVAPLATOS / LAVADERO]]=Z$2,100%,AVANCE[[#This Row],[LAVAMANOS / LAVAPLATOS / LAVADERO]])</f>
        <v>0</v>
      </c>
      <c r="BR436" s="3">
        <f>+IF(AVANCE[[#This Row],[CANALIZACIÓN]]=AC$2,100%,AVANCE[[#This Row],[CANALIZACIÓN]])</f>
        <v>0</v>
      </c>
      <c r="BS436" s="3">
        <f>+IF(AVANCE[[#This Row],[CABLEADO]]=AD$2,100%,AVANCE[[#This Row],[CABLEADO]])</f>
        <v>0</v>
      </c>
      <c r="BT436" s="3">
        <f>+IF(AVANCE[[#This Row],[ARTEFACTOS]]=AE$2,100%,AVANCE[[#This Row],[ARTEFACTOS]])</f>
        <v>0</v>
      </c>
      <c r="BU436" s="3">
        <f>+IF(AVANCE[[#This Row],[TABLERO]]=AF$2,100%,AVANCE[[#This Row],[TABLERO]])</f>
        <v>0</v>
      </c>
      <c r="BV436" s="3">
        <f>+IF(AVANCE[[#This Row],[CAJA PAU]]=AG$2,100%,AVANCE[[#This Row],[CAJA PAU]])</f>
        <v>0</v>
      </c>
      <c r="BW436" s="3">
        <f>+IF(AVANCE[[#This Row],[INSTALACION VINILICO]]=AJ$2,100%,AVANCE[[#This Row],[INSTALACION VINILICO]])</f>
        <v>0</v>
      </c>
      <c r="BX436" s="3">
        <f>+IF(AVANCE[[#This Row],[OSB CUBIERTA]]=AK$2,100%,AVANCE[[#This Row],[OSB CUBIERTA]])</f>
        <v>0</v>
      </c>
      <c r="BY436" s="3">
        <f>+IF(AVANCE[[#This Row],[BARANDA BALCON]]=AL$2,100%,AVANCE[[#This Row],[BARANDA BALCON]])</f>
        <v>0</v>
      </c>
      <c r="BZ436" s="3">
        <f>+IF(AVANCE[[#This Row],[OSB EXTERIOR]]=AM$2,100%,AVANCE[[#This Row],[OSB EXTERIOR]])</f>
        <v>0</v>
      </c>
      <c r="CA436" s="3">
        <f>+IF(AVANCE[[#This Row],[SMART PANEL]]=AN$2,100%,AVANCE[[#This Row],[SMART PANEL]])</f>
        <v>0</v>
      </c>
      <c r="CB436" s="3">
        <f>+IF(AVANCE[[#This Row],[PINTURA EXTERIOR]]=AO$2,100%,AVANCE[[#This Row],[PINTURA EXTERIOR]])</f>
        <v>0</v>
      </c>
      <c r="CC436" s="3">
        <f>+IF(AVANCE[[#This Row],[ZOCALOS LOGIA]]=AP$2,100%,AVANCE[[#This Row],[ZOCALOS LOGIA]])</f>
        <v>0</v>
      </c>
      <c r="CD436" s="3">
        <f>+IF(AVANCE[[#This Row],[MOLDURAS]]=AQ$2,100%,AVANCE[[#This Row],[MOLDURAS]])</f>
        <v>0</v>
      </c>
      <c r="CE436" s="3">
        <f>+IF(AVANCE[[#This Row],[PILASTREO]]=AR$2,100%,AVANCE[[#This Row],[PILASTREO]])</f>
        <v>0</v>
      </c>
      <c r="CF436" s="3">
        <f>+IF(AVANCE[[#This Row],[CELOSIAS]]=AS$2,100%,AVANCE[[#This Row],[CELOSIAS]])</f>
        <v>0</v>
      </c>
      <c r="CG436" s="3">
        <f>+IF(AVANCE[[#This Row],[VENTANAS]]=AT$2,100%,AVANCE[[#This Row],[VENTANAS]])</f>
        <v>0</v>
      </c>
      <c r="CH436" s="3">
        <f>+IF(AVANCE[[#This Row],[PUERTAS ACCESO - LOGIA - BANO]]=AU$2,100%,AVANCE[[#This Row],[PUERTAS ACCESO - LOGIA - BANO]])</f>
        <v>0</v>
      </c>
      <c r="CI436" s="3">
        <f>+IF(AVANCE[[#This Row],[CERRADURAS]]=AV$2,100%,AVANCE[[#This Row],[CERRADURAS]])</f>
        <v>0</v>
      </c>
      <c r="CJ436" s="3">
        <f>+IF(AVANCE[[#This Row],[REVESTIMIENTO INTERIOR ZONA SECA]]=AW$2,100%,AVANCE[[#This Row],[REVESTIMIENTO INTERIOR ZONA SECA]])</f>
        <v>0</v>
      </c>
      <c r="CK436" s="3">
        <f>+IF(AVANCE[[#This Row],[REVESTIMIENTO INTERIOR ZONAS HUMEDAS]]=AX$2,100%,AVANCE[[#This Row],[REVESTIMIENTO INTERIOR ZONAS HUMEDAS]])</f>
        <v>0</v>
      </c>
      <c r="CL436" s="3">
        <f>+IF(AVANCE[[#This Row],[MEMBRANA CIELO]]=AY$2,100%,AVANCE[[#This Row],[MEMBRANA CIELO]])</f>
        <v>0</v>
      </c>
      <c r="CM436" s="3">
        <f>+IF(AVANCE[[#This Row],[LIMPIEZA FINAL]]=AZ$2,100%,AVANCE[[#This Row],[LIMPIEZA FINAL]])</f>
        <v>0</v>
      </c>
      <c r="CN436" s="3">
        <f>+IF(AVANCE[[#This Row],[PUERTAS DORMITORIO]]=BA$2,100%,AVANCE[[#This Row],[PUERTAS DORMITORIO]])</f>
        <v>0</v>
      </c>
      <c r="CO436" s="3">
        <f>+IF(AVANCE[[#This Row],[REVESTIMIENTO INTERIOR BANO]]=BB$2,100%,AVANCE[[#This Row],[REVESTIMIENTO INTERIOR BANO]])</f>
        <v>0</v>
      </c>
      <c r="CP436" s="3">
        <f>+IF(AVANCE[[#This Row],[MUEBLE LAVAPLATOS]]=BC$2,100%,AVANCE[[#This Row],[MUEBLE LAVAPLATOS]])</f>
        <v>0</v>
      </c>
      <c r="CQ436" s="3">
        <f>+IF(AVANCE[[#This Row],[IMPERMEABILIZACION BANO - COCINA LOGIA]]=BD$2,100%,AVANCE[[#This Row],[IMPERMEABILIZACION BANO - COCINA LOGIA]])</f>
        <v>0</v>
      </c>
      <c r="CR436" s="40">
        <f ca="1">+IF(AVANCE[[#This Row],[ESTADO MODULO]]="PENDIENTE",(TODAY()-AVANCE[[#This Row],[FECHA TERMINO  PLANIFICADO]]),0)</f>
        <v>0</v>
      </c>
      <c r="CS436" s="42" t="str" cm="1">
        <f t="array" ref="CS436">_xlfn.TEXTJOIN(" | ",TRUE,IF(SUMPRODUCT((BF436:CQ436&lt;1)*(PARTIDAS!$I$2:$AT$2="OBRA GRUESA"))&gt;0,"OBRA GRUESA: "&amp;_xlfn.TEXTJOIN(", ",TRUE,IF((BF436:CQ436&lt;1)*(PARTIDAS!$I$2:$AT$2="OBRA GRUESA"),PARTIDAS!$I$1:$AT$1,"")),""),IF(SUMPRODUCT((BF436:CQ436&lt;1)*(PARTIDAS!$I$2:$AT$2="SANITARIOS"))&gt;0,"SANITARIOS: "&amp;_xlfn.TEXTJOIN(", ",TRUE,IF((BF436:CQ436&lt;1)*(PARTIDAS!$I$2:$AT$2="SANITARIOS"),PARTIDAS!$I$1:$AT$1,"")),""),IF(SUMPRODUCT((BF436:CQ436&lt;1)*(PARTIDAS!$I$2:$AT$2="ELÉCTRICO"))&gt;0,"ELÉCTRICO: "&amp;_xlfn.TEXTJOIN(", ",TRUE,IF((BF436:CQ436&lt;1)*(PARTIDAS!$I$2:$AT$2="ELÉCTRICO"),PARTIDAS!$I$1:$AT$1,"")),""),IF(SUMPRODUCT((BF436:CQ436&lt;1)*(PARTIDAS!$I$2:$AT$2="TERMINACIONES"))&gt;0,"TERMINACIONES: "&amp;_xlfn.TEXTJOIN(", ",TRUE,IF((BF436:CQ436&lt;1)*(PARTIDAS!$I$2:$AT$2="TERMINACIONES"),PARTIDAS!$I$1:$AT$1,"")),""))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6" s="45" t="str" cm="1">
        <f t="array" ref="CT436">_xlfn.TEXTJOIN(", ",TRUE,IF(SUMPRODUCT((BF436:CQ436&lt;1)*(PARTIDAS!$I$2:$AT$2="OBRA GRUESA"))&gt;0,"OBRA GRUESA",""),IF(SUMPRODUCT((BF436:CQ436&lt;1)*(PARTIDAS!$I$2:$AT$2="SANITARIOS"))&gt;0,"SANITARIOS",""),IF(SUMPRODUCT((BF436:CQ436&lt;1)*(PARTIDAS!$I$2:$AT$2="ELÉCTRICO"))&gt;0,"ELÉCTRICO",""),IF(SUMPRODUCT((BF436:CQ436&lt;1)*(PARTIDAS!$I$2:$AT$2="TERMINACIONES"))&gt;0,"TERMINACIONES",""))</f>
        <v>OBRA GRUESA, SANITARIOS, ELÉCTRICO, TERMINACIONES</v>
      </c>
      <c r="CU436" s="46" cm="1">
        <f t="array" ref="CU436">SUMPRODUCT(--(BF436:CQ436&lt;1))</f>
        <v>38</v>
      </c>
    </row>
    <row r="437" spans="1:99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46181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 s="3" t="str">
        <f>+IF(AVANCE[[#This Row],[% AVANCE]]=100%,"MODULO TERMINADO",IF(AVANCE[[#This Row],[FECHA INICIO REAL]]="","MODULO NO INICIADO","PENDIENTE"))</f>
        <v>MODULO NO INICIADO</v>
      </c>
      <c r="BF437" s="3">
        <f>+IF(AVANCE[[#This Row],[VENTANAS]]=8.10810810810811%,100%,AVANCE[[#This Row],[VENTANAS]])</f>
        <v>0</v>
      </c>
      <c r="BG437" s="3">
        <f>+IF(AVANCE[[#This Row],[PISO]]=N$2,100%,AVANCE[[#This Row],[PISO]])</f>
        <v>0</v>
      </c>
      <c r="BH437" s="3">
        <f>+IF(AVANCE[[#This Row],[TABIQUES]]=O$2,100%,AVANCE[[#This Row],[TABIQUES]])</f>
        <v>0</v>
      </c>
      <c r="BI437" s="3">
        <f>+IF(AVANCE[[#This Row],[MUROS]]=P$2,100%,AVANCE[[#This Row],[MUROS]])</f>
        <v>0</v>
      </c>
      <c r="BJ437" s="3">
        <f>+IF(AVANCE[[#This Row],[CIELO]]=Q$2,100%,AVANCE[[#This Row],[CIELO]])</f>
        <v>0</v>
      </c>
      <c r="BK437" s="3">
        <f>+IF(AVANCE[[#This Row],[BALCÓN]]=R$2,100%,AVANCE[[#This Row],[BALCÓN]])</f>
        <v>0</v>
      </c>
      <c r="BL437" s="3">
        <f>+IF(AVANCE[[#This Row],[RED ALCANTARILLADO]]=U$2,100%,AVANCE[[#This Row],[RED ALCANTARILLADO]])</f>
        <v>0</v>
      </c>
      <c r="BM437" s="3">
        <f>+IF(AVANCE[[#This Row],[RED DE AGUA]]=V$2,100%,AVANCE[[#This Row],[RED DE AGUA]])</f>
        <v>0</v>
      </c>
      <c r="BN437" s="3">
        <f>+IF(AVANCE[[#This Row],[VENTILACIONES]]=W$2,100%,AVANCE[[#This Row],[VENTILACIONES]])</f>
        <v>0</v>
      </c>
      <c r="BO437" s="3">
        <f>+IF(AVANCE[[#This Row],[TINA]]=X$2,100%,AVANCE[[#This Row],[TINA]])</f>
        <v>0</v>
      </c>
      <c r="BP437" s="3">
        <f>+IF(AVANCE[[#This Row],[WC]]=Y$2,100%,AVANCE[[#This Row],[WC]])</f>
        <v>0</v>
      </c>
      <c r="BQ437" s="3">
        <f>+IF(AVANCE[[#This Row],[LAVAMANOS / LAVAPLATOS / LAVADERO]]=Z$2,100%,AVANCE[[#This Row],[LAVAMANOS / LAVAPLATOS / LAVADERO]])</f>
        <v>0</v>
      </c>
      <c r="BR437" s="3">
        <f>+IF(AVANCE[[#This Row],[CANALIZACIÓN]]=AC$2,100%,AVANCE[[#This Row],[CANALIZACIÓN]])</f>
        <v>0</v>
      </c>
      <c r="BS437" s="3">
        <f>+IF(AVANCE[[#This Row],[CABLEADO]]=AD$2,100%,AVANCE[[#This Row],[CABLEADO]])</f>
        <v>0</v>
      </c>
      <c r="BT437" s="3">
        <f>+IF(AVANCE[[#This Row],[ARTEFACTOS]]=AE$2,100%,AVANCE[[#This Row],[ARTEFACTOS]])</f>
        <v>0</v>
      </c>
      <c r="BU437" s="3">
        <f>+IF(AVANCE[[#This Row],[TABLERO]]=AF$2,100%,AVANCE[[#This Row],[TABLERO]])</f>
        <v>0</v>
      </c>
      <c r="BV437" s="3">
        <f>+IF(AVANCE[[#This Row],[CAJA PAU]]=AG$2,100%,AVANCE[[#This Row],[CAJA PAU]])</f>
        <v>0</v>
      </c>
      <c r="BW437" s="3">
        <f>+IF(AVANCE[[#This Row],[INSTALACION VINILICO]]=AJ$2,100%,AVANCE[[#This Row],[INSTALACION VINILICO]])</f>
        <v>0</v>
      </c>
      <c r="BX437" s="3">
        <f>+IF(AVANCE[[#This Row],[OSB CUBIERTA]]=AK$2,100%,AVANCE[[#This Row],[OSB CUBIERTA]])</f>
        <v>0</v>
      </c>
      <c r="BY437" s="3">
        <f>+IF(AVANCE[[#This Row],[BARANDA BALCON]]=AL$2,100%,AVANCE[[#This Row],[BARANDA BALCON]])</f>
        <v>0</v>
      </c>
      <c r="BZ437" s="3">
        <f>+IF(AVANCE[[#This Row],[OSB EXTERIOR]]=AM$2,100%,AVANCE[[#This Row],[OSB EXTERIOR]])</f>
        <v>0</v>
      </c>
      <c r="CA437" s="3">
        <f>+IF(AVANCE[[#This Row],[SMART PANEL]]=AN$2,100%,AVANCE[[#This Row],[SMART PANEL]])</f>
        <v>0</v>
      </c>
      <c r="CB437" s="3">
        <f>+IF(AVANCE[[#This Row],[PINTURA EXTERIOR]]=AO$2,100%,AVANCE[[#This Row],[PINTURA EXTERIOR]])</f>
        <v>0</v>
      </c>
      <c r="CC437" s="3">
        <f>+IF(AVANCE[[#This Row],[ZOCALOS LOGIA]]=AP$2,100%,AVANCE[[#This Row],[ZOCALOS LOGIA]])</f>
        <v>0</v>
      </c>
      <c r="CD437" s="3">
        <f>+IF(AVANCE[[#This Row],[MOLDURAS]]=AQ$2,100%,AVANCE[[#This Row],[MOLDURAS]])</f>
        <v>0</v>
      </c>
      <c r="CE437" s="3">
        <f>+IF(AVANCE[[#This Row],[PILASTREO]]=AR$2,100%,AVANCE[[#This Row],[PILASTREO]])</f>
        <v>0</v>
      </c>
      <c r="CF437" s="3">
        <f>+IF(AVANCE[[#This Row],[CELOSIAS]]=AS$2,100%,AVANCE[[#This Row],[CELOSIAS]])</f>
        <v>0</v>
      </c>
      <c r="CG437" s="3">
        <f>+IF(AVANCE[[#This Row],[VENTANAS]]=AT$2,100%,AVANCE[[#This Row],[VENTANAS]])</f>
        <v>0</v>
      </c>
      <c r="CH437" s="3">
        <f>+IF(AVANCE[[#This Row],[PUERTAS ACCESO - LOGIA - BANO]]=AU$2,100%,AVANCE[[#This Row],[PUERTAS ACCESO - LOGIA - BANO]])</f>
        <v>0</v>
      </c>
      <c r="CI437" s="3">
        <f>+IF(AVANCE[[#This Row],[CERRADURAS]]=AV$2,100%,AVANCE[[#This Row],[CERRADURAS]])</f>
        <v>0</v>
      </c>
      <c r="CJ437" s="3">
        <f>+IF(AVANCE[[#This Row],[REVESTIMIENTO INTERIOR ZONA SECA]]=AW$2,100%,AVANCE[[#This Row],[REVESTIMIENTO INTERIOR ZONA SECA]])</f>
        <v>0</v>
      </c>
      <c r="CK437" s="3">
        <f>+IF(AVANCE[[#This Row],[REVESTIMIENTO INTERIOR ZONAS HUMEDAS]]=AX$2,100%,AVANCE[[#This Row],[REVESTIMIENTO INTERIOR ZONAS HUMEDAS]])</f>
        <v>0</v>
      </c>
      <c r="CL437" s="3">
        <f>+IF(AVANCE[[#This Row],[MEMBRANA CIELO]]=AY$2,100%,AVANCE[[#This Row],[MEMBRANA CIELO]])</f>
        <v>0</v>
      </c>
      <c r="CM437" s="3">
        <f>+IF(AVANCE[[#This Row],[LIMPIEZA FINAL]]=AZ$2,100%,AVANCE[[#This Row],[LIMPIEZA FINAL]])</f>
        <v>0</v>
      </c>
      <c r="CN437" s="3">
        <f>+IF(AVANCE[[#This Row],[PUERTAS DORMITORIO]]=BA$2,100%,AVANCE[[#This Row],[PUERTAS DORMITORIO]])</f>
        <v>0</v>
      </c>
      <c r="CO437" s="3">
        <f>+IF(AVANCE[[#This Row],[REVESTIMIENTO INTERIOR BANO]]=BB$2,100%,AVANCE[[#This Row],[REVESTIMIENTO INTERIOR BANO]])</f>
        <v>0</v>
      </c>
      <c r="CP437" s="3">
        <f>+IF(AVANCE[[#This Row],[MUEBLE LAVAPLATOS]]=BC$2,100%,AVANCE[[#This Row],[MUEBLE LAVAPLATOS]])</f>
        <v>0</v>
      </c>
      <c r="CQ437" s="3">
        <f>+IF(AVANCE[[#This Row],[IMPERMEABILIZACION BANO - COCINA LOGIA]]=BD$2,100%,AVANCE[[#This Row],[IMPERMEABILIZACION BANO - COCINA LOGIA]])</f>
        <v>0</v>
      </c>
      <c r="CR437" s="40">
        <f ca="1">+IF(AVANCE[[#This Row],[ESTADO MODULO]]="PENDIENTE",(TODAY()-AVANCE[[#This Row],[FECHA TERMINO  PLANIFICADO]]),0)</f>
        <v>0</v>
      </c>
      <c r="CS437" s="42" t="str" cm="1">
        <f t="array" ref="CS437">_xlfn.TEXTJOIN(" | ",TRUE,IF(SUMPRODUCT((BF437:CQ437&lt;1)*(PARTIDAS!$I$2:$AT$2="OBRA GRUESA"))&gt;0,"OBRA GRUESA: "&amp;_xlfn.TEXTJOIN(", ",TRUE,IF((BF437:CQ437&lt;1)*(PARTIDAS!$I$2:$AT$2="OBRA GRUESA"),PARTIDAS!$I$1:$AT$1,"")),""),IF(SUMPRODUCT((BF437:CQ437&lt;1)*(PARTIDAS!$I$2:$AT$2="SANITARIOS"))&gt;0,"SANITARIOS: "&amp;_xlfn.TEXTJOIN(", ",TRUE,IF((BF437:CQ437&lt;1)*(PARTIDAS!$I$2:$AT$2="SANITARIOS"),PARTIDAS!$I$1:$AT$1,"")),""),IF(SUMPRODUCT((BF437:CQ437&lt;1)*(PARTIDAS!$I$2:$AT$2="ELÉCTRICO"))&gt;0,"ELÉCTRICO: "&amp;_xlfn.TEXTJOIN(", ",TRUE,IF((BF437:CQ437&lt;1)*(PARTIDAS!$I$2:$AT$2="ELÉCTRICO"),PARTIDAS!$I$1:$AT$1,"")),""),IF(SUMPRODUCT((BF437:CQ437&lt;1)*(PARTIDAS!$I$2:$AT$2="TERMINACIONES"))&gt;0,"TERMINACIONES: "&amp;_xlfn.TEXTJOIN(", ",TRUE,IF((BF437:CQ437&lt;1)*(PARTIDAS!$I$2:$AT$2="TERMINACIONES"),PARTIDAS!$I$1:$AT$1,"")),""))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7" s="45" t="str" cm="1">
        <f t="array" ref="CT437">_xlfn.TEXTJOIN(", ",TRUE,IF(SUMPRODUCT((BF437:CQ437&lt;1)*(PARTIDAS!$I$2:$AT$2="OBRA GRUESA"))&gt;0,"OBRA GRUESA",""),IF(SUMPRODUCT((BF437:CQ437&lt;1)*(PARTIDAS!$I$2:$AT$2="SANITARIOS"))&gt;0,"SANITARIOS",""),IF(SUMPRODUCT((BF437:CQ437&lt;1)*(PARTIDAS!$I$2:$AT$2="ELÉCTRICO"))&gt;0,"ELÉCTRICO",""),IF(SUMPRODUCT((BF437:CQ437&lt;1)*(PARTIDAS!$I$2:$AT$2="TERMINACIONES"))&gt;0,"TERMINACIONES",""))</f>
        <v>OBRA GRUESA, SANITARIOS, ELÉCTRICO, TERMINACIONES</v>
      </c>
      <c r="CU437" s="46" cm="1">
        <f t="array" ref="CU437">SUMPRODUCT(--(BF437:CQ437&lt;1))</f>
        <v>38</v>
      </c>
    </row>
    <row r="438" spans="1:99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46181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 s="3" t="str">
        <f>+IF(AVANCE[[#This Row],[% AVANCE]]=100%,"MODULO TERMINADO",IF(AVANCE[[#This Row],[FECHA INICIO REAL]]="","MODULO NO INICIADO","PENDIENTE"))</f>
        <v>MODULO NO INICIADO</v>
      </c>
      <c r="BF438" s="3">
        <f>+IF(AVANCE[[#This Row],[VENTANAS]]=8.10810810810811%,100%,AVANCE[[#This Row],[VENTANAS]])</f>
        <v>0</v>
      </c>
      <c r="BG438" s="3">
        <f>+IF(AVANCE[[#This Row],[PISO]]=N$2,100%,AVANCE[[#This Row],[PISO]])</f>
        <v>0</v>
      </c>
      <c r="BH438" s="3">
        <f>+IF(AVANCE[[#This Row],[TABIQUES]]=O$2,100%,AVANCE[[#This Row],[TABIQUES]])</f>
        <v>0</v>
      </c>
      <c r="BI438" s="3">
        <f>+IF(AVANCE[[#This Row],[MUROS]]=P$2,100%,AVANCE[[#This Row],[MUROS]])</f>
        <v>0</v>
      </c>
      <c r="BJ438" s="3">
        <f>+IF(AVANCE[[#This Row],[CIELO]]=Q$2,100%,AVANCE[[#This Row],[CIELO]])</f>
        <v>0</v>
      </c>
      <c r="BK438" s="3">
        <f>+IF(AVANCE[[#This Row],[BALCÓN]]=R$2,100%,AVANCE[[#This Row],[BALCÓN]])</f>
        <v>0</v>
      </c>
      <c r="BL438" s="3">
        <f>+IF(AVANCE[[#This Row],[RED ALCANTARILLADO]]=U$2,100%,AVANCE[[#This Row],[RED ALCANTARILLADO]])</f>
        <v>0</v>
      </c>
      <c r="BM438" s="3">
        <f>+IF(AVANCE[[#This Row],[RED DE AGUA]]=V$2,100%,AVANCE[[#This Row],[RED DE AGUA]])</f>
        <v>0</v>
      </c>
      <c r="BN438" s="3">
        <f>+IF(AVANCE[[#This Row],[VENTILACIONES]]=W$2,100%,AVANCE[[#This Row],[VENTILACIONES]])</f>
        <v>0</v>
      </c>
      <c r="BO438" s="3">
        <f>+IF(AVANCE[[#This Row],[TINA]]=X$2,100%,AVANCE[[#This Row],[TINA]])</f>
        <v>0</v>
      </c>
      <c r="BP438" s="3">
        <f>+IF(AVANCE[[#This Row],[WC]]=Y$2,100%,AVANCE[[#This Row],[WC]])</f>
        <v>0</v>
      </c>
      <c r="BQ438" s="3">
        <f>+IF(AVANCE[[#This Row],[LAVAMANOS / LAVAPLATOS / LAVADERO]]=Z$2,100%,AVANCE[[#This Row],[LAVAMANOS / LAVAPLATOS / LAVADERO]])</f>
        <v>0</v>
      </c>
      <c r="BR438" s="3">
        <f>+IF(AVANCE[[#This Row],[CANALIZACIÓN]]=AC$2,100%,AVANCE[[#This Row],[CANALIZACIÓN]])</f>
        <v>0</v>
      </c>
      <c r="BS438" s="3">
        <f>+IF(AVANCE[[#This Row],[CABLEADO]]=AD$2,100%,AVANCE[[#This Row],[CABLEADO]])</f>
        <v>0</v>
      </c>
      <c r="BT438" s="3">
        <f>+IF(AVANCE[[#This Row],[ARTEFACTOS]]=AE$2,100%,AVANCE[[#This Row],[ARTEFACTOS]])</f>
        <v>0</v>
      </c>
      <c r="BU438" s="3">
        <f>+IF(AVANCE[[#This Row],[TABLERO]]=AF$2,100%,AVANCE[[#This Row],[TABLERO]])</f>
        <v>0</v>
      </c>
      <c r="BV438" s="3">
        <f>+IF(AVANCE[[#This Row],[CAJA PAU]]=AG$2,100%,AVANCE[[#This Row],[CAJA PAU]])</f>
        <v>0</v>
      </c>
      <c r="BW438" s="3">
        <f>+IF(AVANCE[[#This Row],[INSTALACION VINILICO]]=AJ$2,100%,AVANCE[[#This Row],[INSTALACION VINILICO]])</f>
        <v>0</v>
      </c>
      <c r="BX438" s="3">
        <f>+IF(AVANCE[[#This Row],[OSB CUBIERTA]]=AK$2,100%,AVANCE[[#This Row],[OSB CUBIERTA]])</f>
        <v>0</v>
      </c>
      <c r="BY438" s="3">
        <f>+IF(AVANCE[[#This Row],[BARANDA BALCON]]=AL$2,100%,AVANCE[[#This Row],[BARANDA BALCON]])</f>
        <v>0</v>
      </c>
      <c r="BZ438" s="3">
        <f>+IF(AVANCE[[#This Row],[OSB EXTERIOR]]=AM$2,100%,AVANCE[[#This Row],[OSB EXTERIOR]])</f>
        <v>0</v>
      </c>
      <c r="CA438" s="3">
        <f>+IF(AVANCE[[#This Row],[SMART PANEL]]=AN$2,100%,AVANCE[[#This Row],[SMART PANEL]])</f>
        <v>0</v>
      </c>
      <c r="CB438" s="3">
        <f>+IF(AVANCE[[#This Row],[PINTURA EXTERIOR]]=AO$2,100%,AVANCE[[#This Row],[PINTURA EXTERIOR]])</f>
        <v>0</v>
      </c>
      <c r="CC438" s="3">
        <f>+IF(AVANCE[[#This Row],[ZOCALOS LOGIA]]=AP$2,100%,AVANCE[[#This Row],[ZOCALOS LOGIA]])</f>
        <v>0</v>
      </c>
      <c r="CD438" s="3">
        <f>+IF(AVANCE[[#This Row],[MOLDURAS]]=AQ$2,100%,AVANCE[[#This Row],[MOLDURAS]])</f>
        <v>0</v>
      </c>
      <c r="CE438" s="3">
        <f>+IF(AVANCE[[#This Row],[PILASTREO]]=AR$2,100%,AVANCE[[#This Row],[PILASTREO]])</f>
        <v>0</v>
      </c>
      <c r="CF438" s="3">
        <f>+IF(AVANCE[[#This Row],[CELOSIAS]]=AS$2,100%,AVANCE[[#This Row],[CELOSIAS]])</f>
        <v>0</v>
      </c>
      <c r="CG438" s="3">
        <f>+IF(AVANCE[[#This Row],[VENTANAS]]=AT$2,100%,AVANCE[[#This Row],[VENTANAS]])</f>
        <v>0</v>
      </c>
      <c r="CH438" s="3">
        <f>+IF(AVANCE[[#This Row],[PUERTAS ACCESO - LOGIA - BANO]]=AU$2,100%,AVANCE[[#This Row],[PUERTAS ACCESO - LOGIA - BANO]])</f>
        <v>0</v>
      </c>
      <c r="CI438" s="3">
        <f>+IF(AVANCE[[#This Row],[CERRADURAS]]=AV$2,100%,AVANCE[[#This Row],[CERRADURAS]])</f>
        <v>0</v>
      </c>
      <c r="CJ438" s="3">
        <f>+IF(AVANCE[[#This Row],[REVESTIMIENTO INTERIOR ZONA SECA]]=AW$2,100%,AVANCE[[#This Row],[REVESTIMIENTO INTERIOR ZONA SECA]])</f>
        <v>0</v>
      </c>
      <c r="CK438" s="3">
        <f>+IF(AVANCE[[#This Row],[REVESTIMIENTO INTERIOR ZONAS HUMEDAS]]=AX$2,100%,AVANCE[[#This Row],[REVESTIMIENTO INTERIOR ZONAS HUMEDAS]])</f>
        <v>0</v>
      </c>
      <c r="CL438" s="3">
        <f>+IF(AVANCE[[#This Row],[MEMBRANA CIELO]]=AY$2,100%,AVANCE[[#This Row],[MEMBRANA CIELO]])</f>
        <v>0</v>
      </c>
      <c r="CM438" s="3">
        <f>+IF(AVANCE[[#This Row],[LIMPIEZA FINAL]]=AZ$2,100%,AVANCE[[#This Row],[LIMPIEZA FINAL]])</f>
        <v>0</v>
      </c>
      <c r="CN438" s="3">
        <f>+IF(AVANCE[[#This Row],[PUERTAS DORMITORIO]]=BA$2,100%,AVANCE[[#This Row],[PUERTAS DORMITORIO]])</f>
        <v>0</v>
      </c>
      <c r="CO438" s="3">
        <f>+IF(AVANCE[[#This Row],[REVESTIMIENTO INTERIOR BANO]]=BB$2,100%,AVANCE[[#This Row],[REVESTIMIENTO INTERIOR BANO]])</f>
        <v>0</v>
      </c>
      <c r="CP438" s="3">
        <f>+IF(AVANCE[[#This Row],[MUEBLE LAVAPLATOS]]=BC$2,100%,AVANCE[[#This Row],[MUEBLE LAVAPLATOS]])</f>
        <v>0</v>
      </c>
      <c r="CQ438" s="3">
        <f>+IF(AVANCE[[#This Row],[IMPERMEABILIZACION BANO - COCINA LOGIA]]=BD$2,100%,AVANCE[[#This Row],[IMPERMEABILIZACION BANO - COCINA LOGIA]])</f>
        <v>0</v>
      </c>
      <c r="CR438" s="40">
        <f ca="1">+IF(AVANCE[[#This Row],[ESTADO MODULO]]="PENDIENTE",(TODAY()-AVANCE[[#This Row],[FECHA TERMINO  PLANIFICADO]]),0)</f>
        <v>0</v>
      </c>
      <c r="CS438" s="42" t="str" cm="1">
        <f t="array" ref="CS438">_xlfn.TEXTJOIN(" | ",TRUE,IF(SUMPRODUCT((BF438:CQ438&lt;1)*(PARTIDAS!$I$2:$AT$2="OBRA GRUESA"))&gt;0,"OBRA GRUESA: "&amp;_xlfn.TEXTJOIN(", ",TRUE,IF((BF438:CQ438&lt;1)*(PARTIDAS!$I$2:$AT$2="OBRA GRUESA"),PARTIDAS!$I$1:$AT$1,"")),""),IF(SUMPRODUCT((BF438:CQ438&lt;1)*(PARTIDAS!$I$2:$AT$2="SANITARIOS"))&gt;0,"SANITARIOS: "&amp;_xlfn.TEXTJOIN(", ",TRUE,IF((BF438:CQ438&lt;1)*(PARTIDAS!$I$2:$AT$2="SANITARIOS"),PARTIDAS!$I$1:$AT$1,"")),""),IF(SUMPRODUCT((BF438:CQ438&lt;1)*(PARTIDAS!$I$2:$AT$2="ELÉCTRICO"))&gt;0,"ELÉCTRICO: "&amp;_xlfn.TEXTJOIN(", ",TRUE,IF((BF438:CQ438&lt;1)*(PARTIDAS!$I$2:$AT$2="ELÉCTRICO"),PARTIDAS!$I$1:$AT$1,"")),""),IF(SUMPRODUCT((BF438:CQ438&lt;1)*(PARTIDAS!$I$2:$AT$2="TERMINACIONES"))&gt;0,"TERMINACIONES: "&amp;_xlfn.TEXTJOIN(", ",TRUE,IF((BF438:CQ438&lt;1)*(PARTIDAS!$I$2:$AT$2="TERMINACIONES"),PARTIDAS!$I$1:$AT$1,"")),""))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8" s="45" t="str" cm="1">
        <f t="array" ref="CT438">_xlfn.TEXTJOIN(", ",TRUE,IF(SUMPRODUCT((BF438:CQ438&lt;1)*(PARTIDAS!$I$2:$AT$2="OBRA GRUESA"))&gt;0,"OBRA GRUESA",""),IF(SUMPRODUCT((BF438:CQ438&lt;1)*(PARTIDAS!$I$2:$AT$2="SANITARIOS"))&gt;0,"SANITARIOS",""),IF(SUMPRODUCT((BF438:CQ438&lt;1)*(PARTIDAS!$I$2:$AT$2="ELÉCTRICO"))&gt;0,"ELÉCTRICO",""),IF(SUMPRODUCT((BF438:CQ438&lt;1)*(PARTIDAS!$I$2:$AT$2="TERMINACIONES"))&gt;0,"TERMINACIONES",""))</f>
        <v>OBRA GRUESA, SANITARIOS, ELÉCTRICO, TERMINACIONES</v>
      </c>
      <c r="CU438" s="46" cm="1">
        <f t="array" ref="CU438">SUMPRODUCT(--(BF438:CQ438&lt;1))</f>
        <v>38</v>
      </c>
    </row>
    <row r="439" spans="1:99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46181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 s="3" t="str">
        <f>+IF(AVANCE[[#This Row],[% AVANCE]]=100%,"MODULO TERMINADO",IF(AVANCE[[#This Row],[FECHA INICIO REAL]]="","MODULO NO INICIADO","PENDIENTE"))</f>
        <v>MODULO NO INICIADO</v>
      </c>
      <c r="BF439" s="3">
        <f>+IF(AVANCE[[#This Row],[VENTANAS]]=8.10810810810811%,100%,AVANCE[[#This Row],[VENTANAS]])</f>
        <v>0</v>
      </c>
      <c r="BG439" s="3">
        <f>+IF(AVANCE[[#This Row],[PISO]]=N$2,100%,AVANCE[[#This Row],[PISO]])</f>
        <v>0</v>
      </c>
      <c r="BH439" s="3">
        <f>+IF(AVANCE[[#This Row],[TABIQUES]]=O$2,100%,AVANCE[[#This Row],[TABIQUES]])</f>
        <v>0</v>
      </c>
      <c r="BI439" s="3">
        <f>+IF(AVANCE[[#This Row],[MUROS]]=P$2,100%,AVANCE[[#This Row],[MUROS]])</f>
        <v>0</v>
      </c>
      <c r="BJ439" s="3">
        <f>+IF(AVANCE[[#This Row],[CIELO]]=Q$2,100%,AVANCE[[#This Row],[CIELO]])</f>
        <v>0</v>
      </c>
      <c r="BK439" s="3">
        <f>+IF(AVANCE[[#This Row],[BALCÓN]]=R$2,100%,AVANCE[[#This Row],[BALCÓN]])</f>
        <v>0</v>
      </c>
      <c r="BL439" s="3">
        <f>+IF(AVANCE[[#This Row],[RED ALCANTARILLADO]]=U$2,100%,AVANCE[[#This Row],[RED ALCANTARILLADO]])</f>
        <v>0</v>
      </c>
      <c r="BM439" s="3">
        <f>+IF(AVANCE[[#This Row],[RED DE AGUA]]=V$2,100%,AVANCE[[#This Row],[RED DE AGUA]])</f>
        <v>0</v>
      </c>
      <c r="BN439" s="3">
        <f>+IF(AVANCE[[#This Row],[VENTILACIONES]]=W$2,100%,AVANCE[[#This Row],[VENTILACIONES]])</f>
        <v>0</v>
      </c>
      <c r="BO439" s="3">
        <f>+IF(AVANCE[[#This Row],[TINA]]=X$2,100%,AVANCE[[#This Row],[TINA]])</f>
        <v>0</v>
      </c>
      <c r="BP439" s="3">
        <f>+IF(AVANCE[[#This Row],[WC]]=Y$2,100%,AVANCE[[#This Row],[WC]])</f>
        <v>0</v>
      </c>
      <c r="BQ439" s="3">
        <f>+IF(AVANCE[[#This Row],[LAVAMANOS / LAVAPLATOS / LAVADERO]]=Z$2,100%,AVANCE[[#This Row],[LAVAMANOS / LAVAPLATOS / LAVADERO]])</f>
        <v>0</v>
      </c>
      <c r="BR439" s="3">
        <f>+IF(AVANCE[[#This Row],[CANALIZACIÓN]]=AC$2,100%,AVANCE[[#This Row],[CANALIZACIÓN]])</f>
        <v>0</v>
      </c>
      <c r="BS439" s="3">
        <f>+IF(AVANCE[[#This Row],[CABLEADO]]=AD$2,100%,AVANCE[[#This Row],[CABLEADO]])</f>
        <v>0</v>
      </c>
      <c r="BT439" s="3">
        <f>+IF(AVANCE[[#This Row],[ARTEFACTOS]]=AE$2,100%,AVANCE[[#This Row],[ARTEFACTOS]])</f>
        <v>0</v>
      </c>
      <c r="BU439" s="3">
        <f>+IF(AVANCE[[#This Row],[TABLERO]]=AF$2,100%,AVANCE[[#This Row],[TABLERO]])</f>
        <v>0</v>
      </c>
      <c r="BV439" s="3">
        <f>+IF(AVANCE[[#This Row],[CAJA PAU]]=AG$2,100%,AVANCE[[#This Row],[CAJA PAU]])</f>
        <v>0</v>
      </c>
      <c r="BW439" s="3">
        <f>+IF(AVANCE[[#This Row],[INSTALACION VINILICO]]=AJ$2,100%,AVANCE[[#This Row],[INSTALACION VINILICO]])</f>
        <v>0</v>
      </c>
      <c r="BX439" s="3">
        <f>+IF(AVANCE[[#This Row],[OSB CUBIERTA]]=AK$2,100%,AVANCE[[#This Row],[OSB CUBIERTA]])</f>
        <v>0</v>
      </c>
      <c r="BY439" s="3">
        <f>+IF(AVANCE[[#This Row],[BARANDA BALCON]]=AL$2,100%,AVANCE[[#This Row],[BARANDA BALCON]])</f>
        <v>0</v>
      </c>
      <c r="BZ439" s="3">
        <f>+IF(AVANCE[[#This Row],[OSB EXTERIOR]]=AM$2,100%,AVANCE[[#This Row],[OSB EXTERIOR]])</f>
        <v>0</v>
      </c>
      <c r="CA439" s="3">
        <f>+IF(AVANCE[[#This Row],[SMART PANEL]]=AN$2,100%,AVANCE[[#This Row],[SMART PANEL]])</f>
        <v>0</v>
      </c>
      <c r="CB439" s="3">
        <f>+IF(AVANCE[[#This Row],[PINTURA EXTERIOR]]=AO$2,100%,AVANCE[[#This Row],[PINTURA EXTERIOR]])</f>
        <v>0</v>
      </c>
      <c r="CC439" s="3">
        <f>+IF(AVANCE[[#This Row],[ZOCALOS LOGIA]]=AP$2,100%,AVANCE[[#This Row],[ZOCALOS LOGIA]])</f>
        <v>0</v>
      </c>
      <c r="CD439" s="3">
        <f>+IF(AVANCE[[#This Row],[MOLDURAS]]=AQ$2,100%,AVANCE[[#This Row],[MOLDURAS]])</f>
        <v>0</v>
      </c>
      <c r="CE439" s="3">
        <f>+IF(AVANCE[[#This Row],[PILASTREO]]=AR$2,100%,AVANCE[[#This Row],[PILASTREO]])</f>
        <v>0</v>
      </c>
      <c r="CF439" s="3">
        <f>+IF(AVANCE[[#This Row],[CELOSIAS]]=AS$2,100%,AVANCE[[#This Row],[CELOSIAS]])</f>
        <v>0</v>
      </c>
      <c r="CG439" s="3">
        <f>+IF(AVANCE[[#This Row],[VENTANAS]]=AT$2,100%,AVANCE[[#This Row],[VENTANAS]])</f>
        <v>0</v>
      </c>
      <c r="CH439" s="3">
        <f>+IF(AVANCE[[#This Row],[PUERTAS ACCESO - LOGIA - BANO]]=AU$2,100%,AVANCE[[#This Row],[PUERTAS ACCESO - LOGIA - BANO]])</f>
        <v>0</v>
      </c>
      <c r="CI439" s="3">
        <f>+IF(AVANCE[[#This Row],[CERRADURAS]]=AV$2,100%,AVANCE[[#This Row],[CERRADURAS]])</f>
        <v>0</v>
      </c>
      <c r="CJ439" s="3">
        <f>+IF(AVANCE[[#This Row],[REVESTIMIENTO INTERIOR ZONA SECA]]=AW$2,100%,AVANCE[[#This Row],[REVESTIMIENTO INTERIOR ZONA SECA]])</f>
        <v>0</v>
      </c>
      <c r="CK439" s="3">
        <f>+IF(AVANCE[[#This Row],[REVESTIMIENTO INTERIOR ZONAS HUMEDAS]]=AX$2,100%,AVANCE[[#This Row],[REVESTIMIENTO INTERIOR ZONAS HUMEDAS]])</f>
        <v>0</v>
      </c>
      <c r="CL439" s="3">
        <f>+IF(AVANCE[[#This Row],[MEMBRANA CIELO]]=AY$2,100%,AVANCE[[#This Row],[MEMBRANA CIELO]])</f>
        <v>0</v>
      </c>
      <c r="CM439" s="3">
        <f>+IF(AVANCE[[#This Row],[LIMPIEZA FINAL]]=AZ$2,100%,AVANCE[[#This Row],[LIMPIEZA FINAL]])</f>
        <v>0</v>
      </c>
      <c r="CN439" s="3">
        <f>+IF(AVANCE[[#This Row],[PUERTAS DORMITORIO]]=BA$2,100%,AVANCE[[#This Row],[PUERTAS DORMITORIO]])</f>
        <v>0</v>
      </c>
      <c r="CO439" s="3">
        <f>+IF(AVANCE[[#This Row],[REVESTIMIENTO INTERIOR BANO]]=BB$2,100%,AVANCE[[#This Row],[REVESTIMIENTO INTERIOR BANO]])</f>
        <v>0</v>
      </c>
      <c r="CP439" s="3">
        <f>+IF(AVANCE[[#This Row],[MUEBLE LAVAPLATOS]]=BC$2,100%,AVANCE[[#This Row],[MUEBLE LAVAPLATOS]])</f>
        <v>0</v>
      </c>
      <c r="CQ439" s="3">
        <f>+IF(AVANCE[[#This Row],[IMPERMEABILIZACION BANO - COCINA LOGIA]]=BD$2,100%,AVANCE[[#This Row],[IMPERMEABILIZACION BANO - COCINA LOGIA]])</f>
        <v>0</v>
      </c>
      <c r="CR439" s="40">
        <f ca="1">+IF(AVANCE[[#This Row],[ESTADO MODULO]]="PENDIENTE",(TODAY()-AVANCE[[#This Row],[FECHA TERMINO  PLANIFICADO]]),0)</f>
        <v>0</v>
      </c>
      <c r="CS439" s="42" t="str" cm="1">
        <f t="array" ref="CS439">_xlfn.TEXTJOIN(" | ",TRUE,IF(SUMPRODUCT((BF439:CQ439&lt;1)*(PARTIDAS!$I$2:$AT$2="OBRA GRUESA"))&gt;0,"OBRA GRUESA: "&amp;_xlfn.TEXTJOIN(", ",TRUE,IF((BF439:CQ439&lt;1)*(PARTIDAS!$I$2:$AT$2="OBRA GRUESA"),PARTIDAS!$I$1:$AT$1,"")),""),IF(SUMPRODUCT((BF439:CQ439&lt;1)*(PARTIDAS!$I$2:$AT$2="SANITARIOS"))&gt;0,"SANITARIOS: "&amp;_xlfn.TEXTJOIN(", ",TRUE,IF((BF439:CQ439&lt;1)*(PARTIDAS!$I$2:$AT$2="SANITARIOS"),PARTIDAS!$I$1:$AT$1,"")),""),IF(SUMPRODUCT((BF439:CQ439&lt;1)*(PARTIDAS!$I$2:$AT$2="ELÉCTRICO"))&gt;0,"ELÉCTRICO: "&amp;_xlfn.TEXTJOIN(", ",TRUE,IF((BF439:CQ439&lt;1)*(PARTIDAS!$I$2:$AT$2="ELÉCTRICO"),PARTIDAS!$I$1:$AT$1,"")),""),IF(SUMPRODUCT((BF439:CQ439&lt;1)*(PARTIDAS!$I$2:$AT$2="TERMINACIONES"))&gt;0,"TERMINACIONES: "&amp;_xlfn.TEXTJOIN(", ",TRUE,IF((BF439:CQ439&lt;1)*(PARTIDAS!$I$2:$AT$2="TERMINACIONES"),PARTIDAS!$I$1:$AT$1,"")),""))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39" s="45" t="str" cm="1">
        <f t="array" ref="CT439">_xlfn.TEXTJOIN(", ",TRUE,IF(SUMPRODUCT((BF439:CQ439&lt;1)*(PARTIDAS!$I$2:$AT$2="OBRA GRUESA"))&gt;0,"OBRA GRUESA",""),IF(SUMPRODUCT((BF439:CQ439&lt;1)*(PARTIDAS!$I$2:$AT$2="SANITARIOS"))&gt;0,"SANITARIOS",""),IF(SUMPRODUCT((BF439:CQ439&lt;1)*(PARTIDAS!$I$2:$AT$2="ELÉCTRICO"))&gt;0,"ELÉCTRICO",""),IF(SUMPRODUCT((BF439:CQ439&lt;1)*(PARTIDAS!$I$2:$AT$2="TERMINACIONES"))&gt;0,"TERMINACIONES",""))</f>
        <v>OBRA GRUESA, SANITARIOS, ELÉCTRICO, TERMINACIONES</v>
      </c>
      <c r="CU439" s="46" cm="1">
        <f t="array" ref="CU439">SUMPRODUCT(--(BF439:CQ439&lt;1))</f>
        <v>38</v>
      </c>
    </row>
    <row r="440" spans="1:99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46181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 s="3" t="str">
        <f>+IF(AVANCE[[#This Row],[% AVANCE]]=100%,"MODULO TERMINADO",IF(AVANCE[[#This Row],[FECHA INICIO REAL]]="","MODULO NO INICIADO","PENDIENTE"))</f>
        <v>MODULO NO INICIADO</v>
      </c>
      <c r="BF440" s="3">
        <f>+IF(AVANCE[[#This Row],[VENTANAS]]=8.10810810810811%,100%,AVANCE[[#This Row],[VENTANAS]])</f>
        <v>0</v>
      </c>
      <c r="BG440" s="3">
        <f>+IF(AVANCE[[#This Row],[PISO]]=N$2,100%,AVANCE[[#This Row],[PISO]])</f>
        <v>0</v>
      </c>
      <c r="BH440" s="3">
        <f>+IF(AVANCE[[#This Row],[TABIQUES]]=O$2,100%,AVANCE[[#This Row],[TABIQUES]])</f>
        <v>0</v>
      </c>
      <c r="BI440" s="3">
        <f>+IF(AVANCE[[#This Row],[MUROS]]=P$2,100%,AVANCE[[#This Row],[MUROS]])</f>
        <v>0</v>
      </c>
      <c r="BJ440" s="3">
        <f>+IF(AVANCE[[#This Row],[CIELO]]=Q$2,100%,AVANCE[[#This Row],[CIELO]])</f>
        <v>0</v>
      </c>
      <c r="BK440" s="3">
        <f>+IF(AVANCE[[#This Row],[BALCÓN]]=R$2,100%,AVANCE[[#This Row],[BALCÓN]])</f>
        <v>0</v>
      </c>
      <c r="BL440" s="3">
        <f>+IF(AVANCE[[#This Row],[RED ALCANTARILLADO]]=U$2,100%,AVANCE[[#This Row],[RED ALCANTARILLADO]])</f>
        <v>0</v>
      </c>
      <c r="BM440" s="3">
        <f>+IF(AVANCE[[#This Row],[RED DE AGUA]]=V$2,100%,AVANCE[[#This Row],[RED DE AGUA]])</f>
        <v>0</v>
      </c>
      <c r="BN440" s="3">
        <f>+IF(AVANCE[[#This Row],[VENTILACIONES]]=W$2,100%,AVANCE[[#This Row],[VENTILACIONES]])</f>
        <v>0</v>
      </c>
      <c r="BO440" s="3">
        <f>+IF(AVANCE[[#This Row],[TINA]]=X$2,100%,AVANCE[[#This Row],[TINA]])</f>
        <v>0</v>
      </c>
      <c r="BP440" s="3">
        <f>+IF(AVANCE[[#This Row],[WC]]=Y$2,100%,AVANCE[[#This Row],[WC]])</f>
        <v>0</v>
      </c>
      <c r="BQ440" s="3">
        <f>+IF(AVANCE[[#This Row],[LAVAMANOS / LAVAPLATOS / LAVADERO]]=Z$2,100%,AVANCE[[#This Row],[LAVAMANOS / LAVAPLATOS / LAVADERO]])</f>
        <v>0</v>
      </c>
      <c r="BR440" s="3">
        <f>+IF(AVANCE[[#This Row],[CANALIZACIÓN]]=AC$2,100%,AVANCE[[#This Row],[CANALIZACIÓN]])</f>
        <v>0</v>
      </c>
      <c r="BS440" s="3">
        <f>+IF(AVANCE[[#This Row],[CABLEADO]]=AD$2,100%,AVANCE[[#This Row],[CABLEADO]])</f>
        <v>0</v>
      </c>
      <c r="BT440" s="3">
        <f>+IF(AVANCE[[#This Row],[ARTEFACTOS]]=AE$2,100%,AVANCE[[#This Row],[ARTEFACTOS]])</f>
        <v>0</v>
      </c>
      <c r="BU440" s="3">
        <f>+IF(AVANCE[[#This Row],[TABLERO]]=AF$2,100%,AVANCE[[#This Row],[TABLERO]])</f>
        <v>0</v>
      </c>
      <c r="BV440" s="3">
        <f>+IF(AVANCE[[#This Row],[CAJA PAU]]=AG$2,100%,AVANCE[[#This Row],[CAJA PAU]])</f>
        <v>0</v>
      </c>
      <c r="BW440" s="3">
        <f>+IF(AVANCE[[#This Row],[INSTALACION VINILICO]]=AJ$2,100%,AVANCE[[#This Row],[INSTALACION VINILICO]])</f>
        <v>0</v>
      </c>
      <c r="BX440" s="3">
        <f>+IF(AVANCE[[#This Row],[OSB CUBIERTA]]=AK$2,100%,AVANCE[[#This Row],[OSB CUBIERTA]])</f>
        <v>0</v>
      </c>
      <c r="BY440" s="3">
        <f>+IF(AVANCE[[#This Row],[BARANDA BALCON]]=AL$2,100%,AVANCE[[#This Row],[BARANDA BALCON]])</f>
        <v>0</v>
      </c>
      <c r="BZ440" s="3">
        <f>+IF(AVANCE[[#This Row],[OSB EXTERIOR]]=AM$2,100%,AVANCE[[#This Row],[OSB EXTERIOR]])</f>
        <v>0</v>
      </c>
      <c r="CA440" s="3">
        <f>+IF(AVANCE[[#This Row],[SMART PANEL]]=AN$2,100%,AVANCE[[#This Row],[SMART PANEL]])</f>
        <v>0</v>
      </c>
      <c r="CB440" s="3">
        <f>+IF(AVANCE[[#This Row],[PINTURA EXTERIOR]]=AO$2,100%,AVANCE[[#This Row],[PINTURA EXTERIOR]])</f>
        <v>0</v>
      </c>
      <c r="CC440" s="3">
        <f>+IF(AVANCE[[#This Row],[ZOCALOS LOGIA]]=AP$2,100%,AVANCE[[#This Row],[ZOCALOS LOGIA]])</f>
        <v>0</v>
      </c>
      <c r="CD440" s="3">
        <f>+IF(AVANCE[[#This Row],[MOLDURAS]]=AQ$2,100%,AVANCE[[#This Row],[MOLDURAS]])</f>
        <v>0</v>
      </c>
      <c r="CE440" s="3">
        <f>+IF(AVANCE[[#This Row],[PILASTREO]]=AR$2,100%,AVANCE[[#This Row],[PILASTREO]])</f>
        <v>0</v>
      </c>
      <c r="CF440" s="3">
        <f>+IF(AVANCE[[#This Row],[CELOSIAS]]=AS$2,100%,AVANCE[[#This Row],[CELOSIAS]])</f>
        <v>0</v>
      </c>
      <c r="CG440" s="3">
        <f>+IF(AVANCE[[#This Row],[VENTANAS]]=AT$2,100%,AVANCE[[#This Row],[VENTANAS]])</f>
        <v>0</v>
      </c>
      <c r="CH440" s="3">
        <f>+IF(AVANCE[[#This Row],[PUERTAS ACCESO - LOGIA - BANO]]=AU$2,100%,AVANCE[[#This Row],[PUERTAS ACCESO - LOGIA - BANO]])</f>
        <v>0</v>
      </c>
      <c r="CI440" s="3">
        <f>+IF(AVANCE[[#This Row],[CERRADURAS]]=AV$2,100%,AVANCE[[#This Row],[CERRADURAS]])</f>
        <v>0</v>
      </c>
      <c r="CJ440" s="3">
        <f>+IF(AVANCE[[#This Row],[REVESTIMIENTO INTERIOR ZONA SECA]]=AW$2,100%,AVANCE[[#This Row],[REVESTIMIENTO INTERIOR ZONA SECA]])</f>
        <v>0</v>
      </c>
      <c r="CK440" s="3">
        <f>+IF(AVANCE[[#This Row],[REVESTIMIENTO INTERIOR ZONAS HUMEDAS]]=AX$2,100%,AVANCE[[#This Row],[REVESTIMIENTO INTERIOR ZONAS HUMEDAS]])</f>
        <v>0</v>
      </c>
      <c r="CL440" s="3">
        <f>+IF(AVANCE[[#This Row],[MEMBRANA CIELO]]=AY$2,100%,AVANCE[[#This Row],[MEMBRANA CIELO]])</f>
        <v>0</v>
      </c>
      <c r="CM440" s="3">
        <f>+IF(AVANCE[[#This Row],[LIMPIEZA FINAL]]=AZ$2,100%,AVANCE[[#This Row],[LIMPIEZA FINAL]])</f>
        <v>0</v>
      </c>
      <c r="CN440" s="3">
        <f>+IF(AVANCE[[#This Row],[PUERTAS DORMITORIO]]=BA$2,100%,AVANCE[[#This Row],[PUERTAS DORMITORIO]])</f>
        <v>0</v>
      </c>
      <c r="CO440" s="3">
        <f>+IF(AVANCE[[#This Row],[REVESTIMIENTO INTERIOR BANO]]=BB$2,100%,AVANCE[[#This Row],[REVESTIMIENTO INTERIOR BANO]])</f>
        <v>0</v>
      </c>
      <c r="CP440" s="3">
        <f>+IF(AVANCE[[#This Row],[MUEBLE LAVAPLATOS]]=BC$2,100%,AVANCE[[#This Row],[MUEBLE LAVAPLATOS]])</f>
        <v>0</v>
      </c>
      <c r="CQ440" s="3">
        <f>+IF(AVANCE[[#This Row],[IMPERMEABILIZACION BANO - COCINA LOGIA]]=BD$2,100%,AVANCE[[#This Row],[IMPERMEABILIZACION BANO - COCINA LOGIA]])</f>
        <v>0</v>
      </c>
      <c r="CR440" s="40">
        <f ca="1">+IF(AVANCE[[#This Row],[ESTADO MODULO]]="PENDIENTE",(TODAY()-AVANCE[[#This Row],[FECHA TERMINO  PLANIFICADO]]),0)</f>
        <v>0</v>
      </c>
      <c r="CS440" s="42" t="str" cm="1">
        <f t="array" ref="CS440">_xlfn.TEXTJOIN(" | ",TRUE,IF(SUMPRODUCT((BF440:CQ440&lt;1)*(PARTIDAS!$I$2:$AT$2="OBRA GRUESA"))&gt;0,"OBRA GRUESA: "&amp;_xlfn.TEXTJOIN(", ",TRUE,IF((BF440:CQ440&lt;1)*(PARTIDAS!$I$2:$AT$2="OBRA GRUESA"),PARTIDAS!$I$1:$AT$1,"")),""),IF(SUMPRODUCT((BF440:CQ440&lt;1)*(PARTIDAS!$I$2:$AT$2="SANITARIOS"))&gt;0,"SANITARIOS: "&amp;_xlfn.TEXTJOIN(", ",TRUE,IF((BF440:CQ440&lt;1)*(PARTIDAS!$I$2:$AT$2="SANITARIOS"),PARTIDAS!$I$1:$AT$1,"")),""),IF(SUMPRODUCT((BF440:CQ440&lt;1)*(PARTIDAS!$I$2:$AT$2="ELÉCTRICO"))&gt;0,"ELÉCTRICO: "&amp;_xlfn.TEXTJOIN(", ",TRUE,IF((BF440:CQ440&lt;1)*(PARTIDAS!$I$2:$AT$2="ELÉCTRICO"),PARTIDAS!$I$1:$AT$1,"")),""),IF(SUMPRODUCT((BF440:CQ440&lt;1)*(PARTIDAS!$I$2:$AT$2="TERMINACIONES"))&gt;0,"TERMINACIONES: "&amp;_xlfn.TEXTJOIN(", ",TRUE,IF((BF440:CQ440&lt;1)*(PARTIDAS!$I$2:$AT$2="TERMINACIONES"),PARTIDAS!$I$1:$AT$1,"")),""))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0" s="45" t="str" cm="1">
        <f t="array" ref="CT440">_xlfn.TEXTJOIN(", ",TRUE,IF(SUMPRODUCT((BF440:CQ440&lt;1)*(PARTIDAS!$I$2:$AT$2="OBRA GRUESA"))&gt;0,"OBRA GRUESA",""),IF(SUMPRODUCT((BF440:CQ440&lt;1)*(PARTIDAS!$I$2:$AT$2="SANITARIOS"))&gt;0,"SANITARIOS",""),IF(SUMPRODUCT((BF440:CQ440&lt;1)*(PARTIDAS!$I$2:$AT$2="ELÉCTRICO"))&gt;0,"ELÉCTRICO",""),IF(SUMPRODUCT((BF440:CQ440&lt;1)*(PARTIDAS!$I$2:$AT$2="TERMINACIONES"))&gt;0,"TERMINACIONES",""))</f>
        <v>OBRA GRUESA, SANITARIOS, ELÉCTRICO, TERMINACIONES</v>
      </c>
      <c r="CU440" s="46" cm="1">
        <f t="array" ref="CU440">SUMPRODUCT(--(BF440:CQ440&lt;1))</f>
        <v>38</v>
      </c>
    </row>
    <row r="441" spans="1:99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46181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 s="3" t="str">
        <f>+IF(AVANCE[[#This Row],[% AVANCE]]=100%,"MODULO TERMINADO",IF(AVANCE[[#This Row],[FECHA INICIO REAL]]="","MODULO NO INICIADO","PENDIENTE"))</f>
        <v>MODULO NO INICIADO</v>
      </c>
      <c r="BF441" s="3">
        <f>+IF(AVANCE[[#This Row],[VENTANAS]]=8.10810810810811%,100%,AVANCE[[#This Row],[VENTANAS]])</f>
        <v>0</v>
      </c>
      <c r="BG441" s="3">
        <f>+IF(AVANCE[[#This Row],[PISO]]=N$2,100%,AVANCE[[#This Row],[PISO]])</f>
        <v>0</v>
      </c>
      <c r="BH441" s="3">
        <f>+IF(AVANCE[[#This Row],[TABIQUES]]=O$2,100%,AVANCE[[#This Row],[TABIQUES]])</f>
        <v>0</v>
      </c>
      <c r="BI441" s="3">
        <f>+IF(AVANCE[[#This Row],[MUROS]]=P$2,100%,AVANCE[[#This Row],[MUROS]])</f>
        <v>0</v>
      </c>
      <c r="BJ441" s="3">
        <f>+IF(AVANCE[[#This Row],[CIELO]]=Q$2,100%,AVANCE[[#This Row],[CIELO]])</f>
        <v>0</v>
      </c>
      <c r="BK441" s="3">
        <f>+IF(AVANCE[[#This Row],[BALCÓN]]=R$2,100%,AVANCE[[#This Row],[BALCÓN]])</f>
        <v>0</v>
      </c>
      <c r="BL441" s="3">
        <f>+IF(AVANCE[[#This Row],[RED ALCANTARILLADO]]=U$2,100%,AVANCE[[#This Row],[RED ALCANTARILLADO]])</f>
        <v>0</v>
      </c>
      <c r="BM441" s="3">
        <f>+IF(AVANCE[[#This Row],[RED DE AGUA]]=V$2,100%,AVANCE[[#This Row],[RED DE AGUA]])</f>
        <v>0</v>
      </c>
      <c r="BN441" s="3">
        <f>+IF(AVANCE[[#This Row],[VENTILACIONES]]=W$2,100%,AVANCE[[#This Row],[VENTILACIONES]])</f>
        <v>0</v>
      </c>
      <c r="BO441" s="3">
        <f>+IF(AVANCE[[#This Row],[TINA]]=X$2,100%,AVANCE[[#This Row],[TINA]])</f>
        <v>0</v>
      </c>
      <c r="BP441" s="3">
        <f>+IF(AVANCE[[#This Row],[WC]]=Y$2,100%,AVANCE[[#This Row],[WC]])</f>
        <v>0</v>
      </c>
      <c r="BQ441" s="3">
        <f>+IF(AVANCE[[#This Row],[LAVAMANOS / LAVAPLATOS / LAVADERO]]=Z$2,100%,AVANCE[[#This Row],[LAVAMANOS / LAVAPLATOS / LAVADERO]])</f>
        <v>0</v>
      </c>
      <c r="BR441" s="3">
        <f>+IF(AVANCE[[#This Row],[CANALIZACIÓN]]=AC$2,100%,AVANCE[[#This Row],[CANALIZACIÓN]])</f>
        <v>0</v>
      </c>
      <c r="BS441" s="3">
        <f>+IF(AVANCE[[#This Row],[CABLEADO]]=AD$2,100%,AVANCE[[#This Row],[CABLEADO]])</f>
        <v>0</v>
      </c>
      <c r="BT441" s="3">
        <f>+IF(AVANCE[[#This Row],[ARTEFACTOS]]=AE$2,100%,AVANCE[[#This Row],[ARTEFACTOS]])</f>
        <v>0</v>
      </c>
      <c r="BU441" s="3">
        <f>+IF(AVANCE[[#This Row],[TABLERO]]=AF$2,100%,AVANCE[[#This Row],[TABLERO]])</f>
        <v>0</v>
      </c>
      <c r="BV441" s="3">
        <f>+IF(AVANCE[[#This Row],[CAJA PAU]]=AG$2,100%,AVANCE[[#This Row],[CAJA PAU]])</f>
        <v>0</v>
      </c>
      <c r="BW441" s="3">
        <f>+IF(AVANCE[[#This Row],[INSTALACION VINILICO]]=AJ$2,100%,AVANCE[[#This Row],[INSTALACION VINILICO]])</f>
        <v>0</v>
      </c>
      <c r="BX441" s="3">
        <f>+IF(AVANCE[[#This Row],[OSB CUBIERTA]]=AK$2,100%,AVANCE[[#This Row],[OSB CUBIERTA]])</f>
        <v>0</v>
      </c>
      <c r="BY441" s="3">
        <f>+IF(AVANCE[[#This Row],[BARANDA BALCON]]=AL$2,100%,AVANCE[[#This Row],[BARANDA BALCON]])</f>
        <v>0</v>
      </c>
      <c r="BZ441" s="3">
        <f>+IF(AVANCE[[#This Row],[OSB EXTERIOR]]=AM$2,100%,AVANCE[[#This Row],[OSB EXTERIOR]])</f>
        <v>0</v>
      </c>
      <c r="CA441" s="3">
        <f>+IF(AVANCE[[#This Row],[SMART PANEL]]=AN$2,100%,AVANCE[[#This Row],[SMART PANEL]])</f>
        <v>0</v>
      </c>
      <c r="CB441" s="3">
        <f>+IF(AVANCE[[#This Row],[PINTURA EXTERIOR]]=AO$2,100%,AVANCE[[#This Row],[PINTURA EXTERIOR]])</f>
        <v>0</v>
      </c>
      <c r="CC441" s="3">
        <f>+IF(AVANCE[[#This Row],[ZOCALOS LOGIA]]=AP$2,100%,AVANCE[[#This Row],[ZOCALOS LOGIA]])</f>
        <v>0</v>
      </c>
      <c r="CD441" s="3">
        <f>+IF(AVANCE[[#This Row],[MOLDURAS]]=AQ$2,100%,AVANCE[[#This Row],[MOLDURAS]])</f>
        <v>0</v>
      </c>
      <c r="CE441" s="3">
        <f>+IF(AVANCE[[#This Row],[PILASTREO]]=AR$2,100%,AVANCE[[#This Row],[PILASTREO]])</f>
        <v>0</v>
      </c>
      <c r="CF441" s="3">
        <f>+IF(AVANCE[[#This Row],[CELOSIAS]]=AS$2,100%,AVANCE[[#This Row],[CELOSIAS]])</f>
        <v>0</v>
      </c>
      <c r="CG441" s="3">
        <f>+IF(AVANCE[[#This Row],[VENTANAS]]=AT$2,100%,AVANCE[[#This Row],[VENTANAS]])</f>
        <v>0</v>
      </c>
      <c r="CH441" s="3">
        <f>+IF(AVANCE[[#This Row],[PUERTAS ACCESO - LOGIA - BANO]]=AU$2,100%,AVANCE[[#This Row],[PUERTAS ACCESO - LOGIA - BANO]])</f>
        <v>0</v>
      </c>
      <c r="CI441" s="3">
        <f>+IF(AVANCE[[#This Row],[CERRADURAS]]=AV$2,100%,AVANCE[[#This Row],[CERRADURAS]])</f>
        <v>0</v>
      </c>
      <c r="CJ441" s="3">
        <f>+IF(AVANCE[[#This Row],[REVESTIMIENTO INTERIOR ZONA SECA]]=AW$2,100%,AVANCE[[#This Row],[REVESTIMIENTO INTERIOR ZONA SECA]])</f>
        <v>0</v>
      </c>
      <c r="CK441" s="3">
        <f>+IF(AVANCE[[#This Row],[REVESTIMIENTO INTERIOR ZONAS HUMEDAS]]=AX$2,100%,AVANCE[[#This Row],[REVESTIMIENTO INTERIOR ZONAS HUMEDAS]])</f>
        <v>0</v>
      </c>
      <c r="CL441" s="3">
        <f>+IF(AVANCE[[#This Row],[MEMBRANA CIELO]]=AY$2,100%,AVANCE[[#This Row],[MEMBRANA CIELO]])</f>
        <v>0</v>
      </c>
      <c r="CM441" s="3">
        <f>+IF(AVANCE[[#This Row],[LIMPIEZA FINAL]]=AZ$2,100%,AVANCE[[#This Row],[LIMPIEZA FINAL]])</f>
        <v>0</v>
      </c>
      <c r="CN441" s="3">
        <f>+IF(AVANCE[[#This Row],[PUERTAS DORMITORIO]]=BA$2,100%,AVANCE[[#This Row],[PUERTAS DORMITORIO]])</f>
        <v>0</v>
      </c>
      <c r="CO441" s="3">
        <f>+IF(AVANCE[[#This Row],[REVESTIMIENTO INTERIOR BANO]]=BB$2,100%,AVANCE[[#This Row],[REVESTIMIENTO INTERIOR BANO]])</f>
        <v>0</v>
      </c>
      <c r="CP441" s="3">
        <f>+IF(AVANCE[[#This Row],[MUEBLE LAVAPLATOS]]=BC$2,100%,AVANCE[[#This Row],[MUEBLE LAVAPLATOS]])</f>
        <v>0</v>
      </c>
      <c r="CQ441" s="3">
        <f>+IF(AVANCE[[#This Row],[IMPERMEABILIZACION BANO - COCINA LOGIA]]=BD$2,100%,AVANCE[[#This Row],[IMPERMEABILIZACION BANO - COCINA LOGIA]])</f>
        <v>0</v>
      </c>
      <c r="CR441" s="40">
        <f ca="1">+IF(AVANCE[[#This Row],[ESTADO MODULO]]="PENDIENTE",(TODAY()-AVANCE[[#This Row],[FECHA TERMINO  PLANIFICADO]]),0)</f>
        <v>0</v>
      </c>
      <c r="CS441" s="42" t="str" cm="1">
        <f t="array" ref="CS441">_xlfn.TEXTJOIN(" | ",TRUE,IF(SUMPRODUCT((BF441:CQ441&lt;1)*(PARTIDAS!$I$2:$AT$2="OBRA GRUESA"))&gt;0,"OBRA GRUESA: "&amp;_xlfn.TEXTJOIN(", ",TRUE,IF((BF441:CQ441&lt;1)*(PARTIDAS!$I$2:$AT$2="OBRA GRUESA"),PARTIDAS!$I$1:$AT$1,"")),""),IF(SUMPRODUCT((BF441:CQ441&lt;1)*(PARTIDAS!$I$2:$AT$2="SANITARIOS"))&gt;0,"SANITARIOS: "&amp;_xlfn.TEXTJOIN(", ",TRUE,IF((BF441:CQ441&lt;1)*(PARTIDAS!$I$2:$AT$2="SANITARIOS"),PARTIDAS!$I$1:$AT$1,"")),""),IF(SUMPRODUCT((BF441:CQ441&lt;1)*(PARTIDAS!$I$2:$AT$2="ELÉCTRICO"))&gt;0,"ELÉCTRICO: "&amp;_xlfn.TEXTJOIN(", ",TRUE,IF((BF441:CQ441&lt;1)*(PARTIDAS!$I$2:$AT$2="ELÉCTRICO"),PARTIDAS!$I$1:$AT$1,"")),""),IF(SUMPRODUCT((BF441:CQ441&lt;1)*(PARTIDAS!$I$2:$AT$2="TERMINACIONES"))&gt;0,"TERMINACIONES: "&amp;_xlfn.TEXTJOIN(", ",TRUE,IF((BF441:CQ441&lt;1)*(PARTIDAS!$I$2:$AT$2="TERMINACIONES"),PARTIDAS!$I$1:$AT$1,"")),""))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1" s="45" t="str" cm="1">
        <f t="array" ref="CT441">_xlfn.TEXTJOIN(", ",TRUE,IF(SUMPRODUCT((BF441:CQ441&lt;1)*(PARTIDAS!$I$2:$AT$2="OBRA GRUESA"))&gt;0,"OBRA GRUESA",""),IF(SUMPRODUCT((BF441:CQ441&lt;1)*(PARTIDAS!$I$2:$AT$2="SANITARIOS"))&gt;0,"SANITARIOS",""),IF(SUMPRODUCT((BF441:CQ441&lt;1)*(PARTIDAS!$I$2:$AT$2="ELÉCTRICO"))&gt;0,"ELÉCTRICO",""),IF(SUMPRODUCT((BF441:CQ441&lt;1)*(PARTIDAS!$I$2:$AT$2="TERMINACIONES"))&gt;0,"TERMINACIONES",""))</f>
        <v>OBRA GRUESA, SANITARIOS, ELÉCTRICO, TERMINACIONES</v>
      </c>
      <c r="CU441" s="46" cm="1">
        <f t="array" ref="CU441">SUMPRODUCT(--(BF441:CQ441&lt;1))</f>
        <v>38</v>
      </c>
    </row>
    <row r="442" spans="1:99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46181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 s="3" t="str">
        <f>+IF(AVANCE[[#This Row],[% AVANCE]]=100%,"MODULO TERMINADO",IF(AVANCE[[#This Row],[FECHA INICIO REAL]]="","MODULO NO INICIADO","PENDIENTE"))</f>
        <v>MODULO NO INICIADO</v>
      </c>
      <c r="BF442" s="3">
        <f>+IF(AVANCE[[#This Row],[VENTANAS]]=8.10810810810811%,100%,AVANCE[[#This Row],[VENTANAS]])</f>
        <v>0</v>
      </c>
      <c r="BG442" s="3">
        <f>+IF(AVANCE[[#This Row],[PISO]]=N$2,100%,AVANCE[[#This Row],[PISO]])</f>
        <v>0</v>
      </c>
      <c r="BH442" s="3">
        <f>+IF(AVANCE[[#This Row],[TABIQUES]]=O$2,100%,AVANCE[[#This Row],[TABIQUES]])</f>
        <v>0</v>
      </c>
      <c r="BI442" s="3">
        <f>+IF(AVANCE[[#This Row],[MUROS]]=P$2,100%,AVANCE[[#This Row],[MUROS]])</f>
        <v>0</v>
      </c>
      <c r="BJ442" s="3">
        <f>+IF(AVANCE[[#This Row],[CIELO]]=Q$2,100%,AVANCE[[#This Row],[CIELO]])</f>
        <v>0</v>
      </c>
      <c r="BK442" s="3">
        <f>+IF(AVANCE[[#This Row],[BALCÓN]]=R$2,100%,AVANCE[[#This Row],[BALCÓN]])</f>
        <v>0</v>
      </c>
      <c r="BL442" s="3">
        <f>+IF(AVANCE[[#This Row],[RED ALCANTARILLADO]]=U$2,100%,AVANCE[[#This Row],[RED ALCANTARILLADO]])</f>
        <v>0</v>
      </c>
      <c r="BM442" s="3">
        <f>+IF(AVANCE[[#This Row],[RED DE AGUA]]=V$2,100%,AVANCE[[#This Row],[RED DE AGUA]])</f>
        <v>0</v>
      </c>
      <c r="BN442" s="3">
        <f>+IF(AVANCE[[#This Row],[VENTILACIONES]]=W$2,100%,AVANCE[[#This Row],[VENTILACIONES]])</f>
        <v>0</v>
      </c>
      <c r="BO442" s="3">
        <f>+IF(AVANCE[[#This Row],[TINA]]=X$2,100%,AVANCE[[#This Row],[TINA]])</f>
        <v>0</v>
      </c>
      <c r="BP442" s="3">
        <f>+IF(AVANCE[[#This Row],[WC]]=Y$2,100%,AVANCE[[#This Row],[WC]])</f>
        <v>0</v>
      </c>
      <c r="BQ442" s="3">
        <f>+IF(AVANCE[[#This Row],[LAVAMANOS / LAVAPLATOS / LAVADERO]]=Z$2,100%,AVANCE[[#This Row],[LAVAMANOS / LAVAPLATOS / LAVADERO]])</f>
        <v>0</v>
      </c>
      <c r="BR442" s="3">
        <f>+IF(AVANCE[[#This Row],[CANALIZACIÓN]]=AC$2,100%,AVANCE[[#This Row],[CANALIZACIÓN]])</f>
        <v>0</v>
      </c>
      <c r="BS442" s="3">
        <f>+IF(AVANCE[[#This Row],[CABLEADO]]=AD$2,100%,AVANCE[[#This Row],[CABLEADO]])</f>
        <v>0</v>
      </c>
      <c r="BT442" s="3">
        <f>+IF(AVANCE[[#This Row],[ARTEFACTOS]]=AE$2,100%,AVANCE[[#This Row],[ARTEFACTOS]])</f>
        <v>0</v>
      </c>
      <c r="BU442" s="3">
        <f>+IF(AVANCE[[#This Row],[TABLERO]]=AF$2,100%,AVANCE[[#This Row],[TABLERO]])</f>
        <v>0</v>
      </c>
      <c r="BV442" s="3">
        <f>+IF(AVANCE[[#This Row],[CAJA PAU]]=AG$2,100%,AVANCE[[#This Row],[CAJA PAU]])</f>
        <v>0</v>
      </c>
      <c r="BW442" s="3">
        <f>+IF(AVANCE[[#This Row],[INSTALACION VINILICO]]=AJ$2,100%,AVANCE[[#This Row],[INSTALACION VINILICO]])</f>
        <v>0</v>
      </c>
      <c r="BX442" s="3">
        <f>+IF(AVANCE[[#This Row],[OSB CUBIERTA]]=AK$2,100%,AVANCE[[#This Row],[OSB CUBIERTA]])</f>
        <v>0</v>
      </c>
      <c r="BY442" s="3">
        <f>+IF(AVANCE[[#This Row],[BARANDA BALCON]]=AL$2,100%,AVANCE[[#This Row],[BARANDA BALCON]])</f>
        <v>0</v>
      </c>
      <c r="BZ442" s="3">
        <f>+IF(AVANCE[[#This Row],[OSB EXTERIOR]]=AM$2,100%,AVANCE[[#This Row],[OSB EXTERIOR]])</f>
        <v>0</v>
      </c>
      <c r="CA442" s="3">
        <f>+IF(AVANCE[[#This Row],[SMART PANEL]]=AN$2,100%,AVANCE[[#This Row],[SMART PANEL]])</f>
        <v>0</v>
      </c>
      <c r="CB442" s="3">
        <f>+IF(AVANCE[[#This Row],[PINTURA EXTERIOR]]=AO$2,100%,AVANCE[[#This Row],[PINTURA EXTERIOR]])</f>
        <v>0</v>
      </c>
      <c r="CC442" s="3">
        <f>+IF(AVANCE[[#This Row],[ZOCALOS LOGIA]]=AP$2,100%,AVANCE[[#This Row],[ZOCALOS LOGIA]])</f>
        <v>0</v>
      </c>
      <c r="CD442" s="3">
        <f>+IF(AVANCE[[#This Row],[MOLDURAS]]=AQ$2,100%,AVANCE[[#This Row],[MOLDURAS]])</f>
        <v>0</v>
      </c>
      <c r="CE442" s="3">
        <f>+IF(AVANCE[[#This Row],[PILASTREO]]=AR$2,100%,AVANCE[[#This Row],[PILASTREO]])</f>
        <v>0</v>
      </c>
      <c r="CF442" s="3">
        <f>+IF(AVANCE[[#This Row],[CELOSIAS]]=AS$2,100%,AVANCE[[#This Row],[CELOSIAS]])</f>
        <v>0</v>
      </c>
      <c r="CG442" s="3">
        <f>+IF(AVANCE[[#This Row],[VENTANAS]]=AT$2,100%,AVANCE[[#This Row],[VENTANAS]])</f>
        <v>0</v>
      </c>
      <c r="CH442" s="3">
        <f>+IF(AVANCE[[#This Row],[PUERTAS ACCESO - LOGIA - BANO]]=AU$2,100%,AVANCE[[#This Row],[PUERTAS ACCESO - LOGIA - BANO]])</f>
        <v>0</v>
      </c>
      <c r="CI442" s="3">
        <f>+IF(AVANCE[[#This Row],[CERRADURAS]]=AV$2,100%,AVANCE[[#This Row],[CERRADURAS]])</f>
        <v>0</v>
      </c>
      <c r="CJ442" s="3">
        <f>+IF(AVANCE[[#This Row],[REVESTIMIENTO INTERIOR ZONA SECA]]=AW$2,100%,AVANCE[[#This Row],[REVESTIMIENTO INTERIOR ZONA SECA]])</f>
        <v>0</v>
      </c>
      <c r="CK442" s="3">
        <f>+IF(AVANCE[[#This Row],[REVESTIMIENTO INTERIOR ZONAS HUMEDAS]]=AX$2,100%,AVANCE[[#This Row],[REVESTIMIENTO INTERIOR ZONAS HUMEDAS]])</f>
        <v>0</v>
      </c>
      <c r="CL442" s="3">
        <f>+IF(AVANCE[[#This Row],[MEMBRANA CIELO]]=AY$2,100%,AVANCE[[#This Row],[MEMBRANA CIELO]])</f>
        <v>0</v>
      </c>
      <c r="CM442" s="3">
        <f>+IF(AVANCE[[#This Row],[LIMPIEZA FINAL]]=AZ$2,100%,AVANCE[[#This Row],[LIMPIEZA FINAL]])</f>
        <v>0</v>
      </c>
      <c r="CN442" s="3">
        <f>+IF(AVANCE[[#This Row],[PUERTAS DORMITORIO]]=BA$2,100%,AVANCE[[#This Row],[PUERTAS DORMITORIO]])</f>
        <v>0</v>
      </c>
      <c r="CO442" s="3">
        <f>+IF(AVANCE[[#This Row],[REVESTIMIENTO INTERIOR BANO]]=BB$2,100%,AVANCE[[#This Row],[REVESTIMIENTO INTERIOR BANO]])</f>
        <v>0</v>
      </c>
      <c r="CP442" s="3">
        <f>+IF(AVANCE[[#This Row],[MUEBLE LAVAPLATOS]]=BC$2,100%,AVANCE[[#This Row],[MUEBLE LAVAPLATOS]])</f>
        <v>0</v>
      </c>
      <c r="CQ442" s="3">
        <f>+IF(AVANCE[[#This Row],[IMPERMEABILIZACION BANO - COCINA LOGIA]]=BD$2,100%,AVANCE[[#This Row],[IMPERMEABILIZACION BANO - COCINA LOGIA]])</f>
        <v>0</v>
      </c>
      <c r="CR442" s="40">
        <f ca="1">+IF(AVANCE[[#This Row],[ESTADO MODULO]]="PENDIENTE",(TODAY()-AVANCE[[#This Row],[FECHA TERMINO  PLANIFICADO]]),0)</f>
        <v>0</v>
      </c>
      <c r="CS442" s="42" t="str" cm="1">
        <f t="array" ref="CS442">_xlfn.TEXTJOIN(" | ",TRUE,IF(SUMPRODUCT((BF442:CQ442&lt;1)*(PARTIDAS!$I$2:$AT$2="OBRA GRUESA"))&gt;0,"OBRA GRUESA: "&amp;_xlfn.TEXTJOIN(", ",TRUE,IF((BF442:CQ442&lt;1)*(PARTIDAS!$I$2:$AT$2="OBRA GRUESA"),PARTIDAS!$I$1:$AT$1,"")),""),IF(SUMPRODUCT((BF442:CQ442&lt;1)*(PARTIDAS!$I$2:$AT$2="SANITARIOS"))&gt;0,"SANITARIOS: "&amp;_xlfn.TEXTJOIN(", ",TRUE,IF((BF442:CQ442&lt;1)*(PARTIDAS!$I$2:$AT$2="SANITARIOS"),PARTIDAS!$I$1:$AT$1,"")),""),IF(SUMPRODUCT((BF442:CQ442&lt;1)*(PARTIDAS!$I$2:$AT$2="ELÉCTRICO"))&gt;0,"ELÉCTRICO: "&amp;_xlfn.TEXTJOIN(", ",TRUE,IF((BF442:CQ442&lt;1)*(PARTIDAS!$I$2:$AT$2="ELÉCTRICO"),PARTIDAS!$I$1:$AT$1,"")),""),IF(SUMPRODUCT((BF442:CQ442&lt;1)*(PARTIDAS!$I$2:$AT$2="TERMINACIONES"))&gt;0,"TERMINACIONES: "&amp;_xlfn.TEXTJOIN(", ",TRUE,IF((BF442:CQ442&lt;1)*(PARTIDAS!$I$2:$AT$2="TERMINACIONES"),PARTIDAS!$I$1:$AT$1,"")),""))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2" s="45" t="str" cm="1">
        <f t="array" ref="CT442">_xlfn.TEXTJOIN(", ",TRUE,IF(SUMPRODUCT((BF442:CQ442&lt;1)*(PARTIDAS!$I$2:$AT$2="OBRA GRUESA"))&gt;0,"OBRA GRUESA",""),IF(SUMPRODUCT((BF442:CQ442&lt;1)*(PARTIDAS!$I$2:$AT$2="SANITARIOS"))&gt;0,"SANITARIOS",""),IF(SUMPRODUCT((BF442:CQ442&lt;1)*(PARTIDAS!$I$2:$AT$2="ELÉCTRICO"))&gt;0,"ELÉCTRICO",""),IF(SUMPRODUCT((BF442:CQ442&lt;1)*(PARTIDAS!$I$2:$AT$2="TERMINACIONES"))&gt;0,"TERMINACIONES",""))</f>
        <v>OBRA GRUESA, SANITARIOS, ELÉCTRICO, TERMINACIONES</v>
      </c>
      <c r="CU442" s="46" cm="1">
        <f t="array" ref="CU442">SUMPRODUCT(--(BF442:CQ442&lt;1))</f>
        <v>38</v>
      </c>
    </row>
    <row r="443" spans="1:99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46181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 s="3" t="str">
        <f>+IF(AVANCE[[#This Row],[% AVANCE]]=100%,"MODULO TERMINADO",IF(AVANCE[[#This Row],[FECHA INICIO REAL]]="","MODULO NO INICIADO","PENDIENTE"))</f>
        <v>MODULO NO INICIADO</v>
      </c>
      <c r="BF443" s="3">
        <f>+IF(AVANCE[[#This Row],[VENTANAS]]=8.10810810810811%,100%,AVANCE[[#This Row],[VENTANAS]])</f>
        <v>0</v>
      </c>
      <c r="BG443" s="3">
        <f>+IF(AVANCE[[#This Row],[PISO]]=N$2,100%,AVANCE[[#This Row],[PISO]])</f>
        <v>0</v>
      </c>
      <c r="BH443" s="3">
        <f>+IF(AVANCE[[#This Row],[TABIQUES]]=O$2,100%,AVANCE[[#This Row],[TABIQUES]])</f>
        <v>0</v>
      </c>
      <c r="BI443" s="3">
        <f>+IF(AVANCE[[#This Row],[MUROS]]=P$2,100%,AVANCE[[#This Row],[MUROS]])</f>
        <v>0</v>
      </c>
      <c r="BJ443" s="3">
        <f>+IF(AVANCE[[#This Row],[CIELO]]=Q$2,100%,AVANCE[[#This Row],[CIELO]])</f>
        <v>0</v>
      </c>
      <c r="BK443" s="3">
        <f>+IF(AVANCE[[#This Row],[BALCÓN]]=R$2,100%,AVANCE[[#This Row],[BALCÓN]])</f>
        <v>0</v>
      </c>
      <c r="BL443" s="3">
        <f>+IF(AVANCE[[#This Row],[RED ALCANTARILLADO]]=U$2,100%,AVANCE[[#This Row],[RED ALCANTARILLADO]])</f>
        <v>0</v>
      </c>
      <c r="BM443" s="3">
        <f>+IF(AVANCE[[#This Row],[RED DE AGUA]]=V$2,100%,AVANCE[[#This Row],[RED DE AGUA]])</f>
        <v>0</v>
      </c>
      <c r="BN443" s="3">
        <f>+IF(AVANCE[[#This Row],[VENTILACIONES]]=W$2,100%,AVANCE[[#This Row],[VENTILACIONES]])</f>
        <v>0</v>
      </c>
      <c r="BO443" s="3">
        <f>+IF(AVANCE[[#This Row],[TINA]]=X$2,100%,AVANCE[[#This Row],[TINA]])</f>
        <v>0</v>
      </c>
      <c r="BP443" s="3">
        <f>+IF(AVANCE[[#This Row],[WC]]=Y$2,100%,AVANCE[[#This Row],[WC]])</f>
        <v>0</v>
      </c>
      <c r="BQ443" s="3">
        <f>+IF(AVANCE[[#This Row],[LAVAMANOS / LAVAPLATOS / LAVADERO]]=Z$2,100%,AVANCE[[#This Row],[LAVAMANOS / LAVAPLATOS / LAVADERO]])</f>
        <v>0</v>
      </c>
      <c r="BR443" s="3">
        <f>+IF(AVANCE[[#This Row],[CANALIZACIÓN]]=AC$2,100%,AVANCE[[#This Row],[CANALIZACIÓN]])</f>
        <v>0</v>
      </c>
      <c r="BS443" s="3">
        <f>+IF(AVANCE[[#This Row],[CABLEADO]]=AD$2,100%,AVANCE[[#This Row],[CABLEADO]])</f>
        <v>0</v>
      </c>
      <c r="BT443" s="3">
        <f>+IF(AVANCE[[#This Row],[ARTEFACTOS]]=AE$2,100%,AVANCE[[#This Row],[ARTEFACTOS]])</f>
        <v>0</v>
      </c>
      <c r="BU443" s="3">
        <f>+IF(AVANCE[[#This Row],[TABLERO]]=AF$2,100%,AVANCE[[#This Row],[TABLERO]])</f>
        <v>0</v>
      </c>
      <c r="BV443" s="3">
        <f>+IF(AVANCE[[#This Row],[CAJA PAU]]=AG$2,100%,AVANCE[[#This Row],[CAJA PAU]])</f>
        <v>0</v>
      </c>
      <c r="BW443" s="3">
        <f>+IF(AVANCE[[#This Row],[INSTALACION VINILICO]]=AJ$2,100%,AVANCE[[#This Row],[INSTALACION VINILICO]])</f>
        <v>0</v>
      </c>
      <c r="BX443" s="3">
        <f>+IF(AVANCE[[#This Row],[OSB CUBIERTA]]=AK$2,100%,AVANCE[[#This Row],[OSB CUBIERTA]])</f>
        <v>0</v>
      </c>
      <c r="BY443" s="3">
        <f>+IF(AVANCE[[#This Row],[BARANDA BALCON]]=AL$2,100%,AVANCE[[#This Row],[BARANDA BALCON]])</f>
        <v>0</v>
      </c>
      <c r="BZ443" s="3">
        <f>+IF(AVANCE[[#This Row],[OSB EXTERIOR]]=AM$2,100%,AVANCE[[#This Row],[OSB EXTERIOR]])</f>
        <v>0</v>
      </c>
      <c r="CA443" s="3">
        <f>+IF(AVANCE[[#This Row],[SMART PANEL]]=AN$2,100%,AVANCE[[#This Row],[SMART PANEL]])</f>
        <v>0</v>
      </c>
      <c r="CB443" s="3">
        <f>+IF(AVANCE[[#This Row],[PINTURA EXTERIOR]]=AO$2,100%,AVANCE[[#This Row],[PINTURA EXTERIOR]])</f>
        <v>0</v>
      </c>
      <c r="CC443" s="3">
        <f>+IF(AVANCE[[#This Row],[ZOCALOS LOGIA]]=AP$2,100%,AVANCE[[#This Row],[ZOCALOS LOGIA]])</f>
        <v>0</v>
      </c>
      <c r="CD443" s="3">
        <f>+IF(AVANCE[[#This Row],[MOLDURAS]]=AQ$2,100%,AVANCE[[#This Row],[MOLDURAS]])</f>
        <v>0</v>
      </c>
      <c r="CE443" s="3">
        <f>+IF(AVANCE[[#This Row],[PILASTREO]]=AR$2,100%,AVANCE[[#This Row],[PILASTREO]])</f>
        <v>0</v>
      </c>
      <c r="CF443" s="3">
        <f>+IF(AVANCE[[#This Row],[CELOSIAS]]=AS$2,100%,AVANCE[[#This Row],[CELOSIAS]])</f>
        <v>0</v>
      </c>
      <c r="CG443" s="3">
        <f>+IF(AVANCE[[#This Row],[VENTANAS]]=AT$2,100%,AVANCE[[#This Row],[VENTANAS]])</f>
        <v>0</v>
      </c>
      <c r="CH443" s="3">
        <f>+IF(AVANCE[[#This Row],[PUERTAS ACCESO - LOGIA - BANO]]=AU$2,100%,AVANCE[[#This Row],[PUERTAS ACCESO - LOGIA - BANO]])</f>
        <v>0</v>
      </c>
      <c r="CI443" s="3">
        <f>+IF(AVANCE[[#This Row],[CERRADURAS]]=AV$2,100%,AVANCE[[#This Row],[CERRADURAS]])</f>
        <v>0</v>
      </c>
      <c r="CJ443" s="3">
        <f>+IF(AVANCE[[#This Row],[REVESTIMIENTO INTERIOR ZONA SECA]]=AW$2,100%,AVANCE[[#This Row],[REVESTIMIENTO INTERIOR ZONA SECA]])</f>
        <v>0</v>
      </c>
      <c r="CK443" s="3">
        <f>+IF(AVANCE[[#This Row],[REVESTIMIENTO INTERIOR ZONAS HUMEDAS]]=AX$2,100%,AVANCE[[#This Row],[REVESTIMIENTO INTERIOR ZONAS HUMEDAS]])</f>
        <v>0</v>
      </c>
      <c r="CL443" s="3">
        <f>+IF(AVANCE[[#This Row],[MEMBRANA CIELO]]=AY$2,100%,AVANCE[[#This Row],[MEMBRANA CIELO]])</f>
        <v>0</v>
      </c>
      <c r="CM443" s="3">
        <f>+IF(AVANCE[[#This Row],[LIMPIEZA FINAL]]=AZ$2,100%,AVANCE[[#This Row],[LIMPIEZA FINAL]])</f>
        <v>0</v>
      </c>
      <c r="CN443" s="3">
        <f>+IF(AVANCE[[#This Row],[PUERTAS DORMITORIO]]=BA$2,100%,AVANCE[[#This Row],[PUERTAS DORMITORIO]])</f>
        <v>0</v>
      </c>
      <c r="CO443" s="3">
        <f>+IF(AVANCE[[#This Row],[REVESTIMIENTO INTERIOR BANO]]=BB$2,100%,AVANCE[[#This Row],[REVESTIMIENTO INTERIOR BANO]])</f>
        <v>0</v>
      </c>
      <c r="CP443" s="3">
        <f>+IF(AVANCE[[#This Row],[MUEBLE LAVAPLATOS]]=BC$2,100%,AVANCE[[#This Row],[MUEBLE LAVAPLATOS]])</f>
        <v>0</v>
      </c>
      <c r="CQ443" s="3">
        <f>+IF(AVANCE[[#This Row],[IMPERMEABILIZACION BANO - COCINA LOGIA]]=BD$2,100%,AVANCE[[#This Row],[IMPERMEABILIZACION BANO - COCINA LOGIA]])</f>
        <v>0</v>
      </c>
      <c r="CR443" s="40">
        <f ca="1">+IF(AVANCE[[#This Row],[ESTADO MODULO]]="PENDIENTE",(TODAY()-AVANCE[[#This Row],[FECHA TERMINO  PLANIFICADO]]),0)</f>
        <v>0</v>
      </c>
      <c r="CS443" s="42" t="str" cm="1">
        <f t="array" ref="CS443">_xlfn.TEXTJOIN(" | ",TRUE,IF(SUMPRODUCT((BF443:CQ443&lt;1)*(PARTIDAS!$I$2:$AT$2="OBRA GRUESA"))&gt;0,"OBRA GRUESA: "&amp;_xlfn.TEXTJOIN(", ",TRUE,IF((BF443:CQ443&lt;1)*(PARTIDAS!$I$2:$AT$2="OBRA GRUESA"),PARTIDAS!$I$1:$AT$1,"")),""),IF(SUMPRODUCT((BF443:CQ443&lt;1)*(PARTIDAS!$I$2:$AT$2="SANITARIOS"))&gt;0,"SANITARIOS: "&amp;_xlfn.TEXTJOIN(", ",TRUE,IF((BF443:CQ443&lt;1)*(PARTIDAS!$I$2:$AT$2="SANITARIOS"),PARTIDAS!$I$1:$AT$1,"")),""),IF(SUMPRODUCT((BF443:CQ443&lt;1)*(PARTIDAS!$I$2:$AT$2="ELÉCTRICO"))&gt;0,"ELÉCTRICO: "&amp;_xlfn.TEXTJOIN(", ",TRUE,IF((BF443:CQ443&lt;1)*(PARTIDAS!$I$2:$AT$2="ELÉCTRICO"),PARTIDAS!$I$1:$AT$1,"")),""),IF(SUMPRODUCT((BF443:CQ443&lt;1)*(PARTIDAS!$I$2:$AT$2="TERMINACIONES"))&gt;0,"TERMINACIONES: "&amp;_xlfn.TEXTJOIN(", ",TRUE,IF((BF443:CQ443&lt;1)*(PARTIDAS!$I$2:$AT$2="TERMINACIONES"),PARTIDAS!$I$1:$AT$1,"")),""))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3" s="45" t="str" cm="1">
        <f t="array" ref="CT443">_xlfn.TEXTJOIN(", ",TRUE,IF(SUMPRODUCT((BF443:CQ443&lt;1)*(PARTIDAS!$I$2:$AT$2="OBRA GRUESA"))&gt;0,"OBRA GRUESA",""),IF(SUMPRODUCT((BF443:CQ443&lt;1)*(PARTIDAS!$I$2:$AT$2="SANITARIOS"))&gt;0,"SANITARIOS",""),IF(SUMPRODUCT((BF443:CQ443&lt;1)*(PARTIDAS!$I$2:$AT$2="ELÉCTRICO"))&gt;0,"ELÉCTRICO",""),IF(SUMPRODUCT((BF443:CQ443&lt;1)*(PARTIDAS!$I$2:$AT$2="TERMINACIONES"))&gt;0,"TERMINACIONES",""))</f>
        <v>OBRA GRUESA, SANITARIOS, ELÉCTRICO, TERMINACIONES</v>
      </c>
      <c r="CU443" s="46" cm="1">
        <f t="array" ref="CU443">SUMPRODUCT(--(BF443:CQ443&lt;1))</f>
        <v>38</v>
      </c>
    </row>
    <row r="444" spans="1:99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46181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 s="3" t="str">
        <f>+IF(AVANCE[[#This Row],[% AVANCE]]=100%,"MODULO TERMINADO",IF(AVANCE[[#This Row],[FECHA INICIO REAL]]="","MODULO NO INICIADO","PENDIENTE"))</f>
        <v>MODULO NO INICIADO</v>
      </c>
      <c r="BF444" s="3">
        <f>+IF(AVANCE[[#This Row],[VENTANAS]]=8.10810810810811%,100%,AVANCE[[#This Row],[VENTANAS]])</f>
        <v>0</v>
      </c>
      <c r="BG444" s="3">
        <f>+IF(AVANCE[[#This Row],[PISO]]=N$2,100%,AVANCE[[#This Row],[PISO]])</f>
        <v>0</v>
      </c>
      <c r="BH444" s="3">
        <f>+IF(AVANCE[[#This Row],[TABIQUES]]=O$2,100%,AVANCE[[#This Row],[TABIQUES]])</f>
        <v>0</v>
      </c>
      <c r="BI444" s="3">
        <f>+IF(AVANCE[[#This Row],[MUROS]]=P$2,100%,AVANCE[[#This Row],[MUROS]])</f>
        <v>0</v>
      </c>
      <c r="BJ444" s="3">
        <f>+IF(AVANCE[[#This Row],[CIELO]]=Q$2,100%,AVANCE[[#This Row],[CIELO]])</f>
        <v>0</v>
      </c>
      <c r="BK444" s="3">
        <f>+IF(AVANCE[[#This Row],[BALCÓN]]=R$2,100%,AVANCE[[#This Row],[BALCÓN]])</f>
        <v>0</v>
      </c>
      <c r="BL444" s="3">
        <f>+IF(AVANCE[[#This Row],[RED ALCANTARILLADO]]=U$2,100%,AVANCE[[#This Row],[RED ALCANTARILLADO]])</f>
        <v>0</v>
      </c>
      <c r="BM444" s="3">
        <f>+IF(AVANCE[[#This Row],[RED DE AGUA]]=V$2,100%,AVANCE[[#This Row],[RED DE AGUA]])</f>
        <v>0</v>
      </c>
      <c r="BN444" s="3">
        <f>+IF(AVANCE[[#This Row],[VENTILACIONES]]=W$2,100%,AVANCE[[#This Row],[VENTILACIONES]])</f>
        <v>0</v>
      </c>
      <c r="BO444" s="3">
        <f>+IF(AVANCE[[#This Row],[TINA]]=X$2,100%,AVANCE[[#This Row],[TINA]])</f>
        <v>0</v>
      </c>
      <c r="BP444" s="3">
        <f>+IF(AVANCE[[#This Row],[WC]]=Y$2,100%,AVANCE[[#This Row],[WC]])</f>
        <v>0</v>
      </c>
      <c r="BQ444" s="3">
        <f>+IF(AVANCE[[#This Row],[LAVAMANOS / LAVAPLATOS / LAVADERO]]=Z$2,100%,AVANCE[[#This Row],[LAVAMANOS / LAVAPLATOS / LAVADERO]])</f>
        <v>0</v>
      </c>
      <c r="BR444" s="3">
        <f>+IF(AVANCE[[#This Row],[CANALIZACIÓN]]=AC$2,100%,AVANCE[[#This Row],[CANALIZACIÓN]])</f>
        <v>0</v>
      </c>
      <c r="BS444" s="3">
        <f>+IF(AVANCE[[#This Row],[CABLEADO]]=AD$2,100%,AVANCE[[#This Row],[CABLEADO]])</f>
        <v>0</v>
      </c>
      <c r="BT444" s="3">
        <f>+IF(AVANCE[[#This Row],[ARTEFACTOS]]=AE$2,100%,AVANCE[[#This Row],[ARTEFACTOS]])</f>
        <v>0</v>
      </c>
      <c r="BU444" s="3">
        <f>+IF(AVANCE[[#This Row],[TABLERO]]=AF$2,100%,AVANCE[[#This Row],[TABLERO]])</f>
        <v>0</v>
      </c>
      <c r="BV444" s="3">
        <f>+IF(AVANCE[[#This Row],[CAJA PAU]]=AG$2,100%,AVANCE[[#This Row],[CAJA PAU]])</f>
        <v>0</v>
      </c>
      <c r="BW444" s="3">
        <f>+IF(AVANCE[[#This Row],[INSTALACION VINILICO]]=AJ$2,100%,AVANCE[[#This Row],[INSTALACION VINILICO]])</f>
        <v>0</v>
      </c>
      <c r="BX444" s="3">
        <f>+IF(AVANCE[[#This Row],[OSB CUBIERTA]]=AK$2,100%,AVANCE[[#This Row],[OSB CUBIERTA]])</f>
        <v>0</v>
      </c>
      <c r="BY444" s="3">
        <f>+IF(AVANCE[[#This Row],[BARANDA BALCON]]=AL$2,100%,AVANCE[[#This Row],[BARANDA BALCON]])</f>
        <v>0</v>
      </c>
      <c r="BZ444" s="3">
        <f>+IF(AVANCE[[#This Row],[OSB EXTERIOR]]=AM$2,100%,AVANCE[[#This Row],[OSB EXTERIOR]])</f>
        <v>0</v>
      </c>
      <c r="CA444" s="3">
        <f>+IF(AVANCE[[#This Row],[SMART PANEL]]=AN$2,100%,AVANCE[[#This Row],[SMART PANEL]])</f>
        <v>0</v>
      </c>
      <c r="CB444" s="3">
        <f>+IF(AVANCE[[#This Row],[PINTURA EXTERIOR]]=AO$2,100%,AVANCE[[#This Row],[PINTURA EXTERIOR]])</f>
        <v>0</v>
      </c>
      <c r="CC444" s="3">
        <f>+IF(AVANCE[[#This Row],[ZOCALOS LOGIA]]=AP$2,100%,AVANCE[[#This Row],[ZOCALOS LOGIA]])</f>
        <v>0</v>
      </c>
      <c r="CD444" s="3">
        <f>+IF(AVANCE[[#This Row],[MOLDURAS]]=AQ$2,100%,AVANCE[[#This Row],[MOLDURAS]])</f>
        <v>0</v>
      </c>
      <c r="CE444" s="3">
        <f>+IF(AVANCE[[#This Row],[PILASTREO]]=AR$2,100%,AVANCE[[#This Row],[PILASTREO]])</f>
        <v>0</v>
      </c>
      <c r="CF444" s="3">
        <f>+IF(AVANCE[[#This Row],[CELOSIAS]]=AS$2,100%,AVANCE[[#This Row],[CELOSIAS]])</f>
        <v>0</v>
      </c>
      <c r="CG444" s="3">
        <f>+IF(AVANCE[[#This Row],[VENTANAS]]=AT$2,100%,AVANCE[[#This Row],[VENTANAS]])</f>
        <v>0</v>
      </c>
      <c r="CH444" s="3">
        <f>+IF(AVANCE[[#This Row],[PUERTAS ACCESO - LOGIA - BANO]]=AU$2,100%,AVANCE[[#This Row],[PUERTAS ACCESO - LOGIA - BANO]])</f>
        <v>0</v>
      </c>
      <c r="CI444" s="3">
        <f>+IF(AVANCE[[#This Row],[CERRADURAS]]=AV$2,100%,AVANCE[[#This Row],[CERRADURAS]])</f>
        <v>0</v>
      </c>
      <c r="CJ444" s="3">
        <f>+IF(AVANCE[[#This Row],[REVESTIMIENTO INTERIOR ZONA SECA]]=AW$2,100%,AVANCE[[#This Row],[REVESTIMIENTO INTERIOR ZONA SECA]])</f>
        <v>0</v>
      </c>
      <c r="CK444" s="3">
        <f>+IF(AVANCE[[#This Row],[REVESTIMIENTO INTERIOR ZONAS HUMEDAS]]=AX$2,100%,AVANCE[[#This Row],[REVESTIMIENTO INTERIOR ZONAS HUMEDAS]])</f>
        <v>0</v>
      </c>
      <c r="CL444" s="3">
        <f>+IF(AVANCE[[#This Row],[MEMBRANA CIELO]]=AY$2,100%,AVANCE[[#This Row],[MEMBRANA CIELO]])</f>
        <v>0</v>
      </c>
      <c r="CM444" s="3">
        <f>+IF(AVANCE[[#This Row],[LIMPIEZA FINAL]]=AZ$2,100%,AVANCE[[#This Row],[LIMPIEZA FINAL]])</f>
        <v>0</v>
      </c>
      <c r="CN444" s="3">
        <f>+IF(AVANCE[[#This Row],[PUERTAS DORMITORIO]]=BA$2,100%,AVANCE[[#This Row],[PUERTAS DORMITORIO]])</f>
        <v>0</v>
      </c>
      <c r="CO444" s="3">
        <f>+IF(AVANCE[[#This Row],[REVESTIMIENTO INTERIOR BANO]]=BB$2,100%,AVANCE[[#This Row],[REVESTIMIENTO INTERIOR BANO]])</f>
        <v>0</v>
      </c>
      <c r="CP444" s="3">
        <f>+IF(AVANCE[[#This Row],[MUEBLE LAVAPLATOS]]=BC$2,100%,AVANCE[[#This Row],[MUEBLE LAVAPLATOS]])</f>
        <v>0</v>
      </c>
      <c r="CQ444" s="3">
        <f>+IF(AVANCE[[#This Row],[IMPERMEABILIZACION BANO - COCINA LOGIA]]=BD$2,100%,AVANCE[[#This Row],[IMPERMEABILIZACION BANO - COCINA LOGIA]])</f>
        <v>0</v>
      </c>
      <c r="CR444" s="40">
        <f ca="1">+IF(AVANCE[[#This Row],[ESTADO MODULO]]="PENDIENTE",(TODAY()-AVANCE[[#This Row],[FECHA TERMINO  PLANIFICADO]]),0)</f>
        <v>0</v>
      </c>
      <c r="CS444" s="42" t="str" cm="1">
        <f t="array" ref="CS444">_xlfn.TEXTJOIN(" | ",TRUE,IF(SUMPRODUCT((BF444:CQ444&lt;1)*(PARTIDAS!$I$2:$AT$2="OBRA GRUESA"))&gt;0,"OBRA GRUESA: "&amp;_xlfn.TEXTJOIN(", ",TRUE,IF((BF444:CQ444&lt;1)*(PARTIDAS!$I$2:$AT$2="OBRA GRUESA"),PARTIDAS!$I$1:$AT$1,"")),""),IF(SUMPRODUCT((BF444:CQ444&lt;1)*(PARTIDAS!$I$2:$AT$2="SANITARIOS"))&gt;0,"SANITARIOS: "&amp;_xlfn.TEXTJOIN(", ",TRUE,IF((BF444:CQ444&lt;1)*(PARTIDAS!$I$2:$AT$2="SANITARIOS"),PARTIDAS!$I$1:$AT$1,"")),""),IF(SUMPRODUCT((BF444:CQ444&lt;1)*(PARTIDAS!$I$2:$AT$2="ELÉCTRICO"))&gt;0,"ELÉCTRICO: "&amp;_xlfn.TEXTJOIN(", ",TRUE,IF((BF444:CQ444&lt;1)*(PARTIDAS!$I$2:$AT$2="ELÉCTRICO"),PARTIDAS!$I$1:$AT$1,"")),""),IF(SUMPRODUCT((BF444:CQ444&lt;1)*(PARTIDAS!$I$2:$AT$2="TERMINACIONES"))&gt;0,"TERMINACIONES: "&amp;_xlfn.TEXTJOIN(", ",TRUE,IF((BF444:CQ444&lt;1)*(PARTIDAS!$I$2:$AT$2="TERMINACIONES"),PARTIDAS!$I$1:$AT$1,"")),""))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4" s="45" t="str" cm="1">
        <f t="array" ref="CT444">_xlfn.TEXTJOIN(", ",TRUE,IF(SUMPRODUCT((BF444:CQ444&lt;1)*(PARTIDAS!$I$2:$AT$2="OBRA GRUESA"))&gt;0,"OBRA GRUESA",""),IF(SUMPRODUCT((BF444:CQ444&lt;1)*(PARTIDAS!$I$2:$AT$2="SANITARIOS"))&gt;0,"SANITARIOS",""),IF(SUMPRODUCT((BF444:CQ444&lt;1)*(PARTIDAS!$I$2:$AT$2="ELÉCTRICO"))&gt;0,"ELÉCTRICO",""),IF(SUMPRODUCT((BF444:CQ444&lt;1)*(PARTIDAS!$I$2:$AT$2="TERMINACIONES"))&gt;0,"TERMINACIONES",""))</f>
        <v>OBRA GRUESA, SANITARIOS, ELÉCTRICO, TERMINACIONES</v>
      </c>
      <c r="CU444" s="46" cm="1">
        <f t="array" ref="CU444">SUMPRODUCT(--(BF444:CQ444&lt;1))</f>
        <v>38</v>
      </c>
    </row>
    <row r="445" spans="1:99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46181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 s="3" t="str">
        <f>+IF(AVANCE[[#This Row],[% AVANCE]]=100%,"MODULO TERMINADO",IF(AVANCE[[#This Row],[FECHA INICIO REAL]]="","MODULO NO INICIADO","PENDIENTE"))</f>
        <v>MODULO NO INICIADO</v>
      </c>
      <c r="BF445" s="3">
        <f>+IF(AVANCE[[#This Row],[VENTANAS]]=8.10810810810811%,100%,AVANCE[[#This Row],[VENTANAS]])</f>
        <v>0</v>
      </c>
      <c r="BG445" s="3">
        <f>+IF(AVANCE[[#This Row],[PISO]]=N$2,100%,AVANCE[[#This Row],[PISO]])</f>
        <v>0</v>
      </c>
      <c r="BH445" s="3">
        <f>+IF(AVANCE[[#This Row],[TABIQUES]]=O$2,100%,AVANCE[[#This Row],[TABIQUES]])</f>
        <v>0</v>
      </c>
      <c r="BI445" s="3">
        <f>+IF(AVANCE[[#This Row],[MUROS]]=P$2,100%,AVANCE[[#This Row],[MUROS]])</f>
        <v>0</v>
      </c>
      <c r="BJ445" s="3">
        <f>+IF(AVANCE[[#This Row],[CIELO]]=Q$2,100%,AVANCE[[#This Row],[CIELO]])</f>
        <v>0</v>
      </c>
      <c r="BK445" s="3">
        <f>+IF(AVANCE[[#This Row],[BALCÓN]]=R$2,100%,AVANCE[[#This Row],[BALCÓN]])</f>
        <v>0</v>
      </c>
      <c r="BL445" s="3">
        <f>+IF(AVANCE[[#This Row],[RED ALCANTARILLADO]]=U$2,100%,AVANCE[[#This Row],[RED ALCANTARILLADO]])</f>
        <v>0</v>
      </c>
      <c r="BM445" s="3">
        <f>+IF(AVANCE[[#This Row],[RED DE AGUA]]=V$2,100%,AVANCE[[#This Row],[RED DE AGUA]])</f>
        <v>0</v>
      </c>
      <c r="BN445" s="3">
        <f>+IF(AVANCE[[#This Row],[VENTILACIONES]]=W$2,100%,AVANCE[[#This Row],[VENTILACIONES]])</f>
        <v>0</v>
      </c>
      <c r="BO445" s="3">
        <f>+IF(AVANCE[[#This Row],[TINA]]=X$2,100%,AVANCE[[#This Row],[TINA]])</f>
        <v>0</v>
      </c>
      <c r="BP445" s="3">
        <f>+IF(AVANCE[[#This Row],[WC]]=Y$2,100%,AVANCE[[#This Row],[WC]])</f>
        <v>0</v>
      </c>
      <c r="BQ445" s="3">
        <f>+IF(AVANCE[[#This Row],[LAVAMANOS / LAVAPLATOS / LAVADERO]]=Z$2,100%,AVANCE[[#This Row],[LAVAMANOS / LAVAPLATOS / LAVADERO]])</f>
        <v>0</v>
      </c>
      <c r="BR445" s="3">
        <f>+IF(AVANCE[[#This Row],[CANALIZACIÓN]]=AC$2,100%,AVANCE[[#This Row],[CANALIZACIÓN]])</f>
        <v>0</v>
      </c>
      <c r="BS445" s="3">
        <f>+IF(AVANCE[[#This Row],[CABLEADO]]=AD$2,100%,AVANCE[[#This Row],[CABLEADO]])</f>
        <v>0</v>
      </c>
      <c r="BT445" s="3">
        <f>+IF(AVANCE[[#This Row],[ARTEFACTOS]]=AE$2,100%,AVANCE[[#This Row],[ARTEFACTOS]])</f>
        <v>0</v>
      </c>
      <c r="BU445" s="3">
        <f>+IF(AVANCE[[#This Row],[TABLERO]]=AF$2,100%,AVANCE[[#This Row],[TABLERO]])</f>
        <v>0</v>
      </c>
      <c r="BV445" s="3">
        <f>+IF(AVANCE[[#This Row],[CAJA PAU]]=AG$2,100%,AVANCE[[#This Row],[CAJA PAU]])</f>
        <v>0</v>
      </c>
      <c r="BW445" s="3">
        <f>+IF(AVANCE[[#This Row],[INSTALACION VINILICO]]=AJ$2,100%,AVANCE[[#This Row],[INSTALACION VINILICO]])</f>
        <v>0</v>
      </c>
      <c r="BX445" s="3">
        <f>+IF(AVANCE[[#This Row],[OSB CUBIERTA]]=AK$2,100%,AVANCE[[#This Row],[OSB CUBIERTA]])</f>
        <v>0</v>
      </c>
      <c r="BY445" s="3">
        <f>+IF(AVANCE[[#This Row],[BARANDA BALCON]]=AL$2,100%,AVANCE[[#This Row],[BARANDA BALCON]])</f>
        <v>0</v>
      </c>
      <c r="BZ445" s="3">
        <f>+IF(AVANCE[[#This Row],[OSB EXTERIOR]]=AM$2,100%,AVANCE[[#This Row],[OSB EXTERIOR]])</f>
        <v>0</v>
      </c>
      <c r="CA445" s="3">
        <f>+IF(AVANCE[[#This Row],[SMART PANEL]]=AN$2,100%,AVANCE[[#This Row],[SMART PANEL]])</f>
        <v>0</v>
      </c>
      <c r="CB445" s="3">
        <f>+IF(AVANCE[[#This Row],[PINTURA EXTERIOR]]=AO$2,100%,AVANCE[[#This Row],[PINTURA EXTERIOR]])</f>
        <v>0</v>
      </c>
      <c r="CC445" s="3">
        <f>+IF(AVANCE[[#This Row],[ZOCALOS LOGIA]]=AP$2,100%,AVANCE[[#This Row],[ZOCALOS LOGIA]])</f>
        <v>0</v>
      </c>
      <c r="CD445" s="3">
        <f>+IF(AVANCE[[#This Row],[MOLDURAS]]=AQ$2,100%,AVANCE[[#This Row],[MOLDURAS]])</f>
        <v>0</v>
      </c>
      <c r="CE445" s="3">
        <f>+IF(AVANCE[[#This Row],[PILASTREO]]=AR$2,100%,AVANCE[[#This Row],[PILASTREO]])</f>
        <v>0</v>
      </c>
      <c r="CF445" s="3">
        <f>+IF(AVANCE[[#This Row],[CELOSIAS]]=AS$2,100%,AVANCE[[#This Row],[CELOSIAS]])</f>
        <v>0</v>
      </c>
      <c r="CG445" s="3">
        <f>+IF(AVANCE[[#This Row],[VENTANAS]]=AT$2,100%,AVANCE[[#This Row],[VENTANAS]])</f>
        <v>0</v>
      </c>
      <c r="CH445" s="3">
        <f>+IF(AVANCE[[#This Row],[PUERTAS ACCESO - LOGIA - BANO]]=AU$2,100%,AVANCE[[#This Row],[PUERTAS ACCESO - LOGIA - BANO]])</f>
        <v>0</v>
      </c>
      <c r="CI445" s="3">
        <f>+IF(AVANCE[[#This Row],[CERRADURAS]]=AV$2,100%,AVANCE[[#This Row],[CERRADURAS]])</f>
        <v>0</v>
      </c>
      <c r="CJ445" s="3">
        <f>+IF(AVANCE[[#This Row],[REVESTIMIENTO INTERIOR ZONA SECA]]=AW$2,100%,AVANCE[[#This Row],[REVESTIMIENTO INTERIOR ZONA SECA]])</f>
        <v>0</v>
      </c>
      <c r="CK445" s="3">
        <f>+IF(AVANCE[[#This Row],[REVESTIMIENTO INTERIOR ZONAS HUMEDAS]]=AX$2,100%,AVANCE[[#This Row],[REVESTIMIENTO INTERIOR ZONAS HUMEDAS]])</f>
        <v>0</v>
      </c>
      <c r="CL445" s="3">
        <f>+IF(AVANCE[[#This Row],[MEMBRANA CIELO]]=AY$2,100%,AVANCE[[#This Row],[MEMBRANA CIELO]])</f>
        <v>0</v>
      </c>
      <c r="CM445" s="3">
        <f>+IF(AVANCE[[#This Row],[LIMPIEZA FINAL]]=AZ$2,100%,AVANCE[[#This Row],[LIMPIEZA FINAL]])</f>
        <v>0</v>
      </c>
      <c r="CN445" s="3">
        <f>+IF(AVANCE[[#This Row],[PUERTAS DORMITORIO]]=BA$2,100%,AVANCE[[#This Row],[PUERTAS DORMITORIO]])</f>
        <v>0</v>
      </c>
      <c r="CO445" s="3">
        <f>+IF(AVANCE[[#This Row],[REVESTIMIENTO INTERIOR BANO]]=BB$2,100%,AVANCE[[#This Row],[REVESTIMIENTO INTERIOR BANO]])</f>
        <v>0</v>
      </c>
      <c r="CP445" s="3">
        <f>+IF(AVANCE[[#This Row],[MUEBLE LAVAPLATOS]]=BC$2,100%,AVANCE[[#This Row],[MUEBLE LAVAPLATOS]])</f>
        <v>0</v>
      </c>
      <c r="CQ445" s="3">
        <f>+IF(AVANCE[[#This Row],[IMPERMEABILIZACION BANO - COCINA LOGIA]]=BD$2,100%,AVANCE[[#This Row],[IMPERMEABILIZACION BANO - COCINA LOGIA]])</f>
        <v>0</v>
      </c>
      <c r="CR445" s="40">
        <f ca="1">+IF(AVANCE[[#This Row],[ESTADO MODULO]]="PENDIENTE",(TODAY()-AVANCE[[#This Row],[FECHA TERMINO  PLANIFICADO]]),0)</f>
        <v>0</v>
      </c>
      <c r="CS445" s="42" t="str" cm="1">
        <f t="array" ref="CS445">_xlfn.TEXTJOIN(" | ",TRUE,IF(SUMPRODUCT((BF445:CQ445&lt;1)*(PARTIDAS!$I$2:$AT$2="OBRA GRUESA"))&gt;0,"OBRA GRUESA: "&amp;_xlfn.TEXTJOIN(", ",TRUE,IF((BF445:CQ445&lt;1)*(PARTIDAS!$I$2:$AT$2="OBRA GRUESA"),PARTIDAS!$I$1:$AT$1,"")),""),IF(SUMPRODUCT((BF445:CQ445&lt;1)*(PARTIDAS!$I$2:$AT$2="SANITARIOS"))&gt;0,"SANITARIOS: "&amp;_xlfn.TEXTJOIN(", ",TRUE,IF((BF445:CQ445&lt;1)*(PARTIDAS!$I$2:$AT$2="SANITARIOS"),PARTIDAS!$I$1:$AT$1,"")),""),IF(SUMPRODUCT((BF445:CQ445&lt;1)*(PARTIDAS!$I$2:$AT$2="ELÉCTRICO"))&gt;0,"ELÉCTRICO: "&amp;_xlfn.TEXTJOIN(", ",TRUE,IF((BF445:CQ445&lt;1)*(PARTIDAS!$I$2:$AT$2="ELÉCTRICO"),PARTIDAS!$I$1:$AT$1,"")),""),IF(SUMPRODUCT((BF445:CQ445&lt;1)*(PARTIDAS!$I$2:$AT$2="TERMINACIONES"))&gt;0,"TERMINACIONES: "&amp;_xlfn.TEXTJOIN(", ",TRUE,IF((BF445:CQ445&lt;1)*(PARTIDAS!$I$2:$AT$2="TERMINACIONES"),PARTIDAS!$I$1:$AT$1,"")),""))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5" s="45" t="str" cm="1">
        <f t="array" ref="CT445">_xlfn.TEXTJOIN(", ",TRUE,IF(SUMPRODUCT((BF445:CQ445&lt;1)*(PARTIDAS!$I$2:$AT$2="OBRA GRUESA"))&gt;0,"OBRA GRUESA",""),IF(SUMPRODUCT((BF445:CQ445&lt;1)*(PARTIDAS!$I$2:$AT$2="SANITARIOS"))&gt;0,"SANITARIOS",""),IF(SUMPRODUCT((BF445:CQ445&lt;1)*(PARTIDAS!$I$2:$AT$2="ELÉCTRICO"))&gt;0,"ELÉCTRICO",""),IF(SUMPRODUCT((BF445:CQ445&lt;1)*(PARTIDAS!$I$2:$AT$2="TERMINACIONES"))&gt;0,"TERMINACIONES",""))</f>
        <v>OBRA GRUESA, SANITARIOS, ELÉCTRICO, TERMINACIONES</v>
      </c>
      <c r="CU445" s="46" cm="1">
        <f t="array" ref="CU445">SUMPRODUCT(--(BF445:CQ445&lt;1))</f>
        <v>38</v>
      </c>
    </row>
    <row r="446" spans="1:99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46181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 s="3" t="str">
        <f>+IF(AVANCE[[#This Row],[% AVANCE]]=100%,"MODULO TERMINADO",IF(AVANCE[[#This Row],[FECHA INICIO REAL]]="","MODULO NO INICIADO","PENDIENTE"))</f>
        <v>MODULO NO INICIADO</v>
      </c>
      <c r="BF446" s="3">
        <f>+IF(AVANCE[[#This Row],[VENTANAS]]=8.10810810810811%,100%,AVANCE[[#This Row],[VENTANAS]])</f>
        <v>0</v>
      </c>
      <c r="BG446" s="3">
        <f>+IF(AVANCE[[#This Row],[PISO]]=N$2,100%,AVANCE[[#This Row],[PISO]])</f>
        <v>0</v>
      </c>
      <c r="BH446" s="3">
        <f>+IF(AVANCE[[#This Row],[TABIQUES]]=O$2,100%,AVANCE[[#This Row],[TABIQUES]])</f>
        <v>0</v>
      </c>
      <c r="BI446" s="3">
        <f>+IF(AVANCE[[#This Row],[MUROS]]=P$2,100%,AVANCE[[#This Row],[MUROS]])</f>
        <v>0</v>
      </c>
      <c r="BJ446" s="3">
        <f>+IF(AVANCE[[#This Row],[CIELO]]=Q$2,100%,AVANCE[[#This Row],[CIELO]])</f>
        <v>0</v>
      </c>
      <c r="BK446" s="3">
        <f>+IF(AVANCE[[#This Row],[BALCÓN]]=R$2,100%,AVANCE[[#This Row],[BALCÓN]])</f>
        <v>0</v>
      </c>
      <c r="BL446" s="3">
        <f>+IF(AVANCE[[#This Row],[RED ALCANTARILLADO]]=U$2,100%,AVANCE[[#This Row],[RED ALCANTARILLADO]])</f>
        <v>0</v>
      </c>
      <c r="BM446" s="3">
        <f>+IF(AVANCE[[#This Row],[RED DE AGUA]]=V$2,100%,AVANCE[[#This Row],[RED DE AGUA]])</f>
        <v>0</v>
      </c>
      <c r="BN446" s="3">
        <f>+IF(AVANCE[[#This Row],[VENTILACIONES]]=W$2,100%,AVANCE[[#This Row],[VENTILACIONES]])</f>
        <v>0</v>
      </c>
      <c r="BO446" s="3">
        <f>+IF(AVANCE[[#This Row],[TINA]]=X$2,100%,AVANCE[[#This Row],[TINA]])</f>
        <v>0</v>
      </c>
      <c r="BP446" s="3">
        <f>+IF(AVANCE[[#This Row],[WC]]=Y$2,100%,AVANCE[[#This Row],[WC]])</f>
        <v>0</v>
      </c>
      <c r="BQ446" s="3">
        <f>+IF(AVANCE[[#This Row],[LAVAMANOS / LAVAPLATOS / LAVADERO]]=Z$2,100%,AVANCE[[#This Row],[LAVAMANOS / LAVAPLATOS / LAVADERO]])</f>
        <v>0</v>
      </c>
      <c r="BR446" s="3">
        <f>+IF(AVANCE[[#This Row],[CANALIZACIÓN]]=AC$2,100%,AVANCE[[#This Row],[CANALIZACIÓN]])</f>
        <v>0</v>
      </c>
      <c r="BS446" s="3">
        <f>+IF(AVANCE[[#This Row],[CABLEADO]]=AD$2,100%,AVANCE[[#This Row],[CABLEADO]])</f>
        <v>0</v>
      </c>
      <c r="BT446" s="3">
        <f>+IF(AVANCE[[#This Row],[ARTEFACTOS]]=AE$2,100%,AVANCE[[#This Row],[ARTEFACTOS]])</f>
        <v>0</v>
      </c>
      <c r="BU446" s="3">
        <f>+IF(AVANCE[[#This Row],[TABLERO]]=AF$2,100%,AVANCE[[#This Row],[TABLERO]])</f>
        <v>0</v>
      </c>
      <c r="BV446" s="3">
        <f>+IF(AVANCE[[#This Row],[CAJA PAU]]=AG$2,100%,AVANCE[[#This Row],[CAJA PAU]])</f>
        <v>0</v>
      </c>
      <c r="BW446" s="3">
        <f>+IF(AVANCE[[#This Row],[INSTALACION VINILICO]]=AJ$2,100%,AVANCE[[#This Row],[INSTALACION VINILICO]])</f>
        <v>0</v>
      </c>
      <c r="BX446" s="3">
        <f>+IF(AVANCE[[#This Row],[OSB CUBIERTA]]=AK$2,100%,AVANCE[[#This Row],[OSB CUBIERTA]])</f>
        <v>0</v>
      </c>
      <c r="BY446" s="3">
        <f>+IF(AVANCE[[#This Row],[BARANDA BALCON]]=AL$2,100%,AVANCE[[#This Row],[BARANDA BALCON]])</f>
        <v>0</v>
      </c>
      <c r="BZ446" s="3">
        <f>+IF(AVANCE[[#This Row],[OSB EXTERIOR]]=AM$2,100%,AVANCE[[#This Row],[OSB EXTERIOR]])</f>
        <v>0</v>
      </c>
      <c r="CA446" s="3">
        <f>+IF(AVANCE[[#This Row],[SMART PANEL]]=AN$2,100%,AVANCE[[#This Row],[SMART PANEL]])</f>
        <v>0</v>
      </c>
      <c r="CB446" s="3">
        <f>+IF(AVANCE[[#This Row],[PINTURA EXTERIOR]]=AO$2,100%,AVANCE[[#This Row],[PINTURA EXTERIOR]])</f>
        <v>0</v>
      </c>
      <c r="CC446" s="3">
        <f>+IF(AVANCE[[#This Row],[ZOCALOS LOGIA]]=AP$2,100%,AVANCE[[#This Row],[ZOCALOS LOGIA]])</f>
        <v>0</v>
      </c>
      <c r="CD446" s="3">
        <f>+IF(AVANCE[[#This Row],[MOLDURAS]]=AQ$2,100%,AVANCE[[#This Row],[MOLDURAS]])</f>
        <v>0</v>
      </c>
      <c r="CE446" s="3">
        <f>+IF(AVANCE[[#This Row],[PILASTREO]]=AR$2,100%,AVANCE[[#This Row],[PILASTREO]])</f>
        <v>0</v>
      </c>
      <c r="CF446" s="3">
        <f>+IF(AVANCE[[#This Row],[CELOSIAS]]=AS$2,100%,AVANCE[[#This Row],[CELOSIAS]])</f>
        <v>0</v>
      </c>
      <c r="CG446" s="3">
        <f>+IF(AVANCE[[#This Row],[VENTANAS]]=AT$2,100%,AVANCE[[#This Row],[VENTANAS]])</f>
        <v>0</v>
      </c>
      <c r="CH446" s="3">
        <f>+IF(AVANCE[[#This Row],[PUERTAS ACCESO - LOGIA - BANO]]=AU$2,100%,AVANCE[[#This Row],[PUERTAS ACCESO - LOGIA - BANO]])</f>
        <v>0</v>
      </c>
      <c r="CI446" s="3">
        <f>+IF(AVANCE[[#This Row],[CERRADURAS]]=AV$2,100%,AVANCE[[#This Row],[CERRADURAS]])</f>
        <v>0</v>
      </c>
      <c r="CJ446" s="3">
        <f>+IF(AVANCE[[#This Row],[REVESTIMIENTO INTERIOR ZONA SECA]]=AW$2,100%,AVANCE[[#This Row],[REVESTIMIENTO INTERIOR ZONA SECA]])</f>
        <v>0</v>
      </c>
      <c r="CK446" s="3">
        <f>+IF(AVANCE[[#This Row],[REVESTIMIENTO INTERIOR ZONAS HUMEDAS]]=AX$2,100%,AVANCE[[#This Row],[REVESTIMIENTO INTERIOR ZONAS HUMEDAS]])</f>
        <v>0</v>
      </c>
      <c r="CL446" s="3">
        <f>+IF(AVANCE[[#This Row],[MEMBRANA CIELO]]=AY$2,100%,AVANCE[[#This Row],[MEMBRANA CIELO]])</f>
        <v>0</v>
      </c>
      <c r="CM446" s="3">
        <f>+IF(AVANCE[[#This Row],[LIMPIEZA FINAL]]=AZ$2,100%,AVANCE[[#This Row],[LIMPIEZA FINAL]])</f>
        <v>0</v>
      </c>
      <c r="CN446" s="3">
        <f>+IF(AVANCE[[#This Row],[PUERTAS DORMITORIO]]=BA$2,100%,AVANCE[[#This Row],[PUERTAS DORMITORIO]])</f>
        <v>0</v>
      </c>
      <c r="CO446" s="3">
        <f>+IF(AVANCE[[#This Row],[REVESTIMIENTO INTERIOR BANO]]=BB$2,100%,AVANCE[[#This Row],[REVESTIMIENTO INTERIOR BANO]])</f>
        <v>0</v>
      </c>
      <c r="CP446" s="3">
        <f>+IF(AVANCE[[#This Row],[MUEBLE LAVAPLATOS]]=BC$2,100%,AVANCE[[#This Row],[MUEBLE LAVAPLATOS]])</f>
        <v>0</v>
      </c>
      <c r="CQ446" s="3">
        <f>+IF(AVANCE[[#This Row],[IMPERMEABILIZACION BANO - COCINA LOGIA]]=BD$2,100%,AVANCE[[#This Row],[IMPERMEABILIZACION BANO - COCINA LOGIA]])</f>
        <v>0</v>
      </c>
      <c r="CR446" s="40">
        <f ca="1">+IF(AVANCE[[#This Row],[ESTADO MODULO]]="PENDIENTE",(TODAY()-AVANCE[[#This Row],[FECHA TERMINO  PLANIFICADO]]),0)</f>
        <v>0</v>
      </c>
      <c r="CS446" s="42" t="str" cm="1">
        <f t="array" ref="CS446">_xlfn.TEXTJOIN(" | ",TRUE,IF(SUMPRODUCT((BF446:CQ446&lt;1)*(PARTIDAS!$I$2:$AT$2="OBRA GRUESA"))&gt;0,"OBRA GRUESA: "&amp;_xlfn.TEXTJOIN(", ",TRUE,IF((BF446:CQ446&lt;1)*(PARTIDAS!$I$2:$AT$2="OBRA GRUESA"),PARTIDAS!$I$1:$AT$1,"")),""),IF(SUMPRODUCT((BF446:CQ446&lt;1)*(PARTIDAS!$I$2:$AT$2="SANITARIOS"))&gt;0,"SANITARIOS: "&amp;_xlfn.TEXTJOIN(", ",TRUE,IF((BF446:CQ446&lt;1)*(PARTIDAS!$I$2:$AT$2="SANITARIOS"),PARTIDAS!$I$1:$AT$1,"")),""),IF(SUMPRODUCT((BF446:CQ446&lt;1)*(PARTIDAS!$I$2:$AT$2="ELÉCTRICO"))&gt;0,"ELÉCTRICO: "&amp;_xlfn.TEXTJOIN(", ",TRUE,IF((BF446:CQ446&lt;1)*(PARTIDAS!$I$2:$AT$2="ELÉCTRICO"),PARTIDAS!$I$1:$AT$1,"")),""),IF(SUMPRODUCT((BF446:CQ446&lt;1)*(PARTIDAS!$I$2:$AT$2="TERMINACIONES"))&gt;0,"TERMINACIONES: "&amp;_xlfn.TEXTJOIN(", ",TRUE,IF((BF446:CQ446&lt;1)*(PARTIDAS!$I$2:$AT$2="TERMINACIONES"),PARTIDAS!$I$1:$AT$1,"")),""))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6" s="45" t="str" cm="1">
        <f t="array" ref="CT446">_xlfn.TEXTJOIN(", ",TRUE,IF(SUMPRODUCT((BF446:CQ446&lt;1)*(PARTIDAS!$I$2:$AT$2="OBRA GRUESA"))&gt;0,"OBRA GRUESA",""),IF(SUMPRODUCT((BF446:CQ446&lt;1)*(PARTIDAS!$I$2:$AT$2="SANITARIOS"))&gt;0,"SANITARIOS",""),IF(SUMPRODUCT((BF446:CQ446&lt;1)*(PARTIDAS!$I$2:$AT$2="ELÉCTRICO"))&gt;0,"ELÉCTRICO",""),IF(SUMPRODUCT((BF446:CQ446&lt;1)*(PARTIDAS!$I$2:$AT$2="TERMINACIONES"))&gt;0,"TERMINACIONES",""))</f>
        <v>OBRA GRUESA, SANITARIOS, ELÉCTRICO, TERMINACIONES</v>
      </c>
      <c r="CU446" s="46" cm="1">
        <f t="array" ref="CU446">SUMPRODUCT(--(BF446:CQ446&lt;1))</f>
        <v>38</v>
      </c>
    </row>
    <row r="447" spans="1:99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46181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 s="3" t="str">
        <f>+IF(AVANCE[[#This Row],[% AVANCE]]=100%,"MODULO TERMINADO",IF(AVANCE[[#This Row],[FECHA INICIO REAL]]="","MODULO NO INICIADO","PENDIENTE"))</f>
        <v>MODULO NO INICIADO</v>
      </c>
      <c r="BF447" s="3">
        <f>+IF(AVANCE[[#This Row],[VENTANAS]]=8.10810810810811%,100%,AVANCE[[#This Row],[VENTANAS]])</f>
        <v>0</v>
      </c>
      <c r="BG447" s="3">
        <f>+IF(AVANCE[[#This Row],[PISO]]=N$2,100%,AVANCE[[#This Row],[PISO]])</f>
        <v>0</v>
      </c>
      <c r="BH447" s="3">
        <f>+IF(AVANCE[[#This Row],[TABIQUES]]=O$2,100%,AVANCE[[#This Row],[TABIQUES]])</f>
        <v>0</v>
      </c>
      <c r="BI447" s="3">
        <f>+IF(AVANCE[[#This Row],[MUROS]]=P$2,100%,AVANCE[[#This Row],[MUROS]])</f>
        <v>0</v>
      </c>
      <c r="BJ447" s="3">
        <f>+IF(AVANCE[[#This Row],[CIELO]]=Q$2,100%,AVANCE[[#This Row],[CIELO]])</f>
        <v>0</v>
      </c>
      <c r="BK447" s="3">
        <f>+IF(AVANCE[[#This Row],[BALCÓN]]=R$2,100%,AVANCE[[#This Row],[BALCÓN]])</f>
        <v>0</v>
      </c>
      <c r="BL447" s="3">
        <f>+IF(AVANCE[[#This Row],[RED ALCANTARILLADO]]=U$2,100%,AVANCE[[#This Row],[RED ALCANTARILLADO]])</f>
        <v>0</v>
      </c>
      <c r="BM447" s="3">
        <f>+IF(AVANCE[[#This Row],[RED DE AGUA]]=V$2,100%,AVANCE[[#This Row],[RED DE AGUA]])</f>
        <v>0</v>
      </c>
      <c r="BN447" s="3">
        <f>+IF(AVANCE[[#This Row],[VENTILACIONES]]=W$2,100%,AVANCE[[#This Row],[VENTILACIONES]])</f>
        <v>0</v>
      </c>
      <c r="BO447" s="3">
        <f>+IF(AVANCE[[#This Row],[TINA]]=X$2,100%,AVANCE[[#This Row],[TINA]])</f>
        <v>0</v>
      </c>
      <c r="BP447" s="3">
        <f>+IF(AVANCE[[#This Row],[WC]]=Y$2,100%,AVANCE[[#This Row],[WC]])</f>
        <v>0</v>
      </c>
      <c r="BQ447" s="3">
        <f>+IF(AVANCE[[#This Row],[LAVAMANOS / LAVAPLATOS / LAVADERO]]=Z$2,100%,AVANCE[[#This Row],[LAVAMANOS / LAVAPLATOS / LAVADERO]])</f>
        <v>0</v>
      </c>
      <c r="BR447" s="3">
        <f>+IF(AVANCE[[#This Row],[CANALIZACIÓN]]=AC$2,100%,AVANCE[[#This Row],[CANALIZACIÓN]])</f>
        <v>0</v>
      </c>
      <c r="BS447" s="3">
        <f>+IF(AVANCE[[#This Row],[CABLEADO]]=AD$2,100%,AVANCE[[#This Row],[CABLEADO]])</f>
        <v>0</v>
      </c>
      <c r="BT447" s="3">
        <f>+IF(AVANCE[[#This Row],[ARTEFACTOS]]=AE$2,100%,AVANCE[[#This Row],[ARTEFACTOS]])</f>
        <v>0</v>
      </c>
      <c r="BU447" s="3">
        <f>+IF(AVANCE[[#This Row],[TABLERO]]=AF$2,100%,AVANCE[[#This Row],[TABLERO]])</f>
        <v>0</v>
      </c>
      <c r="BV447" s="3">
        <f>+IF(AVANCE[[#This Row],[CAJA PAU]]=AG$2,100%,AVANCE[[#This Row],[CAJA PAU]])</f>
        <v>0</v>
      </c>
      <c r="BW447" s="3">
        <f>+IF(AVANCE[[#This Row],[INSTALACION VINILICO]]=AJ$2,100%,AVANCE[[#This Row],[INSTALACION VINILICO]])</f>
        <v>0</v>
      </c>
      <c r="BX447" s="3">
        <f>+IF(AVANCE[[#This Row],[OSB CUBIERTA]]=AK$2,100%,AVANCE[[#This Row],[OSB CUBIERTA]])</f>
        <v>0</v>
      </c>
      <c r="BY447" s="3">
        <f>+IF(AVANCE[[#This Row],[BARANDA BALCON]]=AL$2,100%,AVANCE[[#This Row],[BARANDA BALCON]])</f>
        <v>0</v>
      </c>
      <c r="BZ447" s="3">
        <f>+IF(AVANCE[[#This Row],[OSB EXTERIOR]]=AM$2,100%,AVANCE[[#This Row],[OSB EXTERIOR]])</f>
        <v>0</v>
      </c>
      <c r="CA447" s="3">
        <f>+IF(AVANCE[[#This Row],[SMART PANEL]]=AN$2,100%,AVANCE[[#This Row],[SMART PANEL]])</f>
        <v>0</v>
      </c>
      <c r="CB447" s="3">
        <f>+IF(AVANCE[[#This Row],[PINTURA EXTERIOR]]=AO$2,100%,AVANCE[[#This Row],[PINTURA EXTERIOR]])</f>
        <v>0</v>
      </c>
      <c r="CC447" s="3">
        <f>+IF(AVANCE[[#This Row],[ZOCALOS LOGIA]]=AP$2,100%,AVANCE[[#This Row],[ZOCALOS LOGIA]])</f>
        <v>0</v>
      </c>
      <c r="CD447" s="3">
        <f>+IF(AVANCE[[#This Row],[MOLDURAS]]=AQ$2,100%,AVANCE[[#This Row],[MOLDURAS]])</f>
        <v>0</v>
      </c>
      <c r="CE447" s="3">
        <f>+IF(AVANCE[[#This Row],[PILASTREO]]=AR$2,100%,AVANCE[[#This Row],[PILASTREO]])</f>
        <v>0</v>
      </c>
      <c r="CF447" s="3">
        <f>+IF(AVANCE[[#This Row],[CELOSIAS]]=AS$2,100%,AVANCE[[#This Row],[CELOSIAS]])</f>
        <v>0</v>
      </c>
      <c r="CG447" s="3">
        <f>+IF(AVANCE[[#This Row],[VENTANAS]]=AT$2,100%,AVANCE[[#This Row],[VENTANAS]])</f>
        <v>0</v>
      </c>
      <c r="CH447" s="3">
        <f>+IF(AVANCE[[#This Row],[PUERTAS ACCESO - LOGIA - BANO]]=AU$2,100%,AVANCE[[#This Row],[PUERTAS ACCESO - LOGIA - BANO]])</f>
        <v>0</v>
      </c>
      <c r="CI447" s="3">
        <f>+IF(AVANCE[[#This Row],[CERRADURAS]]=AV$2,100%,AVANCE[[#This Row],[CERRADURAS]])</f>
        <v>0</v>
      </c>
      <c r="CJ447" s="3">
        <f>+IF(AVANCE[[#This Row],[REVESTIMIENTO INTERIOR ZONA SECA]]=AW$2,100%,AVANCE[[#This Row],[REVESTIMIENTO INTERIOR ZONA SECA]])</f>
        <v>0</v>
      </c>
      <c r="CK447" s="3">
        <f>+IF(AVANCE[[#This Row],[REVESTIMIENTO INTERIOR ZONAS HUMEDAS]]=AX$2,100%,AVANCE[[#This Row],[REVESTIMIENTO INTERIOR ZONAS HUMEDAS]])</f>
        <v>0</v>
      </c>
      <c r="CL447" s="3">
        <f>+IF(AVANCE[[#This Row],[MEMBRANA CIELO]]=AY$2,100%,AVANCE[[#This Row],[MEMBRANA CIELO]])</f>
        <v>0</v>
      </c>
      <c r="CM447" s="3">
        <f>+IF(AVANCE[[#This Row],[LIMPIEZA FINAL]]=AZ$2,100%,AVANCE[[#This Row],[LIMPIEZA FINAL]])</f>
        <v>0</v>
      </c>
      <c r="CN447" s="3">
        <f>+IF(AVANCE[[#This Row],[PUERTAS DORMITORIO]]=BA$2,100%,AVANCE[[#This Row],[PUERTAS DORMITORIO]])</f>
        <v>0</v>
      </c>
      <c r="CO447" s="3">
        <f>+IF(AVANCE[[#This Row],[REVESTIMIENTO INTERIOR BANO]]=BB$2,100%,AVANCE[[#This Row],[REVESTIMIENTO INTERIOR BANO]])</f>
        <v>0</v>
      </c>
      <c r="CP447" s="3">
        <f>+IF(AVANCE[[#This Row],[MUEBLE LAVAPLATOS]]=BC$2,100%,AVANCE[[#This Row],[MUEBLE LAVAPLATOS]])</f>
        <v>0</v>
      </c>
      <c r="CQ447" s="3">
        <f>+IF(AVANCE[[#This Row],[IMPERMEABILIZACION BANO - COCINA LOGIA]]=BD$2,100%,AVANCE[[#This Row],[IMPERMEABILIZACION BANO - COCINA LOGIA]])</f>
        <v>0</v>
      </c>
      <c r="CR447" s="40">
        <f ca="1">+IF(AVANCE[[#This Row],[ESTADO MODULO]]="PENDIENTE",(TODAY()-AVANCE[[#This Row],[FECHA TERMINO  PLANIFICADO]]),0)</f>
        <v>0</v>
      </c>
      <c r="CS447" s="42" t="str" cm="1">
        <f t="array" ref="CS447">_xlfn.TEXTJOIN(" | ",TRUE,IF(SUMPRODUCT((BF447:CQ447&lt;1)*(PARTIDAS!$I$2:$AT$2="OBRA GRUESA"))&gt;0,"OBRA GRUESA: "&amp;_xlfn.TEXTJOIN(", ",TRUE,IF((BF447:CQ447&lt;1)*(PARTIDAS!$I$2:$AT$2="OBRA GRUESA"),PARTIDAS!$I$1:$AT$1,"")),""),IF(SUMPRODUCT((BF447:CQ447&lt;1)*(PARTIDAS!$I$2:$AT$2="SANITARIOS"))&gt;0,"SANITARIOS: "&amp;_xlfn.TEXTJOIN(", ",TRUE,IF((BF447:CQ447&lt;1)*(PARTIDAS!$I$2:$AT$2="SANITARIOS"),PARTIDAS!$I$1:$AT$1,"")),""),IF(SUMPRODUCT((BF447:CQ447&lt;1)*(PARTIDAS!$I$2:$AT$2="ELÉCTRICO"))&gt;0,"ELÉCTRICO: "&amp;_xlfn.TEXTJOIN(", ",TRUE,IF((BF447:CQ447&lt;1)*(PARTIDAS!$I$2:$AT$2="ELÉCTRICO"),PARTIDAS!$I$1:$AT$1,"")),""),IF(SUMPRODUCT((BF447:CQ447&lt;1)*(PARTIDAS!$I$2:$AT$2="TERMINACIONES"))&gt;0,"TERMINACIONES: "&amp;_xlfn.TEXTJOIN(", ",TRUE,IF((BF447:CQ447&lt;1)*(PARTIDAS!$I$2:$AT$2="TERMINACIONES"),PARTIDAS!$I$1:$AT$1,"")),""))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7" s="45" t="str" cm="1">
        <f t="array" ref="CT447">_xlfn.TEXTJOIN(", ",TRUE,IF(SUMPRODUCT((BF447:CQ447&lt;1)*(PARTIDAS!$I$2:$AT$2="OBRA GRUESA"))&gt;0,"OBRA GRUESA",""),IF(SUMPRODUCT((BF447:CQ447&lt;1)*(PARTIDAS!$I$2:$AT$2="SANITARIOS"))&gt;0,"SANITARIOS",""),IF(SUMPRODUCT((BF447:CQ447&lt;1)*(PARTIDAS!$I$2:$AT$2="ELÉCTRICO"))&gt;0,"ELÉCTRICO",""),IF(SUMPRODUCT((BF447:CQ447&lt;1)*(PARTIDAS!$I$2:$AT$2="TERMINACIONES"))&gt;0,"TERMINACIONES",""))</f>
        <v>OBRA GRUESA, SANITARIOS, ELÉCTRICO, TERMINACIONES</v>
      </c>
      <c r="CU447" s="46" cm="1">
        <f t="array" ref="CU447">SUMPRODUCT(--(BF447:CQ447&lt;1))</f>
        <v>38</v>
      </c>
    </row>
    <row r="448" spans="1:99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46181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 s="3" t="str">
        <f>+IF(AVANCE[[#This Row],[% AVANCE]]=100%,"MODULO TERMINADO",IF(AVANCE[[#This Row],[FECHA INICIO REAL]]="","MODULO NO INICIADO","PENDIENTE"))</f>
        <v>MODULO NO INICIADO</v>
      </c>
      <c r="BF448" s="3">
        <f>+IF(AVANCE[[#This Row],[VENTANAS]]=8.10810810810811%,100%,AVANCE[[#This Row],[VENTANAS]])</f>
        <v>0</v>
      </c>
      <c r="BG448" s="3">
        <f>+IF(AVANCE[[#This Row],[PISO]]=N$2,100%,AVANCE[[#This Row],[PISO]])</f>
        <v>0</v>
      </c>
      <c r="BH448" s="3">
        <f>+IF(AVANCE[[#This Row],[TABIQUES]]=O$2,100%,AVANCE[[#This Row],[TABIQUES]])</f>
        <v>0</v>
      </c>
      <c r="BI448" s="3">
        <f>+IF(AVANCE[[#This Row],[MUROS]]=P$2,100%,AVANCE[[#This Row],[MUROS]])</f>
        <v>0</v>
      </c>
      <c r="BJ448" s="3">
        <f>+IF(AVANCE[[#This Row],[CIELO]]=Q$2,100%,AVANCE[[#This Row],[CIELO]])</f>
        <v>0</v>
      </c>
      <c r="BK448" s="3">
        <f>+IF(AVANCE[[#This Row],[BALCÓN]]=R$2,100%,AVANCE[[#This Row],[BALCÓN]])</f>
        <v>0</v>
      </c>
      <c r="BL448" s="3">
        <f>+IF(AVANCE[[#This Row],[RED ALCANTARILLADO]]=U$2,100%,AVANCE[[#This Row],[RED ALCANTARILLADO]])</f>
        <v>0</v>
      </c>
      <c r="BM448" s="3">
        <f>+IF(AVANCE[[#This Row],[RED DE AGUA]]=V$2,100%,AVANCE[[#This Row],[RED DE AGUA]])</f>
        <v>0</v>
      </c>
      <c r="BN448" s="3">
        <f>+IF(AVANCE[[#This Row],[VENTILACIONES]]=W$2,100%,AVANCE[[#This Row],[VENTILACIONES]])</f>
        <v>0</v>
      </c>
      <c r="BO448" s="3">
        <f>+IF(AVANCE[[#This Row],[TINA]]=X$2,100%,AVANCE[[#This Row],[TINA]])</f>
        <v>0</v>
      </c>
      <c r="BP448" s="3">
        <f>+IF(AVANCE[[#This Row],[WC]]=Y$2,100%,AVANCE[[#This Row],[WC]])</f>
        <v>0</v>
      </c>
      <c r="BQ448" s="3">
        <f>+IF(AVANCE[[#This Row],[LAVAMANOS / LAVAPLATOS / LAVADERO]]=Z$2,100%,AVANCE[[#This Row],[LAVAMANOS / LAVAPLATOS / LAVADERO]])</f>
        <v>0</v>
      </c>
      <c r="BR448" s="3">
        <f>+IF(AVANCE[[#This Row],[CANALIZACIÓN]]=AC$2,100%,AVANCE[[#This Row],[CANALIZACIÓN]])</f>
        <v>0</v>
      </c>
      <c r="BS448" s="3">
        <f>+IF(AVANCE[[#This Row],[CABLEADO]]=AD$2,100%,AVANCE[[#This Row],[CABLEADO]])</f>
        <v>0</v>
      </c>
      <c r="BT448" s="3">
        <f>+IF(AVANCE[[#This Row],[ARTEFACTOS]]=AE$2,100%,AVANCE[[#This Row],[ARTEFACTOS]])</f>
        <v>0</v>
      </c>
      <c r="BU448" s="3">
        <f>+IF(AVANCE[[#This Row],[TABLERO]]=AF$2,100%,AVANCE[[#This Row],[TABLERO]])</f>
        <v>0</v>
      </c>
      <c r="BV448" s="3">
        <f>+IF(AVANCE[[#This Row],[CAJA PAU]]=AG$2,100%,AVANCE[[#This Row],[CAJA PAU]])</f>
        <v>0</v>
      </c>
      <c r="BW448" s="3">
        <f>+IF(AVANCE[[#This Row],[INSTALACION VINILICO]]=AJ$2,100%,AVANCE[[#This Row],[INSTALACION VINILICO]])</f>
        <v>0</v>
      </c>
      <c r="BX448" s="3">
        <f>+IF(AVANCE[[#This Row],[OSB CUBIERTA]]=AK$2,100%,AVANCE[[#This Row],[OSB CUBIERTA]])</f>
        <v>0</v>
      </c>
      <c r="BY448" s="3">
        <f>+IF(AVANCE[[#This Row],[BARANDA BALCON]]=AL$2,100%,AVANCE[[#This Row],[BARANDA BALCON]])</f>
        <v>0</v>
      </c>
      <c r="BZ448" s="3">
        <f>+IF(AVANCE[[#This Row],[OSB EXTERIOR]]=AM$2,100%,AVANCE[[#This Row],[OSB EXTERIOR]])</f>
        <v>0</v>
      </c>
      <c r="CA448" s="3">
        <f>+IF(AVANCE[[#This Row],[SMART PANEL]]=AN$2,100%,AVANCE[[#This Row],[SMART PANEL]])</f>
        <v>0</v>
      </c>
      <c r="CB448" s="3">
        <f>+IF(AVANCE[[#This Row],[PINTURA EXTERIOR]]=AO$2,100%,AVANCE[[#This Row],[PINTURA EXTERIOR]])</f>
        <v>0</v>
      </c>
      <c r="CC448" s="3">
        <f>+IF(AVANCE[[#This Row],[ZOCALOS LOGIA]]=AP$2,100%,AVANCE[[#This Row],[ZOCALOS LOGIA]])</f>
        <v>0</v>
      </c>
      <c r="CD448" s="3">
        <f>+IF(AVANCE[[#This Row],[MOLDURAS]]=AQ$2,100%,AVANCE[[#This Row],[MOLDURAS]])</f>
        <v>0</v>
      </c>
      <c r="CE448" s="3">
        <f>+IF(AVANCE[[#This Row],[PILASTREO]]=AR$2,100%,AVANCE[[#This Row],[PILASTREO]])</f>
        <v>0</v>
      </c>
      <c r="CF448" s="3">
        <f>+IF(AVANCE[[#This Row],[CELOSIAS]]=AS$2,100%,AVANCE[[#This Row],[CELOSIAS]])</f>
        <v>0</v>
      </c>
      <c r="CG448" s="3">
        <f>+IF(AVANCE[[#This Row],[VENTANAS]]=AT$2,100%,AVANCE[[#This Row],[VENTANAS]])</f>
        <v>0</v>
      </c>
      <c r="CH448" s="3">
        <f>+IF(AVANCE[[#This Row],[PUERTAS ACCESO - LOGIA - BANO]]=AU$2,100%,AVANCE[[#This Row],[PUERTAS ACCESO - LOGIA - BANO]])</f>
        <v>0</v>
      </c>
      <c r="CI448" s="3">
        <f>+IF(AVANCE[[#This Row],[CERRADURAS]]=AV$2,100%,AVANCE[[#This Row],[CERRADURAS]])</f>
        <v>0</v>
      </c>
      <c r="CJ448" s="3">
        <f>+IF(AVANCE[[#This Row],[REVESTIMIENTO INTERIOR ZONA SECA]]=AW$2,100%,AVANCE[[#This Row],[REVESTIMIENTO INTERIOR ZONA SECA]])</f>
        <v>0</v>
      </c>
      <c r="CK448" s="3">
        <f>+IF(AVANCE[[#This Row],[REVESTIMIENTO INTERIOR ZONAS HUMEDAS]]=AX$2,100%,AVANCE[[#This Row],[REVESTIMIENTO INTERIOR ZONAS HUMEDAS]])</f>
        <v>0</v>
      </c>
      <c r="CL448" s="3">
        <f>+IF(AVANCE[[#This Row],[MEMBRANA CIELO]]=AY$2,100%,AVANCE[[#This Row],[MEMBRANA CIELO]])</f>
        <v>0</v>
      </c>
      <c r="CM448" s="3">
        <f>+IF(AVANCE[[#This Row],[LIMPIEZA FINAL]]=AZ$2,100%,AVANCE[[#This Row],[LIMPIEZA FINAL]])</f>
        <v>0</v>
      </c>
      <c r="CN448" s="3">
        <f>+IF(AVANCE[[#This Row],[PUERTAS DORMITORIO]]=BA$2,100%,AVANCE[[#This Row],[PUERTAS DORMITORIO]])</f>
        <v>0</v>
      </c>
      <c r="CO448" s="3">
        <f>+IF(AVANCE[[#This Row],[REVESTIMIENTO INTERIOR BANO]]=BB$2,100%,AVANCE[[#This Row],[REVESTIMIENTO INTERIOR BANO]])</f>
        <v>0</v>
      </c>
      <c r="CP448" s="3">
        <f>+IF(AVANCE[[#This Row],[MUEBLE LAVAPLATOS]]=BC$2,100%,AVANCE[[#This Row],[MUEBLE LAVAPLATOS]])</f>
        <v>0</v>
      </c>
      <c r="CQ448" s="3">
        <f>+IF(AVANCE[[#This Row],[IMPERMEABILIZACION BANO - COCINA LOGIA]]=BD$2,100%,AVANCE[[#This Row],[IMPERMEABILIZACION BANO - COCINA LOGIA]])</f>
        <v>0</v>
      </c>
      <c r="CR448" s="40">
        <f ca="1">+IF(AVANCE[[#This Row],[ESTADO MODULO]]="PENDIENTE",(TODAY()-AVANCE[[#This Row],[FECHA TERMINO  PLANIFICADO]]),0)</f>
        <v>0</v>
      </c>
      <c r="CS448" s="42" t="str" cm="1">
        <f t="array" ref="CS448">_xlfn.TEXTJOIN(" | ",TRUE,IF(SUMPRODUCT((BF448:CQ448&lt;1)*(PARTIDAS!$I$2:$AT$2="OBRA GRUESA"))&gt;0,"OBRA GRUESA: "&amp;_xlfn.TEXTJOIN(", ",TRUE,IF((BF448:CQ448&lt;1)*(PARTIDAS!$I$2:$AT$2="OBRA GRUESA"),PARTIDAS!$I$1:$AT$1,"")),""),IF(SUMPRODUCT((BF448:CQ448&lt;1)*(PARTIDAS!$I$2:$AT$2="SANITARIOS"))&gt;0,"SANITARIOS: "&amp;_xlfn.TEXTJOIN(", ",TRUE,IF((BF448:CQ448&lt;1)*(PARTIDAS!$I$2:$AT$2="SANITARIOS"),PARTIDAS!$I$1:$AT$1,"")),""),IF(SUMPRODUCT((BF448:CQ448&lt;1)*(PARTIDAS!$I$2:$AT$2="ELÉCTRICO"))&gt;0,"ELÉCTRICO: "&amp;_xlfn.TEXTJOIN(", ",TRUE,IF((BF448:CQ448&lt;1)*(PARTIDAS!$I$2:$AT$2="ELÉCTRICO"),PARTIDAS!$I$1:$AT$1,"")),""),IF(SUMPRODUCT((BF448:CQ448&lt;1)*(PARTIDAS!$I$2:$AT$2="TERMINACIONES"))&gt;0,"TERMINACIONES: "&amp;_xlfn.TEXTJOIN(", ",TRUE,IF((BF448:CQ448&lt;1)*(PARTIDAS!$I$2:$AT$2="TERMINACIONES"),PARTIDAS!$I$1:$AT$1,"")),""))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8" s="45" t="str" cm="1">
        <f t="array" ref="CT448">_xlfn.TEXTJOIN(", ",TRUE,IF(SUMPRODUCT((BF448:CQ448&lt;1)*(PARTIDAS!$I$2:$AT$2="OBRA GRUESA"))&gt;0,"OBRA GRUESA",""),IF(SUMPRODUCT((BF448:CQ448&lt;1)*(PARTIDAS!$I$2:$AT$2="SANITARIOS"))&gt;0,"SANITARIOS",""),IF(SUMPRODUCT((BF448:CQ448&lt;1)*(PARTIDAS!$I$2:$AT$2="ELÉCTRICO"))&gt;0,"ELÉCTRICO",""),IF(SUMPRODUCT((BF448:CQ448&lt;1)*(PARTIDAS!$I$2:$AT$2="TERMINACIONES"))&gt;0,"TERMINACIONES",""))</f>
        <v>OBRA GRUESA, SANITARIOS, ELÉCTRICO, TERMINACIONES</v>
      </c>
      <c r="CU448" s="46" cm="1">
        <f t="array" ref="CU448">SUMPRODUCT(--(BF448:CQ448&lt;1))</f>
        <v>38</v>
      </c>
    </row>
    <row r="449" spans="1:99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46181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 s="3" t="str">
        <f>+IF(AVANCE[[#This Row],[% AVANCE]]=100%,"MODULO TERMINADO",IF(AVANCE[[#This Row],[FECHA INICIO REAL]]="","MODULO NO INICIADO","PENDIENTE"))</f>
        <v>MODULO NO INICIADO</v>
      </c>
      <c r="BF449" s="3">
        <f>+IF(AVANCE[[#This Row],[VENTANAS]]=8.10810810810811%,100%,AVANCE[[#This Row],[VENTANAS]])</f>
        <v>0</v>
      </c>
      <c r="BG449" s="3">
        <f>+IF(AVANCE[[#This Row],[PISO]]=N$2,100%,AVANCE[[#This Row],[PISO]])</f>
        <v>0</v>
      </c>
      <c r="BH449" s="3">
        <f>+IF(AVANCE[[#This Row],[TABIQUES]]=O$2,100%,AVANCE[[#This Row],[TABIQUES]])</f>
        <v>0</v>
      </c>
      <c r="BI449" s="3">
        <f>+IF(AVANCE[[#This Row],[MUROS]]=P$2,100%,AVANCE[[#This Row],[MUROS]])</f>
        <v>0</v>
      </c>
      <c r="BJ449" s="3">
        <f>+IF(AVANCE[[#This Row],[CIELO]]=Q$2,100%,AVANCE[[#This Row],[CIELO]])</f>
        <v>0</v>
      </c>
      <c r="BK449" s="3">
        <f>+IF(AVANCE[[#This Row],[BALCÓN]]=R$2,100%,AVANCE[[#This Row],[BALCÓN]])</f>
        <v>0</v>
      </c>
      <c r="BL449" s="3">
        <f>+IF(AVANCE[[#This Row],[RED ALCANTARILLADO]]=U$2,100%,AVANCE[[#This Row],[RED ALCANTARILLADO]])</f>
        <v>0</v>
      </c>
      <c r="BM449" s="3">
        <f>+IF(AVANCE[[#This Row],[RED DE AGUA]]=V$2,100%,AVANCE[[#This Row],[RED DE AGUA]])</f>
        <v>0</v>
      </c>
      <c r="BN449" s="3">
        <f>+IF(AVANCE[[#This Row],[VENTILACIONES]]=W$2,100%,AVANCE[[#This Row],[VENTILACIONES]])</f>
        <v>0</v>
      </c>
      <c r="BO449" s="3">
        <f>+IF(AVANCE[[#This Row],[TINA]]=X$2,100%,AVANCE[[#This Row],[TINA]])</f>
        <v>0</v>
      </c>
      <c r="BP449" s="3">
        <f>+IF(AVANCE[[#This Row],[WC]]=Y$2,100%,AVANCE[[#This Row],[WC]])</f>
        <v>0</v>
      </c>
      <c r="BQ449" s="3">
        <f>+IF(AVANCE[[#This Row],[LAVAMANOS / LAVAPLATOS / LAVADERO]]=Z$2,100%,AVANCE[[#This Row],[LAVAMANOS / LAVAPLATOS / LAVADERO]])</f>
        <v>0</v>
      </c>
      <c r="BR449" s="3">
        <f>+IF(AVANCE[[#This Row],[CANALIZACIÓN]]=AC$2,100%,AVANCE[[#This Row],[CANALIZACIÓN]])</f>
        <v>0</v>
      </c>
      <c r="BS449" s="3">
        <f>+IF(AVANCE[[#This Row],[CABLEADO]]=AD$2,100%,AVANCE[[#This Row],[CABLEADO]])</f>
        <v>0</v>
      </c>
      <c r="BT449" s="3">
        <f>+IF(AVANCE[[#This Row],[ARTEFACTOS]]=AE$2,100%,AVANCE[[#This Row],[ARTEFACTOS]])</f>
        <v>0</v>
      </c>
      <c r="BU449" s="3">
        <f>+IF(AVANCE[[#This Row],[TABLERO]]=AF$2,100%,AVANCE[[#This Row],[TABLERO]])</f>
        <v>0</v>
      </c>
      <c r="BV449" s="3">
        <f>+IF(AVANCE[[#This Row],[CAJA PAU]]=AG$2,100%,AVANCE[[#This Row],[CAJA PAU]])</f>
        <v>0</v>
      </c>
      <c r="BW449" s="3">
        <f>+IF(AVANCE[[#This Row],[INSTALACION VINILICO]]=AJ$2,100%,AVANCE[[#This Row],[INSTALACION VINILICO]])</f>
        <v>0</v>
      </c>
      <c r="BX449" s="3">
        <f>+IF(AVANCE[[#This Row],[OSB CUBIERTA]]=AK$2,100%,AVANCE[[#This Row],[OSB CUBIERTA]])</f>
        <v>0</v>
      </c>
      <c r="BY449" s="3">
        <f>+IF(AVANCE[[#This Row],[BARANDA BALCON]]=AL$2,100%,AVANCE[[#This Row],[BARANDA BALCON]])</f>
        <v>0</v>
      </c>
      <c r="BZ449" s="3">
        <f>+IF(AVANCE[[#This Row],[OSB EXTERIOR]]=AM$2,100%,AVANCE[[#This Row],[OSB EXTERIOR]])</f>
        <v>0</v>
      </c>
      <c r="CA449" s="3">
        <f>+IF(AVANCE[[#This Row],[SMART PANEL]]=AN$2,100%,AVANCE[[#This Row],[SMART PANEL]])</f>
        <v>0</v>
      </c>
      <c r="CB449" s="3">
        <f>+IF(AVANCE[[#This Row],[PINTURA EXTERIOR]]=AO$2,100%,AVANCE[[#This Row],[PINTURA EXTERIOR]])</f>
        <v>0</v>
      </c>
      <c r="CC449" s="3">
        <f>+IF(AVANCE[[#This Row],[ZOCALOS LOGIA]]=AP$2,100%,AVANCE[[#This Row],[ZOCALOS LOGIA]])</f>
        <v>0</v>
      </c>
      <c r="CD449" s="3">
        <f>+IF(AVANCE[[#This Row],[MOLDURAS]]=AQ$2,100%,AVANCE[[#This Row],[MOLDURAS]])</f>
        <v>0</v>
      </c>
      <c r="CE449" s="3">
        <f>+IF(AVANCE[[#This Row],[PILASTREO]]=AR$2,100%,AVANCE[[#This Row],[PILASTREO]])</f>
        <v>0</v>
      </c>
      <c r="CF449" s="3">
        <f>+IF(AVANCE[[#This Row],[CELOSIAS]]=AS$2,100%,AVANCE[[#This Row],[CELOSIAS]])</f>
        <v>0</v>
      </c>
      <c r="CG449" s="3">
        <f>+IF(AVANCE[[#This Row],[VENTANAS]]=AT$2,100%,AVANCE[[#This Row],[VENTANAS]])</f>
        <v>0</v>
      </c>
      <c r="CH449" s="3">
        <f>+IF(AVANCE[[#This Row],[PUERTAS ACCESO - LOGIA - BANO]]=AU$2,100%,AVANCE[[#This Row],[PUERTAS ACCESO - LOGIA - BANO]])</f>
        <v>0</v>
      </c>
      <c r="CI449" s="3">
        <f>+IF(AVANCE[[#This Row],[CERRADURAS]]=AV$2,100%,AVANCE[[#This Row],[CERRADURAS]])</f>
        <v>0</v>
      </c>
      <c r="CJ449" s="3">
        <f>+IF(AVANCE[[#This Row],[REVESTIMIENTO INTERIOR ZONA SECA]]=AW$2,100%,AVANCE[[#This Row],[REVESTIMIENTO INTERIOR ZONA SECA]])</f>
        <v>0</v>
      </c>
      <c r="CK449" s="3">
        <f>+IF(AVANCE[[#This Row],[REVESTIMIENTO INTERIOR ZONAS HUMEDAS]]=AX$2,100%,AVANCE[[#This Row],[REVESTIMIENTO INTERIOR ZONAS HUMEDAS]])</f>
        <v>0</v>
      </c>
      <c r="CL449" s="3">
        <f>+IF(AVANCE[[#This Row],[MEMBRANA CIELO]]=AY$2,100%,AVANCE[[#This Row],[MEMBRANA CIELO]])</f>
        <v>0</v>
      </c>
      <c r="CM449" s="3">
        <f>+IF(AVANCE[[#This Row],[LIMPIEZA FINAL]]=AZ$2,100%,AVANCE[[#This Row],[LIMPIEZA FINAL]])</f>
        <v>0</v>
      </c>
      <c r="CN449" s="3">
        <f>+IF(AVANCE[[#This Row],[PUERTAS DORMITORIO]]=BA$2,100%,AVANCE[[#This Row],[PUERTAS DORMITORIO]])</f>
        <v>0</v>
      </c>
      <c r="CO449" s="3">
        <f>+IF(AVANCE[[#This Row],[REVESTIMIENTO INTERIOR BANO]]=BB$2,100%,AVANCE[[#This Row],[REVESTIMIENTO INTERIOR BANO]])</f>
        <v>0</v>
      </c>
      <c r="CP449" s="3">
        <f>+IF(AVANCE[[#This Row],[MUEBLE LAVAPLATOS]]=BC$2,100%,AVANCE[[#This Row],[MUEBLE LAVAPLATOS]])</f>
        <v>0</v>
      </c>
      <c r="CQ449" s="3">
        <f>+IF(AVANCE[[#This Row],[IMPERMEABILIZACION BANO - COCINA LOGIA]]=BD$2,100%,AVANCE[[#This Row],[IMPERMEABILIZACION BANO - COCINA LOGIA]])</f>
        <v>0</v>
      </c>
      <c r="CR449" s="40">
        <f ca="1">+IF(AVANCE[[#This Row],[ESTADO MODULO]]="PENDIENTE",(TODAY()-AVANCE[[#This Row],[FECHA TERMINO  PLANIFICADO]]),0)</f>
        <v>0</v>
      </c>
      <c r="CS449" s="42" t="str" cm="1">
        <f t="array" ref="CS449">_xlfn.TEXTJOIN(" | ",TRUE,IF(SUMPRODUCT((BF449:CQ449&lt;1)*(PARTIDAS!$I$2:$AT$2="OBRA GRUESA"))&gt;0,"OBRA GRUESA: "&amp;_xlfn.TEXTJOIN(", ",TRUE,IF((BF449:CQ449&lt;1)*(PARTIDAS!$I$2:$AT$2="OBRA GRUESA"),PARTIDAS!$I$1:$AT$1,"")),""),IF(SUMPRODUCT((BF449:CQ449&lt;1)*(PARTIDAS!$I$2:$AT$2="SANITARIOS"))&gt;0,"SANITARIOS: "&amp;_xlfn.TEXTJOIN(", ",TRUE,IF((BF449:CQ449&lt;1)*(PARTIDAS!$I$2:$AT$2="SANITARIOS"),PARTIDAS!$I$1:$AT$1,"")),""),IF(SUMPRODUCT((BF449:CQ449&lt;1)*(PARTIDAS!$I$2:$AT$2="ELÉCTRICO"))&gt;0,"ELÉCTRICO: "&amp;_xlfn.TEXTJOIN(", ",TRUE,IF((BF449:CQ449&lt;1)*(PARTIDAS!$I$2:$AT$2="ELÉCTRICO"),PARTIDAS!$I$1:$AT$1,"")),""),IF(SUMPRODUCT((BF449:CQ449&lt;1)*(PARTIDAS!$I$2:$AT$2="TERMINACIONES"))&gt;0,"TERMINACIONES: "&amp;_xlfn.TEXTJOIN(", ",TRUE,IF((BF449:CQ449&lt;1)*(PARTIDAS!$I$2:$AT$2="TERMINACIONES"),PARTIDAS!$I$1:$AT$1,"")),""))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49" s="45" t="str" cm="1">
        <f t="array" ref="CT449">_xlfn.TEXTJOIN(", ",TRUE,IF(SUMPRODUCT((BF449:CQ449&lt;1)*(PARTIDAS!$I$2:$AT$2="OBRA GRUESA"))&gt;0,"OBRA GRUESA",""),IF(SUMPRODUCT((BF449:CQ449&lt;1)*(PARTIDAS!$I$2:$AT$2="SANITARIOS"))&gt;0,"SANITARIOS",""),IF(SUMPRODUCT((BF449:CQ449&lt;1)*(PARTIDAS!$I$2:$AT$2="ELÉCTRICO"))&gt;0,"ELÉCTRICO",""),IF(SUMPRODUCT((BF449:CQ449&lt;1)*(PARTIDAS!$I$2:$AT$2="TERMINACIONES"))&gt;0,"TERMINACIONES",""))</f>
        <v>OBRA GRUESA, SANITARIOS, ELÉCTRICO, TERMINACIONES</v>
      </c>
      <c r="CU449" s="46" cm="1">
        <f t="array" ref="CU449">SUMPRODUCT(--(BF449:CQ449&lt;1))</f>
        <v>38</v>
      </c>
    </row>
    <row r="450" spans="1:99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46181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 s="3" t="str">
        <f>+IF(AVANCE[[#This Row],[% AVANCE]]=100%,"MODULO TERMINADO",IF(AVANCE[[#This Row],[FECHA INICIO REAL]]="","MODULO NO INICIADO","PENDIENTE"))</f>
        <v>MODULO NO INICIADO</v>
      </c>
      <c r="BF450" s="3">
        <f>+IF(AVANCE[[#This Row],[VENTANAS]]=8.10810810810811%,100%,AVANCE[[#This Row],[VENTANAS]])</f>
        <v>0</v>
      </c>
      <c r="BG450" s="3">
        <f>+IF(AVANCE[[#This Row],[PISO]]=N$2,100%,AVANCE[[#This Row],[PISO]])</f>
        <v>0</v>
      </c>
      <c r="BH450" s="3">
        <f>+IF(AVANCE[[#This Row],[TABIQUES]]=O$2,100%,AVANCE[[#This Row],[TABIQUES]])</f>
        <v>0</v>
      </c>
      <c r="BI450" s="3">
        <f>+IF(AVANCE[[#This Row],[MUROS]]=P$2,100%,AVANCE[[#This Row],[MUROS]])</f>
        <v>0</v>
      </c>
      <c r="BJ450" s="3">
        <f>+IF(AVANCE[[#This Row],[CIELO]]=Q$2,100%,AVANCE[[#This Row],[CIELO]])</f>
        <v>0</v>
      </c>
      <c r="BK450" s="3">
        <f>+IF(AVANCE[[#This Row],[BALCÓN]]=R$2,100%,AVANCE[[#This Row],[BALCÓN]])</f>
        <v>0</v>
      </c>
      <c r="BL450" s="3">
        <f>+IF(AVANCE[[#This Row],[RED ALCANTARILLADO]]=U$2,100%,AVANCE[[#This Row],[RED ALCANTARILLADO]])</f>
        <v>0</v>
      </c>
      <c r="BM450" s="3">
        <f>+IF(AVANCE[[#This Row],[RED DE AGUA]]=V$2,100%,AVANCE[[#This Row],[RED DE AGUA]])</f>
        <v>0</v>
      </c>
      <c r="BN450" s="3">
        <f>+IF(AVANCE[[#This Row],[VENTILACIONES]]=W$2,100%,AVANCE[[#This Row],[VENTILACIONES]])</f>
        <v>0</v>
      </c>
      <c r="BO450" s="3">
        <f>+IF(AVANCE[[#This Row],[TINA]]=X$2,100%,AVANCE[[#This Row],[TINA]])</f>
        <v>0</v>
      </c>
      <c r="BP450" s="3">
        <f>+IF(AVANCE[[#This Row],[WC]]=Y$2,100%,AVANCE[[#This Row],[WC]])</f>
        <v>0</v>
      </c>
      <c r="BQ450" s="3">
        <f>+IF(AVANCE[[#This Row],[LAVAMANOS / LAVAPLATOS / LAVADERO]]=Z$2,100%,AVANCE[[#This Row],[LAVAMANOS / LAVAPLATOS / LAVADERO]])</f>
        <v>0</v>
      </c>
      <c r="BR450" s="3">
        <f>+IF(AVANCE[[#This Row],[CANALIZACIÓN]]=AC$2,100%,AVANCE[[#This Row],[CANALIZACIÓN]])</f>
        <v>0</v>
      </c>
      <c r="BS450" s="3">
        <f>+IF(AVANCE[[#This Row],[CABLEADO]]=AD$2,100%,AVANCE[[#This Row],[CABLEADO]])</f>
        <v>0</v>
      </c>
      <c r="BT450" s="3">
        <f>+IF(AVANCE[[#This Row],[ARTEFACTOS]]=AE$2,100%,AVANCE[[#This Row],[ARTEFACTOS]])</f>
        <v>0</v>
      </c>
      <c r="BU450" s="3">
        <f>+IF(AVANCE[[#This Row],[TABLERO]]=AF$2,100%,AVANCE[[#This Row],[TABLERO]])</f>
        <v>0</v>
      </c>
      <c r="BV450" s="3">
        <f>+IF(AVANCE[[#This Row],[CAJA PAU]]=AG$2,100%,AVANCE[[#This Row],[CAJA PAU]])</f>
        <v>0</v>
      </c>
      <c r="BW450" s="3">
        <f>+IF(AVANCE[[#This Row],[INSTALACION VINILICO]]=AJ$2,100%,AVANCE[[#This Row],[INSTALACION VINILICO]])</f>
        <v>0</v>
      </c>
      <c r="BX450" s="3">
        <f>+IF(AVANCE[[#This Row],[OSB CUBIERTA]]=AK$2,100%,AVANCE[[#This Row],[OSB CUBIERTA]])</f>
        <v>0</v>
      </c>
      <c r="BY450" s="3">
        <f>+IF(AVANCE[[#This Row],[BARANDA BALCON]]=AL$2,100%,AVANCE[[#This Row],[BARANDA BALCON]])</f>
        <v>0</v>
      </c>
      <c r="BZ450" s="3">
        <f>+IF(AVANCE[[#This Row],[OSB EXTERIOR]]=AM$2,100%,AVANCE[[#This Row],[OSB EXTERIOR]])</f>
        <v>0</v>
      </c>
      <c r="CA450" s="3">
        <f>+IF(AVANCE[[#This Row],[SMART PANEL]]=AN$2,100%,AVANCE[[#This Row],[SMART PANEL]])</f>
        <v>0</v>
      </c>
      <c r="CB450" s="3">
        <f>+IF(AVANCE[[#This Row],[PINTURA EXTERIOR]]=AO$2,100%,AVANCE[[#This Row],[PINTURA EXTERIOR]])</f>
        <v>0</v>
      </c>
      <c r="CC450" s="3">
        <f>+IF(AVANCE[[#This Row],[ZOCALOS LOGIA]]=AP$2,100%,AVANCE[[#This Row],[ZOCALOS LOGIA]])</f>
        <v>0</v>
      </c>
      <c r="CD450" s="3">
        <f>+IF(AVANCE[[#This Row],[MOLDURAS]]=AQ$2,100%,AVANCE[[#This Row],[MOLDURAS]])</f>
        <v>0</v>
      </c>
      <c r="CE450" s="3">
        <f>+IF(AVANCE[[#This Row],[PILASTREO]]=AR$2,100%,AVANCE[[#This Row],[PILASTREO]])</f>
        <v>0</v>
      </c>
      <c r="CF450" s="3">
        <f>+IF(AVANCE[[#This Row],[CELOSIAS]]=AS$2,100%,AVANCE[[#This Row],[CELOSIAS]])</f>
        <v>0</v>
      </c>
      <c r="CG450" s="3">
        <f>+IF(AVANCE[[#This Row],[VENTANAS]]=AT$2,100%,AVANCE[[#This Row],[VENTANAS]])</f>
        <v>0</v>
      </c>
      <c r="CH450" s="3">
        <f>+IF(AVANCE[[#This Row],[PUERTAS ACCESO - LOGIA - BANO]]=AU$2,100%,AVANCE[[#This Row],[PUERTAS ACCESO - LOGIA - BANO]])</f>
        <v>0</v>
      </c>
      <c r="CI450" s="3">
        <f>+IF(AVANCE[[#This Row],[CERRADURAS]]=AV$2,100%,AVANCE[[#This Row],[CERRADURAS]])</f>
        <v>0</v>
      </c>
      <c r="CJ450" s="3">
        <f>+IF(AVANCE[[#This Row],[REVESTIMIENTO INTERIOR ZONA SECA]]=AW$2,100%,AVANCE[[#This Row],[REVESTIMIENTO INTERIOR ZONA SECA]])</f>
        <v>0</v>
      </c>
      <c r="CK450" s="3">
        <f>+IF(AVANCE[[#This Row],[REVESTIMIENTO INTERIOR ZONAS HUMEDAS]]=AX$2,100%,AVANCE[[#This Row],[REVESTIMIENTO INTERIOR ZONAS HUMEDAS]])</f>
        <v>0</v>
      </c>
      <c r="CL450" s="3">
        <f>+IF(AVANCE[[#This Row],[MEMBRANA CIELO]]=AY$2,100%,AVANCE[[#This Row],[MEMBRANA CIELO]])</f>
        <v>0</v>
      </c>
      <c r="CM450" s="3">
        <f>+IF(AVANCE[[#This Row],[LIMPIEZA FINAL]]=AZ$2,100%,AVANCE[[#This Row],[LIMPIEZA FINAL]])</f>
        <v>0</v>
      </c>
      <c r="CN450" s="3">
        <f>+IF(AVANCE[[#This Row],[PUERTAS DORMITORIO]]=BA$2,100%,AVANCE[[#This Row],[PUERTAS DORMITORIO]])</f>
        <v>0</v>
      </c>
      <c r="CO450" s="3">
        <f>+IF(AVANCE[[#This Row],[REVESTIMIENTO INTERIOR BANO]]=BB$2,100%,AVANCE[[#This Row],[REVESTIMIENTO INTERIOR BANO]])</f>
        <v>0</v>
      </c>
      <c r="CP450" s="3">
        <f>+IF(AVANCE[[#This Row],[MUEBLE LAVAPLATOS]]=BC$2,100%,AVANCE[[#This Row],[MUEBLE LAVAPLATOS]])</f>
        <v>0</v>
      </c>
      <c r="CQ450" s="3">
        <f>+IF(AVANCE[[#This Row],[IMPERMEABILIZACION BANO - COCINA LOGIA]]=BD$2,100%,AVANCE[[#This Row],[IMPERMEABILIZACION BANO - COCINA LOGIA]])</f>
        <v>0</v>
      </c>
      <c r="CR450" s="40">
        <f ca="1">+IF(AVANCE[[#This Row],[ESTADO MODULO]]="PENDIENTE",(TODAY()-AVANCE[[#This Row],[FECHA TERMINO  PLANIFICADO]]),0)</f>
        <v>0</v>
      </c>
      <c r="CS450" s="42" t="str" cm="1">
        <f t="array" ref="CS450">_xlfn.TEXTJOIN(" | ",TRUE,IF(SUMPRODUCT((BF450:CQ450&lt;1)*(PARTIDAS!$I$2:$AT$2="OBRA GRUESA"))&gt;0,"OBRA GRUESA: "&amp;_xlfn.TEXTJOIN(", ",TRUE,IF((BF450:CQ450&lt;1)*(PARTIDAS!$I$2:$AT$2="OBRA GRUESA"),PARTIDAS!$I$1:$AT$1,"")),""),IF(SUMPRODUCT((BF450:CQ450&lt;1)*(PARTIDAS!$I$2:$AT$2="SANITARIOS"))&gt;0,"SANITARIOS: "&amp;_xlfn.TEXTJOIN(", ",TRUE,IF((BF450:CQ450&lt;1)*(PARTIDAS!$I$2:$AT$2="SANITARIOS"),PARTIDAS!$I$1:$AT$1,"")),""),IF(SUMPRODUCT((BF450:CQ450&lt;1)*(PARTIDAS!$I$2:$AT$2="ELÉCTRICO"))&gt;0,"ELÉCTRICO: "&amp;_xlfn.TEXTJOIN(", ",TRUE,IF((BF450:CQ450&lt;1)*(PARTIDAS!$I$2:$AT$2="ELÉCTRICO"),PARTIDAS!$I$1:$AT$1,"")),""),IF(SUMPRODUCT((BF450:CQ450&lt;1)*(PARTIDAS!$I$2:$AT$2="TERMINACIONES"))&gt;0,"TERMINACIONES: "&amp;_xlfn.TEXTJOIN(", ",TRUE,IF((BF450:CQ450&lt;1)*(PARTIDAS!$I$2:$AT$2="TERMINACIONES"),PARTIDAS!$I$1:$AT$1,"")),""))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0" s="45" t="str" cm="1">
        <f t="array" ref="CT450">_xlfn.TEXTJOIN(", ",TRUE,IF(SUMPRODUCT((BF450:CQ450&lt;1)*(PARTIDAS!$I$2:$AT$2="OBRA GRUESA"))&gt;0,"OBRA GRUESA",""),IF(SUMPRODUCT((BF450:CQ450&lt;1)*(PARTIDAS!$I$2:$AT$2="SANITARIOS"))&gt;0,"SANITARIOS",""),IF(SUMPRODUCT((BF450:CQ450&lt;1)*(PARTIDAS!$I$2:$AT$2="ELÉCTRICO"))&gt;0,"ELÉCTRICO",""),IF(SUMPRODUCT((BF450:CQ450&lt;1)*(PARTIDAS!$I$2:$AT$2="TERMINACIONES"))&gt;0,"TERMINACIONES",""))</f>
        <v>OBRA GRUESA, SANITARIOS, ELÉCTRICO, TERMINACIONES</v>
      </c>
      <c r="CU450" s="46" cm="1">
        <f t="array" ref="CU450">SUMPRODUCT(--(BF450:CQ450&lt;1))</f>
        <v>38</v>
      </c>
    </row>
    <row r="451" spans="1:99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46181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 s="3" t="str">
        <f>+IF(AVANCE[[#This Row],[% AVANCE]]=100%,"MODULO TERMINADO",IF(AVANCE[[#This Row],[FECHA INICIO REAL]]="","MODULO NO INICIADO","PENDIENTE"))</f>
        <v>MODULO NO INICIADO</v>
      </c>
      <c r="BF451" s="3">
        <f>+IF(AVANCE[[#This Row],[VENTANAS]]=8.10810810810811%,100%,AVANCE[[#This Row],[VENTANAS]])</f>
        <v>0</v>
      </c>
      <c r="BG451" s="3">
        <f>+IF(AVANCE[[#This Row],[PISO]]=N$2,100%,AVANCE[[#This Row],[PISO]])</f>
        <v>0</v>
      </c>
      <c r="BH451" s="3">
        <f>+IF(AVANCE[[#This Row],[TABIQUES]]=O$2,100%,AVANCE[[#This Row],[TABIQUES]])</f>
        <v>0</v>
      </c>
      <c r="BI451" s="3">
        <f>+IF(AVANCE[[#This Row],[MUROS]]=P$2,100%,AVANCE[[#This Row],[MUROS]])</f>
        <v>0</v>
      </c>
      <c r="BJ451" s="3">
        <f>+IF(AVANCE[[#This Row],[CIELO]]=Q$2,100%,AVANCE[[#This Row],[CIELO]])</f>
        <v>0</v>
      </c>
      <c r="BK451" s="3">
        <f>+IF(AVANCE[[#This Row],[BALCÓN]]=R$2,100%,AVANCE[[#This Row],[BALCÓN]])</f>
        <v>0</v>
      </c>
      <c r="BL451" s="3">
        <f>+IF(AVANCE[[#This Row],[RED ALCANTARILLADO]]=U$2,100%,AVANCE[[#This Row],[RED ALCANTARILLADO]])</f>
        <v>0</v>
      </c>
      <c r="BM451" s="3">
        <f>+IF(AVANCE[[#This Row],[RED DE AGUA]]=V$2,100%,AVANCE[[#This Row],[RED DE AGUA]])</f>
        <v>0</v>
      </c>
      <c r="BN451" s="3">
        <f>+IF(AVANCE[[#This Row],[VENTILACIONES]]=W$2,100%,AVANCE[[#This Row],[VENTILACIONES]])</f>
        <v>0</v>
      </c>
      <c r="BO451" s="3">
        <f>+IF(AVANCE[[#This Row],[TINA]]=X$2,100%,AVANCE[[#This Row],[TINA]])</f>
        <v>0</v>
      </c>
      <c r="BP451" s="3">
        <f>+IF(AVANCE[[#This Row],[WC]]=Y$2,100%,AVANCE[[#This Row],[WC]])</f>
        <v>0</v>
      </c>
      <c r="BQ451" s="3">
        <f>+IF(AVANCE[[#This Row],[LAVAMANOS / LAVAPLATOS / LAVADERO]]=Z$2,100%,AVANCE[[#This Row],[LAVAMANOS / LAVAPLATOS / LAVADERO]])</f>
        <v>0</v>
      </c>
      <c r="BR451" s="3">
        <f>+IF(AVANCE[[#This Row],[CANALIZACIÓN]]=AC$2,100%,AVANCE[[#This Row],[CANALIZACIÓN]])</f>
        <v>0</v>
      </c>
      <c r="BS451" s="3">
        <f>+IF(AVANCE[[#This Row],[CABLEADO]]=AD$2,100%,AVANCE[[#This Row],[CABLEADO]])</f>
        <v>0</v>
      </c>
      <c r="BT451" s="3">
        <f>+IF(AVANCE[[#This Row],[ARTEFACTOS]]=AE$2,100%,AVANCE[[#This Row],[ARTEFACTOS]])</f>
        <v>0</v>
      </c>
      <c r="BU451" s="3">
        <f>+IF(AVANCE[[#This Row],[TABLERO]]=AF$2,100%,AVANCE[[#This Row],[TABLERO]])</f>
        <v>0</v>
      </c>
      <c r="BV451" s="3">
        <f>+IF(AVANCE[[#This Row],[CAJA PAU]]=AG$2,100%,AVANCE[[#This Row],[CAJA PAU]])</f>
        <v>0</v>
      </c>
      <c r="BW451" s="3">
        <f>+IF(AVANCE[[#This Row],[INSTALACION VINILICO]]=AJ$2,100%,AVANCE[[#This Row],[INSTALACION VINILICO]])</f>
        <v>0</v>
      </c>
      <c r="BX451" s="3">
        <f>+IF(AVANCE[[#This Row],[OSB CUBIERTA]]=AK$2,100%,AVANCE[[#This Row],[OSB CUBIERTA]])</f>
        <v>0</v>
      </c>
      <c r="BY451" s="3">
        <f>+IF(AVANCE[[#This Row],[BARANDA BALCON]]=AL$2,100%,AVANCE[[#This Row],[BARANDA BALCON]])</f>
        <v>0</v>
      </c>
      <c r="BZ451" s="3">
        <f>+IF(AVANCE[[#This Row],[OSB EXTERIOR]]=AM$2,100%,AVANCE[[#This Row],[OSB EXTERIOR]])</f>
        <v>0</v>
      </c>
      <c r="CA451" s="3">
        <f>+IF(AVANCE[[#This Row],[SMART PANEL]]=AN$2,100%,AVANCE[[#This Row],[SMART PANEL]])</f>
        <v>0</v>
      </c>
      <c r="CB451" s="3">
        <f>+IF(AVANCE[[#This Row],[PINTURA EXTERIOR]]=AO$2,100%,AVANCE[[#This Row],[PINTURA EXTERIOR]])</f>
        <v>0</v>
      </c>
      <c r="CC451" s="3">
        <f>+IF(AVANCE[[#This Row],[ZOCALOS LOGIA]]=AP$2,100%,AVANCE[[#This Row],[ZOCALOS LOGIA]])</f>
        <v>0</v>
      </c>
      <c r="CD451" s="3">
        <f>+IF(AVANCE[[#This Row],[MOLDURAS]]=AQ$2,100%,AVANCE[[#This Row],[MOLDURAS]])</f>
        <v>0</v>
      </c>
      <c r="CE451" s="3">
        <f>+IF(AVANCE[[#This Row],[PILASTREO]]=AR$2,100%,AVANCE[[#This Row],[PILASTREO]])</f>
        <v>0</v>
      </c>
      <c r="CF451" s="3">
        <f>+IF(AVANCE[[#This Row],[CELOSIAS]]=AS$2,100%,AVANCE[[#This Row],[CELOSIAS]])</f>
        <v>0</v>
      </c>
      <c r="CG451" s="3">
        <f>+IF(AVANCE[[#This Row],[VENTANAS]]=AT$2,100%,AVANCE[[#This Row],[VENTANAS]])</f>
        <v>0</v>
      </c>
      <c r="CH451" s="3">
        <f>+IF(AVANCE[[#This Row],[PUERTAS ACCESO - LOGIA - BANO]]=AU$2,100%,AVANCE[[#This Row],[PUERTAS ACCESO - LOGIA - BANO]])</f>
        <v>0</v>
      </c>
      <c r="CI451" s="3">
        <f>+IF(AVANCE[[#This Row],[CERRADURAS]]=AV$2,100%,AVANCE[[#This Row],[CERRADURAS]])</f>
        <v>0</v>
      </c>
      <c r="CJ451" s="3">
        <f>+IF(AVANCE[[#This Row],[REVESTIMIENTO INTERIOR ZONA SECA]]=AW$2,100%,AVANCE[[#This Row],[REVESTIMIENTO INTERIOR ZONA SECA]])</f>
        <v>0</v>
      </c>
      <c r="CK451" s="3">
        <f>+IF(AVANCE[[#This Row],[REVESTIMIENTO INTERIOR ZONAS HUMEDAS]]=AX$2,100%,AVANCE[[#This Row],[REVESTIMIENTO INTERIOR ZONAS HUMEDAS]])</f>
        <v>0</v>
      </c>
      <c r="CL451" s="3">
        <f>+IF(AVANCE[[#This Row],[MEMBRANA CIELO]]=AY$2,100%,AVANCE[[#This Row],[MEMBRANA CIELO]])</f>
        <v>0</v>
      </c>
      <c r="CM451" s="3">
        <f>+IF(AVANCE[[#This Row],[LIMPIEZA FINAL]]=AZ$2,100%,AVANCE[[#This Row],[LIMPIEZA FINAL]])</f>
        <v>0</v>
      </c>
      <c r="CN451" s="3">
        <f>+IF(AVANCE[[#This Row],[PUERTAS DORMITORIO]]=BA$2,100%,AVANCE[[#This Row],[PUERTAS DORMITORIO]])</f>
        <v>0</v>
      </c>
      <c r="CO451" s="3">
        <f>+IF(AVANCE[[#This Row],[REVESTIMIENTO INTERIOR BANO]]=BB$2,100%,AVANCE[[#This Row],[REVESTIMIENTO INTERIOR BANO]])</f>
        <v>0</v>
      </c>
      <c r="CP451" s="3">
        <f>+IF(AVANCE[[#This Row],[MUEBLE LAVAPLATOS]]=BC$2,100%,AVANCE[[#This Row],[MUEBLE LAVAPLATOS]])</f>
        <v>0</v>
      </c>
      <c r="CQ451" s="3">
        <f>+IF(AVANCE[[#This Row],[IMPERMEABILIZACION BANO - COCINA LOGIA]]=BD$2,100%,AVANCE[[#This Row],[IMPERMEABILIZACION BANO - COCINA LOGIA]])</f>
        <v>0</v>
      </c>
      <c r="CR451" s="40">
        <f ca="1">+IF(AVANCE[[#This Row],[ESTADO MODULO]]="PENDIENTE",(TODAY()-AVANCE[[#This Row],[FECHA TERMINO  PLANIFICADO]]),0)</f>
        <v>0</v>
      </c>
      <c r="CS451" s="42" t="str" cm="1">
        <f t="array" ref="CS451">_xlfn.TEXTJOIN(" | ",TRUE,IF(SUMPRODUCT((BF451:CQ451&lt;1)*(PARTIDAS!$I$2:$AT$2="OBRA GRUESA"))&gt;0,"OBRA GRUESA: "&amp;_xlfn.TEXTJOIN(", ",TRUE,IF((BF451:CQ451&lt;1)*(PARTIDAS!$I$2:$AT$2="OBRA GRUESA"),PARTIDAS!$I$1:$AT$1,"")),""),IF(SUMPRODUCT((BF451:CQ451&lt;1)*(PARTIDAS!$I$2:$AT$2="SANITARIOS"))&gt;0,"SANITARIOS: "&amp;_xlfn.TEXTJOIN(", ",TRUE,IF((BF451:CQ451&lt;1)*(PARTIDAS!$I$2:$AT$2="SANITARIOS"),PARTIDAS!$I$1:$AT$1,"")),""),IF(SUMPRODUCT((BF451:CQ451&lt;1)*(PARTIDAS!$I$2:$AT$2="ELÉCTRICO"))&gt;0,"ELÉCTRICO: "&amp;_xlfn.TEXTJOIN(", ",TRUE,IF((BF451:CQ451&lt;1)*(PARTIDAS!$I$2:$AT$2="ELÉCTRICO"),PARTIDAS!$I$1:$AT$1,"")),""),IF(SUMPRODUCT((BF451:CQ451&lt;1)*(PARTIDAS!$I$2:$AT$2="TERMINACIONES"))&gt;0,"TERMINACIONES: "&amp;_xlfn.TEXTJOIN(", ",TRUE,IF((BF451:CQ451&lt;1)*(PARTIDAS!$I$2:$AT$2="TERMINACIONES"),PARTIDAS!$I$1:$AT$1,"")),""))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1" s="45" t="str" cm="1">
        <f t="array" ref="CT451">_xlfn.TEXTJOIN(", ",TRUE,IF(SUMPRODUCT((BF451:CQ451&lt;1)*(PARTIDAS!$I$2:$AT$2="OBRA GRUESA"))&gt;0,"OBRA GRUESA",""),IF(SUMPRODUCT((BF451:CQ451&lt;1)*(PARTIDAS!$I$2:$AT$2="SANITARIOS"))&gt;0,"SANITARIOS",""),IF(SUMPRODUCT((BF451:CQ451&lt;1)*(PARTIDAS!$I$2:$AT$2="ELÉCTRICO"))&gt;0,"ELÉCTRICO",""),IF(SUMPRODUCT((BF451:CQ451&lt;1)*(PARTIDAS!$I$2:$AT$2="TERMINACIONES"))&gt;0,"TERMINACIONES",""))</f>
        <v>OBRA GRUESA, SANITARIOS, ELÉCTRICO, TERMINACIONES</v>
      </c>
      <c r="CU451" s="46" cm="1">
        <f t="array" ref="CU451">SUMPRODUCT(--(BF451:CQ451&lt;1))</f>
        <v>38</v>
      </c>
    </row>
    <row r="452" spans="1:99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46181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 s="3" t="str">
        <f>+IF(AVANCE[[#This Row],[% AVANCE]]=100%,"MODULO TERMINADO",IF(AVANCE[[#This Row],[FECHA INICIO REAL]]="","MODULO NO INICIADO","PENDIENTE"))</f>
        <v>MODULO NO INICIADO</v>
      </c>
      <c r="BF452" s="3">
        <f>+IF(AVANCE[[#This Row],[VENTANAS]]=8.10810810810811%,100%,AVANCE[[#This Row],[VENTANAS]])</f>
        <v>0</v>
      </c>
      <c r="BG452" s="3">
        <f>+IF(AVANCE[[#This Row],[PISO]]=N$2,100%,AVANCE[[#This Row],[PISO]])</f>
        <v>0</v>
      </c>
      <c r="BH452" s="3">
        <f>+IF(AVANCE[[#This Row],[TABIQUES]]=O$2,100%,AVANCE[[#This Row],[TABIQUES]])</f>
        <v>0</v>
      </c>
      <c r="BI452" s="3">
        <f>+IF(AVANCE[[#This Row],[MUROS]]=P$2,100%,AVANCE[[#This Row],[MUROS]])</f>
        <v>0</v>
      </c>
      <c r="BJ452" s="3">
        <f>+IF(AVANCE[[#This Row],[CIELO]]=Q$2,100%,AVANCE[[#This Row],[CIELO]])</f>
        <v>0</v>
      </c>
      <c r="BK452" s="3">
        <f>+IF(AVANCE[[#This Row],[BALCÓN]]=R$2,100%,AVANCE[[#This Row],[BALCÓN]])</f>
        <v>0</v>
      </c>
      <c r="BL452" s="3">
        <f>+IF(AVANCE[[#This Row],[RED ALCANTARILLADO]]=U$2,100%,AVANCE[[#This Row],[RED ALCANTARILLADO]])</f>
        <v>0</v>
      </c>
      <c r="BM452" s="3">
        <f>+IF(AVANCE[[#This Row],[RED DE AGUA]]=V$2,100%,AVANCE[[#This Row],[RED DE AGUA]])</f>
        <v>0</v>
      </c>
      <c r="BN452" s="3">
        <f>+IF(AVANCE[[#This Row],[VENTILACIONES]]=W$2,100%,AVANCE[[#This Row],[VENTILACIONES]])</f>
        <v>0</v>
      </c>
      <c r="BO452" s="3">
        <f>+IF(AVANCE[[#This Row],[TINA]]=X$2,100%,AVANCE[[#This Row],[TINA]])</f>
        <v>0</v>
      </c>
      <c r="BP452" s="3">
        <f>+IF(AVANCE[[#This Row],[WC]]=Y$2,100%,AVANCE[[#This Row],[WC]])</f>
        <v>0</v>
      </c>
      <c r="BQ452" s="3">
        <f>+IF(AVANCE[[#This Row],[LAVAMANOS / LAVAPLATOS / LAVADERO]]=Z$2,100%,AVANCE[[#This Row],[LAVAMANOS / LAVAPLATOS / LAVADERO]])</f>
        <v>0</v>
      </c>
      <c r="BR452" s="3">
        <f>+IF(AVANCE[[#This Row],[CANALIZACIÓN]]=AC$2,100%,AVANCE[[#This Row],[CANALIZACIÓN]])</f>
        <v>0</v>
      </c>
      <c r="BS452" s="3">
        <f>+IF(AVANCE[[#This Row],[CABLEADO]]=AD$2,100%,AVANCE[[#This Row],[CABLEADO]])</f>
        <v>0</v>
      </c>
      <c r="BT452" s="3">
        <f>+IF(AVANCE[[#This Row],[ARTEFACTOS]]=AE$2,100%,AVANCE[[#This Row],[ARTEFACTOS]])</f>
        <v>0</v>
      </c>
      <c r="BU452" s="3">
        <f>+IF(AVANCE[[#This Row],[TABLERO]]=AF$2,100%,AVANCE[[#This Row],[TABLERO]])</f>
        <v>0</v>
      </c>
      <c r="BV452" s="3">
        <f>+IF(AVANCE[[#This Row],[CAJA PAU]]=AG$2,100%,AVANCE[[#This Row],[CAJA PAU]])</f>
        <v>0</v>
      </c>
      <c r="BW452" s="3">
        <f>+IF(AVANCE[[#This Row],[INSTALACION VINILICO]]=AJ$2,100%,AVANCE[[#This Row],[INSTALACION VINILICO]])</f>
        <v>0</v>
      </c>
      <c r="BX452" s="3">
        <f>+IF(AVANCE[[#This Row],[OSB CUBIERTA]]=AK$2,100%,AVANCE[[#This Row],[OSB CUBIERTA]])</f>
        <v>0</v>
      </c>
      <c r="BY452" s="3">
        <f>+IF(AVANCE[[#This Row],[BARANDA BALCON]]=AL$2,100%,AVANCE[[#This Row],[BARANDA BALCON]])</f>
        <v>0</v>
      </c>
      <c r="BZ452" s="3">
        <f>+IF(AVANCE[[#This Row],[OSB EXTERIOR]]=AM$2,100%,AVANCE[[#This Row],[OSB EXTERIOR]])</f>
        <v>0</v>
      </c>
      <c r="CA452" s="3">
        <f>+IF(AVANCE[[#This Row],[SMART PANEL]]=AN$2,100%,AVANCE[[#This Row],[SMART PANEL]])</f>
        <v>0</v>
      </c>
      <c r="CB452" s="3">
        <f>+IF(AVANCE[[#This Row],[PINTURA EXTERIOR]]=AO$2,100%,AVANCE[[#This Row],[PINTURA EXTERIOR]])</f>
        <v>0</v>
      </c>
      <c r="CC452" s="3">
        <f>+IF(AVANCE[[#This Row],[ZOCALOS LOGIA]]=AP$2,100%,AVANCE[[#This Row],[ZOCALOS LOGIA]])</f>
        <v>0</v>
      </c>
      <c r="CD452" s="3">
        <f>+IF(AVANCE[[#This Row],[MOLDURAS]]=AQ$2,100%,AVANCE[[#This Row],[MOLDURAS]])</f>
        <v>0</v>
      </c>
      <c r="CE452" s="3">
        <f>+IF(AVANCE[[#This Row],[PILASTREO]]=AR$2,100%,AVANCE[[#This Row],[PILASTREO]])</f>
        <v>0</v>
      </c>
      <c r="CF452" s="3">
        <f>+IF(AVANCE[[#This Row],[CELOSIAS]]=AS$2,100%,AVANCE[[#This Row],[CELOSIAS]])</f>
        <v>0</v>
      </c>
      <c r="CG452" s="3">
        <f>+IF(AVANCE[[#This Row],[VENTANAS]]=AT$2,100%,AVANCE[[#This Row],[VENTANAS]])</f>
        <v>0</v>
      </c>
      <c r="CH452" s="3">
        <f>+IF(AVANCE[[#This Row],[PUERTAS ACCESO - LOGIA - BANO]]=AU$2,100%,AVANCE[[#This Row],[PUERTAS ACCESO - LOGIA - BANO]])</f>
        <v>0</v>
      </c>
      <c r="CI452" s="3">
        <f>+IF(AVANCE[[#This Row],[CERRADURAS]]=AV$2,100%,AVANCE[[#This Row],[CERRADURAS]])</f>
        <v>0</v>
      </c>
      <c r="CJ452" s="3">
        <f>+IF(AVANCE[[#This Row],[REVESTIMIENTO INTERIOR ZONA SECA]]=AW$2,100%,AVANCE[[#This Row],[REVESTIMIENTO INTERIOR ZONA SECA]])</f>
        <v>0</v>
      </c>
      <c r="CK452" s="3">
        <f>+IF(AVANCE[[#This Row],[REVESTIMIENTO INTERIOR ZONAS HUMEDAS]]=AX$2,100%,AVANCE[[#This Row],[REVESTIMIENTO INTERIOR ZONAS HUMEDAS]])</f>
        <v>0</v>
      </c>
      <c r="CL452" s="3">
        <f>+IF(AVANCE[[#This Row],[MEMBRANA CIELO]]=AY$2,100%,AVANCE[[#This Row],[MEMBRANA CIELO]])</f>
        <v>0</v>
      </c>
      <c r="CM452" s="3">
        <f>+IF(AVANCE[[#This Row],[LIMPIEZA FINAL]]=AZ$2,100%,AVANCE[[#This Row],[LIMPIEZA FINAL]])</f>
        <v>0</v>
      </c>
      <c r="CN452" s="3">
        <f>+IF(AVANCE[[#This Row],[PUERTAS DORMITORIO]]=BA$2,100%,AVANCE[[#This Row],[PUERTAS DORMITORIO]])</f>
        <v>0</v>
      </c>
      <c r="CO452" s="3">
        <f>+IF(AVANCE[[#This Row],[REVESTIMIENTO INTERIOR BANO]]=BB$2,100%,AVANCE[[#This Row],[REVESTIMIENTO INTERIOR BANO]])</f>
        <v>0</v>
      </c>
      <c r="CP452" s="3">
        <f>+IF(AVANCE[[#This Row],[MUEBLE LAVAPLATOS]]=BC$2,100%,AVANCE[[#This Row],[MUEBLE LAVAPLATOS]])</f>
        <v>0</v>
      </c>
      <c r="CQ452" s="3">
        <f>+IF(AVANCE[[#This Row],[IMPERMEABILIZACION BANO - COCINA LOGIA]]=BD$2,100%,AVANCE[[#This Row],[IMPERMEABILIZACION BANO - COCINA LOGIA]])</f>
        <v>0</v>
      </c>
      <c r="CR452" s="40">
        <f ca="1">+IF(AVANCE[[#This Row],[ESTADO MODULO]]="PENDIENTE",(TODAY()-AVANCE[[#This Row],[FECHA TERMINO  PLANIFICADO]]),0)</f>
        <v>0</v>
      </c>
      <c r="CS452" s="42" t="str" cm="1">
        <f t="array" ref="CS452">_xlfn.TEXTJOIN(" | ",TRUE,IF(SUMPRODUCT((BF452:CQ452&lt;1)*(PARTIDAS!$I$2:$AT$2="OBRA GRUESA"))&gt;0,"OBRA GRUESA: "&amp;_xlfn.TEXTJOIN(", ",TRUE,IF((BF452:CQ452&lt;1)*(PARTIDAS!$I$2:$AT$2="OBRA GRUESA"),PARTIDAS!$I$1:$AT$1,"")),""),IF(SUMPRODUCT((BF452:CQ452&lt;1)*(PARTIDAS!$I$2:$AT$2="SANITARIOS"))&gt;0,"SANITARIOS: "&amp;_xlfn.TEXTJOIN(", ",TRUE,IF((BF452:CQ452&lt;1)*(PARTIDAS!$I$2:$AT$2="SANITARIOS"),PARTIDAS!$I$1:$AT$1,"")),""),IF(SUMPRODUCT((BF452:CQ452&lt;1)*(PARTIDAS!$I$2:$AT$2="ELÉCTRICO"))&gt;0,"ELÉCTRICO: "&amp;_xlfn.TEXTJOIN(", ",TRUE,IF((BF452:CQ452&lt;1)*(PARTIDAS!$I$2:$AT$2="ELÉCTRICO"),PARTIDAS!$I$1:$AT$1,"")),""),IF(SUMPRODUCT((BF452:CQ452&lt;1)*(PARTIDAS!$I$2:$AT$2="TERMINACIONES"))&gt;0,"TERMINACIONES: "&amp;_xlfn.TEXTJOIN(", ",TRUE,IF((BF452:CQ452&lt;1)*(PARTIDAS!$I$2:$AT$2="TERMINACIONES"),PARTIDAS!$I$1:$AT$1,"")),""))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2" s="45" t="str" cm="1">
        <f t="array" ref="CT452">_xlfn.TEXTJOIN(", ",TRUE,IF(SUMPRODUCT((BF452:CQ452&lt;1)*(PARTIDAS!$I$2:$AT$2="OBRA GRUESA"))&gt;0,"OBRA GRUESA",""),IF(SUMPRODUCT((BF452:CQ452&lt;1)*(PARTIDAS!$I$2:$AT$2="SANITARIOS"))&gt;0,"SANITARIOS",""),IF(SUMPRODUCT((BF452:CQ452&lt;1)*(PARTIDAS!$I$2:$AT$2="ELÉCTRICO"))&gt;0,"ELÉCTRICO",""),IF(SUMPRODUCT((BF452:CQ452&lt;1)*(PARTIDAS!$I$2:$AT$2="TERMINACIONES"))&gt;0,"TERMINACIONES",""))</f>
        <v>OBRA GRUESA, SANITARIOS, ELÉCTRICO, TERMINACIONES</v>
      </c>
      <c r="CU452" s="46" cm="1">
        <f t="array" ref="CU452">SUMPRODUCT(--(BF452:CQ452&lt;1))</f>
        <v>38</v>
      </c>
    </row>
    <row r="453" spans="1:99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46181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 s="3" t="str">
        <f>+IF(AVANCE[[#This Row],[% AVANCE]]=100%,"MODULO TERMINADO",IF(AVANCE[[#This Row],[FECHA INICIO REAL]]="","MODULO NO INICIADO","PENDIENTE"))</f>
        <v>MODULO NO INICIADO</v>
      </c>
      <c r="BF453" s="3">
        <f>+IF(AVANCE[[#This Row],[VENTANAS]]=8.10810810810811%,100%,AVANCE[[#This Row],[VENTANAS]])</f>
        <v>0</v>
      </c>
      <c r="BG453" s="3">
        <f>+IF(AVANCE[[#This Row],[PISO]]=N$2,100%,AVANCE[[#This Row],[PISO]])</f>
        <v>0</v>
      </c>
      <c r="BH453" s="3">
        <f>+IF(AVANCE[[#This Row],[TABIQUES]]=O$2,100%,AVANCE[[#This Row],[TABIQUES]])</f>
        <v>0</v>
      </c>
      <c r="BI453" s="3">
        <f>+IF(AVANCE[[#This Row],[MUROS]]=P$2,100%,AVANCE[[#This Row],[MUROS]])</f>
        <v>0</v>
      </c>
      <c r="BJ453" s="3">
        <f>+IF(AVANCE[[#This Row],[CIELO]]=Q$2,100%,AVANCE[[#This Row],[CIELO]])</f>
        <v>0</v>
      </c>
      <c r="BK453" s="3">
        <f>+IF(AVANCE[[#This Row],[BALCÓN]]=R$2,100%,AVANCE[[#This Row],[BALCÓN]])</f>
        <v>0</v>
      </c>
      <c r="BL453" s="3">
        <f>+IF(AVANCE[[#This Row],[RED ALCANTARILLADO]]=U$2,100%,AVANCE[[#This Row],[RED ALCANTARILLADO]])</f>
        <v>0</v>
      </c>
      <c r="BM453" s="3">
        <f>+IF(AVANCE[[#This Row],[RED DE AGUA]]=V$2,100%,AVANCE[[#This Row],[RED DE AGUA]])</f>
        <v>0</v>
      </c>
      <c r="BN453" s="3">
        <f>+IF(AVANCE[[#This Row],[VENTILACIONES]]=W$2,100%,AVANCE[[#This Row],[VENTILACIONES]])</f>
        <v>0</v>
      </c>
      <c r="BO453" s="3">
        <f>+IF(AVANCE[[#This Row],[TINA]]=X$2,100%,AVANCE[[#This Row],[TINA]])</f>
        <v>0</v>
      </c>
      <c r="BP453" s="3">
        <f>+IF(AVANCE[[#This Row],[WC]]=Y$2,100%,AVANCE[[#This Row],[WC]])</f>
        <v>0</v>
      </c>
      <c r="BQ453" s="3">
        <f>+IF(AVANCE[[#This Row],[LAVAMANOS / LAVAPLATOS / LAVADERO]]=Z$2,100%,AVANCE[[#This Row],[LAVAMANOS / LAVAPLATOS / LAVADERO]])</f>
        <v>0</v>
      </c>
      <c r="BR453" s="3">
        <f>+IF(AVANCE[[#This Row],[CANALIZACIÓN]]=AC$2,100%,AVANCE[[#This Row],[CANALIZACIÓN]])</f>
        <v>0</v>
      </c>
      <c r="BS453" s="3">
        <f>+IF(AVANCE[[#This Row],[CABLEADO]]=AD$2,100%,AVANCE[[#This Row],[CABLEADO]])</f>
        <v>0</v>
      </c>
      <c r="BT453" s="3">
        <f>+IF(AVANCE[[#This Row],[ARTEFACTOS]]=AE$2,100%,AVANCE[[#This Row],[ARTEFACTOS]])</f>
        <v>0</v>
      </c>
      <c r="BU453" s="3">
        <f>+IF(AVANCE[[#This Row],[TABLERO]]=AF$2,100%,AVANCE[[#This Row],[TABLERO]])</f>
        <v>0</v>
      </c>
      <c r="BV453" s="3">
        <f>+IF(AVANCE[[#This Row],[CAJA PAU]]=AG$2,100%,AVANCE[[#This Row],[CAJA PAU]])</f>
        <v>0</v>
      </c>
      <c r="BW453" s="3">
        <f>+IF(AVANCE[[#This Row],[INSTALACION VINILICO]]=AJ$2,100%,AVANCE[[#This Row],[INSTALACION VINILICO]])</f>
        <v>0</v>
      </c>
      <c r="BX453" s="3">
        <f>+IF(AVANCE[[#This Row],[OSB CUBIERTA]]=AK$2,100%,AVANCE[[#This Row],[OSB CUBIERTA]])</f>
        <v>0</v>
      </c>
      <c r="BY453" s="3">
        <f>+IF(AVANCE[[#This Row],[BARANDA BALCON]]=AL$2,100%,AVANCE[[#This Row],[BARANDA BALCON]])</f>
        <v>0</v>
      </c>
      <c r="BZ453" s="3">
        <f>+IF(AVANCE[[#This Row],[OSB EXTERIOR]]=AM$2,100%,AVANCE[[#This Row],[OSB EXTERIOR]])</f>
        <v>0</v>
      </c>
      <c r="CA453" s="3">
        <f>+IF(AVANCE[[#This Row],[SMART PANEL]]=AN$2,100%,AVANCE[[#This Row],[SMART PANEL]])</f>
        <v>0</v>
      </c>
      <c r="CB453" s="3">
        <f>+IF(AVANCE[[#This Row],[PINTURA EXTERIOR]]=AO$2,100%,AVANCE[[#This Row],[PINTURA EXTERIOR]])</f>
        <v>0</v>
      </c>
      <c r="CC453" s="3">
        <f>+IF(AVANCE[[#This Row],[ZOCALOS LOGIA]]=AP$2,100%,AVANCE[[#This Row],[ZOCALOS LOGIA]])</f>
        <v>0</v>
      </c>
      <c r="CD453" s="3">
        <f>+IF(AVANCE[[#This Row],[MOLDURAS]]=AQ$2,100%,AVANCE[[#This Row],[MOLDURAS]])</f>
        <v>0</v>
      </c>
      <c r="CE453" s="3">
        <f>+IF(AVANCE[[#This Row],[PILASTREO]]=AR$2,100%,AVANCE[[#This Row],[PILASTREO]])</f>
        <v>0</v>
      </c>
      <c r="CF453" s="3">
        <f>+IF(AVANCE[[#This Row],[CELOSIAS]]=AS$2,100%,AVANCE[[#This Row],[CELOSIAS]])</f>
        <v>0</v>
      </c>
      <c r="CG453" s="3">
        <f>+IF(AVANCE[[#This Row],[VENTANAS]]=AT$2,100%,AVANCE[[#This Row],[VENTANAS]])</f>
        <v>0</v>
      </c>
      <c r="CH453" s="3">
        <f>+IF(AVANCE[[#This Row],[PUERTAS ACCESO - LOGIA - BANO]]=AU$2,100%,AVANCE[[#This Row],[PUERTAS ACCESO - LOGIA - BANO]])</f>
        <v>0</v>
      </c>
      <c r="CI453" s="3">
        <f>+IF(AVANCE[[#This Row],[CERRADURAS]]=AV$2,100%,AVANCE[[#This Row],[CERRADURAS]])</f>
        <v>0</v>
      </c>
      <c r="CJ453" s="3">
        <f>+IF(AVANCE[[#This Row],[REVESTIMIENTO INTERIOR ZONA SECA]]=AW$2,100%,AVANCE[[#This Row],[REVESTIMIENTO INTERIOR ZONA SECA]])</f>
        <v>0</v>
      </c>
      <c r="CK453" s="3">
        <f>+IF(AVANCE[[#This Row],[REVESTIMIENTO INTERIOR ZONAS HUMEDAS]]=AX$2,100%,AVANCE[[#This Row],[REVESTIMIENTO INTERIOR ZONAS HUMEDAS]])</f>
        <v>0</v>
      </c>
      <c r="CL453" s="3">
        <f>+IF(AVANCE[[#This Row],[MEMBRANA CIELO]]=AY$2,100%,AVANCE[[#This Row],[MEMBRANA CIELO]])</f>
        <v>0</v>
      </c>
      <c r="CM453" s="3">
        <f>+IF(AVANCE[[#This Row],[LIMPIEZA FINAL]]=AZ$2,100%,AVANCE[[#This Row],[LIMPIEZA FINAL]])</f>
        <v>0</v>
      </c>
      <c r="CN453" s="3">
        <f>+IF(AVANCE[[#This Row],[PUERTAS DORMITORIO]]=BA$2,100%,AVANCE[[#This Row],[PUERTAS DORMITORIO]])</f>
        <v>0</v>
      </c>
      <c r="CO453" s="3">
        <f>+IF(AVANCE[[#This Row],[REVESTIMIENTO INTERIOR BANO]]=BB$2,100%,AVANCE[[#This Row],[REVESTIMIENTO INTERIOR BANO]])</f>
        <v>0</v>
      </c>
      <c r="CP453" s="3">
        <f>+IF(AVANCE[[#This Row],[MUEBLE LAVAPLATOS]]=BC$2,100%,AVANCE[[#This Row],[MUEBLE LAVAPLATOS]])</f>
        <v>0</v>
      </c>
      <c r="CQ453" s="3">
        <f>+IF(AVANCE[[#This Row],[IMPERMEABILIZACION BANO - COCINA LOGIA]]=BD$2,100%,AVANCE[[#This Row],[IMPERMEABILIZACION BANO - COCINA LOGIA]])</f>
        <v>0</v>
      </c>
      <c r="CR453" s="40">
        <f ca="1">+IF(AVANCE[[#This Row],[ESTADO MODULO]]="PENDIENTE",(TODAY()-AVANCE[[#This Row],[FECHA TERMINO  PLANIFICADO]]),0)</f>
        <v>0</v>
      </c>
      <c r="CS453" s="42" t="str" cm="1">
        <f t="array" ref="CS453">_xlfn.TEXTJOIN(" | ",TRUE,IF(SUMPRODUCT((BF453:CQ453&lt;1)*(PARTIDAS!$I$2:$AT$2="OBRA GRUESA"))&gt;0,"OBRA GRUESA: "&amp;_xlfn.TEXTJOIN(", ",TRUE,IF((BF453:CQ453&lt;1)*(PARTIDAS!$I$2:$AT$2="OBRA GRUESA"),PARTIDAS!$I$1:$AT$1,"")),""),IF(SUMPRODUCT((BF453:CQ453&lt;1)*(PARTIDAS!$I$2:$AT$2="SANITARIOS"))&gt;0,"SANITARIOS: "&amp;_xlfn.TEXTJOIN(", ",TRUE,IF((BF453:CQ453&lt;1)*(PARTIDAS!$I$2:$AT$2="SANITARIOS"),PARTIDAS!$I$1:$AT$1,"")),""),IF(SUMPRODUCT((BF453:CQ453&lt;1)*(PARTIDAS!$I$2:$AT$2="ELÉCTRICO"))&gt;0,"ELÉCTRICO: "&amp;_xlfn.TEXTJOIN(", ",TRUE,IF((BF453:CQ453&lt;1)*(PARTIDAS!$I$2:$AT$2="ELÉCTRICO"),PARTIDAS!$I$1:$AT$1,"")),""),IF(SUMPRODUCT((BF453:CQ453&lt;1)*(PARTIDAS!$I$2:$AT$2="TERMINACIONES"))&gt;0,"TERMINACIONES: "&amp;_xlfn.TEXTJOIN(", ",TRUE,IF((BF453:CQ453&lt;1)*(PARTIDAS!$I$2:$AT$2="TERMINACIONES"),PARTIDAS!$I$1:$AT$1,"")),""))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3" s="45" t="str" cm="1">
        <f t="array" ref="CT453">_xlfn.TEXTJOIN(", ",TRUE,IF(SUMPRODUCT((BF453:CQ453&lt;1)*(PARTIDAS!$I$2:$AT$2="OBRA GRUESA"))&gt;0,"OBRA GRUESA",""),IF(SUMPRODUCT((BF453:CQ453&lt;1)*(PARTIDAS!$I$2:$AT$2="SANITARIOS"))&gt;0,"SANITARIOS",""),IF(SUMPRODUCT((BF453:CQ453&lt;1)*(PARTIDAS!$I$2:$AT$2="ELÉCTRICO"))&gt;0,"ELÉCTRICO",""),IF(SUMPRODUCT((BF453:CQ453&lt;1)*(PARTIDAS!$I$2:$AT$2="TERMINACIONES"))&gt;0,"TERMINACIONES",""))</f>
        <v>OBRA GRUESA, SANITARIOS, ELÉCTRICO, TERMINACIONES</v>
      </c>
      <c r="CU453" s="46" cm="1">
        <f t="array" ref="CU453">SUMPRODUCT(--(BF453:CQ453&lt;1))</f>
        <v>38</v>
      </c>
    </row>
    <row r="454" spans="1:99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46181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 s="3" t="str">
        <f>+IF(AVANCE[[#This Row],[% AVANCE]]=100%,"MODULO TERMINADO",IF(AVANCE[[#This Row],[FECHA INICIO REAL]]="","MODULO NO INICIADO","PENDIENTE"))</f>
        <v>MODULO NO INICIADO</v>
      </c>
      <c r="BF454" s="3">
        <f>+IF(AVANCE[[#This Row],[VENTANAS]]=8.10810810810811%,100%,AVANCE[[#This Row],[VENTANAS]])</f>
        <v>0</v>
      </c>
      <c r="BG454" s="3">
        <f>+IF(AVANCE[[#This Row],[PISO]]=N$2,100%,AVANCE[[#This Row],[PISO]])</f>
        <v>0</v>
      </c>
      <c r="BH454" s="3">
        <f>+IF(AVANCE[[#This Row],[TABIQUES]]=O$2,100%,AVANCE[[#This Row],[TABIQUES]])</f>
        <v>0</v>
      </c>
      <c r="BI454" s="3">
        <f>+IF(AVANCE[[#This Row],[MUROS]]=P$2,100%,AVANCE[[#This Row],[MUROS]])</f>
        <v>0</v>
      </c>
      <c r="BJ454" s="3">
        <f>+IF(AVANCE[[#This Row],[CIELO]]=Q$2,100%,AVANCE[[#This Row],[CIELO]])</f>
        <v>0</v>
      </c>
      <c r="BK454" s="3">
        <f>+IF(AVANCE[[#This Row],[BALCÓN]]=R$2,100%,AVANCE[[#This Row],[BALCÓN]])</f>
        <v>0</v>
      </c>
      <c r="BL454" s="3">
        <f>+IF(AVANCE[[#This Row],[RED ALCANTARILLADO]]=U$2,100%,AVANCE[[#This Row],[RED ALCANTARILLADO]])</f>
        <v>0</v>
      </c>
      <c r="BM454" s="3">
        <f>+IF(AVANCE[[#This Row],[RED DE AGUA]]=V$2,100%,AVANCE[[#This Row],[RED DE AGUA]])</f>
        <v>0</v>
      </c>
      <c r="BN454" s="3">
        <f>+IF(AVANCE[[#This Row],[VENTILACIONES]]=W$2,100%,AVANCE[[#This Row],[VENTILACIONES]])</f>
        <v>0</v>
      </c>
      <c r="BO454" s="3">
        <f>+IF(AVANCE[[#This Row],[TINA]]=X$2,100%,AVANCE[[#This Row],[TINA]])</f>
        <v>0</v>
      </c>
      <c r="BP454" s="3">
        <f>+IF(AVANCE[[#This Row],[WC]]=Y$2,100%,AVANCE[[#This Row],[WC]])</f>
        <v>0</v>
      </c>
      <c r="BQ454" s="3">
        <f>+IF(AVANCE[[#This Row],[LAVAMANOS / LAVAPLATOS / LAVADERO]]=Z$2,100%,AVANCE[[#This Row],[LAVAMANOS / LAVAPLATOS / LAVADERO]])</f>
        <v>0</v>
      </c>
      <c r="BR454" s="3">
        <f>+IF(AVANCE[[#This Row],[CANALIZACIÓN]]=AC$2,100%,AVANCE[[#This Row],[CANALIZACIÓN]])</f>
        <v>0</v>
      </c>
      <c r="BS454" s="3">
        <f>+IF(AVANCE[[#This Row],[CABLEADO]]=AD$2,100%,AVANCE[[#This Row],[CABLEADO]])</f>
        <v>0</v>
      </c>
      <c r="BT454" s="3">
        <f>+IF(AVANCE[[#This Row],[ARTEFACTOS]]=AE$2,100%,AVANCE[[#This Row],[ARTEFACTOS]])</f>
        <v>0</v>
      </c>
      <c r="BU454" s="3">
        <f>+IF(AVANCE[[#This Row],[TABLERO]]=AF$2,100%,AVANCE[[#This Row],[TABLERO]])</f>
        <v>0</v>
      </c>
      <c r="BV454" s="3">
        <f>+IF(AVANCE[[#This Row],[CAJA PAU]]=AG$2,100%,AVANCE[[#This Row],[CAJA PAU]])</f>
        <v>0</v>
      </c>
      <c r="BW454" s="3">
        <f>+IF(AVANCE[[#This Row],[INSTALACION VINILICO]]=AJ$2,100%,AVANCE[[#This Row],[INSTALACION VINILICO]])</f>
        <v>0</v>
      </c>
      <c r="BX454" s="3">
        <f>+IF(AVANCE[[#This Row],[OSB CUBIERTA]]=AK$2,100%,AVANCE[[#This Row],[OSB CUBIERTA]])</f>
        <v>0</v>
      </c>
      <c r="BY454" s="3">
        <f>+IF(AVANCE[[#This Row],[BARANDA BALCON]]=AL$2,100%,AVANCE[[#This Row],[BARANDA BALCON]])</f>
        <v>0</v>
      </c>
      <c r="BZ454" s="3">
        <f>+IF(AVANCE[[#This Row],[OSB EXTERIOR]]=AM$2,100%,AVANCE[[#This Row],[OSB EXTERIOR]])</f>
        <v>0</v>
      </c>
      <c r="CA454" s="3">
        <f>+IF(AVANCE[[#This Row],[SMART PANEL]]=AN$2,100%,AVANCE[[#This Row],[SMART PANEL]])</f>
        <v>0</v>
      </c>
      <c r="CB454" s="3">
        <f>+IF(AVANCE[[#This Row],[PINTURA EXTERIOR]]=AO$2,100%,AVANCE[[#This Row],[PINTURA EXTERIOR]])</f>
        <v>0</v>
      </c>
      <c r="CC454" s="3">
        <f>+IF(AVANCE[[#This Row],[ZOCALOS LOGIA]]=AP$2,100%,AVANCE[[#This Row],[ZOCALOS LOGIA]])</f>
        <v>0</v>
      </c>
      <c r="CD454" s="3">
        <f>+IF(AVANCE[[#This Row],[MOLDURAS]]=AQ$2,100%,AVANCE[[#This Row],[MOLDURAS]])</f>
        <v>0</v>
      </c>
      <c r="CE454" s="3">
        <f>+IF(AVANCE[[#This Row],[PILASTREO]]=AR$2,100%,AVANCE[[#This Row],[PILASTREO]])</f>
        <v>0</v>
      </c>
      <c r="CF454" s="3">
        <f>+IF(AVANCE[[#This Row],[CELOSIAS]]=AS$2,100%,AVANCE[[#This Row],[CELOSIAS]])</f>
        <v>0</v>
      </c>
      <c r="CG454" s="3">
        <f>+IF(AVANCE[[#This Row],[VENTANAS]]=AT$2,100%,AVANCE[[#This Row],[VENTANAS]])</f>
        <v>0</v>
      </c>
      <c r="CH454" s="3">
        <f>+IF(AVANCE[[#This Row],[PUERTAS ACCESO - LOGIA - BANO]]=AU$2,100%,AVANCE[[#This Row],[PUERTAS ACCESO - LOGIA - BANO]])</f>
        <v>0</v>
      </c>
      <c r="CI454" s="3">
        <f>+IF(AVANCE[[#This Row],[CERRADURAS]]=AV$2,100%,AVANCE[[#This Row],[CERRADURAS]])</f>
        <v>0</v>
      </c>
      <c r="CJ454" s="3">
        <f>+IF(AVANCE[[#This Row],[REVESTIMIENTO INTERIOR ZONA SECA]]=AW$2,100%,AVANCE[[#This Row],[REVESTIMIENTO INTERIOR ZONA SECA]])</f>
        <v>0</v>
      </c>
      <c r="CK454" s="3">
        <f>+IF(AVANCE[[#This Row],[REVESTIMIENTO INTERIOR ZONAS HUMEDAS]]=AX$2,100%,AVANCE[[#This Row],[REVESTIMIENTO INTERIOR ZONAS HUMEDAS]])</f>
        <v>0</v>
      </c>
      <c r="CL454" s="3">
        <f>+IF(AVANCE[[#This Row],[MEMBRANA CIELO]]=AY$2,100%,AVANCE[[#This Row],[MEMBRANA CIELO]])</f>
        <v>0</v>
      </c>
      <c r="CM454" s="3">
        <f>+IF(AVANCE[[#This Row],[LIMPIEZA FINAL]]=AZ$2,100%,AVANCE[[#This Row],[LIMPIEZA FINAL]])</f>
        <v>0</v>
      </c>
      <c r="CN454" s="3">
        <f>+IF(AVANCE[[#This Row],[PUERTAS DORMITORIO]]=BA$2,100%,AVANCE[[#This Row],[PUERTAS DORMITORIO]])</f>
        <v>0</v>
      </c>
      <c r="CO454" s="3">
        <f>+IF(AVANCE[[#This Row],[REVESTIMIENTO INTERIOR BANO]]=BB$2,100%,AVANCE[[#This Row],[REVESTIMIENTO INTERIOR BANO]])</f>
        <v>0</v>
      </c>
      <c r="CP454" s="3">
        <f>+IF(AVANCE[[#This Row],[MUEBLE LAVAPLATOS]]=BC$2,100%,AVANCE[[#This Row],[MUEBLE LAVAPLATOS]])</f>
        <v>0</v>
      </c>
      <c r="CQ454" s="3">
        <f>+IF(AVANCE[[#This Row],[IMPERMEABILIZACION BANO - COCINA LOGIA]]=BD$2,100%,AVANCE[[#This Row],[IMPERMEABILIZACION BANO - COCINA LOGIA]])</f>
        <v>0</v>
      </c>
      <c r="CR454" s="40">
        <f ca="1">+IF(AVANCE[[#This Row],[ESTADO MODULO]]="PENDIENTE",(TODAY()-AVANCE[[#This Row],[FECHA TERMINO  PLANIFICADO]]),0)</f>
        <v>0</v>
      </c>
      <c r="CS454" s="42" t="str" cm="1">
        <f t="array" ref="CS454">_xlfn.TEXTJOIN(" | ",TRUE,IF(SUMPRODUCT((BF454:CQ454&lt;1)*(PARTIDAS!$I$2:$AT$2="OBRA GRUESA"))&gt;0,"OBRA GRUESA: "&amp;_xlfn.TEXTJOIN(", ",TRUE,IF((BF454:CQ454&lt;1)*(PARTIDAS!$I$2:$AT$2="OBRA GRUESA"),PARTIDAS!$I$1:$AT$1,"")),""),IF(SUMPRODUCT((BF454:CQ454&lt;1)*(PARTIDAS!$I$2:$AT$2="SANITARIOS"))&gt;0,"SANITARIOS: "&amp;_xlfn.TEXTJOIN(", ",TRUE,IF((BF454:CQ454&lt;1)*(PARTIDAS!$I$2:$AT$2="SANITARIOS"),PARTIDAS!$I$1:$AT$1,"")),""),IF(SUMPRODUCT((BF454:CQ454&lt;1)*(PARTIDAS!$I$2:$AT$2="ELÉCTRICO"))&gt;0,"ELÉCTRICO: "&amp;_xlfn.TEXTJOIN(", ",TRUE,IF((BF454:CQ454&lt;1)*(PARTIDAS!$I$2:$AT$2="ELÉCTRICO"),PARTIDAS!$I$1:$AT$1,"")),""),IF(SUMPRODUCT((BF454:CQ454&lt;1)*(PARTIDAS!$I$2:$AT$2="TERMINACIONES"))&gt;0,"TERMINACIONES: "&amp;_xlfn.TEXTJOIN(", ",TRUE,IF((BF454:CQ454&lt;1)*(PARTIDAS!$I$2:$AT$2="TERMINACIONES"),PARTIDAS!$I$1:$AT$1,"")),""))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4" s="45" t="str" cm="1">
        <f t="array" ref="CT454">_xlfn.TEXTJOIN(", ",TRUE,IF(SUMPRODUCT((BF454:CQ454&lt;1)*(PARTIDAS!$I$2:$AT$2="OBRA GRUESA"))&gt;0,"OBRA GRUESA",""),IF(SUMPRODUCT((BF454:CQ454&lt;1)*(PARTIDAS!$I$2:$AT$2="SANITARIOS"))&gt;0,"SANITARIOS",""),IF(SUMPRODUCT((BF454:CQ454&lt;1)*(PARTIDAS!$I$2:$AT$2="ELÉCTRICO"))&gt;0,"ELÉCTRICO",""),IF(SUMPRODUCT((BF454:CQ454&lt;1)*(PARTIDAS!$I$2:$AT$2="TERMINACIONES"))&gt;0,"TERMINACIONES",""))</f>
        <v>OBRA GRUESA, SANITARIOS, ELÉCTRICO, TERMINACIONES</v>
      </c>
      <c r="CU454" s="46" cm="1">
        <f t="array" ref="CU454">SUMPRODUCT(--(BF454:CQ454&lt;1))</f>
        <v>38</v>
      </c>
    </row>
    <row r="455" spans="1:99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46181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 s="3" t="str">
        <f>+IF(AVANCE[[#This Row],[% AVANCE]]=100%,"MODULO TERMINADO",IF(AVANCE[[#This Row],[FECHA INICIO REAL]]="","MODULO NO INICIADO","PENDIENTE"))</f>
        <v>MODULO NO INICIADO</v>
      </c>
      <c r="BF455" s="3">
        <f>+IF(AVANCE[[#This Row],[VENTANAS]]=8.10810810810811%,100%,AVANCE[[#This Row],[VENTANAS]])</f>
        <v>0</v>
      </c>
      <c r="BG455" s="3">
        <f>+IF(AVANCE[[#This Row],[PISO]]=N$2,100%,AVANCE[[#This Row],[PISO]])</f>
        <v>0</v>
      </c>
      <c r="BH455" s="3">
        <f>+IF(AVANCE[[#This Row],[TABIQUES]]=O$2,100%,AVANCE[[#This Row],[TABIQUES]])</f>
        <v>0</v>
      </c>
      <c r="BI455" s="3">
        <f>+IF(AVANCE[[#This Row],[MUROS]]=P$2,100%,AVANCE[[#This Row],[MUROS]])</f>
        <v>0</v>
      </c>
      <c r="BJ455" s="3">
        <f>+IF(AVANCE[[#This Row],[CIELO]]=Q$2,100%,AVANCE[[#This Row],[CIELO]])</f>
        <v>0</v>
      </c>
      <c r="BK455" s="3">
        <f>+IF(AVANCE[[#This Row],[BALCÓN]]=R$2,100%,AVANCE[[#This Row],[BALCÓN]])</f>
        <v>0</v>
      </c>
      <c r="BL455" s="3">
        <f>+IF(AVANCE[[#This Row],[RED ALCANTARILLADO]]=U$2,100%,AVANCE[[#This Row],[RED ALCANTARILLADO]])</f>
        <v>0</v>
      </c>
      <c r="BM455" s="3">
        <f>+IF(AVANCE[[#This Row],[RED DE AGUA]]=V$2,100%,AVANCE[[#This Row],[RED DE AGUA]])</f>
        <v>0</v>
      </c>
      <c r="BN455" s="3">
        <f>+IF(AVANCE[[#This Row],[VENTILACIONES]]=W$2,100%,AVANCE[[#This Row],[VENTILACIONES]])</f>
        <v>0</v>
      </c>
      <c r="BO455" s="3">
        <f>+IF(AVANCE[[#This Row],[TINA]]=X$2,100%,AVANCE[[#This Row],[TINA]])</f>
        <v>0</v>
      </c>
      <c r="BP455" s="3">
        <f>+IF(AVANCE[[#This Row],[WC]]=Y$2,100%,AVANCE[[#This Row],[WC]])</f>
        <v>0</v>
      </c>
      <c r="BQ455" s="3">
        <f>+IF(AVANCE[[#This Row],[LAVAMANOS / LAVAPLATOS / LAVADERO]]=Z$2,100%,AVANCE[[#This Row],[LAVAMANOS / LAVAPLATOS / LAVADERO]])</f>
        <v>0</v>
      </c>
      <c r="BR455" s="3">
        <f>+IF(AVANCE[[#This Row],[CANALIZACIÓN]]=AC$2,100%,AVANCE[[#This Row],[CANALIZACIÓN]])</f>
        <v>0</v>
      </c>
      <c r="BS455" s="3">
        <f>+IF(AVANCE[[#This Row],[CABLEADO]]=AD$2,100%,AVANCE[[#This Row],[CABLEADO]])</f>
        <v>0</v>
      </c>
      <c r="BT455" s="3">
        <f>+IF(AVANCE[[#This Row],[ARTEFACTOS]]=AE$2,100%,AVANCE[[#This Row],[ARTEFACTOS]])</f>
        <v>0</v>
      </c>
      <c r="BU455" s="3">
        <f>+IF(AVANCE[[#This Row],[TABLERO]]=AF$2,100%,AVANCE[[#This Row],[TABLERO]])</f>
        <v>0</v>
      </c>
      <c r="BV455" s="3">
        <f>+IF(AVANCE[[#This Row],[CAJA PAU]]=AG$2,100%,AVANCE[[#This Row],[CAJA PAU]])</f>
        <v>0</v>
      </c>
      <c r="BW455" s="3">
        <f>+IF(AVANCE[[#This Row],[INSTALACION VINILICO]]=AJ$2,100%,AVANCE[[#This Row],[INSTALACION VINILICO]])</f>
        <v>0</v>
      </c>
      <c r="BX455" s="3">
        <f>+IF(AVANCE[[#This Row],[OSB CUBIERTA]]=AK$2,100%,AVANCE[[#This Row],[OSB CUBIERTA]])</f>
        <v>0</v>
      </c>
      <c r="BY455" s="3">
        <f>+IF(AVANCE[[#This Row],[BARANDA BALCON]]=AL$2,100%,AVANCE[[#This Row],[BARANDA BALCON]])</f>
        <v>0</v>
      </c>
      <c r="BZ455" s="3">
        <f>+IF(AVANCE[[#This Row],[OSB EXTERIOR]]=AM$2,100%,AVANCE[[#This Row],[OSB EXTERIOR]])</f>
        <v>0</v>
      </c>
      <c r="CA455" s="3">
        <f>+IF(AVANCE[[#This Row],[SMART PANEL]]=AN$2,100%,AVANCE[[#This Row],[SMART PANEL]])</f>
        <v>0</v>
      </c>
      <c r="CB455" s="3">
        <f>+IF(AVANCE[[#This Row],[PINTURA EXTERIOR]]=AO$2,100%,AVANCE[[#This Row],[PINTURA EXTERIOR]])</f>
        <v>0</v>
      </c>
      <c r="CC455" s="3">
        <f>+IF(AVANCE[[#This Row],[ZOCALOS LOGIA]]=AP$2,100%,AVANCE[[#This Row],[ZOCALOS LOGIA]])</f>
        <v>0</v>
      </c>
      <c r="CD455" s="3">
        <f>+IF(AVANCE[[#This Row],[MOLDURAS]]=AQ$2,100%,AVANCE[[#This Row],[MOLDURAS]])</f>
        <v>0</v>
      </c>
      <c r="CE455" s="3">
        <f>+IF(AVANCE[[#This Row],[PILASTREO]]=AR$2,100%,AVANCE[[#This Row],[PILASTREO]])</f>
        <v>0</v>
      </c>
      <c r="CF455" s="3">
        <f>+IF(AVANCE[[#This Row],[CELOSIAS]]=AS$2,100%,AVANCE[[#This Row],[CELOSIAS]])</f>
        <v>0</v>
      </c>
      <c r="CG455" s="3">
        <f>+IF(AVANCE[[#This Row],[VENTANAS]]=AT$2,100%,AVANCE[[#This Row],[VENTANAS]])</f>
        <v>0</v>
      </c>
      <c r="CH455" s="3">
        <f>+IF(AVANCE[[#This Row],[PUERTAS ACCESO - LOGIA - BANO]]=AU$2,100%,AVANCE[[#This Row],[PUERTAS ACCESO - LOGIA - BANO]])</f>
        <v>0</v>
      </c>
      <c r="CI455" s="3">
        <f>+IF(AVANCE[[#This Row],[CERRADURAS]]=AV$2,100%,AVANCE[[#This Row],[CERRADURAS]])</f>
        <v>0</v>
      </c>
      <c r="CJ455" s="3">
        <f>+IF(AVANCE[[#This Row],[REVESTIMIENTO INTERIOR ZONA SECA]]=AW$2,100%,AVANCE[[#This Row],[REVESTIMIENTO INTERIOR ZONA SECA]])</f>
        <v>0</v>
      </c>
      <c r="CK455" s="3">
        <f>+IF(AVANCE[[#This Row],[REVESTIMIENTO INTERIOR ZONAS HUMEDAS]]=AX$2,100%,AVANCE[[#This Row],[REVESTIMIENTO INTERIOR ZONAS HUMEDAS]])</f>
        <v>0</v>
      </c>
      <c r="CL455" s="3">
        <f>+IF(AVANCE[[#This Row],[MEMBRANA CIELO]]=AY$2,100%,AVANCE[[#This Row],[MEMBRANA CIELO]])</f>
        <v>0</v>
      </c>
      <c r="CM455" s="3">
        <f>+IF(AVANCE[[#This Row],[LIMPIEZA FINAL]]=AZ$2,100%,AVANCE[[#This Row],[LIMPIEZA FINAL]])</f>
        <v>0</v>
      </c>
      <c r="CN455" s="3">
        <f>+IF(AVANCE[[#This Row],[PUERTAS DORMITORIO]]=BA$2,100%,AVANCE[[#This Row],[PUERTAS DORMITORIO]])</f>
        <v>0</v>
      </c>
      <c r="CO455" s="3">
        <f>+IF(AVANCE[[#This Row],[REVESTIMIENTO INTERIOR BANO]]=BB$2,100%,AVANCE[[#This Row],[REVESTIMIENTO INTERIOR BANO]])</f>
        <v>0</v>
      </c>
      <c r="CP455" s="3">
        <f>+IF(AVANCE[[#This Row],[MUEBLE LAVAPLATOS]]=BC$2,100%,AVANCE[[#This Row],[MUEBLE LAVAPLATOS]])</f>
        <v>0</v>
      </c>
      <c r="CQ455" s="3">
        <f>+IF(AVANCE[[#This Row],[IMPERMEABILIZACION BANO - COCINA LOGIA]]=BD$2,100%,AVANCE[[#This Row],[IMPERMEABILIZACION BANO - COCINA LOGIA]])</f>
        <v>0</v>
      </c>
      <c r="CR455" s="40">
        <f ca="1">+IF(AVANCE[[#This Row],[ESTADO MODULO]]="PENDIENTE",(TODAY()-AVANCE[[#This Row],[FECHA TERMINO  PLANIFICADO]]),0)</f>
        <v>0</v>
      </c>
      <c r="CS455" s="42" t="str" cm="1">
        <f t="array" ref="CS455">_xlfn.TEXTJOIN(" | ",TRUE,IF(SUMPRODUCT((BF455:CQ455&lt;1)*(PARTIDAS!$I$2:$AT$2="OBRA GRUESA"))&gt;0,"OBRA GRUESA: "&amp;_xlfn.TEXTJOIN(", ",TRUE,IF((BF455:CQ455&lt;1)*(PARTIDAS!$I$2:$AT$2="OBRA GRUESA"),PARTIDAS!$I$1:$AT$1,"")),""),IF(SUMPRODUCT((BF455:CQ455&lt;1)*(PARTIDAS!$I$2:$AT$2="SANITARIOS"))&gt;0,"SANITARIOS: "&amp;_xlfn.TEXTJOIN(", ",TRUE,IF((BF455:CQ455&lt;1)*(PARTIDAS!$I$2:$AT$2="SANITARIOS"),PARTIDAS!$I$1:$AT$1,"")),""),IF(SUMPRODUCT((BF455:CQ455&lt;1)*(PARTIDAS!$I$2:$AT$2="ELÉCTRICO"))&gt;0,"ELÉCTRICO: "&amp;_xlfn.TEXTJOIN(", ",TRUE,IF((BF455:CQ455&lt;1)*(PARTIDAS!$I$2:$AT$2="ELÉCTRICO"),PARTIDAS!$I$1:$AT$1,"")),""),IF(SUMPRODUCT((BF455:CQ455&lt;1)*(PARTIDAS!$I$2:$AT$2="TERMINACIONES"))&gt;0,"TERMINACIONES: "&amp;_xlfn.TEXTJOIN(", ",TRUE,IF((BF455:CQ455&lt;1)*(PARTIDAS!$I$2:$AT$2="TERMINACIONES"),PARTIDAS!$I$1:$AT$1,"")),""))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5" s="45" t="str" cm="1">
        <f t="array" ref="CT455">_xlfn.TEXTJOIN(", ",TRUE,IF(SUMPRODUCT((BF455:CQ455&lt;1)*(PARTIDAS!$I$2:$AT$2="OBRA GRUESA"))&gt;0,"OBRA GRUESA",""),IF(SUMPRODUCT((BF455:CQ455&lt;1)*(PARTIDAS!$I$2:$AT$2="SANITARIOS"))&gt;0,"SANITARIOS",""),IF(SUMPRODUCT((BF455:CQ455&lt;1)*(PARTIDAS!$I$2:$AT$2="ELÉCTRICO"))&gt;0,"ELÉCTRICO",""),IF(SUMPRODUCT((BF455:CQ455&lt;1)*(PARTIDAS!$I$2:$AT$2="TERMINACIONES"))&gt;0,"TERMINACIONES",""))</f>
        <v>OBRA GRUESA, SANITARIOS, ELÉCTRICO, TERMINACIONES</v>
      </c>
      <c r="CU455" s="46" cm="1">
        <f t="array" ref="CU455">SUMPRODUCT(--(BF455:CQ455&lt;1))</f>
        <v>38</v>
      </c>
    </row>
    <row r="456" spans="1:99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46181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 s="3" t="str">
        <f>+IF(AVANCE[[#This Row],[% AVANCE]]=100%,"MODULO TERMINADO",IF(AVANCE[[#This Row],[FECHA INICIO REAL]]="","MODULO NO INICIADO","PENDIENTE"))</f>
        <v>MODULO NO INICIADO</v>
      </c>
      <c r="BF456" s="3">
        <f>+IF(AVANCE[[#This Row],[VENTANAS]]=8.10810810810811%,100%,AVANCE[[#This Row],[VENTANAS]])</f>
        <v>0</v>
      </c>
      <c r="BG456" s="3">
        <f>+IF(AVANCE[[#This Row],[PISO]]=N$2,100%,AVANCE[[#This Row],[PISO]])</f>
        <v>0</v>
      </c>
      <c r="BH456" s="3">
        <f>+IF(AVANCE[[#This Row],[TABIQUES]]=O$2,100%,AVANCE[[#This Row],[TABIQUES]])</f>
        <v>0</v>
      </c>
      <c r="BI456" s="3">
        <f>+IF(AVANCE[[#This Row],[MUROS]]=P$2,100%,AVANCE[[#This Row],[MUROS]])</f>
        <v>0</v>
      </c>
      <c r="BJ456" s="3">
        <f>+IF(AVANCE[[#This Row],[CIELO]]=Q$2,100%,AVANCE[[#This Row],[CIELO]])</f>
        <v>0</v>
      </c>
      <c r="BK456" s="3">
        <f>+IF(AVANCE[[#This Row],[BALCÓN]]=R$2,100%,AVANCE[[#This Row],[BALCÓN]])</f>
        <v>0</v>
      </c>
      <c r="BL456" s="3">
        <f>+IF(AVANCE[[#This Row],[RED ALCANTARILLADO]]=U$2,100%,AVANCE[[#This Row],[RED ALCANTARILLADO]])</f>
        <v>0</v>
      </c>
      <c r="BM456" s="3">
        <f>+IF(AVANCE[[#This Row],[RED DE AGUA]]=V$2,100%,AVANCE[[#This Row],[RED DE AGUA]])</f>
        <v>0</v>
      </c>
      <c r="BN456" s="3">
        <f>+IF(AVANCE[[#This Row],[VENTILACIONES]]=W$2,100%,AVANCE[[#This Row],[VENTILACIONES]])</f>
        <v>0</v>
      </c>
      <c r="BO456" s="3">
        <f>+IF(AVANCE[[#This Row],[TINA]]=X$2,100%,AVANCE[[#This Row],[TINA]])</f>
        <v>0</v>
      </c>
      <c r="BP456" s="3">
        <f>+IF(AVANCE[[#This Row],[WC]]=Y$2,100%,AVANCE[[#This Row],[WC]])</f>
        <v>0</v>
      </c>
      <c r="BQ456" s="3">
        <f>+IF(AVANCE[[#This Row],[LAVAMANOS / LAVAPLATOS / LAVADERO]]=Z$2,100%,AVANCE[[#This Row],[LAVAMANOS / LAVAPLATOS / LAVADERO]])</f>
        <v>0</v>
      </c>
      <c r="BR456" s="3">
        <f>+IF(AVANCE[[#This Row],[CANALIZACIÓN]]=AC$2,100%,AVANCE[[#This Row],[CANALIZACIÓN]])</f>
        <v>0</v>
      </c>
      <c r="BS456" s="3">
        <f>+IF(AVANCE[[#This Row],[CABLEADO]]=AD$2,100%,AVANCE[[#This Row],[CABLEADO]])</f>
        <v>0</v>
      </c>
      <c r="BT456" s="3">
        <f>+IF(AVANCE[[#This Row],[ARTEFACTOS]]=AE$2,100%,AVANCE[[#This Row],[ARTEFACTOS]])</f>
        <v>0</v>
      </c>
      <c r="BU456" s="3">
        <f>+IF(AVANCE[[#This Row],[TABLERO]]=AF$2,100%,AVANCE[[#This Row],[TABLERO]])</f>
        <v>0</v>
      </c>
      <c r="BV456" s="3">
        <f>+IF(AVANCE[[#This Row],[CAJA PAU]]=AG$2,100%,AVANCE[[#This Row],[CAJA PAU]])</f>
        <v>0</v>
      </c>
      <c r="BW456" s="3">
        <f>+IF(AVANCE[[#This Row],[INSTALACION VINILICO]]=AJ$2,100%,AVANCE[[#This Row],[INSTALACION VINILICO]])</f>
        <v>0</v>
      </c>
      <c r="BX456" s="3">
        <f>+IF(AVANCE[[#This Row],[OSB CUBIERTA]]=AK$2,100%,AVANCE[[#This Row],[OSB CUBIERTA]])</f>
        <v>0</v>
      </c>
      <c r="BY456" s="3">
        <f>+IF(AVANCE[[#This Row],[BARANDA BALCON]]=AL$2,100%,AVANCE[[#This Row],[BARANDA BALCON]])</f>
        <v>0</v>
      </c>
      <c r="BZ456" s="3">
        <f>+IF(AVANCE[[#This Row],[OSB EXTERIOR]]=AM$2,100%,AVANCE[[#This Row],[OSB EXTERIOR]])</f>
        <v>0</v>
      </c>
      <c r="CA456" s="3">
        <f>+IF(AVANCE[[#This Row],[SMART PANEL]]=AN$2,100%,AVANCE[[#This Row],[SMART PANEL]])</f>
        <v>0</v>
      </c>
      <c r="CB456" s="3">
        <f>+IF(AVANCE[[#This Row],[PINTURA EXTERIOR]]=AO$2,100%,AVANCE[[#This Row],[PINTURA EXTERIOR]])</f>
        <v>0</v>
      </c>
      <c r="CC456" s="3">
        <f>+IF(AVANCE[[#This Row],[ZOCALOS LOGIA]]=AP$2,100%,AVANCE[[#This Row],[ZOCALOS LOGIA]])</f>
        <v>0</v>
      </c>
      <c r="CD456" s="3">
        <f>+IF(AVANCE[[#This Row],[MOLDURAS]]=AQ$2,100%,AVANCE[[#This Row],[MOLDURAS]])</f>
        <v>0</v>
      </c>
      <c r="CE456" s="3">
        <f>+IF(AVANCE[[#This Row],[PILASTREO]]=AR$2,100%,AVANCE[[#This Row],[PILASTREO]])</f>
        <v>0</v>
      </c>
      <c r="CF456" s="3">
        <f>+IF(AVANCE[[#This Row],[CELOSIAS]]=AS$2,100%,AVANCE[[#This Row],[CELOSIAS]])</f>
        <v>0</v>
      </c>
      <c r="CG456" s="3">
        <f>+IF(AVANCE[[#This Row],[VENTANAS]]=AT$2,100%,AVANCE[[#This Row],[VENTANAS]])</f>
        <v>0</v>
      </c>
      <c r="CH456" s="3">
        <f>+IF(AVANCE[[#This Row],[PUERTAS ACCESO - LOGIA - BANO]]=AU$2,100%,AVANCE[[#This Row],[PUERTAS ACCESO - LOGIA - BANO]])</f>
        <v>0</v>
      </c>
      <c r="CI456" s="3">
        <f>+IF(AVANCE[[#This Row],[CERRADURAS]]=AV$2,100%,AVANCE[[#This Row],[CERRADURAS]])</f>
        <v>0</v>
      </c>
      <c r="CJ456" s="3">
        <f>+IF(AVANCE[[#This Row],[REVESTIMIENTO INTERIOR ZONA SECA]]=AW$2,100%,AVANCE[[#This Row],[REVESTIMIENTO INTERIOR ZONA SECA]])</f>
        <v>0</v>
      </c>
      <c r="CK456" s="3">
        <f>+IF(AVANCE[[#This Row],[REVESTIMIENTO INTERIOR ZONAS HUMEDAS]]=AX$2,100%,AVANCE[[#This Row],[REVESTIMIENTO INTERIOR ZONAS HUMEDAS]])</f>
        <v>0</v>
      </c>
      <c r="CL456" s="3">
        <f>+IF(AVANCE[[#This Row],[MEMBRANA CIELO]]=AY$2,100%,AVANCE[[#This Row],[MEMBRANA CIELO]])</f>
        <v>0</v>
      </c>
      <c r="CM456" s="3">
        <f>+IF(AVANCE[[#This Row],[LIMPIEZA FINAL]]=AZ$2,100%,AVANCE[[#This Row],[LIMPIEZA FINAL]])</f>
        <v>0</v>
      </c>
      <c r="CN456" s="3">
        <f>+IF(AVANCE[[#This Row],[PUERTAS DORMITORIO]]=BA$2,100%,AVANCE[[#This Row],[PUERTAS DORMITORIO]])</f>
        <v>0</v>
      </c>
      <c r="CO456" s="3">
        <f>+IF(AVANCE[[#This Row],[REVESTIMIENTO INTERIOR BANO]]=BB$2,100%,AVANCE[[#This Row],[REVESTIMIENTO INTERIOR BANO]])</f>
        <v>0</v>
      </c>
      <c r="CP456" s="3">
        <f>+IF(AVANCE[[#This Row],[MUEBLE LAVAPLATOS]]=BC$2,100%,AVANCE[[#This Row],[MUEBLE LAVAPLATOS]])</f>
        <v>0</v>
      </c>
      <c r="CQ456" s="3">
        <f>+IF(AVANCE[[#This Row],[IMPERMEABILIZACION BANO - COCINA LOGIA]]=BD$2,100%,AVANCE[[#This Row],[IMPERMEABILIZACION BANO - COCINA LOGIA]])</f>
        <v>0</v>
      </c>
      <c r="CR456" s="40">
        <f ca="1">+IF(AVANCE[[#This Row],[ESTADO MODULO]]="PENDIENTE",(TODAY()-AVANCE[[#This Row],[FECHA TERMINO  PLANIFICADO]]),0)</f>
        <v>0</v>
      </c>
      <c r="CS456" s="42" t="str" cm="1">
        <f t="array" ref="CS456">_xlfn.TEXTJOIN(" | ",TRUE,IF(SUMPRODUCT((BF456:CQ456&lt;1)*(PARTIDAS!$I$2:$AT$2="OBRA GRUESA"))&gt;0,"OBRA GRUESA: "&amp;_xlfn.TEXTJOIN(", ",TRUE,IF((BF456:CQ456&lt;1)*(PARTIDAS!$I$2:$AT$2="OBRA GRUESA"),PARTIDAS!$I$1:$AT$1,"")),""),IF(SUMPRODUCT((BF456:CQ456&lt;1)*(PARTIDAS!$I$2:$AT$2="SANITARIOS"))&gt;0,"SANITARIOS: "&amp;_xlfn.TEXTJOIN(", ",TRUE,IF((BF456:CQ456&lt;1)*(PARTIDAS!$I$2:$AT$2="SANITARIOS"),PARTIDAS!$I$1:$AT$1,"")),""),IF(SUMPRODUCT((BF456:CQ456&lt;1)*(PARTIDAS!$I$2:$AT$2="ELÉCTRICO"))&gt;0,"ELÉCTRICO: "&amp;_xlfn.TEXTJOIN(", ",TRUE,IF((BF456:CQ456&lt;1)*(PARTIDAS!$I$2:$AT$2="ELÉCTRICO"),PARTIDAS!$I$1:$AT$1,"")),""),IF(SUMPRODUCT((BF456:CQ456&lt;1)*(PARTIDAS!$I$2:$AT$2="TERMINACIONES"))&gt;0,"TERMINACIONES: "&amp;_xlfn.TEXTJOIN(", ",TRUE,IF((BF456:CQ456&lt;1)*(PARTIDAS!$I$2:$AT$2="TERMINACIONES"),PARTIDAS!$I$1:$AT$1,"")),""))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6" s="45" t="str" cm="1">
        <f t="array" ref="CT456">_xlfn.TEXTJOIN(", ",TRUE,IF(SUMPRODUCT((BF456:CQ456&lt;1)*(PARTIDAS!$I$2:$AT$2="OBRA GRUESA"))&gt;0,"OBRA GRUESA",""),IF(SUMPRODUCT((BF456:CQ456&lt;1)*(PARTIDAS!$I$2:$AT$2="SANITARIOS"))&gt;0,"SANITARIOS",""),IF(SUMPRODUCT((BF456:CQ456&lt;1)*(PARTIDAS!$I$2:$AT$2="ELÉCTRICO"))&gt;0,"ELÉCTRICO",""),IF(SUMPRODUCT((BF456:CQ456&lt;1)*(PARTIDAS!$I$2:$AT$2="TERMINACIONES"))&gt;0,"TERMINACIONES",""))</f>
        <v>OBRA GRUESA, SANITARIOS, ELÉCTRICO, TERMINACIONES</v>
      </c>
      <c r="CU456" s="46" cm="1">
        <f t="array" ref="CU456">SUMPRODUCT(--(BF456:CQ456&lt;1))</f>
        <v>38</v>
      </c>
    </row>
    <row r="457" spans="1:99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46181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 s="3" t="str">
        <f>+IF(AVANCE[[#This Row],[% AVANCE]]=100%,"MODULO TERMINADO",IF(AVANCE[[#This Row],[FECHA INICIO REAL]]="","MODULO NO INICIADO","PENDIENTE"))</f>
        <v>MODULO NO INICIADO</v>
      </c>
      <c r="BF457" s="3">
        <f>+IF(AVANCE[[#This Row],[VENTANAS]]=8.10810810810811%,100%,AVANCE[[#This Row],[VENTANAS]])</f>
        <v>0</v>
      </c>
      <c r="BG457" s="3">
        <f>+IF(AVANCE[[#This Row],[PISO]]=N$2,100%,AVANCE[[#This Row],[PISO]])</f>
        <v>0</v>
      </c>
      <c r="BH457" s="3">
        <f>+IF(AVANCE[[#This Row],[TABIQUES]]=O$2,100%,AVANCE[[#This Row],[TABIQUES]])</f>
        <v>0</v>
      </c>
      <c r="BI457" s="3">
        <f>+IF(AVANCE[[#This Row],[MUROS]]=P$2,100%,AVANCE[[#This Row],[MUROS]])</f>
        <v>0</v>
      </c>
      <c r="BJ457" s="3">
        <f>+IF(AVANCE[[#This Row],[CIELO]]=Q$2,100%,AVANCE[[#This Row],[CIELO]])</f>
        <v>0</v>
      </c>
      <c r="BK457" s="3">
        <f>+IF(AVANCE[[#This Row],[BALCÓN]]=R$2,100%,AVANCE[[#This Row],[BALCÓN]])</f>
        <v>0</v>
      </c>
      <c r="BL457" s="3">
        <f>+IF(AVANCE[[#This Row],[RED ALCANTARILLADO]]=U$2,100%,AVANCE[[#This Row],[RED ALCANTARILLADO]])</f>
        <v>0</v>
      </c>
      <c r="BM457" s="3">
        <f>+IF(AVANCE[[#This Row],[RED DE AGUA]]=V$2,100%,AVANCE[[#This Row],[RED DE AGUA]])</f>
        <v>0</v>
      </c>
      <c r="BN457" s="3">
        <f>+IF(AVANCE[[#This Row],[VENTILACIONES]]=W$2,100%,AVANCE[[#This Row],[VENTILACIONES]])</f>
        <v>0</v>
      </c>
      <c r="BO457" s="3">
        <f>+IF(AVANCE[[#This Row],[TINA]]=X$2,100%,AVANCE[[#This Row],[TINA]])</f>
        <v>0</v>
      </c>
      <c r="BP457" s="3">
        <f>+IF(AVANCE[[#This Row],[WC]]=Y$2,100%,AVANCE[[#This Row],[WC]])</f>
        <v>0</v>
      </c>
      <c r="BQ457" s="3">
        <f>+IF(AVANCE[[#This Row],[LAVAMANOS / LAVAPLATOS / LAVADERO]]=Z$2,100%,AVANCE[[#This Row],[LAVAMANOS / LAVAPLATOS / LAVADERO]])</f>
        <v>0</v>
      </c>
      <c r="BR457" s="3">
        <f>+IF(AVANCE[[#This Row],[CANALIZACIÓN]]=AC$2,100%,AVANCE[[#This Row],[CANALIZACIÓN]])</f>
        <v>0</v>
      </c>
      <c r="BS457" s="3">
        <f>+IF(AVANCE[[#This Row],[CABLEADO]]=AD$2,100%,AVANCE[[#This Row],[CABLEADO]])</f>
        <v>0</v>
      </c>
      <c r="BT457" s="3">
        <f>+IF(AVANCE[[#This Row],[ARTEFACTOS]]=AE$2,100%,AVANCE[[#This Row],[ARTEFACTOS]])</f>
        <v>0</v>
      </c>
      <c r="BU457" s="3">
        <f>+IF(AVANCE[[#This Row],[TABLERO]]=AF$2,100%,AVANCE[[#This Row],[TABLERO]])</f>
        <v>0</v>
      </c>
      <c r="BV457" s="3">
        <f>+IF(AVANCE[[#This Row],[CAJA PAU]]=AG$2,100%,AVANCE[[#This Row],[CAJA PAU]])</f>
        <v>0</v>
      </c>
      <c r="BW457" s="3">
        <f>+IF(AVANCE[[#This Row],[INSTALACION VINILICO]]=AJ$2,100%,AVANCE[[#This Row],[INSTALACION VINILICO]])</f>
        <v>0</v>
      </c>
      <c r="BX457" s="3">
        <f>+IF(AVANCE[[#This Row],[OSB CUBIERTA]]=AK$2,100%,AVANCE[[#This Row],[OSB CUBIERTA]])</f>
        <v>0</v>
      </c>
      <c r="BY457" s="3">
        <f>+IF(AVANCE[[#This Row],[BARANDA BALCON]]=AL$2,100%,AVANCE[[#This Row],[BARANDA BALCON]])</f>
        <v>0</v>
      </c>
      <c r="BZ457" s="3">
        <f>+IF(AVANCE[[#This Row],[OSB EXTERIOR]]=AM$2,100%,AVANCE[[#This Row],[OSB EXTERIOR]])</f>
        <v>0</v>
      </c>
      <c r="CA457" s="3">
        <f>+IF(AVANCE[[#This Row],[SMART PANEL]]=AN$2,100%,AVANCE[[#This Row],[SMART PANEL]])</f>
        <v>0</v>
      </c>
      <c r="CB457" s="3">
        <f>+IF(AVANCE[[#This Row],[PINTURA EXTERIOR]]=AO$2,100%,AVANCE[[#This Row],[PINTURA EXTERIOR]])</f>
        <v>0</v>
      </c>
      <c r="CC457" s="3">
        <f>+IF(AVANCE[[#This Row],[ZOCALOS LOGIA]]=AP$2,100%,AVANCE[[#This Row],[ZOCALOS LOGIA]])</f>
        <v>0</v>
      </c>
      <c r="CD457" s="3">
        <f>+IF(AVANCE[[#This Row],[MOLDURAS]]=AQ$2,100%,AVANCE[[#This Row],[MOLDURAS]])</f>
        <v>0</v>
      </c>
      <c r="CE457" s="3">
        <f>+IF(AVANCE[[#This Row],[PILASTREO]]=AR$2,100%,AVANCE[[#This Row],[PILASTREO]])</f>
        <v>0</v>
      </c>
      <c r="CF457" s="3">
        <f>+IF(AVANCE[[#This Row],[CELOSIAS]]=AS$2,100%,AVANCE[[#This Row],[CELOSIAS]])</f>
        <v>0</v>
      </c>
      <c r="CG457" s="3">
        <f>+IF(AVANCE[[#This Row],[VENTANAS]]=AT$2,100%,AVANCE[[#This Row],[VENTANAS]])</f>
        <v>0</v>
      </c>
      <c r="CH457" s="3">
        <f>+IF(AVANCE[[#This Row],[PUERTAS ACCESO - LOGIA - BANO]]=AU$2,100%,AVANCE[[#This Row],[PUERTAS ACCESO - LOGIA - BANO]])</f>
        <v>0</v>
      </c>
      <c r="CI457" s="3">
        <f>+IF(AVANCE[[#This Row],[CERRADURAS]]=AV$2,100%,AVANCE[[#This Row],[CERRADURAS]])</f>
        <v>0</v>
      </c>
      <c r="CJ457" s="3">
        <f>+IF(AVANCE[[#This Row],[REVESTIMIENTO INTERIOR ZONA SECA]]=AW$2,100%,AVANCE[[#This Row],[REVESTIMIENTO INTERIOR ZONA SECA]])</f>
        <v>0</v>
      </c>
      <c r="CK457" s="3">
        <f>+IF(AVANCE[[#This Row],[REVESTIMIENTO INTERIOR ZONAS HUMEDAS]]=AX$2,100%,AVANCE[[#This Row],[REVESTIMIENTO INTERIOR ZONAS HUMEDAS]])</f>
        <v>0</v>
      </c>
      <c r="CL457" s="3">
        <f>+IF(AVANCE[[#This Row],[MEMBRANA CIELO]]=AY$2,100%,AVANCE[[#This Row],[MEMBRANA CIELO]])</f>
        <v>0</v>
      </c>
      <c r="CM457" s="3">
        <f>+IF(AVANCE[[#This Row],[LIMPIEZA FINAL]]=AZ$2,100%,AVANCE[[#This Row],[LIMPIEZA FINAL]])</f>
        <v>0</v>
      </c>
      <c r="CN457" s="3">
        <f>+IF(AVANCE[[#This Row],[PUERTAS DORMITORIO]]=BA$2,100%,AVANCE[[#This Row],[PUERTAS DORMITORIO]])</f>
        <v>0</v>
      </c>
      <c r="CO457" s="3">
        <f>+IF(AVANCE[[#This Row],[REVESTIMIENTO INTERIOR BANO]]=BB$2,100%,AVANCE[[#This Row],[REVESTIMIENTO INTERIOR BANO]])</f>
        <v>0</v>
      </c>
      <c r="CP457" s="3">
        <f>+IF(AVANCE[[#This Row],[MUEBLE LAVAPLATOS]]=BC$2,100%,AVANCE[[#This Row],[MUEBLE LAVAPLATOS]])</f>
        <v>0</v>
      </c>
      <c r="CQ457" s="3">
        <f>+IF(AVANCE[[#This Row],[IMPERMEABILIZACION BANO - COCINA LOGIA]]=BD$2,100%,AVANCE[[#This Row],[IMPERMEABILIZACION BANO - COCINA LOGIA]])</f>
        <v>0</v>
      </c>
      <c r="CR457" s="40">
        <f ca="1">+IF(AVANCE[[#This Row],[ESTADO MODULO]]="PENDIENTE",(TODAY()-AVANCE[[#This Row],[FECHA TERMINO  PLANIFICADO]]),0)</f>
        <v>0</v>
      </c>
      <c r="CS457" s="42" t="str" cm="1">
        <f t="array" ref="CS457">_xlfn.TEXTJOIN(" | ",TRUE,IF(SUMPRODUCT((BF457:CQ457&lt;1)*(PARTIDAS!$I$2:$AT$2="OBRA GRUESA"))&gt;0,"OBRA GRUESA: "&amp;_xlfn.TEXTJOIN(", ",TRUE,IF((BF457:CQ457&lt;1)*(PARTIDAS!$I$2:$AT$2="OBRA GRUESA"),PARTIDAS!$I$1:$AT$1,"")),""),IF(SUMPRODUCT((BF457:CQ457&lt;1)*(PARTIDAS!$I$2:$AT$2="SANITARIOS"))&gt;0,"SANITARIOS: "&amp;_xlfn.TEXTJOIN(", ",TRUE,IF((BF457:CQ457&lt;1)*(PARTIDAS!$I$2:$AT$2="SANITARIOS"),PARTIDAS!$I$1:$AT$1,"")),""),IF(SUMPRODUCT((BF457:CQ457&lt;1)*(PARTIDAS!$I$2:$AT$2="ELÉCTRICO"))&gt;0,"ELÉCTRICO: "&amp;_xlfn.TEXTJOIN(", ",TRUE,IF((BF457:CQ457&lt;1)*(PARTIDAS!$I$2:$AT$2="ELÉCTRICO"),PARTIDAS!$I$1:$AT$1,"")),""),IF(SUMPRODUCT((BF457:CQ457&lt;1)*(PARTIDAS!$I$2:$AT$2="TERMINACIONES"))&gt;0,"TERMINACIONES: "&amp;_xlfn.TEXTJOIN(", ",TRUE,IF((BF457:CQ457&lt;1)*(PARTIDAS!$I$2:$AT$2="TERMINACIONES"),PARTIDAS!$I$1:$AT$1,"")),""))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7" s="45" t="str" cm="1">
        <f t="array" ref="CT457">_xlfn.TEXTJOIN(", ",TRUE,IF(SUMPRODUCT((BF457:CQ457&lt;1)*(PARTIDAS!$I$2:$AT$2="OBRA GRUESA"))&gt;0,"OBRA GRUESA",""),IF(SUMPRODUCT((BF457:CQ457&lt;1)*(PARTIDAS!$I$2:$AT$2="SANITARIOS"))&gt;0,"SANITARIOS",""),IF(SUMPRODUCT((BF457:CQ457&lt;1)*(PARTIDAS!$I$2:$AT$2="ELÉCTRICO"))&gt;0,"ELÉCTRICO",""),IF(SUMPRODUCT((BF457:CQ457&lt;1)*(PARTIDAS!$I$2:$AT$2="TERMINACIONES"))&gt;0,"TERMINACIONES",""))</f>
        <v>OBRA GRUESA, SANITARIOS, ELÉCTRICO, TERMINACIONES</v>
      </c>
      <c r="CU457" s="46" cm="1">
        <f t="array" ref="CU457">SUMPRODUCT(--(BF457:CQ457&lt;1))</f>
        <v>38</v>
      </c>
    </row>
    <row r="458" spans="1:99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46181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 s="3" t="str">
        <f>+IF(AVANCE[[#This Row],[% AVANCE]]=100%,"MODULO TERMINADO",IF(AVANCE[[#This Row],[FECHA INICIO REAL]]="","MODULO NO INICIADO","PENDIENTE"))</f>
        <v>MODULO NO INICIADO</v>
      </c>
      <c r="BF458" s="3">
        <f>+IF(AVANCE[[#This Row],[VENTANAS]]=8.10810810810811%,100%,AVANCE[[#This Row],[VENTANAS]])</f>
        <v>0</v>
      </c>
      <c r="BG458" s="3">
        <f>+IF(AVANCE[[#This Row],[PISO]]=N$2,100%,AVANCE[[#This Row],[PISO]])</f>
        <v>0</v>
      </c>
      <c r="BH458" s="3">
        <f>+IF(AVANCE[[#This Row],[TABIQUES]]=O$2,100%,AVANCE[[#This Row],[TABIQUES]])</f>
        <v>0</v>
      </c>
      <c r="BI458" s="3">
        <f>+IF(AVANCE[[#This Row],[MUROS]]=P$2,100%,AVANCE[[#This Row],[MUROS]])</f>
        <v>0</v>
      </c>
      <c r="BJ458" s="3">
        <f>+IF(AVANCE[[#This Row],[CIELO]]=Q$2,100%,AVANCE[[#This Row],[CIELO]])</f>
        <v>0</v>
      </c>
      <c r="BK458" s="3">
        <f>+IF(AVANCE[[#This Row],[BALCÓN]]=R$2,100%,AVANCE[[#This Row],[BALCÓN]])</f>
        <v>0</v>
      </c>
      <c r="BL458" s="3">
        <f>+IF(AVANCE[[#This Row],[RED ALCANTARILLADO]]=U$2,100%,AVANCE[[#This Row],[RED ALCANTARILLADO]])</f>
        <v>0</v>
      </c>
      <c r="BM458" s="3">
        <f>+IF(AVANCE[[#This Row],[RED DE AGUA]]=V$2,100%,AVANCE[[#This Row],[RED DE AGUA]])</f>
        <v>0</v>
      </c>
      <c r="BN458" s="3">
        <f>+IF(AVANCE[[#This Row],[VENTILACIONES]]=W$2,100%,AVANCE[[#This Row],[VENTILACIONES]])</f>
        <v>0</v>
      </c>
      <c r="BO458" s="3">
        <f>+IF(AVANCE[[#This Row],[TINA]]=X$2,100%,AVANCE[[#This Row],[TINA]])</f>
        <v>0</v>
      </c>
      <c r="BP458" s="3">
        <f>+IF(AVANCE[[#This Row],[WC]]=Y$2,100%,AVANCE[[#This Row],[WC]])</f>
        <v>0</v>
      </c>
      <c r="BQ458" s="3">
        <f>+IF(AVANCE[[#This Row],[LAVAMANOS / LAVAPLATOS / LAVADERO]]=Z$2,100%,AVANCE[[#This Row],[LAVAMANOS / LAVAPLATOS / LAVADERO]])</f>
        <v>0</v>
      </c>
      <c r="BR458" s="3">
        <f>+IF(AVANCE[[#This Row],[CANALIZACIÓN]]=AC$2,100%,AVANCE[[#This Row],[CANALIZACIÓN]])</f>
        <v>0</v>
      </c>
      <c r="BS458" s="3">
        <f>+IF(AVANCE[[#This Row],[CABLEADO]]=AD$2,100%,AVANCE[[#This Row],[CABLEADO]])</f>
        <v>0</v>
      </c>
      <c r="BT458" s="3">
        <f>+IF(AVANCE[[#This Row],[ARTEFACTOS]]=AE$2,100%,AVANCE[[#This Row],[ARTEFACTOS]])</f>
        <v>0</v>
      </c>
      <c r="BU458" s="3">
        <f>+IF(AVANCE[[#This Row],[TABLERO]]=AF$2,100%,AVANCE[[#This Row],[TABLERO]])</f>
        <v>0</v>
      </c>
      <c r="BV458" s="3">
        <f>+IF(AVANCE[[#This Row],[CAJA PAU]]=AG$2,100%,AVANCE[[#This Row],[CAJA PAU]])</f>
        <v>0</v>
      </c>
      <c r="BW458" s="3">
        <f>+IF(AVANCE[[#This Row],[INSTALACION VINILICO]]=AJ$2,100%,AVANCE[[#This Row],[INSTALACION VINILICO]])</f>
        <v>0</v>
      </c>
      <c r="BX458" s="3">
        <f>+IF(AVANCE[[#This Row],[OSB CUBIERTA]]=AK$2,100%,AVANCE[[#This Row],[OSB CUBIERTA]])</f>
        <v>0</v>
      </c>
      <c r="BY458" s="3">
        <f>+IF(AVANCE[[#This Row],[BARANDA BALCON]]=AL$2,100%,AVANCE[[#This Row],[BARANDA BALCON]])</f>
        <v>0</v>
      </c>
      <c r="BZ458" s="3">
        <f>+IF(AVANCE[[#This Row],[OSB EXTERIOR]]=AM$2,100%,AVANCE[[#This Row],[OSB EXTERIOR]])</f>
        <v>0</v>
      </c>
      <c r="CA458" s="3">
        <f>+IF(AVANCE[[#This Row],[SMART PANEL]]=AN$2,100%,AVANCE[[#This Row],[SMART PANEL]])</f>
        <v>0</v>
      </c>
      <c r="CB458" s="3">
        <f>+IF(AVANCE[[#This Row],[PINTURA EXTERIOR]]=AO$2,100%,AVANCE[[#This Row],[PINTURA EXTERIOR]])</f>
        <v>0</v>
      </c>
      <c r="CC458" s="3">
        <f>+IF(AVANCE[[#This Row],[ZOCALOS LOGIA]]=AP$2,100%,AVANCE[[#This Row],[ZOCALOS LOGIA]])</f>
        <v>0</v>
      </c>
      <c r="CD458" s="3">
        <f>+IF(AVANCE[[#This Row],[MOLDURAS]]=AQ$2,100%,AVANCE[[#This Row],[MOLDURAS]])</f>
        <v>0</v>
      </c>
      <c r="CE458" s="3">
        <f>+IF(AVANCE[[#This Row],[PILASTREO]]=AR$2,100%,AVANCE[[#This Row],[PILASTREO]])</f>
        <v>0</v>
      </c>
      <c r="CF458" s="3">
        <f>+IF(AVANCE[[#This Row],[CELOSIAS]]=AS$2,100%,AVANCE[[#This Row],[CELOSIAS]])</f>
        <v>0</v>
      </c>
      <c r="CG458" s="3">
        <f>+IF(AVANCE[[#This Row],[VENTANAS]]=AT$2,100%,AVANCE[[#This Row],[VENTANAS]])</f>
        <v>0</v>
      </c>
      <c r="CH458" s="3">
        <f>+IF(AVANCE[[#This Row],[PUERTAS ACCESO - LOGIA - BANO]]=AU$2,100%,AVANCE[[#This Row],[PUERTAS ACCESO - LOGIA - BANO]])</f>
        <v>0</v>
      </c>
      <c r="CI458" s="3">
        <f>+IF(AVANCE[[#This Row],[CERRADURAS]]=AV$2,100%,AVANCE[[#This Row],[CERRADURAS]])</f>
        <v>0</v>
      </c>
      <c r="CJ458" s="3">
        <f>+IF(AVANCE[[#This Row],[REVESTIMIENTO INTERIOR ZONA SECA]]=AW$2,100%,AVANCE[[#This Row],[REVESTIMIENTO INTERIOR ZONA SECA]])</f>
        <v>0</v>
      </c>
      <c r="CK458" s="3">
        <f>+IF(AVANCE[[#This Row],[REVESTIMIENTO INTERIOR ZONAS HUMEDAS]]=AX$2,100%,AVANCE[[#This Row],[REVESTIMIENTO INTERIOR ZONAS HUMEDAS]])</f>
        <v>0</v>
      </c>
      <c r="CL458" s="3">
        <f>+IF(AVANCE[[#This Row],[MEMBRANA CIELO]]=AY$2,100%,AVANCE[[#This Row],[MEMBRANA CIELO]])</f>
        <v>0</v>
      </c>
      <c r="CM458" s="3">
        <f>+IF(AVANCE[[#This Row],[LIMPIEZA FINAL]]=AZ$2,100%,AVANCE[[#This Row],[LIMPIEZA FINAL]])</f>
        <v>0</v>
      </c>
      <c r="CN458" s="3">
        <f>+IF(AVANCE[[#This Row],[PUERTAS DORMITORIO]]=BA$2,100%,AVANCE[[#This Row],[PUERTAS DORMITORIO]])</f>
        <v>0</v>
      </c>
      <c r="CO458" s="3">
        <f>+IF(AVANCE[[#This Row],[REVESTIMIENTO INTERIOR BANO]]=BB$2,100%,AVANCE[[#This Row],[REVESTIMIENTO INTERIOR BANO]])</f>
        <v>0</v>
      </c>
      <c r="CP458" s="3">
        <f>+IF(AVANCE[[#This Row],[MUEBLE LAVAPLATOS]]=BC$2,100%,AVANCE[[#This Row],[MUEBLE LAVAPLATOS]])</f>
        <v>0</v>
      </c>
      <c r="CQ458" s="3">
        <f>+IF(AVANCE[[#This Row],[IMPERMEABILIZACION BANO - COCINA LOGIA]]=BD$2,100%,AVANCE[[#This Row],[IMPERMEABILIZACION BANO - COCINA LOGIA]])</f>
        <v>0</v>
      </c>
      <c r="CR458" s="40">
        <f ca="1">+IF(AVANCE[[#This Row],[ESTADO MODULO]]="PENDIENTE",(TODAY()-AVANCE[[#This Row],[FECHA TERMINO  PLANIFICADO]]),0)</f>
        <v>0</v>
      </c>
      <c r="CS458" s="42" t="str" cm="1">
        <f t="array" ref="CS458">_xlfn.TEXTJOIN(" | ",TRUE,IF(SUMPRODUCT((BF458:CQ458&lt;1)*(PARTIDAS!$I$2:$AT$2="OBRA GRUESA"))&gt;0,"OBRA GRUESA: "&amp;_xlfn.TEXTJOIN(", ",TRUE,IF((BF458:CQ458&lt;1)*(PARTIDAS!$I$2:$AT$2="OBRA GRUESA"),PARTIDAS!$I$1:$AT$1,"")),""),IF(SUMPRODUCT((BF458:CQ458&lt;1)*(PARTIDAS!$I$2:$AT$2="SANITARIOS"))&gt;0,"SANITARIOS: "&amp;_xlfn.TEXTJOIN(", ",TRUE,IF((BF458:CQ458&lt;1)*(PARTIDAS!$I$2:$AT$2="SANITARIOS"),PARTIDAS!$I$1:$AT$1,"")),""),IF(SUMPRODUCT((BF458:CQ458&lt;1)*(PARTIDAS!$I$2:$AT$2="ELÉCTRICO"))&gt;0,"ELÉCTRICO: "&amp;_xlfn.TEXTJOIN(", ",TRUE,IF((BF458:CQ458&lt;1)*(PARTIDAS!$I$2:$AT$2="ELÉCTRICO"),PARTIDAS!$I$1:$AT$1,"")),""),IF(SUMPRODUCT((BF458:CQ458&lt;1)*(PARTIDAS!$I$2:$AT$2="TERMINACIONES"))&gt;0,"TERMINACIONES: "&amp;_xlfn.TEXTJOIN(", ",TRUE,IF((BF458:CQ458&lt;1)*(PARTIDAS!$I$2:$AT$2="TERMINACIONES"),PARTIDAS!$I$1:$AT$1,"")),""))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8" s="45" t="str" cm="1">
        <f t="array" ref="CT458">_xlfn.TEXTJOIN(", ",TRUE,IF(SUMPRODUCT((BF458:CQ458&lt;1)*(PARTIDAS!$I$2:$AT$2="OBRA GRUESA"))&gt;0,"OBRA GRUESA",""),IF(SUMPRODUCT((BF458:CQ458&lt;1)*(PARTIDAS!$I$2:$AT$2="SANITARIOS"))&gt;0,"SANITARIOS",""),IF(SUMPRODUCT((BF458:CQ458&lt;1)*(PARTIDAS!$I$2:$AT$2="ELÉCTRICO"))&gt;0,"ELÉCTRICO",""),IF(SUMPRODUCT((BF458:CQ458&lt;1)*(PARTIDAS!$I$2:$AT$2="TERMINACIONES"))&gt;0,"TERMINACIONES",""))</f>
        <v>OBRA GRUESA, SANITARIOS, ELÉCTRICO, TERMINACIONES</v>
      </c>
      <c r="CU458" s="46" cm="1">
        <f t="array" ref="CU458">SUMPRODUCT(--(BF458:CQ458&lt;1))</f>
        <v>38</v>
      </c>
    </row>
    <row r="459" spans="1:99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46181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 s="3" t="str">
        <f>+IF(AVANCE[[#This Row],[% AVANCE]]=100%,"MODULO TERMINADO",IF(AVANCE[[#This Row],[FECHA INICIO REAL]]="","MODULO NO INICIADO","PENDIENTE"))</f>
        <v>MODULO NO INICIADO</v>
      </c>
      <c r="BF459" s="3">
        <f>+IF(AVANCE[[#This Row],[VENTANAS]]=8.10810810810811%,100%,AVANCE[[#This Row],[VENTANAS]])</f>
        <v>0</v>
      </c>
      <c r="BG459" s="3">
        <f>+IF(AVANCE[[#This Row],[PISO]]=N$2,100%,AVANCE[[#This Row],[PISO]])</f>
        <v>0</v>
      </c>
      <c r="BH459" s="3">
        <f>+IF(AVANCE[[#This Row],[TABIQUES]]=O$2,100%,AVANCE[[#This Row],[TABIQUES]])</f>
        <v>0</v>
      </c>
      <c r="BI459" s="3">
        <f>+IF(AVANCE[[#This Row],[MUROS]]=P$2,100%,AVANCE[[#This Row],[MUROS]])</f>
        <v>0</v>
      </c>
      <c r="BJ459" s="3">
        <f>+IF(AVANCE[[#This Row],[CIELO]]=Q$2,100%,AVANCE[[#This Row],[CIELO]])</f>
        <v>0</v>
      </c>
      <c r="BK459" s="3">
        <f>+IF(AVANCE[[#This Row],[BALCÓN]]=R$2,100%,AVANCE[[#This Row],[BALCÓN]])</f>
        <v>0</v>
      </c>
      <c r="BL459" s="3">
        <f>+IF(AVANCE[[#This Row],[RED ALCANTARILLADO]]=U$2,100%,AVANCE[[#This Row],[RED ALCANTARILLADO]])</f>
        <v>0</v>
      </c>
      <c r="BM459" s="3">
        <f>+IF(AVANCE[[#This Row],[RED DE AGUA]]=V$2,100%,AVANCE[[#This Row],[RED DE AGUA]])</f>
        <v>0</v>
      </c>
      <c r="BN459" s="3">
        <f>+IF(AVANCE[[#This Row],[VENTILACIONES]]=W$2,100%,AVANCE[[#This Row],[VENTILACIONES]])</f>
        <v>0</v>
      </c>
      <c r="BO459" s="3">
        <f>+IF(AVANCE[[#This Row],[TINA]]=X$2,100%,AVANCE[[#This Row],[TINA]])</f>
        <v>0</v>
      </c>
      <c r="BP459" s="3">
        <f>+IF(AVANCE[[#This Row],[WC]]=Y$2,100%,AVANCE[[#This Row],[WC]])</f>
        <v>0</v>
      </c>
      <c r="BQ459" s="3">
        <f>+IF(AVANCE[[#This Row],[LAVAMANOS / LAVAPLATOS / LAVADERO]]=Z$2,100%,AVANCE[[#This Row],[LAVAMANOS / LAVAPLATOS / LAVADERO]])</f>
        <v>0</v>
      </c>
      <c r="BR459" s="3">
        <f>+IF(AVANCE[[#This Row],[CANALIZACIÓN]]=AC$2,100%,AVANCE[[#This Row],[CANALIZACIÓN]])</f>
        <v>0</v>
      </c>
      <c r="BS459" s="3">
        <f>+IF(AVANCE[[#This Row],[CABLEADO]]=AD$2,100%,AVANCE[[#This Row],[CABLEADO]])</f>
        <v>0</v>
      </c>
      <c r="BT459" s="3">
        <f>+IF(AVANCE[[#This Row],[ARTEFACTOS]]=AE$2,100%,AVANCE[[#This Row],[ARTEFACTOS]])</f>
        <v>0</v>
      </c>
      <c r="BU459" s="3">
        <f>+IF(AVANCE[[#This Row],[TABLERO]]=AF$2,100%,AVANCE[[#This Row],[TABLERO]])</f>
        <v>0</v>
      </c>
      <c r="BV459" s="3">
        <f>+IF(AVANCE[[#This Row],[CAJA PAU]]=AG$2,100%,AVANCE[[#This Row],[CAJA PAU]])</f>
        <v>0</v>
      </c>
      <c r="BW459" s="3">
        <f>+IF(AVANCE[[#This Row],[INSTALACION VINILICO]]=AJ$2,100%,AVANCE[[#This Row],[INSTALACION VINILICO]])</f>
        <v>0</v>
      </c>
      <c r="BX459" s="3">
        <f>+IF(AVANCE[[#This Row],[OSB CUBIERTA]]=AK$2,100%,AVANCE[[#This Row],[OSB CUBIERTA]])</f>
        <v>0</v>
      </c>
      <c r="BY459" s="3">
        <f>+IF(AVANCE[[#This Row],[BARANDA BALCON]]=AL$2,100%,AVANCE[[#This Row],[BARANDA BALCON]])</f>
        <v>0</v>
      </c>
      <c r="BZ459" s="3">
        <f>+IF(AVANCE[[#This Row],[OSB EXTERIOR]]=AM$2,100%,AVANCE[[#This Row],[OSB EXTERIOR]])</f>
        <v>0</v>
      </c>
      <c r="CA459" s="3">
        <f>+IF(AVANCE[[#This Row],[SMART PANEL]]=AN$2,100%,AVANCE[[#This Row],[SMART PANEL]])</f>
        <v>0</v>
      </c>
      <c r="CB459" s="3">
        <f>+IF(AVANCE[[#This Row],[PINTURA EXTERIOR]]=AO$2,100%,AVANCE[[#This Row],[PINTURA EXTERIOR]])</f>
        <v>0</v>
      </c>
      <c r="CC459" s="3">
        <f>+IF(AVANCE[[#This Row],[ZOCALOS LOGIA]]=AP$2,100%,AVANCE[[#This Row],[ZOCALOS LOGIA]])</f>
        <v>0</v>
      </c>
      <c r="CD459" s="3">
        <f>+IF(AVANCE[[#This Row],[MOLDURAS]]=AQ$2,100%,AVANCE[[#This Row],[MOLDURAS]])</f>
        <v>0</v>
      </c>
      <c r="CE459" s="3">
        <f>+IF(AVANCE[[#This Row],[PILASTREO]]=AR$2,100%,AVANCE[[#This Row],[PILASTREO]])</f>
        <v>0</v>
      </c>
      <c r="CF459" s="3">
        <f>+IF(AVANCE[[#This Row],[CELOSIAS]]=AS$2,100%,AVANCE[[#This Row],[CELOSIAS]])</f>
        <v>0</v>
      </c>
      <c r="CG459" s="3">
        <f>+IF(AVANCE[[#This Row],[VENTANAS]]=AT$2,100%,AVANCE[[#This Row],[VENTANAS]])</f>
        <v>0</v>
      </c>
      <c r="CH459" s="3">
        <f>+IF(AVANCE[[#This Row],[PUERTAS ACCESO - LOGIA - BANO]]=AU$2,100%,AVANCE[[#This Row],[PUERTAS ACCESO - LOGIA - BANO]])</f>
        <v>0</v>
      </c>
      <c r="CI459" s="3">
        <f>+IF(AVANCE[[#This Row],[CERRADURAS]]=AV$2,100%,AVANCE[[#This Row],[CERRADURAS]])</f>
        <v>0</v>
      </c>
      <c r="CJ459" s="3">
        <f>+IF(AVANCE[[#This Row],[REVESTIMIENTO INTERIOR ZONA SECA]]=AW$2,100%,AVANCE[[#This Row],[REVESTIMIENTO INTERIOR ZONA SECA]])</f>
        <v>0</v>
      </c>
      <c r="CK459" s="3">
        <f>+IF(AVANCE[[#This Row],[REVESTIMIENTO INTERIOR ZONAS HUMEDAS]]=AX$2,100%,AVANCE[[#This Row],[REVESTIMIENTO INTERIOR ZONAS HUMEDAS]])</f>
        <v>0</v>
      </c>
      <c r="CL459" s="3">
        <f>+IF(AVANCE[[#This Row],[MEMBRANA CIELO]]=AY$2,100%,AVANCE[[#This Row],[MEMBRANA CIELO]])</f>
        <v>0</v>
      </c>
      <c r="CM459" s="3">
        <f>+IF(AVANCE[[#This Row],[LIMPIEZA FINAL]]=AZ$2,100%,AVANCE[[#This Row],[LIMPIEZA FINAL]])</f>
        <v>0</v>
      </c>
      <c r="CN459" s="3">
        <f>+IF(AVANCE[[#This Row],[PUERTAS DORMITORIO]]=BA$2,100%,AVANCE[[#This Row],[PUERTAS DORMITORIO]])</f>
        <v>0</v>
      </c>
      <c r="CO459" s="3">
        <f>+IF(AVANCE[[#This Row],[REVESTIMIENTO INTERIOR BANO]]=BB$2,100%,AVANCE[[#This Row],[REVESTIMIENTO INTERIOR BANO]])</f>
        <v>0</v>
      </c>
      <c r="CP459" s="3">
        <f>+IF(AVANCE[[#This Row],[MUEBLE LAVAPLATOS]]=BC$2,100%,AVANCE[[#This Row],[MUEBLE LAVAPLATOS]])</f>
        <v>0</v>
      </c>
      <c r="CQ459" s="3">
        <f>+IF(AVANCE[[#This Row],[IMPERMEABILIZACION BANO - COCINA LOGIA]]=BD$2,100%,AVANCE[[#This Row],[IMPERMEABILIZACION BANO - COCINA LOGIA]])</f>
        <v>0</v>
      </c>
      <c r="CR459" s="40">
        <f ca="1">+IF(AVANCE[[#This Row],[ESTADO MODULO]]="PENDIENTE",(TODAY()-AVANCE[[#This Row],[FECHA TERMINO  PLANIFICADO]]),0)</f>
        <v>0</v>
      </c>
      <c r="CS459" s="42" t="str" cm="1">
        <f t="array" ref="CS459">_xlfn.TEXTJOIN(" | ",TRUE,IF(SUMPRODUCT((BF459:CQ459&lt;1)*(PARTIDAS!$I$2:$AT$2="OBRA GRUESA"))&gt;0,"OBRA GRUESA: "&amp;_xlfn.TEXTJOIN(", ",TRUE,IF((BF459:CQ459&lt;1)*(PARTIDAS!$I$2:$AT$2="OBRA GRUESA"),PARTIDAS!$I$1:$AT$1,"")),""),IF(SUMPRODUCT((BF459:CQ459&lt;1)*(PARTIDAS!$I$2:$AT$2="SANITARIOS"))&gt;0,"SANITARIOS: "&amp;_xlfn.TEXTJOIN(", ",TRUE,IF((BF459:CQ459&lt;1)*(PARTIDAS!$I$2:$AT$2="SANITARIOS"),PARTIDAS!$I$1:$AT$1,"")),""),IF(SUMPRODUCT((BF459:CQ459&lt;1)*(PARTIDAS!$I$2:$AT$2="ELÉCTRICO"))&gt;0,"ELÉCTRICO: "&amp;_xlfn.TEXTJOIN(", ",TRUE,IF((BF459:CQ459&lt;1)*(PARTIDAS!$I$2:$AT$2="ELÉCTRICO"),PARTIDAS!$I$1:$AT$1,"")),""),IF(SUMPRODUCT((BF459:CQ459&lt;1)*(PARTIDAS!$I$2:$AT$2="TERMINACIONES"))&gt;0,"TERMINACIONES: "&amp;_xlfn.TEXTJOIN(", ",TRUE,IF((BF459:CQ459&lt;1)*(PARTIDAS!$I$2:$AT$2="TERMINACIONES"),PARTIDAS!$I$1:$AT$1,"")),""))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59" s="45" t="str" cm="1">
        <f t="array" ref="CT459">_xlfn.TEXTJOIN(", ",TRUE,IF(SUMPRODUCT((BF459:CQ459&lt;1)*(PARTIDAS!$I$2:$AT$2="OBRA GRUESA"))&gt;0,"OBRA GRUESA",""),IF(SUMPRODUCT((BF459:CQ459&lt;1)*(PARTIDAS!$I$2:$AT$2="SANITARIOS"))&gt;0,"SANITARIOS",""),IF(SUMPRODUCT((BF459:CQ459&lt;1)*(PARTIDAS!$I$2:$AT$2="ELÉCTRICO"))&gt;0,"ELÉCTRICO",""),IF(SUMPRODUCT((BF459:CQ459&lt;1)*(PARTIDAS!$I$2:$AT$2="TERMINACIONES"))&gt;0,"TERMINACIONES",""))</f>
        <v>OBRA GRUESA, SANITARIOS, ELÉCTRICO, TERMINACIONES</v>
      </c>
      <c r="CU459" s="46" cm="1">
        <f t="array" ref="CU459">SUMPRODUCT(--(BF459:CQ459&lt;1))</f>
        <v>38</v>
      </c>
    </row>
    <row r="460" spans="1:99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46181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 s="3" t="str">
        <f>+IF(AVANCE[[#This Row],[% AVANCE]]=100%,"MODULO TERMINADO",IF(AVANCE[[#This Row],[FECHA INICIO REAL]]="","MODULO NO INICIADO","PENDIENTE"))</f>
        <v>MODULO NO INICIADO</v>
      </c>
      <c r="BF460" s="3">
        <f>+IF(AVANCE[[#This Row],[VENTANAS]]=8.10810810810811%,100%,AVANCE[[#This Row],[VENTANAS]])</f>
        <v>0</v>
      </c>
      <c r="BG460" s="3">
        <f>+IF(AVANCE[[#This Row],[PISO]]=N$2,100%,AVANCE[[#This Row],[PISO]])</f>
        <v>0</v>
      </c>
      <c r="BH460" s="3">
        <f>+IF(AVANCE[[#This Row],[TABIQUES]]=O$2,100%,AVANCE[[#This Row],[TABIQUES]])</f>
        <v>0</v>
      </c>
      <c r="BI460" s="3">
        <f>+IF(AVANCE[[#This Row],[MUROS]]=P$2,100%,AVANCE[[#This Row],[MUROS]])</f>
        <v>0</v>
      </c>
      <c r="BJ460" s="3">
        <f>+IF(AVANCE[[#This Row],[CIELO]]=Q$2,100%,AVANCE[[#This Row],[CIELO]])</f>
        <v>0</v>
      </c>
      <c r="BK460" s="3">
        <f>+IF(AVANCE[[#This Row],[BALCÓN]]=R$2,100%,AVANCE[[#This Row],[BALCÓN]])</f>
        <v>0</v>
      </c>
      <c r="BL460" s="3">
        <f>+IF(AVANCE[[#This Row],[RED ALCANTARILLADO]]=U$2,100%,AVANCE[[#This Row],[RED ALCANTARILLADO]])</f>
        <v>0</v>
      </c>
      <c r="BM460" s="3">
        <f>+IF(AVANCE[[#This Row],[RED DE AGUA]]=V$2,100%,AVANCE[[#This Row],[RED DE AGUA]])</f>
        <v>0</v>
      </c>
      <c r="BN460" s="3">
        <f>+IF(AVANCE[[#This Row],[VENTILACIONES]]=W$2,100%,AVANCE[[#This Row],[VENTILACIONES]])</f>
        <v>0</v>
      </c>
      <c r="BO460" s="3">
        <f>+IF(AVANCE[[#This Row],[TINA]]=X$2,100%,AVANCE[[#This Row],[TINA]])</f>
        <v>0</v>
      </c>
      <c r="BP460" s="3">
        <f>+IF(AVANCE[[#This Row],[WC]]=Y$2,100%,AVANCE[[#This Row],[WC]])</f>
        <v>0</v>
      </c>
      <c r="BQ460" s="3">
        <f>+IF(AVANCE[[#This Row],[LAVAMANOS / LAVAPLATOS / LAVADERO]]=Z$2,100%,AVANCE[[#This Row],[LAVAMANOS / LAVAPLATOS / LAVADERO]])</f>
        <v>0</v>
      </c>
      <c r="BR460" s="3">
        <f>+IF(AVANCE[[#This Row],[CANALIZACIÓN]]=AC$2,100%,AVANCE[[#This Row],[CANALIZACIÓN]])</f>
        <v>0</v>
      </c>
      <c r="BS460" s="3">
        <f>+IF(AVANCE[[#This Row],[CABLEADO]]=AD$2,100%,AVANCE[[#This Row],[CABLEADO]])</f>
        <v>0</v>
      </c>
      <c r="BT460" s="3">
        <f>+IF(AVANCE[[#This Row],[ARTEFACTOS]]=AE$2,100%,AVANCE[[#This Row],[ARTEFACTOS]])</f>
        <v>0</v>
      </c>
      <c r="BU460" s="3">
        <f>+IF(AVANCE[[#This Row],[TABLERO]]=AF$2,100%,AVANCE[[#This Row],[TABLERO]])</f>
        <v>0</v>
      </c>
      <c r="BV460" s="3">
        <f>+IF(AVANCE[[#This Row],[CAJA PAU]]=AG$2,100%,AVANCE[[#This Row],[CAJA PAU]])</f>
        <v>0</v>
      </c>
      <c r="BW460" s="3">
        <f>+IF(AVANCE[[#This Row],[INSTALACION VINILICO]]=AJ$2,100%,AVANCE[[#This Row],[INSTALACION VINILICO]])</f>
        <v>0</v>
      </c>
      <c r="BX460" s="3">
        <f>+IF(AVANCE[[#This Row],[OSB CUBIERTA]]=AK$2,100%,AVANCE[[#This Row],[OSB CUBIERTA]])</f>
        <v>0</v>
      </c>
      <c r="BY460" s="3">
        <f>+IF(AVANCE[[#This Row],[BARANDA BALCON]]=AL$2,100%,AVANCE[[#This Row],[BARANDA BALCON]])</f>
        <v>0</v>
      </c>
      <c r="BZ460" s="3">
        <f>+IF(AVANCE[[#This Row],[OSB EXTERIOR]]=AM$2,100%,AVANCE[[#This Row],[OSB EXTERIOR]])</f>
        <v>0</v>
      </c>
      <c r="CA460" s="3">
        <f>+IF(AVANCE[[#This Row],[SMART PANEL]]=AN$2,100%,AVANCE[[#This Row],[SMART PANEL]])</f>
        <v>0</v>
      </c>
      <c r="CB460" s="3">
        <f>+IF(AVANCE[[#This Row],[PINTURA EXTERIOR]]=AO$2,100%,AVANCE[[#This Row],[PINTURA EXTERIOR]])</f>
        <v>0</v>
      </c>
      <c r="CC460" s="3">
        <f>+IF(AVANCE[[#This Row],[ZOCALOS LOGIA]]=AP$2,100%,AVANCE[[#This Row],[ZOCALOS LOGIA]])</f>
        <v>0</v>
      </c>
      <c r="CD460" s="3">
        <f>+IF(AVANCE[[#This Row],[MOLDURAS]]=AQ$2,100%,AVANCE[[#This Row],[MOLDURAS]])</f>
        <v>0</v>
      </c>
      <c r="CE460" s="3">
        <f>+IF(AVANCE[[#This Row],[PILASTREO]]=AR$2,100%,AVANCE[[#This Row],[PILASTREO]])</f>
        <v>0</v>
      </c>
      <c r="CF460" s="3">
        <f>+IF(AVANCE[[#This Row],[CELOSIAS]]=AS$2,100%,AVANCE[[#This Row],[CELOSIAS]])</f>
        <v>0</v>
      </c>
      <c r="CG460" s="3">
        <f>+IF(AVANCE[[#This Row],[VENTANAS]]=AT$2,100%,AVANCE[[#This Row],[VENTANAS]])</f>
        <v>0</v>
      </c>
      <c r="CH460" s="3">
        <f>+IF(AVANCE[[#This Row],[PUERTAS ACCESO - LOGIA - BANO]]=AU$2,100%,AVANCE[[#This Row],[PUERTAS ACCESO - LOGIA - BANO]])</f>
        <v>0</v>
      </c>
      <c r="CI460" s="3">
        <f>+IF(AVANCE[[#This Row],[CERRADURAS]]=AV$2,100%,AVANCE[[#This Row],[CERRADURAS]])</f>
        <v>0</v>
      </c>
      <c r="CJ460" s="3">
        <f>+IF(AVANCE[[#This Row],[REVESTIMIENTO INTERIOR ZONA SECA]]=AW$2,100%,AVANCE[[#This Row],[REVESTIMIENTO INTERIOR ZONA SECA]])</f>
        <v>0</v>
      </c>
      <c r="CK460" s="3">
        <f>+IF(AVANCE[[#This Row],[REVESTIMIENTO INTERIOR ZONAS HUMEDAS]]=AX$2,100%,AVANCE[[#This Row],[REVESTIMIENTO INTERIOR ZONAS HUMEDAS]])</f>
        <v>0</v>
      </c>
      <c r="CL460" s="3">
        <f>+IF(AVANCE[[#This Row],[MEMBRANA CIELO]]=AY$2,100%,AVANCE[[#This Row],[MEMBRANA CIELO]])</f>
        <v>0</v>
      </c>
      <c r="CM460" s="3">
        <f>+IF(AVANCE[[#This Row],[LIMPIEZA FINAL]]=AZ$2,100%,AVANCE[[#This Row],[LIMPIEZA FINAL]])</f>
        <v>0</v>
      </c>
      <c r="CN460" s="3">
        <f>+IF(AVANCE[[#This Row],[PUERTAS DORMITORIO]]=BA$2,100%,AVANCE[[#This Row],[PUERTAS DORMITORIO]])</f>
        <v>0</v>
      </c>
      <c r="CO460" s="3">
        <f>+IF(AVANCE[[#This Row],[REVESTIMIENTO INTERIOR BANO]]=BB$2,100%,AVANCE[[#This Row],[REVESTIMIENTO INTERIOR BANO]])</f>
        <v>0</v>
      </c>
      <c r="CP460" s="3">
        <f>+IF(AVANCE[[#This Row],[MUEBLE LAVAPLATOS]]=BC$2,100%,AVANCE[[#This Row],[MUEBLE LAVAPLATOS]])</f>
        <v>0</v>
      </c>
      <c r="CQ460" s="3">
        <f>+IF(AVANCE[[#This Row],[IMPERMEABILIZACION BANO - COCINA LOGIA]]=BD$2,100%,AVANCE[[#This Row],[IMPERMEABILIZACION BANO - COCINA LOGIA]])</f>
        <v>0</v>
      </c>
      <c r="CR460" s="40">
        <f ca="1">+IF(AVANCE[[#This Row],[ESTADO MODULO]]="PENDIENTE",(TODAY()-AVANCE[[#This Row],[FECHA TERMINO  PLANIFICADO]]),0)</f>
        <v>0</v>
      </c>
      <c r="CS460" s="42" t="str" cm="1">
        <f t="array" ref="CS460">_xlfn.TEXTJOIN(" | ",TRUE,IF(SUMPRODUCT((BF460:CQ460&lt;1)*(PARTIDAS!$I$2:$AT$2="OBRA GRUESA"))&gt;0,"OBRA GRUESA: "&amp;_xlfn.TEXTJOIN(", ",TRUE,IF((BF460:CQ460&lt;1)*(PARTIDAS!$I$2:$AT$2="OBRA GRUESA"),PARTIDAS!$I$1:$AT$1,"")),""),IF(SUMPRODUCT((BF460:CQ460&lt;1)*(PARTIDAS!$I$2:$AT$2="SANITARIOS"))&gt;0,"SANITARIOS: "&amp;_xlfn.TEXTJOIN(", ",TRUE,IF((BF460:CQ460&lt;1)*(PARTIDAS!$I$2:$AT$2="SANITARIOS"),PARTIDAS!$I$1:$AT$1,"")),""),IF(SUMPRODUCT((BF460:CQ460&lt;1)*(PARTIDAS!$I$2:$AT$2="ELÉCTRICO"))&gt;0,"ELÉCTRICO: "&amp;_xlfn.TEXTJOIN(", ",TRUE,IF((BF460:CQ460&lt;1)*(PARTIDAS!$I$2:$AT$2="ELÉCTRICO"),PARTIDAS!$I$1:$AT$1,"")),""),IF(SUMPRODUCT((BF460:CQ460&lt;1)*(PARTIDAS!$I$2:$AT$2="TERMINACIONES"))&gt;0,"TERMINACIONES: "&amp;_xlfn.TEXTJOIN(", ",TRUE,IF((BF460:CQ460&lt;1)*(PARTIDAS!$I$2:$AT$2="TERMINACIONES"),PARTIDAS!$I$1:$AT$1,"")),""))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0" s="45" t="str" cm="1">
        <f t="array" ref="CT460">_xlfn.TEXTJOIN(", ",TRUE,IF(SUMPRODUCT((BF460:CQ460&lt;1)*(PARTIDAS!$I$2:$AT$2="OBRA GRUESA"))&gt;0,"OBRA GRUESA",""),IF(SUMPRODUCT((BF460:CQ460&lt;1)*(PARTIDAS!$I$2:$AT$2="SANITARIOS"))&gt;0,"SANITARIOS",""),IF(SUMPRODUCT((BF460:CQ460&lt;1)*(PARTIDAS!$I$2:$AT$2="ELÉCTRICO"))&gt;0,"ELÉCTRICO",""),IF(SUMPRODUCT((BF460:CQ460&lt;1)*(PARTIDAS!$I$2:$AT$2="TERMINACIONES"))&gt;0,"TERMINACIONES",""))</f>
        <v>OBRA GRUESA, SANITARIOS, ELÉCTRICO, TERMINACIONES</v>
      </c>
      <c r="CU460" s="46" cm="1">
        <f t="array" ref="CU460">SUMPRODUCT(--(BF460:CQ460&lt;1))</f>
        <v>38</v>
      </c>
    </row>
    <row r="461" spans="1:99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46181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 s="3" t="str">
        <f>+IF(AVANCE[[#This Row],[% AVANCE]]=100%,"MODULO TERMINADO",IF(AVANCE[[#This Row],[FECHA INICIO REAL]]="","MODULO NO INICIADO","PENDIENTE"))</f>
        <v>MODULO NO INICIADO</v>
      </c>
      <c r="BF461" s="3">
        <f>+IF(AVANCE[[#This Row],[VENTANAS]]=8.10810810810811%,100%,AVANCE[[#This Row],[VENTANAS]])</f>
        <v>0</v>
      </c>
      <c r="BG461" s="3">
        <f>+IF(AVANCE[[#This Row],[PISO]]=N$2,100%,AVANCE[[#This Row],[PISO]])</f>
        <v>0</v>
      </c>
      <c r="BH461" s="3">
        <f>+IF(AVANCE[[#This Row],[TABIQUES]]=O$2,100%,AVANCE[[#This Row],[TABIQUES]])</f>
        <v>0</v>
      </c>
      <c r="BI461" s="3">
        <f>+IF(AVANCE[[#This Row],[MUROS]]=P$2,100%,AVANCE[[#This Row],[MUROS]])</f>
        <v>0</v>
      </c>
      <c r="BJ461" s="3">
        <f>+IF(AVANCE[[#This Row],[CIELO]]=Q$2,100%,AVANCE[[#This Row],[CIELO]])</f>
        <v>0</v>
      </c>
      <c r="BK461" s="3">
        <f>+IF(AVANCE[[#This Row],[BALCÓN]]=R$2,100%,AVANCE[[#This Row],[BALCÓN]])</f>
        <v>0</v>
      </c>
      <c r="BL461" s="3">
        <f>+IF(AVANCE[[#This Row],[RED ALCANTARILLADO]]=U$2,100%,AVANCE[[#This Row],[RED ALCANTARILLADO]])</f>
        <v>0</v>
      </c>
      <c r="BM461" s="3">
        <f>+IF(AVANCE[[#This Row],[RED DE AGUA]]=V$2,100%,AVANCE[[#This Row],[RED DE AGUA]])</f>
        <v>0</v>
      </c>
      <c r="BN461" s="3">
        <f>+IF(AVANCE[[#This Row],[VENTILACIONES]]=W$2,100%,AVANCE[[#This Row],[VENTILACIONES]])</f>
        <v>0</v>
      </c>
      <c r="BO461" s="3">
        <f>+IF(AVANCE[[#This Row],[TINA]]=X$2,100%,AVANCE[[#This Row],[TINA]])</f>
        <v>0</v>
      </c>
      <c r="BP461" s="3">
        <f>+IF(AVANCE[[#This Row],[WC]]=Y$2,100%,AVANCE[[#This Row],[WC]])</f>
        <v>0</v>
      </c>
      <c r="BQ461" s="3">
        <f>+IF(AVANCE[[#This Row],[LAVAMANOS / LAVAPLATOS / LAVADERO]]=Z$2,100%,AVANCE[[#This Row],[LAVAMANOS / LAVAPLATOS / LAVADERO]])</f>
        <v>0</v>
      </c>
      <c r="BR461" s="3">
        <f>+IF(AVANCE[[#This Row],[CANALIZACIÓN]]=AC$2,100%,AVANCE[[#This Row],[CANALIZACIÓN]])</f>
        <v>0</v>
      </c>
      <c r="BS461" s="3">
        <f>+IF(AVANCE[[#This Row],[CABLEADO]]=AD$2,100%,AVANCE[[#This Row],[CABLEADO]])</f>
        <v>0</v>
      </c>
      <c r="BT461" s="3">
        <f>+IF(AVANCE[[#This Row],[ARTEFACTOS]]=AE$2,100%,AVANCE[[#This Row],[ARTEFACTOS]])</f>
        <v>0</v>
      </c>
      <c r="BU461" s="3">
        <f>+IF(AVANCE[[#This Row],[TABLERO]]=AF$2,100%,AVANCE[[#This Row],[TABLERO]])</f>
        <v>0</v>
      </c>
      <c r="BV461" s="3">
        <f>+IF(AVANCE[[#This Row],[CAJA PAU]]=AG$2,100%,AVANCE[[#This Row],[CAJA PAU]])</f>
        <v>0</v>
      </c>
      <c r="BW461" s="3">
        <f>+IF(AVANCE[[#This Row],[INSTALACION VINILICO]]=AJ$2,100%,AVANCE[[#This Row],[INSTALACION VINILICO]])</f>
        <v>0</v>
      </c>
      <c r="BX461" s="3">
        <f>+IF(AVANCE[[#This Row],[OSB CUBIERTA]]=AK$2,100%,AVANCE[[#This Row],[OSB CUBIERTA]])</f>
        <v>0</v>
      </c>
      <c r="BY461" s="3">
        <f>+IF(AVANCE[[#This Row],[BARANDA BALCON]]=AL$2,100%,AVANCE[[#This Row],[BARANDA BALCON]])</f>
        <v>0</v>
      </c>
      <c r="BZ461" s="3">
        <f>+IF(AVANCE[[#This Row],[OSB EXTERIOR]]=AM$2,100%,AVANCE[[#This Row],[OSB EXTERIOR]])</f>
        <v>0</v>
      </c>
      <c r="CA461" s="3">
        <f>+IF(AVANCE[[#This Row],[SMART PANEL]]=AN$2,100%,AVANCE[[#This Row],[SMART PANEL]])</f>
        <v>0</v>
      </c>
      <c r="CB461" s="3">
        <f>+IF(AVANCE[[#This Row],[PINTURA EXTERIOR]]=AO$2,100%,AVANCE[[#This Row],[PINTURA EXTERIOR]])</f>
        <v>0</v>
      </c>
      <c r="CC461" s="3">
        <f>+IF(AVANCE[[#This Row],[ZOCALOS LOGIA]]=AP$2,100%,AVANCE[[#This Row],[ZOCALOS LOGIA]])</f>
        <v>0</v>
      </c>
      <c r="CD461" s="3">
        <f>+IF(AVANCE[[#This Row],[MOLDURAS]]=AQ$2,100%,AVANCE[[#This Row],[MOLDURAS]])</f>
        <v>0</v>
      </c>
      <c r="CE461" s="3">
        <f>+IF(AVANCE[[#This Row],[PILASTREO]]=AR$2,100%,AVANCE[[#This Row],[PILASTREO]])</f>
        <v>0</v>
      </c>
      <c r="CF461" s="3">
        <f>+IF(AVANCE[[#This Row],[CELOSIAS]]=AS$2,100%,AVANCE[[#This Row],[CELOSIAS]])</f>
        <v>0</v>
      </c>
      <c r="CG461" s="3">
        <f>+IF(AVANCE[[#This Row],[VENTANAS]]=AT$2,100%,AVANCE[[#This Row],[VENTANAS]])</f>
        <v>0</v>
      </c>
      <c r="CH461" s="3">
        <f>+IF(AVANCE[[#This Row],[PUERTAS ACCESO - LOGIA - BANO]]=AU$2,100%,AVANCE[[#This Row],[PUERTAS ACCESO - LOGIA - BANO]])</f>
        <v>0</v>
      </c>
      <c r="CI461" s="3">
        <f>+IF(AVANCE[[#This Row],[CERRADURAS]]=AV$2,100%,AVANCE[[#This Row],[CERRADURAS]])</f>
        <v>0</v>
      </c>
      <c r="CJ461" s="3">
        <f>+IF(AVANCE[[#This Row],[REVESTIMIENTO INTERIOR ZONA SECA]]=AW$2,100%,AVANCE[[#This Row],[REVESTIMIENTO INTERIOR ZONA SECA]])</f>
        <v>0</v>
      </c>
      <c r="CK461" s="3">
        <f>+IF(AVANCE[[#This Row],[REVESTIMIENTO INTERIOR ZONAS HUMEDAS]]=AX$2,100%,AVANCE[[#This Row],[REVESTIMIENTO INTERIOR ZONAS HUMEDAS]])</f>
        <v>0</v>
      </c>
      <c r="CL461" s="3">
        <f>+IF(AVANCE[[#This Row],[MEMBRANA CIELO]]=AY$2,100%,AVANCE[[#This Row],[MEMBRANA CIELO]])</f>
        <v>0</v>
      </c>
      <c r="CM461" s="3">
        <f>+IF(AVANCE[[#This Row],[LIMPIEZA FINAL]]=AZ$2,100%,AVANCE[[#This Row],[LIMPIEZA FINAL]])</f>
        <v>0</v>
      </c>
      <c r="CN461" s="3">
        <f>+IF(AVANCE[[#This Row],[PUERTAS DORMITORIO]]=BA$2,100%,AVANCE[[#This Row],[PUERTAS DORMITORIO]])</f>
        <v>0</v>
      </c>
      <c r="CO461" s="3">
        <f>+IF(AVANCE[[#This Row],[REVESTIMIENTO INTERIOR BANO]]=BB$2,100%,AVANCE[[#This Row],[REVESTIMIENTO INTERIOR BANO]])</f>
        <v>0</v>
      </c>
      <c r="CP461" s="3">
        <f>+IF(AVANCE[[#This Row],[MUEBLE LAVAPLATOS]]=BC$2,100%,AVANCE[[#This Row],[MUEBLE LAVAPLATOS]])</f>
        <v>0</v>
      </c>
      <c r="CQ461" s="3">
        <f>+IF(AVANCE[[#This Row],[IMPERMEABILIZACION BANO - COCINA LOGIA]]=BD$2,100%,AVANCE[[#This Row],[IMPERMEABILIZACION BANO - COCINA LOGIA]])</f>
        <v>0</v>
      </c>
      <c r="CR461" s="40">
        <f ca="1">+IF(AVANCE[[#This Row],[ESTADO MODULO]]="PENDIENTE",(TODAY()-AVANCE[[#This Row],[FECHA TERMINO  PLANIFICADO]]),0)</f>
        <v>0</v>
      </c>
      <c r="CS461" s="42" t="str" cm="1">
        <f t="array" ref="CS461">_xlfn.TEXTJOIN(" | ",TRUE,IF(SUMPRODUCT((BF461:CQ461&lt;1)*(PARTIDAS!$I$2:$AT$2="OBRA GRUESA"))&gt;0,"OBRA GRUESA: "&amp;_xlfn.TEXTJOIN(", ",TRUE,IF((BF461:CQ461&lt;1)*(PARTIDAS!$I$2:$AT$2="OBRA GRUESA"),PARTIDAS!$I$1:$AT$1,"")),""),IF(SUMPRODUCT((BF461:CQ461&lt;1)*(PARTIDAS!$I$2:$AT$2="SANITARIOS"))&gt;0,"SANITARIOS: "&amp;_xlfn.TEXTJOIN(", ",TRUE,IF((BF461:CQ461&lt;1)*(PARTIDAS!$I$2:$AT$2="SANITARIOS"),PARTIDAS!$I$1:$AT$1,"")),""),IF(SUMPRODUCT((BF461:CQ461&lt;1)*(PARTIDAS!$I$2:$AT$2="ELÉCTRICO"))&gt;0,"ELÉCTRICO: "&amp;_xlfn.TEXTJOIN(", ",TRUE,IF((BF461:CQ461&lt;1)*(PARTIDAS!$I$2:$AT$2="ELÉCTRICO"),PARTIDAS!$I$1:$AT$1,"")),""),IF(SUMPRODUCT((BF461:CQ461&lt;1)*(PARTIDAS!$I$2:$AT$2="TERMINACIONES"))&gt;0,"TERMINACIONES: "&amp;_xlfn.TEXTJOIN(", ",TRUE,IF((BF461:CQ461&lt;1)*(PARTIDAS!$I$2:$AT$2="TERMINACIONES"),PARTIDAS!$I$1:$AT$1,"")),""))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1" s="45" t="str" cm="1">
        <f t="array" ref="CT461">_xlfn.TEXTJOIN(", ",TRUE,IF(SUMPRODUCT((BF461:CQ461&lt;1)*(PARTIDAS!$I$2:$AT$2="OBRA GRUESA"))&gt;0,"OBRA GRUESA",""),IF(SUMPRODUCT((BF461:CQ461&lt;1)*(PARTIDAS!$I$2:$AT$2="SANITARIOS"))&gt;0,"SANITARIOS",""),IF(SUMPRODUCT((BF461:CQ461&lt;1)*(PARTIDAS!$I$2:$AT$2="ELÉCTRICO"))&gt;0,"ELÉCTRICO",""),IF(SUMPRODUCT((BF461:CQ461&lt;1)*(PARTIDAS!$I$2:$AT$2="TERMINACIONES"))&gt;0,"TERMINACIONES",""))</f>
        <v>OBRA GRUESA, SANITARIOS, ELÉCTRICO, TERMINACIONES</v>
      </c>
      <c r="CU461" s="46" cm="1">
        <f t="array" ref="CU461">SUMPRODUCT(--(BF461:CQ461&lt;1))</f>
        <v>38</v>
      </c>
    </row>
    <row r="462" spans="1:99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46181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 s="3" t="str">
        <f>+IF(AVANCE[[#This Row],[% AVANCE]]=100%,"MODULO TERMINADO",IF(AVANCE[[#This Row],[FECHA INICIO REAL]]="","MODULO NO INICIADO","PENDIENTE"))</f>
        <v>MODULO NO INICIADO</v>
      </c>
      <c r="BF462" s="3">
        <f>+IF(AVANCE[[#This Row],[VENTANAS]]=8.10810810810811%,100%,AVANCE[[#This Row],[VENTANAS]])</f>
        <v>0</v>
      </c>
      <c r="BG462" s="3">
        <f>+IF(AVANCE[[#This Row],[PISO]]=N$2,100%,AVANCE[[#This Row],[PISO]])</f>
        <v>0</v>
      </c>
      <c r="BH462" s="3">
        <f>+IF(AVANCE[[#This Row],[TABIQUES]]=O$2,100%,AVANCE[[#This Row],[TABIQUES]])</f>
        <v>0</v>
      </c>
      <c r="BI462" s="3">
        <f>+IF(AVANCE[[#This Row],[MUROS]]=P$2,100%,AVANCE[[#This Row],[MUROS]])</f>
        <v>0</v>
      </c>
      <c r="BJ462" s="3">
        <f>+IF(AVANCE[[#This Row],[CIELO]]=Q$2,100%,AVANCE[[#This Row],[CIELO]])</f>
        <v>0</v>
      </c>
      <c r="BK462" s="3">
        <f>+IF(AVANCE[[#This Row],[BALCÓN]]=R$2,100%,AVANCE[[#This Row],[BALCÓN]])</f>
        <v>0</v>
      </c>
      <c r="BL462" s="3">
        <f>+IF(AVANCE[[#This Row],[RED ALCANTARILLADO]]=U$2,100%,AVANCE[[#This Row],[RED ALCANTARILLADO]])</f>
        <v>0</v>
      </c>
      <c r="BM462" s="3">
        <f>+IF(AVANCE[[#This Row],[RED DE AGUA]]=V$2,100%,AVANCE[[#This Row],[RED DE AGUA]])</f>
        <v>0</v>
      </c>
      <c r="BN462" s="3">
        <f>+IF(AVANCE[[#This Row],[VENTILACIONES]]=W$2,100%,AVANCE[[#This Row],[VENTILACIONES]])</f>
        <v>0</v>
      </c>
      <c r="BO462" s="3">
        <f>+IF(AVANCE[[#This Row],[TINA]]=X$2,100%,AVANCE[[#This Row],[TINA]])</f>
        <v>0</v>
      </c>
      <c r="BP462" s="3">
        <f>+IF(AVANCE[[#This Row],[WC]]=Y$2,100%,AVANCE[[#This Row],[WC]])</f>
        <v>0</v>
      </c>
      <c r="BQ462" s="3">
        <f>+IF(AVANCE[[#This Row],[LAVAMANOS / LAVAPLATOS / LAVADERO]]=Z$2,100%,AVANCE[[#This Row],[LAVAMANOS / LAVAPLATOS / LAVADERO]])</f>
        <v>0</v>
      </c>
      <c r="BR462" s="3">
        <f>+IF(AVANCE[[#This Row],[CANALIZACIÓN]]=AC$2,100%,AVANCE[[#This Row],[CANALIZACIÓN]])</f>
        <v>0</v>
      </c>
      <c r="BS462" s="3">
        <f>+IF(AVANCE[[#This Row],[CABLEADO]]=AD$2,100%,AVANCE[[#This Row],[CABLEADO]])</f>
        <v>0</v>
      </c>
      <c r="BT462" s="3">
        <f>+IF(AVANCE[[#This Row],[ARTEFACTOS]]=AE$2,100%,AVANCE[[#This Row],[ARTEFACTOS]])</f>
        <v>0</v>
      </c>
      <c r="BU462" s="3">
        <f>+IF(AVANCE[[#This Row],[TABLERO]]=AF$2,100%,AVANCE[[#This Row],[TABLERO]])</f>
        <v>0</v>
      </c>
      <c r="BV462" s="3">
        <f>+IF(AVANCE[[#This Row],[CAJA PAU]]=AG$2,100%,AVANCE[[#This Row],[CAJA PAU]])</f>
        <v>0</v>
      </c>
      <c r="BW462" s="3">
        <f>+IF(AVANCE[[#This Row],[INSTALACION VINILICO]]=AJ$2,100%,AVANCE[[#This Row],[INSTALACION VINILICO]])</f>
        <v>0</v>
      </c>
      <c r="BX462" s="3">
        <f>+IF(AVANCE[[#This Row],[OSB CUBIERTA]]=AK$2,100%,AVANCE[[#This Row],[OSB CUBIERTA]])</f>
        <v>0</v>
      </c>
      <c r="BY462" s="3">
        <f>+IF(AVANCE[[#This Row],[BARANDA BALCON]]=AL$2,100%,AVANCE[[#This Row],[BARANDA BALCON]])</f>
        <v>0</v>
      </c>
      <c r="BZ462" s="3">
        <f>+IF(AVANCE[[#This Row],[OSB EXTERIOR]]=AM$2,100%,AVANCE[[#This Row],[OSB EXTERIOR]])</f>
        <v>0</v>
      </c>
      <c r="CA462" s="3">
        <f>+IF(AVANCE[[#This Row],[SMART PANEL]]=AN$2,100%,AVANCE[[#This Row],[SMART PANEL]])</f>
        <v>0</v>
      </c>
      <c r="CB462" s="3">
        <f>+IF(AVANCE[[#This Row],[PINTURA EXTERIOR]]=AO$2,100%,AVANCE[[#This Row],[PINTURA EXTERIOR]])</f>
        <v>0</v>
      </c>
      <c r="CC462" s="3">
        <f>+IF(AVANCE[[#This Row],[ZOCALOS LOGIA]]=AP$2,100%,AVANCE[[#This Row],[ZOCALOS LOGIA]])</f>
        <v>0</v>
      </c>
      <c r="CD462" s="3">
        <f>+IF(AVANCE[[#This Row],[MOLDURAS]]=AQ$2,100%,AVANCE[[#This Row],[MOLDURAS]])</f>
        <v>0</v>
      </c>
      <c r="CE462" s="3">
        <f>+IF(AVANCE[[#This Row],[PILASTREO]]=AR$2,100%,AVANCE[[#This Row],[PILASTREO]])</f>
        <v>0</v>
      </c>
      <c r="CF462" s="3">
        <f>+IF(AVANCE[[#This Row],[CELOSIAS]]=AS$2,100%,AVANCE[[#This Row],[CELOSIAS]])</f>
        <v>0</v>
      </c>
      <c r="CG462" s="3">
        <f>+IF(AVANCE[[#This Row],[VENTANAS]]=AT$2,100%,AVANCE[[#This Row],[VENTANAS]])</f>
        <v>0</v>
      </c>
      <c r="CH462" s="3">
        <f>+IF(AVANCE[[#This Row],[PUERTAS ACCESO - LOGIA - BANO]]=AU$2,100%,AVANCE[[#This Row],[PUERTAS ACCESO - LOGIA - BANO]])</f>
        <v>0</v>
      </c>
      <c r="CI462" s="3">
        <f>+IF(AVANCE[[#This Row],[CERRADURAS]]=AV$2,100%,AVANCE[[#This Row],[CERRADURAS]])</f>
        <v>0</v>
      </c>
      <c r="CJ462" s="3">
        <f>+IF(AVANCE[[#This Row],[REVESTIMIENTO INTERIOR ZONA SECA]]=AW$2,100%,AVANCE[[#This Row],[REVESTIMIENTO INTERIOR ZONA SECA]])</f>
        <v>0</v>
      </c>
      <c r="CK462" s="3">
        <f>+IF(AVANCE[[#This Row],[REVESTIMIENTO INTERIOR ZONAS HUMEDAS]]=AX$2,100%,AVANCE[[#This Row],[REVESTIMIENTO INTERIOR ZONAS HUMEDAS]])</f>
        <v>0</v>
      </c>
      <c r="CL462" s="3">
        <f>+IF(AVANCE[[#This Row],[MEMBRANA CIELO]]=AY$2,100%,AVANCE[[#This Row],[MEMBRANA CIELO]])</f>
        <v>0</v>
      </c>
      <c r="CM462" s="3">
        <f>+IF(AVANCE[[#This Row],[LIMPIEZA FINAL]]=AZ$2,100%,AVANCE[[#This Row],[LIMPIEZA FINAL]])</f>
        <v>0</v>
      </c>
      <c r="CN462" s="3">
        <f>+IF(AVANCE[[#This Row],[PUERTAS DORMITORIO]]=BA$2,100%,AVANCE[[#This Row],[PUERTAS DORMITORIO]])</f>
        <v>0</v>
      </c>
      <c r="CO462" s="3">
        <f>+IF(AVANCE[[#This Row],[REVESTIMIENTO INTERIOR BANO]]=BB$2,100%,AVANCE[[#This Row],[REVESTIMIENTO INTERIOR BANO]])</f>
        <v>0</v>
      </c>
      <c r="CP462" s="3">
        <f>+IF(AVANCE[[#This Row],[MUEBLE LAVAPLATOS]]=BC$2,100%,AVANCE[[#This Row],[MUEBLE LAVAPLATOS]])</f>
        <v>0</v>
      </c>
      <c r="CQ462" s="3">
        <f>+IF(AVANCE[[#This Row],[IMPERMEABILIZACION BANO - COCINA LOGIA]]=BD$2,100%,AVANCE[[#This Row],[IMPERMEABILIZACION BANO - COCINA LOGIA]])</f>
        <v>0</v>
      </c>
      <c r="CR462" s="40">
        <f ca="1">+IF(AVANCE[[#This Row],[ESTADO MODULO]]="PENDIENTE",(TODAY()-AVANCE[[#This Row],[FECHA TERMINO  PLANIFICADO]]),0)</f>
        <v>0</v>
      </c>
      <c r="CS462" s="42" t="str" cm="1">
        <f t="array" ref="CS462">_xlfn.TEXTJOIN(" | ",TRUE,IF(SUMPRODUCT((BF462:CQ462&lt;1)*(PARTIDAS!$I$2:$AT$2="OBRA GRUESA"))&gt;0,"OBRA GRUESA: "&amp;_xlfn.TEXTJOIN(", ",TRUE,IF((BF462:CQ462&lt;1)*(PARTIDAS!$I$2:$AT$2="OBRA GRUESA"),PARTIDAS!$I$1:$AT$1,"")),""),IF(SUMPRODUCT((BF462:CQ462&lt;1)*(PARTIDAS!$I$2:$AT$2="SANITARIOS"))&gt;0,"SANITARIOS: "&amp;_xlfn.TEXTJOIN(", ",TRUE,IF((BF462:CQ462&lt;1)*(PARTIDAS!$I$2:$AT$2="SANITARIOS"),PARTIDAS!$I$1:$AT$1,"")),""),IF(SUMPRODUCT((BF462:CQ462&lt;1)*(PARTIDAS!$I$2:$AT$2="ELÉCTRICO"))&gt;0,"ELÉCTRICO: "&amp;_xlfn.TEXTJOIN(", ",TRUE,IF((BF462:CQ462&lt;1)*(PARTIDAS!$I$2:$AT$2="ELÉCTRICO"),PARTIDAS!$I$1:$AT$1,"")),""),IF(SUMPRODUCT((BF462:CQ462&lt;1)*(PARTIDAS!$I$2:$AT$2="TERMINACIONES"))&gt;0,"TERMINACIONES: "&amp;_xlfn.TEXTJOIN(", ",TRUE,IF((BF462:CQ462&lt;1)*(PARTIDAS!$I$2:$AT$2="TERMINACIONES"),PARTIDAS!$I$1:$AT$1,"")),""))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2" s="45" t="str" cm="1">
        <f t="array" ref="CT462">_xlfn.TEXTJOIN(", ",TRUE,IF(SUMPRODUCT((BF462:CQ462&lt;1)*(PARTIDAS!$I$2:$AT$2="OBRA GRUESA"))&gt;0,"OBRA GRUESA",""),IF(SUMPRODUCT((BF462:CQ462&lt;1)*(PARTIDAS!$I$2:$AT$2="SANITARIOS"))&gt;0,"SANITARIOS",""),IF(SUMPRODUCT((BF462:CQ462&lt;1)*(PARTIDAS!$I$2:$AT$2="ELÉCTRICO"))&gt;0,"ELÉCTRICO",""),IF(SUMPRODUCT((BF462:CQ462&lt;1)*(PARTIDAS!$I$2:$AT$2="TERMINACIONES"))&gt;0,"TERMINACIONES",""))</f>
        <v>OBRA GRUESA, SANITARIOS, ELÉCTRICO, TERMINACIONES</v>
      </c>
      <c r="CU462" s="46" cm="1">
        <f t="array" ref="CU462">SUMPRODUCT(--(BF462:CQ462&lt;1))</f>
        <v>38</v>
      </c>
    </row>
    <row r="463" spans="1:99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46181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 s="3" t="str">
        <f>+IF(AVANCE[[#This Row],[% AVANCE]]=100%,"MODULO TERMINADO",IF(AVANCE[[#This Row],[FECHA INICIO REAL]]="","MODULO NO INICIADO","PENDIENTE"))</f>
        <v>MODULO NO INICIADO</v>
      </c>
      <c r="BF463" s="3">
        <f>+IF(AVANCE[[#This Row],[VENTANAS]]=8.10810810810811%,100%,AVANCE[[#This Row],[VENTANAS]])</f>
        <v>0</v>
      </c>
      <c r="BG463" s="3">
        <f>+IF(AVANCE[[#This Row],[PISO]]=N$2,100%,AVANCE[[#This Row],[PISO]])</f>
        <v>0</v>
      </c>
      <c r="BH463" s="3">
        <f>+IF(AVANCE[[#This Row],[TABIQUES]]=O$2,100%,AVANCE[[#This Row],[TABIQUES]])</f>
        <v>0</v>
      </c>
      <c r="BI463" s="3">
        <f>+IF(AVANCE[[#This Row],[MUROS]]=P$2,100%,AVANCE[[#This Row],[MUROS]])</f>
        <v>0</v>
      </c>
      <c r="BJ463" s="3">
        <f>+IF(AVANCE[[#This Row],[CIELO]]=Q$2,100%,AVANCE[[#This Row],[CIELO]])</f>
        <v>0</v>
      </c>
      <c r="BK463" s="3">
        <f>+IF(AVANCE[[#This Row],[BALCÓN]]=R$2,100%,AVANCE[[#This Row],[BALCÓN]])</f>
        <v>0</v>
      </c>
      <c r="BL463" s="3">
        <f>+IF(AVANCE[[#This Row],[RED ALCANTARILLADO]]=U$2,100%,AVANCE[[#This Row],[RED ALCANTARILLADO]])</f>
        <v>0</v>
      </c>
      <c r="BM463" s="3">
        <f>+IF(AVANCE[[#This Row],[RED DE AGUA]]=V$2,100%,AVANCE[[#This Row],[RED DE AGUA]])</f>
        <v>0</v>
      </c>
      <c r="BN463" s="3">
        <f>+IF(AVANCE[[#This Row],[VENTILACIONES]]=W$2,100%,AVANCE[[#This Row],[VENTILACIONES]])</f>
        <v>0</v>
      </c>
      <c r="BO463" s="3">
        <f>+IF(AVANCE[[#This Row],[TINA]]=X$2,100%,AVANCE[[#This Row],[TINA]])</f>
        <v>0</v>
      </c>
      <c r="BP463" s="3">
        <f>+IF(AVANCE[[#This Row],[WC]]=Y$2,100%,AVANCE[[#This Row],[WC]])</f>
        <v>0</v>
      </c>
      <c r="BQ463" s="3">
        <f>+IF(AVANCE[[#This Row],[LAVAMANOS / LAVAPLATOS / LAVADERO]]=Z$2,100%,AVANCE[[#This Row],[LAVAMANOS / LAVAPLATOS / LAVADERO]])</f>
        <v>0</v>
      </c>
      <c r="BR463" s="3">
        <f>+IF(AVANCE[[#This Row],[CANALIZACIÓN]]=AC$2,100%,AVANCE[[#This Row],[CANALIZACIÓN]])</f>
        <v>0</v>
      </c>
      <c r="BS463" s="3">
        <f>+IF(AVANCE[[#This Row],[CABLEADO]]=AD$2,100%,AVANCE[[#This Row],[CABLEADO]])</f>
        <v>0</v>
      </c>
      <c r="BT463" s="3">
        <f>+IF(AVANCE[[#This Row],[ARTEFACTOS]]=AE$2,100%,AVANCE[[#This Row],[ARTEFACTOS]])</f>
        <v>0</v>
      </c>
      <c r="BU463" s="3">
        <f>+IF(AVANCE[[#This Row],[TABLERO]]=AF$2,100%,AVANCE[[#This Row],[TABLERO]])</f>
        <v>0</v>
      </c>
      <c r="BV463" s="3">
        <f>+IF(AVANCE[[#This Row],[CAJA PAU]]=AG$2,100%,AVANCE[[#This Row],[CAJA PAU]])</f>
        <v>0</v>
      </c>
      <c r="BW463" s="3">
        <f>+IF(AVANCE[[#This Row],[INSTALACION VINILICO]]=AJ$2,100%,AVANCE[[#This Row],[INSTALACION VINILICO]])</f>
        <v>0</v>
      </c>
      <c r="BX463" s="3">
        <f>+IF(AVANCE[[#This Row],[OSB CUBIERTA]]=AK$2,100%,AVANCE[[#This Row],[OSB CUBIERTA]])</f>
        <v>0</v>
      </c>
      <c r="BY463" s="3">
        <f>+IF(AVANCE[[#This Row],[BARANDA BALCON]]=AL$2,100%,AVANCE[[#This Row],[BARANDA BALCON]])</f>
        <v>0</v>
      </c>
      <c r="BZ463" s="3">
        <f>+IF(AVANCE[[#This Row],[OSB EXTERIOR]]=AM$2,100%,AVANCE[[#This Row],[OSB EXTERIOR]])</f>
        <v>0</v>
      </c>
      <c r="CA463" s="3">
        <f>+IF(AVANCE[[#This Row],[SMART PANEL]]=AN$2,100%,AVANCE[[#This Row],[SMART PANEL]])</f>
        <v>0</v>
      </c>
      <c r="CB463" s="3">
        <f>+IF(AVANCE[[#This Row],[PINTURA EXTERIOR]]=AO$2,100%,AVANCE[[#This Row],[PINTURA EXTERIOR]])</f>
        <v>0</v>
      </c>
      <c r="CC463" s="3">
        <f>+IF(AVANCE[[#This Row],[ZOCALOS LOGIA]]=AP$2,100%,AVANCE[[#This Row],[ZOCALOS LOGIA]])</f>
        <v>0</v>
      </c>
      <c r="CD463" s="3">
        <f>+IF(AVANCE[[#This Row],[MOLDURAS]]=AQ$2,100%,AVANCE[[#This Row],[MOLDURAS]])</f>
        <v>0</v>
      </c>
      <c r="CE463" s="3">
        <f>+IF(AVANCE[[#This Row],[PILASTREO]]=AR$2,100%,AVANCE[[#This Row],[PILASTREO]])</f>
        <v>0</v>
      </c>
      <c r="CF463" s="3">
        <f>+IF(AVANCE[[#This Row],[CELOSIAS]]=AS$2,100%,AVANCE[[#This Row],[CELOSIAS]])</f>
        <v>0</v>
      </c>
      <c r="CG463" s="3">
        <f>+IF(AVANCE[[#This Row],[VENTANAS]]=AT$2,100%,AVANCE[[#This Row],[VENTANAS]])</f>
        <v>0</v>
      </c>
      <c r="CH463" s="3">
        <f>+IF(AVANCE[[#This Row],[PUERTAS ACCESO - LOGIA - BANO]]=AU$2,100%,AVANCE[[#This Row],[PUERTAS ACCESO - LOGIA - BANO]])</f>
        <v>0</v>
      </c>
      <c r="CI463" s="3">
        <f>+IF(AVANCE[[#This Row],[CERRADURAS]]=AV$2,100%,AVANCE[[#This Row],[CERRADURAS]])</f>
        <v>0</v>
      </c>
      <c r="CJ463" s="3">
        <f>+IF(AVANCE[[#This Row],[REVESTIMIENTO INTERIOR ZONA SECA]]=AW$2,100%,AVANCE[[#This Row],[REVESTIMIENTO INTERIOR ZONA SECA]])</f>
        <v>0</v>
      </c>
      <c r="CK463" s="3">
        <f>+IF(AVANCE[[#This Row],[REVESTIMIENTO INTERIOR ZONAS HUMEDAS]]=AX$2,100%,AVANCE[[#This Row],[REVESTIMIENTO INTERIOR ZONAS HUMEDAS]])</f>
        <v>0</v>
      </c>
      <c r="CL463" s="3">
        <f>+IF(AVANCE[[#This Row],[MEMBRANA CIELO]]=AY$2,100%,AVANCE[[#This Row],[MEMBRANA CIELO]])</f>
        <v>0</v>
      </c>
      <c r="CM463" s="3">
        <f>+IF(AVANCE[[#This Row],[LIMPIEZA FINAL]]=AZ$2,100%,AVANCE[[#This Row],[LIMPIEZA FINAL]])</f>
        <v>0</v>
      </c>
      <c r="CN463" s="3">
        <f>+IF(AVANCE[[#This Row],[PUERTAS DORMITORIO]]=BA$2,100%,AVANCE[[#This Row],[PUERTAS DORMITORIO]])</f>
        <v>0</v>
      </c>
      <c r="CO463" s="3">
        <f>+IF(AVANCE[[#This Row],[REVESTIMIENTO INTERIOR BANO]]=BB$2,100%,AVANCE[[#This Row],[REVESTIMIENTO INTERIOR BANO]])</f>
        <v>0</v>
      </c>
      <c r="CP463" s="3">
        <f>+IF(AVANCE[[#This Row],[MUEBLE LAVAPLATOS]]=BC$2,100%,AVANCE[[#This Row],[MUEBLE LAVAPLATOS]])</f>
        <v>0</v>
      </c>
      <c r="CQ463" s="3">
        <f>+IF(AVANCE[[#This Row],[IMPERMEABILIZACION BANO - COCINA LOGIA]]=BD$2,100%,AVANCE[[#This Row],[IMPERMEABILIZACION BANO - COCINA LOGIA]])</f>
        <v>0</v>
      </c>
      <c r="CR463" s="40">
        <f ca="1">+IF(AVANCE[[#This Row],[ESTADO MODULO]]="PENDIENTE",(TODAY()-AVANCE[[#This Row],[FECHA TERMINO  PLANIFICADO]]),0)</f>
        <v>0</v>
      </c>
      <c r="CS463" s="42" t="str" cm="1">
        <f t="array" ref="CS463">_xlfn.TEXTJOIN(" | ",TRUE,IF(SUMPRODUCT((BF463:CQ463&lt;1)*(PARTIDAS!$I$2:$AT$2="OBRA GRUESA"))&gt;0,"OBRA GRUESA: "&amp;_xlfn.TEXTJOIN(", ",TRUE,IF((BF463:CQ463&lt;1)*(PARTIDAS!$I$2:$AT$2="OBRA GRUESA"),PARTIDAS!$I$1:$AT$1,"")),""),IF(SUMPRODUCT((BF463:CQ463&lt;1)*(PARTIDAS!$I$2:$AT$2="SANITARIOS"))&gt;0,"SANITARIOS: "&amp;_xlfn.TEXTJOIN(", ",TRUE,IF((BF463:CQ463&lt;1)*(PARTIDAS!$I$2:$AT$2="SANITARIOS"),PARTIDAS!$I$1:$AT$1,"")),""),IF(SUMPRODUCT((BF463:CQ463&lt;1)*(PARTIDAS!$I$2:$AT$2="ELÉCTRICO"))&gt;0,"ELÉCTRICO: "&amp;_xlfn.TEXTJOIN(", ",TRUE,IF((BF463:CQ463&lt;1)*(PARTIDAS!$I$2:$AT$2="ELÉCTRICO"),PARTIDAS!$I$1:$AT$1,"")),""),IF(SUMPRODUCT((BF463:CQ463&lt;1)*(PARTIDAS!$I$2:$AT$2="TERMINACIONES"))&gt;0,"TERMINACIONES: "&amp;_xlfn.TEXTJOIN(", ",TRUE,IF((BF463:CQ463&lt;1)*(PARTIDAS!$I$2:$AT$2="TERMINACIONES"),PARTIDAS!$I$1:$AT$1,"")),""))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3" s="45" t="str" cm="1">
        <f t="array" ref="CT463">_xlfn.TEXTJOIN(", ",TRUE,IF(SUMPRODUCT((BF463:CQ463&lt;1)*(PARTIDAS!$I$2:$AT$2="OBRA GRUESA"))&gt;0,"OBRA GRUESA",""),IF(SUMPRODUCT((BF463:CQ463&lt;1)*(PARTIDAS!$I$2:$AT$2="SANITARIOS"))&gt;0,"SANITARIOS",""),IF(SUMPRODUCT((BF463:CQ463&lt;1)*(PARTIDAS!$I$2:$AT$2="ELÉCTRICO"))&gt;0,"ELÉCTRICO",""),IF(SUMPRODUCT((BF463:CQ463&lt;1)*(PARTIDAS!$I$2:$AT$2="TERMINACIONES"))&gt;0,"TERMINACIONES",""))</f>
        <v>OBRA GRUESA, SANITARIOS, ELÉCTRICO, TERMINACIONES</v>
      </c>
      <c r="CU463" s="46" cm="1">
        <f t="array" ref="CU463">SUMPRODUCT(--(BF463:CQ463&lt;1))</f>
        <v>38</v>
      </c>
    </row>
    <row r="464" spans="1:99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46181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 s="3" t="str">
        <f>+IF(AVANCE[[#This Row],[% AVANCE]]=100%,"MODULO TERMINADO",IF(AVANCE[[#This Row],[FECHA INICIO REAL]]="","MODULO NO INICIADO","PENDIENTE"))</f>
        <v>MODULO NO INICIADO</v>
      </c>
      <c r="BF464" s="3">
        <f>+IF(AVANCE[[#This Row],[VENTANAS]]=8.10810810810811%,100%,AVANCE[[#This Row],[VENTANAS]])</f>
        <v>0</v>
      </c>
      <c r="BG464" s="3">
        <f>+IF(AVANCE[[#This Row],[PISO]]=N$2,100%,AVANCE[[#This Row],[PISO]])</f>
        <v>0</v>
      </c>
      <c r="BH464" s="3">
        <f>+IF(AVANCE[[#This Row],[TABIQUES]]=O$2,100%,AVANCE[[#This Row],[TABIQUES]])</f>
        <v>0</v>
      </c>
      <c r="BI464" s="3">
        <f>+IF(AVANCE[[#This Row],[MUROS]]=P$2,100%,AVANCE[[#This Row],[MUROS]])</f>
        <v>0</v>
      </c>
      <c r="BJ464" s="3">
        <f>+IF(AVANCE[[#This Row],[CIELO]]=Q$2,100%,AVANCE[[#This Row],[CIELO]])</f>
        <v>0</v>
      </c>
      <c r="BK464" s="3">
        <f>+IF(AVANCE[[#This Row],[BALCÓN]]=R$2,100%,AVANCE[[#This Row],[BALCÓN]])</f>
        <v>0</v>
      </c>
      <c r="BL464" s="3">
        <f>+IF(AVANCE[[#This Row],[RED ALCANTARILLADO]]=U$2,100%,AVANCE[[#This Row],[RED ALCANTARILLADO]])</f>
        <v>0</v>
      </c>
      <c r="BM464" s="3">
        <f>+IF(AVANCE[[#This Row],[RED DE AGUA]]=V$2,100%,AVANCE[[#This Row],[RED DE AGUA]])</f>
        <v>0</v>
      </c>
      <c r="BN464" s="3">
        <f>+IF(AVANCE[[#This Row],[VENTILACIONES]]=W$2,100%,AVANCE[[#This Row],[VENTILACIONES]])</f>
        <v>0</v>
      </c>
      <c r="BO464" s="3">
        <f>+IF(AVANCE[[#This Row],[TINA]]=X$2,100%,AVANCE[[#This Row],[TINA]])</f>
        <v>0</v>
      </c>
      <c r="BP464" s="3">
        <f>+IF(AVANCE[[#This Row],[WC]]=Y$2,100%,AVANCE[[#This Row],[WC]])</f>
        <v>0</v>
      </c>
      <c r="BQ464" s="3">
        <f>+IF(AVANCE[[#This Row],[LAVAMANOS / LAVAPLATOS / LAVADERO]]=Z$2,100%,AVANCE[[#This Row],[LAVAMANOS / LAVAPLATOS / LAVADERO]])</f>
        <v>0</v>
      </c>
      <c r="BR464" s="3">
        <f>+IF(AVANCE[[#This Row],[CANALIZACIÓN]]=AC$2,100%,AVANCE[[#This Row],[CANALIZACIÓN]])</f>
        <v>0</v>
      </c>
      <c r="BS464" s="3">
        <f>+IF(AVANCE[[#This Row],[CABLEADO]]=AD$2,100%,AVANCE[[#This Row],[CABLEADO]])</f>
        <v>0</v>
      </c>
      <c r="BT464" s="3">
        <f>+IF(AVANCE[[#This Row],[ARTEFACTOS]]=AE$2,100%,AVANCE[[#This Row],[ARTEFACTOS]])</f>
        <v>0</v>
      </c>
      <c r="BU464" s="3">
        <f>+IF(AVANCE[[#This Row],[TABLERO]]=AF$2,100%,AVANCE[[#This Row],[TABLERO]])</f>
        <v>0</v>
      </c>
      <c r="BV464" s="3">
        <f>+IF(AVANCE[[#This Row],[CAJA PAU]]=AG$2,100%,AVANCE[[#This Row],[CAJA PAU]])</f>
        <v>0</v>
      </c>
      <c r="BW464" s="3">
        <f>+IF(AVANCE[[#This Row],[INSTALACION VINILICO]]=AJ$2,100%,AVANCE[[#This Row],[INSTALACION VINILICO]])</f>
        <v>0</v>
      </c>
      <c r="BX464" s="3">
        <f>+IF(AVANCE[[#This Row],[OSB CUBIERTA]]=AK$2,100%,AVANCE[[#This Row],[OSB CUBIERTA]])</f>
        <v>0</v>
      </c>
      <c r="BY464" s="3">
        <f>+IF(AVANCE[[#This Row],[BARANDA BALCON]]=AL$2,100%,AVANCE[[#This Row],[BARANDA BALCON]])</f>
        <v>0</v>
      </c>
      <c r="BZ464" s="3">
        <f>+IF(AVANCE[[#This Row],[OSB EXTERIOR]]=AM$2,100%,AVANCE[[#This Row],[OSB EXTERIOR]])</f>
        <v>0</v>
      </c>
      <c r="CA464" s="3">
        <f>+IF(AVANCE[[#This Row],[SMART PANEL]]=AN$2,100%,AVANCE[[#This Row],[SMART PANEL]])</f>
        <v>0</v>
      </c>
      <c r="CB464" s="3">
        <f>+IF(AVANCE[[#This Row],[PINTURA EXTERIOR]]=AO$2,100%,AVANCE[[#This Row],[PINTURA EXTERIOR]])</f>
        <v>0</v>
      </c>
      <c r="CC464" s="3">
        <f>+IF(AVANCE[[#This Row],[ZOCALOS LOGIA]]=AP$2,100%,AVANCE[[#This Row],[ZOCALOS LOGIA]])</f>
        <v>0</v>
      </c>
      <c r="CD464" s="3">
        <f>+IF(AVANCE[[#This Row],[MOLDURAS]]=AQ$2,100%,AVANCE[[#This Row],[MOLDURAS]])</f>
        <v>0</v>
      </c>
      <c r="CE464" s="3">
        <f>+IF(AVANCE[[#This Row],[PILASTREO]]=AR$2,100%,AVANCE[[#This Row],[PILASTREO]])</f>
        <v>0</v>
      </c>
      <c r="CF464" s="3">
        <f>+IF(AVANCE[[#This Row],[CELOSIAS]]=AS$2,100%,AVANCE[[#This Row],[CELOSIAS]])</f>
        <v>0</v>
      </c>
      <c r="CG464" s="3">
        <f>+IF(AVANCE[[#This Row],[VENTANAS]]=AT$2,100%,AVANCE[[#This Row],[VENTANAS]])</f>
        <v>0</v>
      </c>
      <c r="CH464" s="3">
        <f>+IF(AVANCE[[#This Row],[PUERTAS ACCESO - LOGIA - BANO]]=AU$2,100%,AVANCE[[#This Row],[PUERTAS ACCESO - LOGIA - BANO]])</f>
        <v>0</v>
      </c>
      <c r="CI464" s="3">
        <f>+IF(AVANCE[[#This Row],[CERRADURAS]]=AV$2,100%,AVANCE[[#This Row],[CERRADURAS]])</f>
        <v>0</v>
      </c>
      <c r="CJ464" s="3">
        <f>+IF(AVANCE[[#This Row],[REVESTIMIENTO INTERIOR ZONA SECA]]=AW$2,100%,AVANCE[[#This Row],[REVESTIMIENTO INTERIOR ZONA SECA]])</f>
        <v>0</v>
      </c>
      <c r="CK464" s="3">
        <f>+IF(AVANCE[[#This Row],[REVESTIMIENTO INTERIOR ZONAS HUMEDAS]]=AX$2,100%,AVANCE[[#This Row],[REVESTIMIENTO INTERIOR ZONAS HUMEDAS]])</f>
        <v>0</v>
      </c>
      <c r="CL464" s="3">
        <f>+IF(AVANCE[[#This Row],[MEMBRANA CIELO]]=AY$2,100%,AVANCE[[#This Row],[MEMBRANA CIELO]])</f>
        <v>0</v>
      </c>
      <c r="CM464" s="3">
        <f>+IF(AVANCE[[#This Row],[LIMPIEZA FINAL]]=AZ$2,100%,AVANCE[[#This Row],[LIMPIEZA FINAL]])</f>
        <v>0</v>
      </c>
      <c r="CN464" s="3">
        <f>+IF(AVANCE[[#This Row],[PUERTAS DORMITORIO]]=BA$2,100%,AVANCE[[#This Row],[PUERTAS DORMITORIO]])</f>
        <v>0</v>
      </c>
      <c r="CO464" s="3">
        <f>+IF(AVANCE[[#This Row],[REVESTIMIENTO INTERIOR BANO]]=BB$2,100%,AVANCE[[#This Row],[REVESTIMIENTO INTERIOR BANO]])</f>
        <v>0</v>
      </c>
      <c r="CP464" s="3">
        <f>+IF(AVANCE[[#This Row],[MUEBLE LAVAPLATOS]]=BC$2,100%,AVANCE[[#This Row],[MUEBLE LAVAPLATOS]])</f>
        <v>0</v>
      </c>
      <c r="CQ464" s="3">
        <f>+IF(AVANCE[[#This Row],[IMPERMEABILIZACION BANO - COCINA LOGIA]]=BD$2,100%,AVANCE[[#This Row],[IMPERMEABILIZACION BANO - COCINA LOGIA]])</f>
        <v>0</v>
      </c>
      <c r="CR464" s="40">
        <f ca="1">+IF(AVANCE[[#This Row],[ESTADO MODULO]]="PENDIENTE",(TODAY()-AVANCE[[#This Row],[FECHA TERMINO  PLANIFICADO]]),0)</f>
        <v>0</v>
      </c>
      <c r="CS464" s="42" t="str" cm="1">
        <f t="array" ref="CS464">_xlfn.TEXTJOIN(" | ",TRUE,IF(SUMPRODUCT((BF464:CQ464&lt;1)*(PARTIDAS!$I$2:$AT$2="OBRA GRUESA"))&gt;0,"OBRA GRUESA: "&amp;_xlfn.TEXTJOIN(", ",TRUE,IF((BF464:CQ464&lt;1)*(PARTIDAS!$I$2:$AT$2="OBRA GRUESA"),PARTIDAS!$I$1:$AT$1,"")),""),IF(SUMPRODUCT((BF464:CQ464&lt;1)*(PARTIDAS!$I$2:$AT$2="SANITARIOS"))&gt;0,"SANITARIOS: "&amp;_xlfn.TEXTJOIN(", ",TRUE,IF((BF464:CQ464&lt;1)*(PARTIDAS!$I$2:$AT$2="SANITARIOS"),PARTIDAS!$I$1:$AT$1,"")),""),IF(SUMPRODUCT((BF464:CQ464&lt;1)*(PARTIDAS!$I$2:$AT$2="ELÉCTRICO"))&gt;0,"ELÉCTRICO: "&amp;_xlfn.TEXTJOIN(", ",TRUE,IF((BF464:CQ464&lt;1)*(PARTIDAS!$I$2:$AT$2="ELÉCTRICO"),PARTIDAS!$I$1:$AT$1,"")),""),IF(SUMPRODUCT((BF464:CQ464&lt;1)*(PARTIDAS!$I$2:$AT$2="TERMINACIONES"))&gt;0,"TERMINACIONES: "&amp;_xlfn.TEXTJOIN(", ",TRUE,IF((BF464:CQ464&lt;1)*(PARTIDAS!$I$2:$AT$2="TERMINACIONES"),PARTIDAS!$I$1:$AT$1,"")),""))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4" s="45" t="str" cm="1">
        <f t="array" ref="CT464">_xlfn.TEXTJOIN(", ",TRUE,IF(SUMPRODUCT((BF464:CQ464&lt;1)*(PARTIDAS!$I$2:$AT$2="OBRA GRUESA"))&gt;0,"OBRA GRUESA",""),IF(SUMPRODUCT((BF464:CQ464&lt;1)*(PARTIDAS!$I$2:$AT$2="SANITARIOS"))&gt;0,"SANITARIOS",""),IF(SUMPRODUCT((BF464:CQ464&lt;1)*(PARTIDAS!$I$2:$AT$2="ELÉCTRICO"))&gt;0,"ELÉCTRICO",""),IF(SUMPRODUCT((BF464:CQ464&lt;1)*(PARTIDAS!$I$2:$AT$2="TERMINACIONES"))&gt;0,"TERMINACIONES",""))</f>
        <v>OBRA GRUESA, SANITARIOS, ELÉCTRICO, TERMINACIONES</v>
      </c>
      <c r="CU464" s="46" cm="1">
        <f t="array" ref="CU464">SUMPRODUCT(--(BF464:CQ464&lt;1))</f>
        <v>38</v>
      </c>
    </row>
    <row r="465" spans="1:99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46181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 s="3" t="str">
        <f>+IF(AVANCE[[#This Row],[% AVANCE]]=100%,"MODULO TERMINADO",IF(AVANCE[[#This Row],[FECHA INICIO REAL]]="","MODULO NO INICIADO","PENDIENTE"))</f>
        <v>MODULO NO INICIADO</v>
      </c>
      <c r="BF465" s="3">
        <f>+IF(AVANCE[[#This Row],[VENTANAS]]=8.10810810810811%,100%,AVANCE[[#This Row],[VENTANAS]])</f>
        <v>0</v>
      </c>
      <c r="BG465" s="3">
        <f>+IF(AVANCE[[#This Row],[PISO]]=N$2,100%,AVANCE[[#This Row],[PISO]])</f>
        <v>0</v>
      </c>
      <c r="BH465" s="3">
        <f>+IF(AVANCE[[#This Row],[TABIQUES]]=O$2,100%,AVANCE[[#This Row],[TABIQUES]])</f>
        <v>0</v>
      </c>
      <c r="BI465" s="3">
        <f>+IF(AVANCE[[#This Row],[MUROS]]=P$2,100%,AVANCE[[#This Row],[MUROS]])</f>
        <v>0</v>
      </c>
      <c r="BJ465" s="3">
        <f>+IF(AVANCE[[#This Row],[CIELO]]=Q$2,100%,AVANCE[[#This Row],[CIELO]])</f>
        <v>0</v>
      </c>
      <c r="BK465" s="3">
        <f>+IF(AVANCE[[#This Row],[BALCÓN]]=R$2,100%,AVANCE[[#This Row],[BALCÓN]])</f>
        <v>0</v>
      </c>
      <c r="BL465" s="3">
        <f>+IF(AVANCE[[#This Row],[RED ALCANTARILLADO]]=U$2,100%,AVANCE[[#This Row],[RED ALCANTARILLADO]])</f>
        <v>0</v>
      </c>
      <c r="BM465" s="3">
        <f>+IF(AVANCE[[#This Row],[RED DE AGUA]]=V$2,100%,AVANCE[[#This Row],[RED DE AGUA]])</f>
        <v>0</v>
      </c>
      <c r="BN465" s="3">
        <f>+IF(AVANCE[[#This Row],[VENTILACIONES]]=W$2,100%,AVANCE[[#This Row],[VENTILACIONES]])</f>
        <v>0</v>
      </c>
      <c r="BO465" s="3">
        <f>+IF(AVANCE[[#This Row],[TINA]]=X$2,100%,AVANCE[[#This Row],[TINA]])</f>
        <v>0</v>
      </c>
      <c r="BP465" s="3">
        <f>+IF(AVANCE[[#This Row],[WC]]=Y$2,100%,AVANCE[[#This Row],[WC]])</f>
        <v>0</v>
      </c>
      <c r="BQ465" s="3">
        <f>+IF(AVANCE[[#This Row],[LAVAMANOS / LAVAPLATOS / LAVADERO]]=Z$2,100%,AVANCE[[#This Row],[LAVAMANOS / LAVAPLATOS / LAVADERO]])</f>
        <v>0</v>
      </c>
      <c r="BR465" s="3">
        <f>+IF(AVANCE[[#This Row],[CANALIZACIÓN]]=AC$2,100%,AVANCE[[#This Row],[CANALIZACIÓN]])</f>
        <v>0</v>
      </c>
      <c r="BS465" s="3">
        <f>+IF(AVANCE[[#This Row],[CABLEADO]]=AD$2,100%,AVANCE[[#This Row],[CABLEADO]])</f>
        <v>0</v>
      </c>
      <c r="BT465" s="3">
        <f>+IF(AVANCE[[#This Row],[ARTEFACTOS]]=AE$2,100%,AVANCE[[#This Row],[ARTEFACTOS]])</f>
        <v>0</v>
      </c>
      <c r="BU465" s="3">
        <f>+IF(AVANCE[[#This Row],[TABLERO]]=AF$2,100%,AVANCE[[#This Row],[TABLERO]])</f>
        <v>0</v>
      </c>
      <c r="BV465" s="3">
        <f>+IF(AVANCE[[#This Row],[CAJA PAU]]=AG$2,100%,AVANCE[[#This Row],[CAJA PAU]])</f>
        <v>0</v>
      </c>
      <c r="BW465" s="3">
        <f>+IF(AVANCE[[#This Row],[INSTALACION VINILICO]]=AJ$2,100%,AVANCE[[#This Row],[INSTALACION VINILICO]])</f>
        <v>0</v>
      </c>
      <c r="BX465" s="3">
        <f>+IF(AVANCE[[#This Row],[OSB CUBIERTA]]=AK$2,100%,AVANCE[[#This Row],[OSB CUBIERTA]])</f>
        <v>0</v>
      </c>
      <c r="BY465" s="3">
        <f>+IF(AVANCE[[#This Row],[BARANDA BALCON]]=AL$2,100%,AVANCE[[#This Row],[BARANDA BALCON]])</f>
        <v>0</v>
      </c>
      <c r="BZ465" s="3">
        <f>+IF(AVANCE[[#This Row],[OSB EXTERIOR]]=AM$2,100%,AVANCE[[#This Row],[OSB EXTERIOR]])</f>
        <v>0</v>
      </c>
      <c r="CA465" s="3">
        <f>+IF(AVANCE[[#This Row],[SMART PANEL]]=AN$2,100%,AVANCE[[#This Row],[SMART PANEL]])</f>
        <v>0</v>
      </c>
      <c r="CB465" s="3">
        <f>+IF(AVANCE[[#This Row],[PINTURA EXTERIOR]]=AO$2,100%,AVANCE[[#This Row],[PINTURA EXTERIOR]])</f>
        <v>0</v>
      </c>
      <c r="CC465" s="3">
        <f>+IF(AVANCE[[#This Row],[ZOCALOS LOGIA]]=AP$2,100%,AVANCE[[#This Row],[ZOCALOS LOGIA]])</f>
        <v>0</v>
      </c>
      <c r="CD465" s="3">
        <f>+IF(AVANCE[[#This Row],[MOLDURAS]]=AQ$2,100%,AVANCE[[#This Row],[MOLDURAS]])</f>
        <v>0</v>
      </c>
      <c r="CE465" s="3">
        <f>+IF(AVANCE[[#This Row],[PILASTREO]]=AR$2,100%,AVANCE[[#This Row],[PILASTREO]])</f>
        <v>0</v>
      </c>
      <c r="CF465" s="3">
        <f>+IF(AVANCE[[#This Row],[CELOSIAS]]=AS$2,100%,AVANCE[[#This Row],[CELOSIAS]])</f>
        <v>0</v>
      </c>
      <c r="CG465" s="3">
        <f>+IF(AVANCE[[#This Row],[VENTANAS]]=AT$2,100%,AVANCE[[#This Row],[VENTANAS]])</f>
        <v>0</v>
      </c>
      <c r="CH465" s="3">
        <f>+IF(AVANCE[[#This Row],[PUERTAS ACCESO - LOGIA - BANO]]=AU$2,100%,AVANCE[[#This Row],[PUERTAS ACCESO - LOGIA - BANO]])</f>
        <v>0</v>
      </c>
      <c r="CI465" s="3">
        <f>+IF(AVANCE[[#This Row],[CERRADURAS]]=AV$2,100%,AVANCE[[#This Row],[CERRADURAS]])</f>
        <v>0</v>
      </c>
      <c r="CJ465" s="3">
        <f>+IF(AVANCE[[#This Row],[REVESTIMIENTO INTERIOR ZONA SECA]]=AW$2,100%,AVANCE[[#This Row],[REVESTIMIENTO INTERIOR ZONA SECA]])</f>
        <v>0</v>
      </c>
      <c r="CK465" s="3">
        <f>+IF(AVANCE[[#This Row],[REVESTIMIENTO INTERIOR ZONAS HUMEDAS]]=AX$2,100%,AVANCE[[#This Row],[REVESTIMIENTO INTERIOR ZONAS HUMEDAS]])</f>
        <v>0</v>
      </c>
      <c r="CL465" s="3">
        <f>+IF(AVANCE[[#This Row],[MEMBRANA CIELO]]=AY$2,100%,AVANCE[[#This Row],[MEMBRANA CIELO]])</f>
        <v>0</v>
      </c>
      <c r="CM465" s="3">
        <f>+IF(AVANCE[[#This Row],[LIMPIEZA FINAL]]=AZ$2,100%,AVANCE[[#This Row],[LIMPIEZA FINAL]])</f>
        <v>0</v>
      </c>
      <c r="CN465" s="3">
        <f>+IF(AVANCE[[#This Row],[PUERTAS DORMITORIO]]=BA$2,100%,AVANCE[[#This Row],[PUERTAS DORMITORIO]])</f>
        <v>0</v>
      </c>
      <c r="CO465" s="3">
        <f>+IF(AVANCE[[#This Row],[REVESTIMIENTO INTERIOR BANO]]=BB$2,100%,AVANCE[[#This Row],[REVESTIMIENTO INTERIOR BANO]])</f>
        <v>0</v>
      </c>
      <c r="CP465" s="3">
        <f>+IF(AVANCE[[#This Row],[MUEBLE LAVAPLATOS]]=BC$2,100%,AVANCE[[#This Row],[MUEBLE LAVAPLATOS]])</f>
        <v>0</v>
      </c>
      <c r="CQ465" s="3">
        <f>+IF(AVANCE[[#This Row],[IMPERMEABILIZACION BANO - COCINA LOGIA]]=BD$2,100%,AVANCE[[#This Row],[IMPERMEABILIZACION BANO - COCINA LOGIA]])</f>
        <v>0</v>
      </c>
      <c r="CR465" s="40">
        <f ca="1">+IF(AVANCE[[#This Row],[ESTADO MODULO]]="PENDIENTE",(TODAY()-AVANCE[[#This Row],[FECHA TERMINO  PLANIFICADO]]),0)</f>
        <v>0</v>
      </c>
      <c r="CS465" s="42" t="str" cm="1">
        <f t="array" ref="CS465">_xlfn.TEXTJOIN(" | ",TRUE,IF(SUMPRODUCT((BF465:CQ465&lt;1)*(PARTIDAS!$I$2:$AT$2="OBRA GRUESA"))&gt;0,"OBRA GRUESA: "&amp;_xlfn.TEXTJOIN(", ",TRUE,IF((BF465:CQ465&lt;1)*(PARTIDAS!$I$2:$AT$2="OBRA GRUESA"),PARTIDAS!$I$1:$AT$1,"")),""),IF(SUMPRODUCT((BF465:CQ465&lt;1)*(PARTIDAS!$I$2:$AT$2="SANITARIOS"))&gt;0,"SANITARIOS: "&amp;_xlfn.TEXTJOIN(", ",TRUE,IF((BF465:CQ465&lt;1)*(PARTIDAS!$I$2:$AT$2="SANITARIOS"),PARTIDAS!$I$1:$AT$1,"")),""),IF(SUMPRODUCT((BF465:CQ465&lt;1)*(PARTIDAS!$I$2:$AT$2="ELÉCTRICO"))&gt;0,"ELÉCTRICO: "&amp;_xlfn.TEXTJOIN(", ",TRUE,IF((BF465:CQ465&lt;1)*(PARTIDAS!$I$2:$AT$2="ELÉCTRICO"),PARTIDAS!$I$1:$AT$1,"")),""),IF(SUMPRODUCT((BF465:CQ465&lt;1)*(PARTIDAS!$I$2:$AT$2="TERMINACIONES"))&gt;0,"TERMINACIONES: "&amp;_xlfn.TEXTJOIN(", ",TRUE,IF((BF465:CQ465&lt;1)*(PARTIDAS!$I$2:$AT$2="TERMINACIONES"),PARTIDAS!$I$1:$AT$1,"")),""))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5" s="45" t="str" cm="1">
        <f t="array" ref="CT465">_xlfn.TEXTJOIN(", ",TRUE,IF(SUMPRODUCT((BF465:CQ465&lt;1)*(PARTIDAS!$I$2:$AT$2="OBRA GRUESA"))&gt;0,"OBRA GRUESA",""),IF(SUMPRODUCT((BF465:CQ465&lt;1)*(PARTIDAS!$I$2:$AT$2="SANITARIOS"))&gt;0,"SANITARIOS",""),IF(SUMPRODUCT((BF465:CQ465&lt;1)*(PARTIDAS!$I$2:$AT$2="ELÉCTRICO"))&gt;0,"ELÉCTRICO",""),IF(SUMPRODUCT((BF465:CQ465&lt;1)*(PARTIDAS!$I$2:$AT$2="TERMINACIONES"))&gt;0,"TERMINACIONES",""))</f>
        <v>OBRA GRUESA, SANITARIOS, ELÉCTRICO, TERMINACIONES</v>
      </c>
      <c r="CU465" s="46" cm="1">
        <f t="array" ref="CU465">SUMPRODUCT(--(BF465:CQ465&lt;1))</f>
        <v>38</v>
      </c>
    </row>
    <row r="466" spans="1:99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46181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 s="3" t="str">
        <f>+IF(AVANCE[[#This Row],[% AVANCE]]=100%,"MODULO TERMINADO",IF(AVANCE[[#This Row],[FECHA INICIO REAL]]="","MODULO NO INICIADO","PENDIENTE"))</f>
        <v>MODULO NO INICIADO</v>
      </c>
      <c r="BF466" s="3">
        <f>+IF(AVANCE[[#This Row],[VENTANAS]]=8.10810810810811%,100%,AVANCE[[#This Row],[VENTANAS]])</f>
        <v>0</v>
      </c>
      <c r="BG466" s="3">
        <f>+IF(AVANCE[[#This Row],[PISO]]=N$2,100%,AVANCE[[#This Row],[PISO]])</f>
        <v>0</v>
      </c>
      <c r="BH466" s="3">
        <f>+IF(AVANCE[[#This Row],[TABIQUES]]=O$2,100%,AVANCE[[#This Row],[TABIQUES]])</f>
        <v>0</v>
      </c>
      <c r="BI466" s="3">
        <f>+IF(AVANCE[[#This Row],[MUROS]]=P$2,100%,AVANCE[[#This Row],[MUROS]])</f>
        <v>0</v>
      </c>
      <c r="BJ466" s="3">
        <f>+IF(AVANCE[[#This Row],[CIELO]]=Q$2,100%,AVANCE[[#This Row],[CIELO]])</f>
        <v>0</v>
      </c>
      <c r="BK466" s="3">
        <f>+IF(AVANCE[[#This Row],[BALCÓN]]=R$2,100%,AVANCE[[#This Row],[BALCÓN]])</f>
        <v>0</v>
      </c>
      <c r="BL466" s="3">
        <f>+IF(AVANCE[[#This Row],[RED ALCANTARILLADO]]=U$2,100%,AVANCE[[#This Row],[RED ALCANTARILLADO]])</f>
        <v>0</v>
      </c>
      <c r="BM466" s="3">
        <f>+IF(AVANCE[[#This Row],[RED DE AGUA]]=V$2,100%,AVANCE[[#This Row],[RED DE AGUA]])</f>
        <v>0</v>
      </c>
      <c r="BN466" s="3">
        <f>+IF(AVANCE[[#This Row],[VENTILACIONES]]=W$2,100%,AVANCE[[#This Row],[VENTILACIONES]])</f>
        <v>0</v>
      </c>
      <c r="BO466" s="3">
        <f>+IF(AVANCE[[#This Row],[TINA]]=X$2,100%,AVANCE[[#This Row],[TINA]])</f>
        <v>0</v>
      </c>
      <c r="BP466" s="3">
        <f>+IF(AVANCE[[#This Row],[WC]]=Y$2,100%,AVANCE[[#This Row],[WC]])</f>
        <v>0</v>
      </c>
      <c r="BQ466" s="3">
        <f>+IF(AVANCE[[#This Row],[LAVAMANOS / LAVAPLATOS / LAVADERO]]=Z$2,100%,AVANCE[[#This Row],[LAVAMANOS / LAVAPLATOS / LAVADERO]])</f>
        <v>0</v>
      </c>
      <c r="BR466" s="3">
        <f>+IF(AVANCE[[#This Row],[CANALIZACIÓN]]=AC$2,100%,AVANCE[[#This Row],[CANALIZACIÓN]])</f>
        <v>0</v>
      </c>
      <c r="BS466" s="3">
        <f>+IF(AVANCE[[#This Row],[CABLEADO]]=AD$2,100%,AVANCE[[#This Row],[CABLEADO]])</f>
        <v>0</v>
      </c>
      <c r="BT466" s="3">
        <f>+IF(AVANCE[[#This Row],[ARTEFACTOS]]=AE$2,100%,AVANCE[[#This Row],[ARTEFACTOS]])</f>
        <v>0</v>
      </c>
      <c r="BU466" s="3">
        <f>+IF(AVANCE[[#This Row],[TABLERO]]=AF$2,100%,AVANCE[[#This Row],[TABLERO]])</f>
        <v>0</v>
      </c>
      <c r="BV466" s="3">
        <f>+IF(AVANCE[[#This Row],[CAJA PAU]]=AG$2,100%,AVANCE[[#This Row],[CAJA PAU]])</f>
        <v>0</v>
      </c>
      <c r="BW466" s="3">
        <f>+IF(AVANCE[[#This Row],[INSTALACION VINILICO]]=AJ$2,100%,AVANCE[[#This Row],[INSTALACION VINILICO]])</f>
        <v>0</v>
      </c>
      <c r="BX466" s="3">
        <f>+IF(AVANCE[[#This Row],[OSB CUBIERTA]]=AK$2,100%,AVANCE[[#This Row],[OSB CUBIERTA]])</f>
        <v>0</v>
      </c>
      <c r="BY466" s="3">
        <f>+IF(AVANCE[[#This Row],[BARANDA BALCON]]=AL$2,100%,AVANCE[[#This Row],[BARANDA BALCON]])</f>
        <v>0</v>
      </c>
      <c r="BZ466" s="3">
        <f>+IF(AVANCE[[#This Row],[OSB EXTERIOR]]=AM$2,100%,AVANCE[[#This Row],[OSB EXTERIOR]])</f>
        <v>0</v>
      </c>
      <c r="CA466" s="3">
        <f>+IF(AVANCE[[#This Row],[SMART PANEL]]=AN$2,100%,AVANCE[[#This Row],[SMART PANEL]])</f>
        <v>0</v>
      </c>
      <c r="CB466" s="3">
        <f>+IF(AVANCE[[#This Row],[PINTURA EXTERIOR]]=AO$2,100%,AVANCE[[#This Row],[PINTURA EXTERIOR]])</f>
        <v>0</v>
      </c>
      <c r="CC466" s="3">
        <f>+IF(AVANCE[[#This Row],[ZOCALOS LOGIA]]=AP$2,100%,AVANCE[[#This Row],[ZOCALOS LOGIA]])</f>
        <v>0</v>
      </c>
      <c r="CD466" s="3">
        <f>+IF(AVANCE[[#This Row],[MOLDURAS]]=AQ$2,100%,AVANCE[[#This Row],[MOLDURAS]])</f>
        <v>0</v>
      </c>
      <c r="CE466" s="3">
        <f>+IF(AVANCE[[#This Row],[PILASTREO]]=AR$2,100%,AVANCE[[#This Row],[PILASTREO]])</f>
        <v>0</v>
      </c>
      <c r="CF466" s="3">
        <f>+IF(AVANCE[[#This Row],[CELOSIAS]]=AS$2,100%,AVANCE[[#This Row],[CELOSIAS]])</f>
        <v>0</v>
      </c>
      <c r="CG466" s="3">
        <f>+IF(AVANCE[[#This Row],[VENTANAS]]=AT$2,100%,AVANCE[[#This Row],[VENTANAS]])</f>
        <v>0</v>
      </c>
      <c r="CH466" s="3">
        <f>+IF(AVANCE[[#This Row],[PUERTAS ACCESO - LOGIA - BANO]]=AU$2,100%,AVANCE[[#This Row],[PUERTAS ACCESO - LOGIA - BANO]])</f>
        <v>0</v>
      </c>
      <c r="CI466" s="3">
        <f>+IF(AVANCE[[#This Row],[CERRADURAS]]=AV$2,100%,AVANCE[[#This Row],[CERRADURAS]])</f>
        <v>0</v>
      </c>
      <c r="CJ466" s="3">
        <f>+IF(AVANCE[[#This Row],[REVESTIMIENTO INTERIOR ZONA SECA]]=AW$2,100%,AVANCE[[#This Row],[REVESTIMIENTO INTERIOR ZONA SECA]])</f>
        <v>0</v>
      </c>
      <c r="CK466" s="3">
        <f>+IF(AVANCE[[#This Row],[REVESTIMIENTO INTERIOR ZONAS HUMEDAS]]=AX$2,100%,AVANCE[[#This Row],[REVESTIMIENTO INTERIOR ZONAS HUMEDAS]])</f>
        <v>0</v>
      </c>
      <c r="CL466" s="3">
        <f>+IF(AVANCE[[#This Row],[MEMBRANA CIELO]]=AY$2,100%,AVANCE[[#This Row],[MEMBRANA CIELO]])</f>
        <v>0</v>
      </c>
      <c r="CM466" s="3">
        <f>+IF(AVANCE[[#This Row],[LIMPIEZA FINAL]]=AZ$2,100%,AVANCE[[#This Row],[LIMPIEZA FINAL]])</f>
        <v>0</v>
      </c>
      <c r="CN466" s="3">
        <f>+IF(AVANCE[[#This Row],[PUERTAS DORMITORIO]]=BA$2,100%,AVANCE[[#This Row],[PUERTAS DORMITORIO]])</f>
        <v>0</v>
      </c>
      <c r="CO466" s="3">
        <f>+IF(AVANCE[[#This Row],[REVESTIMIENTO INTERIOR BANO]]=BB$2,100%,AVANCE[[#This Row],[REVESTIMIENTO INTERIOR BANO]])</f>
        <v>0</v>
      </c>
      <c r="CP466" s="3">
        <f>+IF(AVANCE[[#This Row],[MUEBLE LAVAPLATOS]]=BC$2,100%,AVANCE[[#This Row],[MUEBLE LAVAPLATOS]])</f>
        <v>0</v>
      </c>
      <c r="CQ466" s="3">
        <f>+IF(AVANCE[[#This Row],[IMPERMEABILIZACION BANO - COCINA LOGIA]]=BD$2,100%,AVANCE[[#This Row],[IMPERMEABILIZACION BANO - COCINA LOGIA]])</f>
        <v>0</v>
      </c>
      <c r="CR466" s="40">
        <f ca="1">+IF(AVANCE[[#This Row],[ESTADO MODULO]]="PENDIENTE",(TODAY()-AVANCE[[#This Row],[FECHA TERMINO  PLANIFICADO]]),0)</f>
        <v>0</v>
      </c>
      <c r="CS466" s="42" t="str" cm="1">
        <f t="array" ref="CS466">_xlfn.TEXTJOIN(" | ",TRUE,IF(SUMPRODUCT((BF466:CQ466&lt;1)*(PARTIDAS!$I$2:$AT$2="OBRA GRUESA"))&gt;0,"OBRA GRUESA: "&amp;_xlfn.TEXTJOIN(", ",TRUE,IF((BF466:CQ466&lt;1)*(PARTIDAS!$I$2:$AT$2="OBRA GRUESA"),PARTIDAS!$I$1:$AT$1,"")),""),IF(SUMPRODUCT((BF466:CQ466&lt;1)*(PARTIDAS!$I$2:$AT$2="SANITARIOS"))&gt;0,"SANITARIOS: "&amp;_xlfn.TEXTJOIN(", ",TRUE,IF((BF466:CQ466&lt;1)*(PARTIDAS!$I$2:$AT$2="SANITARIOS"),PARTIDAS!$I$1:$AT$1,"")),""),IF(SUMPRODUCT((BF466:CQ466&lt;1)*(PARTIDAS!$I$2:$AT$2="ELÉCTRICO"))&gt;0,"ELÉCTRICO: "&amp;_xlfn.TEXTJOIN(", ",TRUE,IF((BF466:CQ466&lt;1)*(PARTIDAS!$I$2:$AT$2="ELÉCTRICO"),PARTIDAS!$I$1:$AT$1,"")),""),IF(SUMPRODUCT((BF466:CQ466&lt;1)*(PARTIDAS!$I$2:$AT$2="TERMINACIONES"))&gt;0,"TERMINACIONES: "&amp;_xlfn.TEXTJOIN(", ",TRUE,IF((BF466:CQ466&lt;1)*(PARTIDAS!$I$2:$AT$2="TERMINACIONES"),PARTIDAS!$I$1:$AT$1,"")),""))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6" s="45" t="str" cm="1">
        <f t="array" ref="CT466">_xlfn.TEXTJOIN(", ",TRUE,IF(SUMPRODUCT((BF466:CQ466&lt;1)*(PARTIDAS!$I$2:$AT$2="OBRA GRUESA"))&gt;0,"OBRA GRUESA",""),IF(SUMPRODUCT((BF466:CQ466&lt;1)*(PARTIDAS!$I$2:$AT$2="SANITARIOS"))&gt;0,"SANITARIOS",""),IF(SUMPRODUCT((BF466:CQ466&lt;1)*(PARTIDAS!$I$2:$AT$2="ELÉCTRICO"))&gt;0,"ELÉCTRICO",""),IF(SUMPRODUCT((BF466:CQ466&lt;1)*(PARTIDAS!$I$2:$AT$2="TERMINACIONES"))&gt;0,"TERMINACIONES",""))</f>
        <v>OBRA GRUESA, SANITARIOS, ELÉCTRICO, TERMINACIONES</v>
      </c>
      <c r="CU466" s="46" cm="1">
        <f t="array" ref="CU466">SUMPRODUCT(--(BF466:CQ466&lt;1))</f>
        <v>38</v>
      </c>
    </row>
    <row r="467" spans="1:99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46181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 s="3" t="str">
        <f>+IF(AVANCE[[#This Row],[% AVANCE]]=100%,"MODULO TERMINADO",IF(AVANCE[[#This Row],[FECHA INICIO REAL]]="","MODULO NO INICIADO","PENDIENTE"))</f>
        <v>MODULO NO INICIADO</v>
      </c>
      <c r="BF467" s="3">
        <f>+IF(AVANCE[[#This Row],[VENTANAS]]=8.10810810810811%,100%,AVANCE[[#This Row],[VENTANAS]])</f>
        <v>0</v>
      </c>
      <c r="BG467" s="3">
        <f>+IF(AVANCE[[#This Row],[PISO]]=N$2,100%,AVANCE[[#This Row],[PISO]])</f>
        <v>0</v>
      </c>
      <c r="BH467" s="3">
        <f>+IF(AVANCE[[#This Row],[TABIQUES]]=O$2,100%,AVANCE[[#This Row],[TABIQUES]])</f>
        <v>0</v>
      </c>
      <c r="BI467" s="3">
        <f>+IF(AVANCE[[#This Row],[MUROS]]=P$2,100%,AVANCE[[#This Row],[MUROS]])</f>
        <v>0</v>
      </c>
      <c r="BJ467" s="3">
        <f>+IF(AVANCE[[#This Row],[CIELO]]=Q$2,100%,AVANCE[[#This Row],[CIELO]])</f>
        <v>0</v>
      </c>
      <c r="BK467" s="3">
        <f>+IF(AVANCE[[#This Row],[BALCÓN]]=R$2,100%,AVANCE[[#This Row],[BALCÓN]])</f>
        <v>0</v>
      </c>
      <c r="BL467" s="3">
        <f>+IF(AVANCE[[#This Row],[RED ALCANTARILLADO]]=U$2,100%,AVANCE[[#This Row],[RED ALCANTARILLADO]])</f>
        <v>0</v>
      </c>
      <c r="BM467" s="3">
        <f>+IF(AVANCE[[#This Row],[RED DE AGUA]]=V$2,100%,AVANCE[[#This Row],[RED DE AGUA]])</f>
        <v>0</v>
      </c>
      <c r="BN467" s="3">
        <f>+IF(AVANCE[[#This Row],[VENTILACIONES]]=W$2,100%,AVANCE[[#This Row],[VENTILACIONES]])</f>
        <v>0</v>
      </c>
      <c r="BO467" s="3">
        <f>+IF(AVANCE[[#This Row],[TINA]]=X$2,100%,AVANCE[[#This Row],[TINA]])</f>
        <v>0</v>
      </c>
      <c r="BP467" s="3">
        <f>+IF(AVANCE[[#This Row],[WC]]=Y$2,100%,AVANCE[[#This Row],[WC]])</f>
        <v>0</v>
      </c>
      <c r="BQ467" s="3">
        <f>+IF(AVANCE[[#This Row],[LAVAMANOS / LAVAPLATOS / LAVADERO]]=Z$2,100%,AVANCE[[#This Row],[LAVAMANOS / LAVAPLATOS / LAVADERO]])</f>
        <v>0</v>
      </c>
      <c r="BR467" s="3">
        <f>+IF(AVANCE[[#This Row],[CANALIZACIÓN]]=AC$2,100%,AVANCE[[#This Row],[CANALIZACIÓN]])</f>
        <v>0</v>
      </c>
      <c r="BS467" s="3">
        <f>+IF(AVANCE[[#This Row],[CABLEADO]]=AD$2,100%,AVANCE[[#This Row],[CABLEADO]])</f>
        <v>0</v>
      </c>
      <c r="BT467" s="3">
        <f>+IF(AVANCE[[#This Row],[ARTEFACTOS]]=AE$2,100%,AVANCE[[#This Row],[ARTEFACTOS]])</f>
        <v>0</v>
      </c>
      <c r="BU467" s="3">
        <f>+IF(AVANCE[[#This Row],[TABLERO]]=AF$2,100%,AVANCE[[#This Row],[TABLERO]])</f>
        <v>0</v>
      </c>
      <c r="BV467" s="3">
        <f>+IF(AVANCE[[#This Row],[CAJA PAU]]=AG$2,100%,AVANCE[[#This Row],[CAJA PAU]])</f>
        <v>0</v>
      </c>
      <c r="BW467" s="3">
        <f>+IF(AVANCE[[#This Row],[INSTALACION VINILICO]]=AJ$2,100%,AVANCE[[#This Row],[INSTALACION VINILICO]])</f>
        <v>0</v>
      </c>
      <c r="BX467" s="3">
        <f>+IF(AVANCE[[#This Row],[OSB CUBIERTA]]=AK$2,100%,AVANCE[[#This Row],[OSB CUBIERTA]])</f>
        <v>0</v>
      </c>
      <c r="BY467" s="3">
        <f>+IF(AVANCE[[#This Row],[BARANDA BALCON]]=AL$2,100%,AVANCE[[#This Row],[BARANDA BALCON]])</f>
        <v>0</v>
      </c>
      <c r="BZ467" s="3">
        <f>+IF(AVANCE[[#This Row],[OSB EXTERIOR]]=AM$2,100%,AVANCE[[#This Row],[OSB EXTERIOR]])</f>
        <v>0</v>
      </c>
      <c r="CA467" s="3">
        <f>+IF(AVANCE[[#This Row],[SMART PANEL]]=AN$2,100%,AVANCE[[#This Row],[SMART PANEL]])</f>
        <v>0</v>
      </c>
      <c r="CB467" s="3">
        <f>+IF(AVANCE[[#This Row],[PINTURA EXTERIOR]]=AO$2,100%,AVANCE[[#This Row],[PINTURA EXTERIOR]])</f>
        <v>0</v>
      </c>
      <c r="CC467" s="3">
        <f>+IF(AVANCE[[#This Row],[ZOCALOS LOGIA]]=AP$2,100%,AVANCE[[#This Row],[ZOCALOS LOGIA]])</f>
        <v>0</v>
      </c>
      <c r="CD467" s="3">
        <f>+IF(AVANCE[[#This Row],[MOLDURAS]]=AQ$2,100%,AVANCE[[#This Row],[MOLDURAS]])</f>
        <v>0</v>
      </c>
      <c r="CE467" s="3">
        <f>+IF(AVANCE[[#This Row],[PILASTREO]]=AR$2,100%,AVANCE[[#This Row],[PILASTREO]])</f>
        <v>0</v>
      </c>
      <c r="CF467" s="3">
        <f>+IF(AVANCE[[#This Row],[CELOSIAS]]=AS$2,100%,AVANCE[[#This Row],[CELOSIAS]])</f>
        <v>0</v>
      </c>
      <c r="CG467" s="3">
        <f>+IF(AVANCE[[#This Row],[VENTANAS]]=AT$2,100%,AVANCE[[#This Row],[VENTANAS]])</f>
        <v>0</v>
      </c>
      <c r="CH467" s="3">
        <f>+IF(AVANCE[[#This Row],[PUERTAS ACCESO - LOGIA - BANO]]=AU$2,100%,AVANCE[[#This Row],[PUERTAS ACCESO - LOGIA - BANO]])</f>
        <v>0</v>
      </c>
      <c r="CI467" s="3">
        <f>+IF(AVANCE[[#This Row],[CERRADURAS]]=AV$2,100%,AVANCE[[#This Row],[CERRADURAS]])</f>
        <v>0</v>
      </c>
      <c r="CJ467" s="3">
        <f>+IF(AVANCE[[#This Row],[REVESTIMIENTO INTERIOR ZONA SECA]]=AW$2,100%,AVANCE[[#This Row],[REVESTIMIENTO INTERIOR ZONA SECA]])</f>
        <v>0</v>
      </c>
      <c r="CK467" s="3">
        <f>+IF(AVANCE[[#This Row],[REVESTIMIENTO INTERIOR ZONAS HUMEDAS]]=AX$2,100%,AVANCE[[#This Row],[REVESTIMIENTO INTERIOR ZONAS HUMEDAS]])</f>
        <v>0</v>
      </c>
      <c r="CL467" s="3">
        <f>+IF(AVANCE[[#This Row],[MEMBRANA CIELO]]=AY$2,100%,AVANCE[[#This Row],[MEMBRANA CIELO]])</f>
        <v>0</v>
      </c>
      <c r="CM467" s="3">
        <f>+IF(AVANCE[[#This Row],[LIMPIEZA FINAL]]=AZ$2,100%,AVANCE[[#This Row],[LIMPIEZA FINAL]])</f>
        <v>0</v>
      </c>
      <c r="CN467" s="3">
        <f>+IF(AVANCE[[#This Row],[PUERTAS DORMITORIO]]=BA$2,100%,AVANCE[[#This Row],[PUERTAS DORMITORIO]])</f>
        <v>0</v>
      </c>
      <c r="CO467" s="3">
        <f>+IF(AVANCE[[#This Row],[REVESTIMIENTO INTERIOR BANO]]=BB$2,100%,AVANCE[[#This Row],[REVESTIMIENTO INTERIOR BANO]])</f>
        <v>0</v>
      </c>
      <c r="CP467" s="3">
        <f>+IF(AVANCE[[#This Row],[MUEBLE LAVAPLATOS]]=BC$2,100%,AVANCE[[#This Row],[MUEBLE LAVAPLATOS]])</f>
        <v>0</v>
      </c>
      <c r="CQ467" s="3">
        <f>+IF(AVANCE[[#This Row],[IMPERMEABILIZACION BANO - COCINA LOGIA]]=BD$2,100%,AVANCE[[#This Row],[IMPERMEABILIZACION BANO - COCINA LOGIA]])</f>
        <v>0</v>
      </c>
      <c r="CR467" s="40">
        <f ca="1">+IF(AVANCE[[#This Row],[ESTADO MODULO]]="PENDIENTE",(TODAY()-AVANCE[[#This Row],[FECHA TERMINO  PLANIFICADO]]),0)</f>
        <v>0</v>
      </c>
      <c r="CS467" s="42" t="str" cm="1">
        <f t="array" ref="CS467">_xlfn.TEXTJOIN(" | ",TRUE,IF(SUMPRODUCT((BF467:CQ467&lt;1)*(PARTIDAS!$I$2:$AT$2="OBRA GRUESA"))&gt;0,"OBRA GRUESA: "&amp;_xlfn.TEXTJOIN(", ",TRUE,IF((BF467:CQ467&lt;1)*(PARTIDAS!$I$2:$AT$2="OBRA GRUESA"),PARTIDAS!$I$1:$AT$1,"")),""),IF(SUMPRODUCT((BF467:CQ467&lt;1)*(PARTIDAS!$I$2:$AT$2="SANITARIOS"))&gt;0,"SANITARIOS: "&amp;_xlfn.TEXTJOIN(", ",TRUE,IF((BF467:CQ467&lt;1)*(PARTIDAS!$I$2:$AT$2="SANITARIOS"),PARTIDAS!$I$1:$AT$1,"")),""),IF(SUMPRODUCT((BF467:CQ467&lt;1)*(PARTIDAS!$I$2:$AT$2="ELÉCTRICO"))&gt;0,"ELÉCTRICO: "&amp;_xlfn.TEXTJOIN(", ",TRUE,IF((BF467:CQ467&lt;1)*(PARTIDAS!$I$2:$AT$2="ELÉCTRICO"),PARTIDAS!$I$1:$AT$1,"")),""),IF(SUMPRODUCT((BF467:CQ467&lt;1)*(PARTIDAS!$I$2:$AT$2="TERMINACIONES"))&gt;0,"TERMINACIONES: "&amp;_xlfn.TEXTJOIN(", ",TRUE,IF((BF467:CQ467&lt;1)*(PARTIDAS!$I$2:$AT$2="TERMINACIONES"),PARTIDAS!$I$1:$AT$1,"")),""))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7" s="45" t="str" cm="1">
        <f t="array" ref="CT467">_xlfn.TEXTJOIN(", ",TRUE,IF(SUMPRODUCT((BF467:CQ467&lt;1)*(PARTIDAS!$I$2:$AT$2="OBRA GRUESA"))&gt;0,"OBRA GRUESA",""),IF(SUMPRODUCT((BF467:CQ467&lt;1)*(PARTIDAS!$I$2:$AT$2="SANITARIOS"))&gt;0,"SANITARIOS",""),IF(SUMPRODUCT((BF467:CQ467&lt;1)*(PARTIDAS!$I$2:$AT$2="ELÉCTRICO"))&gt;0,"ELÉCTRICO",""),IF(SUMPRODUCT((BF467:CQ467&lt;1)*(PARTIDAS!$I$2:$AT$2="TERMINACIONES"))&gt;0,"TERMINACIONES",""))</f>
        <v>OBRA GRUESA, SANITARIOS, ELÉCTRICO, TERMINACIONES</v>
      </c>
      <c r="CU467" s="46" cm="1">
        <f t="array" ref="CU467">SUMPRODUCT(--(BF467:CQ467&lt;1))</f>
        <v>38</v>
      </c>
    </row>
    <row r="468" spans="1:99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46181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 s="3" t="str">
        <f>+IF(AVANCE[[#This Row],[% AVANCE]]=100%,"MODULO TERMINADO",IF(AVANCE[[#This Row],[FECHA INICIO REAL]]="","MODULO NO INICIADO","PENDIENTE"))</f>
        <v>MODULO NO INICIADO</v>
      </c>
      <c r="BF468" s="3">
        <f>+IF(AVANCE[[#This Row],[VENTANAS]]=8.10810810810811%,100%,AVANCE[[#This Row],[VENTANAS]])</f>
        <v>0</v>
      </c>
      <c r="BG468" s="3">
        <f>+IF(AVANCE[[#This Row],[PISO]]=N$2,100%,AVANCE[[#This Row],[PISO]])</f>
        <v>0</v>
      </c>
      <c r="BH468" s="3">
        <f>+IF(AVANCE[[#This Row],[TABIQUES]]=O$2,100%,AVANCE[[#This Row],[TABIQUES]])</f>
        <v>0</v>
      </c>
      <c r="BI468" s="3">
        <f>+IF(AVANCE[[#This Row],[MUROS]]=P$2,100%,AVANCE[[#This Row],[MUROS]])</f>
        <v>0</v>
      </c>
      <c r="BJ468" s="3">
        <f>+IF(AVANCE[[#This Row],[CIELO]]=Q$2,100%,AVANCE[[#This Row],[CIELO]])</f>
        <v>0</v>
      </c>
      <c r="BK468" s="3">
        <f>+IF(AVANCE[[#This Row],[BALCÓN]]=R$2,100%,AVANCE[[#This Row],[BALCÓN]])</f>
        <v>0</v>
      </c>
      <c r="BL468" s="3">
        <f>+IF(AVANCE[[#This Row],[RED ALCANTARILLADO]]=U$2,100%,AVANCE[[#This Row],[RED ALCANTARILLADO]])</f>
        <v>0</v>
      </c>
      <c r="BM468" s="3">
        <f>+IF(AVANCE[[#This Row],[RED DE AGUA]]=V$2,100%,AVANCE[[#This Row],[RED DE AGUA]])</f>
        <v>0</v>
      </c>
      <c r="BN468" s="3">
        <f>+IF(AVANCE[[#This Row],[VENTILACIONES]]=W$2,100%,AVANCE[[#This Row],[VENTILACIONES]])</f>
        <v>0</v>
      </c>
      <c r="BO468" s="3">
        <f>+IF(AVANCE[[#This Row],[TINA]]=X$2,100%,AVANCE[[#This Row],[TINA]])</f>
        <v>0</v>
      </c>
      <c r="BP468" s="3">
        <f>+IF(AVANCE[[#This Row],[WC]]=Y$2,100%,AVANCE[[#This Row],[WC]])</f>
        <v>0</v>
      </c>
      <c r="BQ468" s="3">
        <f>+IF(AVANCE[[#This Row],[LAVAMANOS / LAVAPLATOS / LAVADERO]]=Z$2,100%,AVANCE[[#This Row],[LAVAMANOS / LAVAPLATOS / LAVADERO]])</f>
        <v>0</v>
      </c>
      <c r="BR468" s="3">
        <f>+IF(AVANCE[[#This Row],[CANALIZACIÓN]]=AC$2,100%,AVANCE[[#This Row],[CANALIZACIÓN]])</f>
        <v>0</v>
      </c>
      <c r="BS468" s="3">
        <f>+IF(AVANCE[[#This Row],[CABLEADO]]=AD$2,100%,AVANCE[[#This Row],[CABLEADO]])</f>
        <v>0</v>
      </c>
      <c r="BT468" s="3">
        <f>+IF(AVANCE[[#This Row],[ARTEFACTOS]]=AE$2,100%,AVANCE[[#This Row],[ARTEFACTOS]])</f>
        <v>0</v>
      </c>
      <c r="BU468" s="3">
        <f>+IF(AVANCE[[#This Row],[TABLERO]]=AF$2,100%,AVANCE[[#This Row],[TABLERO]])</f>
        <v>0</v>
      </c>
      <c r="BV468" s="3">
        <f>+IF(AVANCE[[#This Row],[CAJA PAU]]=AG$2,100%,AVANCE[[#This Row],[CAJA PAU]])</f>
        <v>0</v>
      </c>
      <c r="BW468" s="3">
        <f>+IF(AVANCE[[#This Row],[INSTALACION VINILICO]]=AJ$2,100%,AVANCE[[#This Row],[INSTALACION VINILICO]])</f>
        <v>0</v>
      </c>
      <c r="BX468" s="3">
        <f>+IF(AVANCE[[#This Row],[OSB CUBIERTA]]=AK$2,100%,AVANCE[[#This Row],[OSB CUBIERTA]])</f>
        <v>0</v>
      </c>
      <c r="BY468" s="3">
        <f>+IF(AVANCE[[#This Row],[BARANDA BALCON]]=AL$2,100%,AVANCE[[#This Row],[BARANDA BALCON]])</f>
        <v>0</v>
      </c>
      <c r="BZ468" s="3">
        <f>+IF(AVANCE[[#This Row],[OSB EXTERIOR]]=AM$2,100%,AVANCE[[#This Row],[OSB EXTERIOR]])</f>
        <v>0</v>
      </c>
      <c r="CA468" s="3">
        <f>+IF(AVANCE[[#This Row],[SMART PANEL]]=AN$2,100%,AVANCE[[#This Row],[SMART PANEL]])</f>
        <v>0</v>
      </c>
      <c r="CB468" s="3">
        <f>+IF(AVANCE[[#This Row],[PINTURA EXTERIOR]]=AO$2,100%,AVANCE[[#This Row],[PINTURA EXTERIOR]])</f>
        <v>0</v>
      </c>
      <c r="CC468" s="3">
        <f>+IF(AVANCE[[#This Row],[ZOCALOS LOGIA]]=AP$2,100%,AVANCE[[#This Row],[ZOCALOS LOGIA]])</f>
        <v>0</v>
      </c>
      <c r="CD468" s="3">
        <f>+IF(AVANCE[[#This Row],[MOLDURAS]]=AQ$2,100%,AVANCE[[#This Row],[MOLDURAS]])</f>
        <v>0</v>
      </c>
      <c r="CE468" s="3">
        <f>+IF(AVANCE[[#This Row],[PILASTREO]]=AR$2,100%,AVANCE[[#This Row],[PILASTREO]])</f>
        <v>0</v>
      </c>
      <c r="CF468" s="3">
        <f>+IF(AVANCE[[#This Row],[CELOSIAS]]=AS$2,100%,AVANCE[[#This Row],[CELOSIAS]])</f>
        <v>0</v>
      </c>
      <c r="CG468" s="3">
        <f>+IF(AVANCE[[#This Row],[VENTANAS]]=AT$2,100%,AVANCE[[#This Row],[VENTANAS]])</f>
        <v>0</v>
      </c>
      <c r="CH468" s="3">
        <f>+IF(AVANCE[[#This Row],[PUERTAS ACCESO - LOGIA - BANO]]=AU$2,100%,AVANCE[[#This Row],[PUERTAS ACCESO - LOGIA - BANO]])</f>
        <v>0</v>
      </c>
      <c r="CI468" s="3">
        <f>+IF(AVANCE[[#This Row],[CERRADURAS]]=AV$2,100%,AVANCE[[#This Row],[CERRADURAS]])</f>
        <v>0</v>
      </c>
      <c r="CJ468" s="3">
        <f>+IF(AVANCE[[#This Row],[REVESTIMIENTO INTERIOR ZONA SECA]]=AW$2,100%,AVANCE[[#This Row],[REVESTIMIENTO INTERIOR ZONA SECA]])</f>
        <v>0</v>
      </c>
      <c r="CK468" s="3">
        <f>+IF(AVANCE[[#This Row],[REVESTIMIENTO INTERIOR ZONAS HUMEDAS]]=AX$2,100%,AVANCE[[#This Row],[REVESTIMIENTO INTERIOR ZONAS HUMEDAS]])</f>
        <v>0</v>
      </c>
      <c r="CL468" s="3">
        <f>+IF(AVANCE[[#This Row],[MEMBRANA CIELO]]=AY$2,100%,AVANCE[[#This Row],[MEMBRANA CIELO]])</f>
        <v>0</v>
      </c>
      <c r="CM468" s="3">
        <f>+IF(AVANCE[[#This Row],[LIMPIEZA FINAL]]=AZ$2,100%,AVANCE[[#This Row],[LIMPIEZA FINAL]])</f>
        <v>0</v>
      </c>
      <c r="CN468" s="3">
        <f>+IF(AVANCE[[#This Row],[PUERTAS DORMITORIO]]=BA$2,100%,AVANCE[[#This Row],[PUERTAS DORMITORIO]])</f>
        <v>0</v>
      </c>
      <c r="CO468" s="3">
        <f>+IF(AVANCE[[#This Row],[REVESTIMIENTO INTERIOR BANO]]=BB$2,100%,AVANCE[[#This Row],[REVESTIMIENTO INTERIOR BANO]])</f>
        <v>0</v>
      </c>
      <c r="CP468" s="3">
        <f>+IF(AVANCE[[#This Row],[MUEBLE LAVAPLATOS]]=BC$2,100%,AVANCE[[#This Row],[MUEBLE LAVAPLATOS]])</f>
        <v>0</v>
      </c>
      <c r="CQ468" s="3">
        <f>+IF(AVANCE[[#This Row],[IMPERMEABILIZACION BANO - COCINA LOGIA]]=BD$2,100%,AVANCE[[#This Row],[IMPERMEABILIZACION BANO - COCINA LOGIA]])</f>
        <v>0</v>
      </c>
      <c r="CR468" s="40">
        <f ca="1">+IF(AVANCE[[#This Row],[ESTADO MODULO]]="PENDIENTE",(TODAY()-AVANCE[[#This Row],[FECHA TERMINO  PLANIFICADO]]),0)</f>
        <v>0</v>
      </c>
      <c r="CS468" s="42" t="str" cm="1">
        <f t="array" ref="CS468">_xlfn.TEXTJOIN(" | ",TRUE,IF(SUMPRODUCT((BF468:CQ468&lt;1)*(PARTIDAS!$I$2:$AT$2="OBRA GRUESA"))&gt;0,"OBRA GRUESA: "&amp;_xlfn.TEXTJOIN(", ",TRUE,IF((BF468:CQ468&lt;1)*(PARTIDAS!$I$2:$AT$2="OBRA GRUESA"),PARTIDAS!$I$1:$AT$1,"")),""),IF(SUMPRODUCT((BF468:CQ468&lt;1)*(PARTIDAS!$I$2:$AT$2="SANITARIOS"))&gt;0,"SANITARIOS: "&amp;_xlfn.TEXTJOIN(", ",TRUE,IF((BF468:CQ468&lt;1)*(PARTIDAS!$I$2:$AT$2="SANITARIOS"),PARTIDAS!$I$1:$AT$1,"")),""),IF(SUMPRODUCT((BF468:CQ468&lt;1)*(PARTIDAS!$I$2:$AT$2="ELÉCTRICO"))&gt;0,"ELÉCTRICO: "&amp;_xlfn.TEXTJOIN(", ",TRUE,IF((BF468:CQ468&lt;1)*(PARTIDAS!$I$2:$AT$2="ELÉCTRICO"),PARTIDAS!$I$1:$AT$1,"")),""),IF(SUMPRODUCT((BF468:CQ468&lt;1)*(PARTIDAS!$I$2:$AT$2="TERMINACIONES"))&gt;0,"TERMINACIONES: "&amp;_xlfn.TEXTJOIN(", ",TRUE,IF((BF468:CQ468&lt;1)*(PARTIDAS!$I$2:$AT$2="TERMINACIONES"),PARTIDAS!$I$1:$AT$1,"")),""))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8" s="45" t="str" cm="1">
        <f t="array" ref="CT468">_xlfn.TEXTJOIN(", ",TRUE,IF(SUMPRODUCT((BF468:CQ468&lt;1)*(PARTIDAS!$I$2:$AT$2="OBRA GRUESA"))&gt;0,"OBRA GRUESA",""),IF(SUMPRODUCT((BF468:CQ468&lt;1)*(PARTIDAS!$I$2:$AT$2="SANITARIOS"))&gt;0,"SANITARIOS",""),IF(SUMPRODUCT((BF468:CQ468&lt;1)*(PARTIDAS!$I$2:$AT$2="ELÉCTRICO"))&gt;0,"ELÉCTRICO",""),IF(SUMPRODUCT((BF468:CQ468&lt;1)*(PARTIDAS!$I$2:$AT$2="TERMINACIONES"))&gt;0,"TERMINACIONES",""))</f>
        <v>OBRA GRUESA, SANITARIOS, ELÉCTRICO, TERMINACIONES</v>
      </c>
      <c r="CU468" s="46" cm="1">
        <f t="array" ref="CU468">SUMPRODUCT(--(BF468:CQ468&lt;1))</f>
        <v>38</v>
      </c>
    </row>
    <row r="469" spans="1:99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46181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 s="3" t="str">
        <f>+IF(AVANCE[[#This Row],[% AVANCE]]=100%,"MODULO TERMINADO",IF(AVANCE[[#This Row],[FECHA INICIO REAL]]="","MODULO NO INICIADO","PENDIENTE"))</f>
        <v>MODULO NO INICIADO</v>
      </c>
      <c r="BF469" s="3">
        <f>+IF(AVANCE[[#This Row],[VENTANAS]]=8.10810810810811%,100%,AVANCE[[#This Row],[VENTANAS]])</f>
        <v>0</v>
      </c>
      <c r="BG469" s="3">
        <f>+IF(AVANCE[[#This Row],[PISO]]=N$2,100%,AVANCE[[#This Row],[PISO]])</f>
        <v>0</v>
      </c>
      <c r="BH469" s="3">
        <f>+IF(AVANCE[[#This Row],[TABIQUES]]=O$2,100%,AVANCE[[#This Row],[TABIQUES]])</f>
        <v>0</v>
      </c>
      <c r="BI469" s="3">
        <f>+IF(AVANCE[[#This Row],[MUROS]]=P$2,100%,AVANCE[[#This Row],[MUROS]])</f>
        <v>0</v>
      </c>
      <c r="BJ469" s="3">
        <f>+IF(AVANCE[[#This Row],[CIELO]]=Q$2,100%,AVANCE[[#This Row],[CIELO]])</f>
        <v>0</v>
      </c>
      <c r="BK469" s="3">
        <f>+IF(AVANCE[[#This Row],[BALCÓN]]=R$2,100%,AVANCE[[#This Row],[BALCÓN]])</f>
        <v>0</v>
      </c>
      <c r="BL469" s="3">
        <f>+IF(AVANCE[[#This Row],[RED ALCANTARILLADO]]=U$2,100%,AVANCE[[#This Row],[RED ALCANTARILLADO]])</f>
        <v>0</v>
      </c>
      <c r="BM469" s="3">
        <f>+IF(AVANCE[[#This Row],[RED DE AGUA]]=V$2,100%,AVANCE[[#This Row],[RED DE AGUA]])</f>
        <v>0</v>
      </c>
      <c r="BN469" s="3">
        <f>+IF(AVANCE[[#This Row],[VENTILACIONES]]=W$2,100%,AVANCE[[#This Row],[VENTILACIONES]])</f>
        <v>0</v>
      </c>
      <c r="BO469" s="3">
        <f>+IF(AVANCE[[#This Row],[TINA]]=X$2,100%,AVANCE[[#This Row],[TINA]])</f>
        <v>0</v>
      </c>
      <c r="BP469" s="3">
        <f>+IF(AVANCE[[#This Row],[WC]]=Y$2,100%,AVANCE[[#This Row],[WC]])</f>
        <v>0</v>
      </c>
      <c r="BQ469" s="3">
        <f>+IF(AVANCE[[#This Row],[LAVAMANOS / LAVAPLATOS / LAVADERO]]=Z$2,100%,AVANCE[[#This Row],[LAVAMANOS / LAVAPLATOS / LAVADERO]])</f>
        <v>0</v>
      </c>
      <c r="BR469" s="3">
        <f>+IF(AVANCE[[#This Row],[CANALIZACIÓN]]=AC$2,100%,AVANCE[[#This Row],[CANALIZACIÓN]])</f>
        <v>0</v>
      </c>
      <c r="BS469" s="3">
        <f>+IF(AVANCE[[#This Row],[CABLEADO]]=AD$2,100%,AVANCE[[#This Row],[CABLEADO]])</f>
        <v>0</v>
      </c>
      <c r="BT469" s="3">
        <f>+IF(AVANCE[[#This Row],[ARTEFACTOS]]=AE$2,100%,AVANCE[[#This Row],[ARTEFACTOS]])</f>
        <v>0</v>
      </c>
      <c r="BU469" s="3">
        <f>+IF(AVANCE[[#This Row],[TABLERO]]=AF$2,100%,AVANCE[[#This Row],[TABLERO]])</f>
        <v>0</v>
      </c>
      <c r="BV469" s="3">
        <f>+IF(AVANCE[[#This Row],[CAJA PAU]]=AG$2,100%,AVANCE[[#This Row],[CAJA PAU]])</f>
        <v>0</v>
      </c>
      <c r="BW469" s="3">
        <f>+IF(AVANCE[[#This Row],[INSTALACION VINILICO]]=AJ$2,100%,AVANCE[[#This Row],[INSTALACION VINILICO]])</f>
        <v>0</v>
      </c>
      <c r="BX469" s="3">
        <f>+IF(AVANCE[[#This Row],[OSB CUBIERTA]]=AK$2,100%,AVANCE[[#This Row],[OSB CUBIERTA]])</f>
        <v>0</v>
      </c>
      <c r="BY469" s="3">
        <f>+IF(AVANCE[[#This Row],[BARANDA BALCON]]=AL$2,100%,AVANCE[[#This Row],[BARANDA BALCON]])</f>
        <v>0</v>
      </c>
      <c r="BZ469" s="3">
        <f>+IF(AVANCE[[#This Row],[OSB EXTERIOR]]=AM$2,100%,AVANCE[[#This Row],[OSB EXTERIOR]])</f>
        <v>0</v>
      </c>
      <c r="CA469" s="3">
        <f>+IF(AVANCE[[#This Row],[SMART PANEL]]=AN$2,100%,AVANCE[[#This Row],[SMART PANEL]])</f>
        <v>0</v>
      </c>
      <c r="CB469" s="3">
        <f>+IF(AVANCE[[#This Row],[PINTURA EXTERIOR]]=AO$2,100%,AVANCE[[#This Row],[PINTURA EXTERIOR]])</f>
        <v>0</v>
      </c>
      <c r="CC469" s="3">
        <f>+IF(AVANCE[[#This Row],[ZOCALOS LOGIA]]=AP$2,100%,AVANCE[[#This Row],[ZOCALOS LOGIA]])</f>
        <v>0</v>
      </c>
      <c r="CD469" s="3">
        <f>+IF(AVANCE[[#This Row],[MOLDURAS]]=AQ$2,100%,AVANCE[[#This Row],[MOLDURAS]])</f>
        <v>0</v>
      </c>
      <c r="CE469" s="3">
        <f>+IF(AVANCE[[#This Row],[PILASTREO]]=AR$2,100%,AVANCE[[#This Row],[PILASTREO]])</f>
        <v>0</v>
      </c>
      <c r="CF469" s="3">
        <f>+IF(AVANCE[[#This Row],[CELOSIAS]]=AS$2,100%,AVANCE[[#This Row],[CELOSIAS]])</f>
        <v>0</v>
      </c>
      <c r="CG469" s="3">
        <f>+IF(AVANCE[[#This Row],[VENTANAS]]=AT$2,100%,AVANCE[[#This Row],[VENTANAS]])</f>
        <v>0</v>
      </c>
      <c r="CH469" s="3">
        <f>+IF(AVANCE[[#This Row],[PUERTAS ACCESO - LOGIA - BANO]]=AU$2,100%,AVANCE[[#This Row],[PUERTAS ACCESO - LOGIA - BANO]])</f>
        <v>0</v>
      </c>
      <c r="CI469" s="3">
        <f>+IF(AVANCE[[#This Row],[CERRADURAS]]=AV$2,100%,AVANCE[[#This Row],[CERRADURAS]])</f>
        <v>0</v>
      </c>
      <c r="CJ469" s="3">
        <f>+IF(AVANCE[[#This Row],[REVESTIMIENTO INTERIOR ZONA SECA]]=AW$2,100%,AVANCE[[#This Row],[REVESTIMIENTO INTERIOR ZONA SECA]])</f>
        <v>0</v>
      </c>
      <c r="CK469" s="3">
        <f>+IF(AVANCE[[#This Row],[REVESTIMIENTO INTERIOR ZONAS HUMEDAS]]=AX$2,100%,AVANCE[[#This Row],[REVESTIMIENTO INTERIOR ZONAS HUMEDAS]])</f>
        <v>0</v>
      </c>
      <c r="CL469" s="3">
        <f>+IF(AVANCE[[#This Row],[MEMBRANA CIELO]]=AY$2,100%,AVANCE[[#This Row],[MEMBRANA CIELO]])</f>
        <v>0</v>
      </c>
      <c r="CM469" s="3">
        <f>+IF(AVANCE[[#This Row],[LIMPIEZA FINAL]]=AZ$2,100%,AVANCE[[#This Row],[LIMPIEZA FINAL]])</f>
        <v>0</v>
      </c>
      <c r="CN469" s="3">
        <f>+IF(AVANCE[[#This Row],[PUERTAS DORMITORIO]]=BA$2,100%,AVANCE[[#This Row],[PUERTAS DORMITORIO]])</f>
        <v>0</v>
      </c>
      <c r="CO469" s="3">
        <f>+IF(AVANCE[[#This Row],[REVESTIMIENTO INTERIOR BANO]]=BB$2,100%,AVANCE[[#This Row],[REVESTIMIENTO INTERIOR BANO]])</f>
        <v>0</v>
      </c>
      <c r="CP469" s="3">
        <f>+IF(AVANCE[[#This Row],[MUEBLE LAVAPLATOS]]=BC$2,100%,AVANCE[[#This Row],[MUEBLE LAVAPLATOS]])</f>
        <v>0</v>
      </c>
      <c r="CQ469" s="3">
        <f>+IF(AVANCE[[#This Row],[IMPERMEABILIZACION BANO - COCINA LOGIA]]=BD$2,100%,AVANCE[[#This Row],[IMPERMEABILIZACION BANO - COCINA LOGIA]])</f>
        <v>0</v>
      </c>
      <c r="CR469" s="40">
        <f ca="1">+IF(AVANCE[[#This Row],[ESTADO MODULO]]="PENDIENTE",(TODAY()-AVANCE[[#This Row],[FECHA TERMINO  PLANIFICADO]]),0)</f>
        <v>0</v>
      </c>
      <c r="CS469" s="42" t="str" cm="1">
        <f t="array" ref="CS469">_xlfn.TEXTJOIN(" | ",TRUE,IF(SUMPRODUCT((BF469:CQ469&lt;1)*(PARTIDAS!$I$2:$AT$2="OBRA GRUESA"))&gt;0,"OBRA GRUESA: "&amp;_xlfn.TEXTJOIN(", ",TRUE,IF((BF469:CQ469&lt;1)*(PARTIDAS!$I$2:$AT$2="OBRA GRUESA"),PARTIDAS!$I$1:$AT$1,"")),""),IF(SUMPRODUCT((BF469:CQ469&lt;1)*(PARTIDAS!$I$2:$AT$2="SANITARIOS"))&gt;0,"SANITARIOS: "&amp;_xlfn.TEXTJOIN(", ",TRUE,IF((BF469:CQ469&lt;1)*(PARTIDAS!$I$2:$AT$2="SANITARIOS"),PARTIDAS!$I$1:$AT$1,"")),""),IF(SUMPRODUCT((BF469:CQ469&lt;1)*(PARTIDAS!$I$2:$AT$2="ELÉCTRICO"))&gt;0,"ELÉCTRICO: "&amp;_xlfn.TEXTJOIN(", ",TRUE,IF((BF469:CQ469&lt;1)*(PARTIDAS!$I$2:$AT$2="ELÉCTRICO"),PARTIDAS!$I$1:$AT$1,"")),""),IF(SUMPRODUCT((BF469:CQ469&lt;1)*(PARTIDAS!$I$2:$AT$2="TERMINACIONES"))&gt;0,"TERMINACIONES: "&amp;_xlfn.TEXTJOIN(", ",TRUE,IF((BF469:CQ469&lt;1)*(PARTIDAS!$I$2:$AT$2="TERMINACIONES"),PARTIDAS!$I$1:$AT$1,"")),""))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69" s="45" t="str" cm="1">
        <f t="array" ref="CT469">_xlfn.TEXTJOIN(", ",TRUE,IF(SUMPRODUCT((BF469:CQ469&lt;1)*(PARTIDAS!$I$2:$AT$2="OBRA GRUESA"))&gt;0,"OBRA GRUESA",""),IF(SUMPRODUCT((BF469:CQ469&lt;1)*(PARTIDAS!$I$2:$AT$2="SANITARIOS"))&gt;0,"SANITARIOS",""),IF(SUMPRODUCT((BF469:CQ469&lt;1)*(PARTIDAS!$I$2:$AT$2="ELÉCTRICO"))&gt;0,"ELÉCTRICO",""),IF(SUMPRODUCT((BF469:CQ469&lt;1)*(PARTIDAS!$I$2:$AT$2="TERMINACIONES"))&gt;0,"TERMINACIONES",""))</f>
        <v>OBRA GRUESA, SANITARIOS, ELÉCTRICO, TERMINACIONES</v>
      </c>
      <c r="CU469" s="46" cm="1">
        <f t="array" ref="CU469">SUMPRODUCT(--(BF469:CQ469&lt;1))</f>
        <v>38</v>
      </c>
    </row>
    <row r="470" spans="1:99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46181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 s="3" t="str">
        <f>+IF(AVANCE[[#This Row],[% AVANCE]]=100%,"MODULO TERMINADO",IF(AVANCE[[#This Row],[FECHA INICIO REAL]]="","MODULO NO INICIADO","PENDIENTE"))</f>
        <v>MODULO NO INICIADO</v>
      </c>
      <c r="BF470" s="3">
        <f>+IF(AVANCE[[#This Row],[VENTANAS]]=8.10810810810811%,100%,AVANCE[[#This Row],[VENTANAS]])</f>
        <v>0</v>
      </c>
      <c r="BG470" s="3">
        <f>+IF(AVANCE[[#This Row],[PISO]]=N$2,100%,AVANCE[[#This Row],[PISO]])</f>
        <v>0</v>
      </c>
      <c r="BH470" s="3">
        <f>+IF(AVANCE[[#This Row],[TABIQUES]]=O$2,100%,AVANCE[[#This Row],[TABIQUES]])</f>
        <v>0</v>
      </c>
      <c r="BI470" s="3">
        <f>+IF(AVANCE[[#This Row],[MUROS]]=P$2,100%,AVANCE[[#This Row],[MUROS]])</f>
        <v>0</v>
      </c>
      <c r="BJ470" s="3">
        <f>+IF(AVANCE[[#This Row],[CIELO]]=Q$2,100%,AVANCE[[#This Row],[CIELO]])</f>
        <v>0</v>
      </c>
      <c r="BK470" s="3">
        <f>+IF(AVANCE[[#This Row],[BALCÓN]]=R$2,100%,AVANCE[[#This Row],[BALCÓN]])</f>
        <v>0</v>
      </c>
      <c r="BL470" s="3">
        <f>+IF(AVANCE[[#This Row],[RED ALCANTARILLADO]]=U$2,100%,AVANCE[[#This Row],[RED ALCANTARILLADO]])</f>
        <v>0</v>
      </c>
      <c r="BM470" s="3">
        <f>+IF(AVANCE[[#This Row],[RED DE AGUA]]=V$2,100%,AVANCE[[#This Row],[RED DE AGUA]])</f>
        <v>0</v>
      </c>
      <c r="BN470" s="3">
        <f>+IF(AVANCE[[#This Row],[VENTILACIONES]]=W$2,100%,AVANCE[[#This Row],[VENTILACIONES]])</f>
        <v>0</v>
      </c>
      <c r="BO470" s="3">
        <f>+IF(AVANCE[[#This Row],[TINA]]=X$2,100%,AVANCE[[#This Row],[TINA]])</f>
        <v>0</v>
      </c>
      <c r="BP470" s="3">
        <f>+IF(AVANCE[[#This Row],[WC]]=Y$2,100%,AVANCE[[#This Row],[WC]])</f>
        <v>0</v>
      </c>
      <c r="BQ470" s="3">
        <f>+IF(AVANCE[[#This Row],[LAVAMANOS / LAVAPLATOS / LAVADERO]]=Z$2,100%,AVANCE[[#This Row],[LAVAMANOS / LAVAPLATOS / LAVADERO]])</f>
        <v>0</v>
      </c>
      <c r="BR470" s="3">
        <f>+IF(AVANCE[[#This Row],[CANALIZACIÓN]]=AC$2,100%,AVANCE[[#This Row],[CANALIZACIÓN]])</f>
        <v>0</v>
      </c>
      <c r="BS470" s="3">
        <f>+IF(AVANCE[[#This Row],[CABLEADO]]=AD$2,100%,AVANCE[[#This Row],[CABLEADO]])</f>
        <v>0</v>
      </c>
      <c r="BT470" s="3">
        <f>+IF(AVANCE[[#This Row],[ARTEFACTOS]]=AE$2,100%,AVANCE[[#This Row],[ARTEFACTOS]])</f>
        <v>0</v>
      </c>
      <c r="BU470" s="3">
        <f>+IF(AVANCE[[#This Row],[TABLERO]]=AF$2,100%,AVANCE[[#This Row],[TABLERO]])</f>
        <v>0</v>
      </c>
      <c r="BV470" s="3">
        <f>+IF(AVANCE[[#This Row],[CAJA PAU]]=AG$2,100%,AVANCE[[#This Row],[CAJA PAU]])</f>
        <v>0</v>
      </c>
      <c r="BW470" s="3">
        <f>+IF(AVANCE[[#This Row],[INSTALACION VINILICO]]=AJ$2,100%,AVANCE[[#This Row],[INSTALACION VINILICO]])</f>
        <v>0</v>
      </c>
      <c r="BX470" s="3">
        <f>+IF(AVANCE[[#This Row],[OSB CUBIERTA]]=AK$2,100%,AVANCE[[#This Row],[OSB CUBIERTA]])</f>
        <v>0</v>
      </c>
      <c r="BY470" s="3">
        <f>+IF(AVANCE[[#This Row],[BARANDA BALCON]]=AL$2,100%,AVANCE[[#This Row],[BARANDA BALCON]])</f>
        <v>0</v>
      </c>
      <c r="BZ470" s="3">
        <f>+IF(AVANCE[[#This Row],[OSB EXTERIOR]]=AM$2,100%,AVANCE[[#This Row],[OSB EXTERIOR]])</f>
        <v>0</v>
      </c>
      <c r="CA470" s="3">
        <f>+IF(AVANCE[[#This Row],[SMART PANEL]]=AN$2,100%,AVANCE[[#This Row],[SMART PANEL]])</f>
        <v>0</v>
      </c>
      <c r="CB470" s="3">
        <f>+IF(AVANCE[[#This Row],[PINTURA EXTERIOR]]=AO$2,100%,AVANCE[[#This Row],[PINTURA EXTERIOR]])</f>
        <v>0</v>
      </c>
      <c r="CC470" s="3">
        <f>+IF(AVANCE[[#This Row],[ZOCALOS LOGIA]]=AP$2,100%,AVANCE[[#This Row],[ZOCALOS LOGIA]])</f>
        <v>0</v>
      </c>
      <c r="CD470" s="3">
        <f>+IF(AVANCE[[#This Row],[MOLDURAS]]=AQ$2,100%,AVANCE[[#This Row],[MOLDURAS]])</f>
        <v>0</v>
      </c>
      <c r="CE470" s="3">
        <f>+IF(AVANCE[[#This Row],[PILASTREO]]=AR$2,100%,AVANCE[[#This Row],[PILASTREO]])</f>
        <v>0</v>
      </c>
      <c r="CF470" s="3">
        <f>+IF(AVANCE[[#This Row],[CELOSIAS]]=AS$2,100%,AVANCE[[#This Row],[CELOSIAS]])</f>
        <v>0</v>
      </c>
      <c r="CG470" s="3">
        <f>+IF(AVANCE[[#This Row],[VENTANAS]]=AT$2,100%,AVANCE[[#This Row],[VENTANAS]])</f>
        <v>0</v>
      </c>
      <c r="CH470" s="3">
        <f>+IF(AVANCE[[#This Row],[PUERTAS ACCESO - LOGIA - BANO]]=AU$2,100%,AVANCE[[#This Row],[PUERTAS ACCESO - LOGIA - BANO]])</f>
        <v>0</v>
      </c>
      <c r="CI470" s="3">
        <f>+IF(AVANCE[[#This Row],[CERRADURAS]]=AV$2,100%,AVANCE[[#This Row],[CERRADURAS]])</f>
        <v>0</v>
      </c>
      <c r="CJ470" s="3">
        <f>+IF(AVANCE[[#This Row],[REVESTIMIENTO INTERIOR ZONA SECA]]=AW$2,100%,AVANCE[[#This Row],[REVESTIMIENTO INTERIOR ZONA SECA]])</f>
        <v>0</v>
      </c>
      <c r="CK470" s="3">
        <f>+IF(AVANCE[[#This Row],[REVESTIMIENTO INTERIOR ZONAS HUMEDAS]]=AX$2,100%,AVANCE[[#This Row],[REVESTIMIENTO INTERIOR ZONAS HUMEDAS]])</f>
        <v>0</v>
      </c>
      <c r="CL470" s="3">
        <f>+IF(AVANCE[[#This Row],[MEMBRANA CIELO]]=AY$2,100%,AVANCE[[#This Row],[MEMBRANA CIELO]])</f>
        <v>0</v>
      </c>
      <c r="CM470" s="3">
        <f>+IF(AVANCE[[#This Row],[LIMPIEZA FINAL]]=AZ$2,100%,AVANCE[[#This Row],[LIMPIEZA FINAL]])</f>
        <v>0</v>
      </c>
      <c r="CN470" s="3">
        <f>+IF(AVANCE[[#This Row],[PUERTAS DORMITORIO]]=BA$2,100%,AVANCE[[#This Row],[PUERTAS DORMITORIO]])</f>
        <v>0</v>
      </c>
      <c r="CO470" s="3">
        <f>+IF(AVANCE[[#This Row],[REVESTIMIENTO INTERIOR BANO]]=BB$2,100%,AVANCE[[#This Row],[REVESTIMIENTO INTERIOR BANO]])</f>
        <v>0</v>
      </c>
      <c r="CP470" s="3">
        <f>+IF(AVANCE[[#This Row],[MUEBLE LAVAPLATOS]]=BC$2,100%,AVANCE[[#This Row],[MUEBLE LAVAPLATOS]])</f>
        <v>0</v>
      </c>
      <c r="CQ470" s="3">
        <f>+IF(AVANCE[[#This Row],[IMPERMEABILIZACION BANO - COCINA LOGIA]]=BD$2,100%,AVANCE[[#This Row],[IMPERMEABILIZACION BANO - COCINA LOGIA]])</f>
        <v>0</v>
      </c>
      <c r="CR470" s="40">
        <f ca="1">+IF(AVANCE[[#This Row],[ESTADO MODULO]]="PENDIENTE",(TODAY()-AVANCE[[#This Row],[FECHA TERMINO  PLANIFICADO]]),0)</f>
        <v>0</v>
      </c>
      <c r="CS470" s="42" t="str" cm="1">
        <f t="array" ref="CS470">_xlfn.TEXTJOIN(" | ",TRUE,IF(SUMPRODUCT((BF470:CQ470&lt;1)*(PARTIDAS!$I$2:$AT$2="OBRA GRUESA"))&gt;0,"OBRA GRUESA: "&amp;_xlfn.TEXTJOIN(", ",TRUE,IF((BF470:CQ470&lt;1)*(PARTIDAS!$I$2:$AT$2="OBRA GRUESA"),PARTIDAS!$I$1:$AT$1,"")),""),IF(SUMPRODUCT((BF470:CQ470&lt;1)*(PARTIDAS!$I$2:$AT$2="SANITARIOS"))&gt;0,"SANITARIOS: "&amp;_xlfn.TEXTJOIN(", ",TRUE,IF((BF470:CQ470&lt;1)*(PARTIDAS!$I$2:$AT$2="SANITARIOS"),PARTIDAS!$I$1:$AT$1,"")),""),IF(SUMPRODUCT((BF470:CQ470&lt;1)*(PARTIDAS!$I$2:$AT$2="ELÉCTRICO"))&gt;0,"ELÉCTRICO: "&amp;_xlfn.TEXTJOIN(", ",TRUE,IF((BF470:CQ470&lt;1)*(PARTIDAS!$I$2:$AT$2="ELÉCTRICO"),PARTIDAS!$I$1:$AT$1,"")),""),IF(SUMPRODUCT((BF470:CQ470&lt;1)*(PARTIDAS!$I$2:$AT$2="TERMINACIONES"))&gt;0,"TERMINACIONES: "&amp;_xlfn.TEXTJOIN(", ",TRUE,IF((BF470:CQ470&lt;1)*(PARTIDAS!$I$2:$AT$2="TERMINACIONES"),PARTIDAS!$I$1:$AT$1,"")),""))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0" s="45" t="str" cm="1">
        <f t="array" ref="CT470">_xlfn.TEXTJOIN(", ",TRUE,IF(SUMPRODUCT((BF470:CQ470&lt;1)*(PARTIDAS!$I$2:$AT$2="OBRA GRUESA"))&gt;0,"OBRA GRUESA",""),IF(SUMPRODUCT((BF470:CQ470&lt;1)*(PARTIDAS!$I$2:$AT$2="SANITARIOS"))&gt;0,"SANITARIOS",""),IF(SUMPRODUCT((BF470:CQ470&lt;1)*(PARTIDAS!$I$2:$AT$2="ELÉCTRICO"))&gt;0,"ELÉCTRICO",""),IF(SUMPRODUCT((BF470:CQ470&lt;1)*(PARTIDAS!$I$2:$AT$2="TERMINACIONES"))&gt;0,"TERMINACIONES",""))</f>
        <v>OBRA GRUESA, SANITARIOS, ELÉCTRICO, TERMINACIONES</v>
      </c>
      <c r="CU470" s="46" cm="1">
        <f t="array" ref="CU470">SUMPRODUCT(--(BF470:CQ470&lt;1))</f>
        <v>38</v>
      </c>
    </row>
    <row r="471" spans="1:99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46181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 s="3" t="str">
        <f>+IF(AVANCE[[#This Row],[% AVANCE]]=100%,"MODULO TERMINADO",IF(AVANCE[[#This Row],[FECHA INICIO REAL]]="","MODULO NO INICIADO","PENDIENTE"))</f>
        <v>MODULO NO INICIADO</v>
      </c>
      <c r="BF471" s="3">
        <f>+IF(AVANCE[[#This Row],[VENTANAS]]=8.10810810810811%,100%,AVANCE[[#This Row],[VENTANAS]])</f>
        <v>0</v>
      </c>
      <c r="BG471" s="3">
        <f>+IF(AVANCE[[#This Row],[PISO]]=N$2,100%,AVANCE[[#This Row],[PISO]])</f>
        <v>0</v>
      </c>
      <c r="BH471" s="3">
        <f>+IF(AVANCE[[#This Row],[TABIQUES]]=O$2,100%,AVANCE[[#This Row],[TABIQUES]])</f>
        <v>0</v>
      </c>
      <c r="BI471" s="3">
        <f>+IF(AVANCE[[#This Row],[MUROS]]=P$2,100%,AVANCE[[#This Row],[MUROS]])</f>
        <v>0</v>
      </c>
      <c r="BJ471" s="3">
        <f>+IF(AVANCE[[#This Row],[CIELO]]=Q$2,100%,AVANCE[[#This Row],[CIELO]])</f>
        <v>0</v>
      </c>
      <c r="BK471" s="3">
        <f>+IF(AVANCE[[#This Row],[BALCÓN]]=R$2,100%,AVANCE[[#This Row],[BALCÓN]])</f>
        <v>0</v>
      </c>
      <c r="BL471" s="3">
        <f>+IF(AVANCE[[#This Row],[RED ALCANTARILLADO]]=U$2,100%,AVANCE[[#This Row],[RED ALCANTARILLADO]])</f>
        <v>0</v>
      </c>
      <c r="BM471" s="3">
        <f>+IF(AVANCE[[#This Row],[RED DE AGUA]]=V$2,100%,AVANCE[[#This Row],[RED DE AGUA]])</f>
        <v>0</v>
      </c>
      <c r="BN471" s="3">
        <f>+IF(AVANCE[[#This Row],[VENTILACIONES]]=W$2,100%,AVANCE[[#This Row],[VENTILACIONES]])</f>
        <v>0</v>
      </c>
      <c r="BO471" s="3">
        <f>+IF(AVANCE[[#This Row],[TINA]]=X$2,100%,AVANCE[[#This Row],[TINA]])</f>
        <v>0</v>
      </c>
      <c r="BP471" s="3">
        <f>+IF(AVANCE[[#This Row],[WC]]=Y$2,100%,AVANCE[[#This Row],[WC]])</f>
        <v>0</v>
      </c>
      <c r="BQ471" s="3">
        <f>+IF(AVANCE[[#This Row],[LAVAMANOS / LAVAPLATOS / LAVADERO]]=Z$2,100%,AVANCE[[#This Row],[LAVAMANOS / LAVAPLATOS / LAVADERO]])</f>
        <v>0</v>
      </c>
      <c r="BR471" s="3">
        <f>+IF(AVANCE[[#This Row],[CANALIZACIÓN]]=AC$2,100%,AVANCE[[#This Row],[CANALIZACIÓN]])</f>
        <v>0</v>
      </c>
      <c r="BS471" s="3">
        <f>+IF(AVANCE[[#This Row],[CABLEADO]]=AD$2,100%,AVANCE[[#This Row],[CABLEADO]])</f>
        <v>0</v>
      </c>
      <c r="BT471" s="3">
        <f>+IF(AVANCE[[#This Row],[ARTEFACTOS]]=AE$2,100%,AVANCE[[#This Row],[ARTEFACTOS]])</f>
        <v>0</v>
      </c>
      <c r="BU471" s="3">
        <f>+IF(AVANCE[[#This Row],[TABLERO]]=AF$2,100%,AVANCE[[#This Row],[TABLERO]])</f>
        <v>0</v>
      </c>
      <c r="BV471" s="3">
        <f>+IF(AVANCE[[#This Row],[CAJA PAU]]=AG$2,100%,AVANCE[[#This Row],[CAJA PAU]])</f>
        <v>0</v>
      </c>
      <c r="BW471" s="3">
        <f>+IF(AVANCE[[#This Row],[INSTALACION VINILICO]]=AJ$2,100%,AVANCE[[#This Row],[INSTALACION VINILICO]])</f>
        <v>0</v>
      </c>
      <c r="BX471" s="3">
        <f>+IF(AVANCE[[#This Row],[OSB CUBIERTA]]=AK$2,100%,AVANCE[[#This Row],[OSB CUBIERTA]])</f>
        <v>0</v>
      </c>
      <c r="BY471" s="3">
        <f>+IF(AVANCE[[#This Row],[BARANDA BALCON]]=AL$2,100%,AVANCE[[#This Row],[BARANDA BALCON]])</f>
        <v>0</v>
      </c>
      <c r="BZ471" s="3">
        <f>+IF(AVANCE[[#This Row],[OSB EXTERIOR]]=AM$2,100%,AVANCE[[#This Row],[OSB EXTERIOR]])</f>
        <v>0</v>
      </c>
      <c r="CA471" s="3">
        <f>+IF(AVANCE[[#This Row],[SMART PANEL]]=AN$2,100%,AVANCE[[#This Row],[SMART PANEL]])</f>
        <v>0</v>
      </c>
      <c r="CB471" s="3">
        <f>+IF(AVANCE[[#This Row],[PINTURA EXTERIOR]]=AO$2,100%,AVANCE[[#This Row],[PINTURA EXTERIOR]])</f>
        <v>0</v>
      </c>
      <c r="CC471" s="3">
        <f>+IF(AVANCE[[#This Row],[ZOCALOS LOGIA]]=AP$2,100%,AVANCE[[#This Row],[ZOCALOS LOGIA]])</f>
        <v>0</v>
      </c>
      <c r="CD471" s="3">
        <f>+IF(AVANCE[[#This Row],[MOLDURAS]]=AQ$2,100%,AVANCE[[#This Row],[MOLDURAS]])</f>
        <v>0</v>
      </c>
      <c r="CE471" s="3">
        <f>+IF(AVANCE[[#This Row],[PILASTREO]]=AR$2,100%,AVANCE[[#This Row],[PILASTREO]])</f>
        <v>0</v>
      </c>
      <c r="CF471" s="3">
        <f>+IF(AVANCE[[#This Row],[CELOSIAS]]=AS$2,100%,AVANCE[[#This Row],[CELOSIAS]])</f>
        <v>0</v>
      </c>
      <c r="CG471" s="3">
        <f>+IF(AVANCE[[#This Row],[VENTANAS]]=AT$2,100%,AVANCE[[#This Row],[VENTANAS]])</f>
        <v>0</v>
      </c>
      <c r="CH471" s="3">
        <f>+IF(AVANCE[[#This Row],[PUERTAS ACCESO - LOGIA - BANO]]=AU$2,100%,AVANCE[[#This Row],[PUERTAS ACCESO - LOGIA - BANO]])</f>
        <v>0</v>
      </c>
      <c r="CI471" s="3">
        <f>+IF(AVANCE[[#This Row],[CERRADURAS]]=AV$2,100%,AVANCE[[#This Row],[CERRADURAS]])</f>
        <v>0</v>
      </c>
      <c r="CJ471" s="3">
        <f>+IF(AVANCE[[#This Row],[REVESTIMIENTO INTERIOR ZONA SECA]]=AW$2,100%,AVANCE[[#This Row],[REVESTIMIENTO INTERIOR ZONA SECA]])</f>
        <v>0</v>
      </c>
      <c r="CK471" s="3">
        <f>+IF(AVANCE[[#This Row],[REVESTIMIENTO INTERIOR ZONAS HUMEDAS]]=AX$2,100%,AVANCE[[#This Row],[REVESTIMIENTO INTERIOR ZONAS HUMEDAS]])</f>
        <v>0</v>
      </c>
      <c r="CL471" s="3">
        <f>+IF(AVANCE[[#This Row],[MEMBRANA CIELO]]=AY$2,100%,AVANCE[[#This Row],[MEMBRANA CIELO]])</f>
        <v>0</v>
      </c>
      <c r="CM471" s="3">
        <f>+IF(AVANCE[[#This Row],[LIMPIEZA FINAL]]=AZ$2,100%,AVANCE[[#This Row],[LIMPIEZA FINAL]])</f>
        <v>0</v>
      </c>
      <c r="CN471" s="3">
        <f>+IF(AVANCE[[#This Row],[PUERTAS DORMITORIO]]=BA$2,100%,AVANCE[[#This Row],[PUERTAS DORMITORIO]])</f>
        <v>0</v>
      </c>
      <c r="CO471" s="3">
        <f>+IF(AVANCE[[#This Row],[REVESTIMIENTO INTERIOR BANO]]=BB$2,100%,AVANCE[[#This Row],[REVESTIMIENTO INTERIOR BANO]])</f>
        <v>0</v>
      </c>
      <c r="CP471" s="3">
        <f>+IF(AVANCE[[#This Row],[MUEBLE LAVAPLATOS]]=BC$2,100%,AVANCE[[#This Row],[MUEBLE LAVAPLATOS]])</f>
        <v>0</v>
      </c>
      <c r="CQ471" s="3">
        <f>+IF(AVANCE[[#This Row],[IMPERMEABILIZACION BANO - COCINA LOGIA]]=BD$2,100%,AVANCE[[#This Row],[IMPERMEABILIZACION BANO - COCINA LOGIA]])</f>
        <v>0</v>
      </c>
      <c r="CR471" s="40">
        <f ca="1">+IF(AVANCE[[#This Row],[ESTADO MODULO]]="PENDIENTE",(TODAY()-AVANCE[[#This Row],[FECHA TERMINO  PLANIFICADO]]),0)</f>
        <v>0</v>
      </c>
      <c r="CS471" s="42" t="str" cm="1">
        <f t="array" ref="CS471">_xlfn.TEXTJOIN(" | ",TRUE,IF(SUMPRODUCT((BF471:CQ471&lt;1)*(PARTIDAS!$I$2:$AT$2="OBRA GRUESA"))&gt;0,"OBRA GRUESA: "&amp;_xlfn.TEXTJOIN(", ",TRUE,IF((BF471:CQ471&lt;1)*(PARTIDAS!$I$2:$AT$2="OBRA GRUESA"),PARTIDAS!$I$1:$AT$1,"")),""),IF(SUMPRODUCT((BF471:CQ471&lt;1)*(PARTIDAS!$I$2:$AT$2="SANITARIOS"))&gt;0,"SANITARIOS: "&amp;_xlfn.TEXTJOIN(", ",TRUE,IF((BF471:CQ471&lt;1)*(PARTIDAS!$I$2:$AT$2="SANITARIOS"),PARTIDAS!$I$1:$AT$1,"")),""),IF(SUMPRODUCT((BF471:CQ471&lt;1)*(PARTIDAS!$I$2:$AT$2="ELÉCTRICO"))&gt;0,"ELÉCTRICO: "&amp;_xlfn.TEXTJOIN(", ",TRUE,IF((BF471:CQ471&lt;1)*(PARTIDAS!$I$2:$AT$2="ELÉCTRICO"),PARTIDAS!$I$1:$AT$1,"")),""),IF(SUMPRODUCT((BF471:CQ471&lt;1)*(PARTIDAS!$I$2:$AT$2="TERMINACIONES"))&gt;0,"TERMINACIONES: "&amp;_xlfn.TEXTJOIN(", ",TRUE,IF((BF471:CQ471&lt;1)*(PARTIDAS!$I$2:$AT$2="TERMINACIONES"),PARTIDAS!$I$1:$AT$1,"")),""))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1" s="45" t="str" cm="1">
        <f t="array" ref="CT471">_xlfn.TEXTJOIN(", ",TRUE,IF(SUMPRODUCT((BF471:CQ471&lt;1)*(PARTIDAS!$I$2:$AT$2="OBRA GRUESA"))&gt;0,"OBRA GRUESA",""),IF(SUMPRODUCT((BF471:CQ471&lt;1)*(PARTIDAS!$I$2:$AT$2="SANITARIOS"))&gt;0,"SANITARIOS",""),IF(SUMPRODUCT((BF471:CQ471&lt;1)*(PARTIDAS!$I$2:$AT$2="ELÉCTRICO"))&gt;0,"ELÉCTRICO",""),IF(SUMPRODUCT((BF471:CQ471&lt;1)*(PARTIDAS!$I$2:$AT$2="TERMINACIONES"))&gt;0,"TERMINACIONES",""))</f>
        <v>OBRA GRUESA, SANITARIOS, ELÉCTRICO, TERMINACIONES</v>
      </c>
      <c r="CU471" s="46" cm="1">
        <f t="array" ref="CU471">SUMPRODUCT(--(BF471:CQ471&lt;1))</f>
        <v>38</v>
      </c>
    </row>
    <row r="472" spans="1:99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46181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 s="3" t="str">
        <f>+IF(AVANCE[[#This Row],[% AVANCE]]=100%,"MODULO TERMINADO",IF(AVANCE[[#This Row],[FECHA INICIO REAL]]="","MODULO NO INICIADO","PENDIENTE"))</f>
        <v>MODULO NO INICIADO</v>
      </c>
      <c r="BF472" s="3">
        <f>+IF(AVANCE[[#This Row],[VENTANAS]]=8.10810810810811%,100%,AVANCE[[#This Row],[VENTANAS]])</f>
        <v>0</v>
      </c>
      <c r="BG472" s="3">
        <f>+IF(AVANCE[[#This Row],[PISO]]=N$2,100%,AVANCE[[#This Row],[PISO]])</f>
        <v>0</v>
      </c>
      <c r="BH472" s="3">
        <f>+IF(AVANCE[[#This Row],[TABIQUES]]=O$2,100%,AVANCE[[#This Row],[TABIQUES]])</f>
        <v>0</v>
      </c>
      <c r="BI472" s="3">
        <f>+IF(AVANCE[[#This Row],[MUROS]]=P$2,100%,AVANCE[[#This Row],[MUROS]])</f>
        <v>0</v>
      </c>
      <c r="BJ472" s="3">
        <f>+IF(AVANCE[[#This Row],[CIELO]]=Q$2,100%,AVANCE[[#This Row],[CIELO]])</f>
        <v>0</v>
      </c>
      <c r="BK472" s="3">
        <f>+IF(AVANCE[[#This Row],[BALCÓN]]=R$2,100%,AVANCE[[#This Row],[BALCÓN]])</f>
        <v>0</v>
      </c>
      <c r="BL472" s="3">
        <f>+IF(AVANCE[[#This Row],[RED ALCANTARILLADO]]=U$2,100%,AVANCE[[#This Row],[RED ALCANTARILLADO]])</f>
        <v>0</v>
      </c>
      <c r="BM472" s="3">
        <f>+IF(AVANCE[[#This Row],[RED DE AGUA]]=V$2,100%,AVANCE[[#This Row],[RED DE AGUA]])</f>
        <v>0</v>
      </c>
      <c r="BN472" s="3">
        <f>+IF(AVANCE[[#This Row],[VENTILACIONES]]=W$2,100%,AVANCE[[#This Row],[VENTILACIONES]])</f>
        <v>0</v>
      </c>
      <c r="BO472" s="3">
        <f>+IF(AVANCE[[#This Row],[TINA]]=X$2,100%,AVANCE[[#This Row],[TINA]])</f>
        <v>0</v>
      </c>
      <c r="BP472" s="3">
        <f>+IF(AVANCE[[#This Row],[WC]]=Y$2,100%,AVANCE[[#This Row],[WC]])</f>
        <v>0</v>
      </c>
      <c r="BQ472" s="3">
        <f>+IF(AVANCE[[#This Row],[LAVAMANOS / LAVAPLATOS / LAVADERO]]=Z$2,100%,AVANCE[[#This Row],[LAVAMANOS / LAVAPLATOS / LAVADERO]])</f>
        <v>0</v>
      </c>
      <c r="BR472" s="3">
        <f>+IF(AVANCE[[#This Row],[CANALIZACIÓN]]=AC$2,100%,AVANCE[[#This Row],[CANALIZACIÓN]])</f>
        <v>0</v>
      </c>
      <c r="BS472" s="3">
        <f>+IF(AVANCE[[#This Row],[CABLEADO]]=AD$2,100%,AVANCE[[#This Row],[CABLEADO]])</f>
        <v>0</v>
      </c>
      <c r="BT472" s="3">
        <f>+IF(AVANCE[[#This Row],[ARTEFACTOS]]=AE$2,100%,AVANCE[[#This Row],[ARTEFACTOS]])</f>
        <v>0</v>
      </c>
      <c r="BU472" s="3">
        <f>+IF(AVANCE[[#This Row],[TABLERO]]=AF$2,100%,AVANCE[[#This Row],[TABLERO]])</f>
        <v>0</v>
      </c>
      <c r="BV472" s="3">
        <f>+IF(AVANCE[[#This Row],[CAJA PAU]]=AG$2,100%,AVANCE[[#This Row],[CAJA PAU]])</f>
        <v>0</v>
      </c>
      <c r="BW472" s="3">
        <f>+IF(AVANCE[[#This Row],[INSTALACION VINILICO]]=AJ$2,100%,AVANCE[[#This Row],[INSTALACION VINILICO]])</f>
        <v>0</v>
      </c>
      <c r="BX472" s="3">
        <f>+IF(AVANCE[[#This Row],[OSB CUBIERTA]]=AK$2,100%,AVANCE[[#This Row],[OSB CUBIERTA]])</f>
        <v>0</v>
      </c>
      <c r="BY472" s="3">
        <f>+IF(AVANCE[[#This Row],[BARANDA BALCON]]=AL$2,100%,AVANCE[[#This Row],[BARANDA BALCON]])</f>
        <v>0</v>
      </c>
      <c r="BZ472" s="3">
        <f>+IF(AVANCE[[#This Row],[OSB EXTERIOR]]=AM$2,100%,AVANCE[[#This Row],[OSB EXTERIOR]])</f>
        <v>0</v>
      </c>
      <c r="CA472" s="3">
        <f>+IF(AVANCE[[#This Row],[SMART PANEL]]=AN$2,100%,AVANCE[[#This Row],[SMART PANEL]])</f>
        <v>0</v>
      </c>
      <c r="CB472" s="3">
        <f>+IF(AVANCE[[#This Row],[PINTURA EXTERIOR]]=AO$2,100%,AVANCE[[#This Row],[PINTURA EXTERIOR]])</f>
        <v>0</v>
      </c>
      <c r="CC472" s="3">
        <f>+IF(AVANCE[[#This Row],[ZOCALOS LOGIA]]=AP$2,100%,AVANCE[[#This Row],[ZOCALOS LOGIA]])</f>
        <v>0</v>
      </c>
      <c r="CD472" s="3">
        <f>+IF(AVANCE[[#This Row],[MOLDURAS]]=AQ$2,100%,AVANCE[[#This Row],[MOLDURAS]])</f>
        <v>0</v>
      </c>
      <c r="CE472" s="3">
        <f>+IF(AVANCE[[#This Row],[PILASTREO]]=AR$2,100%,AVANCE[[#This Row],[PILASTREO]])</f>
        <v>0</v>
      </c>
      <c r="CF472" s="3">
        <f>+IF(AVANCE[[#This Row],[CELOSIAS]]=AS$2,100%,AVANCE[[#This Row],[CELOSIAS]])</f>
        <v>0</v>
      </c>
      <c r="CG472" s="3">
        <f>+IF(AVANCE[[#This Row],[VENTANAS]]=AT$2,100%,AVANCE[[#This Row],[VENTANAS]])</f>
        <v>0</v>
      </c>
      <c r="CH472" s="3">
        <f>+IF(AVANCE[[#This Row],[PUERTAS ACCESO - LOGIA - BANO]]=AU$2,100%,AVANCE[[#This Row],[PUERTAS ACCESO - LOGIA - BANO]])</f>
        <v>0</v>
      </c>
      <c r="CI472" s="3">
        <f>+IF(AVANCE[[#This Row],[CERRADURAS]]=AV$2,100%,AVANCE[[#This Row],[CERRADURAS]])</f>
        <v>0</v>
      </c>
      <c r="CJ472" s="3">
        <f>+IF(AVANCE[[#This Row],[REVESTIMIENTO INTERIOR ZONA SECA]]=AW$2,100%,AVANCE[[#This Row],[REVESTIMIENTO INTERIOR ZONA SECA]])</f>
        <v>0</v>
      </c>
      <c r="CK472" s="3">
        <f>+IF(AVANCE[[#This Row],[REVESTIMIENTO INTERIOR ZONAS HUMEDAS]]=AX$2,100%,AVANCE[[#This Row],[REVESTIMIENTO INTERIOR ZONAS HUMEDAS]])</f>
        <v>0</v>
      </c>
      <c r="CL472" s="3">
        <f>+IF(AVANCE[[#This Row],[MEMBRANA CIELO]]=AY$2,100%,AVANCE[[#This Row],[MEMBRANA CIELO]])</f>
        <v>0</v>
      </c>
      <c r="CM472" s="3">
        <f>+IF(AVANCE[[#This Row],[LIMPIEZA FINAL]]=AZ$2,100%,AVANCE[[#This Row],[LIMPIEZA FINAL]])</f>
        <v>0</v>
      </c>
      <c r="CN472" s="3">
        <f>+IF(AVANCE[[#This Row],[PUERTAS DORMITORIO]]=BA$2,100%,AVANCE[[#This Row],[PUERTAS DORMITORIO]])</f>
        <v>0</v>
      </c>
      <c r="CO472" s="3">
        <f>+IF(AVANCE[[#This Row],[REVESTIMIENTO INTERIOR BANO]]=BB$2,100%,AVANCE[[#This Row],[REVESTIMIENTO INTERIOR BANO]])</f>
        <v>0</v>
      </c>
      <c r="CP472" s="3">
        <f>+IF(AVANCE[[#This Row],[MUEBLE LAVAPLATOS]]=BC$2,100%,AVANCE[[#This Row],[MUEBLE LAVAPLATOS]])</f>
        <v>0</v>
      </c>
      <c r="CQ472" s="3">
        <f>+IF(AVANCE[[#This Row],[IMPERMEABILIZACION BANO - COCINA LOGIA]]=BD$2,100%,AVANCE[[#This Row],[IMPERMEABILIZACION BANO - COCINA LOGIA]])</f>
        <v>0</v>
      </c>
      <c r="CR472" s="40">
        <f ca="1">+IF(AVANCE[[#This Row],[ESTADO MODULO]]="PENDIENTE",(TODAY()-AVANCE[[#This Row],[FECHA TERMINO  PLANIFICADO]]),0)</f>
        <v>0</v>
      </c>
      <c r="CS472" s="42" t="str" cm="1">
        <f t="array" ref="CS472">_xlfn.TEXTJOIN(" | ",TRUE,IF(SUMPRODUCT((BF472:CQ472&lt;1)*(PARTIDAS!$I$2:$AT$2="OBRA GRUESA"))&gt;0,"OBRA GRUESA: "&amp;_xlfn.TEXTJOIN(", ",TRUE,IF((BF472:CQ472&lt;1)*(PARTIDAS!$I$2:$AT$2="OBRA GRUESA"),PARTIDAS!$I$1:$AT$1,"")),""),IF(SUMPRODUCT((BF472:CQ472&lt;1)*(PARTIDAS!$I$2:$AT$2="SANITARIOS"))&gt;0,"SANITARIOS: "&amp;_xlfn.TEXTJOIN(", ",TRUE,IF((BF472:CQ472&lt;1)*(PARTIDAS!$I$2:$AT$2="SANITARIOS"),PARTIDAS!$I$1:$AT$1,"")),""),IF(SUMPRODUCT((BF472:CQ472&lt;1)*(PARTIDAS!$I$2:$AT$2="ELÉCTRICO"))&gt;0,"ELÉCTRICO: "&amp;_xlfn.TEXTJOIN(", ",TRUE,IF((BF472:CQ472&lt;1)*(PARTIDAS!$I$2:$AT$2="ELÉCTRICO"),PARTIDAS!$I$1:$AT$1,"")),""),IF(SUMPRODUCT((BF472:CQ472&lt;1)*(PARTIDAS!$I$2:$AT$2="TERMINACIONES"))&gt;0,"TERMINACIONES: "&amp;_xlfn.TEXTJOIN(", ",TRUE,IF((BF472:CQ472&lt;1)*(PARTIDAS!$I$2:$AT$2="TERMINACIONES"),PARTIDAS!$I$1:$AT$1,"")),""))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2" s="45" t="str" cm="1">
        <f t="array" ref="CT472">_xlfn.TEXTJOIN(", ",TRUE,IF(SUMPRODUCT((BF472:CQ472&lt;1)*(PARTIDAS!$I$2:$AT$2="OBRA GRUESA"))&gt;0,"OBRA GRUESA",""),IF(SUMPRODUCT((BF472:CQ472&lt;1)*(PARTIDAS!$I$2:$AT$2="SANITARIOS"))&gt;0,"SANITARIOS",""),IF(SUMPRODUCT((BF472:CQ472&lt;1)*(PARTIDAS!$I$2:$AT$2="ELÉCTRICO"))&gt;0,"ELÉCTRICO",""),IF(SUMPRODUCT((BF472:CQ472&lt;1)*(PARTIDAS!$I$2:$AT$2="TERMINACIONES"))&gt;0,"TERMINACIONES",""))</f>
        <v>OBRA GRUESA, SANITARIOS, ELÉCTRICO, TERMINACIONES</v>
      </c>
      <c r="CU472" s="46" cm="1">
        <f t="array" ref="CU472">SUMPRODUCT(--(BF472:CQ472&lt;1))</f>
        <v>38</v>
      </c>
    </row>
    <row r="473" spans="1:99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46181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 s="3" t="str">
        <f>+IF(AVANCE[[#This Row],[% AVANCE]]=100%,"MODULO TERMINADO",IF(AVANCE[[#This Row],[FECHA INICIO REAL]]="","MODULO NO INICIADO","PENDIENTE"))</f>
        <v>MODULO NO INICIADO</v>
      </c>
      <c r="BF473" s="3">
        <f>+IF(AVANCE[[#This Row],[VENTANAS]]=8.10810810810811%,100%,AVANCE[[#This Row],[VENTANAS]])</f>
        <v>0</v>
      </c>
      <c r="BG473" s="3">
        <f>+IF(AVANCE[[#This Row],[PISO]]=N$2,100%,AVANCE[[#This Row],[PISO]])</f>
        <v>0</v>
      </c>
      <c r="BH473" s="3">
        <f>+IF(AVANCE[[#This Row],[TABIQUES]]=O$2,100%,AVANCE[[#This Row],[TABIQUES]])</f>
        <v>0</v>
      </c>
      <c r="BI473" s="3">
        <f>+IF(AVANCE[[#This Row],[MUROS]]=P$2,100%,AVANCE[[#This Row],[MUROS]])</f>
        <v>0</v>
      </c>
      <c r="BJ473" s="3">
        <f>+IF(AVANCE[[#This Row],[CIELO]]=Q$2,100%,AVANCE[[#This Row],[CIELO]])</f>
        <v>0</v>
      </c>
      <c r="BK473" s="3">
        <f>+IF(AVANCE[[#This Row],[BALCÓN]]=R$2,100%,AVANCE[[#This Row],[BALCÓN]])</f>
        <v>0</v>
      </c>
      <c r="BL473" s="3">
        <f>+IF(AVANCE[[#This Row],[RED ALCANTARILLADO]]=U$2,100%,AVANCE[[#This Row],[RED ALCANTARILLADO]])</f>
        <v>0</v>
      </c>
      <c r="BM473" s="3">
        <f>+IF(AVANCE[[#This Row],[RED DE AGUA]]=V$2,100%,AVANCE[[#This Row],[RED DE AGUA]])</f>
        <v>0</v>
      </c>
      <c r="BN473" s="3">
        <f>+IF(AVANCE[[#This Row],[VENTILACIONES]]=W$2,100%,AVANCE[[#This Row],[VENTILACIONES]])</f>
        <v>0</v>
      </c>
      <c r="BO473" s="3">
        <f>+IF(AVANCE[[#This Row],[TINA]]=X$2,100%,AVANCE[[#This Row],[TINA]])</f>
        <v>0</v>
      </c>
      <c r="BP473" s="3">
        <f>+IF(AVANCE[[#This Row],[WC]]=Y$2,100%,AVANCE[[#This Row],[WC]])</f>
        <v>0</v>
      </c>
      <c r="BQ473" s="3">
        <f>+IF(AVANCE[[#This Row],[LAVAMANOS / LAVAPLATOS / LAVADERO]]=Z$2,100%,AVANCE[[#This Row],[LAVAMANOS / LAVAPLATOS / LAVADERO]])</f>
        <v>0</v>
      </c>
      <c r="BR473" s="3">
        <f>+IF(AVANCE[[#This Row],[CANALIZACIÓN]]=AC$2,100%,AVANCE[[#This Row],[CANALIZACIÓN]])</f>
        <v>0</v>
      </c>
      <c r="BS473" s="3">
        <f>+IF(AVANCE[[#This Row],[CABLEADO]]=AD$2,100%,AVANCE[[#This Row],[CABLEADO]])</f>
        <v>0</v>
      </c>
      <c r="BT473" s="3">
        <f>+IF(AVANCE[[#This Row],[ARTEFACTOS]]=AE$2,100%,AVANCE[[#This Row],[ARTEFACTOS]])</f>
        <v>0</v>
      </c>
      <c r="BU473" s="3">
        <f>+IF(AVANCE[[#This Row],[TABLERO]]=AF$2,100%,AVANCE[[#This Row],[TABLERO]])</f>
        <v>0</v>
      </c>
      <c r="BV473" s="3">
        <f>+IF(AVANCE[[#This Row],[CAJA PAU]]=AG$2,100%,AVANCE[[#This Row],[CAJA PAU]])</f>
        <v>0</v>
      </c>
      <c r="BW473" s="3">
        <f>+IF(AVANCE[[#This Row],[INSTALACION VINILICO]]=AJ$2,100%,AVANCE[[#This Row],[INSTALACION VINILICO]])</f>
        <v>0</v>
      </c>
      <c r="BX473" s="3">
        <f>+IF(AVANCE[[#This Row],[OSB CUBIERTA]]=AK$2,100%,AVANCE[[#This Row],[OSB CUBIERTA]])</f>
        <v>0</v>
      </c>
      <c r="BY473" s="3">
        <f>+IF(AVANCE[[#This Row],[BARANDA BALCON]]=AL$2,100%,AVANCE[[#This Row],[BARANDA BALCON]])</f>
        <v>0</v>
      </c>
      <c r="BZ473" s="3">
        <f>+IF(AVANCE[[#This Row],[OSB EXTERIOR]]=AM$2,100%,AVANCE[[#This Row],[OSB EXTERIOR]])</f>
        <v>0</v>
      </c>
      <c r="CA473" s="3">
        <f>+IF(AVANCE[[#This Row],[SMART PANEL]]=AN$2,100%,AVANCE[[#This Row],[SMART PANEL]])</f>
        <v>0</v>
      </c>
      <c r="CB473" s="3">
        <f>+IF(AVANCE[[#This Row],[PINTURA EXTERIOR]]=AO$2,100%,AVANCE[[#This Row],[PINTURA EXTERIOR]])</f>
        <v>0</v>
      </c>
      <c r="CC473" s="3">
        <f>+IF(AVANCE[[#This Row],[ZOCALOS LOGIA]]=AP$2,100%,AVANCE[[#This Row],[ZOCALOS LOGIA]])</f>
        <v>0</v>
      </c>
      <c r="CD473" s="3">
        <f>+IF(AVANCE[[#This Row],[MOLDURAS]]=AQ$2,100%,AVANCE[[#This Row],[MOLDURAS]])</f>
        <v>0</v>
      </c>
      <c r="CE473" s="3">
        <f>+IF(AVANCE[[#This Row],[PILASTREO]]=AR$2,100%,AVANCE[[#This Row],[PILASTREO]])</f>
        <v>0</v>
      </c>
      <c r="CF473" s="3">
        <f>+IF(AVANCE[[#This Row],[CELOSIAS]]=AS$2,100%,AVANCE[[#This Row],[CELOSIAS]])</f>
        <v>0</v>
      </c>
      <c r="CG473" s="3">
        <f>+IF(AVANCE[[#This Row],[VENTANAS]]=AT$2,100%,AVANCE[[#This Row],[VENTANAS]])</f>
        <v>0</v>
      </c>
      <c r="CH473" s="3">
        <f>+IF(AVANCE[[#This Row],[PUERTAS ACCESO - LOGIA - BANO]]=AU$2,100%,AVANCE[[#This Row],[PUERTAS ACCESO - LOGIA - BANO]])</f>
        <v>0</v>
      </c>
      <c r="CI473" s="3">
        <f>+IF(AVANCE[[#This Row],[CERRADURAS]]=AV$2,100%,AVANCE[[#This Row],[CERRADURAS]])</f>
        <v>0</v>
      </c>
      <c r="CJ473" s="3">
        <f>+IF(AVANCE[[#This Row],[REVESTIMIENTO INTERIOR ZONA SECA]]=AW$2,100%,AVANCE[[#This Row],[REVESTIMIENTO INTERIOR ZONA SECA]])</f>
        <v>0</v>
      </c>
      <c r="CK473" s="3">
        <f>+IF(AVANCE[[#This Row],[REVESTIMIENTO INTERIOR ZONAS HUMEDAS]]=AX$2,100%,AVANCE[[#This Row],[REVESTIMIENTO INTERIOR ZONAS HUMEDAS]])</f>
        <v>0</v>
      </c>
      <c r="CL473" s="3">
        <f>+IF(AVANCE[[#This Row],[MEMBRANA CIELO]]=AY$2,100%,AVANCE[[#This Row],[MEMBRANA CIELO]])</f>
        <v>0</v>
      </c>
      <c r="CM473" s="3">
        <f>+IF(AVANCE[[#This Row],[LIMPIEZA FINAL]]=AZ$2,100%,AVANCE[[#This Row],[LIMPIEZA FINAL]])</f>
        <v>0</v>
      </c>
      <c r="CN473" s="3">
        <f>+IF(AVANCE[[#This Row],[PUERTAS DORMITORIO]]=BA$2,100%,AVANCE[[#This Row],[PUERTAS DORMITORIO]])</f>
        <v>0</v>
      </c>
      <c r="CO473" s="3">
        <f>+IF(AVANCE[[#This Row],[REVESTIMIENTO INTERIOR BANO]]=BB$2,100%,AVANCE[[#This Row],[REVESTIMIENTO INTERIOR BANO]])</f>
        <v>0</v>
      </c>
      <c r="CP473" s="3">
        <f>+IF(AVANCE[[#This Row],[MUEBLE LAVAPLATOS]]=BC$2,100%,AVANCE[[#This Row],[MUEBLE LAVAPLATOS]])</f>
        <v>0</v>
      </c>
      <c r="CQ473" s="3">
        <f>+IF(AVANCE[[#This Row],[IMPERMEABILIZACION BANO - COCINA LOGIA]]=BD$2,100%,AVANCE[[#This Row],[IMPERMEABILIZACION BANO - COCINA LOGIA]])</f>
        <v>0</v>
      </c>
      <c r="CR473" s="40">
        <f ca="1">+IF(AVANCE[[#This Row],[ESTADO MODULO]]="PENDIENTE",(TODAY()-AVANCE[[#This Row],[FECHA TERMINO  PLANIFICADO]]),0)</f>
        <v>0</v>
      </c>
      <c r="CS473" s="42" t="str" cm="1">
        <f t="array" ref="CS473">_xlfn.TEXTJOIN(" | ",TRUE,IF(SUMPRODUCT((BF473:CQ473&lt;1)*(PARTIDAS!$I$2:$AT$2="OBRA GRUESA"))&gt;0,"OBRA GRUESA: "&amp;_xlfn.TEXTJOIN(", ",TRUE,IF((BF473:CQ473&lt;1)*(PARTIDAS!$I$2:$AT$2="OBRA GRUESA"),PARTIDAS!$I$1:$AT$1,"")),""),IF(SUMPRODUCT((BF473:CQ473&lt;1)*(PARTIDAS!$I$2:$AT$2="SANITARIOS"))&gt;0,"SANITARIOS: "&amp;_xlfn.TEXTJOIN(", ",TRUE,IF((BF473:CQ473&lt;1)*(PARTIDAS!$I$2:$AT$2="SANITARIOS"),PARTIDAS!$I$1:$AT$1,"")),""),IF(SUMPRODUCT((BF473:CQ473&lt;1)*(PARTIDAS!$I$2:$AT$2="ELÉCTRICO"))&gt;0,"ELÉCTRICO: "&amp;_xlfn.TEXTJOIN(", ",TRUE,IF((BF473:CQ473&lt;1)*(PARTIDAS!$I$2:$AT$2="ELÉCTRICO"),PARTIDAS!$I$1:$AT$1,"")),""),IF(SUMPRODUCT((BF473:CQ473&lt;1)*(PARTIDAS!$I$2:$AT$2="TERMINACIONES"))&gt;0,"TERMINACIONES: "&amp;_xlfn.TEXTJOIN(", ",TRUE,IF((BF473:CQ473&lt;1)*(PARTIDAS!$I$2:$AT$2="TERMINACIONES"),PARTIDAS!$I$1:$AT$1,"")),""))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3" s="45" t="str" cm="1">
        <f t="array" ref="CT473">_xlfn.TEXTJOIN(", ",TRUE,IF(SUMPRODUCT((BF473:CQ473&lt;1)*(PARTIDAS!$I$2:$AT$2="OBRA GRUESA"))&gt;0,"OBRA GRUESA",""),IF(SUMPRODUCT((BF473:CQ473&lt;1)*(PARTIDAS!$I$2:$AT$2="SANITARIOS"))&gt;0,"SANITARIOS",""),IF(SUMPRODUCT((BF473:CQ473&lt;1)*(PARTIDAS!$I$2:$AT$2="ELÉCTRICO"))&gt;0,"ELÉCTRICO",""),IF(SUMPRODUCT((BF473:CQ473&lt;1)*(PARTIDAS!$I$2:$AT$2="TERMINACIONES"))&gt;0,"TERMINACIONES",""))</f>
        <v>OBRA GRUESA, SANITARIOS, ELÉCTRICO, TERMINACIONES</v>
      </c>
      <c r="CU473" s="46" cm="1">
        <f t="array" ref="CU473">SUMPRODUCT(--(BF473:CQ473&lt;1))</f>
        <v>38</v>
      </c>
    </row>
    <row r="474" spans="1:99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46181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 s="3" t="str">
        <f>+IF(AVANCE[[#This Row],[% AVANCE]]=100%,"MODULO TERMINADO",IF(AVANCE[[#This Row],[FECHA INICIO REAL]]="","MODULO NO INICIADO","PENDIENTE"))</f>
        <v>MODULO NO INICIADO</v>
      </c>
      <c r="BF474" s="3">
        <f>+IF(AVANCE[[#This Row],[VENTANAS]]=8.10810810810811%,100%,AVANCE[[#This Row],[VENTANAS]])</f>
        <v>0</v>
      </c>
      <c r="BG474" s="3">
        <f>+IF(AVANCE[[#This Row],[PISO]]=N$2,100%,AVANCE[[#This Row],[PISO]])</f>
        <v>0</v>
      </c>
      <c r="BH474" s="3">
        <f>+IF(AVANCE[[#This Row],[TABIQUES]]=O$2,100%,AVANCE[[#This Row],[TABIQUES]])</f>
        <v>0</v>
      </c>
      <c r="BI474" s="3">
        <f>+IF(AVANCE[[#This Row],[MUROS]]=P$2,100%,AVANCE[[#This Row],[MUROS]])</f>
        <v>0</v>
      </c>
      <c r="BJ474" s="3">
        <f>+IF(AVANCE[[#This Row],[CIELO]]=Q$2,100%,AVANCE[[#This Row],[CIELO]])</f>
        <v>0</v>
      </c>
      <c r="BK474" s="3">
        <f>+IF(AVANCE[[#This Row],[BALCÓN]]=R$2,100%,AVANCE[[#This Row],[BALCÓN]])</f>
        <v>0</v>
      </c>
      <c r="BL474" s="3">
        <f>+IF(AVANCE[[#This Row],[RED ALCANTARILLADO]]=U$2,100%,AVANCE[[#This Row],[RED ALCANTARILLADO]])</f>
        <v>0</v>
      </c>
      <c r="BM474" s="3">
        <f>+IF(AVANCE[[#This Row],[RED DE AGUA]]=V$2,100%,AVANCE[[#This Row],[RED DE AGUA]])</f>
        <v>0</v>
      </c>
      <c r="BN474" s="3">
        <f>+IF(AVANCE[[#This Row],[VENTILACIONES]]=W$2,100%,AVANCE[[#This Row],[VENTILACIONES]])</f>
        <v>0</v>
      </c>
      <c r="BO474" s="3">
        <f>+IF(AVANCE[[#This Row],[TINA]]=X$2,100%,AVANCE[[#This Row],[TINA]])</f>
        <v>0</v>
      </c>
      <c r="BP474" s="3">
        <f>+IF(AVANCE[[#This Row],[WC]]=Y$2,100%,AVANCE[[#This Row],[WC]])</f>
        <v>0</v>
      </c>
      <c r="BQ474" s="3">
        <f>+IF(AVANCE[[#This Row],[LAVAMANOS / LAVAPLATOS / LAVADERO]]=Z$2,100%,AVANCE[[#This Row],[LAVAMANOS / LAVAPLATOS / LAVADERO]])</f>
        <v>0</v>
      </c>
      <c r="BR474" s="3">
        <f>+IF(AVANCE[[#This Row],[CANALIZACIÓN]]=AC$2,100%,AVANCE[[#This Row],[CANALIZACIÓN]])</f>
        <v>0</v>
      </c>
      <c r="BS474" s="3">
        <f>+IF(AVANCE[[#This Row],[CABLEADO]]=AD$2,100%,AVANCE[[#This Row],[CABLEADO]])</f>
        <v>0</v>
      </c>
      <c r="BT474" s="3">
        <f>+IF(AVANCE[[#This Row],[ARTEFACTOS]]=AE$2,100%,AVANCE[[#This Row],[ARTEFACTOS]])</f>
        <v>0</v>
      </c>
      <c r="BU474" s="3">
        <f>+IF(AVANCE[[#This Row],[TABLERO]]=AF$2,100%,AVANCE[[#This Row],[TABLERO]])</f>
        <v>0</v>
      </c>
      <c r="BV474" s="3">
        <f>+IF(AVANCE[[#This Row],[CAJA PAU]]=AG$2,100%,AVANCE[[#This Row],[CAJA PAU]])</f>
        <v>0</v>
      </c>
      <c r="BW474" s="3">
        <f>+IF(AVANCE[[#This Row],[INSTALACION VINILICO]]=AJ$2,100%,AVANCE[[#This Row],[INSTALACION VINILICO]])</f>
        <v>0</v>
      </c>
      <c r="BX474" s="3">
        <f>+IF(AVANCE[[#This Row],[OSB CUBIERTA]]=AK$2,100%,AVANCE[[#This Row],[OSB CUBIERTA]])</f>
        <v>0</v>
      </c>
      <c r="BY474" s="3">
        <f>+IF(AVANCE[[#This Row],[BARANDA BALCON]]=AL$2,100%,AVANCE[[#This Row],[BARANDA BALCON]])</f>
        <v>0</v>
      </c>
      <c r="BZ474" s="3">
        <f>+IF(AVANCE[[#This Row],[OSB EXTERIOR]]=AM$2,100%,AVANCE[[#This Row],[OSB EXTERIOR]])</f>
        <v>0</v>
      </c>
      <c r="CA474" s="3">
        <f>+IF(AVANCE[[#This Row],[SMART PANEL]]=AN$2,100%,AVANCE[[#This Row],[SMART PANEL]])</f>
        <v>0</v>
      </c>
      <c r="CB474" s="3">
        <f>+IF(AVANCE[[#This Row],[PINTURA EXTERIOR]]=AO$2,100%,AVANCE[[#This Row],[PINTURA EXTERIOR]])</f>
        <v>0</v>
      </c>
      <c r="CC474" s="3">
        <f>+IF(AVANCE[[#This Row],[ZOCALOS LOGIA]]=AP$2,100%,AVANCE[[#This Row],[ZOCALOS LOGIA]])</f>
        <v>0</v>
      </c>
      <c r="CD474" s="3">
        <f>+IF(AVANCE[[#This Row],[MOLDURAS]]=AQ$2,100%,AVANCE[[#This Row],[MOLDURAS]])</f>
        <v>0</v>
      </c>
      <c r="CE474" s="3">
        <f>+IF(AVANCE[[#This Row],[PILASTREO]]=AR$2,100%,AVANCE[[#This Row],[PILASTREO]])</f>
        <v>0</v>
      </c>
      <c r="CF474" s="3">
        <f>+IF(AVANCE[[#This Row],[CELOSIAS]]=AS$2,100%,AVANCE[[#This Row],[CELOSIAS]])</f>
        <v>0</v>
      </c>
      <c r="CG474" s="3">
        <f>+IF(AVANCE[[#This Row],[VENTANAS]]=AT$2,100%,AVANCE[[#This Row],[VENTANAS]])</f>
        <v>0</v>
      </c>
      <c r="CH474" s="3">
        <f>+IF(AVANCE[[#This Row],[PUERTAS ACCESO - LOGIA - BANO]]=AU$2,100%,AVANCE[[#This Row],[PUERTAS ACCESO - LOGIA - BANO]])</f>
        <v>0</v>
      </c>
      <c r="CI474" s="3">
        <f>+IF(AVANCE[[#This Row],[CERRADURAS]]=AV$2,100%,AVANCE[[#This Row],[CERRADURAS]])</f>
        <v>0</v>
      </c>
      <c r="CJ474" s="3">
        <f>+IF(AVANCE[[#This Row],[REVESTIMIENTO INTERIOR ZONA SECA]]=AW$2,100%,AVANCE[[#This Row],[REVESTIMIENTO INTERIOR ZONA SECA]])</f>
        <v>0</v>
      </c>
      <c r="CK474" s="3">
        <f>+IF(AVANCE[[#This Row],[REVESTIMIENTO INTERIOR ZONAS HUMEDAS]]=AX$2,100%,AVANCE[[#This Row],[REVESTIMIENTO INTERIOR ZONAS HUMEDAS]])</f>
        <v>0</v>
      </c>
      <c r="CL474" s="3">
        <f>+IF(AVANCE[[#This Row],[MEMBRANA CIELO]]=AY$2,100%,AVANCE[[#This Row],[MEMBRANA CIELO]])</f>
        <v>0</v>
      </c>
      <c r="CM474" s="3">
        <f>+IF(AVANCE[[#This Row],[LIMPIEZA FINAL]]=AZ$2,100%,AVANCE[[#This Row],[LIMPIEZA FINAL]])</f>
        <v>0</v>
      </c>
      <c r="CN474" s="3">
        <f>+IF(AVANCE[[#This Row],[PUERTAS DORMITORIO]]=BA$2,100%,AVANCE[[#This Row],[PUERTAS DORMITORIO]])</f>
        <v>0</v>
      </c>
      <c r="CO474" s="3">
        <f>+IF(AVANCE[[#This Row],[REVESTIMIENTO INTERIOR BANO]]=BB$2,100%,AVANCE[[#This Row],[REVESTIMIENTO INTERIOR BANO]])</f>
        <v>0</v>
      </c>
      <c r="CP474" s="3">
        <f>+IF(AVANCE[[#This Row],[MUEBLE LAVAPLATOS]]=BC$2,100%,AVANCE[[#This Row],[MUEBLE LAVAPLATOS]])</f>
        <v>0</v>
      </c>
      <c r="CQ474" s="3">
        <f>+IF(AVANCE[[#This Row],[IMPERMEABILIZACION BANO - COCINA LOGIA]]=BD$2,100%,AVANCE[[#This Row],[IMPERMEABILIZACION BANO - COCINA LOGIA]])</f>
        <v>0</v>
      </c>
      <c r="CR474" s="40">
        <f ca="1">+IF(AVANCE[[#This Row],[ESTADO MODULO]]="PENDIENTE",(TODAY()-AVANCE[[#This Row],[FECHA TERMINO  PLANIFICADO]]),0)</f>
        <v>0</v>
      </c>
      <c r="CS474" s="42" t="str" cm="1">
        <f t="array" ref="CS474">_xlfn.TEXTJOIN(" | ",TRUE,IF(SUMPRODUCT((BF474:CQ474&lt;1)*(PARTIDAS!$I$2:$AT$2="OBRA GRUESA"))&gt;0,"OBRA GRUESA: "&amp;_xlfn.TEXTJOIN(", ",TRUE,IF((BF474:CQ474&lt;1)*(PARTIDAS!$I$2:$AT$2="OBRA GRUESA"),PARTIDAS!$I$1:$AT$1,"")),""),IF(SUMPRODUCT((BF474:CQ474&lt;1)*(PARTIDAS!$I$2:$AT$2="SANITARIOS"))&gt;0,"SANITARIOS: "&amp;_xlfn.TEXTJOIN(", ",TRUE,IF((BF474:CQ474&lt;1)*(PARTIDAS!$I$2:$AT$2="SANITARIOS"),PARTIDAS!$I$1:$AT$1,"")),""),IF(SUMPRODUCT((BF474:CQ474&lt;1)*(PARTIDAS!$I$2:$AT$2="ELÉCTRICO"))&gt;0,"ELÉCTRICO: "&amp;_xlfn.TEXTJOIN(", ",TRUE,IF((BF474:CQ474&lt;1)*(PARTIDAS!$I$2:$AT$2="ELÉCTRICO"),PARTIDAS!$I$1:$AT$1,"")),""),IF(SUMPRODUCT((BF474:CQ474&lt;1)*(PARTIDAS!$I$2:$AT$2="TERMINACIONES"))&gt;0,"TERMINACIONES: "&amp;_xlfn.TEXTJOIN(", ",TRUE,IF((BF474:CQ474&lt;1)*(PARTIDAS!$I$2:$AT$2="TERMINACIONES"),PARTIDAS!$I$1:$AT$1,"")),""))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4" s="45" t="str" cm="1">
        <f t="array" ref="CT474">_xlfn.TEXTJOIN(", ",TRUE,IF(SUMPRODUCT((BF474:CQ474&lt;1)*(PARTIDAS!$I$2:$AT$2="OBRA GRUESA"))&gt;0,"OBRA GRUESA",""),IF(SUMPRODUCT((BF474:CQ474&lt;1)*(PARTIDAS!$I$2:$AT$2="SANITARIOS"))&gt;0,"SANITARIOS",""),IF(SUMPRODUCT((BF474:CQ474&lt;1)*(PARTIDAS!$I$2:$AT$2="ELÉCTRICO"))&gt;0,"ELÉCTRICO",""),IF(SUMPRODUCT((BF474:CQ474&lt;1)*(PARTIDAS!$I$2:$AT$2="TERMINACIONES"))&gt;0,"TERMINACIONES",""))</f>
        <v>OBRA GRUESA, SANITARIOS, ELÉCTRICO, TERMINACIONES</v>
      </c>
      <c r="CU474" s="46" cm="1">
        <f t="array" ref="CU474">SUMPRODUCT(--(BF474:CQ474&lt;1))</f>
        <v>38</v>
      </c>
    </row>
    <row r="475" spans="1:99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46181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 s="3" t="str">
        <f>+IF(AVANCE[[#This Row],[% AVANCE]]=100%,"MODULO TERMINADO",IF(AVANCE[[#This Row],[FECHA INICIO REAL]]="","MODULO NO INICIADO","PENDIENTE"))</f>
        <v>MODULO NO INICIADO</v>
      </c>
      <c r="BF475" s="3">
        <f>+IF(AVANCE[[#This Row],[VENTANAS]]=8.10810810810811%,100%,AVANCE[[#This Row],[VENTANAS]])</f>
        <v>0</v>
      </c>
      <c r="BG475" s="3">
        <f>+IF(AVANCE[[#This Row],[PISO]]=N$2,100%,AVANCE[[#This Row],[PISO]])</f>
        <v>0</v>
      </c>
      <c r="BH475" s="3">
        <f>+IF(AVANCE[[#This Row],[TABIQUES]]=O$2,100%,AVANCE[[#This Row],[TABIQUES]])</f>
        <v>0</v>
      </c>
      <c r="BI475" s="3">
        <f>+IF(AVANCE[[#This Row],[MUROS]]=P$2,100%,AVANCE[[#This Row],[MUROS]])</f>
        <v>0</v>
      </c>
      <c r="BJ475" s="3">
        <f>+IF(AVANCE[[#This Row],[CIELO]]=Q$2,100%,AVANCE[[#This Row],[CIELO]])</f>
        <v>0</v>
      </c>
      <c r="BK475" s="3">
        <f>+IF(AVANCE[[#This Row],[BALCÓN]]=R$2,100%,AVANCE[[#This Row],[BALCÓN]])</f>
        <v>0</v>
      </c>
      <c r="BL475" s="3">
        <f>+IF(AVANCE[[#This Row],[RED ALCANTARILLADO]]=U$2,100%,AVANCE[[#This Row],[RED ALCANTARILLADO]])</f>
        <v>0</v>
      </c>
      <c r="BM475" s="3">
        <f>+IF(AVANCE[[#This Row],[RED DE AGUA]]=V$2,100%,AVANCE[[#This Row],[RED DE AGUA]])</f>
        <v>0</v>
      </c>
      <c r="BN475" s="3">
        <f>+IF(AVANCE[[#This Row],[VENTILACIONES]]=W$2,100%,AVANCE[[#This Row],[VENTILACIONES]])</f>
        <v>0</v>
      </c>
      <c r="BO475" s="3">
        <f>+IF(AVANCE[[#This Row],[TINA]]=X$2,100%,AVANCE[[#This Row],[TINA]])</f>
        <v>0</v>
      </c>
      <c r="BP475" s="3">
        <f>+IF(AVANCE[[#This Row],[WC]]=Y$2,100%,AVANCE[[#This Row],[WC]])</f>
        <v>0</v>
      </c>
      <c r="BQ475" s="3">
        <f>+IF(AVANCE[[#This Row],[LAVAMANOS / LAVAPLATOS / LAVADERO]]=Z$2,100%,AVANCE[[#This Row],[LAVAMANOS / LAVAPLATOS / LAVADERO]])</f>
        <v>0</v>
      </c>
      <c r="BR475" s="3">
        <f>+IF(AVANCE[[#This Row],[CANALIZACIÓN]]=AC$2,100%,AVANCE[[#This Row],[CANALIZACIÓN]])</f>
        <v>0</v>
      </c>
      <c r="BS475" s="3">
        <f>+IF(AVANCE[[#This Row],[CABLEADO]]=AD$2,100%,AVANCE[[#This Row],[CABLEADO]])</f>
        <v>0</v>
      </c>
      <c r="BT475" s="3">
        <f>+IF(AVANCE[[#This Row],[ARTEFACTOS]]=AE$2,100%,AVANCE[[#This Row],[ARTEFACTOS]])</f>
        <v>0</v>
      </c>
      <c r="BU475" s="3">
        <f>+IF(AVANCE[[#This Row],[TABLERO]]=AF$2,100%,AVANCE[[#This Row],[TABLERO]])</f>
        <v>0</v>
      </c>
      <c r="BV475" s="3">
        <f>+IF(AVANCE[[#This Row],[CAJA PAU]]=AG$2,100%,AVANCE[[#This Row],[CAJA PAU]])</f>
        <v>0</v>
      </c>
      <c r="BW475" s="3">
        <f>+IF(AVANCE[[#This Row],[INSTALACION VINILICO]]=AJ$2,100%,AVANCE[[#This Row],[INSTALACION VINILICO]])</f>
        <v>0</v>
      </c>
      <c r="BX475" s="3">
        <f>+IF(AVANCE[[#This Row],[OSB CUBIERTA]]=AK$2,100%,AVANCE[[#This Row],[OSB CUBIERTA]])</f>
        <v>0</v>
      </c>
      <c r="BY475" s="3">
        <f>+IF(AVANCE[[#This Row],[BARANDA BALCON]]=AL$2,100%,AVANCE[[#This Row],[BARANDA BALCON]])</f>
        <v>0</v>
      </c>
      <c r="BZ475" s="3">
        <f>+IF(AVANCE[[#This Row],[OSB EXTERIOR]]=AM$2,100%,AVANCE[[#This Row],[OSB EXTERIOR]])</f>
        <v>0</v>
      </c>
      <c r="CA475" s="3">
        <f>+IF(AVANCE[[#This Row],[SMART PANEL]]=AN$2,100%,AVANCE[[#This Row],[SMART PANEL]])</f>
        <v>0</v>
      </c>
      <c r="CB475" s="3">
        <f>+IF(AVANCE[[#This Row],[PINTURA EXTERIOR]]=AO$2,100%,AVANCE[[#This Row],[PINTURA EXTERIOR]])</f>
        <v>0</v>
      </c>
      <c r="CC475" s="3">
        <f>+IF(AVANCE[[#This Row],[ZOCALOS LOGIA]]=AP$2,100%,AVANCE[[#This Row],[ZOCALOS LOGIA]])</f>
        <v>0</v>
      </c>
      <c r="CD475" s="3">
        <f>+IF(AVANCE[[#This Row],[MOLDURAS]]=AQ$2,100%,AVANCE[[#This Row],[MOLDURAS]])</f>
        <v>0</v>
      </c>
      <c r="CE475" s="3">
        <f>+IF(AVANCE[[#This Row],[PILASTREO]]=AR$2,100%,AVANCE[[#This Row],[PILASTREO]])</f>
        <v>0</v>
      </c>
      <c r="CF475" s="3">
        <f>+IF(AVANCE[[#This Row],[CELOSIAS]]=AS$2,100%,AVANCE[[#This Row],[CELOSIAS]])</f>
        <v>0</v>
      </c>
      <c r="CG475" s="3">
        <f>+IF(AVANCE[[#This Row],[VENTANAS]]=AT$2,100%,AVANCE[[#This Row],[VENTANAS]])</f>
        <v>0</v>
      </c>
      <c r="CH475" s="3">
        <f>+IF(AVANCE[[#This Row],[PUERTAS ACCESO - LOGIA - BANO]]=AU$2,100%,AVANCE[[#This Row],[PUERTAS ACCESO - LOGIA - BANO]])</f>
        <v>0</v>
      </c>
      <c r="CI475" s="3">
        <f>+IF(AVANCE[[#This Row],[CERRADURAS]]=AV$2,100%,AVANCE[[#This Row],[CERRADURAS]])</f>
        <v>0</v>
      </c>
      <c r="CJ475" s="3">
        <f>+IF(AVANCE[[#This Row],[REVESTIMIENTO INTERIOR ZONA SECA]]=AW$2,100%,AVANCE[[#This Row],[REVESTIMIENTO INTERIOR ZONA SECA]])</f>
        <v>0</v>
      </c>
      <c r="CK475" s="3">
        <f>+IF(AVANCE[[#This Row],[REVESTIMIENTO INTERIOR ZONAS HUMEDAS]]=AX$2,100%,AVANCE[[#This Row],[REVESTIMIENTO INTERIOR ZONAS HUMEDAS]])</f>
        <v>0</v>
      </c>
      <c r="CL475" s="3">
        <f>+IF(AVANCE[[#This Row],[MEMBRANA CIELO]]=AY$2,100%,AVANCE[[#This Row],[MEMBRANA CIELO]])</f>
        <v>0</v>
      </c>
      <c r="CM475" s="3">
        <f>+IF(AVANCE[[#This Row],[LIMPIEZA FINAL]]=AZ$2,100%,AVANCE[[#This Row],[LIMPIEZA FINAL]])</f>
        <v>0</v>
      </c>
      <c r="CN475" s="3">
        <f>+IF(AVANCE[[#This Row],[PUERTAS DORMITORIO]]=BA$2,100%,AVANCE[[#This Row],[PUERTAS DORMITORIO]])</f>
        <v>0</v>
      </c>
      <c r="CO475" s="3">
        <f>+IF(AVANCE[[#This Row],[REVESTIMIENTO INTERIOR BANO]]=BB$2,100%,AVANCE[[#This Row],[REVESTIMIENTO INTERIOR BANO]])</f>
        <v>0</v>
      </c>
      <c r="CP475" s="3">
        <f>+IF(AVANCE[[#This Row],[MUEBLE LAVAPLATOS]]=BC$2,100%,AVANCE[[#This Row],[MUEBLE LAVAPLATOS]])</f>
        <v>0</v>
      </c>
      <c r="CQ475" s="3">
        <f>+IF(AVANCE[[#This Row],[IMPERMEABILIZACION BANO - COCINA LOGIA]]=BD$2,100%,AVANCE[[#This Row],[IMPERMEABILIZACION BANO - COCINA LOGIA]])</f>
        <v>0</v>
      </c>
      <c r="CR475" s="40">
        <f ca="1">+IF(AVANCE[[#This Row],[ESTADO MODULO]]="PENDIENTE",(TODAY()-AVANCE[[#This Row],[FECHA TERMINO  PLANIFICADO]]),0)</f>
        <v>0</v>
      </c>
      <c r="CS475" s="42" t="str" cm="1">
        <f t="array" ref="CS475">_xlfn.TEXTJOIN(" | ",TRUE,IF(SUMPRODUCT((BF475:CQ475&lt;1)*(PARTIDAS!$I$2:$AT$2="OBRA GRUESA"))&gt;0,"OBRA GRUESA: "&amp;_xlfn.TEXTJOIN(", ",TRUE,IF((BF475:CQ475&lt;1)*(PARTIDAS!$I$2:$AT$2="OBRA GRUESA"),PARTIDAS!$I$1:$AT$1,"")),""),IF(SUMPRODUCT((BF475:CQ475&lt;1)*(PARTIDAS!$I$2:$AT$2="SANITARIOS"))&gt;0,"SANITARIOS: "&amp;_xlfn.TEXTJOIN(", ",TRUE,IF((BF475:CQ475&lt;1)*(PARTIDAS!$I$2:$AT$2="SANITARIOS"),PARTIDAS!$I$1:$AT$1,"")),""),IF(SUMPRODUCT((BF475:CQ475&lt;1)*(PARTIDAS!$I$2:$AT$2="ELÉCTRICO"))&gt;0,"ELÉCTRICO: "&amp;_xlfn.TEXTJOIN(", ",TRUE,IF((BF475:CQ475&lt;1)*(PARTIDAS!$I$2:$AT$2="ELÉCTRICO"),PARTIDAS!$I$1:$AT$1,"")),""),IF(SUMPRODUCT((BF475:CQ475&lt;1)*(PARTIDAS!$I$2:$AT$2="TERMINACIONES"))&gt;0,"TERMINACIONES: "&amp;_xlfn.TEXTJOIN(", ",TRUE,IF((BF475:CQ475&lt;1)*(PARTIDAS!$I$2:$AT$2="TERMINACIONES"),PARTIDAS!$I$1:$AT$1,"")),""))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5" s="45" t="str" cm="1">
        <f t="array" ref="CT475">_xlfn.TEXTJOIN(", ",TRUE,IF(SUMPRODUCT((BF475:CQ475&lt;1)*(PARTIDAS!$I$2:$AT$2="OBRA GRUESA"))&gt;0,"OBRA GRUESA",""),IF(SUMPRODUCT((BF475:CQ475&lt;1)*(PARTIDAS!$I$2:$AT$2="SANITARIOS"))&gt;0,"SANITARIOS",""),IF(SUMPRODUCT((BF475:CQ475&lt;1)*(PARTIDAS!$I$2:$AT$2="ELÉCTRICO"))&gt;0,"ELÉCTRICO",""),IF(SUMPRODUCT((BF475:CQ475&lt;1)*(PARTIDAS!$I$2:$AT$2="TERMINACIONES"))&gt;0,"TERMINACIONES",""))</f>
        <v>OBRA GRUESA, SANITARIOS, ELÉCTRICO, TERMINACIONES</v>
      </c>
      <c r="CU475" s="46" cm="1">
        <f t="array" ref="CU475">SUMPRODUCT(--(BF475:CQ475&lt;1))</f>
        <v>38</v>
      </c>
    </row>
    <row r="476" spans="1:99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46181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 s="3" t="str">
        <f>+IF(AVANCE[[#This Row],[% AVANCE]]=100%,"MODULO TERMINADO",IF(AVANCE[[#This Row],[FECHA INICIO REAL]]="","MODULO NO INICIADO","PENDIENTE"))</f>
        <v>MODULO NO INICIADO</v>
      </c>
      <c r="BF476" s="3">
        <f>+IF(AVANCE[[#This Row],[VENTANAS]]=8.10810810810811%,100%,AVANCE[[#This Row],[VENTANAS]])</f>
        <v>0</v>
      </c>
      <c r="BG476" s="3">
        <f>+IF(AVANCE[[#This Row],[PISO]]=N$2,100%,AVANCE[[#This Row],[PISO]])</f>
        <v>0</v>
      </c>
      <c r="BH476" s="3">
        <f>+IF(AVANCE[[#This Row],[TABIQUES]]=O$2,100%,AVANCE[[#This Row],[TABIQUES]])</f>
        <v>0</v>
      </c>
      <c r="BI476" s="3">
        <f>+IF(AVANCE[[#This Row],[MUROS]]=P$2,100%,AVANCE[[#This Row],[MUROS]])</f>
        <v>0</v>
      </c>
      <c r="BJ476" s="3">
        <f>+IF(AVANCE[[#This Row],[CIELO]]=Q$2,100%,AVANCE[[#This Row],[CIELO]])</f>
        <v>0</v>
      </c>
      <c r="BK476" s="3">
        <f>+IF(AVANCE[[#This Row],[BALCÓN]]=R$2,100%,AVANCE[[#This Row],[BALCÓN]])</f>
        <v>0</v>
      </c>
      <c r="BL476" s="3">
        <f>+IF(AVANCE[[#This Row],[RED ALCANTARILLADO]]=U$2,100%,AVANCE[[#This Row],[RED ALCANTARILLADO]])</f>
        <v>0</v>
      </c>
      <c r="BM476" s="3">
        <f>+IF(AVANCE[[#This Row],[RED DE AGUA]]=V$2,100%,AVANCE[[#This Row],[RED DE AGUA]])</f>
        <v>0</v>
      </c>
      <c r="BN476" s="3">
        <f>+IF(AVANCE[[#This Row],[VENTILACIONES]]=W$2,100%,AVANCE[[#This Row],[VENTILACIONES]])</f>
        <v>0</v>
      </c>
      <c r="BO476" s="3">
        <f>+IF(AVANCE[[#This Row],[TINA]]=X$2,100%,AVANCE[[#This Row],[TINA]])</f>
        <v>0</v>
      </c>
      <c r="BP476" s="3">
        <f>+IF(AVANCE[[#This Row],[WC]]=Y$2,100%,AVANCE[[#This Row],[WC]])</f>
        <v>0</v>
      </c>
      <c r="BQ476" s="3">
        <f>+IF(AVANCE[[#This Row],[LAVAMANOS / LAVAPLATOS / LAVADERO]]=Z$2,100%,AVANCE[[#This Row],[LAVAMANOS / LAVAPLATOS / LAVADERO]])</f>
        <v>0</v>
      </c>
      <c r="BR476" s="3">
        <f>+IF(AVANCE[[#This Row],[CANALIZACIÓN]]=AC$2,100%,AVANCE[[#This Row],[CANALIZACIÓN]])</f>
        <v>0</v>
      </c>
      <c r="BS476" s="3">
        <f>+IF(AVANCE[[#This Row],[CABLEADO]]=AD$2,100%,AVANCE[[#This Row],[CABLEADO]])</f>
        <v>0</v>
      </c>
      <c r="BT476" s="3">
        <f>+IF(AVANCE[[#This Row],[ARTEFACTOS]]=AE$2,100%,AVANCE[[#This Row],[ARTEFACTOS]])</f>
        <v>0</v>
      </c>
      <c r="BU476" s="3">
        <f>+IF(AVANCE[[#This Row],[TABLERO]]=AF$2,100%,AVANCE[[#This Row],[TABLERO]])</f>
        <v>0</v>
      </c>
      <c r="BV476" s="3">
        <f>+IF(AVANCE[[#This Row],[CAJA PAU]]=AG$2,100%,AVANCE[[#This Row],[CAJA PAU]])</f>
        <v>0</v>
      </c>
      <c r="BW476" s="3">
        <f>+IF(AVANCE[[#This Row],[INSTALACION VINILICO]]=AJ$2,100%,AVANCE[[#This Row],[INSTALACION VINILICO]])</f>
        <v>0</v>
      </c>
      <c r="BX476" s="3">
        <f>+IF(AVANCE[[#This Row],[OSB CUBIERTA]]=AK$2,100%,AVANCE[[#This Row],[OSB CUBIERTA]])</f>
        <v>0</v>
      </c>
      <c r="BY476" s="3">
        <f>+IF(AVANCE[[#This Row],[BARANDA BALCON]]=AL$2,100%,AVANCE[[#This Row],[BARANDA BALCON]])</f>
        <v>0</v>
      </c>
      <c r="BZ476" s="3">
        <f>+IF(AVANCE[[#This Row],[OSB EXTERIOR]]=AM$2,100%,AVANCE[[#This Row],[OSB EXTERIOR]])</f>
        <v>0</v>
      </c>
      <c r="CA476" s="3">
        <f>+IF(AVANCE[[#This Row],[SMART PANEL]]=AN$2,100%,AVANCE[[#This Row],[SMART PANEL]])</f>
        <v>0</v>
      </c>
      <c r="CB476" s="3">
        <f>+IF(AVANCE[[#This Row],[PINTURA EXTERIOR]]=AO$2,100%,AVANCE[[#This Row],[PINTURA EXTERIOR]])</f>
        <v>0</v>
      </c>
      <c r="CC476" s="3">
        <f>+IF(AVANCE[[#This Row],[ZOCALOS LOGIA]]=AP$2,100%,AVANCE[[#This Row],[ZOCALOS LOGIA]])</f>
        <v>0</v>
      </c>
      <c r="CD476" s="3">
        <f>+IF(AVANCE[[#This Row],[MOLDURAS]]=AQ$2,100%,AVANCE[[#This Row],[MOLDURAS]])</f>
        <v>0</v>
      </c>
      <c r="CE476" s="3">
        <f>+IF(AVANCE[[#This Row],[PILASTREO]]=AR$2,100%,AVANCE[[#This Row],[PILASTREO]])</f>
        <v>0</v>
      </c>
      <c r="CF476" s="3">
        <f>+IF(AVANCE[[#This Row],[CELOSIAS]]=AS$2,100%,AVANCE[[#This Row],[CELOSIAS]])</f>
        <v>0</v>
      </c>
      <c r="CG476" s="3">
        <f>+IF(AVANCE[[#This Row],[VENTANAS]]=AT$2,100%,AVANCE[[#This Row],[VENTANAS]])</f>
        <v>0</v>
      </c>
      <c r="CH476" s="3">
        <f>+IF(AVANCE[[#This Row],[PUERTAS ACCESO - LOGIA - BANO]]=AU$2,100%,AVANCE[[#This Row],[PUERTAS ACCESO - LOGIA - BANO]])</f>
        <v>0</v>
      </c>
      <c r="CI476" s="3">
        <f>+IF(AVANCE[[#This Row],[CERRADURAS]]=AV$2,100%,AVANCE[[#This Row],[CERRADURAS]])</f>
        <v>0</v>
      </c>
      <c r="CJ476" s="3">
        <f>+IF(AVANCE[[#This Row],[REVESTIMIENTO INTERIOR ZONA SECA]]=AW$2,100%,AVANCE[[#This Row],[REVESTIMIENTO INTERIOR ZONA SECA]])</f>
        <v>0</v>
      </c>
      <c r="CK476" s="3">
        <f>+IF(AVANCE[[#This Row],[REVESTIMIENTO INTERIOR ZONAS HUMEDAS]]=AX$2,100%,AVANCE[[#This Row],[REVESTIMIENTO INTERIOR ZONAS HUMEDAS]])</f>
        <v>0</v>
      </c>
      <c r="CL476" s="3">
        <f>+IF(AVANCE[[#This Row],[MEMBRANA CIELO]]=AY$2,100%,AVANCE[[#This Row],[MEMBRANA CIELO]])</f>
        <v>0</v>
      </c>
      <c r="CM476" s="3">
        <f>+IF(AVANCE[[#This Row],[LIMPIEZA FINAL]]=AZ$2,100%,AVANCE[[#This Row],[LIMPIEZA FINAL]])</f>
        <v>0</v>
      </c>
      <c r="CN476" s="3">
        <f>+IF(AVANCE[[#This Row],[PUERTAS DORMITORIO]]=BA$2,100%,AVANCE[[#This Row],[PUERTAS DORMITORIO]])</f>
        <v>0</v>
      </c>
      <c r="CO476" s="3">
        <f>+IF(AVANCE[[#This Row],[REVESTIMIENTO INTERIOR BANO]]=BB$2,100%,AVANCE[[#This Row],[REVESTIMIENTO INTERIOR BANO]])</f>
        <v>0</v>
      </c>
      <c r="CP476" s="3">
        <f>+IF(AVANCE[[#This Row],[MUEBLE LAVAPLATOS]]=BC$2,100%,AVANCE[[#This Row],[MUEBLE LAVAPLATOS]])</f>
        <v>0</v>
      </c>
      <c r="CQ476" s="3">
        <f>+IF(AVANCE[[#This Row],[IMPERMEABILIZACION BANO - COCINA LOGIA]]=BD$2,100%,AVANCE[[#This Row],[IMPERMEABILIZACION BANO - COCINA LOGIA]])</f>
        <v>0</v>
      </c>
      <c r="CR476" s="40">
        <f ca="1">+IF(AVANCE[[#This Row],[ESTADO MODULO]]="PENDIENTE",(TODAY()-AVANCE[[#This Row],[FECHA TERMINO  PLANIFICADO]]),0)</f>
        <v>0</v>
      </c>
      <c r="CS476" s="42" t="str" cm="1">
        <f t="array" ref="CS476">_xlfn.TEXTJOIN(" | ",TRUE,IF(SUMPRODUCT((BF476:CQ476&lt;1)*(PARTIDAS!$I$2:$AT$2="OBRA GRUESA"))&gt;0,"OBRA GRUESA: "&amp;_xlfn.TEXTJOIN(", ",TRUE,IF((BF476:CQ476&lt;1)*(PARTIDAS!$I$2:$AT$2="OBRA GRUESA"),PARTIDAS!$I$1:$AT$1,"")),""),IF(SUMPRODUCT((BF476:CQ476&lt;1)*(PARTIDAS!$I$2:$AT$2="SANITARIOS"))&gt;0,"SANITARIOS: "&amp;_xlfn.TEXTJOIN(", ",TRUE,IF((BF476:CQ476&lt;1)*(PARTIDAS!$I$2:$AT$2="SANITARIOS"),PARTIDAS!$I$1:$AT$1,"")),""),IF(SUMPRODUCT((BF476:CQ476&lt;1)*(PARTIDAS!$I$2:$AT$2="ELÉCTRICO"))&gt;0,"ELÉCTRICO: "&amp;_xlfn.TEXTJOIN(", ",TRUE,IF((BF476:CQ476&lt;1)*(PARTIDAS!$I$2:$AT$2="ELÉCTRICO"),PARTIDAS!$I$1:$AT$1,"")),""),IF(SUMPRODUCT((BF476:CQ476&lt;1)*(PARTIDAS!$I$2:$AT$2="TERMINACIONES"))&gt;0,"TERMINACIONES: "&amp;_xlfn.TEXTJOIN(", ",TRUE,IF((BF476:CQ476&lt;1)*(PARTIDAS!$I$2:$AT$2="TERMINACIONES"),PARTIDAS!$I$1:$AT$1,"")),""))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6" s="45" t="str" cm="1">
        <f t="array" ref="CT476">_xlfn.TEXTJOIN(", ",TRUE,IF(SUMPRODUCT((BF476:CQ476&lt;1)*(PARTIDAS!$I$2:$AT$2="OBRA GRUESA"))&gt;0,"OBRA GRUESA",""),IF(SUMPRODUCT((BF476:CQ476&lt;1)*(PARTIDAS!$I$2:$AT$2="SANITARIOS"))&gt;0,"SANITARIOS",""),IF(SUMPRODUCT((BF476:CQ476&lt;1)*(PARTIDAS!$I$2:$AT$2="ELÉCTRICO"))&gt;0,"ELÉCTRICO",""),IF(SUMPRODUCT((BF476:CQ476&lt;1)*(PARTIDAS!$I$2:$AT$2="TERMINACIONES"))&gt;0,"TERMINACIONES",""))</f>
        <v>OBRA GRUESA, SANITARIOS, ELÉCTRICO, TERMINACIONES</v>
      </c>
      <c r="CU476" s="46" cm="1">
        <f t="array" ref="CU476">SUMPRODUCT(--(BF476:CQ476&lt;1))</f>
        <v>38</v>
      </c>
    </row>
    <row r="477" spans="1:99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46181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 s="3" t="str">
        <f>+IF(AVANCE[[#This Row],[% AVANCE]]=100%,"MODULO TERMINADO",IF(AVANCE[[#This Row],[FECHA INICIO REAL]]="","MODULO NO INICIADO","PENDIENTE"))</f>
        <v>MODULO NO INICIADO</v>
      </c>
      <c r="BF477" s="3">
        <f>+IF(AVANCE[[#This Row],[VENTANAS]]=8.10810810810811%,100%,AVANCE[[#This Row],[VENTANAS]])</f>
        <v>0</v>
      </c>
      <c r="BG477" s="3">
        <f>+IF(AVANCE[[#This Row],[PISO]]=N$2,100%,AVANCE[[#This Row],[PISO]])</f>
        <v>0</v>
      </c>
      <c r="BH477" s="3">
        <f>+IF(AVANCE[[#This Row],[TABIQUES]]=O$2,100%,AVANCE[[#This Row],[TABIQUES]])</f>
        <v>0</v>
      </c>
      <c r="BI477" s="3">
        <f>+IF(AVANCE[[#This Row],[MUROS]]=P$2,100%,AVANCE[[#This Row],[MUROS]])</f>
        <v>0</v>
      </c>
      <c r="BJ477" s="3">
        <f>+IF(AVANCE[[#This Row],[CIELO]]=Q$2,100%,AVANCE[[#This Row],[CIELO]])</f>
        <v>0</v>
      </c>
      <c r="BK477" s="3">
        <f>+IF(AVANCE[[#This Row],[BALCÓN]]=R$2,100%,AVANCE[[#This Row],[BALCÓN]])</f>
        <v>0</v>
      </c>
      <c r="BL477" s="3">
        <f>+IF(AVANCE[[#This Row],[RED ALCANTARILLADO]]=U$2,100%,AVANCE[[#This Row],[RED ALCANTARILLADO]])</f>
        <v>0</v>
      </c>
      <c r="BM477" s="3">
        <f>+IF(AVANCE[[#This Row],[RED DE AGUA]]=V$2,100%,AVANCE[[#This Row],[RED DE AGUA]])</f>
        <v>0</v>
      </c>
      <c r="BN477" s="3">
        <f>+IF(AVANCE[[#This Row],[VENTILACIONES]]=W$2,100%,AVANCE[[#This Row],[VENTILACIONES]])</f>
        <v>0</v>
      </c>
      <c r="BO477" s="3">
        <f>+IF(AVANCE[[#This Row],[TINA]]=X$2,100%,AVANCE[[#This Row],[TINA]])</f>
        <v>0</v>
      </c>
      <c r="BP477" s="3">
        <f>+IF(AVANCE[[#This Row],[WC]]=Y$2,100%,AVANCE[[#This Row],[WC]])</f>
        <v>0</v>
      </c>
      <c r="BQ477" s="3">
        <f>+IF(AVANCE[[#This Row],[LAVAMANOS / LAVAPLATOS / LAVADERO]]=Z$2,100%,AVANCE[[#This Row],[LAVAMANOS / LAVAPLATOS / LAVADERO]])</f>
        <v>0</v>
      </c>
      <c r="BR477" s="3">
        <f>+IF(AVANCE[[#This Row],[CANALIZACIÓN]]=AC$2,100%,AVANCE[[#This Row],[CANALIZACIÓN]])</f>
        <v>0</v>
      </c>
      <c r="BS477" s="3">
        <f>+IF(AVANCE[[#This Row],[CABLEADO]]=AD$2,100%,AVANCE[[#This Row],[CABLEADO]])</f>
        <v>0</v>
      </c>
      <c r="BT477" s="3">
        <f>+IF(AVANCE[[#This Row],[ARTEFACTOS]]=AE$2,100%,AVANCE[[#This Row],[ARTEFACTOS]])</f>
        <v>0</v>
      </c>
      <c r="BU477" s="3">
        <f>+IF(AVANCE[[#This Row],[TABLERO]]=AF$2,100%,AVANCE[[#This Row],[TABLERO]])</f>
        <v>0</v>
      </c>
      <c r="BV477" s="3">
        <f>+IF(AVANCE[[#This Row],[CAJA PAU]]=AG$2,100%,AVANCE[[#This Row],[CAJA PAU]])</f>
        <v>0</v>
      </c>
      <c r="BW477" s="3">
        <f>+IF(AVANCE[[#This Row],[INSTALACION VINILICO]]=AJ$2,100%,AVANCE[[#This Row],[INSTALACION VINILICO]])</f>
        <v>0</v>
      </c>
      <c r="BX477" s="3">
        <f>+IF(AVANCE[[#This Row],[OSB CUBIERTA]]=AK$2,100%,AVANCE[[#This Row],[OSB CUBIERTA]])</f>
        <v>0</v>
      </c>
      <c r="BY477" s="3">
        <f>+IF(AVANCE[[#This Row],[BARANDA BALCON]]=AL$2,100%,AVANCE[[#This Row],[BARANDA BALCON]])</f>
        <v>0</v>
      </c>
      <c r="BZ477" s="3">
        <f>+IF(AVANCE[[#This Row],[OSB EXTERIOR]]=AM$2,100%,AVANCE[[#This Row],[OSB EXTERIOR]])</f>
        <v>0</v>
      </c>
      <c r="CA477" s="3">
        <f>+IF(AVANCE[[#This Row],[SMART PANEL]]=AN$2,100%,AVANCE[[#This Row],[SMART PANEL]])</f>
        <v>0</v>
      </c>
      <c r="CB477" s="3">
        <f>+IF(AVANCE[[#This Row],[PINTURA EXTERIOR]]=AO$2,100%,AVANCE[[#This Row],[PINTURA EXTERIOR]])</f>
        <v>0</v>
      </c>
      <c r="CC477" s="3">
        <f>+IF(AVANCE[[#This Row],[ZOCALOS LOGIA]]=AP$2,100%,AVANCE[[#This Row],[ZOCALOS LOGIA]])</f>
        <v>0</v>
      </c>
      <c r="CD477" s="3">
        <f>+IF(AVANCE[[#This Row],[MOLDURAS]]=AQ$2,100%,AVANCE[[#This Row],[MOLDURAS]])</f>
        <v>0</v>
      </c>
      <c r="CE477" s="3">
        <f>+IF(AVANCE[[#This Row],[PILASTREO]]=AR$2,100%,AVANCE[[#This Row],[PILASTREO]])</f>
        <v>0</v>
      </c>
      <c r="CF477" s="3">
        <f>+IF(AVANCE[[#This Row],[CELOSIAS]]=AS$2,100%,AVANCE[[#This Row],[CELOSIAS]])</f>
        <v>0</v>
      </c>
      <c r="CG477" s="3">
        <f>+IF(AVANCE[[#This Row],[VENTANAS]]=AT$2,100%,AVANCE[[#This Row],[VENTANAS]])</f>
        <v>0</v>
      </c>
      <c r="CH477" s="3">
        <f>+IF(AVANCE[[#This Row],[PUERTAS ACCESO - LOGIA - BANO]]=AU$2,100%,AVANCE[[#This Row],[PUERTAS ACCESO - LOGIA - BANO]])</f>
        <v>0</v>
      </c>
      <c r="CI477" s="3">
        <f>+IF(AVANCE[[#This Row],[CERRADURAS]]=AV$2,100%,AVANCE[[#This Row],[CERRADURAS]])</f>
        <v>0</v>
      </c>
      <c r="CJ477" s="3">
        <f>+IF(AVANCE[[#This Row],[REVESTIMIENTO INTERIOR ZONA SECA]]=AW$2,100%,AVANCE[[#This Row],[REVESTIMIENTO INTERIOR ZONA SECA]])</f>
        <v>0</v>
      </c>
      <c r="CK477" s="3">
        <f>+IF(AVANCE[[#This Row],[REVESTIMIENTO INTERIOR ZONAS HUMEDAS]]=AX$2,100%,AVANCE[[#This Row],[REVESTIMIENTO INTERIOR ZONAS HUMEDAS]])</f>
        <v>0</v>
      </c>
      <c r="CL477" s="3">
        <f>+IF(AVANCE[[#This Row],[MEMBRANA CIELO]]=AY$2,100%,AVANCE[[#This Row],[MEMBRANA CIELO]])</f>
        <v>0</v>
      </c>
      <c r="CM477" s="3">
        <f>+IF(AVANCE[[#This Row],[LIMPIEZA FINAL]]=AZ$2,100%,AVANCE[[#This Row],[LIMPIEZA FINAL]])</f>
        <v>0</v>
      </c>
      <c r="CN477" s="3">
        <f>+IF(AVANCE[[#This Row],[PUERTAS DORMITORIO]]=BA$2,100%,AVANCE[[#This Row],[PUERTAS DORMITORIO]])</f>
        <v>0</v>
      </c>
      <c r="CO477" s="3">
        <f>+IF(AVANCE[[#This Row],[REVESTIMIENTO INTERIOR BANO]]=BB$2,100%,AVANCE[[#This Row],[REVESTIMIENTO INTERIOR BANO]])</f>
        <v>0</v>
      </c>
      <c r="CP477" s="3">
        <f>+IF(AVANCE[[#This Row],[MUEBLE LAVAPLATOS]]=BC$2,100%,AVANCE[[#This Row],[MUEBLE LAVAPLATOS]])</f>
        <v>0</v>
      </c>
      <c r="CQ477" s="3">
        <f>+IF(AVANCE[[#This Row],[IMPERMEABILIZACION BANO - COCINA LOGIA]]=BD$2,100%,AVANCE[[#This Row],[IMPERMEABILIZACION BANO - COCINA LOGIA]])</f>
        <v>0</v>
      </c>
      <c r="CR477" s="40">
        <f ca="1">+IF(AVANCE[[#This Row],[ESTADO MODULO]]="PENDIENTE",(TODAY()-AVANCE[[#This Row],[FECHA TERMINO  PLANIFICADO]]),0)</f>
        <v>0</v>
      </c>
      <c r="CS477" s="42" t="str" cm="1">
        <f t="array" ref="CS477">_xlfn.TEXTJOIN(" | ",TRUE,IF(SUMPRODUCT((BF477:CQ477&lt;1)*(PARTIDAS!$I$2:$AT$2="OBRA GRUESA"))&gt;0,"OBRA GRUESA: "&amp;_xlfn.TEXTJOIN(", ",TRUE,IF((BF477:CQ477&lt;1)*(PARTIDAS!$I$2:$AT$2="OBRA GRUESA"),PARTIDAS!$I$1:$AT$1,"")),""),IF(SUMPRODUCT((BF477:CQ477&lt;1)*(PARTIDAS!$I$2:$AT$2="SANITARIOS"))&gt;0,"SANITARIOS: "&amp;_xlfn.TEXTJOIN(", ",TRUE,IF((BF477:CQ477&lt;1)*(PARTIDAS!$I$2:$AT$2="SANITARIOS"),PARTIDAS!$I$1:$AT$1,"")),""),IF(SUMPRODUCT((BF477:CQ477&lt;1)*(PARTIDAS!$I$2:$AT$2="ELÉCTRICO"))&gt;0,"ELÉCTRICO: "&amp;_xlfn.TEXTJOIN(", ",TRUE,IF((BF477:CQ477&lt;1)*(PARTIDAS!$I$2:$AT$2="ELÉCTRICO"),PARTIDAS!$I$1:$AT$1,"")),""),IF(SUMPRODUCT((BF477:CQ477&lt;1)*(PARTIDAS!$I$2:$AT$2="TERMINACIONES"))&gt;0,"TERMINACIONES: "&amp;_xlfn.TEXTJOIN(", ",TRUE,IF((BF477:CQ477&lt;1)*(PARTIDAS!$I$2:$AT$2="TERMINACIONES"),PARTIDAS!$I$1:$AT$1,"")),""))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7" s="45" t="str" cm="1">
        <f t="array" ref="CT477">_xlfn.TEXTJOIN(", ",TRUE,IF(SUMPRODUCT((BF477:CQ477&lt;1)*(PARTIDAS!$I$2:$AT$2="OBRA GRUESA"))&gt;0,"OBRA GRUESA",""),IF(SUMPRODUCT((BF477:CQ477&lt;1)*(PARTIDAS!$I$2:$AT$2="SANITARIOS"))&gt;0,"SANITARIOS",""),IF(SUMPRODUCT((BF477:CQ477&lt;1)*(PARTIDAS!$I$2:$AT$2="ELÉCTRICO"))&gt;0,"ELÉCTRICO",""),IF(SUMPRODUCT((BF477:CQ477&lt;1)*(PARTIDAS!$I$2:$AT$2="TERMINACIONES"))&gt;0,"TERMINACIONES",""))</f>
        <v>OBRA GRUESA, SANITARIOS, ELÉCTRICO, TERMINACIONES</v>
      </c>
      <c r="CU477" s="46" cm="1">
        <f t="array" ref="CU477">SUMPRODUCT(--(BF477:CQ477&lt;1))</f>
        <v>38</v>
      </c>
    </row>
    <row r="478" spans="1:99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46181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 s="3" t="str">
        <f>+IF(AVANCE[[#This Row],[% AVANCE]]=100%,"MODULO TERMINADO",IF(AVANCE[[#This Row],[FECHA INICIO REAL]]="","MODULO NO INICIADO","PENDIENTE"))</f>
        <v>MODULO NO INICIADO</v>
      </c>
      <c r="BF478" s="3">
        <f>+IF(AVANCE[[#This Row],[VENTANAS]]=8.10810810810811%,100%,AVANCE[[#This Row],[VENTANAS]])</f>
        <v>0</v>
      </c>
      <c r="BG478" s="3">
        <f>+IF(AVANCE[[#This Row],[PISO]]=N$2,100%,AVANCE[[#This Row],[PISO]])</f>
        <v>0</v>
      </c>
      <c r="BH478" s="3">
        <f>+IF(AVANCE[[#This Row],[TABIQUES]]=O$2,100%,AVANCE[[#This Row],[TABIQUES]])</f>
        <v>0</v>
      </c>
      <c r="BI478" s="3">
        <f>+IF(AVANCE[[#This Row],[MUROS]]=P$2,100%,AVANCE[[#This Row],[MUROS]])</f>
        <v>0</v>
      </c>
      <c r="BJ478" s="3">
        <f>+IF(AVANCE[[#This Row],[CIELO]]=Q$2,100%,AVANCE[[#This Row],[CIELO]])</f>
        <v>0</v>
      </c>
      <c r="BK478" s="3">
        <f>+IF(AVANCE[[#This Row],[BALCÓN]]=R$2,100%,AVANCE[[#This Row],[BALCÓN]])</f>
        <v>0</v>
      </c>
      <c r="BL478" s="3">
        <f>+IF(AVANCE[[#This Row],[RED ALCANTARILLADO]]=U$2,100%,AVANCE[[#This Row],[RED ALCANTARILLADO]])</f>
        <v>0</v>
      </c>
      <c r="BM478" s="3">
        <f>+IF(AVANCE[[#This Row],[RED DE AGUA]]=V$2,100%,AVANCE[[#This Row],[RED DE AGUA]])</f>
        <v>0</v>
      </c>
      <c r="BN478" s="3">
        <f>+IF(AVANCE[[#This Row],[VENTILACIONES]]=W$2,100%,AVANCE[[#This Row],[VENTILACIONES]])</f>
        <v>0</v>
      </c>
      <c r="BO478" s="3">
        <f>+IF(AVANCE[[#This Row],[TINA]]=X$2,100%,AVANCE[[#This Row],[TINA]])</f>
        <v>0</v>
      </c>
      <c r="BP478" s="3">
        <f>+IF(AVANCE[[#This Row],[WC]]=Y$2,100%,AVANCE[[#This Row],[WC]])</f>
        <v>0</v>
      </c>
      <c r="BQ478" s="3">
        <f>+IF(AVANCE[[#This Row],[LAVAMANOS / LAVAPLATOS / LAVADERO]]=Z$2,100%,AVANCE[[#This Row],[LAVAMANOS / LAVAPLATOS / LAVADERO]])</f>
        <v>0</v>
      </c>
      <c r="BR478" s="3">
        <f>+IF(AVANCE[[#This Row],[CANALIZACIÓN]]=AC$2,100%,AVANCE[[#This Row],[CANALIZACIÓN]])</f>
        <v>0</v>
      </c>
      <c r="BS478" s="3">
        <f>+IF(AVANCE[[#This Row],[CABLEADO]]=AD$2,100%,AVANCE[[#This Row],[CABLEADO]])</f>
        <v>0</v>
      </c>
      <c r="BT478" s="3">
        <f>+IF(AVANCE[[#This Row],[ARTEFACTOS]]=AE$2,100%,AVANCE[[#This Row],[ARTEFACTOS]])</f>
        <v>0</v>
      </c>
      <c r="BU478" s="3">
        <f>+IF(AVANCE[[#This Row],[TABLERO]]=AF$2,100%,AVANCE[[#This Row],[TABLERO]])</f>
        <v>0</v>
      </c>
      <c r="BV478" s="3">
        <f>+IF(AVANCE[[#This Row],[CAJA PAU]]=AG$2,100%,AVANCE[[#This Row],[CAJA PAU]])</f>
        <v>0</v>
      </c>
      <c r="BW478" s="3">
        <f>+IF(AVANCE[[#This Row],[INSTALACION VINILICO]]=AJ$2,100%,AVANCE[[#This Row],[INSTALACION VINILICO]])</f>
        <v>0</v>
      </c>
      <c r="BX478" s="3">
        <f>+IF(AVANCE[[#This Row],[OSB CUBIERTA]]=AK$2,100%,AVANCE[[#This Row],[OSB CUBIERTA]])</f>
        <v>0</v>
      </c>
      <c r="BY478" s="3">
        <f>+IF(AVANCE[[#This Row],[BARANDA BALCON]]=AL$2,100%,AVANCE[[#This Row],[BARANDA BALCON]])</f>
        <v>0</v>
      </c>
      <c r="BZ478" s="3">
        <f>+IF(AVANCE[[#This Row],[OSB EXTERIOR]]=AM$2,100%,AVANCE[[#This Row],[OSB EXTERIOR]])</f>
        <v>0</v>
      </c>
      <c r="CA478" s="3">
        <f>+IF(AVANCE[[#This Row],[SMART PANEL]]=AN$2,100%,AVANCE[[#This Row],[SMART PANEL]])</f>
        <v>0</v>
      </c>
      <c r="CB478" s="3">
        <f>+IF(AVANCE[[#This Row],[PINTURA EXTERIOR]]=AO$2,100%,AVANCE[[#This Row],[PINTURA EXTERIOR]])</f>
        <v>0</v>
      </c>
      <c r="CC478" s="3">
        <f>+IF(AVANCE[[#This Row],[ZOCALOS LOGIA]]=AP$2,100%,AVANCE[[#This Row],[ZOCALOS LOGIA]])</f>
        <v>0</v>
      </c>
      <c r="CD478" s="3">
        <f>+IF(AVANCE[[#This Row],[MOLDURAS]]=AQ$2,100%,AVANCE[[#This Row],[MOLDURAS]])</f>
        <v>0</v>
      </c>
      <c r="CE478" s="3">
        <f>+IF(AVANCE[[#This Row],[PILASTREO]]=AR$2,100%,AVANCE[[#This Row],[PILASTREO]])</f>
        <v>0</v>
      </c>
      <c r="CF478" s="3">
        <f>+IF(AVANCE[[#This Row],[CELOSIAS]]=AS$2,100%,AVANCE[[#This Row],[CELOSIAS]])</f>
        <v>0</v>
      </c>
      <c r="CG478" s="3">
        <f>+IF(AVANCE[[#This Row],[VENTANAS]]=AT$2,100%,AVANCE[[#This Row],[VENTANAS]])</f>
        <v>0</v>
      </c>
      <c r="CH478" s="3">
        <f>+IF(AVANCE[[#This Row],[PUERTAS ACCESO - LOGIA - BANO]]=AU$2,100%,AVANCE[[#This Row],[PUERTAS ACCESO - LOGIA - BANO]])</f>
        <v>0</v>
      </c>
      <c r="CI478" s="3">
        <f>+IF(AVANCE[[#This Row],[CERRADURAS]]=AV$2,100%,AVANCE[[#This Row],[CERRADURAS]])</f>
        <v>0</v>
      </c>
      <c r="CJ478" s="3">
        <f>+IF(AVANCE[[#This Row],[REVESTIMIENTO INTERIOR ZONA SECA]]=AW$2,100%,AVANCE[[#This Row],[REVESTIMIENTO INTERIOR ZONA SECA]])</f>
        <v>0</v>
      </c>
      <c r="CK478" s="3">
        <f>+IF(AVANCE[[#This Row],[REVESTIMIENTO INTERIOR ZONAS HUMEDAS]]=AX$2,100%,AVANCE[[#This Row],[REVESTIMIENTO INTERIOR ZONAS HUMEDAS]])</f>
        <v>0</v>
      </c>
      <c r="CL478" s="3">
        <f>+IF(AVANCE[[#This Row],[MEMBRANA CIELO]]=AY$2,100%,AVANCE[[#This Row],[MEMBRANA CIELO]])</f>
        <v>0</v>
      </c>
      <c r="CM478" s="3">
        <f>+IF(AVANCE[[#This Row],[LIMPIEZA FINAL]]=AZ$2,100%,AVANCE[[#This Row],[LIMPIEZA FINAL]])</f>
        <v>0</v>
      </c>
      <c r="CN478" s="3">
        <f>+IF(AVANCE[[#This Row],[PUERTAS DORMITORIO]]=BA$2,100%,AVANCE[[#This Row],[PUERTAS DORMITORIO]])</f>
        <v>0</v>
      </c>
      <c r="CO478" s="3">
        <f>+IF(AVANCE[[#This Row],[REVESTIMIENTO INTERIOR BANO]]=BB$2,100%,AVANCE[[#This Row],[REVESTIMIENTO INTERIOR BANO]])</f>
        <v>0</v>
      </c>
      <c r="CP478" s="3">
        <f>+IF(AVANCE[[#This Row],[MUEBLE LAVAPLATOS]]=BC$2,100%,AVANCE[[#This Row],[MUEBLE LAVAPLATOS]])</f>
        <v>0</v>
      </c>
      <c r="CQ478" s="3">
        <f>+IF(AVANCE[[#This Row],[IMPERMEABILIZACION BANO - COCINA LOGIA]]=BD$2,100%,AVANCE[[#This Row],[IMPERMEABILIZACION BANO - COCINA LOGIA]])</f>
        <v>0</v>
      </c>
      <c r="CR478" s="40">
        <f ca="1">+IF(AVANCE[[#This Row],[ESTADO MODULO]]="PENDIENTE",(TODAY()-AVANCE[[#This Row],[FECHA TERMINO  PLANIFICADO]]),0)</f>
        <v>0</v>
      </c>
      <c r="CS478" s="42" t="str" cm="1">
        <f t="array" ref="CS478">_xlfn.TEXTJOIN(" | ",TRUE,IF(SUMPRODUCT((BF478:CQ478&lt;1)*(PARTIDAS!$I$2:$AT$2="OBRA GRUESA"))&gt;0,"OBRA GRUESA: "&amp;_xlfn.TEXTJOIN(", ",TRUE,IF((BF478:CQ478&lt;1)*(PARTIDAS!$I$2:$AT$2="OBRA GRUESA"),PARTIDAS!$I$1:$AT$1,"")),""),IF(SUMPRODUCT((BF478:CQ478&lt;1)*(PARTIDAS!$I$2:$AT$2="SANITARIOS"))&gt;0,"SANITARIOS: "&amp;_xlfn.TEXTJOIN(", ",TRUE,IF((BF478:CQ478&lt;1)*(PARTIDAS!$I$2:$AT$2="SANITARIOS"),PARTIDAS!$I$1:$AT$1,"")),""),IF(SUMPRODUCT((BF478:CQ478&lt;1)*(PARTIDAS!$I$2:$AT$2="ELÉCTRICO"))&gt;0,"ELÉCTRICO: "&amp;_xlfn.TEXTJOIN(", ",TRUE,IF((BF478:CQ478&lt;1)*(PARTIDAS!$I$2:$AT$2="ELÉCTRICO"),PARTIDAS!$I$1:$AT$1,"")),""),IF(SUMPRODUCT((BF478:CQ478&lt;1)*(PARTIDAS!$I$2:$AT$2="TERMINACIONES"))&gt;0,"TERMINACIONES: "&amp;_xlfn.TEXTJOIN(", ",TRUE,IF((BF478:CQ478&lt;1)*(PARTIDAS!$I$2:$AT$2="TERMINACIONES"),PARTIDAS!$I$1:$AT$1,"")),""))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8" s="45" t="str" cm="1">
        <f t="array" ref="CT478">_xlfn.TEXTJOIN(", ",TRUE,IF(SUMPRODUCT((BF478:CQ478&lt;1)*(PARTIDAS!$I$2:$AT$2="OBRA GRUESA"))&gt;0,"OBRA GRUESA",""),IF(SUMPRODUCT((BF478:CQ478&lt;1)*(PARTIDAS!$I$2:$AT$2="SANITARIOS"))&gt;0,"SANITARIOS",""),IF(SUMPRODUCT((BF478:CQ478&lt;1)*(PARTIDAS!$I$2:$AT$2="ELÉCTRICO"))&gt;0,"ELÉCTRICO",""),IF(SUMPRODUCT((BF478:CQ478&lt;1)*(PARTIDAS!$I$2:$AT$2="TERMINACIONES"))&gt;0,"TERMINACIONES",""))</f>
        <v>OBRA GRUESA, SANITARIOS, ELÉCTRICO, TERMINACIONES</v>
      </c>
      <c r="CU478" s="46" cm="1">
        <f t="array" ref="CU478">SUMPRODUCT(--(BF478:CQ478&lt;1))</f>
        <v>38</v>
      </c>
    </row>
    <row r="479" spans="1:99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46181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 s="3" t="str">
        <f>+IF(AVANCE[[#This Row],[% AVANCE]]=100%,"MODULO TERMINADO",IF(AVANCE[[#This Row],[FECHA INICIO REAL]]="","MODULO NO INICIADO","PENDIENTE"))</f>
        <v>MODULO NO INICIADO</v>
      </c>
      <c r="BF479" s="3">
        <f>+IF(AVANCE[[#This Row],[VENTANAS]]=8.10810810810811%,100%,AVANCE[[#This Row],[VENTANAS]])</f>
        <v>0</v>
      </c>
      <c r="BG479" s="3">
        <f>+IF(AVANCE[[#This Row],[PISO]]=N$2,100%,AVANCE[[#This Row],[PISO]])</f>
        <v>0</v>
      </c>
      <c r="BH479" s="3">
        <f>+IF(AVANCE[[#This Row],[TABIQUES]]=O$2,100%,AVANCE[[#This Row],[TABIQUES]])</f>
        <v>0</v>
      </c>
      <c r="BI479" s="3">
        <f>+IF(AVANCE[[#This Row],[MUROS]]=P$2,100%,AVANCE[[#This Row],[MUROS]])</f>
        <v>0</v>
      </c>
      <c r="BJ479" s="3">
        <f>+IF(AVANCE[[#This Row],[CIELO]]=Q$2,100%,AVANCE[[#This Row],[CIELO]])</f>
        <v>0</v>
      </c>
      <c r="BK479" s="3">
        <f>+IF(AVANCE[[#This Row],[BALCÓN]]=R$2,100%,AVANCE[[#This Row],[BALCÓN]])</f>
        <v>0</v>
      </c>
      <c r="BL479" s="3">
        <f>+IF(AVANCE[[#This Row],[RED ALCANTARILLADO]]=U$2,100%,AVANCE[[#This Row],[RED ALCANTARILLADO]])</f>
        <v>0</v>
      </c>
      <c r="BM479" s="3">
        <f>+IF(AVANCE[[#This Row],[RED DE AGUA]]=V$2,100%,AVANCE[[#This Row],[RED DE AGUA]])</f>
        <v>0</v>
      </c>
      <c r="BN479" s="3">
        <f>+IF(AVANCE[[#This Row],[VENTILACIONES]]=W$2,100%,AVANCE[[#This Row],[VENTILACIONES]])</f>
        <v>0</v>
      </c>
      <c r="BO479" s="3">
        <f>+IF(AVANCE[[#This Row],[TINA]]=X$2,100%,AVANCE[[#This Row],[TINA]])</f>
        <v>0</v>
      </c>
      <c r="BP479" s="3">
        <f>+IF(AVANCE[[#This Row],[WC]]=Y$2,100%,AVANCE[[#This Row],[WC]])</f>
        <v>0</v>
      </c>
      <c r="BQ479" s="3">
        <f>+IF(AVANCE[[#This Row],[LAVAMANOS / LAVAPLATOS / LAVADERO]]=Z$2,100%,AVANCE[[#This Row],[LAVAMANOS / LAVAPLATOS / LAVADERO]])</f>
        <v>0</v>
      </c>
      <c r="BR479" s="3">
        <f>+IF(AVANCE[[#This Row],[CANALIZACIÓN]]=AC$2,100%,AVANCE[[#This Row],[CANALIZACIÓN]])</f>
        <v>0</v>
      </c>
      <c r="BS479" s="3">
        <f>+IF(AVANCE[[#This Row],[CABLEADO]]=AD$2,100%,AVANCE[[#This Row],[CABLEADO]])</f>
        <v>0</v>
      </c>
      <c r="BT479" s="3">
        <f>+IF(AVANCE[[#This Row],[ARTEFACTOS]]=AE$2,100%,AVANCE[[#This Row],[ARTEFACTOS]])</f>
        <v>0</v>
      </c>
      <c r="BU479" s="3">
        <f>+IF(AVANCE[[#This Row],[TABLERO]]=AF$2,100%,AVANCE[[#This Row],[TABLERO]])</f>
        <v>0</v>
      </c>
      <c r="BV479" s="3">
        <f>+IF(AVANCE[[#This Row],[CAJA PAU]]=AG$2,100%,AVANCE[[#This Row],[CAJA PAU]])</f>
        <v>0</v>
      </c>
      <c r="BW479" s="3">
        <f>+IF(AVANCE[[#This Row],[INSTALACION VINILICO]]=AJ$2,100%,AVANCE[[#This Row],[INSTALACION VINILICO]])</f>
        <v>0</v>
      </c>
      <c r="BX479" s="3">
        <f>+IF(AVANCE[[#This Row],[OSB CUBIERTA]]=AK$2,100%,AVANCE[[#This Row],[OSB CUBIERTA]])</f>
        <v>0</v>
      </c>
      <c r="BY479" s="3">
        <f>+IF(AVANCE[[#This Row],[BARANDA BALCON]]=AL$2,100%,AVANCE[[#This Row],[BARANDA BALCON]])</f>
        <v>0</v>
      </c>
      <c r="BZ479" s="3">
        <f>+IF(AVANCE[[#This Row],[OSB EXTERIOR]]=AM$2,100%,AVANCE[[#This Row],[OSB EXTERIOR]])</f>
        <v>0</v>
      </c>
      <c r="CA479" s="3">
        <f>+IF(AVANCE[[#This Row],[SMART PANEL]]=AN$2,100%,AVANCE[[#This Row],[SMART PANEL]])</f>
        <v>0</v>
      </c>
      <c r="CB479" s="3">
        <f>+IF(AVANCE[[#This Row],[PINTURA EXTERIOR]]=AO$2,100%,AVANCE[[#This Row],[PINTURA EXTERIOR]])</f>
        <v>0</v>
      </c>
      <c r="CC479" s="3">
        <f>+IF(AVANCE[[#This Row],[ZOCALOS LOGIA]]=AP$2,100%,AVANCE[[#This Row],[ZOCALOS LOGIA]])</f>
        <v>0</v>
      </c>
      <c r="CD479" s="3">
        <f>+IF(AVANCE[[#This Row],[MOLDURAS]]=AQ$2,100%,AVANCE[[#This Row],[MOLDURAS]])</f>
        <v>0</v>
      </c>
      <c r="CE479" s="3">
        <f>+IF(AVANCE[[#This Row],[PILASTREO]]=AR$2,100%,AVANCE[[#This Row],[PILASTREO]])</f>
        <v>0</v>
      </c>
      <c r="CF479" s="3">
        <f>+IF(AVANCE[[#This Row],[CELOSIAS]]=AS$2,100%,AVANCE[[#This Row],[CELOSIAS]])</f>
        <v>0</v>
      </c>
      <c r="CG479" s="3">
        <f>+IF(AVANCE[[#This Row],[VENTANAS]]=AT$2,100%,AVANCE[[#This Row],[VENTANAS]])</f>
        <v>0</v>
      </c>
      <c r="CH479" s="3">
        <f>+IF(AVANCE[[#This Row],[PUERTAS ACCESO - LOGIA - BANO]]=AU$2,100%,AVANCE[[#This Row],[PUERTAS ACCESO - LOGIA - BANO]])</f>
        <v>0</v>
      </c>
      <c r="CI479" s="3">
        <f>+IF(AVANCE[[#This Row],[CERRADURAS]]=AV$2,100%,AVANCE[[#This Row],[CERRADURAS]])</f>
        <v>0</v>
      </c>
      <c r="CJ479" s="3">
        <f>+IF(AVANCE[[#This Row],[REVESTIMIENTO INTERIOR ZONA SECA]]=AW$2,100%,AVANCE[[#This Row],[REVESTIMIENTO INTERIOR ZONA SECA]])</f>
        <v>0</v>
      </c>
      <c r="CK479" s="3">
        <f>+IF(AVANCE[[#This Row],[REVESTIMIENTO INTERIOR ZONAS HUMEDAS]]=AX$2,100%,AVANCE[[#This Row],[REVESTIMIENTO INTERIOR ZONAS HUMEDAS]])</f>
        <v>0</v>
      </c>
      <c r="CL479" s="3">
        <f>+IF(AVANCE[[#This Row],[MEMBRANA CIELO]]=AY$2,100%,AVANCE[[#This Row],[MEMBRANA CIELO]])</f>
        <v>0</v>
      </c>
      <c r="CM479" s="3">
        <f>+IF(AVANCE[[#This Row],[LIMPIEZA FINAL]]=AZ$2,100%,AVANCE[[#This Row],[LIMPIEZA FINAL]])</f>
        <v>0</v>
      </c>
      <c r="CN479" s="3">
        <f>+IF(AVANCE[[#This Row],[PUERTAS DORMITORIO]]=BA$2,100%,AVANCE[[#This Row],[PUERTAS DORMITORIO]])</f>
        <v>0</v>
      </c>
      <c r="CO479" s="3">
        <f>+IF(AVANCE[[#This Row],[REVESTIMIENTO INTERIOR BANO]]=BB$2,100%,AVANCE[[#This Row],[REVESTIMIENTO INTERIOR BANO]])</f>
        <v>0</v>
      </c>
      <c r="CP479" s="3">
        <f>+IF(AVANCE[[#This Row],[MUEBLE LAVAPLATOS]]=BC$2,100%,AVANCE[[#This Row],[MUEBLE LAVAPLATOS]])</f>
        <v>0</v>
      </c>
      <c r="CQ479" s="3">
        <f>+IF(AVANCE[[#This Row],[IMPERMEABILIZACION BANO - COCINA LOGIA]]=BD$2,100%,AVANCE[[#This Row],[IMPERMEABILIZACION BANO - COCINA LOGIA]])</f>
        <v>0</v>
      </c>
      <c r="CR479" s="40">
        <f ca="1">+IF(AVANCE[[#This Row],[ESTADO MODULO]]="PENDIENTE",(TODAY()-AVANCE[[#This Row],[FECHA TERMINO  PLANIFICADO]]),0)</f>
        <v>0</v>
      </c>
      <c r="CS479" s="42" t="str" cm="1">
        <f t="array" ref="CS479">_xlfn.TEXTJOIN(" | ",TRUE,IF(SUMPRODUCT((BF479:CQ479&lt;1)*(PARTIDAS!$I$2:$AT$2="OBRA GRUESA"))&gt;0,"OBRA GRUESA: "&amp;_xlfn.TEXTJOIN(", ",TRUE,IF((BF479:CQ479&lt;1)*(PARTIDAS!$I$2:$AT$2="OBRA GRUESA"),PARTIDAS!$I$1:$AT$1,"")),""),IF(SUMPRODUCT((BF479:CQ479&lt;1)*(PARTIDAS!$I$2:$AT$2="SANITARIOS"))&gt;0,"SANITARIOS: "&amp;_xlfn.TEXTJOIN(", ",TRUE,IF((BF479:CQ479&lt;1)*(PARTIDAS!$I$2:$AT$2="SANITARIOS"),PARTIDAS!$I$1:$AT$1,"")),""),IF(SUMPRODUCT((BF479:CQ479&lt;1)*(PARTIDAS!$I$2:$AT$2="ELÉCTRICO"))&gt;0,"ELÉCTRICO: "&amp;_xlfn.TEXTJOIN(", ",TRUE,IF((BF479:CQ479&lt;1)*(PARTIDAS!$I$2:$AT$2="ELÉCTRICO"),PARTIDAS!$I$1:$AT$1,"")),""),IF(SUMPRODUCT((BF479:CQ479&lt;1)*(PARTIDAS!$I$2:$AT$2="TERMINACIONES"))&gt;0,"TERMINACIONES: "&amp;_xlfn.TEXTJOIN(", ",TRUE,IF((BF479:CQ479&lt;1)*(PARTIDAS!$I$2:$AT$2="TERMINACIONES"),PARTIDAS!$I$1:$AT$1,"")),""))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79" s="45" t="str" cm="1">
        <f t="array" ref="CT479">_xlfn.TEXTJOIN(", ",TRUE,IF(SUMPRODUCT((BF479:CQ479&lt;1)*(PARTIDAS!$I$2:$AT$2="OBRA GRUESA"))&gt;0,"OBRA GRUESA",""),IF(SUMPRODUCT((BF479:CQ479&lt;1)*(PARTIDAS!$I$2:$AT$2="SANITARIOS"))&gt;0,"SANITARIOS",""),IF(SUMPRODUCT((BF479:CQ479&lt;1)*(PARTIDAS!$I$2:$AT$2="ELÉCTRICO"))&gt;0,"ELÉCTRICO",""),IF(SUMPRODUCT((BF479:CQ479&lt;1)*(PARTIDAS!$I$2:$AT$2="TERMINACIONES"))&gt;0,"TERMINACIONES",""))</f>
        <v>OBRA GRUESA, SANITARIOS, ELÉCTRICO, TERMINACIONES</v>
      </c>
      <c r="CU479" s="46" cm="1">
        <f t="array" ref="CU479">SUMPRODUCT(--(BF479:CQ479&lt;1))</f>
        <v>38</v>
      </c>
    </row>
    <row r="480" spans="1:99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46181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 s="3" t="str">
        <f>+IF(AVANCE[[#This Row],[% AVANCE]]=100%,"MODULO TERMINADO",IF(AVANCE[[#This Row],[FECHA INICIO REAL]]="","MODULO NO INICIADO","PENDIENTE"))</f>
        <v>MODULO NO INICIADO</v>
      </c>
      <c r="BF480" s="3">
        <f>+IF(AVANCE[[#This Row],[VENTANAS]]=8.10810810810811%,100%,AVANCE[[#This Row],[VENTANAS]])</f>
        <v>0</v>
      </c>
      <c r="BG480" s="3">
        <f>+IF(AVANCE[[#This Row],[PISO]]=N$2,100%,AVANCE[[#This Row],[PISO]])</f>
        <v>0</v>
      </c>
      <c r="BH480" s="3">
        <f>+IF(AVANCE[[#This Row],[TABIQUES]]=O$2,100%,AVANCE[[#This Row],[TABIQUES]])</f>
        <v>0</v>
      </c>
      <c r="BI480" s="3">
        <f>+IF(AVANCE[[#This Row],[MUROS]]=P$2,100%,AVANCE[[#This Row],[MUROS]])</f>
        <v>0</v>
      </c>
      <c r="BJ480" s="3">
        <f>+IF(AVANCE[[#This Row],[CIELO]]=Q$2,100%,AVANCE[[#This Row],[CIELO]])</f>
        <v>0</v>
      </c>
      <c r="BK480" s="3">
        <f>+IF(AVANCE[[#This Row],[BALCÓN]]=R$2,100%,AVANCE[[#This Row],[BALCÓN]])</f>
        <v>0</v>
      </c>
      <c r="BL480" s="3">
        <f>+IF(AVANCE[[#This Row],[RED ALCANTARILLADO]]=U$2,100%,AVANCE[[#This Row],[RED ALCANTARILLADO]])</f>
        <v>0</v>
      </c>
      <c r="BM480" s="3">
        <f>+IF(AVANCE[[#This Row],[RED DE AGUA]]=V$2,100%,AVANCE[[#This Row],[RED DE AGUA]])</f>
        <v>0</v>
      </c>
      <c r="BN480" s="3">
        <f>+IF(AVANCE[[#This Row],[VENTILACIONES]]=W$2,100%,AVANCE[[#This Row],[VENTILACIONES]])</f>
        <v>0</v>
      </c>
      <c r="BO480" s="3">
        <f>+IF(AVANCE[[#This Row],[TINA]]=X$2,100%,AVANCE[[#This Row],[TINA]])</f>
        <v>0</v>
      </c>
      <c r="BP480" s="3">
        <f>+IF(AVANCE[[#This Row],[WC]]=Y$2,100%,AVANCE[[#This Row],[WC]])</f>
        <v>0</v>
      </c>
      <c r="BQ480" s="3">
        <f>+IF(AVANCE[[#This Row],[LAVAMANOS / LAVAPLATOS / LAVADERO]]=Z$2,100%,AVANCE[[#This Row],[LAVAMANOS / LAVAPLATOS / LAVADERO]])</f>
        <v>0</v>
      </c>
      <c r="BR480" s="3">
        <f>+IF(AVANCE[[#This Row],[CANALIZACIÓN]]=AC$2,100%,AVANCE[[#This Row],[CANALIZACIÓN]])</f>
        <v>0</v>
      </c>
      <c r="BS480" s="3">
        <f>+IF(AVANCE[[#This Row],[CABLEADO]]=AD$2,100%,AVANCE[[#This Row],[CABLEADO]])</f>
        <v>0</v>
      </c>
      <c r="BT480" s="3">
        <f>+IF(AVANCE[[#This Row],[ARTEFACTOS]]=AE$2,100%,AVANCE[[#This Row],[ARTEFACTOS]])</f>
        <v>0</v>
      </c>
      <c r="BU480" s="3">
        <f>+IF(AVANCE[[#This Row],[TABLERO]]=AF$2,100%,AVANCE[[#This Row],[TABLERO]])</f>
        <v>0</v>
      </c>
      <c r="BV480" s="3">
        <f>+IF(AVANCE[[#This Row],[CAJA PAU]]=AG$2,100%,AVANCE[[#This Row],[CAJA PAU]])</f>
        <v>0</v>
      </c>
      <c r="BW480" s="3">
        <f>+IF(AVANCE[[#This Row],[INSTALACION VINILICO]]=AJ$2,100%,AVANCE[[#This Row],[INSTALACION VINILICO]])</f>
        <v>0</v>
      </c>
      <c r="BX480" s="3">
        <f>+IF(AVANCE[[#This Row],[OSB CUBIERTA]]=AK$2,100%,AVANCE[[#This Row],[OSB CUBIERTA]])</f>
        <v>0</v>
      </c>
      <c r="BY480" s="3">
        <f>+IF(AVANCE[[#This Row],[BARANDA BALCON]]=AL$2,100%,AVANCE[[#This Row],[BARANDA BALCON]])</f>
        <v>0</v>
      </c>
      <c r="BZ480" s="3">
        <f>+IF(AVANCE[[#This Row],[OSB EXTERIOR]]=AM$2,100%,AVANCE[[#This Row],[OSB EXTERIOR]])</f>
        <v>0</v>
      </c>
      <c r="CA480" s="3">
        <f>+IF(AVANCE[[#This Row],[SMART PANEL]]=AN$2,100%,AVANCE[[#This Row],[SMART PANEL]])</f>
        <v>0</v>
      </c>
      <c r="CB480" s="3">
        <f>+IF(AVANCE[[#This Row],[PINTURA EXTERIOR]]=AO$2,100%,AVANCE[[#This Row],[PINTURA EXTERIOR]])</f>
        <v>0</v>
      </c>
      <c r="CC480" s="3">
        <f>+IF(AVANCE[[#This Row],[ZOCALOS LOGIA]]=AP$2,100%,AVANCE[[#This Row],[ZOCALOS LOGIA]])</f>
        <v>0</v>
      </c>
      <c r="CD480" s="3">
        <f>+IF(AVANCE[[#This Row],[MOLDURAS]]=AQ$2,100%,AVANCE[[#This Row],[MOLDURAS]])</f>
        <v>0</v>
      </c>
      <c r="CE480" s="3">
        <f>+IF(AVANCE[[#This Row],[PILASTREO]]=AR$2,100%,AVANCE[[#This Row],[PILASTREO]])</f>
        <v>0</v>
      </c>
      <c r="CF480" s="3">
        <f>+IF(AVANCE[[#This Row],[CELOSIAS]]=AS$2,100%,AVANCE[[#This Row],[CELOSIAS]])</f>
        <v>0</v>
      </c>
      <c r="CG480" s="3">
        <f>+IF(AVANCE[[#This Row],[VENTANAS]]=AT$2,100%,AVANCE[[#This Row],[VENTANAS]])</f>
        <v>0</v>
      </c>
      <c r="CH480" s="3">
        <f>+IF(AVANCE[[#This Row],[PUERTAS ACCESO - LOGIA - BANO]]=AU$2,100%,AVANCE[[#This Row],[PUERTAS ACCESO - LOGIA - BANO]])</f>
        <v>0</v>
      </c>
      <c r="CI480" s="3">
        <f>+IF(AVANCE[[#This Row],[CERRADURAS]]=AV$2,100%,AVANCE[[#This Row],[CERRADURAS]])</f>
        <v>0</v>
      </c>
      <c r="CJ480" s="3">
        <f>+IF(AVANCE[[#This Row],[REVESTIMIENTO INTERIOR ZONA SECA]]=AW$2,100%,AVANCE[[#This Row],[REVESTIMIENTO INTERIOR ZONA SECA]])</f>
        <v>0</v>
      </c>
      <c r="CK480" s="3">
        <f>+IF(AVANCE[[#This Row],[REVESTIMIENTO INTERIOR ZONAS HUMEDAS]]=AX$2,100%,AVANCE[[#This Row],[REVESTIMIENTO INTERIOR ZONAS HUMEDAS]])</f>
        <v>0</v>
      </c>
      <c r="CL480" s="3">
        <f>+IF(AVANCE[[#This Row],[MEMBRANA CIELO]]=AY$2,100%,AVANCE[[#This Row],[MEMBRANA CIELO]])</f>
        <v>0</v>
      </c>
      <c r="CM480" s="3">
        <f>+IF(AVANCE[[#This Row],[LIMPIEZA FINAL]]=AZ$2,100%,AVANCE[[#This Row],[LIMPIEZA FINAL]])</f>
        <v>0</v>
      </c>
      <c r="CN480" s="3">
        <f>+IF(AVANCE[[#This Row],[PUERTAS DORMITORIO]]=BA$2,100%,AVANCE[[#This Row],[PUERTAS DORMITORIO]])</f>
        <v>0</v>
      </c>
      <c r="CO480" s="3">
        <f>+IF(AVANCE[[#This Row],[REVESTIMIENTO INTERIOR BANO]]=BB$2,100%,AVANCE[[#This Row],[REVESTIMIENTO INTERIOR BANO]])</f>
        <v>0</v>
      </c>
      <c r="CP480" s="3">
        <f>+IF(AVANCE[[#This Row],[MUEBLE LAVAPLATOS]]=BC$2,100%,AVANCE[[#This Row],[MUEBLE LAVAPLATOS]])</f>
        <v>0</v>
      </c>
      <c r="CQ480" s="3">
        <f>+IF(AVANCE[[#This Row],[IMPERMEABILIZACION BANO - COCINA LOGIA]]=BD$2,100%,AVANCE[[#This Row],[IMPERMEABILIZACION BANO - COCINA LOGIA]])</f>
        <v>0</v>
      </c>
      <c r="CR480" s="40">
        <f ca="1">+IF(AVANCE[[#This Row],[ESTADO MODULO]]="PENDIENTE",(TODAY()-AVANCE[[#This Row],[FECHA TERMINO  PLANIFICADO]]),0)</f>
        <v>0</v>
      </c>
      <c r="CS480" s="42" t="str" cm="1">
        <f t="array" ref="CS480">_xlfn.TEXTJOIN(" | ",TRUE,IF(SUMPRODUCT((BF480:CQ480&lt;1)*(PARTIDAS!$I$2:$AT$2="OBRA GRUESA"))&gt;0,"OBRA GRUESA: "&amp;_xlfn.TEXTJOIN(", ",TRUE,IF((BF480:CQ480&lt;1)*(PARTIDAS!$I$2:$AT$2="OBRA GRUESA"),PARTIDAS!$I$1:$AT$1,"")),""),IF(SUMPRODUCT((BF480:CQ480&lt;1)*(PARTIDAS!$I$2:$AT$2="SANITARIOS"))&gt;0,"SANITARIOS: "&amp;_xlfn.TEXTJOIN(", ",TRUE,IF((BF480:CQ480&lt;1)*(PARTIDAS!$I$2:$AT$2="SANITARIOS"),PARTIDAS!$I$1:$AT$1,"")),""),IF(SUMPRODUCT((BF480:CQ480&lt;1)*(PARTIDAS!$I$2:$AT$2="ELÉCTRICO"))&gt;0,"ELÉCTRICO: "&amp;_xlfn.TEXTJOIN(", ",TRUE,IF((BF480:CQ480&lt;1)*(PARTIDAS!$I$2:$AT$2="ELÉCTRICO"),PARTIDAS!$I$1:$AT$1,"")),""),IF(SUMPRODUCT((BF480:CQ480&lt;1)*(PARTIDAS!$I$2:$AT$2="TERMINACIONES"))&gt;0,"TERMINACIONES: "&amp;_xlfn.TEXTJOIN(", ",TRUE,IF((BF480:CQ480&lt;1)*(PARTIDAS!$I$2:$AT$2="TERMINACIONES"),PARTIDAS!$I$1:$AT$1,"")),""))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0" s="45" t="str" cm="1">
        <f t="array" ref="CT480">_xlfn.TEXTJOIN(", ",TRUE,IF(SUMPRODUCT((BF480:CQ480&lt;1)*(PARTIDAS!$I$2:$AT$2="OBRA GRUESA"))&gt;0,"OBRA GRUESA",""),IF(SUMPRODUCT((BF480:CQ480&lt;1)*(PARTIDAS!$I$2:$AT$2="SANITARIOS"))&gt;0,"SANITARIOS",""),IF(SUMPRODUCT((BF480:CQ480&lt;1)*(PARTIDAS!$I$2:$AT$2="ELÉCTRICO"))&gt;0,"ELÉCTRICO",""),IF(SUMPRODUCT((BF480:CQ480&lt;1)*(PARTIDAS!$I$2:$AT$2="TERMINACIONES"))&gt;0,"TERMINACIONES",""))</f>
        <v>OBRA GRUESA, SANITARIOS, ELÉCTRICO, TERMINACIONES</v>
      </c>
      <c r="CU480" s="46" cm="1">
        <f t="array" ref="CU480">SUMPRODUCT(--(BF480:CQ480&lt;1))</f>
        <v>38</v>
      </c>
    </row>
    <row r="481" spans="1:99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46181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 s="3" t="str">
        <f>+IF(AVANCE[[#This Row],[% AVANCE]]=100%,"MODULO TERMINADO",IF(AVANCE[[#This Row],[FECHA INICIO REAL]]="","MODULO NO INICIADO","PENDIENTE"))</f>
        <v>MODULO NO INICIADO</v>
      </c>
      <c r="BF481" s="3">
        <f>+IF(AVANCE[[#This Row],[VENTANAS]]=8.10810810810811%,100%,AVANCE[[#This Row],[VENTANAS]])</f>
        <v>0</v>
      </c>
      <c r="BG481" s="3">
        <f>+IF(AVANCE[[#This Row],[PISO]]=N$2,100%,AVANCE[[#This Row],[PISO]])</f>
        <v>0</v>
      </c>
      <c r="BH481" s="3">
        <f>+IF(AVANCE[[#This Row],[TABIQUES]]=O$2,100%,AVANCE[[#This Row],[TABIQUES]])</f>
        <v>0</v>
      </c>
      <c r="BI481" s="3">
        <f>+IF(AVANCE[[#This Row],[MUROS]]=P$2,100%,AVANCE[[#This Row],[MUROS]])</f>
        <v>0</v>
      </c>
      <c r="BJ481" s="3">
        <f>+IF(AVANCE[[#This Row],[CIELO]]=Q$2,100%,AVANCE[[#This Row],[CIELO]])</f>
        <v>0</v>
      </c>
      <c r="BK481" s="3">
        <f>+IF(AVANCE[[#This Row],[BALCÓN]]=R$2,100%,AVANCE[[#This Row],[BALCÓN]])</f>
        <v>0</v>
      </c>
      <c r="BL481" s="3">
        <f>+IF(AVANCE[[#This Row],[RED ALCANTARILLADO]]=U$2,100%,AVANCE[[#This Row],[RED ALCANTARILLADO]])</f>
        <v>0</v>
      </c>
      <c r="BM481" s="3">
        <f>+IF(AVANCE[[#This Row],[RED DE AGUA]]=V$2,100%,AVANCE[[#This Row],[RED DE AGUA]])</f>
        <v>0</v>
      </c>
      <c r="BN481" s="3">
        <f>+IF(AVANCE[[#This Row],[VENTILACIONES]]=W$2,100%,AVANCE[[#This Row],[VENTILACIONES]])</f>
        <v>0</v>
      </c>
      <c r="BO481" s="3">
        <f>+IF(AVANCE[[#This Row],[TINA]]=X$2,100%,AVANCE[[#This Row],[TINA]])</f>
        <v>0</v>
      </c>
      <c r="BP481" s="3">
        <f>+IF(AVANCE[[#This Row],[WC]]=Y$2,100%,AVANCE[[#This Row],[WC]])</f>
        <v>0</v>
      </c>
      <c r="BQ481" s="3">
        <f>+IF(AVANCE[[#This Row],[LAVAMANOS / LAVAPLATOS / LAVADERO]]=Z$2,100%,AVANCE[[#This Row],[LAVAMANOS / LAVAPLATOS / LAVADERO]])</f>
        <v>0</v>
      </c>
      <c r="BR481" s="3">
        <f>+IF(AVANCE[[#This Row],[CANALIZACIÓN]]=AC$2,100%,AVANCE[[#This Row],[CANALIZACIÓN]])</f>
        <v>0</v>
      </c>
      <c r="BS481" s="3">
        <f>+IF(AVANCE[[#This Row],[CABLEADO]]=AD$2,100%,AVANCE[[#This Row],[CABLEADO]])</f>
        <v>0</v>
      </c>
      <c r="BT481" s="3">
        <f>+IF(AVANCE[[#This Row],[ARTEFACTOS]]=AE$2,100%,AVANCE[[#This Row],[ARTEFACTOS]])</f>
        <v>0</v>
      </c>
      <c r="BU481" s="3">
        <f>+IF(AVANCE[[#This Row],[TABLERO]]=AF$2,100%,AVANCE[[#This Row],[TABLERO]])</f>
        <v>0</v>
      </c>
      <c r="BV481" s="3">
        <f>+IF(AVANCE[[#This Row],[CAJA PAU]]=AG$2,100%,AVANCE[[#This Row],[CAJA PAU]])</f>
        <v>0</v>
      </c>
      <c r="BW481" s="3">
        <f>+IF(AVANCE[[#This Row],[INSTALACION VINILICO]]=AJ$2,100%,AVANCE[[#This Row],[INSTALACION VINILICO]])</f>
        <v>0</v>
      </c>
      <c r="BX481" s="3">
        <f>+IF(AVANCE[[#This Row],[OSB CUBIERTA]]=AK$2,100%,AVANCE[[#This Row],[OSB CUBIERTA]])</f>
        <v>0</v>
      </c>
      <c r="BY481" s="3">
        <f>+IF(AVANCE[[#This Row],[BARANDA BALCON]]=AL$2,100%,AVANCE[[#This Row],[BARANDA BALCON]])</f>
        <v>0</v>
      </c>
      <c r="BZ481" s="3">
        <f>+IF(AVANCE[[#This Row],[OSB EXTERIOR]]=AM$2,100%,AVANCE[[#This Row],[OSB EXTERIOR]])</f>
        <v>0</v>
      </c>
      <c r="CA481" s="3">
        <f>+IF(AVANCE[[#This Row],[SMART PANEL]]=AN$2,100%,AVANCE[[#This Row],[SMART PANEL]])</f>
        <v>0</v>
      </c>
      <c r="CB481" s="3">
        <f>+IF(AVANCE[[#This Row],[PINTURA EXTERIOR]]=AO$2,100%,AVANCE[[#This Row],[PINTURA EXTERIOR]])</f>
        <v>0</v>
      </c>
      <c r="CC481" s="3">
        <f>+IF(AVANCE[[#This Row],[ZOCALOS LOGIA]]=AP$2,100%,AVANCE[[#This Row],[ZOCALOS LOGIA]])</f>
        <v>0</v>
      </c>
      <c r="CD481" s="3">
        <f>+IF(AVANCE[[#This Row],[MOLDURAS]]=AQ$2,100%,AVANCE[[#This Row],[MOLDURAS]])</f>
        <v>0</v>
      </c>
      <c r="CE481" s="3">
        <f>+IF(AVANCE[[#This Row],[PILASTREO]]=AR$2,100%,AVANCE[[#This Row],[PILASTREO]])</f>
        <v>0</v>
      </c>
      <c r="CF481" s="3">
        <f>+IF(AVANCE[[#This Row],[CELOSIAS]]=AS$2,100%,AVANCE[[#This Row],[CELOSIAS]])</f>
        <v>0</v>
      </c>
      <c r="CG481" s="3">
        <f>+IF(AVANCE[[#This Row],[VENTANAS]]=AT$2,100%,AVANCE[[#This Row],[VENTANAS]])</f>
        <v>0</v>
      </c>
      <c r="CH481" s="3">
        <f>+IF(AVANCE[[#This Row],[PUERTAS ACCESO - LOGIA - BANO]]=AU$2,100%,AVANCE[[#This Row],[PUERTAS ACCESO - LOGIA - BANO]])</f>
        <v>0</v>
      </c>
      <c r="CI481" s="3">
        <f>+IF(AVANCE[[#This Row],[CERRADURAS]]=AV$2,100%,AVANCE[[#This Row],[CERRADURAS]])</f>
        <v>0</v>
      </c>
      <c r="CJ481" s="3">
        <f>+IF(AVANCE[[#This Row],[REVESTIMIENTO INTERIOR ZONA SECA]]=AW$2,100%,AVANCE[[#This Row],[REVESTIMIENTO INTERIOR ZONA SECA]])</f>
        <v>0</v>
      </c>
      <c r="CK481" s="3">
        <f>+IF(AVANCE[[#This Row],[REVESTIMIENTO INTERIOR ZONAS HUMEDAS]]=AX$2,100%,AVANCE[[#This Row],[REVESTIMIENTO INTERIOR ZONAS HUMEDAS]])</f>
        <v>0</v>
      </c>
      <c r="CL481" s="3">
        <f>+IF(AVANCE[[#This Row],[MEMBRANA CIELO]]=AY$2,100%,AVANCE[[#This Row],[MEMBRANA CIELO]])</f>
        <v>0</v>
      </c>
      <c r="CM481" s="3">
        <f>+IF(AVANCE[[#This Row],[LIMPIEZA FINAL]]=AZ$2,100%,AVANCE[[#This Row],[LIMPIEZA FINAL]])</f>
        <v>0</v>
      </c>
      <c r="CN481" s="3">
        <f>+IF(AVANCE[[#This Row],[PUERTAS DORMITORIO]]=BA$2,100%,AVANCE[[#This Row],[PUERTAS DORMITORIO]])</f>
        <v>0</v>
      </c>
      <c r="CO481" s="3">
        <f>+IF(AVANCE[[#This Row],[REVESTIMIENTO INTERIOR BANO]]=BB$2,100%,AVANCE[[#This Row],[REVESTIMIENTO INTERIOR BANO]])</f>
        <v>0</v>
      </c>
      <c r="CP481" s="3">
        <f>+IF(AVANCE[[#This Row],[MUEBLE LAVAPLATOS]]=BC$2,100%,AVANCE[[#This Row],[MUEBLE LAVAPLATOS]])</f>
        <v>0</v>
      </c>
      <c r="CQ481" s="3">
        <f>+IF(AVANCE[[#This Row],[IMPERMEABILIZACION BANO - COCINA LOGIA]]=BD$2,100%,AVANCE[[#This Row],[IMPERMEABILIZACION BANO - COCINA LOGIA]])</f>
        <v>0</v>
      </c>
      <c r="CR481" s="40">
        <f ca="1">+IF(AVANCE[[#This Row],[ESTADO MODULO]]="PENDIENTE",(TODAY()-AVANCE[[#This Row],[FECHA TERMINO  PLANIFICADO]]),0)</f>
        <v>0</v>
      </c>
      <c r="CS481" s="42" t="str" cm="1">
        <f t="array" ref="CS481">_xlfn.TEXTJOIN(" | ",TRUE,IF(SUMPRODUCT((BF481:CQ481&lt;1)*(PARTIDAS!$I$2:$AT$2="OBRA GRUESA"))&gt;0,"OBRA GRUESA: "&amp;_xlfn.TEXTJOIN(", ",TRUE,IF((BF481:CQ481&lt;1)*(PARTIDAS!$I$2:$AT$2="OBRA GRUESA"),PARTIDAS!$I$1:$AT$1,"")),""),IF(SUMPRODUCT((BF481:CQ481&lt;1)*(PARTIDAS!$I$2:$AT$2="SANITARIOS"))&gt;0,"SANITARIOS: "&amp;_xlfn.TEXTJOIN(", ",TRUE,IF((BF481:CQ481&lt;1)*(PARTIDAS!$I$2:$AT$2="SANITARIOS"),PARTIDAS!$I$1:$AT$1,"")),""),IF(SUMPRODUCT((BF481:CQ481&lt;1)*(PARTIDAS!$I$2:$AT$2="ELÉCTRICO"))&gt;0,"ELÉCTRICO: "&amp;_xlfn.TEXTJOIN(", ",TRUE,IF((BF481:CQ481&lt;1)*(PARTIDAS!$I$2:$AT$2="ELÉCTRICO"),PARTIDAS!$I$1:$AT$1,"")),""),IF(SUMPRODUCT((BF481:CQ481&lt;1)*(PARTIDAS!$I$2:$AT$2="TERMINACIONES"))&gt;0,"TERMINACIONES: "&amp;_xlfn.TEXTJOIN(", ",TRUE,IF((BF481:CQ481&lt;1)*(PARTIDAS!$I$2:$AT$2="TERMINACIONES"),PARTIDAS!$I$1:$AT$1,"")),""))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1" s="45" t="str" cm="1">
        <f t="array" ref="CT481">_xlfn.TEXTJOIN(", ",TRUE,IF(SUMPRODUCT((BF481:CQ481&lt;1)*(PARTIDAS!$I$2:$AT$2="OBRA GRUESA"))&gt;0,"OBRA GRUESA",""),IF(SUMPRODUCT((BF481:CQ481&lt;1)*(PARTIDAS!$I$2:$AT$2="SANITARIOS"))&gt;0,"SANITARIOS",""),IF(SUMPRODUCT((BF481:CQ481&lt;1)*(PARTIDAS!$I$2:$AT$2="ELÉCTRICO"))&gt;0,"ELÉCTRICO",""),IF(SUMPRODUCT((BF481:CQ481&lt;1)*(PARTIDAS!$I$2:$AT$2="TERMINACIONES"))&gt;0,"TERMINACIONES",""))</f>
        <v>OBRA GRUESA, SANITARIOS, ELÉCTRICO, TERMINACIONES</v>
      </c>
      <c r="CU481" s="46" cm="1">
        <f t="array" ref="CU481">SUMPRODUCT(--(BF481:CQ481&lt;1))</f>
        <v>38</v>
      </c>
    </row>
    <row r="482" spans="1:99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46181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 s="3" t="str">
        <f>+IF(AVANCE[[#This Row],[% AVANCE]]=100%,"MODULO TERMINADO",IF(AVANCE[[#This Row],[FECHA INICIO REAL]]="","MODULO NO INICIADO","PENDIENTE"))</f>
        <v>MODULO NO INICIADO</v>
      </c>
      <c r="BF482" s="3">
        <f>+IF(AVANCE[[#This Row],[VENTANAS]]=8.10810810810811%,100%,AVANCE[[#This Row],[VENTANAS]])</f>
        <v>0</v>
      </c>
      <c r="BG482" s="3">
        <f>+IF(AVANCE[[#This Row],[PISO]]=N$2,100%,AVANCE[[#This Row],[PISO]])</f>
        <v>0</v>
      </c>
      <c r="BH482" s="3">
        <f>+IF(AVANCE[[#This Row],[TABIQUES]]=O$2,100%,AVANCE[[#This Row],[TABIQUES]])</f>
        <v>0</v>
      </c>
      <c r="BI482" s="3">
        <f>+IF(AVANCE[[#This Row],[MUROS]]=P$2,100%,AVANCE[[#This Row],[MUROS]])</f>
        <v>0</v>
      </c>
      <c r="BJ482" s="3">
        <f>+IF(AVANCE[[#This Row],[CIELO]]=Q$2,100%,AVANCE[[#This Row],[CIELO]])</f>
        <v>0</v>
      </c>
      <c r="BK482" s="3">
        <f>+IF(AVANCE[[#This Row],[BALCÓN]]=R$2,100%,AVANCE[[#This Row],[BALCÓN]])</f>
        <v>0</v>
      </c>
      <c r="BL482" s="3">
        <f>+IF(AVANCE[[#This Row],[RED ALCANTARILLADO]]=U$2,100%,AVANCE[[#This Row],[RED ALCANTARILLADO]])</f>
        <v>0</v>
      </c>
      <c r="BM482" s="3">
        <f>+IF(AVANCE[[#This Row],[RED DE AGUA]]=V$2,100%,AVANCE[[#This Row],[RED DE AGUA]])</f>
        <v>0</v>
      </c>
      <c r="BN482" s="3">
        <f>+IF(AVANCE[[#This Row],[VENTILACIONES]]=W$2,100%,AVANCE[[#This Row],[VENTILACIONES]])</f>
        <v>0</v>
      </c>
      <c r="BO482" s="3">
        <f>+IF(AVANCE[[#This Row],[TINA]]=X$2,100%,AVANCE[[#This Row],[TINA]])</f>
        <v>0</v>
      </c>
      <c r="BP482" s="3">
        <f>+IF(AVANCE[[#This Row],[WC]]=Y$2,100%,AVANCE[[#This Row],[WC]])</f>
        <v>0</v>
      </c>
      <c r="BQ482" s="3">
        <f>+IF(AVANCE[[#This Row],[LAVAMANOS / LAVAPLATOS / LAVADERO]]=Z$2,100%,AVANCE[[#This Row],[LAVAMANOS / LAVAPLATOS / LAVADERO]])</f>
        <v>0</v>
      </c>
      <c r="BR482" s="3">
        <f>+IF(AVANCE[[#This Row],[CANALIZACIÓN]]=AC$2,100%,AVANCE[[#This Row],[CANALIZACIÓN]])</f>
        <v>0</v>
      </c>
      <c r="BS482" s="3">
        <f>+IF(AVANCE[[#This Row],[CABLEADO]]=AD$2,100%,AVANCE[[#This Row],[CABLEADO]])</f>
        <v>0</v>
      </c>
      <c r="BT482" s="3">
        <f>+IF(AVANCE[[#This Row],[ARTEFACTOS]]=AE$2,100%,AVANCE[[#This Row],[ARTEFACTOS]])</f>
        <v>0</v>
      </c>
      <c r="BU482" s="3">
        <f>+IF(AVANCE[[#This Row],[TABLERO]]=AF$2,100%,AVANCE[[#This Row],[TABLERO]])</f>
        <v>0</v>
      </c>
      <c r="BV482" s="3">
        <f>+IF(AVANCE[[#This Row],[CAJA PAU]]=AG$2,100%,AVANCE[[#This Row],[CAJA PAU]])</f>
        <v>0</v>
      </c>
      <c r="BW482" s="3">
        <f>+IF(AVANCE[[#This Row],[INSTALACION VINILICO]]=AJ$2,100%,AVANCE[[#This Row],[INSTALACION VINILICO]])</f>
        <v>0</v>
      </c>
      <c r="BX482" s="3">
        <f>+IF(AVANCE[[#This Row],[OSB CUBIERTA]]=AK$2,100%,AVANCE[[#This Row],[OSB CUBIERTA]])</f>
        <v>0</v>
      </c>
      <c r="BY482" s="3">
        <f>+IF(AVANCE[[#This Row],[BARANDA BALCON]]=AL$2,100%,AVANCE[[#This Row],[BARANDA BALCON]])</f>
        <v>0</v>
      </c>
      <c r="BZ482" s="3">
        <f>+IF(AVANCE[[#This Row],[OSB EXTERIOR]]=AM$2,100%,AVANCE[[#This Row],[OSB EXTERIOR]])</f>
        <v>0</v>
      </c>
      <c r="CA482" s="3">
        <f>+IF(AVANCE[[#This Row],[SMART PANEL]]=AN$2,100%,AVANCE[[#This Row],[SMART PANEL]])</f>
        <v>0</v>
      </c>
      <c r="CB482" s="3">
        <f>+IF(AVANCE[[#This Row],[PINTURA EXTERIOR]]=AO$2,100%,AVANCE[[#This Row],[PINTURA EXTERIOR]])</f>
        <v>0</v>
      </c>
      <c r="CC482" s="3">
        <f>+IF(AVANCE[[#This Row],[ZOCALOS LOGIA]]=AP$2,100%,AVANCE[[#This Row],[ZOCALOS LOGIA]])</f>
        <v>0</v>
      </c>
      <c r="CD482" s="3">
        <f>+IF(AVANCE[[#This Row],[MOLDURAS]]=AQ$2,100%,AVANCE[[#This Row],[MOLDURAS]])</f>
        <v>0</v>
      </c>
      <c r="CE482" s="3">
        <f>+IF(AVANCE[[#This Row],[PILASTREO]]=AR$2,100%,AVANCE[[#This Row],[PILASTREO]])</f>
        <v>0</v>
      </c>
      <c r="CF482" s="3">
        <f>+IF(AVANCE[[#This Row],[CELOSIAS]]=AS$2,100%,AVANCE[[#This Row],[CELOSIAS]])</f>
        <v>0</v>
      </c>
      <c r="CG482" s="3">
        <f>+IF(AVANCE[[#This Row],[VENTANAS]]=AT$2,100%,AVANCE[[#This Row],[VENTANAS]])</f>
        <v>0</v>
      </c>
      <c r="CH482" s="3">
        <f>+IF(AVANCE[[#This Row],[PUERTAS ACCESO - LOGIA - BANO]]=AU$2,100%,AVANCE[[#This Row],[PUERTAS ACCESO - LOGIA - BANO]])</f>
        <v>0</v>
      </c>
      <c r="CI482" s="3">
        <f>+IF(AVANCE[[#This Row],[CERRADURAS]]=AV$2,100%,AVANCE[[#This Row],[CERRADURAS]])</f>
        <v>0</v>
      </c>
      <c r="CJ482" s="3">
        <f>+IF(AVANCE[[#This Row],[REVESTIMIENTO INTERIOR ZONA SECA]]=AW$2,100%,AVANCE[[#This Row],[REVESTIMIENTO INTERIOR ZONA SECA]])</f>
        <v>0</v>
      </c>
      <c r="CK482" s="3">
        <f>+IF(AVANCE[[#This Row],[REVESTIMIENTO INTERIOR ZONAS HUMEDAS]]=AX$2,100%,AVANCE[[#This Row],[REVESTIMIENTO INTERIOR ZONAS HUMEDAS]])</f>
        <v>0</v>
      </c>
      <c r="CL482" s="3">
        <f>+IF(AVANCE[[#This Row],[MEMBRANA CIELO]]=AY$2,100%,AVANCE[[#This Row],[MEMBRANA CIELO]])</f>
        <v>0</v>
      </c>
      <c r="CM482" s="3">
        <f>+IF(AVANCE[[#This Row],[LIMPIEZA FINAL]]=AZ$2,100%,AVANCE[[#This Row],[LIMPIEZA FINAL]])</f>
        <v>0</v>
      </c>
      <c r="CN482" s="3">
        <f>+IF(AVANCE[[#This Row],[PUERTAS DORMITORIO]]=BA$2,100%,AVANCE[[#This Row],[PUERTAS DORMITORIO]])</f>
        <v>0</v>
      </c>
      <c r="CO482" s="3">
        <f>+IF(AVANCE[[#This Row],[REVESTIMIENTO INTERIOR BANO]]=BB$2,100%,AVANCE[[#This Row],[REVESTIMIENTO INTERIOR BANO]])</f>
        <v>0</v>
      </c>
      <c r="CP482" s="3">
        <f>+IF(AVANCE[[#This Row],[MUEBLE LAVAPLATOS]]=BC$2,100%,AVANCE[[#This Row],[MUEBLE LAVAPLATOS]])</f>
        <v>0</v>
      </c>
      <c r="CQ482" s="3">
        <f>+IF(AVANCE[[#This Row],[IMPERMEABILIZACION BANO - COCINA LOGIA]]=BD$2,100%,AVANCE[[#This Row],[IMPERMEABILIZACION BANO - COCINA LOGIA]])</f>
        <v>0</v>
      </c>
      <c r="CR482" s="40">
        <f ca="1">+IF(AVANCE[[#This Row],[ESTADO MODULO]]="PENDIENTE",(TODAY()-AVANCE[[#This Row],[FECHA TERMINO  PLANIFICADO]]),0)</f>
        <v>0</v>
      </c>
      <c r="CS482" s="42" t="str" cm="1">
        <f t="array" ref="CS482">_xlfn.TEXTJOIN(" | ",TRUE,IF(SUMPRODUCT((BF482:CQ482&lt;1)*(PARTIDAS!$I$2:$AT$2="OBRA GRUESA"))&gt;0,"OBRA GRUESA: "&amp;_xlfn.TEXTJOIN(", ",TRUE,IF((BF482:CQ482&lt;1)*(PARTIDAS!$I$2:$AT$2="OBRA GRUESA"),PARTIDAS!$I$1:$AT$1,"")),""),IF(SUMPRODUCT((BF482:CQ482&lt;1)*(PARTIDAS!$I$2:$AT$2="SANITARIOS"))&gt;0,"SANITARIOS: "&amp;_xlfn.TEXTJOIN(", ",TRUE,IF((BF482:CQ482&lt;1)*(PARTIDAS!$I$2:$AT$2="SANITARIOS"),PARTIDAS!$I$1:$AT$1,"")),""),IF(SUMPRODUCT((BF482:CQ482&lt;1)*(PARTIDAS!$I$2:$AT$2="ELÉCTRICO"))&gt;0,"ELÉCTRICO: "&amp;_xlfn.TEXTJOIN(", ",TRUE,IF((BF482:CQ482&lt;1)*(PARTIDAS!$I$2:$AT$2="ELÉCTRICO"),PARTIDAS!$I$1:$AT$1,"")),""),IF(SUMPRODUCT((BF482:CQ482&lt;1)*(PARTIDAS!$I$2:$AT$2="TERMINACIONES"))&gt;0,"TERMINACIONES: "&amp;_xlfn.TEXTJOIN(", ",TRUE,IF((BF482:CQ482&lt;1)*(PARTIDAS!$I$2:$AT$2="TERMINACIONES"),PARTIDAS!$I$1:$AT$1,"")),""))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2" s="45" t="str" cm="1">
        <f t="array" ref="CT482">_xlfn.TEXTJOIN(", ",TRUE,IF(SUMPRODUCT((BF482:CQ482&lt;1)*(PARTIDAS!$I$2:$AT$2="OBRA GRUESA"))&gt;0,"OBRA GRUESA",""),IF(SUMPRODUCT((BF482:CQ482&lt;1)*(PARTIDAS!$I$2:$AT$2="SANITARIOS"))&gt;0,"SANITARIOS",""),IF(SUMPRODUCT((BF482:CQ482&lt;1)*(PARTIDAS!$I$2:$AT$2="ELÉCTRICO"))&gt;0,"ELÉCTRICO",""),IF(SUMPRODUCT((BF482:CQ482&lt;1)*(PARTIDAS!$I$2:$AT$2="TERMINACIONES"))&gt;0,"TERMINACIONES",""))</f>
        <v>OBRA GRUESA, SANITARIOS, ELÉCTRICO, TERMINACIONES</v>
      </c>
      <c r="CU482" s="46" cm="1">
        <f t="array" ref="CU482">SUMPRODUCT(--(BF482:CQ482&lt;1))</f>
        <v>38</v>
      </c>
    </row>
    <row r="483" spans="1:99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46181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 s="3" t="str">
        <f>+IF(AVANCE[[#This Row],[% AVANCE]]=100%,"MODULO TERMINADO",IF(AVANCE[[#This Row],[FECHA INICIO REAL]]="","MODULO NO INICIADO","PENDIENTE"))</f>
        <v>MODULO NO INICIADO</v>
      </c>
      <c r="BF483" s="3">
        <f>+IF(AVANCE[[#This Row],[VENTANAS]]=8.10810810810811%,100%,AVANCE[[#This Row],[VENTANAS]])</f>
        <v>0</v>
      </c>
      <c r="BG483" s="3">
        <f>+IF(AVANCE[[#This Row],[PISO]]=N$2,100%,AVANCE[[#This Row],[PISO]])</f>
        <v>0</v>
      </c>
      <c r="BH483" s="3">
        <f>+IF(AVANCE[[#This Row],[TABIQUES]]=O$2,100%,AVANCE[[#This Row],[TABIQUES]])</f>
        <v>0</v>
      </c>
      <c r="BI483" s="3">
        <f>+IF(AVANCE[[#This Row],[MUROS]]=P$2,100%,AVANCE[[#This Row],[MUROS]])</f>
        <v>0</v>
      </c>
      <c r="BJ483" s="3">
        <f>+IF(AVANCE[[#This Row],[CIELO]]=Q$2,100%,AVANCE[[#This Row],[CIELO]])</f>
        <v>0</v>
      </c>
      <c r="BK483" s="3">
        <f>+IF(AVANCE[[#This Row],[BALCÓN]]=R$2,100%,AVANCE[[#This Row],[BALCÓN]])</f>
        <v>0</v>
      </c>
      <c r="BL483" s="3">
        <f>+IF(AVANCE[[#This Row],[RED ALCANTARILLADO]]=U$2,100%,AVANCE[[#This Row],[RED ALCANTARILLADO]])</f>
        <v>0</v>
      </c>
      <c r="BM483" s="3">
        <f>+IF(AVANCE[[#This Row],[RED DE AGUA]]=V$2,100%,AVANCE[[#This Row],[RED DE AGUA]])</f>
        <v>0</v>
      </c>
      <c r="BN483" s="3">
        <f>+IF(AVANCE[[#This Row],[VENTILACIONES]]=W$2,100%,AVANCE[[#This Row],[VENTILACIONES]])</f>
        <v>0</v>
      </c>
      <c r="BO483" s="3">
        <f>+IF(AVANCE[[#This Row],[TINA]]=X$2,100%,AVANCE[[#This Row],[TINA]])</f>
        <v>0</v>
      </c>
      <c r="BP483" s="3">
        <f>+IF(AVANCE[[#This Row],[WC]]=Y$2,100%,AVANCE[[#This Row],[WC]])</f>
        <v>0</v>
      </c>
      <c r="BQ483" s="3">
        <f>+IF(AVANCE[[#This Row],[LAVAMANOS / LAVAPLATOS / LAVADERO]]=Z$2,100%,AVANCE[[#This Row],[LAVAMANOS / LAVAPLATOS / LAVADERO]])</f>
        <v>0</v>
      </c>
      <c r="BR483" s="3">
        <f>+IF(AVANCE[[#This Row],[CANALIZACIÓN]]=AC$2,100%,AVANCE[[#This Row],[CANALIZACIÓN]])</f>
        <v>0</v>
      </c>
      <c r="BS483" s="3">
        <f>+IF(AVANCE[[#This Row],[CABLEADO]]=AD$2,100%,AVANCE[[#This Row],[CABLEADO]])</f>
        <v>0</v>
      </c>
      <c r="BT483" s="3">
        <f>+IF(AVANCE[[#This Row],[ARTEFACTOS]]=AE$2,100%,AVANCE[[#This Row],[ARTEFACTOS]])</f>
        <v>0</v>
      </c>
      <c r="BU483" s="3">
        <f>+IF(AVANCE[[#This Row],[TABLERO]]=AF$2,100%,AVANCE[[#This Row],[TABLERO]])</f>
        <v>0</v>
      </c>
      <c r="BV483" s="3">
        <f>+IF(AVANCE[[#This Row],[CAJA PAU]]=AG$2,100%,AVANCE[[#This Row],[CAJA PAU]])</f>
        <v>0</v>
      </c>
      <c r="BW483" s="3">
        <f>+IF(AVANCE[[#This Row],[INSTALACION VINILICO]]=AJ$2,100%,AVANCE[[#This Row],[INSTALACION VINILICO]])</f>
        <v>0</v>
      </c>
      <c r="BX483" s="3">
        <f>+IF(AVANCE[[#This Row],[OSB CUBIERTA]]=AK$2,100%,AVANCE[[#This Row],[OSB CUBIERTA]])</f>
        <v>0</v>
      </c>
      <c r="BY483" s="3">
        <f>+IF(AVANCE[[#This Row],[BARANDA BALCON]]=AL$2,100%,AVANCE[[#This Row],[BARANDA BALCON]])</f>
        <v>0</v>
      </c>
      <c r="BZ483" s="3">
        <f>+IF(AVANCE[[#This Row],[OSB EXTERIOR]]=AM$2,100%,AVANCE[[#This Row],[OSB EXTERIOR]])</f>
        <v>0</v>
      </c>
      <c r="CA483" s="3">
        <f>+IF(AVANCE[[#This Row],[SMART PANEL]]=AN$2,100%,AVANCE[[#This Row],[SMART PANEL]])</f>
        <v>0</v>
      </c>
      <c r="CB483" s="3">
        <f>+IF(AVANCE[[#This Row],[PINTURA EXTERIOR]]=AO$2,100%,AVANCE[[#This Row],[PINTURA EXTERIOR]])</f>
        <v>0</v>
      </c>
      <c r="CC483" s="3">
        <f>+IF(AVANCE[[#This Row],[ZOCALOS LOGIA]]=AP$2,100%,AVANCE[[#This Row],[ZOCALOS LOGIA]])</f>
        <v>0</v>
      </c>
      <c r="CD483" s="3">
        <f>+IF(AVANCE[[#This Row],[MOLDURAS]]=AQ$2,100%,AVANCE[[#This Row],[MOLDURAS]])</f>
        <v>0</v>
      </c>
      <c r="CE483" s="3">
        <f>+IF(AVANCE[[#This Row],[PILASTREO]]=AR$2,100%,AVANCE[[#This Row],[PILASTREO]])</f>
        <v>0</v>
      </c>
      <c r="CF483" s="3">
        <f>+IF(AVANCE[[#This Row],[CELOSIAS]]=AS$2,100%,AVANCE[[#This Row],[CELOSIAS]])</f>
        <v>0</v>
      </c>
      <c r="CG483" s="3">
        <f>+IF(AVANCE[[#This Row],[VENTANAS]]=AT$2,100%,AVANCE[[#This Row],[VENTANAS]])</f>
        <v>0</v>
      </c>
      <c r="CH483" s="3">
        <f>+IF(AVANCE[[#This Row],[PUERTAS ACCESO - LOGIA - BANO]]=AU$2,100%,AVANCE[[#This Row],[PUERTAS ACCESO - LOGIA - BANO]])</f>
        <v>0</v>
      </c>
      <c r="CI483" s="3">
        <f>+IF(AVANCE[[#This Row],[CERRADURAS]]=AV$2,100%,AVANCE[[#This Row],[CERRADURAS]])</f>
        <v>0</v>
      </c>
      <c r="CJ483" s="3">
        <f>+IF(AVANCE[[#This Row],[REVESTIMIENTO INTERIOR ZONA SECA]]=AW$2,100%,AVANCE[[#This Row],[REVESTIMIENTO INTERIOR ZONA SECA]])</f>
        <v>0</v>
      </c>
      <c r="CK483" s="3">
        <f>+IF(AVANCE[[#This Row],[REVESTIMIENTO INTERIOR ZONAS HUMEDAS]]=AX$2,100%,AVANCE[[#This Row],[REVESTIMIENTO INTERIOR ZONAS HUMEDAS]])</f>
        <v>0</v>
      </c>
      <c r="CL483" s="3">
        <f>+IF(AVANCE[[#This Row],[MEMBRANA CIELO]]=AY$2,100%,AVANCE[[#This Row],[MEMBRANA CIELO]])</f>
        <v>0</v>
      </c>
      <c r="CM483" s="3">
        <f>+IF(AVANCE[[#This Row],[LIMPIEZA FINAL]]=AZ$2,100%,AVANCE[[#This Row],[LIMPIEZA FINAL]])</f>
        <v>0</v>
      </c>
      <c r="CN483" s="3">
        <f>+IF(AVANCE[[#This Row],[PUERTAS DORMITORIO]]=BA$2,100%,AVANCE[[#This Row],[PUERTAS DORMITORIO]])</f>
        <v>0</v>
      </c>
      <c r="CO483" s="3">
        <f>+IF(AVANCE[[#This Row],[REVESTIMIENTO INTERIOR BANO]]=BB$2,100%,AVANCE[[#This Row],[REVESTIMIENTO INTERIOR BANO]])</f>
        <v>0</v>
      </c>
      <c r="CP483" s="3">
        <f>+IF(AVANCE[[#This Row],[MUEBLE LAVAPLATOS]]=BC$2,100%,AVANCE[[#This Row],[MUEBLE LAVAPLATOS]])</f>
        <v>0</v>
      </c>
      <c r="CQ483" s="3">
        <f>+IF(AVANCE[[#This Row],[IMPERMEABILIZACION BANO - COCINA LOGIA]]=BD$2,100%,AVANCE[[#This Row],[IMPERMEABILIZACION BANO - COCINA LOGIA]])</f>
        <v>0</v>
      </c>
      <c r="CR483" s="40">
        <f ca="1">+IF(AVANCE[[#This Row],[ESTADO MODULO]]="PENDIENTE",(TODAY()-AVANCE[[#This Row],[FECHA TERMINO  PLANIFICADO]]),0)</f>
        <v>0</v>
      </c>
      <c r="CS483" s="42" t="str" cm="1">
        <f t="array" ref="CS483">_xlfn.TEXTJOIN(" | ",TRUE,IF(SUMPRODUCT((BF483:CQ483&lt;1)*(PARTIDAS!$I$2:$AT$2="OBRA GRUESA"))&gt;0,"OBRA GRUESA: "&amp;_xlfn.TEXTJOIN(", ",TRUE,IF((BF483:CQ483&lt;1)*(PARTIDAS!$I$2:$AT$2="OBRA GRUESA"),PARTIDAS!$I$1:$AT$1,"")),""),IF(SUMPRODUCT((BF483:CQ483&lt;1)*(PARTIDAS!$I$2:$AT$2="SANITARIOS"))&gt;0,"SANITARIOS: "&amp;_xlfn.TEXTJOIN(", ",TRUE,IF((BF483:CQ483&lt;1)*(PARTIDAS!$I$2:$AT$2="SANITARIOS"),PARTIDAS!$I$1:$AT$1,"")),""),IF(SUMPRODUCT((BF483:CQ483&lt;1)*(PARTIDAS!$I$2:$AT$2="ELÉCTRICO"))&gt;0,"ELÉCTRICO: "&amp;_xlfn.TEXTJOIN(", ",TRUE,IF((BF483:CQ483&lt;1)*(PARTIDAS!$I$2:$AT$2="ELÉCTRICO"),PARTIDAS!$I$1:$AT$1,"")),""),IF(SUMPRODUCT((BF483:CQ483&lt;1)*(PARTIDAS!$I$2:$AT$2="TERMINACIONES"))&gt;0,"TERMINACIONES: "&amp;_xlfn.TEXTJOIN(", ",TRUE,IF((BF483:CQ483&lt;1)*(PARTIDAS!$I$2:$AT$2="TERMINACIONES"),PARTIDAS!$I$1:$AT$1,"")),""))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3" s="45" t="str" cm="1">
        <f t="array" ref="CT483">_xlfn.TEXTJOIN(", ",TRUE,IF(SUMPRODUCT((BF483:CQ483&lt;1)*(PARTIDAS!$I$2:$AT$2="OBRA GRUESA"))&gt;0,"OBRA GRUESA",""),IF(SUMPRODUCT((BF483:CQ483&lt;1)*(PARTIDAS!$I$2:$AT$2="SANITARIOS"))&gt;0,"SANITARIOS",""),IF(SUMPRODUCT((BF483:CQ483&lt;1)*(PARTIDAS!$I$2:$AT$2="ELÉCTRICO"))&gt;0,"ELÉCTRICO",""),IF(SUMPRODUCT((BF483:CQ483&lt;1)*(PARTIDAS!$I$2:$AT$2="TERMINACIONES"))&gt;0,"TERMINACIONES",""))</f>
        <v>OBRA GRUESA, SANITARIOS, ELÉCTRICO, TERMINACIONES</v>
      </c>
      <c r="CU483" s="46" cm="1">
        <f t="array" ref="CU483">SUMPRODUCT(--(BF483:CQ483&lt;1))</f>
        <v>38</v>
      </c>
    </row>
    <row r="484" spans="1:99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46181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 s="3" t="str">
        <f>+IF(AVANCE[[#This Row],[% AVANCE]]=100%,"MODULO TERMINADO",IF(AVANCE[[#This Row],[FECHA INICIO REAL]]="","MODULO NO INICIADO","PENDIENTE"))</f>
        <v>MODULO NO INICIADO</v>
      </c>
      <c r="BF484" s="3">
        <f>+IF(AVANCE[[#This Row],[VENTANAS]]=8.10810810810811%,100%,AVANCE[[#This Row],[VENTANAS]])</f>
        <v>0</v>
      </c>
      <c r="BG484" s="3">
        <f>+IF(AVANCE[[#This Row],[PISO]]=N$2,100%,AVANCE[[#This Row],[PISO]])</f>
        <v>0</v>
      </c>
      <c r="BH484" s="3">
        <f>+IF(AVANCE[[#This Row],[TABIQUES]]=O$2,100%,AVANCE[[#This Row],[TABIQUES]])</f>
        <v>0</v>
      </c>
      <c r="BI484" s="3">
        <f>+IF(AVANCE[[#This Row],[MUROS]]=P$2,100%,AVANCE[[#This Row],[MUROS]])</f>
        <v>0</v>
      </c>
      <c r="BJ484" s="3">
        <f>+IF(AVANCE[[#This Row],[CIELO]]=Q$2,100%,AVANCE[[#This Row],[CIELO]])</f>
        <v>0</v>
      </c>
      <c r="BK484" s="3">
        <f>+IF(AVANCE[[#This Row],[BALCÓN]]=R$2,100%,AVANCE[[#This Row],[BALCÓN]])</f>
        <v>0</v>
      </c>
      <c r="BL484" s="3">
        <f>+IF(AVANCE[[#This Row],[RED ALCANTARILLADO]]=U$2,100%,AVANCE[[#This Row],[RED ALCANTARILLADO]])</f>
        <v>0</v>
      </c>
      <c r="BM484" s="3">
        <f>+IF(AVANCE[[#This Row],[RED DE AGUA]]=V$2,100%,AVANCE[[#This Row],[RED DE AGUA]])</f>
        <v>0</v>
      </c>
      <c r="BN484" s="3">
        <f>+IF(AVANCE[[#This Row],[VENTILACIONES]]=W$2,100%,AVANCE[[#This Row],[VENTILACIONES]])</f>
        <v>0</v>
      </c>
      <c r="BO484" s="3">
        <f>+IF(AVANCE[[#This Row],[TINA]]=X$2,100%,AVANCE[[#This Row],[TINA]])</f>
        <v>0</v>
      </c>
      <c r="BP484" s="3">
        <f>+IF(AVANCE[[#This Row],[WC]]=Y$2,100%,AVANCE[[#This Row],[WC]])</f>
        <v>0</v>
      </c>
      <c r="BQ484" s="3">
        <f>+IF(AVANCE[[#This Row],[LAVAMANOS / LAVAPLATOS / LAVADERO]]=Z$2,100%,AVANCE[[#This Row],[LAVAMANOS / LAVAPLATOS / LAVADERO]])</f>
        <v>0</v>
      </c>
      <c r="BR484" s="3">
        <f>+IF(AVANCE[[#This Row],[CANALIZACIÓN]]=AC$2,100%,AVANCE[[#This Row],[CANALIZACIÓN]])</f>
        <v>0</v>
      </c>
      <c r="BS484" s="3">
        <f>+IF(AVANCE[[#This Row],[CABLEADO]]=AD$2,100%,AVANCE[[#This Row],[CABLEADO]])</f>
        <v>0</v>
      </c>
      <c r="BT484" s="3">
        <f>+IF(AVANCE[[#This Row],[ARTEFACTOS]]=AE$2,100%,AVANCE[[#This Row],[ARTEFACTOS]])</f>
        <v>0</v>
      </c>
      <c r="BU484" s="3">
        <f>+IF(AVANCE[[#This Row],[TABLERO]]=AF$2,100%,AVANCE[[#This Row],[TABLERO]])</f>
        <v>0</v>
      </c>
      <c r="BV484" s="3">
        <f>+IF(AVANCE[[#This Row],[CAJA PAU]]=AG$2,100%,AVANCE[[#This Row],[CAJA PAU]])</f>
        <v>0</v>
      </c>
      <c r="BW484" s="3">
        <f>+IF(AVANCE[[#This Row],[INSTALACION VINILICO]]=AJ$2,100%,AVANCE[[#This Row],[INSTALACION VINILICO]])</f>
        <v>0</v>
      </c>
      <c r="BX484" s="3">
        <f>+IF(AVANCE[[#This Row],[OSB CUBIERTA]]=AK$2,100%,AVANCE[[#This Row],[OSB CUBIERTA]])</f>
        <v>0</v>
      </c>
      <c r="BY484" s="3">
        <f>+IF(AVANCE[[#This Row],[BARANDA BALCON]]=AL$2,100%,AVANCE[[#This Row],[BARANDA BALCON]])</f>
        <v>0</v>
      </c>
      <c r="BZ484" s="3">
        <f>+IF(AVANCE[[#This Row],[OSB EXTERIOR]]=AM$2,100%,AVANCE[[#This Row],[OSB EXTERIOR]])</f>
        <v>0</v>
      </c>
      <c r="CA484" s="3">
        <f>+IF(AVANCE[[#This Row],[SMART PANEL]]=AN$2,100%,AVANCE[[#This Row],[SMART PANEL]])</f>
        <v>0</v>
      </c>
      <c r="CB484" s="3">
        <f>+IF(AVANCE[[#This Row],[PINTURA EXTERIOR]]=AO$2,100%,AVANCE[[#This Row],[PINTURA EXTERIOR]])</f>
        <v>0</v>
      </c>
      <c r="CC484" s="3">
        <f>+IF(AVANCE[[#This Row],[ZOCALOS LOGIA]]=AP$2,100%,AVANCE[[#This Row],[ZOCALOS LOGIA]])</f>
        <v>0</v>
      </c>
      <c r="CD484" s="3">
        <f>+IF(AVANCE[[#This Row],[MOLDURAS]]=AQ$2,100%,AVANCE[[#This Row],[MOLDURAS]])</f>
        <v>0</v>
      </c>
      <c r="CE484" s="3">
        <f>+IF(AVANCE[[#This Row],[PILASTREO]]=AR$2,100%,AVANCE[[#This Row],[PILASTREO]])</f>
        <v>0</v>
      </c>
      <c r="CF484" s="3">
        <f>+IF(AVANCE[[#This Row],[CELOSIAS]]=AS$2,100%,AVANCE[[#This Row],[CELOSIAS]])</f>
        <v>0</v>
      </c>
      <c r="CG484" s="3">
        <f>+IF(AVANCE[[#This Row],[VENTANAS]]=AT$2,100%,AVANCE[[#This Row],[VENTANAS]])</f>
        <v>0</v>
      </c>
      <c r="CH484" s="3">
        <f>+IF(AVANCE[[#This Row],[PUERTAS ACCESO - LOGIA - BANO]]=AU$2,100%,AVANCE[[#This Row],[PUERTAS ACCESO - LOGIA - BANO]])</f>
        <v>0</v>
      </c>
      <c r="CI484" s="3">
        <f>+IF(AVANCE[[#This Row],[CERRADURAS]]=AV$2,100%,AVANCE[[#This Row],[CERRADURAS]])</f>
        <v>0</v>
      </c>
      <c r="CJ484" s="3">
        <f>+IF(AVANCE[[#This Row],[REVESTIMIENTO INTERIOR ZONA SECA]]=AW$2,100%,AVANCE[[#This Row],[REVESTIMIENTO INTERIOR ZONA SECA]])</f>
        <v>0</v>
      </c>
      <c r="CK484" s="3">
        <f>+IF(AVANCE[[#This Row],[REVESTIMIENTO INTERIOR ZONAS HUMEDAS]]=AX$2,100%,AVANCE[[#This Row],[REVESTIMIENTO INTERIOR ZONAS HUMEDAS]])</f>
        <v>0</v>
      </c>
      <c r="CL484" s="3">
        <f>+IF(AVANCE[[#This Row],[MEMBRANA CIELO]]=AY$2,100%,AVANCE[[#This Row],[MEMBRANA CIELO]])</f>
        <v>0</v>
      </c>
      <c r="CM484" s="3">
        <f>+IF(AVANCE[[#This Row],[LIMPIEZA FINAL]]=AZ$2,100%,AVANCE[[#This Row],[LIMPIEZA FINAL]])</f>
        <v>0</v>
      </c>
      <c r="CN484" s="3">
        <f>+IF(AVANCE[[#This Row],[PUERTAS DORMITORIO]]=BA$2,100%,AVANCE[[#This Row],[PUERTAS DORMITORIO]])</f>
        <v>0</v>
      </c>
      <c r="CO484" s="3">
        <f>+IF(AVANCE[[#This Row],[REVESTIMIENTO INTERIOR BANO]]=BB$2,100%,AVANCE[[#This Row],[REVESTIMIENTO INTERIOR BANO]])</f>
        <v>0</v>
      </c>
      <c r="CP484" s="3">
        <f>+IF(AVANCE[[#This Row],[MUEBLE LAVAPLATOS]]=BC$2,100%,AVANCE[[#This Row],[MUEBLE LAVAPLATOS]])</f>
        <v>0</v>
      </c>
      <c r="CQ484" s="3">
        <f>+IF(AVANCE[[#This Row],[IMPERMEABILIZACION BANO - COCINA LOGIA]]=BD$2,100%,AVANCE[[#This Row],[IMPERMEABILIZACION BANO - COCINA LOGIA]])</f>
        <v>0</v>
      </c>
      <c r="CR484" s="40">
        <f ca="1">+IF(AVANCE[[#This Row],[ESTADO MODULO]]="PENDIENTE",(TODAY()-AVANCE[[#This Row],[FECHA TERMINO  PLANIFICADO]]),0)</f>
        <v>0</v>
      </c>
      <c r="CS484" s="42" t="str" cm="1">
        <f t="array" ref="CS484">_xlfn.TEXTJOIN(" | ",TRUE,IF(SUMPRODUCT((BF484:CQ484&lt;1)*(PARTIDAS!$I$2:$AT$2="OBRA GRUESA"))&gt;0,"OBRA GRUESA: "&amp;_xlfn.TEXTJOIN(", ",TRUE,IF((BF484:CQ484&lt;1)*(PARTIDAS!$I$2:$AT$2="OBRA GRUESA"),PARTIDAS!$I$1:$AT$1,"")),""),IF(SUMPRODUCT((BF484:CQ484&lt;1)*(PARTIDAS!$I$2:$AT$2="SANITARIOS"))&gt;0,"SANITARIOS: "&amp;_xlfn.TEXTJOIN(", ",TRUE,IF((BF484:CQ484&lt;1)*(PARTIDAS!$I$2:$AT$2="SANITARIOS"),PARTIDAS!$I$1:$AT$1,"")),""),IF(SUMPRODUCT((BF484:CQ484&lt;1)*(PARTIDAS!$I$2:$AT$2="ELÉCTRICO"))&gt;0,"ELÉCTRICO: "&amp;_xlfn.TEXTJOIN(", ",TRUE,IF((BF484:CQ484&lt;1)*(PARTIDAS!$I$2:$AT$2="ELÉCTRICO"),PARTIDAS!$I$1:$AT$1,"")),""),IF(SUMPRODUCT((BF484:CQ484&lt;1)*(PARTIDAS!$I$2:$AT$2="TERMINACIONES"))&gt;0,"TERMINACIONES: "&amp;_xlfn.TEXTJOIN(", ",TRUE,IF((BF484:CQ484&lt;1)*(PARTIDAS!$I$2:$AT$2="TERMINACIONES"),PARTIDAS!$I$1:$AT$1,"")),""))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4" s="45" t="str" cm="1">
        <f t="array" ref="CT484">_xlfn.TEXTJOIN(", ",TRUE,IF(SUMPRODUCT((BF484:CQ484&lt;1)*(PARTIDAS!$I$2:$AT$2="OBRA GRUESA"))&gt;0,"OBRA GRUESA",""),IF(SUMPRODUCT((BF484:CQ484&lt;1)*(PARTIDAS!$I$2:$AT$2="SANITARIOS"))&gt;0,"SANITARIOS",""),IF(SUMPRODUCT((BF484:CQ484&lt;1)*(PARTIDAS!$I$2:$AT$2="ELÉCTRICO"))&gt;0,"ELÉCTRICO",""),IF(SUMPRODUCT((BF484:CQ484&lt;1)*(PARTIDAS!$I$2:$AT$2="TERMINACIONES"))&gt;0,"TERMINACIONES",""))</f>
        <v>OBRA GRUESA, SANITARIOS, ELÉCTRICO, TERMINACIONES</v>
      </c>
      <c r="CU484" s="46" cm="1">
        <f t="array" ref="CU484">SUMPRODUCT(--(BF484:CQ484&lt;1))</f>
        <v>38</v>
      </c>
    </row>
    <row r="485" spans="1:99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46181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 s="3" t="str">
        <f>+IF(AVANCE[[#This Row],[% AVANCE]]=100%,"MODULO TERMINADO",IF(AVANCE[[#This Row],[FECHA INICIO REAL]]="","MODULO NO INICIADO","PENDIENTE"))</f>
        <v>MODULO NO INICIADO</v>
      </c>
      <c r="BF485" s="3">
        <f>+IF(AVANCE[[#This Row],[VENTANAS]]=8.10810810810811%,100%,AVANCE[[#This Row],[VENTANAS]])</f>
        <v>0</v>
      </c>
      <c r="BG485" s="3">
        <f>+IF(AVANCE[[#This Row],[PISO]]=N$2,100%,AVANCE[[#This Row],[PISO]])</f>
        <v>0</v>
      </c>
      <c r="BH485" s="3">
        <f>+IF(AVANCE[[#This Row],[TABIQUES]]=O$2,100%,AVANCE[[#This Row],[TABIQUES]])</f>
        <v>0</v>
      </c>
      <c r="BI485" s="3">
        <f>+IF(AVANCE[[#This Row],[MUROS]]=P$2,100%,AVANCE[[#This Row],[MUROS]])</f>
        <v>0</v>
      </c>
      <c r="BJ485" s="3">
        <f>+IF(AVANCE[[#This Row],[CIELO]]=Q$2,100%,AVANCE[[#This Row],[CIELO]])</f>
        <v>0</v>
      </c>
      <c r="BK485" s="3">
        <f>+IF(AVANCE[[#This Row],[BALCÓN]]=R$2,100%,AVANCE[[#This Row],[BALCÓN]])</f>
        <v>0</v>
      </c>
      <c r="BL485" s="3">
        <f>+IF(AVANCE[[#This Row],[RED ALCANTARILLADO]]=U$2,100%,AVANCE[[#This Row],[RED ALCANTARILLADO]])</f>
        <v>0</v>
      </c>
      <c r="BM485" s="3">
        <f>+IF(AVANCE[[#This Row],[RED DE AGUA]]=V$2,100%,AVANCE[[#This Row],[RED DE AGUA]])</f>
        <v>0</v>
      </c>
      <c r="BN485" s="3">
        <f>+IF(AVANCE[[#This Row],[VENTILACIONES]]=W$2,100%,AVANCE[[#This Row],[VENTILACIONES]])</f>
        <v>0</v>
      </c>
      <c r="BO485" s="3">
        <f>+IF(AVANCE[[#This Row],[TINA]]=X$2,100%,AVANCE[[#This Row],[TINA]])</f>
        <v>0</v>
      </c>
      <c r="BP485" s="3">
        <f>+IF(AVANCE[[#This Row],[WC]]=Y$2,100%,AVANCE[[#This Row],[WC]])</f>
        <v>0</v>
      </c>
      <c r="BQ485" s="3">
        <f>+IF(AVANCE[[#This Row],[LAVAMANOS / LAVAPLATOS / LAVADERO]]=Z$2,100%,AVANCE[[#This Row],[LAVAMANOS / LAVAPLATOS / LAVADERO]])</f>
        <v>0</v>
      </c>
      <c r="BR485" s="3">
        <f>+IF(AVANCE[[#This Row],[CANALIZACIÓN]]=AC$2,100%,AVANCE[[#This Row],[CANALIZACIÓN]])</f>
        <v>0</v>
      </c>
      <c r="BS485" s="3">
        <f>+IF(AVANCE[[#This Row],[CABLEADO]]=AD$2,100%,AVANCE[[#This Row],[CABLEADO]])</f>
        <v>0</v>
      </c>
      <c r="BT485" s="3">
        <f>+IF(AVANCE[[#This Row],[ARTEFACTOS]]=AE$2,100%,AVANCE[[#This Row],[ARTEFACTOS]])</f>
        <v>0</v>
      </c>
      <c r="BU485" s="3">
        <f>+IF(AVANCE[[#This Row],[TABLERO]]=AF$2,100%,AVANCE[[#This Row],[TABLERO]])</f>
        <v>0</v>
      </c>
      <c r="BV485" s="3">
        <f>+IF(AVANCE[[#This Row],[CAJA PAU]]=AG$2,100%,AVANCE[[#This Row],[CAJA PAU]])</f>
        <v>0</v>
      </c>
      <c r="BW485" s="3">
        <f>+IF(AVANCE[[#This Row],[INSTALACION VINILICO]]=AJ$2,100%,AVANCE[[#This Row],[INSTALACION VINILICO]])</f>
        <v>0</v>
      </c>
      <c r="BX485" s="3">
        <f>+IF(AVANCE[[#This Row],[OSB CUBIERTA]]=AK$2,100%,AVANCE[[#This Row],[OSB CUBIERTA]])</f>
        <v>0</v>
      </c>
      <c r="BY485" s="3">
        <f>+IF(AVANCE[[#This Row],[BARANDA BALCON]]=AL$2,100%,AVANCE[[#This Row],[BARANDA BALCON]])</f>
        <v>0</v>
      </c>
      <c r="BZ485" s="3">
        <f>+IF(AVANCE[[#This Row],[OSB EXTERIOR]]=AM$2,100%,AVANCE[[#This Row],[OSB EXTERIOR]])</f>
        <v>0</v>
      </c>
      <c r="CA485" s="3">
        <f>+IF(AVANCE[[#This Row],[SMART PANEL]]=AN$2,100%,AVANCE[[#This Row],[SMART PANEL]])</f>
        <v>0</v>
      </c>
      <c r="CB485" s="3">
        <f>+IF(AVANCE[[#This Row],[PINTURA EXTERIOR]]=AO$2,100%,AVANCE[[#This Row],[PINTURA EXTERIOR]])</f>
        <v>0</v>
      </c>
      <c r="CC485" s="3">
        <f>+IF(AVANCE[[#This Row],[ZOCALOS LOGIA]]=AP$2,100%,AVANCE[[#This Row],[ZOCALOS LOGIA]])</f>
        <v>0</v>
      </c>
      <c r="CD485" s="3">
        <f>+IF(AVANCE[[#This Row],[MOLDURAS]]=AQ$2,100%,AVANCE[[#This Row],[MOLDURAS]])</f>
        <v>0</v>
      </c>
      <c r="CE485" s="3">
        <f>+IF(AVANCE[[#This Row],[PILASTREO]]=AR$2,100%,AVANCE[[#This Row],[PILASTREO]])</f>
        <v>0</v>
      </c>
      <c r="CF485" s="3">
        <f>+IF(AVANCE[[#This Row],[CELOSIAS]]=AS$2,100%,AVANCE[[#This Row],[CELOSIAS]])</f>
        <v>0</v>
      </c>
      <c r="CG485" s="3">
        <f>+IF(AVANCE[[#This Row],[VENTANAS]]=AT$2,100%,AVANCE[[#This Row],[VENTANAS]])</f>
        <v>0</v>
      </c>
      <c r="CH485" s="3">
        <f>+IF(AVANCE[[#This Row],[PUERTAS ACCESO - LOGIA - BANO]]=AU$2,100%,AVANCE[[#This Row],[PUERTAS ACCESO - LOGIA - BANO]])</f>
        <v>0</v>
      </c>
      <c r="CI485" s="3">
        <f>+IF(AVANCE[[#This Row],[CERRADURAS]]=AV$2,100%,AVANCE[[#This Row],[CERRADURAS]])</f>
        <v>0</v>
      </c>
      <c r="CJ485" s="3">
        <f>+IF(AVANCE[[#This Row],[REVESTIMIENTO INTERIOR ZONA SECA]]=AW$2,100%,AVANCE[[#This Row],[REVESTIMIENTO INTERIOR ZONA SECA]])</f>
        <v>0</v>
      </c>
      <c r="CK485" s="3">
        <f>+IF(AVANCE[[#This Row],[REVESTIMIENTO INTERIOR ZONAS HUMEDAS]]=AX$2,100%,AVANCE[[#This Row],[REVESTIMIENTO INTERIOR ZONAS HUMEDAS]])</f>
        <v>0</v>
      </c>
      <c r="CL485" s="3">
        <f>+IF(AVANCE[[#This Row],[MEMBRANA CIELO]]=AY$2,100%,AVANCE[[#This Row],[MEMBRANA CIELO]])</f>
        <v>0</v>
      </c>
      <c r="CM485" s="3">
        <f>+IF(AVANCE[[#This Row],[LIMPIEZA FINAL]]=AZ$2,100%,AVANCE[[#This Row],[LIMPIEZA FINAL]])</f>
        <v>0</v>
      </c>
      <c r="CN485" s="3">
        <f>+IF(AVANCE[[#This Row],[PUERTAS DORMITORIO]]=BA$2,100%,AVANCE[[#This Row],[PUERTAS DORMITORIO]])</f>
        <v>0</v>
      </c>
      <c r="CO485" s="3">
        <f>+IF(AVANCE[[#This Row],[REVESTIMIENTO INTERIOR BANO]]=BB$2,100%,AVANCE[[#This Row],[REVESTIMIENTO INTERIOR BANO]])</f>
        <v>0</v>
      </c>
      <c r="CP485" s="3">
        <f>+IF(AVANCE[[#This Row],[MUEBLE LAVAPLATOS]]=BC$2,100%,AVANCE[[#This Row],[MUEBLE LAVAPLATOS]])</f>
        <v>0</v>
      </c>
      <c r="CQ485" s="3">
        <f>+IF(AVANCE[[#This Row],[IMPERMEABILIZACION BANO - COCINA LOGIA]]=BD$2,100%,AVANCE[[#This Row],[IMPERMEABILIZACION BANO - COCINA LOGIA]])</f>
        <v>0</v>
      </c>
      <c r="CR485" s="40">
        <f ca="1">+IF(AVANCE[[#This Row],[ESTADO MODULO]]="PENDIENTE",(TODAY()-AVANCE[[#This Row],[FECHA TERMINO  PLANIFICADO]]),0)</f>
        <v>0</v>
      </c>
      <c r="CS485" s="42" t="str" cm="1">
        <f t="array" ref="CS485">_xlfn.TEXTJOIN(" | ",TRUE,IF(SUMPRODUCT((BF485:CQ485&lt;1)*(PARTIDAS!$I$2:$AT$2="OBRA GRUESA"))&gt;0,"OBRA GRUESA: "&amp;_xlfn.TEXTJOIN(", ",TRUE,IF((BF485:CQ485&lt;1)*(PARTIDAS!$I$2:$AT$2="OBRA GRUESA"),PARTIDAS!$I$1:$AT$1,"")),""),IF(SUMPRODUCT((BF485:CQ485&lt;1)*(PARTIDAS!$I$2:$AT$2="SANITARIOS"))&gt;0,"SANITARIOS: "&amp;_xlfn.TEXTJOIN(", ",TRUE,IF((BF485:CQ485&lt;1)*(PARTIDAS!$I$2:$AT$2="SANITARIOS"),PARTIDAS!$I$1:$AT$1,"")),""),IF(SUMPRODUCT((BF485:CQ485&lt;1)*(PARTIDAS!$I$2:$AT$2="ELÉCTRICO"))&gt;0,"ELÉCTRICO: "&amp;_xlfn.TEXTJOIN(", ",TRUE,IF((BF485:CQ485&lt;1)*(PARTIDAS!$I$2:$AT$2="ELÉCTRICO"),PARTIDAS!$I$1:$AT$1,"")),""),IF(SUMPRODUCT((BF485:CQ485&lt;1)*(PARTIDAS!$I$2:$AT$2="TERMINACIONES"))&gt;0,"TERMINACIONES: "&amp;_xlfn.TEXTJOIN(", ",TRUE,IF((BF485:CQ485&lt;1)*(PARTIDAS!$I$2:$AT$2="TERMINACIONES"),PARTIDAS!$I$1:$AT$1,"")),""))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5" s="45" t="str" cm="1">
        <f t="array" ref="CT485">_xlfn.TEXTJOIN(", ",TRUE,IF(SUMPRODUCT((BF485:CQ485&lt;1)*(PARTIDAS!$I$2:$AT$2="OBRA GRUESA"))&gt;0,"OBRA GRUESA",""),IF(SUMPRODUCT((BF485:CQ485&lt;1)*(PARTIDAS!$I$2:$AT$2="SANITARIOS"))&gt;0,"SANITARIOS",""),IF(SUMPRODUCT((BF485:CQ485&lt;1)*(PARTIDAS!$I$2:$AT$2="ELÉCTRICO"))&gt;0,"ELÉCTRICO",""),IF(SUMPRODUCT((BF485:CQ485&lt;1)*(PARTIDAS!$I$2:$AT$2="TERMINACIONES"))&gt;0,"TERMINACIONES",""))</f>
        <v>OBRA GRUESA, SANITARIOS, ELÉCTRICO, TERMINACIONES</v>
      </c>
      <c r="CU485" s="46" cm="1">
        <f t="array" ref="CU485">SUMPRODUCT(--(BF485:CQ485&lt;1))</f>
        <v>38</v>
      </c>
    </row>
    <row r="486" spans="1:99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46181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 s="3" t="str">
        <f>+IF(AVANCE[[#This Row],[% AVANCE]]=100%,"MODULO TERMINADO",IF(AVANCE[[#This Row],[FECHA INICIO REAL]]="","MODULO NO INICIADO","PENDIENTE"))</f>
        <v>MODULO NO INICIADO</v>
      </c>
      <c r="BF486" s="3">
        <f>+IF(AVANCE[[#This Row],[VENTANAS]]=8.10810810810811%,100%,AVANCE[[#This Row],[VENTANAS]])</f>
        <v>0</v>
      </c>
      <c r="BG486" s="3">
        <f>+IF(AVANCE[[#This Row],[PISO]]=N$2,100%,AVANCE[[#This Row],[PISO]])</f>
        <v>0</v>
      </c>
      <c r="BH486" s="3">
        <f>+IF(AVANCE[[#This Row],[TABIQUES]]=O$2,100%,AVANCE[[#This Row],[TABIQUES]])</f>
        <v>0</v>
      </c>
      <c r="BI486" s="3">
        <f>+IF(AVANCE[[#This Row],[MUROS]]=P$2,100%,AVANCE[[#This Row],[MUROS]])</f>
        <v>0</v>
      </c>
      <c r="BJ486" s="3">
        <f>+IF(AVANCE[[#This Row],[CIELO]]=Q$2,100%,AVANCE[[#This Row],[CIELO]])</f>
        <v>0</v>
      </c>
      <c r="BK486" s="3">
        <f>+IF(AVANCE[[#This Row],[BALCÓN]]=R$2,100%,AVANCE[[#This Row],[BALCÓN]])</f>
        <v>0</v>
      </c>
      <c r="BL486" s="3">
        <f>+IF(AVANCE[[#This Row],[RED ALCANTARILLADO]]=U$2,100%,AVANCE[[#This Row],[RED ALCANTARILLADO]])</f>
        <v>0</v>
      </c>
      <c r="BM486" s="3">
        <f>+IF(AVANCE[[#This Row],[RED DE AGUA]]=V$2,100%,AVANCE[[#This Row],[RED DE AGUA]])</f>
        <v>0</v>
      </c>
      <c r="BN486" s="3">
        <f>+IF(AVANCE[[#This Row],[VENTILACIONES]]=W$2,100%,AVANCE[[#This Row],[VENTILACIONES]])</f>
        <v>0</v>
      </c>
      <c r="BO486" s="3">
        <f>+IF(AVANCE[[#This Row],[TINA]]=X$2,100%,AVANCE[[#This Row],[TINA]])</f>
        <v>0</v>
      </c>
      <c r="BP486" s="3">
        <f>+IF(AVANCE[[#This Row],[WC]]=Y$2,100%,AVANCE[[#This Row],[WC]])</f>
        <v>0</v>
      </c>
      <c r="BQ486" s="3">
        <f>+IF(AVANCE[[#This Row],[LAVAMANOS / LAVAPLATOS / LAVADERO]]=Z$2,100%,AVANCE[[#This Row],[LAVAMANOS / LAVAPLATOS / LAVADERO]])</f>
        <v>0</v>
      </c>
      <c r="BR486" s="3">
        <f>+IF(AVANCE[[#This Row],[CANALIZACIÓN]]=AC$2,100%,AVANCE[[#This Row],[CANALIZACIÓN]])</f>
        <v>0</v>
      </c>
      <c r="BS486" s="3">
        <f>+IF(AVANCE[[#This Row],[CABLEADO]]=AD$2,100%,AVANCE[[#This Row],[CABLEADO]])</f>
        <v>0</v>
      </c>
      <c r="BT486" s="3">
        <f>+IF(AVANCE[[#This Row],[ARTEFACTOS]]=AE$2,100%,AVANCE[[#This Row],[ARTEFACTOS]])</f>
        <v>0</v>
      </c>
      <c r="BU486" s="3">
        <f>+IF(AVANCE[[#This Row],[TABLERO]]=AF$2,100%,AVANCE[[#This Row],[TABLERO]])</f>
        <v>0</v>
      </c>
      <c r="BV486" s="3">
        <f>+IF(AVANCE[[#This Row],[CAJA PAU]]=AG$2,100%,AVANCE[[#This Row],[CAJA PAU]])</f>
        <v>0</v>
      </c>
      <c r="BW486" s="3">
        <f>+IF(AVANCE[[#This Row],[INSTALACION VINILICO]]=AJ$2,100%,AVANCE[[#This Row],[INSTALACION VINILICO]])</f>
        <v>0</v>
      </c>
      <c r="BX486" s="3">
        <f>+IF(AVANCE[[#This Row],[OSB CUBIERTA]]=AK$2,100%,AVANCE[[#This Row],[OSB CUBIERTA]])</f>
        <v>0</v>
      </c>
      <c r="BY486" s="3">
        <f>+IF(AVANCE[[#This Row],[BARANDA BALCON]]=AL$2,100%,AVANCE[[#This Row],[BARANDA BALCON]])</f>
        <v>0</v>
      </c>
      <c r="BZ486" s="3">
        <f>+IF(AVANCE[[#This Row],[OSB EXTERIOR]]=AM$2,100%,AVANCE[[#This Row],[OSB EXTERIOR]])</f>
        <v>0</v>
      </c>
      <c r="CA486" s="3">
        <f>+IF(AVANCE[[#This Row],[SMART PANEL]]=AN$2,100%,AVANCE[[#This Row],[SMART PANEL]])</f>
        <v>0</v>
      </c>
      <c r="CB486" s="3">
        <f>+IF(AVANCE[[#This Row],[PINTURA EXTERIOR]]=AO$2,100%,AVANCE[[#This Row],[PINTURA EXTERIOR]])</f>
        <v>0</v>
      </c>
      <c r="CC486" s="3">
        <f>+IF(AVANCE[[#This Row],[ZOCALOS LOGIA]]=AP$2,100%,AVANCE[[#This Row],[ZOCALOS LOGIA]])</f>
        <v>0</v>
      </c>
      <c r="CD486" s="3">
        <f>+IF(AVANCE[[#This Row],[MOLDURAS]]=AQ$2,100%,AVANCE[[#This Row],[MOLDURAS]])</f>
        <v>0</v>
      </c>
      <c r="CE486" s="3">
        <f>+IF(AVANCE[[#This Row],[PILASTREO]]=AR$2,100%,AVANCE[[#This Row],[PILASTREO]])</f>
        <v>0</v>
      </c>
      <c r="CF486" s="3">
        <f>+IF(AVANCE[[#This Row],[CELOSIAS]]=AS$2,100%,AVANCE[[#This Row],[CELOSIAS]])</f>
        <v>0</v>
      </c>
      <c r="CG486" s="3">
        <f>+IF(AVANCE[[#This Row],[VENTANAS]]=AT$2,100%,AVANCE[[#This Row],[VENTANAS]])</f>
        <v>0</v>
      </c>
      <c r="CH486" s="3">
        <f>+IF(AVANCE[[#This Row],[PUERTAS ACCESO - LOGIA - BANO]]=AU$2,100%,AVANCE[[#This Row],[PUERTAS ACCESO - LOGIA - BANO]])</f>
        <v>0</v>
      </c>
      <c r="CI486" s="3">
        <f>+IF(AVANCE[[#This Row],[CERRADURAS]]=AV$2,100%,AVANCE[[#This Row],[CERRADURAS]])</f>
        <v>0</v>
      </c>
      <c r="CJ486" s="3">
        <f>+IF(AVANCE[[#This Row],[REVESTIMIENTO INTERIOR ZONA SECA]]=AW$2,100%,AVANCE[[#This Row],[REVESTIMIENTO INTERIOR ZONA SECA]])</f>
        <v>0</v>
      </c>
      <c r="CK486" s="3">
        <f>+IF(AVANCE[[#This Row],[REVESTIMIENTO INTERIOR ZONAS HUMEDAS]]=AX$2,100%,AVANCE[[#This Row],[REVESTIMIENTO INTERIOR ZONAS HUMEDAS]])</f>
        <v>0</v>
      </c>
      <c r="CL486" s="3">
        <f>+IF(AVANCE[[#This Row],[MEMBRANA CIELO]]=AY$2,100%,AVANCE[[#This Row],[MEMBRANA CIELO]])</f>
        <v>0</v>
      </c>
      <c r="CM486" s="3">
        <f>+IF(AVANCE[[#This Row],[LIMPIEZA FINAL]]=AZ$2,100%,AVANCE[[#This Row],[LIMPIEZA FINAL]])</f>
        <v>0</v>
      </c>
      <c r="CN486" s="3">
        <f>+IF(AVANCE[[#This Row],[PUERTAS DORMITORIO]]=BA$2,100%,AVANCE[[#This Row],[PUERTAS DORMITORIO]])</f>
        <v>0</v>
      </c>
      <c r="CO486" s="3">
        <f>+IF(AVANCE[[#This Row],[REVESTIMIENTO INTERIOR BANO]]=BB$2,100%,AVANCE[[#This Row],[REVESTIMIENTO INTERIOR BANO]])</f>
        <v>0</v>
      </c>
      <c r="CP486" s="3">
        <f>+IF(AVANCE[[#This Row],[MUEBLE LAVAPLATOS]]=BC$2,100%,AVANCE[[#This Row],[MUEBLE LAVAPLATOS]])</f>
        <v>0</v>
      </c>
      <c r="CQ486" s="3">
        <f>+IF(AVANCE[[#This Row],[IMPERMEABILIZACION BANO - COCINA LOGIA]]=BD$2,100%,AVANCE[[#This Row],[IMPERMEABILIZACION BANO - COCINA LOGIA]])</f>
        <v>0</v>
      </c>
      <c r="CR486" s="40">
        <f ca="1">+IF(AVANCE[[#This Row],[ESTADO MODULO]]="PENDIENTE",(TODAY()-AVANCE[[#This Row],[FECHA TERMINO  PLANIFICADO]]),0)</f>
        <v>0</v>
      </c>
      <c r="CS486" s="42" t="str" cm="1">
        <f t="array" ref="CS486">_xlfn.TEXTJOIN(" | ",TRUE,IF(SUMPRODUCT((BF486:CQ486&lt;1)*(PARTIDAS!$I$2:$AT$2="OBRA GRUESA"))&gt;0,"OBRA GRUESA: "&amp;_xlfn.TEXTJOIN(", ",TRUE,IF((BF486:CQ486&lt;1)*(PARTIDAS!$I$2:$AT$2="OBRA GRUESA"),PARTIDAS!$I$1:$AT$1,"")),""),IF(SUMPRODUCT((BF486:CQ486&lt;1)*(PARTIDAS!$I$2:$AT$2="SANITARIOS"))&gt;0,"SANITARIOS: "&amp;_xlfn.TEXTJOIN(", ",TRUE,IF((BF486:CQ486&lt;1)*(PARTIDAS!$I$2:$AT$2="SANITARIOS"),PARTIDAS!$I$1:$AT$1,"")),""),IF(SUMPRODUCT((BF486:CQ486&lt;1)*(PARTIDAS!$I$2:$AT$2="ELÉCTRICO"))&gt;0,"ELÉCTRICO: "&amp;_xlfn.TEXTJOIN(", ",TRUE,IF((BF486:CQ486&lt;1)*(PARTIDAS!$I$2:$AT$2="ELÉCTRICO"),PARTIDAS!$I$1:$AT$1,"")),""),IF(SUMPRODUCT((BF486:CQ486&lt;1)*(PARTIDAS!$I$2:$AT$2="TERMINACIONES"))&gt;0,"TERMINACIONES: "&amp;_xlfn.TEXTJOIN(", ",TRUE,IF((BF486:CQ486&lt;1)*(PARTIDAS!$I$2:$AT$2="TERMINACIONES"),PARTIDAS!$I$1:$AT$1,"")),""))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6" s="45" t="str" cm="1">
        <f t="array" ref="CT486">_xlfn.TEXTJOIN(", ",TRUE,IF(SUMPRODUCT((BF486:CQ486&lt;1)*(PARTIDAS!$I$2:$AT$2="OBRA GRUESA"))&gt;0,"OBRA GRUESA",""),IF(SUMPRODUCT((BF486:CQ486&lt;1)*(PARTIDAS!$I$2:$AT$2="SANITARIOS"))&gt;0,"SANITARIOS",""),IF(SUMPRODUCT((BF486:CQ486&lt;1)*(PARTIDAS!$I$2:$AT$2="ELÉCTRICO"))&gt;0,"ELÉCTRICO",""),IF(SUMPRODUCT((BF486:CQ486&lt;1)*(PARTIDAS!$I$2:$AT$2="TERMINACIONES"))&gt;0,"TERMINACIONES",""))</f>
        <v>OBRA GRUESA, SANITARIOS, ELÉCTRICO, TERMINACIONES</v>
      </c>
      <c r="CU486" s="46" cm="1">
        <f t="array" ref="CU486">SUMPRODUCT(--(BF486:CQ486&lt;1))</f>
        <v>38</v>
      </c>
    </row>
    <row r="487" spans="1:99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46181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 s="3" t="str">
        <f>+IF(AVANCE[[#This Row],[% AVANCE]]=100%,"MODULO TERMINADO",IF(AVANCE[[#This Row],[FECHA INICIO REAL]]="","MODULO NO INICIADO","PENDIENTE"))</f>
        <v>MODULO NO INICIADO</v>
      </c>
      <c r="BF487" s="3">
        <f>+IF(AVANCE[[#This Row],[VENTANAS]]=8.10810810810811%,100%,AVANCE[[#This Row],[VENTANAS]])</f>
        <v>0</v>
      </c>
      <c r="BG487" s="3">
        <f>+IF(AVANCE[[#This Row],[PISO]]=N$2,100%,AVANCE[[#This Row],[PISO]])</f>
        <v>0</v>
      </c>
      <c r="BH487" s="3">
        <f>+IF(AVANCE[[#This Row],[TABIQUES]]=O$2,100%,AVANCE[[#This Row],[TABIQUES]])</f>
        <v>0</v>
      </c>
      <c r="BI487" s="3">
        <f>+IF(AVANCE[[#This Row],[MUROS]]=P$2,100%,AVANCE[[#This Row],[MUROS]])</f>
        <v>0</v>
      </c>
      <c r="BJ487" s="3">
        <f>+IF(AVANCE[[#This Row],[CIELO]]=Q$2,100%,AVANCE[[#This Row],[CIELO]])</f>
        <v>0</v>
      </c>
      <c r="BK487" s="3">
        <f>+IF(AVANCE[[#This Row],[BALCÓN]]=R$2,100%,AVANCE[[#This Row],[BALCÓN]])</f>
        <v>0</v>
      </c>
      <c r="BL487" s="3">
        <f>+IF(AVANCE[[#This Row],[RED ALCANTARILLADO]]=U$2,100%,AVANCE[[#This Row],[RED ALCANTARILLADO]])</f>
        <v>0</v>
      </c>
      <c r="BM487" s="3">
        <f>+IF(AVANCE[[#This Row],[RED DE AGUA]]=V$2,100%,AVANCE[[#This Row],[RED DE AGUA]])</f>
        <v>0</v>
      </c>
      <c r="BN487" s="3">
        <f>+IF(AVANCE[[#This Row],[VENTILACIONES]]=W$2,100%,AVANCE[[#This Row],[VENTILACIONES]])</f>
        <v>0</v>
      </c>
      <c r="BO487" s="3">
        <f>+IF(AVANCE[[#This Row],[TINA]]=X$2,100%,AVANCE[[#This Row],[TINA]])</f>
        <v>0</v>
      </c>
      <c r="BP487" s="3">
        <f>+IF(AVANCE[[#This Row],[WC]]=Y$2,100%,AVANCE[[#This Row],[WC]])</f>
        <v>0</v>
      </c>
      <c r="BQ487" s="3">
        <f>+IF(AVANCE[[#This Row],[LAVAMANOS / LAVAPLATOS / LAVADERO]]=Z$2,100%,AVANCE[[#This Row],[LAVAMANOS / LAVAPLATOS / LAVADERO]])</f>
        <v>0</v>
      </c>
      <c r="BR487" s="3">
        <f>+IF(AVANCE[[#This Row],[CANALIZACIÓN]]=AC$2,100%,AVANCE[[#This Row],[CANALIZACIÓN]])</f>
        <v>0</v>
      </c>
      <c r="BS487" s="3">
        <f>+IF(AVANCE[[#This Row],[CABLEADO]]=AD$2,100%,AVANCE[[#This Row],[CABLEADO]])</f>
        <v>0</v>
      </c>
      <c r="BT487" s="3">
        <f>+IF(AVANCE[[#This Row],[ARTEFACTOS]]=AE$2,100%,AVANCE[[#This Row],[ARTEFACTOS]])</f>
        <v>0</v>
      </c>
      <c r="BU487" s="3">
        <f>+IF(AVANCE[[#This Row],[TABLERO]]=AF$2,100%,AVANCE[[#This Row],[TABLERO]])</f>
        <v>0</v>
      </c>
      <c r="BV487" s="3">
        <f>+IF(AVANCE[[#This Row],[CAJA PAU]]=AG$2,100%,AVANCE[[#This Row],[CAJA PAU]])</f>
        <v>0</v>
      </c>
      <c r="BW487" s="3">
        <f>+IF(AVANCE[[#This Row],[INSTALACION VINILICO]]=AJ$2,100%,AVANCE[[#This Row],[INSTALACION VINILICO]])</f>
        <v>0</v>
      </c>
      <c r="BX487" s="3">
        <f>+IF(AVANCE[[#This Row],[OSB CUBIERTA]]=AK$2,100%,AVANCE[[#This Row],[OSB CUBIERTA]])</f>
        <v>0</v>
      </c>
      <c r="BY487" s="3">
        <f>+IF(AVANCE[[#This Row],[BARANDA BALCON]]=AL$2,100%,AVANCE[[#This Row],[BARANDA BALCON]])</f>
        <v>0</v>
      </c>
      <c r="BZ487" s="3">
        <f>+IF(AVANCE[[#This Row],[OSB EXTERIOR]]=AM$2,100%,AVANCE[[#This Row],[OSB EXTERIOR]])</f>
        <v>0</v>
      </c>
      <c r="CA487" s="3">
        <f>+IF(AVANCE[[#This Row],[SMART PANEL]]=AN$2,100%,AVANCE[[#This Row],[SMART PANEL]])</f>
        <v>0</v>
      </c>
      <c r="CB487" s="3">
        <f>+IF(AVANCE[[#This Row],[PINTURA EXTERIOR]]=AO$2,100%,AVANCE[[#This Row],[PINTURA EXTERIOR]])</f>
        <v>0</v>
      </c>
      <c r="CC487" s="3">
        <f>+IF(AVANCE[[#This Row],[ZOCALOS LOGIA]]=AP$2,100%,AVANCE[[#This Row],[ZOCALOS LOGIA]])</f>
        <v>0</v>
      </c>
      <c r="CD487" s="3">
        <f>+IF(AVANCE[[#This Row],[MOLDURAS]]=AQ$2,100%,AVANCE[[#This Row],[MOLDURAS]])</f>
        <v>0</v>
      </c>
      <c r="CE487" s="3">
        <f>+IF(AVANCE[[#This Row],[PILASTREO]]=AR$2,100%,AVANCE[[#This Row],[PILASTREO]])</f>
        <v>0</v>
      </c>
      <c r="CF487" s="3">
        <f>+IF(AVANCE[[#This Row],[CELOSIAS]]=AS$2,100%,AVANCE[[#This Row],[CELOSIAS]])</f>
        <v>0</v>
      </c>
      <c r="CG487" s="3">
        <f>+IF(AVANCE[[#This Row],[VENTANAS]]=AT$2,100%,AVANCE[[#This Row],[VENTANAS]])</f>
        <v>0</v>
      </c>
      <c r="CH487" s="3">
        <f>+IF(AVANCE[[#This Row],[PUERTAS ACCESO - LOGIA - BANO]]=AU$2,100%,AVANCE[[#This Row],[PUERTAS ACCESO - LOGIA - BANO]])</f>
        <v>0</v>
      </c>
      <c r="CI487" s="3">
        <f>+IF(AVANCE[[#This Row],[CERRADURAS]]=AV$2,100%,AVANCE[[#This Row],[CERRADURAS]])</f>
        <v>0</v>
      </c>
      <c r="CJ487" s="3">
        <f>+IF(AVANCE[[#This Row],[REVESTIMIENTO INTERIOR ZONA SECA]]=AW$2,100%,AVANCE[[#This Row],[REVESTIMIENTO INTERIOR ZONA SECA]])</f>
        <v>0</v>
      </c>
      <c r="CK487" s="3">
        <f>+IF(AVANCE[[#This Row],[REVESTIMIENTO INTERIOR ZONAS HUMEDAS]]=AX$2,100%,AVANCE[[#This Row],[REVESTIMIENTO INTERIOR ZONAS HUMEDAS]])</f>
        <v>0</v>
      </c>
      <c r="CL487" s="3">
        <f>+IF(AVANCE[[#This Row],[MEMBRANA CIELO]]=AY$2,100%,AVANCE[[#This Row],[MEMBRANA CIELO]])</f>
        <v>0</v>
      </c>
      <c r="CM487" s="3">
        <f>+IF(AVANCE[[#This Row],[LIMPIEZA FINAL]]=AZ$2,100%,AVANCE[[#This Row],[LIMPIEZA FINAL]])</f>
        <v>0</v>
      </c>
      <c r="CN487" s="3">
        <f>+IF(AVANCE[[#This Row],[PUERTAS DORMITORIO]]=BA$2,100%,AVANCE[[#This Row],[PUERTAS DORMITORIO]])</f>
        <v>0</v>
      </c>
      <c r="CO487" s="3">
        <f>+IF(AVANCE[[#This Row],[REVESTIMIENTO INTERIOR BANO]]=BB$2,100%,AVANCE[[#This Row],[REVESTIMIENTO INTERIOR BANO]])</f>
        <v>0</v>
      </c>
      <c r="CP487" s="3">
        <f>+IF(AVANCE[[#This Row],[MUEBLE LAVAPLATOS]]=BC$2,100%,AVANCE[[#This Row],[MUEBLE LAVAPLATOS]])</f>
        <v>0</v>
      </c>
      <c r="CQ487" s="3">
        <f>+IF(AVANCE[[#This Row],[IMPERMEABILIZACION BANO - COCINA LOGIA]]=BD$2,100%,AVANCE[[#This Row],[IMPERMEABILIZACION BANO - COCINA LOGIA]])</f>
        <v>0</v>
      </c>
      <c r="CR487" s="40">
        <f ca="1">+IF(AVANCE[[#This Row],[ESTADO MODULO]]="PENDIENTE",(TODAY()-AVANCE[[#This Row],[FECHA TERMINO  PLANIFICADO]]),0)</f>
        <v>0</v>
      </c>
      <c r="CS487" s="42" t="str" cm="1">
        <f t="array" ref="CS487">_xlfn.TEXTJOIN(" | ",TRUE,IF(SUMPRODUCT((BF487:CQ487&lt;1)*(PARTIDAS!$I$2:$AT$2="OBRA GRUESA"))&gt;0,"OBRA GRUESA: "&amp;_xlfn.TEXTJOIN(", ",TRUE,IF((BF487:CQ487&lt;1)*(PARTIDAS!$I$2:$AT$2="OBRA GRUESA"),PARTIDAS!$I$1:$AT$1,"")),""),IF(SUMPRODUCT((BF487:CQ487&lt;1)*(PARTIDAS!$I$2:$AT$2="SANITARIOS"))&gt;0,"SANITARIOS: "&amp;_xlfn.TEXTJOIN(", ",TRUE,IF((BF487:CQ487&lt;1)*(PARTIDAS!$I$2:$AT$2="SANITARIOS"),PARTIDAS!$I$1:$AT$1,"")),""),IF(SUMPRODUCT((BF487:CQ487&lt;1)*(PARTIDAS!$I$2:$AT$2="ELÉCTRICO"))&gt;0,"ELÉCTRICO: "&amp;_xlfn.TEXTJOIN(", ",TRUE,IF((BF487:CQ487&lt;1)*(PARTIDAS!$I$2:$AT$2="ELÉCTRICO"),PARTIDAS!$I$1:$AT$1,"")),""),IF(SUMPRODUCT((BF487:CQ487&lt;1)*(PARTIDAS!$I$2:$AT$2="TERMINACIONES"))&gt;0,"TERMINACIONES: "&amp;_xlfn.TEXTJOIN(", ",TRUE,IF((BF487:CQ487&lt;1)*(PARTIDAS!$I$2:$AT$2="TERMINACIONES"),PARTIDAS!$I$1:$AT$1,"")),""))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7" s="45" t="str" cm="1">
        <f t="array" ref="CT487">_xlfn.TEXTJOIN(", ",TRUE,IF(SUMPRODUCT((BF487:CQ487&lt;1)*(PARTIDAS!$I$2:$AT$2="OBRA GRUESA"))&gt;0,"OBRA GRUESA",""),IF(SUMPRODUCT((BF487:CQ487&lt;1)*(PARTIDAS!$I$2:$AT$2="SANITARIOS"))&gt;0,"SANITARIOS",""),IF(SUMPRODUCT((BF487:CQ487&lt;1)*(PARTIDAS!$I$2:$AT$2="ELÉCTRICO"))&gt;0,"ELÉCTRICO",""),IF(SUMPRODUCT((BF487:CQ487&lt;1)*(PARTIDAS!$I$2:$AT$2="TERMINACIONES"))&gt;0,"TERMINACIONES",""))</f>
        <v>OBRA GRUESA, SANITARIOS, ELÉCTRICO, TERMINACIONES</v>
      </c>
      <c r="CU487" s="46" cm="1">
        <f t="array" ref="CU487">SUMPRODUCT(--(BF487:CQ487&lt;1))</f>
        <v>38</v>
      </c>
    </row>
    <row r="488" spans="1:99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46181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 s="3" t="str">
        <f>+IF(AVANCE[[#This Row],[% AVANCE]]=100%,"MODULO TERMINADO",IF(AVANCE[[#This Row],[FECHA INICIO REAL]]="","MODULO NO INICIADO","PENDIENTE"))</f>
        <v>MODULO NO INICIADO</v>
      </c>
      <c r="BF488" s="3">
        <f>+IF(AVANCE[[#This Row],[VENTANAS]]=8.10810810810811%,100%,AVANCE[[#This Row],[VENTANAS]])</f>
        <v>0</v>
      </c>
      <c r="BG488" s="3">
        <f>+IF(AVANCE[[#This Row],[PISO]]=N$2,100%,AVANCE[[#This Row],[PISO]])</f>
        <v>0</v>
      </c>
      <c r="BH488" s="3">
        <f>+IF(AVANCE[[#This Row],[TABIQUES]]=O$2,100%,AVANCE[[#This Row],[TABIQUES]])</f>
        <v>0</v>
      </c>
      <c r="BI488" s="3">
        <f>+IF(AVANCE[[#This Row],[MUROS]]=P$2,100%,AVANCE[[#This Row],[MUROS]])</f>
        <v>0</v>
      </c>
      <c r="BJ488" s="3">
        <f>+IF(AVANCE[[#This Row],[CIELO]]=Q$2,100%,AVANCE[[#This Row],[CIELO]])</f>
        <v>0</v>
      </c>
      <c r="BK488" s="3">
        <f>+IF(AVANCE[[#This Row],[BALCÓN]]=R$2,100%,AVANCE[[#This Row],[BALCÓN]])</f>
        <v>0</v>
      </c>
      <c r="BL488" s="3">
        <f>+IF(AVANCE[[#This Row],[RED ALCANTARILLADO]]=U$2,100%,AVANCE[[#This Row],[RED ALCANTARILLADO]])</f>
        <v>0</v>
      </c>
      <c r="BM488" s="3">
        <f>+IF(AVANCE[[#This Row],[RED DE AGUA]]=V$2,100%,AVANCE[[#This Row],[RED DE AGUA]])</f>
        <v>0</v>
      </c>
      <c r="BN488" s="3">
        <f>+IF(AVANCE[[#This Row],[VENTILACIONES]]=W$2,100%,AVANCE[[#This Row],[VENTILACIONES]])</f>
        <v>0</v>
      </c>
      <c r="BO488" s="3">
        <f>+IF(AVANCE[[#This Row],[TINA]]=X$2,100%,AVANCE[[#This Row],[TINA]])</f>
        <v>0</v>
      </c>
      <c r="BP488" s="3">
        <f>+IF(AVANCE[[#This Row],[WC]]=Y$2,100%,AVANCE[[#This Row],[WC]])</f>
        <v>0</v>
      </c>
      <c r="BQ488" s="3">
        <f>+IF(AVANCE[[#This Row],[LAVAMANOS / LAVAPLATOS / LAVADERO]]=Z$2,100%,AVANCE[[#This Row],[LAVAMANOS / LAVAPLATOS / LAVADERO]])</f>
        <v>0</v>
      </c>
      <c r="BR488" s="3">
        <f>+IF(AVANCE[[#This Row],[CANALIZACIÓN]]=AC$2,100%,AVANCE[[#This Row],[CANALIZACIÓN]])</f>
        <v>0</v>
      </c>
      <c r="BS488" s="3">
        <f>+IF(AVANCE[[#This Row],[CABLEADO]]=AD$2,100%,AVANCE[[#This Row],[CABLEADO]])</f>
        <v>0</v>
      </c>
      <c r="BT488" s="3">
        <f>+IF(AVANCE[[#This Row],[ARTEFACTOS]]=AE$2,100%,AVANCE[[#This Row],[ARTEFACTOS]])</f>
        <v>0</v>
      </c>
      <c r="BU488" s="3">
        <f>+IF(AVANCE[[#This Row],[TABLERO]]=AF$2,100%,AVANCE[[#This Row],[TABLERO]])</f>
        <v>0</v>
      </c>
      <c r="BV488" s="3">
        <f>+IF(AVANCE[[#This Row],[CAJA PAU]]=AG$2,100%,AVANCE[[#This Row],[CAJA PAU]])</f>
        <v>0</v>
      </c>
      <c r="BW488" s="3">
        <f>+IF(AVANCE[[#This Row],[INSTALACION VINILICO]]=AJ$2,100%,AVANCE[[#This Row],[INSTALACION VINILICO]])</f>
        <v>0</v>
      </c>
      <c r="BX488" s="3">
        <f>+IF(AVANCE[[#This Row],[OSB CUBIERTA]]=AK$2,100%,AVANCE[[#This Row],[OSB CUBIERTA]])</f>
        <v>0</v>
      </c>
      <c r="BY488" s="3">
        <f>+IF(AVANCE[[#This Row],[BARANDA BALCON]]=AL$2,100%,AVANCE[[#This Row],[BARANDA BALCON]])</f>
        <v>0</v>
      </c>
      <c r="BZ488" s="3">
        <f>+IF(AVANCE[[#This Row],[OSB EXTERIOR]]=AM$2,100%,AVANCE[[#This Row],[OSB EXTERIOR]])</f>
        <v>0</v>
      </c>
      <c r="CA488" s="3">
        <f>+IF(AVANCE[[#This Row],[SMART PANEL]]=AN$2,100%,AVANCE[[#This Row],[SMART PANEL]])</f>
        <v>0</v>
      </c>
      <c r="CB488" s="3">
        <f>+IF(AVANCE[[#This Row],[PINTURA EXTERIOR]]=AO$2,100%,AVANCE[[#This Row],[PINTURA EXTERIOR]])</f>
        <v>0</v>
      </c>
      <c r="CC488" s="3">
        <f>+IF(AVANCE[[#This Row],[ZOCALOS LOGIA]]=AP$2,100%,AVANCE[[#This Row],[ZOCALOS LOGIA]])</f>
        <v>0</v>
      </c>
      <c r="CD488" s="3">
        <f>+IF(AVANCE[[#This Row],[MOLDURAS]]=AQ$2,100%,AVANCE[[#This Row],[MOLDURAS]])</f>
        <v>0</v>
      </c>
      <c r="CE488" s="3">
        <f>+IF(AVANCE[[#This Row],[PILASTREO]]=AR$2,100%,AVANCE[[#This Row],[PILASTREO]])</f>
        <v>0</v>
      </c>
      <c r="CF488" s="3">
        <f>+IF(AVANCE[[#This Row],[CELOSIAS]]=AS$2,100%,AVANCE[[#This Row],[CELOSIAS]])</f>
        <v>0</v>
      </c>
      <c r="CG488" s="3">
        <f>+IF(AVANCE[[#This Row],[VENTANAS]]=AT$2,100%,AVANCE[[#This Row],[VENTANAS]])</f>
        <v>0</v>
      </c>
      <c r="CH488" s="3">
        <f>+IF(AVANCE[[#This Row],[PUERTAS ACCESO - LOGIA - BANO]]=AU$2,100%,AVANCE[[#This Row],[PUERTAS ACCESO - LOGIA - BANO]])</f>
        <v>0</v>
      </c>
      <c r="CI488" s="3">
        <f>+IF(AVANCE[[#This Row],[CERRADURAS]]=AV$2,100%,AVANCE[[#This Row],[CERRADURAS]])</f>
        <v>0</v>
      </c>
      <c r="CJ488" s="3">
        <f>+IF(AVANCE[[#This Row],[REVESTIMIENTO INTERIOR ZONA SECA]]=AW$2,100%,AVANCE[[#This Row],[REVESTIMIENTO INTERIOR ZONA SECA]])</f>
        <v>0</v>
      </c>
      <c r="CK488" s="3">
        <f>+IF(AVANCE[[#This Row],[REVESTIMIENTO INTERIOR ZONAS HUMEDAS]]=AX$2,100%,AVANCE[[#This Row],[REVESTIMIENTO INTERIOR ZONAS HUMEDAS]])</f>
        <v>0</v>
      </c>
      <c r="CL488" s="3">
        <f>+IF(AVANCE[[#This Row],[MEMBRANA CIELO]]=AY$2,100%,AVANCE[[#This Row],[MEMBRANA CIELO]])</f>
        <v>0</v>
      </c>
      <c r="CM488" s="3">
        <f>+IF(AVANCE[[#This Row],[LIMPIEZA FINAL]]=AZ$2,100%,AVANCE[[#This Row],[LIMPIEZA FINAL]])</f>
        <v>0</v>
      </c>
      <c r="CN488" s="3">
        <f>+IF(AVANCE[[#This Row],[PUERTAS DORMITORIO]]=BA$2,100%,AVANCE[[#This Row],[PUERTAS DORMITORIO]])</f>
        <v>0</v>
      </c>
      <c r="CO488" s="3">
        <f>+IF(AVANCE[[#This Row],[REVESTIMIENTO INTERIOR BANO]]=BB$2,100%,AVANCE[[#This Row],[REVESTIMIENTO INTERIOR BANO]])</f>
        <v>0</v>
      </c>
      <c r="CP488" s="3">
        <f>+IF(AVANCE[[#This Row],[MUEBLE LAVAPLATOS]]=BC$2,100%,AVANCE[[#This Row],[MUEBLE LAVAPLATOS]])</f>
        <v>0</v>
      </c>
      <c r="CQ488" s="3">
        <f>+IF(AVANCE[[#This Row],[IMPERMEABILIZACION BANO - COCINA LOGIA]]=BD$2,100%,AVANCE[[#This Row],[IMPERMEABILIZACION BANO - COCINA LOGIA]])</f>
        <v>0</v>
      </c>
      <c r="CR488" s="40">
        <f ca="1">+IF(AVANCE[[#This Row],[ESTADO MODULO]]="PENDIENTE",(TODAY()-AVANCE[[#This Row],[FECHA TERMINO  PLANIFICADO]]),0)</f>
        <v>0</v>
      </c>
      <c r="CS488" s="42" t="str" cm="1">
        <f t="array" ref="CS488">_xlfn.TEXTJOIN(" | ",TRUE,IF(SUMPRODUCT((BF488:CQ488&lt;1)*(PARTIDAS!$I$2:$AT$2="OBRA GRUESA"))&gt;0,"OBRA GRUESA: "&amp;_xlfn.TEXTJOIN(", ",TRUE,IF((BF488:CQ488&lt;1)*(PARTIDAS!$I$2:$AT$2="OBRA GRUESA"),PARTIDAS!$I$1:$AT$1,"")),""),IF(SUMPRODUCT((BF488:CQ488&lt;1)*(PARTIDAS!$I$2:$AT$2="SANITARIOS"))&gt;0,"SANITARIOS: "&amp;_xlfn.TEXTJOIN(", ",TRUE,IF((BF488:CQ488&lt;1)*(PARTIDAS!$I$2:$AT$2="SANITARIOS"),PARTIDAS!$I$1:$AT$1,"")),""),IF(SUMPRODUCT((BF488:CQ488&lt;1)*(PARTIDAS!$I$2:$AT$2="ELÉCTRICO"))&gt;0,"ELÉCTRICO: "&amp;_xlfn.TEXTJOIN(", ",TRUE,IF((BF488:CQ488&lt;1)*(PARTIDAS!$I$2:$AT$2="ELÉCTRICO"),PARTIDAS!$I$1:$AT$1,"")),""),IF(SUMPRODUCT((BF488:CQ488&lt;1)*(PARTIDAS!$I$2:$AT$2="TERMINACIONES"))&gt;0,"TERMINACIONES: "&amp;_xlfn.TEXTJOIN(", ",TRUE,IF((BF488:CQ488&lt;1)*(PARTIDAS!$I$2:$AT$2="TERMINACIONES"),PARTIDAS!$I$1:$AT$1,"")),""))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8" s="45" t="str" cm="1">
        <f t="array" ref="CT488">_xlfn.TEXTJOIN(", ",TRUE,IF(SUMPRODUCT((BF488:CQ488&lt;1)*(PARTIDAS!$I$2:$AT$2="OBRA GRUESA"))&gt;0,"OBRA GRUESA",""),IF(SUMPRODUCT((BF488:CQ488&lt;1)*(PARTIDAS!$I$2:$AT$2="SANITARIOS"))&gt;0,"SANITARIOS",""),IF(SUMPRODUCT((BF488:CQ488&lt;1)*(PARTIDAS!$I$2:$AT$2="ELÉCTRICO"))&gt;0,"ELÉCTRICO",""),IF(SUMPRODUCT((BF488:CQ488&lt;1)*(PARTIDAS!$I$2:$AT$2="TERMINACIONES"))&gt;0,"TERMINACIONES",""))</f>
        <v>OBRA GRUESA, SANITARIOS, ELÉCTRICO, TERMINACIONES</v>
      </c>
      <c r="CU488" s="46" cm="1">
        <f t="array" ref="CU488">SUMPRODUCT(--(BF488:CQ488&lt;1))</f>
        <v>38</v>
      </c>
    </row>
    <row r="489" spans="1:99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46181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 s="3" t="str">
        <f>+IF(AVANCE[[#This Row],[% AVANCE]]=100%,"MODULO TERMINADO",IF(AVANCE[[#This Row],[FECHA INICIO REAL]]="","MODULO NO INICIADO","PENDIENTE"))</f>
        <v>MODULO NO INICIADO</v>
      </c>
      <c r="BF489" s="3">
        <f>+IF(AVANCE[[#This Row],[VENTANAS]]=8.10810810810811%,100%,AVANCE[[#This Row],[VENTANAS]])</f>
        <v>0</v>
      </c>
      <c r="BG489" s="3">
        <f>+IF(AVANCE[[#This Row],[PISO]]=N$2,100%,AVANCE[[#This Row],[PISO]])</f>
        <v>0</v>
      </c>
      <c r="BH489" s="3">
        <f>+IF(AVANCE[[#This Row],[TABIQUES]]=O$2,100%,AVANCE[[#This Row],[TABIQUES]])</f>
        <v>0</v>
      </c>
      <c r="BI489" s="3">
        <f>+IF(AVANCE[[#This Row],[MUROS]]=P$2,100%,AVANCE[[#This Row],[MUROS]])</f>
        <v>0</v>
      </c>
      <c r="BJ489" s="3">
        <f>+IF(AVANCE[[#This Row],[CIELO]]=Q$2,100%,AVANCE[[#This Row],[CIELO]])</f>
        <v>0</v>
      </c>
      <c r="BK489" s="3">
        <f>+IF(AVANCE[[#This Row],[BALCÓN]]=R$2,100%,AVANCE[[#This Row],[BALCÓN]])</f>
        <v>0</v>
      </c>
      <c r="BL489" s="3">
        <f>+IF(AVANCE[[#This Row],[RED ALCANTARILLADO]]=U$2,100%,AVANCE[[#This Row],[RED ALCANTARILLADO]])</f>
        <v>0</v>
      </c>
      <c r="BM489" s="3">
        <f>+IF(AVANCE[[#This Row],[RED DE AGUA]]=V$2,100%,AVANCE[[#This Row],[RED DE AGUA]])</f>
        <v>0</v>
      </c>
      <c r="BN489" s="3">
        <f>+IF(AVANCE[[#This Row],[VENTILACIONES]]=W$2,100%,AVANCE[[#This Row],[VENTILACIONES]])</f>
        <v>0</v>
      </c>
      <c r="BO489" s="3">
        <f>+IF(AVANCE[[#This Row],[TINA]]=X$2,100%,AVANCE[[#This Row],[TINA]])</f>
        <v>0</v>
      </c>
      <c r="BP489" s="3">
        <f>+IF(AVANCE[[#This Row],[WC]]=Y$2,100%,AVANCE[[#This Row],[WC]])</f>
        <v>0</v>
      </c>
      <c r="BQ489" s="3">
        <f>+IF(AVANCE[[#This Row],[LAVAMANOS / LAVAPLATOS / LAVADERO]]=Z$2,100%,AVANCE[[#This Row],[LAVAMANOS / LAVAPLATOS / LAVADERO]])</f>
        <v>0</v>
      </c>
      <c r="BR489" s="3">
        <f>+IF(AVANCE[[#This Row],[CANALIZACIÓN]]=AC$2,100%,AVANCE[[#This Row],[CANALIZACIÓN]])</f>
        <v>0</v>
      </c>
      <c r="BS489" s="3">
        <f>+IF(AVANCE[[#This Row],[CABLEADO]]=AD$2,100%,AVANCE[[#This Row],[CABLEADO]])</f>
        <v>0</v>
      </c>
      <c r="BT489" s="3">
        <f>+IF(AVANCE[[#This Row],[ARTEFACTOS]]=AE$2,100%,AVANCE[[#This Row],[ARTEFACTOS]])</f>
        <v>0</v>
      </c>
      <c r="BU489" s="3">
        <f>+IF(AVANCE[[#This Row],[TABLERO]]=AF$2,100%,AVANCE[[#This Row],[TABLERO]])</f>
        <v>0</v>
      </c>
      <c r="BV489" s="3">
        <f>+IF(AVANCE[[#This Row],[CAJA PAU]]=AG$2,100%,AVANCE[[#This Row],[CAJA PAU]])</f>
        <v>0</v>
      </c>
      <c r="BW489" s="3">
        <f>+IF(AVANCE[[#This Row],[INSTALACION VINILICO]]=AJ$2,100%,AVANCE[[#This Row],[INSTALACION VINILICO]])</f>
        <v>0</v>
      </c>
      <c r="BX489" s="3">
        <f>+IF(AVANCE[[#This Row],[OSB CUBIERTA]]=AK$2,100%,AVANCE[[#This Row],[OSB CUBIERTA]])</f>
        <v>0</v>
      </c>
      <c r="BY489" s="3">
        <f>+IF(AVANCE[[#This Row],[BARANDA BALCON]]=AL$2,100%,AVANCE[[#This Row],[BARANDA BALCON]])</f>
        <v>0</v>
      </c>
      <c r="BZ489" s="3">
        <f>+IF(AVANCE[[#This Row],[OSB EXTERIOR]]=AM$2,100%,AVANCE[[#This Row],[OSB EXTERIOR]])</f>
        <v>0</v>
      </c>
      <c r="CA489" s="3">
        <f>+IF(AVANCE[[#This Row],[SMART PANEL]]=AN$2,100%,AVANCE[[#This Row],[SMART PANEL]])</f>
        <v>0</v>
      </c>
      <c r="CB489" s="3">
        <f>+IF(AVANCE[[#This Row],[PINTURA EXTERIOR]]=AO$2,100%,AVANCE[[#This Row],[PINTURA EXTERIOR]])</f>
        <v>0</v>
      </c>
      <c r="CC489" s="3">
        <f>+IF(AVANCE[[#This Row],[ZOCALOS LOGIA]]=AP$2,100%,AVANCE[[#This Row],[ZOCALOS LOGIA]])</f>
        <v>0</v>
      </c>
      <c r="CD489" s="3">
        <f>+IF(AVANCE[[#This Row],[MOLDURAS]]=AQ$2,100%,AVANCE[[#This Row],[MOLDURAS]])</f>
        <v>0</v>
      </c>
      <c r="CE489" s="3">
        <f>+IF(AVANCE[[#This Row],[PILASTREO]]=AR$2,100%,AVANCE[[#This Row],[PILASTREO]])</f>
        <v>0</v>
      </c>
      <c r="CF489" s="3">
        <f>+IF(AVANCE[[#This Row],[CELOSIAS]]=AS$2,100%,AVANCE[[#This Row],[CELOSIAS]])</f>
        <v>0</v>
      </c>
      <c r="CG489" s="3">
        <f>+IF(AVANCE[[#This Row],[VENTANAS]]=AT$2,100%,AVANCE[[#This Row],[VENTANAS]])</f>
        <v>0</v>
      </c>
      <c r="CH489" s="3">
        <f>+IF(AVANCE[[#This Row],[PUERTAS ACCESO - LOGIA - BANO]]=AU$2,100%,AVANCE[[#This Row],[PUERTAS ACCESO - LOGIA - BANO]])</f>
        <v>0</v>
      </c>
      <c r="CI489" s="3">
        <f>+IF(AVANCE[[#This Row],[CERRADURAS]]=AV$2,100%,AVANCE[[#This Row],[CERRADURAS]])</f>
        <v>0</v>
      </c>
      <c r="CJ489" s="3">
        <f>+IF(AVANCE[[#This Row],[REVESTIMIENTO INTERIOR ZONA SECA]]=AW$2,100%,AVANCE[[#This Row],[REVESTIMIENTO INTERIOR ZONA SECA]])</f>
        <v>0</v>
      </c>
      <c r="CK489" s="3">
        <f>+IF(AVANCE[[#This Row],[REVESTIMIENTO INTERIOR ZONAS HUMEDAS]]=AX$2,100%,AVANCE[[#This Row],[REVESTIMIENTO INTERIOR ZONAS HUMEDAS]])</f>
        <v>0</v>
      </c>
      <c r="CL489" s="3">
        <f>+IF(AVANCE[[#This Row],[MEMBRANA CIELO]]=AY$2,100%,AVANCE[[#This Row],[MEMBRANA CIELO]])</f>
        <v>0</v>
      </c>
      <c r="CM489" s="3">
        <f>+IF(AVANCE[[#This Row],[LIMPIEZA FINAL]]=AZ$2,100%,AVANCE[[#This Row],[LIMPIEZA FINAL]])</f>
        <v>0</v>
      </c>
      <c r="CN489" s="3">
        <f>+IF(AVANCE[[#This Row],[PUERTAS DORMITORIO]]=BA$2,100%,AVANCE[[#This Row],[PUERTAS DORMITORIO]])</f>
        <v>0</v>
      </c>
      <c r="CO489" s="3">
        <f>+IF(AVANCE[[#This Row],[REVESTIMIENTO INTERIOR BANO]]=BB$2,100%,AVANCE[[#This Row],[REVESTIMIENTO INTERIOR BANO]])</f>
        <v>0</v>
      </c>
      <c r="CP489" s="3">
        <f>+IF(AVANCE[[#This Row],[MUEBLE LAVAPLATOS]]=BC$2,100%,AVANCE[[#This Row],[MUEBLE LAVAPLATOS]])</f>
        <v>0</v>
      </c>
      <c r="CQ489" s="3">
        <f>+IF(AVANCE[[#This Row],[IMPERMEABILIZACION BANO - COCINA LOGIA]]=BD$2,100%,AVANCE[[#This Row],[IMPERMEABILIZACION BANO - COCINA LOGIA]])</f>
        <v>0</v>
      </c>
      <c r="CR489" s="40">
        <f ca="1">+IF(AVANCE[[#This Row],[ESTADO MODULO]]="PENDIENTE",(TODAY()-AVANCE[[#This Row],[FECHA TERMINO  PLANIFICADO]]),0)</f>
        <v>0</v>
      </c>
      <c r="CS489" s="42" t="str" cm="1">
        <f t="array" ref="CS489">_xlfn.TEXTJOIN(" | ",TRUE,IF(SUMPRODUCT((BF489:CQ489&lt;1)*(PARTIDAS!$I$2:$AT$2="OBRA GRUESA"))&gt;0,"OBRA GRUESA: "&amp;_xlfn.TEXTJOIN(", ",TRUE,IF((BF489:CQ489&lt;1)*(PARTIDAS!$I$2:$AT$2="OBRA GRUESA"),PARTIDAS!$I$1:$AT$1,"")),""),IF(SUMPRODUCT((BF489:CQ489&lt;1)*(PARTIDAS!$I$2:$AT$2="SANITARIOS"))&gt;0,"SANITARIOS: "&amp;_xlfn.TEXTJOIN(", ",TRUE,IF((BF489:CQ489&lt;1)*(PARTIDAS!$I$2:$AT$2="SANITARIOS"),PARTIDAS!$I$1:$AT$1,"")),""),IF(SUMPRODUCT((BF489:CQ489&lt;1)*(PARTIDAS!$I$2:$AT$2="ELÉCTRICO"))&gt;0,"ELÉCTRICO: "&amp;_xlfn.TEXTJOIN(", ",TRUE,IF((BF489:CQ489&lt;1)*(PARTIDAS!$I$2:$AT$2="ELÉCTRICO"),PARTIDAS!$I$1:$AT$1,"")),""),IF(SUMPRODUCT((BF489:CQ489&lt;1)*(PARTIDAS!$I$2:$AT$2="TERMINACIONES"))&gt;0,"TERMINACIONES: "&amp;_xlfn.TEXTJOIN(", ",TRUE,IF((BF489:CQ489&lt;1)*(PARTIDAS!$I$2:$AT$2="TERMINACIONES"),PARTIDAS!$I$1:$AT$1,"")),""))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89" s="45" t="str" cm="1">
        <f t="array" ref="CT489">_xlfn.TEXTJOIN(", ",TRUE,IF(SUMPRODUCT((BF489:CQ489&lt;1)*(PARTIDAS!$I$2:$AT$2="OBRA GRUESA"))&gt;0,"OBRA GRUESA",""),IF(SUMPRODUCT((BF489:CQ489&lt;1)*(PARTIDAS!$I$2:$AT$2="SANITARIOS"))&gt;0,"SANITARIOS",""),IF(SUMPRODUCT((BF489:CQ489&lt;1)*(PARTIDAS!$I$2:$AT$2="ELÉCTRICO"))&gt;0,"ELÉCTRICO",""),IF(SUMPRODUCT((BF489:CQ489&lt;1)*(PARTIDAS!$I$2:$AT$2="TERMINACIONES"))&gt;0,"TERMINACIONES",""))</f>
        <v>OBRA GRUESA, SANITARIOS, ELÉCTRICO, TERMINACIONES</v>
      </c>
      <c r="CU489" s="46" cm="1">
        <f t="array" ref="CU489">SUMPRODUCT(--(BF489:CQ489&lt;1))</f>
        <v>38</v>
      </c>
    </row>
    <row r="490" spans="1:99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46181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 s="3" t="str">
        <f>+IF(AVANCE[[#This Row],[% AVANCE]]=100%,"MODULO TERMINADO",IF(AVANCE[[#This Row],[FECHA INICIO REAL]]="","MODULO NO INICIADO","PENDIENTE"))</f>
        <v>MODULO NO INICIADO</v>
      </c>
      <c r="BF490" s="3">
        <f>+IF(AVANCE[[#This Row],[VENTANAS]]=8.10810810810811%,100%,AVANCE[[#This Row],[VENTANAS]])</f>
        <v>0</v>
      </c>
      <c r="BG490" s="3">
        <f>+IF(AVANCE[[#This Row],[PISO]]=N$2,100%,AVANCE[[#This Row],[PISO]])</f>
        <v>0</v>
      </c>
      <c r="BH490" s="3">
        <f>+IF(AVANCE[[#This Row],[TABIQUES]]=O$2,100%,AVANCE[[#This Row],[TABIQUES]])</f>
        <v>0</v>
      </c>
      <c r="BI490" s="3">
        <f>+IF(AVANCE[[#This Row],[MUROS]]=P$2,100%,AVANCE[[#This Row],[MUROS]])</f>
        <v>0</v>
      </c>
      <c r="BJ490" s="3">
        <f>+IF(AVANCE[[#This Row],[CIELO]]=Q$2,100%,AVANCE[[#This Row],[CIELO]])</f>
        <v>0</v>
      </c>
      <c r="BK490" s="3">
        <f>+IF(AVANCE[[#This Row],[BALCÓN]]=R$2,100%,AVANCE[[#This Row],[BALCÓN]])</f>
        <v>0</v>
      </c>
      <c r="BL490" s="3">
        <f>+IF(AVANCE[[#This Row],[RED ALCANTARILLADO]]=U$2,100%,AVANCE[[#This Row],[RED ALCANTARILLADO]])</f>
        <v>0</v>
      </c>
      <c r="BM490" s="3">
        <f>+IF(AVANCE[[#This Row],[RED DE AGUA]]=V$2,100%,AVANCE[[#This Row],[RED DE AGUA]])</f>
        <v>0</v>
      </c>
      <c r="BN490" s="3">
        <f>+IF(AVANCE[[#This Row],[VENTILACIONES]]=W$2,100%,AVANCE[[#This Row],[VENTILACIONES]])</f>
        <v>0</v>
      </c>
      <c r="BO490" s="3">
        <f>+IF(AVANCE[[#This Row],[TINA]]=X$2,100%,AVANCE[[#This Row],[TINA]])</f>
        <v>0</v>
      </c>
      <c r="BP490" s="3">
        <f>+IF(AVANCE[[#This Row],[WC]]=Y$2,100%,AVANCE[[#This Row],[WC]])</f>
        <v>0</v>
      </c>
      <c r="BQ490" s="3">
        <f>+IF(AVANCE[[#This Row],[LAVAMANOS / LAVAPLATOS / LAVADERO]]=Z$2,100%,AVANCE[[#This Row],[LAVAMANOS / LAVAPLATOS / LAVADERO]])</f>
        <v>0</v>
      </c>
      <c r="BR490" s="3">
        <f>+IF(AVANCE[[#This Row],[CANALIZACIÓN]]=AC$2,100%,AVANCE[[#This Row],[CANALIZACIÓN]])</f>
        <v>0</v>
      </c>
      <c r="BS490" s="3">
        <f>+IF(AVANCE[[#This Row],[CABLEADO]]=AD$2,100%,AVANCE[[#This Row],[CABLEADO]])</f>
        <v>0</v>
      </c>
      <c r="BT490" s="3">
        <f>+IF(AVANCE[[#This Row],[ARTEFACTOS]]=AE$2,100%,AVANCE[[#This Row],[ARTEFACTOS]])</f>
        <v>0</v>
      </c>
      <c r="BU490" s="3">
        <f>+IF(AVANCE[[#This Row],[TABLERO]]=AF$2,100%,AVANCE[[#This Row],[TABLERO]])</f>
        <v>0</v>
      </c>
      <c r="BV490" s="3">
        <f>+IF(AVANCE[[#This Row],[CAJA PAU]]=AG$2,100%,AVANCE[[#This Row],[CAJA PAU]])</f>
        <v>0</v>
      </c>
      <c r="BW490" s="3">
        <f>+IF(AVANCE[[#This Row],[INSTALACION VINILICO]]=AJ$2,100%,AVANCE[[#This Row],[INSTALACION VINILICO]])</f>
        <v>0</v>
      </c>
      <c r="BX490" s="3">
        <f>+IF(AVANCE[[#This Row],[OSB CUBIERTA]]=AK$2,100%,AVANCE[[#This Row],[OSB CUBIERTA]])</f>
        <v>0</v>
      </c>
      <c r="BY490" s="3">
        <f>+IF(AVANCE[[#This Row],[BARANDA BALCON]]=AL$2,100%,AVANCE[[#This Row],[BARANDA BALCON]])</f>
        <v>0</v>
      </c>
      <c r="BZ490" s="3">
        <f>+IF(AVANCE[[#This Row],[OSB EXTERIOR]]=AM$2,100%,AVANCE[[#This Row],[OSB EXTERIOR]])</f>
        <v>0</v>
      </c>
      <c r="CA490" s="3">
        <f>+IF(AVANCE[[#This Row],[SMART PANEL]]=AN$2,100%,AVANCE[[#This Row],[SMART PANEL]])</f>
        <v>0</v>
      </c>
      <c r="CB490" s="3">
        <f>+IF(AVANCE[[#This Row],[PINTURA EXTERIOR]]=AO$2,100%,AVANCE[[#This Row],[PINTURA EXTERIOR]])</f>
        <v>0</v>
      </c>
      <c r="CC490" s="3">
        <f>+IF(AVANCE[[#This Row],[ZOCALOS LOGIA]]=AP$2,100%,AVANCE[[#This Row],[ZOCALOS LOGIA]])</f>
        <v>0</v>
      </c>
      <c r="CD490" s="3">
        <f>+IF(AVANCE[[#This Row],[MOLDURAS]]=AQ$2,100%,AVANCE[[#This Row],[MOLDURAS]])</f>
        <v>0</v>
      </c>
      <c r="CE490" s="3">
        <f>+IF(AVANCE[[#This Row],[PILASTREO]]=AR$2,100%,AVANCE[[#This Row],[PILASTREO]])</f>
        <v>0</v>
      </c>
      <c r="CF490" s="3">
        <f>+IF(AVANCE[[#This Row],[CELOSIAS]]=AS$2,100%,AVANCE[[#This Row],[CELOSIAS]])</f>
        <v>0</v>
      </c>
      <c r="CG490" s="3">
        <f>+IF(AVANCE[[#This Row],[VENTANAS]]=AT$2,100%,AVANCE[[#This Row],[VENTANAS]])</f>
        <v>0</v>
      </c>
      <c r="CH490" s="3">
        <f>+IF(AVANCE[[#This Row],[PUERTAS ACCESO - LOGIA - BANO]]=AU$2,100%,AVANCE[[#This Row],[PUERTAS ACCESO - LOGIA - BANO]])</f>
        <v>0</v>
      </c>
      <c r="CI490" s="3">
        <f>+IF(AVANCE[[#This Row],[CERRADURAS]]=AV$2,100%,AVANCE[[#This Row],[CERRADURAS]])</f>
        <v>0</v>
      </c>
      <c r="CJ490" s="3">
        <f>+IF(AVANCE[[#This Row],[REVESTIMIENTO INTERIOR ZONA SECA]]=AW$2,100%,AVANCE[[#This Row],[REVESTIMIENTO INTERIOR ZONA SECA]])</f>
        <v>0</v>
      </c>
      <c r="CK490" s="3">
        <f>+IF(AVANCE[[#This Row],[REVESTIMIENTO INTERIOR ZONAS HUMEDAS]]=AX$2,100%,AVANCE[[#This Row],[REVESTIMIENTO INTERIOR ZONAS HUMEDAS]])</f>
        <v>0</v>
      </c>
      <c r="CL490" s="3">
        <f>+IF(AVANCE[[#This Row],[MEMBRANA CIELO]]=AY$2,100%,AVANCE[[#This Row],[MEMBRANA CIELO]])</f>
        <v>0</v>
      </c>
      <c r="CM490" s="3">
        <f>+IF(AVANCE[[#This Row],[LIMPIEZA FINAL]]=AZ$2,100%,AVANCE[[#This Row],[LIMPIEZA FINAL]])</f>
        <v>0</v>
      </c>
      <c r="CN490" s="3">
        <f>+IF(AVANCE[[#This Row],[PUERTAS DORMITORIO]]=BA$2,100%,AVANCE[[#This Row],[PUERTAS DORMITORIO]])</f>
        <v>0</v>
      </c>
      <c r="CO490" s="3">
        <f>+IF(AVANCE[[#This Row],[REVESTIMIENTO INTERIOR BANO]]=BB$2,100%,AVANCE[[#This Row],[REVESTIMIENTO INTERIOR BANO]])</f>
        <v>0</v>
      </c>
      <c r="CP490" s="3">
        <f>+IF(AVANCE[[#This Row],[MUEBLE LAVAPLATOS]]=BC$2,100%,AVANCE[[#This Row],[MUEBLE LAVAPLATOS]])</f>
        <v>0</v>
      </c>
      <c r="CQ490" s="3">
        <f>+IF(AVANCE[[#This Row],[IMPERMEABILIZACION BANO - COCINA LOGIA]]=BD$2,100%,AVANCE[[#This Row],[IMPERMEABILIZACION BANO - COCINA LOGIA]])</f>
        <v>0</v>
      </c>
      <c r="CR490" s="40">
        <f ca="1">+IF(AVANCE[[#This Row],[ESTADO MODULO]]="PENDIENTE",(TODAY()-AVANCE[[#This Row],[FECHA TERMINO  PLANIFICADO]]),0)</f>
        <v>0</v>
      </c>
      <c r="CS490" s="42" t="str" cm="1">
        <f t="array" ref="CS490">_xlfn.TEXTJOIN(" | ",TRUE,IF(SUMPRODUCT((BF490:CQ490&lt;1)*(PARTIDAS!$I$2:$AT$2="OBRA GRUESA"))&gt;0,"OBRA GRUESA: "&amp;_xlfn.TEXTJOIN(", ",TRUE,IF((BF490:CQ490&lt;1)*(PARTIDAS!$I$2:$AT$2="OBRA GRUESA"),PARTIDAS!$I$1:$AT$1,"")),""),IF(SUMPRODUCT((BF490:CQ490&lt;1)*(PARTIDAS!$I$2:$AT$2="SANITARIOS"))&gt;0,"SANITARIOS: "&amp;_xlfn.TEXTJOIN(", ",TRUE,IF((BF490:CQ490&lt;1)*(PARTIDAS!$I$2:$AT$2="SANITARIOS"),PARTIDAS!$I$1:$AT$1,"")),""),IF(SUMPRODUCT((BF490:CQ490&lt;1)*(PARTIDAS!$I$2:$AT$2="ELÉCTRICO"))&gt;0,"ELÉCTRICO: "&amp;_xlfn.TEXTJOIN(", ",TRUE,IF((BF490:CQ490&lt;1)*(PARTIDAS!$I$2:$AT$2="ELÉCTRICO"),PARTIDAS!$I$1:$AT$1,"")),""),IF(SUMPRODUCT((BF490:CQ490&lt;1)*(PARTIDAS!$I$2:$AT$2="TERMINACIONES"))&gt;0,"TERMINACIONES: "&amp;_xlfn.TEXTJOIN(", ",TRUE,IF((BF490:CQ490&lt;1)*(PARTIDAS!$I$2:$AT$2="TERMINACIONES"),PARTIDAS!$I$1:$AT$1,"")),""))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0" s="45" t="str" cm="1">
        <f t="array" ref="CT490">_xlfn.TEXTJOIN(", ",TRUE,IF(SUMPRODUCT((BF490:CQ490&lt;1)*(PARTIDAS!$I$2:$AT$2="OBRA GRUESA"))&gt;0,"OBRA GRUESA",""),IF(SUMPRODUCT((BF490:CQ490&lt;1)*(PARTIDAS!$I$2:$AT$2="SANITARIOS"))&gt;0,"SANITARIOS",""),IF(SUMPRODUCT((BF490:CQ490&lt;1)*(PARTIDAS!$I$2:$AT$2="ELÉCTRICO"))&gt;0,"ELÉCTRICO",""),IF(SUMPRODUCT((BF490:CQ490&lt;1)*(PARTIDAS!$I$2:$AT$2="TERMINACIONES"))&gt;0,"TERMINACIONES",""))</f>
        <v>OBRA GRUESA, SANITARIOS, ELÉCTRICO, TERMINACIONES</v>
      </c>
      <c r="CU490" s="46" cm="1">
        <f t="array" ref="CU490">SUMPRODUCT(--(BF490:CQ490&lt;1))</f>
        <v>38</v>
      </c>
    </row>
    <row r="491" spans="1:99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46181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 s="3" t="str">
        <f>+IF(AVANCE[[#This Row],[% AVANCE]]=100%,"MODULO TERMINADO",IF(AVANCE[[#This Row],[FECHA INICIO REAL]]="","MODULO NO INICIADO","PENDIENTE"))</f>
        <v>MODULO NO INICIADO</v>
      </c>
      <c r="BF491" s="3">
        <f>+IF(AVANCE[[#This Row],[VENTANAS]]=8.10810810810811%,100%,AVANCE[[#This Row],[VENTANAS]])</f>
        <v>0</v>
      </c>
      <c r="BG491" s="3">
        <f>+IF(AVANCE[[#This Row],[PISO]]=N$2,100%,AVANCE[[#This Row],[PISO]])</f>
        <v>0</v>
      </c>
      <c r="BH491" s="3">
        <f>+IF(AVANCE[[#This Row],[TABIQUES]]=O$2,100%,AVANCE[[#This Row],[TABIQUES]])</f>
        <v>0</v>
      </c>
      <c r="BI491" s="3">
        <f>+IF(AVANCE[[#This Row],[MUROS]]=P$2,100%,AVANCE[[#This Row],[MUROS]])</f>
        <v>0</v>
      </c>
      <c r="BJ491" s="3">
        <f>+IF(AVANCE[[#This Row],[CIELO]]=Q$2,100%,AVANCE[[#This Row],[CIELO]])</f>
        <v>0</v>
      </c>
      <c r="BK491" s="3">
        <f>+IF(AVANCE[[#This Row],[BALCÓN]]=R$2,100%,AVANCE[[#This Row],[BALCÓN]])</f>
        <v>0</v>
      </c>
      <c r="BL491" s="3">
        <f>+IF(AVANCE[[#This Row],[RED ALCANTARILLADO]]=U$2,100%,AVANCE[[#This Row],[RED ALCANTARILLADO]])</f>
        <v>0</v>
      </c>
      <c r="BM491" s="3">
        <f>+IF(AVANCE[[#This Row],[RED DE AGUA]]=V$2,100%,AVANCE[[#This Row],[RED DE AGUA]])</f>
        <v>0</v>
      </c>
      <c r="BN491" s="3">
        <f>+IF(AVANCE[[#This Row],[VENTILACIONES]]=W$2,100%,AVANCE[[#This Row],[VENTILACIONES]])</f>
        <v>0</v>
      </c>
      <c r="BO491" s="3">
        <f>+IF(AVANCE[[#This Row],[TINA]]=X$2,100%,AVANCE[[#This Row],[TINA]])</f>
        <v>0</v>
      </c>
      <c r="BP491" s="3">
        <f>+IF(AVANCE[[#This Row],[WC]]=Y$2,100%,AVANCE[[#This Row],[WC]])</f>
        <v>0</v>
      </c>
      <c r="BQ491" s="3">
        <f>+IF(AVANCE[[#This Row],[LAVAMANOS / LAVAPLATOS / LAVADERO]]=Z$2,100%,AVANCE[[#This Row],[LAVAMANOS / LAVAPLATOS / LAVADERO]])</f>
        <v>0</v>
      </c>
      <c r="BR491" s="3">
        <f>+IF(AVANCE[[#This Row],[CANALIZACIÓN]]=AC$2,100%,AVANCE[[#This Row],[CANALIZACIÓN]])</f>
        <v>0</v>
      </c>
      <c r="BS491" s="3">
        <f>+IF(AVANCE[[#This Row],[CABLEADO]]=AD$2,100%,AVANCE[[#This Row],[CABLEADO]])</f>
        <v>0</v>
      </c>
      <c r="BT491" s="3">
        <f>+IF(AVANCE[[#This Row],[ARTEFACTOS]]=AE$2,100%,AVANCE[[#This Row],[ARTEFACTOS]])</f>
        <v>0</v>
      </c>
      <c r="BU491" s="3">
        <f>+IF(AVANCE[[#This Row],[TABLERO]]=AF$2,100%,AVANCE[[#This Row],[TABLERO]])</f>
        <v>0</v>
      </c>
      <c r="BV491" s="3">
        <f>+IF(AVANCE[[#This Row],[CAJA PAU]]=AG$2,100%,AVANCE[[#This Row],[CAJA PAU]])</f>
        <v>0</v>
      </c>
      <c r="BW491" s="3">
        <f>+IF(AVANCE[[#This Row],[INSTALACION VINILICO]]=AJ$2,100%,AVANCE[[#This Row],[INSTALACION VINILICO]])</f>
        <v>0</v>
      </c>
      <c r="BX491" s="3">
        <f>+IF(AVANCE[[#This Row],[OSB CUBIERTA]]=AK$2,100%,AVANCE[[#This Row],[OSB CUBIERTA]])</f>
        <v>0</v>
      </c>
      <c r="BY491" s="3">
        <f>+IF(AVANCE[[#This Row],[BARANDA BALCON]]=AL$2,100%,AVANCE[[#This Row],[BARANDA BALCON]])</f>
        <v>0</v>
      </c>
      <c r="BZ491" s="3">
        <f>+IF(AVANCE[[#This Row],[OSB EXTERIOR]]=AM$2,100%,AVANCE[[#This Row],[OSB EXTERIOR]])</f>
        <v>0</v>
      </c>
      <c r="CA491" s="3">
        <f>+IF(AVANCE[[#This Row],[SMART PANEL]]=AN$2,100%,AVANCE[[#This Row],[SMART PANEL]])</f>
        <v>0</v>
      </c>
      <c r="CB491" s="3">
        <f>+IF(AVANCE[[#This Row],[PINTURA EXTERIOR]]=AO$2,100%,AVANCE[[#This Row],[PINTURA EXTERIOR]])</f>
        <v>0</v>
      </c>
      <c r="CC491" s="3">
        <f>+IF(AVANCE[[#This Row],[ZOCALOS LOGIA]]=AP$2,100%,AVANCE[[#This Row],[ZOCALOS LOGIA]])</f>
        <v>0</v>
      </c>
      <c r="CD491" s="3">
        <f>+IF(AVANCE[[#This Row],[MOLDURAS]]=AQ$2,100%,AVANCE[[#This Row],[MOLDURAS]])</f>
        <v>0</v>
      </c>
      <c r="CE491" s="3">
        <f>+IF(AVANCE[[#This Row],[PILASTREO]]=AR$2,100%,AVANCE[[#This Row],[PILASTREO]])</f>
        <v>0</v>
      </c>
      <c r="CF491" s="3">
        <f>+IF(AVANCE[[#This Row],[CELOSIAS]]=AS$2,100%,AVANCE[[#This Row],[CELOSIAS]])</f>
        <v>0</v>
      </c>
      <c r="CG491" s="3">
        <f>+IF(AVANCE[[#This Row],[VENTANAS]]=AT$2,100%,AVANCE[[#This Row],[VENTANAS]])</f>
        <v>0</v>
      </c>
      <c r="CH491" s="3">
        <f>+IF(AVANCE[[#This Row],[PUERTAS ACCESO - LOGIA - BANO]]=AU$2,100%,AVANCE[[#This Row],[PUERTAS ACCESO - LOGIA - BANO]])</f>
        <v>0</v>
      </c>
      <c r="CI491" s="3">
        <f>+IF(AVANCE[[#This Row],[CERRADURAS]]=AV$2,100%,AVANCE[[#This Row],[CERRADURAS]])</f>
        <v>0</v>
      </c>
      <c r="CJ491" s="3">
        <f>+IF(AVANCE[[#This Row],[REVESTIMIENTO INTERIOR ZONA SECA]]=AW$2,100%,AVANCE[[#This Row],[REVESTIMIENTO INTERIOR ZONA SECA]])</f>
        <v>0</v>
      </c>
      <c r="CK491" s="3">
        <f>+IF(AVANCE[[#This Row],[REVESTIMIENTO INTERIOR ZONAS HUMEDAS]]=AX$2,100%,AVANCE[[#This Row],[REVESTIMIENTO INTERIOR ZONAS HUMEDAS]])</f>
        <v>0</v>
      </c>
      <c r="CL491" s="3">
        <f>+IF(AVANCE[[#This Row],[MEMBRANA CIELO]]=AY$2,100%,AVANCE[[#This Row],[MEMBRANA CIELO]])</f>
        <v>0</v>
      </c>
      <c r="CM491" s="3">
        <f>+IF(AVANCE[[#This Row],[LIMPIEZA FINAL]]=AZ$2,100%,AVANCE[[#This Row],[LIMPIEZA FINAL]])</f>
        <v>0</v>
      </c>
      <c r="CN491" s="3">
        <f>+IF(AVANCE[[#This Row],[PUERTAS DORMITORIO]]=BA$2,100%,AVANCE[[#This Row],[PUERTAS DORMITORIO]])</f>
        <v>0</v>
      </c>
      <c r="CO491" s="3">
        <f>+IF(AVANCE[[#This Row],[REVESTIMIENTO INTERIOR BANO]]=BB$2,100%,AVANCE[[#This Row],[REVESTIMIENTO INTERIOR BANO]])</f>
        <v>0</v>
      </c>
      <c r="CP491" s="3">
        <f>+IF(AVANCE[[#This Row],[MUEBLE LAVAPLATOS]]=BC$2,100%,AVANCE[[#This Row],[MUEBLE LAVAPLATOS]])</f>
        <v>0</v>
      </c>
      <c r="CQ491" s="3">
        <f>+IF(AVANCE[[#This Row],[IMPERMEABILIZACION BANO - COCINA LOGIA]]=BD$2,100%,AVANCE[[#This Row],[IMPERMEABILIZACION BANO - COCINA LOGIA]])</f>
        <v>0</v>
      </c>
      <c r="CR491" s="40">
        <f ca="1">+IF(AVANCE[[#This Row],[ESTADO MODULO]]="PENDIENTE",(TODAY()-AVANCE[[#This Row],[FECHA TERMINO  PLANIFICADO]]),0)</f>
        <v>0</v>
      </c>
      <c r="CS491" s="42" t="str" cm="1">
        <f t="array" ref="CS491">_xlfn.TEXTJOIN(" | ",TRUE,IF(SUMPRODUCT((BF491:CQ491&lt;1)*(PARTIDAS!$I$2:$AT$2="OBRA GRUESA"))&gt;0,"OBRA GRUESA: "&amp;_xlfn.TEXTJOIN(", ",TRUE,IF((BF491:CQ491&lt;1)*(PARTIDAS!$I$2:$AT$2="OBRA GRUESA"),PARTIDAS!$I$1:$AT$1,"")),""),IF(SUMPRODUCT((BF491:CQ491&lt;1)*(PARTIDAS!$I$2:$AT$2="SANITARIOS"))&gt;0,"SANITARIOS: "&amp;_xlfn.TEXTJOIN(", ",TRUE,IF((BF491:CQ491&lt;1)*(PARTIDAS!$I$2:$AT$2="SANITARIOS"),PARTIDAS!$I$1:$AT$1,"")),""),IF(SUMPRODUCT((BF491:CQ491&lt;1)*(PARTIDAS!$I$2:$AT$2="ELÉCTRICO"))&gt;0,"ELÉCTRICO: "&amp;_xlfn.TEXTJOIN(", ",TRUE,IF((BF491:CQ491&lt;1)*(PARTIDAS!$I$2:$AT$2="ELÉCTRICO"),PARTIDAS!$I$1:$AT$1,"")),""),IF(SUMPRODUCT((BF491:CQ491&lt;1)*(PARTIDAS!$I$2:$AT$2="TERMINACIONES"))&gt;0,"TERMINACIONES: "&amp;_xlfn.TEXTJOIN(", ",TRUE,IF((BF491:CQ491&lt;1)*(PARTIDAS!$I$2:$AT$2="TERMINACIONES"),PARTIDAS!$I$1:$AT$1,"")),""))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1" s="45" t="str" cm="1">
        <f t="array" ref="CT491">_xlfn.TEXTJOIN(", ",TRUE,IF(SUMPRODUCT((BF491:CQ491&lt;1)*(PARTIDAS!$I$2:$AT$2="OBRA GRUESA"))&gt;0,"OBRA GRUESA",""),IF(SUMPRODUCT((BF491:CQ491&lt;1)*(PARTIDAS!$I$2:$AT$2="SANITARIOS"))&gt;0,"SANITARIOS",""),IF(SUMPRODUCT((BF491:CQ491&lt;1)*(PARTIDAS!$I$2:$AT$2="ELÉCTRICO"))&gt;0,"ELÉCTRICO",""),IF(SUMPRODUCT((BF491:CQ491&lt;1)*(PARTIDAS!$I$2:$AT$2="TERMINACIONES"))&gt;0,"TERMINACIONES",""))</f>
        <v>OBRA GRUESA, SANITARIOS, ELÉCTRICO, TERMINACIONES</v>
      </c>
      <c r="CU491" s="46" cm="1">
        <f t="array" ref="CU491">SUMPRODUCT(--(BF491:CQ491&lt;1))</f>
        <v>38</v>
      </c>
    </row>
    <row r="492" spans="1:99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46181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 s="3" t="str">
        <f>+IF(AVANCE[[#This Row],[% AVANCE]]=100%,"MODULO TERMINADO",IF(AVANCE[[#This Row],[FECHA INICIO REAL]]="","MODULO NO INICIADO","PENDIENTE"))</f>
        <v>MODULO NO INICIADO</v>
      </c>
      <c r="BF492" s="3">
        <f>+IF(AVANCE[[#This Row],[VENTANAS]]=8.10810810810811%,100%,AVANCE[[#This Row],[VENTANAS]])</f>
        <v>0</v>
      </c>
      <c r="BG492" s="3">
        <f>+IF(AVANCE[[#This Row],[PISO]]=N$2,100%,AVANCE[[#This Row],[PISO]])</f>
        <v>0</v>
      </c>
      <c r="BH492" s="3">
        <f>+IF(AVANCE[[#This Row],[TABIQUES]]=O$2,100%,AVANCE[[#This Row],[TABIQUES]])</f>
        <v>0</v>
      </c>
      <c r="BI492" s="3">
        <f>+IF(AVANCE[[#This Row],[MUROS]]=P$2,100%,AVANCE[[#This Row],[MUROS]])</f>
        <v>0</v>
      </c>
      <c r="BJ492" s="3">
        <f>+IF(AVANCE[[#This Row],[CIELO]]=Q$2,100%,AVANCE[[#This Row],[CIELO]])</f>
        <v>0</v>
      </c>
      <c r="BK492" s="3">
        <f>+IF(AVANCE[[#This Row],[BALCÓN]]=R$2,100%,AVANCE[[#This Row],[BALCÓN]])</f>
        <v>0</v>
      </c>
      <c r="BL492" s="3">
        <f>+IF(AVANCE[[#This Row],[RED ALCANTARILLADO]]=U$2,100%,AVANCE[[#This Row],[RED ALCANTARILLADO]])</f>
        <v>0</v>
      </c>
      <c r="BM492" s="3">
        <f>+IF(AVANCE[[#This Row],[RED DE AGUA]]=V$2,100%,AVANCE[[#This Row],[RED DE AGUA]])</f>
        <v>0</v>
      </c>
      <c r="BN492" s="3">
        <f>+IF(AVANCE[[#This Row],[VENTILACIONES]]=W$2,100%,AVANCE[[#This Row],[VENTILACIONES]])</f>
        <v>0</v>
      </c>
      <c r="BO492" s="3">
        <f>+IF(AVANCE[[#This Row],[TINA]]=X$2,100%,AVANCE[[#This Row],[TINA]])</f>
        <v>0</v>
      </c>
      <c r="BP492" s="3">
        <f>+IF(AVANCE[[#This Row],[WC]]=Y$2,100%,AVANCE[[#This Row],[WC]])</f>
        <v>0</v>
      </c>
      <c r="BQ492" s="3">
        <f>+IF(AVANCE[[#This Row],[LAVAMANOS / LAVAPLATOS / LAVADERO]]=Z$2,100%,AVANCE[[#This Row],[LAVAMANOS / LAVAPLATOS / LAVADERO]])</f>
        <v>0</v>
      </c>
      <c r="BR492" s="3">
        <f>+IF(AVANCE[[#This Row],[CANALIZACIÓN]]=AC$2,100%,AVANCE[[#This Row],[CANALIZACIÓN]])</f>
        <v>0</v>
      </c>
      <c r="BS492" s="3">
        <f>+IF(AVANCE[[#This Row],[CABLEADO]]=AD$2,100%,AVANCE[[#This Row],[CABLEADO]])</f>
        <v>0</v>
      </c>
      <c r="BT492" s="3">
        <f>+IF(AVANCE[[#This Row],[ARTEFACTOS]]=AE$2,100%,AVANCE[[#This Row],[ARTEFACTOS]])</f>
        <v>0</v>
      </c>
      <c r="BU492" s="3">
        <f>+IF(AVANCE[[#This Row],[TABLERO]]=AF$2,100%,AVANCE[[#This Row],[TABLERO]])</f>
        <v>0</v>
      </c>
      <c r="BV492" s="3">
        <f>+IF(AVANCE[[#This Row],[CAJA PAU]]=AG$2,100%,AVANCE[[#This Row],[CAJA PAU]])</f>
        <v>0</v>
      </c>
      <c r="BW492" s="3">
        <f>+IF(AVANCE[[#This Row],[INSTALACION VINILICO]]=AJ$2,100%,AVANCE[[#This Row],[INSTALACION VINILICO]])</f>
        <v>0</v>
      </c>
      <c r="BX492" s="3">
        <f>+IF(AVANCE[[#This Row],[OSB CUBIERTA]]=AK$2,100%,AVANCE[[#This Row],[OSB CUBIERTA]])</f>
        <v>0</v>
      </c>
      <c r="BY492" s="3">
        <f>+IF(AVANCE[[#This Row],[BARANDA BALCON]]=AL$2,100%,AVANCE[[#This Row],[BARANDA BALCON]])</f>
        <v>0</v>
      </c>
      <c r="BZ492" s="3">
        <f>+IF(AVANCE[[#This Row],[OSB EXTERIOR]]=AM$2,100%,AVANCE[[#This Row],[OSB EXTERIOR]])</f>
        <v>0</v>
      </c>
      <c r="CA492" s="3">
        <f>+IF(AVANCE[[#This Row],[SMART PANEL]]=AN$2,100%,AVANCE[[#This Row],[SMART PANEL]])</f>
        <v>0</v>
      </c>
      <c r="CB492" s="3">
        <f>+IF(AVANCE[[#This Row],[PINTURA EXTERIOR]]=AO$2,100%,AVANCE[[#This Row],[PINTURA EXTERIOR]])</f>
        <v>0</v>
      </c>
      <c r="CC492" s="3">
        <f>+IF(AVANCE[[#This Row],[ZOCALOS LOGIA]]=AP$2,100%,AVANCE[[#This Row],[ZOCALOS LOGIA]])</f>
        <v>0</v>
      </c>
      <c r="CD492" s="3">
        <f>+IF(AVANCE[[#This Row],[MOLDURAS]]=AQ$2,100%,AVANCE[[#This Row],[MOLDURAS]])</f>
        <v>0</v>
      </c>
      <c r="CE492" s="3">
        <f>+IF(AVANCE[[#This Row],[PILASTREO]]=AR$2,100%,AVANCE[[#This Row],[PILASTREO]])</f>
        <v>0</v>
      </c>
      <c r="CF492" s="3">
        <f>+IF(AVANCE[[#This Row],[CELOSIAS]]=AS$2,100%,AVANCE[[#This Row],[CELOSIAS]])</f>
        <v>0</v>
      </c>
      <c r="CG492" s="3">
        <f>+IF(AVANCE[[#This Row],[VENTANAS]]=AT$2,100%,AVANCE[[#This Row],[VENTANAS]])</f>
        <v>0</v>
      </c>
      <c r="CH492" s="3">
        <f>+IF(AVANCE[[#This Row],[PUERTAS ACCESO - LOGIA - BANO]]=AU$2,100%,AVANCE[[#This Row],[PUERTAS ACCESO - LOGIA - BANO]])</f>
        <v>0</v>
      </c>
      <c r="CI492" s="3">
        <f>+IF(AVANCE[[#This Row],[CERRADURAS]]=AV$2,100%,AVANCE[[#This Row],[CERRADURAS]])</f>
        <v>0</v>
      </c>
      <c r="CJ492" s="3">
        <f>+IF(AVANCE[[#This Row],[REVESTIMIENTO INTERIOR ZONA SECA]]=AW$2,100%,AVANCE[[#This Row],[REVESTIMIENTO INTERIOR ZONA SECA]])</f>
        <v>0</v>
      </c>
      <c r="CK492" s="3">
        <f>+IF(AVANCE[[#This Row],[REVESTIMIENTO INTERIOR ZONAS HUMEDAS]]=AX$2,100%,AVANCE[[#This Row],[REVESTIMIENTO INTERIOR ZONAS HUMEDAS]])</f>
        <v>0</v>
      </c>
      <c r="CL492" s="3">
        <f>+IF(AVANCE[[#This Row],[MEMBRANA CIELO]]=AY$2,100%,AVANCE[[#This Row],[MEMBRANA CIELO]])</f>
        <v>0</v>
      </c>
      <c r="CM492" s="3">
        <f>+IF(AVANCE[[#This Row],[LIMPIEZA FINAL]]=AZ$2,100%,AVANCE[[#This Row],[LIMPIEZA FINAL]])</f>
        <v>0</v>
      </c>
      <c r="CN492" s="3">
        <f>+IF(AVANCE[[#This Row],[PUERTAS DORMITORIO]]=BA$2,100%,AVANCE[[#This Row],[PUERTAS DORMITORIO]])</f>
        <v>0</v>
      </c>
      <c r="CO492" s="3">
        <f>+IF(AVANCE[[#This Row],[REVESTIMIENTO INTERIOR BANO]]=BB$2,100%,AVANCE[[#This Row],[REVESTIMIENTO INTERIOR BANO]])</f>
        <v>0</v>
      </c>
      <c r="CP492" s="3">
        <f>+IF(AVANCE[[#This Row],[MUEBLE LAVAPLATOS]]=BC$2,100%,AVANCE[[#This Row],[MUEBLE LAVAPLATOS]])</f>
        <v>0</v>
      </c>
      <c r="CQ492" s="3">
        <f>+IF(AVANCE[[#This Row],[IMPERMEABILIZACION BANO - COCINA LOGIA]]=BD$2,100%,AVANCE[[#This Row],[IMPERMEABILIZACION BANO - COCINA LOGIA]])</f>
        <v>0</v>
      </c>
      <c r="CR492" s="40">
        <f ca="1">+IF(AVANCE[[#This Row],[ESTADO MODULO]]="PENDIENTE",(TODAY()-AVANCE[[#This Row],[FECHA TERMINO  PLANIFICADO]]),0)</f>
        <v>0</v>
      </c>
      <c r="CS492" s="42" t="str" cm="1">
        <f t="array" ref="CS492">_xlfn.TEXTJOIN(" | ",TRUE,IF(SUMPRODUCT((BF492:CQ492&lt;1)*(PARTIDAS!$I$2:$AT$2="OBRA GRUESA"))&gt;0,"OBRA GRUESA: "&amp;_xlfn.TEXTJOIN(", ",TRUE,IF((BF492:CQ492&lt;1)*(PARTIDAS!$I$2:$AT$2="OBRA GRUESA"),PARTIDAS!$I$1:$AT$1,"")),""),IF(SUMPRODUCT((BF492:CQ492&lt;1)*(PARTIDAS!$I$2:$AT$2="SANITARIOS"))&gt;0,"SANITARIOS: "&amp;_xlfn.TEXTJOIN(", ",TRUE,IF((BF492:CQ492&lt;1)*(PARTIDAS!$I$2:$AT$2="SANITARIOS"),PARTIDAS!$I$1:$AT$1,"")),""),IF(SUMPRODUCT((BF492:CQ492&lt;1)*(PARTIDAS!$I$2:$AT$2="ELÉCTRICO"))&gt;0,"ELÉCTRICO: "&amp;_xlfn.TEXTJOIN(", ",TRUE,IF((BF492:CQ492&lt;1)*(PARTIDAS!$I$2:$AT$2="ELÉCTRICO"),PARTIDAS!$I$1:$AT$1,"")),""),IF(SUMPRODUCT((BF492:CQ492&lt;1)*(PARTIDAS!$I$2:$AT$2="TERMINACIONES"))&gt;0,"TERMINACIONES: "&amp;_xlfn.TEXTJOIN(", ",TRUE,IF((BF492:CQ492&lt;1)*(PARTIDAS!$I$2:$AT$2="TERMINACIONES"),PARTIDAS!$I$1:$AT$1,"")),""))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2" s="45" t="str" cm="1">
        <f t="array" ref="CT492">_xlfn.TEXTJOIN(", ",TRUE,IF(SUMPRODUCT((BF492:CQ492&lt;1)*(PARTIDAS!$I$2:$AT$2="OBRA GRUESA"))&gt;0,"OBRA GRUESA",""),IF(SUMPRODUCT((BF492:CQ492&lt;1)*(PARTIDAS!$I$2:$AT$2="SANITARIOS"))&gt;0,"SANITARIOS",""),IF(SUMPRODUCT((BF492:CQ492&lt;1)*(PARTIDAS!$I$2:$AT$2="ELÉCTRICO"))&gt;0,"ELÉCTRICO",""),IF(SUMPRODUCT((BF492:CQ492&lt;1)*(PARTIDAS!$I$2:$AT$2="TERMINACIONES"))&gt;0,"TERMINACIONES",""))</f>
        <v>OBRA GRUESA, SANITARIOS, ELÉCTRICO, TERMINACIONES</v>
      </c>
      <c r="CU492" s="46" cm="1">
        <f t="array" ref="CU492">SUMPRODUCT(--(BF492:CQ492&lt;1))</f>
        <v>38</v>
      </c>
    </row>
    <row r="493" spans="1:99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46181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 s="3" t="str">
        <f>+IF(AVANCE[[#This Row],[% AVANCE]]=100%,"MODULO TERMINADO",IF(AVANCE[[#This Row],[FECHA INICIO REAL]]="","MODULO NO INICIADO","PENDIENTE"))</f>
        <v>MODULO NO INICIADO</v>
      </c>
      <c r="BF493" s="3">
        <f>+IF(AVANCE[[#This Row],[VENTANAS]]=8.10810810810811%,100%,AVANCE[[#This Row],[VENTANAS]])</f>
        <v>0</v>
      </c>
      <c r="BG493" s="3">
        <f>+IF(AVANCE[[#This Row],[PISO]]=N$2,100%,AVANCE[[#This Row],[PISO]])</f>
        <v>0</v>
      </c>
      <c r="BH493" s="3">
        <f>+IF(AVANCE[[#This Row],[TABIQUES]]=O$2,100%,AVANCE[[#This Row],[TABIQUES]])</f>
        <v>0</v>
      </c>
      <c r="BI493" s="3">
        <f>+IF(AVANCE[[#This Row],[MUROS]]=P$2,100%,AVANCE[[#This Row],[MUROS]])</f>
        <v>0</v>
      </c>
      <c r="BJ493" s="3">
        <f>+IF(AVANCE[[#This Row],[CIELO]]=Q$2,100%,AVANCE[[#This Row],[CIELO]])</f>
        <v>0</v>
      </c>
      <c r="BK493" s="3">
        <f>+IF(AVANCE[[#This Row],[BALCÓN]]=R$2,100%,AVANCE[[#This Row],[BALCÓN]])</f>
        <v>0</v>
      </c>
      <c r="BL493" s="3">
        <f>+IF(AVANCE[[#This Row],[RED ALCANTARILLADO]]=U$2,100%,AVANCE[[#This Row],[RED ALCANTARILLADO]])</f>
        <v>0</v>
      </c>
      <c r="BM493" s="3">
        <f>+IF(AVANCE[[#This Row],[RED DE AGUA]]=V$2,100%,AVANCE[[#This Row],[RED DE AGUA]])</f>
        <v>0</v>
      </c>
      <c r="BN493" s="3">
        <f>+IF(AVANCE[[#This Row],[VENTILACIONES]]=W$2,100%,AVANCE[[#This Row],[VENTILACIONES]])</f>
        <v>0</v>
      </c>
      <c r="BO493" s="3">
        <f>+IF(AVANCE[[#This Row],[TINA]]=X$2,100%,AVANCE[[#This Row],[TINA]])</f>
        <v>0</v>
      </c>
      <c r="BP493" s="3">
        <f>+IF(AVANCE[[#This Row],[WC]]=Y$2,100%,AVANCE[[#This Row],[WC]])</f>
        <v>0</v>
      </c>
      <c r="BQ493" s="3">
        <f>+IF(AVANCE[[#This Row],[LAVAMANOS / LAVAPLATOS / LAVADERO]]=Z$2,100%,AVANCE[[#This Row],[LAVAMANOS / LAVAPLATOS / LAVADERO]])</f>
        <v>0</v>
      </c>
      <c r="BR493" s="3">
        <f>+IF(AVANCE[[#This Row],[CANALIZACIÓN]]=AC$2,100%,AVANCE[[#This Row],[CANALIZACIÓN]])</f>
        <v>0</v>
      </c>
      <c r="BS493" s="3">
        <f>+IF(AVANCE[[#This Row],[CABLEADO]]=AD$2,100%,AVANCE[[#This Row],[CABLEADO]])</f>
        <v>0</v>
      </c>
      <c r="BT493" s="3">
        <f>+IF(AVANCE[[#This Row],[ARTEFACTOS]]=AE$2,100%,AVANCE[[#This Row],[ARTEFACTOS]])</f>
        <v>0</v>
      </c>
      <c r="BU493" s="3">
        <f>+IF(AVANCE[[#This Row],[TABLERO]]=AF$2,100%,AVANCE[[#This Row],[TABLERO]])</f>
        <v>0</v>
      </c>
      <c r="BV493" s="3">
        <f>+IF(AVANCE[[#This Row],[CAJA PAU]]=AG$2,100%,AVANCE[[#This Row],[CAJA PAU]])</f>
        <v>0</v>
      </c>
      <c r="BW493" s="3">
        <f>+IF(AVANCE[[#This Row],[INSTALACION VINILICO]]=AJ$2,100%,AVANCE[[#This Row],[INSTALACION VINILICO]])</f>
        <v>0</v>
      </c>
      <c r="BX493" s="3">
        <f>+IF(AVANCE[[#This Row],[OSB CUBIERTA]]=AK$2,100%,AVANCE[[#This Row],[OSB CUBIERTA]])</f>
        <v>0</v>
      </c>
      <c r="BY493" s="3">
        <f>+IF(AVANCE[[#This Row],[BARANDA BALCON]]=AL$2,100%,AVANCE[[#This Row],[BARANDA BALCON]])</f>
        <v>0</v>
      </c>
      <c r="BZ493" s="3">
        <f>+IF(AVANCE[[#This Row],[OSB EXTERIOR]]=AM$2,100%,AVANCE[[#This Row],[OSB EXTERIOR]])</f>
        <v>0</v>
      </c>
      <c r="CA493" s="3">
        <f>+IF(AVANCE[[#This Row],[SMART PANEL]]=AN$2,100%,AVANCE[[#This Row],[SMART PANEL]])</f>
        <v>0</v>
      </c>
      <c r="CB493" s="3">
        <f>+IF(AVANCE[[#This Row],[PINTURA EXTERIOR]]=AO$2,100%,AVANCE[[#This Row],[PINTURA EXTERIOR]])</f>
        <v>0</v>
      </c>
      <c r="CC493" s="3">
        <f>+IF(AVANCE[[#This Row],[ZOCALOS LOGIA]]=AP$2,100%,AVANCE[[#This Row],[ZOCALOS LOGIA]])</f>
        <v>0</v>
      </c>
      <c r="CD493" s="3">
        <f>+IF(AVANCE[[#This Row],[MOLDURAS]]=AQ$2,100%,AVANCE[[#This Row],[MOLDURAS]])</f>
        <v>0</v>
      </c>
      <c r="CE493" s="3">
        <f>+IF(AVANCE[[#This Row],[PILASTREO]]=AR$2,100%,AVANCE[[#This Row],[PILASTREO]])</f>
        <v>0</v>
      </c>
      <c r="CF493" s="3">
        <f>+IF(AVANCE[[#This Row],[CELOSIAS]]=AS$2,100%,AVANCE[[#This Row],[CELOSIAS]])</f>
        <v>0</v>
      </c>
      <c r="CG493" s="3">
        <f>+IF(AVANCE[[#This Row],[VENTANAS]]=AT$2,100%,AVANCE[[#This Row],[VENTANAS]])</f>
        <v>0</v>
      </c>
      <c r="CH493" s="3">
        <f>+IF(AVANCE[[#This Row],[PUERTAS ACCESO - LOGIA - BANO]]=AU$2,100%,AVANCE[[#This Row],[PUERTAS ACCESO - LOGIA - BANO]])</f>
        <v>0</v>
      </c>
      <c r="CI493" s="3">
        <f>+IF(AVANCE[[#This Row],[CERRADURAS]]=AV$2,100%,AVANCE[[#This Row],[CERRADURAS]])</f>
        <v>0</v>
      </c>
      <c r="CJ493" s="3">
        <f>+IF(AVANCE[[#This Row],[REVESTIMIENTO INTERIOR ZONA SECA]]=AW$2,100%,AVANCE[[#This Row],[REVESTIMIENTO INTERIOR ZONA SECA]])</f>
        <v>0</v>
      </c>
      <c r="CK493" s="3">
        <f>+IF(AVANCE[[#This Row],[REVESTIMIENTO INTERIOR ZONAS HUMEDAS]]=AX$2,100%,AVANCE[[#This Row],[REVESTIMIENTO INTERIOR ZONAS HUMEDAS]])</f>
        <v>0</v>
      </c>
      <c r="CL493" s="3">
        <f>+IF(AVANCE[[#This Row],[MEMBRANA CIELO]]=AY$2,100%,AVANCE[[#This Row],[MEMBRANA CIELO]])</f>
        <v>0</v>
      </c>
      <c r="CM493" s="3">
        <f>+IF(AVANCE[[#This Row],[LIMPIEZA FINAL]]=AZ$2,100%,AVANCE[[#This Row],[LIMPIEZA FINAL]])</f>
        <v>0</v>
      </c>
      <c r="CN493" s="3">
        <f>+IF(AVANCE[[#This Row],[PUERTAS DORMITORIO]]=BA$2,100%,AVANCE[[#This Row],[PUERTAS DORMITORIO]])</f>
        <v>0</v>
      </c>
      <c r="CO493" s="3">
        <f>+IF(AVANCE[[#This Row],[REVESTIMIENTO INTERIOR BANO]]=BB$2,100%,AVANCE[[#This Row],[REVESTIMIENTO INTERIOR BANO]])</f>
        <v>0</v>
      </c>
      <c r="CP493" s="3">
        <f>+IF(AVANCE[[#This Row],[MUEBLE LAVAPLATOS]]=BC$2,100%,AVANCE[[#This Row],[MUEBLE LAVAPLATOS]])</f>
        <v>0</v>
      </c>
      <c r="CQ493" s="3">
        <f>+IF(AVANCE[[#This Row],[IMPERMEABILIZACION BANO - COCINA LOGIA]]=BD$2,100%,AVANCE[[#This Row],[IMPERMEABILIZACION BANO - COCINA LOGIA]])</f>
        <v>0</v>
      </c>
      <c r="CR493" s="40">
        <f ca="1">+IF(AVANCE[[#This Row],[ESTADO MODULO]]="PENDIENTE",(TODAY()-AVANCE[[#This Row],[FECHA TERMINO  PLANIFICADO]]),0)</f>
        <v>0</v>
      </c>
      <c r="CS493" s="42" t="str" cm="1">
        <f t="array" ref="CS493">_xlfn.TEXTJOIN(" | ",TRUE,IF(SUMPRODUCT((BF493:CQ493&lt;1)*(PARTIDAS!$I$2:$AT$2="OBRA GRUESA"))&gt;0,"OBRA GRUESA: "&amp;_xlfn.TEXTJOIN(", ",TRUE,IF((BF493:CQ493&lt;1)*(PARTIDAS!$I$2:$AT$2="OBRA GRUESA"),PARTIDAS!$I$1:$AT$1,"")),""),IF(SUMPRODUCT((BF493:CQ493&lt;1)*(PARTIDAS!$I$2:$AT$2="SANITARIOS"))&gt;0,"SANITARIOS: "&amp;_xlfn.TEXTJOIN(", ",TRUE,IF((BF493:CQ493&lt;1)*(PARTIDAS!$I$2:$AT$2="SANITARIOS"),PARTIDAS!$I$1:$AT$1,"")),""),IF(SUMPRODUCT((BF493:CQ493&lt;1)*(PARTIDAS!$I$2:$AT$2="ELÉCTRICO"))&gt;0,"ELÉCTRICO: "&amp;_xlfn.TEXTJOIN(", ",TRUE,IF((BF493:CQ493&lt;1)*(PARTIDAS!$I$2:$AT$2="ELÉCTRICO"),PARTIDAS!$I$1:$AT$1,"")),""),IF(SUMPRODUCT((BF493:CQ493&lt;1)*(PARTIDAS!$I$2:$AT$2="TERMINACIONES"))&gt;0,"TERMINACIONES: "&amp;_xlfn.TEXTJOIN(", ",TRUE,IF((BF493:CQ493&lt;1)*(PARTIDAS!$I$2:$AT$2="TERMINACIONES"),PARTIDAS!$I$1:$AT$1,"")),""))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3" s="45" t="str" cm="1">
        <f t="array" ref="CT493">_xlfn.TEXTJOIN(", ",TRUE,IF(SUMPRODUCT((BF493:CQ493&lt;1)*(PARTIDAS!$I$2:$AT$2="OBRA GRUESA"))&gt;0,"OBRA GRUESA",""),IF(SUMPRODUCT((BF493:CQ493&lt;1)*(PARTIDAS!$I$2:$AT$2="SANITARIOS"))&gt;0,"SANITARIOS",""),IF(SUMPRODUCT((BF493:CQ493&lt;1)*(PARTIDAS!$I$2:$AT$2="ELÉCTRICO"))&gt;0,"ELÉCTRICO",""),IF(SUMPRODUCT((BF493:CQ493&lt;1)*(PARTIDAS!$I$2:$AT$2="TERMINACIONES"))&gt;0,"TERMINACIONES",""))</f>
        <v>OBRA GRUESA, SANITARIOS, ELÉCTRICO, TERMINACIONES</v>
      </c>
      <c r="CU493" s="46" cm="1">
        <f t="array" ref="CU493">SUMPRODUCT(--(BF493:CQ493&lt;1))</f>
        <v>38</v>
      </c>
    </row>
    <row r="494" spans="1:99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46181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 s="3" t="str">
        <f>+IF(AVANCE[[#This Row],[% AVANCE]]=100%,"MODULO TERMINADO",IF(AVANCE[[#This Row],[FECHA INICIO REAL]]="","MODULO NO INICIADO","PENDIENTE"))</f>
        <v>MODULO NO INICIADO</v>
      </c>
      <c r="BF494" s="3">
        <f>+IF(AVANCE[[#This Row],[VENTANAS]]=8.10810810810811%,100%,AVANCE[[#This Row],[VENTANAS]])</f>
        <v>0</v>
      </c>
      <c r="BG494" s="3">
        <f>+IF(AVANCE[[#This Row],[PISO]]=N$2,100%,AVANCE[[#This Row],[PISO]])</f>
        <v>0</v>
      </c>
      <c r="BH494" s="3">
        <f>+IF(AVANCE[[#This Row],[TABIQUES]]=O$2,100%,AVANCE[[#This Row],[TABIQUES]])</f>
        <v>0</v>
      </c>
      <c r="BI494" s="3">
        <f>+IF(AVANCE[[#This Row],[MUROS]]=P$2,100%,AVANCE[[#This Row],[MUROS]])</f>
        <v>0</v>
      </c>
      <c r="BJ494" s="3">
        <f>+IF(AVANCE[[#This Row],[CIELO]]=Q$2,100%,AVANCE[[#This Row],[CIELO]])</f>
        <v>0</v>
      </c>
      <c r="BK494" s="3">
        <f>+IF(AVANCE[[#This Row],[BALCÓN]]=R$2,100%,AVANCE[[#This Row],[BALCÓN]])</f>
        <v>0</v>
      </c>
      <c r="BL494" s="3">
        <f>+IF(AVANCE[[#This Row],[RED ALCANTARILLADO]]=U$2,100%,AVANCE[[#This Row],[RED ALCANTARILLADO]])</f>
        <v>0</v>
      </c>
      <c r="BM494" s="3">
        <f>+IF(AVANCE[[#This Row],[RED DE AGUA]]=V$2,100%,AVANCE[[#This Row],[RED DE AGUA]])</f>
        <v>0</v>
      </c>
      <c r="BN494" s="3">
        <f>+IF(AVANCE[[#This Row],[VENTILACIONES]]=W$2,100%,AVANCE[[#This Row],[VENTILACIONES]])</f>
        <v>0</v>
      </c>
      <c r="BO494" s="3">
        <f>+IF(AVANCE[[#This Row],[TINA]]=X$2,100%,AVANCE[[#This Row],[TINA]])</f>
        <v>0</v>
      </c>
      <c r="BP494" s="3">
        <f>+IF(AVANCE[[#This Row],[WC]]=Y$2,100%,AVANCE[[#This Row],[WC]])</f>
        <v>0</v>
      </c>
      <c r="BQ494" s="3">
        <f>+IF(AVANCE[[#This Row],[LAVAMANOS / LAVAPLATOS / LAVADERO]]=Z$2,100%,AVANCE[[#This Row],[LAVAMANOS / LAVAPLATOS / LAVADERO]])</f>
        <v>0</v>
      </c>
      <c r="BR494" s="3">
        <f>+IF(AVANCE[[#This Row],[CANALIZACIÓN]]=AC$2,100%,AVANCE[[#This Row],[CANALIZACIÓN]])</f>
        <v>0</v>
      </c>
      <c r="BS494" s="3">
        <f>+IF(AVANCE[[#This Row],[CABLEADO]]=AD$2,100%,AVANCE[[#This Row],[CABLEADO]])</f>
        <v>0</v>
      </c>
      <c r="BT494" s="3">
        <f>+IF(AVANCE[[#This Row],[ARTEFACTOS]]=AE$2,100%,AVANCE[[#This Row],[ARTEFACTOS]])</f>
        <v>0</v>
      </c>
      <c r="BU494" s="3">
        <f>+IF(AVANCE[[#This Row],[TABLERO]]=AF$2,100%,AVANCE[[#This Row],[TABLERO]])</f>
        <v>0</v>
      </c>
      <c r="BV494" s="3">
        <f>+IF(AVANCE[[#This Row],[CAJA PAU]]=AG$2,100%,AVANCE[[#This Row],[CAJA PAU]])</f>
        <v>0</v>
      </c>
      <c r="BW494" s="3">
        <f>+IF(AVANCE[[#This Row],[INSTALACION VINILICO]]=AJ$2,100%,AVANCE[[#This Row],[INSTALACION VINILICO]])</f>
        <v>0</v>
      </c>
      <c r="BX494" s="3">
        <f>+IF(AVANCE[[#This Row],[OSB CUBIERTA]]=AK$2,100%,AVANCE[[#This Row],[OSB CUBIERTA]])</f>
        <v>0</v>
      </c>
      <c r="BY494" s="3">
        <f>+IF(AVANCE[[#This Row],[BARANDA BALCON]]=AL$2,100%,AVANCE[[#This Row],[BARANDA BALCON]])</f>
        <v>0</v>
      </c>
      <c r="BZ494" s="3">
        <f>+IF(AVANCE[[#This Row],[OSB EXTERIOR]]=AM$2,100%,AVANCE[[#This Row],[OSB EXTERIOR]])</f>
        <v>0</v>
      </c>
      <c r="CA494" s="3">
        <f>+IF(AVANCE[[#This Row],[SMART PANEL]]=AN$2,100%,AVANCE[[#This Row],[SMART PANEL]])</f>
        <v>0</v>
      </c>
      <c r="CB494" s="3">
        <f>+IF(AVANCE[[#This Row],[PINTURA EXTERIOR]]=AO$2,100%,AVANCE[[#This Row],[PINTURA EXTERIOR]])</f>
        <v>0</v>
      </c>
      <c r="CC494" s="3">
        <f>+IF(AVANCE[[#This Row],[ZOCALOS LOGIA]]=AP$2,100%,AVANCE[[#This Row],[ZOCALOS LOGIA]])</f>
        <v>0</v>
      </c>
      <c r="CD494" s="3">
        <f>+IF(AVANCE[[#This Row],[MOLDURAS]]=AQ$2,100%,AVANCE[[#This Row],[MOLDURAS]])</f>
        <v>0</v>
      </c>
      <c r="CE494" s="3">
        <f>+IF(AVANCE[[#This Row],[PILASTREO]]=AR$2,100%,AVANCE[[#This Row],[PILASTREO]])</f>
        <v>0</v>
      </c>
      <c r="CF494" s="3">
        <f>+IF(AVANCE[[#This Row],[CELOSIAS]]=AS$2,100%,AVANCE[[#This Row],[CELOSIAS]])</f>
        <v>0</v>
      </c>
      <c r="CG494" s="3">
        <f>+IF(AVANCE[[#This Row],[VENTANAS]]=AT$2,100%,AVANCE[[#This Row],[VENTANAS]])</f>
        <v>0</v>
      </c>
      <c r="CH494" s="3">
        <f>+IF(AVANCE[[#This Row],[PUERTAS ACCESO - LOGIA - BANO]]=AU$2,100%,AVANCE[[#This Row],[PUERTAS ACCESO - LOGIA - BANO]])</f>
        <v>0</v>
      </c>
      <c r="CI494" s="3">
        <f>+IF(AVANCE[[#This Row],[CERRADURAS]]=AV$2,100%,AVANCE[[#This Row],[CERRADURAS]])</f>
        <v>0</v>
      </c>
      <c r="CJ494" s="3">
        <f>+IF(AVANCE[[#This Row],[REVESTIMIENTO INTERIOR ZONA SECA]]=AW$2,100%,AVANCE[[#This Row],[REVESTIMIENTO INTERIOR ZONA SECA]])</f>
        <v>0</v>
      </c>
      <c r="CK494" s="3">
        <f>+IF(AVANCE[[#This Row],[REVESTIMIENTO INTERIOR ZONAS HUMEDAS]]=AX$2,100%,AVANCE[[#This Row],[REVESTIMIENTO INTERIOR ZONAS HUMEDAS]])</f>
        <v>0</v>
      </c>
      <c r="CL494" s="3">
        <f>+IF(AVANCE[[#This Row],[MEMBRANA CIELO]]=AY$2,100%,AVANCE[[#This Row],[MEMBRANA CIELO]])</f>
        <v>0</v>
      </c>
      <c r="CM494" s="3">
        <f>+IF(AVANCE[[#This Row],[LIMPIEZA FINAL]]=AZ$2,100%,AVANCE[[#This Row],[LIMPIEZA FINAL]])</f>
        <v>0</v>
      </c>
      <c r="CN494" s="3">
        <f>+IF(AVANCE[[#This Row],[PUERTAS DORMITORIO]]=BA$2,100%,AVANCE[[#This Row],[PUERTAS DORMITORIO]])</f>
        <v>0</v>
      </c>
      <c r="CO494" s="3">
        <f>+IF(AVANCE[[#This Row],[REVESTIMIENTO INTERIOR BANO]]=BB$2,100%,AVANCE[[#This Row],[REVESTIMIENTO INTERIOR BANO]])</f>
        <v>0</v>
      </c>
      <c r="CP494" s="3">
        <f>+IF(AVANCE[[#This Row],[MUEBLE LAVAPLATOS]]=BC$2,100%,AVANCE[[#This Row],[MUEBLE LAVAPLATOS]])</f>
        <v>0</v>
      </c>
      <c r="CQ494" s="3">
        <f>+IF(AVANCE[[#This Row],[IMPERMEABILIZACION BANO - COCINA LOGIA]]=BD$2,100%,AVANCE[[#This Row],[IMPERMEABILIZACION BANO - COCINA LOGIA]])</f>
        <v>0</v>
      </c>
      <c r="CR494" s="40">
        <f ca="1">+IF(AVANCE[[#This Row],[ESTADO MODULO]]="PENDIENTE",(TODAY()-AVANCE[[#This Row],[FECHA TERMINO  PLANIFICADO]]),0)</f>
        <v>0</v>
      </c>
      <c r="CS494" s="42" t="str" cm="1">
        <f t="array" ref="CS494">_xlfn.TEXTJOIN(" | ",TRUE,IF(SUMPRODUCT((BF494:CQ494&lt;1)*(PARTIDAS!$I$2:$AT$2="OBRA GRUESA"))&gt;0,"OBRA GRUESA: "&amp;_xlfn.TEXTJOIN(", ",TRUE,IF((BF494:CQ494&lt;1)*(PARTIDAS!$I$2:$AT$2="OBRA GRUESA"),PARTIDAS!$I$1:$AT$1,"")),""),IF(SUMPRODUCT((BF494:CQ494&lt;1)*(PARTIDAS!$I$2:$AT$2="SANITARIOS"))&gt;0,"SANITARIOS: "&amp;_xlfn.TEXTJOIN(", ",TRUE,IF((BF494:CQ494&lt;1)*(PARTIDAS!$I$2:$AT$2="SANITARIOS"),PARTIDAS!$I$1:$AT$1,"")),""),IF(SUMPRODUCT((BF494:CQ494&lt;1)*(PARTIDAS!$I$2:$AT$2="ELÉCTRICO"))&gt;0,"ELÉCTRICO: "&amp;_xlfn.TEXTJOIN(", ",TRUE,IF((BF494:CQ494&lt;1)*(PARTIDAS!$I$2:$AT$2="ELÉCTRICO"),PARTIDAS!$I$1:$AT$1,"")),""),IF(SUMPRODUCT((BF494:CQ494&lt;1)*(PARTIDAS!$I$2:$AT$2="TERMINACIONES"))&gt;0,"TERMINACIONES: "&amp;_xlfn.TEXTJOIN(", ",TRUE,IF((BF494:CQ494&lt;1)*(PARTIDAS!$I$2:$AT$2="TERMINACIONES"),PARTIDAS!$I$1:$AT$1,"")),""))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4" s="45" t="str" cm="1">
        <f t="array" ref="CT494">_xlfn.TEXTJOIN(", ",TRUE,IF(SUMPRODUCT((BF494:CQ494&lt;1)*(PARTIDAS!$I$2:$AT$2="OBRA GRUESA"))&gt;0,"OBRA GRUESA",""),IF(SUMPRODUCT((BF494:CQ494&lt;1)*(PARTIDAS!$I$2:$AT$2="SANITARIOS"))&gt;0,"SANITARIOS",""),IF(SUMPRODUCT((BF494:CQ494&lt;1)*(PARTIDAS!$I$2:$AT$2="ELÉCTRICO"))&gt;0,"ELÉCTRICO",""),IF(SUMPRODUCT((BF494:CQ494&lt;1)*(PARTIDAS!$I$2:$AT$2="TERMINACIONES"))&gt;0,"TERMINACIONES",""))</f>
        <v>OBRA GRUESA, SANITARIOS, ELÉCTRICO, TERMINACIONES</v>
      </c>
      <c r="CU494" s="46" cm="1">
        <f t="array" ref="CU494">SUMPRODUCT(--(BF494:CQ494&lt;1))</f>
        <v>38</v>
      </c>
    </row>
    <row r="495" spans="1:99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46181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 s="3" t="str">
        <f>+IF(AVANCE[[#This Row],[% AVANCE]]=100%,"MODULO TERMINADO",IF(AVANCE[[#This Row],[FECHA INICIO REAL]]="","MODULO NO INICIADO","PENDIENTE"))</f>
        <v>MODULO NO INICIADO</v>
      </c>
      <c r="BF495" s="3">
        <f>+IF(AVANCE[[#This Row],[VENTANAS]]=8.10810810810811%,100%,AVANCE[[#This Row],[VENTANAS]])</f>
        <v>0</v>
      </c>
      <c r="BG495" s="3">
        <f>+IF(AVANCE[[#This Row],[PISO]]=N$2,100%,AVANCE[[#This Row],[PISO]])</f>
        <v>0</v>
      </c>
      <c r="BH495" s="3">
        <f>+IF(AVANCE[[#This Row],[TABIQUES]]=O$2,100%,AVANCE[[#This Row],[TABIQUES]])</f>
        <v>0</v>
      </c>
      <c r="BI495" s="3">
        <f>+IF(AVANCE[[#This Row],[MUROS]]=P$2,100%,AVANCE[[#This Row],[MUROS]])</f>
        <v>0</v>
      </c>
      <c r="BJ495" s="3">
        <f>+IF(AVANCE[[#This Row],[CIELO]]=Q$2,100%,AVANCE[[#This Row],[CIELO]])</f>
        <v>0</v>
      </c>
      <c r="BK495" s="3">
        <f>+IF(AVANCE[[#This Row],[BALCÓN]]=R$2,100%,AVANCE[[#This Row],[BALCÓN]])</f>
        <v>0</v>
      </c>
      <c r="BL495" s="3">
        <f>+IF(AVANCE[[#This Row],[RED ALCANTARILLADO]]=U$2,100%,AVANCE[[#This Row],[RED ALCANTARILLADO]])</f>
        <v>0</v>
      </c>
      <c r="BM495" s="3">
        <f>+IF(AVANCE[[#This Row],[RED DE AGUA]]=V$2,100%,AVANCE[[#This Row],[RED DE AGUA]])</f>
        <v>0</v>
      </c>
      <c r="BN495" s="3">
        <f>+IF(AVANCE[[#This Row],[VENTILACIONES]]=W$2,100%,AVANCE[[#This Row],[VENTILACIONES]])</f>
        <v>0</v>
      </c>
      <c r="BO495" s="3">
        <f>+IF(AVANCE[[#This Row],[TINA]]=X$2,100%,AVANCE[[#This Row],[TINA]])</f>
        <v>0</v>
      </c>
      <c r="BP495" s="3">
        <f>+IF(AVANCE[[#This Row],[WC]]=Y$2,100%,AVANCE[[#This Row],[WC]])</f>
        <v>0</v>
      </c>
      <c r="BQ495" s="3">
        <f>+IF(AVANCE[[#This Row],[LAVAMANOS / LAVAPLATOS / LAVADERO]]=Z$2,100%,AVANCE[[#This Row],[LAVAMANOS / LAVAPLATOS / LAVADERO]])</f>
        <v>0</v>
      </c>
      <c r="BR495" s="3">
        <f>+IF(AVANCE[[#This Row],[CANALIZACIÓN]]=AC$2,100%,AVANCE[[#This Row],[CANALIZACIÓN]])</f>
        <v>0</v>
      </c>
      <c r="BS495" s="3">
        <f>+IF(AVANCE[[#This Row],[CABLEADO]]=AD$2,100%,AVANCE[[#This Row],[CABLEADO]])</f>
        <v>0</v>
      </c>
      <c r="BT495" s="3">
        <f>+IF(AVANCE[[#This Row],[ARTEFACTOS]]=AE$2,100%,AVANCE[[#This Row],[ARTEFACTOS]])</f>
        <v>0</v>
      </c>
      <c r="BU495" s="3">
        <f>+IF(AVANCE[[#This Row],[TABLERO]]=AF$2,100%,AVANCE[[#This Row],[TABLERO]])</f>
        <v>0</v>
      </c>
      <c r="BV495" s="3">
        <f>+IF(AVANCE[[#This Row],[CAJA PAU]]=AG$2,100%,AVANCE[[#This Row],[CAJA PAU]])</f>
        <v>0</v>
      </c>
      <c r="BW495" s="3">
        <f>+IF(AVANCE[[#This Row],[INSTALACION VINILICO]]=AJ$2,100%,AVANCE[[#This Row],[INSTALACION VINILICO]])</f>
        <v>0</v>
      </c>
      <c r="BX495" s="3">
        <f>+IF(AVANCE[[#This Row],[OSB CUBIERTA]]=AK$2,100%,AVANCE[[#This Row],[OSB CUBIERTA]])</f>
        <v>0</v>
      </c>
      <c r="BY495" s="3">
        <f>+IF(AVANCE[[#This Row],[BARANDA BALCON]]=AL$2,100%,AVANCE[[#This Row],[BARANDA BALCON]])</f>
        <v>0</v>
      </c>
      <c r="BZ495" s="3">
        <f>+IF(AVANCE[[#This Row],[OSB EXTERIOR]]=AM$2,100%,AVANCE[[#This Row],[OSB EXTERIOR]])</f>
        <v>0</v>
      </c>
      <c r="CA495" s="3">
        <f>+IF(AVANCE[[#This Row],[SMART PANEL]]=AN$2,100%,AVANCE[[#This Row],[SMART PANEL]])</f>
        <v>0</v>
      </c>
      <c r="CB495" s="3">
        <f>+IF(AVANCE[[#This Row],[PINTURA EXTERIOR]]=AO$2,100%,AVANCE[[#This Row],[PINTURA EXTERIOR]])</f>
        <v>0</v>
      </c>
      <c r="CC495" s="3">
        <f>+IF(AVANCE[[#This Row],[ZOCALOS LOGIA]]=AP$2,100%,AVANCE[[#This Row],[ZOCALOS LOGIA]])</f>
        <v>0</v>
      </c>
      <c r="CD495" s="3">
        <f>+IF(AVANCE[[#This Row],[MOLDURAS]]=AQ$2,100%,AVANCE[[#This Row],[MOLDURAS]])</f>
        <v>0</v>
      </c>
      <c r="CE495" s="3">
        <f>+IF(AVANCE[[#This Row],[PILASTREO]]=AR$2,100%,AVANCE[[#This Row],[PILASTREO]])</f>
        <v>0</v>
      </c>
      <c r="CF495" s="3">
        <f>+IF(AVANCE[[#This Row],[CELOSIAS]]=AS$2,100%,AVANCE[[#This Row],[CELOSIAS]])</f>
        <v>0</v>
      </c>
      <c r="CG495" s="3">
        <f>+IF(AVANCE[[#This Row],[VENTANAS]]=AT$2,100%,AVANCE[[#This Row],[VENTANAS]])</f>
        <v>0</v>
      </c>
      <c r="CH495" s="3">
        <f>+IF(AVANCE[[#This Row],[PUERTAS ACCESO - LOGIA - BANO]]=AU$2,100%,AVANCE[[#This Row],[PUERTAS ACCESO - LOGIA - BANO]])</f>
        <v>0</v>
      </c>
      <c r="CI495" s="3">
        <f>+IF(AVANCE[[#This Row],[CERRADURAS]]=AV$2,100%,AVANCE[[#This Row],[CERRADURAS]])</f>
        <v>0</v>
      </c>
      <c r="CJ495" s="3">
        <f>+IF(AVANCE[[#This Row],[REVESTIMIENTO INTERIOR ZONA SECA]]=AW$2,100%,AVANCE[[#This Row],[REVESTIMIENTO INTERIOR ZONA SECA]])</f>
        <v>0</v>
      </c>
      <c r="CK495" s="3">
        <f>+IF(AVANCE[[#This Row],[REVESTIMIENTO INTERIOR ZONAS HUMEDAS]]=AX$2,100%,AVANCE[[#This Row],[REVESTIMIENTO INTERIOR ZONAS HUMEDAS]])</f>
        <v>0</v>
      </c>
      <c r="CL495" s="3">
        <f>+IF(AVANCE[[#This Row],[MEMBRANA CIELO]]=AY$2,100%,AVANCE[[#This Row],[MEMBRANA CIELO]])</f>
        <v>0</v>
      </c>
      <c r="CM495" s="3">
        <f>+IF(AVANCE[[#This Row],[LIMPIEZA FINAL]]=AZ$2,100%,AVANCE[[#This Row],[LIMPIEZA FINAL]])</f>
        <v>0</v>
      </c>
      <c r="CN495" s="3">
        <f>+IF(AVANCE[[#This Row],[PUERTAS DORMITORIO]]=BA$2,100%,AVANCE[[#This Row],[PUERTAS DORMITORIO]])</f>
        <v>0</v>
      </c>
      <c r="CO495" s="3">
        <f>+IF(AVANCE[[#This Row],[REVESTIMIENTO INTERIOR BANO]]=BB$2,100%,AVANCE[[#This Row],[REVESTIMIENTO INTERIOR BANO]])</f>
        <v>0</v>
      </c>
      <c r="CP495" s="3">
        <f>+IF(AVANCE[[#This Row],[MUEBLE LAVAPLATOS]]=BC$2,100%,AVANCE[[#This Row],[MUEBLE LAVAPLATOS]])</f>
        <v>0</v>
      </c>
      <c r="CQ495" s="3">
        <f>+IF(AVANCE[[#This Row],[IMPERMEABILIZACION BANO - COCINA LOGIA]]=BD$2,100%,AVANCE[[#This Row],[IMPERMEABILIZACION BANO - COCINA LOGIA]])</f>
        <v>0</v>
      </c>
      <c r="CR495" s="40">
        <f ca="1">+IF(AVANCE[[#This Row],[ESTADO MODULO]]="PENDIENTE",(TODAY()-AVANCE[[#This Row],[FECHA TERMINO  PLANIFICADO]]),0)</f>
        <v>0</v>
      </c>
      <c r="CS495" s="42" t="str" cm="1">
        <f t="array" ref="CS495">_xlfn.TEXTJOIN(" | ",TRUE,IF(SUMPRODUCT((BF495:CQ495&lt;1)*(PARTIDAS!$I$2:$AT$2="OBRA GRUESA"))&gt;0,"OBRA GRUESA: "&amp;_xlfn.TEXTJOIN(", ",TRUE,IF((BF495:CQ495&lt;1)*(PARTIDAS!$I$2:$AT$2="OBRA GRUESA"),PARTIDAS!$I$1:$AT$1,"")),""),IF(SUMPRODUCT((BF495:CQ495&lt;1)*(PARTIDAS!$I$2:$AT$2="SANITARIOS"))&gt;0,"SANITARIOS: "&amp;_xlfn.TEXTJOIN(", ",TRUE,IF((BF495:CQ495&lt;1)*(PARTIDAS!$I$2:$AT$2="SANITARIOS"),PARTIDAS!$I$1:$AT$1,"")),""),IF(SUMPRODUCT((BF495:CQ495&lt;1)*(PARTIDAS!$I$2:$AT$2="ELÉCTRICO"))&gt;0,"ELÉCTRICO: "&amp;_xlfn.TEXTJOIN(", ",TRUE,IF((BF495:CQ495&lt;1)*(PARTIDAS!$I$2:$AT$2="ELÉCTRICO"),PARTIDAS!$I$1:$AT$1,"")),""),IF(SUMPRODUCT((BF495:CQ495&lt;1)*(PARTIDAS!$I$2:$AT$2="TERMINACIONES"))&gt;0,"TERMINACIONES: "&amp;_xlfn.TEXTJOIN(", ",TRUE,IF((BF495:CQ495&lt;1)*(PARTIDAS!$I$2:$AT$2="TERMINACIONES"),PARTIDAS!$I$1:$AT$1,"")),""))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5" s="45" t="str" cm="1">
        <f t="array" ref="CT495">_xlfn.TEXTJOIN(", ",TRUE,IF(SUMPRODUCT((BF495:CQ495&lt;1)*(PARTIDAS!$I$2:$AT$2="OBRA GRUESA"))&gt;0,"OBRA GRUESA",""),IF(SUMPRODUCT((BF495:CQ495&lt;1)*(PARTIDAS!$I$2:$AT$2="SANITARIOS"))&gt;0,"SANITARIOS",""),IF(SUMPRODUCT((BF495:CQ495&lt;1)*(PARTIDAS!$I$2:$AT$2="ELÉCTRICO"))&gt;0,"ELÉCTRICO",""),IF(SUMPRODUCT((BF495:CQ495&lt;1)*(PARTIDAS!$I$2:$AT$2="TERMINACIONES"))&gt;0,"TERMINACIONES",""))</f>
        <v>OBRA GRUESA, SANITARIOS, ELÉCTRICO, TERMINACIONES</v>
      </c>
      <c r="CU495" s="46" cm="1">
        <f t="array" ref="CU495">SUMPRODUCT(--(BF495:CQ495&lt;1))</f>
        <v>38</v>
      </c>
    </row>
    <row r="496" spans="1:99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46181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 s="3" t="str">
        <f>+IF(AVANCE[[#This Row],[% AVANCE]]=100%,"MODULO TERMINADO",IF(AVANCE[[#This Row],[FECHA INICIO REAL]]="","MODULO NO INICIADO","PENDIENTE"))</f>
        <v>MODULO NO INICIADO</v>
      </c>
      <c r="BF496" s="3">
        <f>+IF(AVANCE[[#This Row],[VENTANAS]]=8.10810810810811%,100%,AVANCE[[#This Row],[VENTANAS]])</f>
        <v>0</v>
      </c>
      <c r="BG496" s="3">
        <f>+IF(AVANCE[[#This Row],[PISO]]=N$2,100%,AVANCE[[#This Row],[PISO]])</f>
        <v>0</v>
      </c>
      <c r="BH496" s="3">
        <f>+IF(AVANCE[[#This Row],[TABIQUES]]=O$2,100%,AVANCE[[#This Row],[TABIQUES]])</f>
        <v>0</v>
      </c>
      <c r="BI496" s="3">
        <f>+IF(AVANCE[[#This Row],[MUROS]]=P$2,100%,AVANCE[[#This Row],[MUROS]])</f>
        <v>0</v>
      </c>
      <c r="BJ496" s="3">
        <f>+IF(AVANCE[[#This Row],[CIELO]]=Q$2,100%,AVANCE[[#This Row],[CIELO]])</f>
        <v>0</v>
      </c>
      <c r="BK496" s="3">
        <f>+IF(AVANCE[[#This Row],[BALCÓN]]=R$2,100%,AVANCE[[#This Row],[BALCÓN]])</f>
        <v>0</v>
      </c>
      <c r="BL496" s="3">
        <f>+IF(AVANCE[[#This Row],[RED ALCANTARILLADO]]=U$2,100%,AVANCE[[#This Row],[RED ALCANTARILLADO]])</f>
        <v>0</v>
      </c>
      <c r="BM496" s="3">
        <f>+IF(AVANCE[[#This Row],[RED DE AGUA]]=V$2,100%,AVANCE[[#This Row],[RED DE AGUA]])</f>
        <v>0</v>
      </c>
      <c r="BN496" s="3">
        <f>+IF(AVANCE[[#This Row],[VENTILACIONES]]=W$2,100%,AVANCE[[#This Row],[VENTILACIONES]])</f>
        <v>0</v>
      </c>
      <c r="BO496" s="3">
        <f>+IF(AVANCE[[#This Row],[TINA]]=X$2,100%,AVANCE[[#This Row],[TINA]])</f>
        <v>0</v>
      </c>
      <c r="BP496" s="3">
        <f>+IF(AVANCE[[#This Row],[WC]]=Y$2,100%,AVANCE[[#This Row],[WC]])</f>
        <v>0</v>
      </c>
      <c r="BQ496" s="3">
        <f>+IF(AVANCE[[#This Row],[LAVAMANOS / LAVAPLATOS / LAVADERO]]=Z$2,100%,AVANCE[[#This Row],[LAVAMANOS / LAVAPLATOS / LAVADERO]])</f>
        <v>0</v>
      </c>
      <c r="BR496" s="3">
        <f>+IF(AVANCE[[#This Row],[CANALIZACIÓN]]=AC$2,100%,AVANCE[[#This Row],[CANALIZACIÓN]])</f>
        <v>0</v>
      </c>
      <c r="BS496" s="3">
        <f>+IF(AVANCE[[#This Row],[CABLEADO]]=AD$2,100%,AVANCE[[#This Row],[CABLEADO]])</f>
        <v>0</v>
      </c>
      <c r="BT496" s="3">
        <f>+IF(AVANCE[[#This Row],[ARTEFACTOS]]=AE$2,100%,AVANCE[[#This Row],[ARTEFACTOS]])</f>
        <v>0</v>
      </c>
      <c r="BU496" s="3">
        <f>+IF(AVANCE[[#This Row],[TABLERO]]=AF$2,100%,AVANCE[[#This Row],[TABLERO]])</f>
        <v>0</v>
      </c>
      <c r="BV496" s="3">
        <f>+IF(AVANCE[[#This Row],[CAJA PAU]]=AG$2,100%,AVANCE[[#This Row],[CAJA PAU]])</f>
        <v>0</v>
      </c>
      <c r="BW496" s="3">
        <f>+IF(AVANCE[[#This Row],[INSTALACION VINILICO]]=AJ$2,100%,AVANCE[[#This Row],[INSTALACION VINILICO]])</f>
        <v>0</v>
      </c>
      <c r="BX496" s="3">
        <f>+IF(AVANCE[[#This Row],[OSB CUBIERTA]]=AK$2,100%,AVANCE[[#This Row],[OSB CUBIERTA]])</f>
        <v>0</v>
      </c>
      <c r="BY496" s="3">
        <f>+IF(AVANCE[[#This Row],[BARANDA BALCON]]=AL$2,100%,AVANCE[[#This Row],[BARANDA BALCON]])</f>
        <v>0</v>
      </c>
      <c r="BZ496" s="3">
        <f>+IF(AVANCE[[#This Row],[OSB EXTERIOR]]=AM$2,100%,AVANCE[[#This Row],[OSB EXTERIOR]])</f>
        <v>0</v>
      </c>
      <c r="CA496" s="3">
        <f>+IF(AVANCE[[#This Row],[SMART PANEL]]=AN$2,100%,AVANCE[[#This Row],[SMART PANEL]])</f>
        <v>0</v>
      </c>
      <c r="CB496" s="3">
        <f>+IF(AVANCE[[#This Row],[PINTURA EXTERIOR]]=AO$2,100%,AVANCE[[#This Row],[PINTURA EXTERIOR]])</f>
        <v>0</v>
      </c>
      <c r="CC496" s="3">
        <f>+IF(AVANCE[[#This Row],[ZOCALOS LOGIA]]=AP$2,100%,AVANCE[[#This Row],[ZOCALOS LOGIA]])</f>
        <v>0</v>
      </c>
      <c r="CD496" s="3">
        <f>+IF(AVANCE[[#This Row],[MOLDURAS]]=AQ$2,100%,AVANCE[[#This Row],[MOLDURAS]])</f>
        <v>0</v>
      </c>
      <c r="CE496" s="3">
        <f>+IF(AVANCE[[#This Row],[PILASTREO]]=AR$2,100%,AVANCE[[#This Row],[PILASTREO]])</f>
        <v>0</v>
      </c>
      <c r="CF496" s="3">
        <f>+IF(AVANCE[[#This Row],[CELOSIAS]]=AS$2,100%,AVANCE[[#This Row],[CELOSIAS]])</f>
        <v>0</v>
      </c>
      <c r="CG496" s="3">
        <f>+IF(AVANCE[[#This Row],[VENTANAS]]=AT$2,100%,AVANCE[[#This Row],[VENTANAS]])</f>
        <v>0</v>
      </c>
      <c r="CH496" s="3">
        <f>+IF(AVANCE[[#This Row],[PUERTAS ACCESO - LOGIA - BANO]]=AU$2,100%,AVANCE[[#This Row],[PUERTAS ACCESO - LOGIA - BANO]])</f>
        <v>0</v>
      </c>
      <c r="CI496" s="3">
        <f>+IF(AVANCE[[#This Row],[CERRADURAS]]=AV$2,100%,AVANCE[[#This Row],[CERRADURAS]])</f>
        <v>0</v>
      </c>
      <c r="CJ496" s="3">
        <f>+IF(AVANCE[[#This Row],[REVESTIMIENTO INTERIOR ZONA SECA]]=AW$2,100%,AVANCE[[#This Row],[REVESTIMIENTO INTERIOR ZONA SECA]])</f>
        <v>0</v>
      </c>
      <c r="CK496" s="3">
        <f>+IF(AVANCE[[#This Row],[REVESTIMIENTO INTERIOR ZONAS HUMEDAS]]=AX$2,100%,AVANCE[[#This Row],[REVESTIMIENTO INTERIOR ZONAS HUMEDAS]])</f>
        <v>0</v>
      </c>
      <c r="CL496" s="3">
        <f>+IF(AVANCE[[#This Row],[MEMBRANA CIELO]]=AY$2,100%,AVANCE[[#This Row],[MEMBRANA CIELO]])</f>
        <v>0</v>
      </c>
      <c r="CM496" s="3">
        <f>+IF(AVANCE[[#This Row],[LIMPIEZA FINAL]]=AZ$2,100%,AVANCE[[#This Row],[LIMPIEZA FINAL]])</f>
        <v>0</v>
      </c>
      <c r="CN496" s="3">
        <f>+IF(AVANCE[[#This Row],[PUERTAS DORMITORIO]]=BA$2,100%,AVANCE[[#This Row],[PUERTAS DORMITORIO]])</f>
        <v>0</v>
      </c>
      <c r="CO496" s="3">
        <f>+IF(AVANCE[[#This Row],[REVESTIMIENTO INTERIOR BANO]]=BB$2,100%,AVANCE[[#This Row],[REVESTIMIENTO INTERIOR BANO]])</f>
        <v>0</v>
      </c>
      <c r="CP496" s="3">
        <f>+IF(AVANCE[[#This Row],[MUEBLE LAVAPLATOS]]=BC$2,100%,AVANCE[[#This Row],[MUEBLE LAVAPLATOS]])</f>
        <v>0</v>
      </c>
      <c r="CQ496" s="3">
        <f>+IF(AVANCE[[#This Row],[IMPERMEABILIZACION BANO - COCINA LOGIA]]=BD$2,100%,AVANCE[[#This Row],[IMPERMEABILIZACION BANO - COCINA LOGIA]])</f>
        <v>0</v>
      </c>
      <c r="CR496" s="40">
        <f ca="1">+IF(AVANCE[[#This Row],[ESTADO MODULO]]="PENDIENTE",(TODAY()-AVANCE[[#This Row],[FECHA TERMINO  PLANIFICADO]]),0)</f>
        <v>0</v>
      </c>
      <c r="CS496" s="42" t="str" cm="1">
        <f t="array" ref="CS496">_xlfn.TEXTJOIN(" | ",TRUE,IF(SUMPRODUCT((BF496:CQ496&lt;1)*(PARTIDAS!$I$2:$AT$2="OBRA GRUESA"))&gt;0,"OBRA GRUESA: "&amp;_xlfn.TEXTJOIN(", ",TRUE,IF((BF496:CQ496&lt;1)*(PARTIDAS!$I$2:$AT$2="OBRA GRUESA"),PARTIDAS!$I$1:$AT$1,"")),""),IF(SUMPRODUCT((BF496:CQ496&lt;1)*(PARTIDAS!$I$2:$AT$2="SANITARIOS"))&gt;0,"SANITARIOS: "&amp;_xlfn.TEXTJOIN(", ",TRUE,IF((BF496:CQ496&lt;1)*(PARTIDAS!$I$2:$AT$2="SANITARIOS"),PARTIDAS!$I$1:$AT$1,"")),""),IF(SUMPRODUCT((BF496:CQ496&lt;1)*(PARTIDAS!$I$2:$AT$2="ELÉCTRICO"))&gt;0,"ELÉCTRICO: "&amp;_xlfn.TEXTJOIN(", ",TRUE,IF((BF496:CQ496&lt;1)*(PARTIDAS!$I$2:$AT$2="ELÉCTRICO"),PARTIDAS!$I$1:$AT$1,"")),""),IF(SUMPRODUCT((BF496:CQ496&lt;1)*(PARTIDAS!$I$2:$AT$2="TERMINACIONES"))&gt;0,"TERMINACIONES: "&amp;_xlfn.TEXTJOIN(", ",TRUE,IF((BF496:CQ496&lt;1)*(PARTIDAS!$I$2:$AT$2="TERMINACIONES"),PARTIDAS!$I$1:$AT$1,"")),""))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6" s="45" t="str" cm="1">
        <f t="array" ref="CT496">_xlfn.TEXTJOIN(", ",TRUE,IF(SUMPRODUCT((BF496:CQ496&lt;1)*(PARTIDAS!$I$2:$AT$2="OBRA GRUESA"))&gt;0,"OBRA GRUESA",""),IF(SUMPRODUCT((BF496:CQ496&lt;1)*(PARTIDAS!$I$2:$AT$2="SANITARIOS"))&gt;0,"SANITARIOS",""),IF(SUMPRODUCT((BF496:CQ496&lt;1)*(PARTIDAS!$I$2:$AT$2="ELÉCTRICO"))&gt;0,"ELÉCTRICO",""),IF(SUMPRODUCT((BF496:CQ496&lt;1)*(PARTIDAS!$I$2:$AT$2="TERMINACIONES"))&gt;0,"TERMINACIONES",""))</f>
        <v>OBRA GRUESA, SANITARIOS, ELÉCTRICO, TERMINACIONES</v>
      </c>
      <c r="CU496" s="46" cm="1">
        <f t="array" ref="CU496">SUMPRODUCT(--(BF496:CQ496&lt;1))</f>
        <v>38</v>
      </c>
    </row>
    <row r="497" spans="1:99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46181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 s="3" t="str">
        <f>+IF(AVANCE[[#This Row],[% AVANCE]]=100%,"MODULO TERMINADO",IF(AVANCE[[#This Row],[FECHA INICIO REAL]]="","MODULO NO INICIADO","PENDIENTE"))</f>
        <v>MODULO NO INICIADO</v>
      </c>
      <c r="BF497" s="3">
        <f>+IF(AVANCE[[#This Row],[VENTANAS]]=8.10810810810811%,100%,AVANCE[[#This Row],[VENTANAS]])</f>
        <v>0</v>
      </c>
      <c r="BG497" s="3">
        <f>+IF(AVANCE[[#This Row],[PISO]]=N$2,100%,AVANCE[[#This Row],[PISO]])</f>
        <v>0</v>
      </c>
      <c r="BH497" s="3">
        <f>+IF(AVANCE[[#This Row],[TABIQUES]]=O$2,100%,AVANCE[[#This Row],[TABIQUES]])</f>
        <v>0</v>
      </c>
      <c r="BI497" s="3">
        <f>+IF(AVANCE[[#This Row],[MUROS]]=P$2,100%,AVANCE[[#This Row],[MUROS]])</f>
        <v>0</v>
      </c>
      <c r="BJ497" s="3">
        <f>+IF(AVANCE[[#This Row],[CIELO]]=Q$2,100%,AVANCE[[#This Row],[CIELO]])</f>
        <v>0</v>
      </c>
      <c r="BK497" s="3">
        <f>+IF(AVANCE[[#This Row],[BALCÓN]]=R$2,100%,AVANCE[[#This Row],[BALCÓN]])</f>
        <v>0</v>
      </c>
      <c r="BL497" s="3">
        <f>+IF(AVANCE[[#This Row],[RED ALCANTARILLADO]]=U$2,100%,AVANCE[[#This Row],[RED ALCANTARILLADO]])</f>
        <v>0</v>
      </c>
      <c r="BM497" s="3">
        <f>+IF(AVANCE[[#This Row],[RED DE AGUA]]=V$2,100%,AVANCE[[#This Row],[RED DE AGUA]])</f>
        <v>0</v>
      </c>
      <c r="BN497" s="3">
        <f>+IF(AVANCE[[#This Row],[VENTILACIONES]]=W$2,100%,AVANCE[[#This Row],[VENTILACIONES]])</f>
        <v>0</v>
      </c>
      <c r="BO497" s="3">
        <f>+IF(AVANCE[[#This Row],[TINA]]=X$2,100%,AVANCE[[#This Row],[TINA]])</f>
        <v>0</v>
      </c>
      <c r="BP497" s="3">
        <f>+IF(AVANCE[[#This Row],[WC]]=Y$2,100%,AVANCE[[#This Row],[WC]])</f>
        <v>0</v>
      </c>
      <c r="BQ497" s="3">
        <f>+IF(AVANCE[[#This Row],[LAVAMANOS / LAVAPLATOS / LAVADERO]]=Z$2,100%,AVANCE[[#This Row],[LAVAMANOS / LAVAPLATOS / LAVADERO]])</f>
        <v>0</v>
      </c>
      <c r="BR497" s="3">
        <f>+IF(AVANCE[[#This Row],[CANALIZACIÓN]]=AC$2,100%,AVANCE[[#This Row],[CANALIZACIÓN]])</f>
        <v>0</v>
      </c>
      <c r="BS497" s="3">
        <f>+IF(AVANCE[[#This Row],[CABLEADO]]=AD$2,100%,AVANCE[[#This Row],[CABLEADO]])</f>
        <v>0</v>
      </c>
      <c r="BT497" s="3">
        <f>+IF(AVANCE[[#This Row],[ARTEFACTOS]]=AE$2,100%,AVANCE[[#This Row],[ARTEFACTOS]])</f>
        <v>0</v>
      </c>
      <c r="BU497" s="3">
        <f>+IF(AVANCE[[#This Row],[TABLERO]]=AF$2,100%,AVANCE[[#This Row],[TABLERO]])</f>
        <v>0</v>
      </c>
      <c r="BV497" s="3">
        <f>+IF(AVANCE[[#This Row],[CAJA PAU]]=AG$2,100%,AVANCE[[#This Row],[CAJA PAU]])</f>
        <v>0</v>
      </c>
      <c r="BW497" s="3">
        <f>+IF(AVANCE[[#This Row],[INSTALACION VINILICO]]=AJ$2,100%,AVANCE[[#This Row],[INSTALACION VINILICO]])</f>
        <v>0</v>
      </c>
      <c r="BX497" s="3">
        <f>+IF(AVANCE[[#This Row],[OSB CUBIERTA]]=AK$2,100%,AVANCE[[#This Row],[OSB CUBIERTA]])</f>
        <v>0</v>
      </c>
      <c r="BY497" s="3">
        <f>+IF(AVANCE[[#This Row],[BARANDA BALCON]]=AL$2,100%,AVANCE[[#This Row],[BARANDA BALCON]])</f>
        <v>0</v>
      </c>
      <c r="BZ497" s="3">
        <f>+IF(AVANCE[[#This Row],[OSB EXTERIOR]]=AM$2,100%,AVANCE[[#This Row],[OSB EXTERIOR]])</f>
        <v>0</v>
      </c>
      <c r="CA497" s="3">
        <f>+IF(AVANCE[[#This Row],[SMART PANEL]]=AN$2,100%,AVANCE[[#This Row],[SMART PANEL]])</f>
        <v>0</v>
      </c>
      <c r="CB497" s="3">
        <f>+IF(AVANCE[[#This Row],[PINTURA EXTERIOR]]=AO$2,100%,AVANCE[[#This Row],[PINTURA EXTERIOR]])</f>
        <v>0</v>
      </c>
      <c r="CC497" s="3">
        <f>+IF(AVANCE[[#This Row],[ZOCALOS LOGIA]]=AP$2,100%,AVANCE[[#This Row],[ZOCALOS LOGIA]])</f>
        <v>0</v>
      </c>
      <c r="CD497" s="3">
        <f>+IF(AVANCE[[#This Row],[MOLDURAS]]=AQ$2,100%,AVANCE[[#This Row],[MOLDURAS]])</f>
        <v>0</v>
      </c>
      <c r="CE497" s="3">
        <f>+IF(AVANCE[[#This Row],[PILASTREO]]=AR$2,100%,AVANCE[[#This Row],[PILASTREO]])</f>
        <v>0</v>
      </c>
      <c r="CF497" s="3">
        <f>+IF(AVANCE[[#This Row],[CELOSIAS]]=AS$2,100%,AVANCE[[#This Row],[CELOSIAS]])</f>
        <v>0</v>
      </c>
      <c r="CG497" s="3">
        <f>+IF(AVANCE[[#This Row],[VENTANAS]]=AT$2,100%,AVANCE[[#This Row],[VENTANAS]])</f>
        <v>0</v>
      </c>
      <c r="CH497" s="3">
        <f>+IF(AVANCE[[#This Row],[PUERTAS ACCESO - LOGIA - BANO]]=AU$2,100%,AVANCE[[#This Row],[PUERTAS ACCESO - LOGIA - BANO]])</f>
        <v>0</v>
      </c>
      <c r="CI497" s="3">
        <f>+IF(AVANCE[[#This Row],[CERRADURAS]]=AV$2,100%,AVANCE[[#This Row],[CERRADURAS]])</f>
        <v>0</v>
      </c>
      <c r="CJ497" s="3">
        <f>+IF(AVANCE[[#This Row],[REVESTIMIENTO INTERIOR ZONA SECA]]=AW$2,100%,AVANCE[[#This Row],[REVESTIMIENTO INTERIOR ZONA SECA]])</f>
        <v>0</v>
      </c>
      <c r="CK497" s="3">
        <f>+IF(AVANCE[[#This Row],[REVESTIMIENTO INTERIOR ZONAS HUMEDAS]]=AX$2,100%,AVANCE[[#This Row],[REVESTIMIENTO INTERIOR ZONAS HUMEDAS]])</f>
        <v>0</v>
      </c>
      <c r="CL497" s="3">
        <f>+IF(AVANCE[[#This Row],[MEMBRANA CIELO]]=AY$2,100%,AVANCE[[#This Row],[MEMBRANA CIELO]])</f>
        <v>0</v>
      </c>
      <c r="CM497" s="3">
        <f>+IF(AVANCE[[#This Row],[LIMPIEZA FINAL]]=AZ$2,100%,AVANCE[[#This Row],[LIMPIEZA FINAL]])</f>
        <v>0</v>
      </c>
      <c r="CN497" s="3">
        <f>+IF(AVANCE[[#This Row],[PUERTAS DORMITORIO]]=BA$2,100%,AVANCE[[#This Row],[PUERTAS DORMITORIO]])</f>
        <v>0</v>
      </c>
      <c r="CO497" s="3">
        <f>+IF(AVANCE[[#This Row],[REVESTIMIENTO INTERIOR BANO]]=BB$2,100%,AVANCE[[#This Row],[REVESTIMIENTO INTERIOR BANO]])</f>
        <v>0</v>
      </c>
      <c r="CP497" s="3">
        <f>+IF(AVANCE[[#This Row],[MUEBLE LAVAPLATOS]]=BC$2,100%,AVANCE[[#This Row],[MUEBLE LAVAPLATOS]])</f>
        <v>0</v>
      </c>
      <c r="CQ497" s="3">
        <f>+IF(AVANCE[[#This Row],[IMPERMEABILIZACION BANO - COCINA LOGIA]]=BD$2,100%,AVANCE[[#This Row],[IMPERMEABILIZACION BANO - COCINA LOGIA]])</f>
        <v>0</v>
      </c>
      <c r="CR497" s="40">
        <f ca="1">+IF(AVANCE[[#This Row],[ESTADO MODULO]]="PENDIENTE",(TODAY()-AVANCE[[#This Row],[FECHA TERMINO  PLANIFICADO]]),0)</f>
        <v>0</v>
      </c>
      <c r="CS497" s="42" t="str" cm="1">
        <f t="array" ref="CS497">_xlfn.TEXTJOIN(" | ",TRUE,IF(SUMPRODUCT((BF497:CQ497&lt;1)*(PARTIDAS!$I$2:$AT$2="OBRA GRUESA"))&gt;0,"OBRA GRUESA: "&amp;_xlfn.TEXTJOIN(", ",TRUE,IF((BF497:CQ497&lt;1)*(PARTIDAS!$I$2:$AT$2="OBRA GRUESA"),PARTIDAS!$I$1:$AT$1,"")),""),IF(SUMPRODUCT((BF497:CQ497&lt;1)*(PARTIDAS!$I$2:$AT$2="SANITARIOS"))&gt;0,"SANITARIOS: "&amp;_xlfn.TEXTJOIN(", ",TRUE,IF((BF497:CQ497&lt;1)*(PARTIDAS!$I$2:$AT$2="SANITARIOS"),PARTIDAS!$I$1:$AT$1,"")),""),IF(SUMPRODUCT((BF497:CQ497&lt;1)*(PARTIDAS!$I$2:$AT$2="ELÉCTRICO"))&gt;0,"ELÉCTRICO: "&amp;_xlfn.TEXTJOIN(", ",TRUE,IF((BF497:CQ497&lt;1)*(PARTIDAS!$I$2:$AT$2="ELÉCTRICO"),PARTIDAS!$I$1:$AT$1,"")),""),IF(SUMPRODUCT((BF497:CQ497&lt;1)*(PARTIDAS!$I$2:$AT$2="TERMINACIONES"))&gt;0,"TERMINACIONES: "&amp;_xlfn.TEXTJOIN(", ",TRUE,IF((BF497:CQ497&lt;1)*(PARTIDAS!$I$2:$AT$2="TERMINACIONES"),PARTIDAS!$I$1:$AT$1,"")),""))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7" s="45" t="str" cm="1">
        <f t="array" ref="CT497">_xlfn.TEXTJOIN(", ",TRUE,IF(SUMPRODUCT((BF497:CQ497&lt;1)*(PARTIDAS!$I$2:$AT$2="OBRA GRUESA"))&gt;0,"OBRA GRUESA",""),IF(SUMPRODUCT((BF497:CQ497&lt;1)*(PARTIDAS!$I$2:$AT$2="SANITARIOS"))&gt;0,"SANITARIOS",""),IF(SUMPRODUCT((BF497:CQ497&lt;1)*(PARTIDAS!$I$2:$AT$2="ELÉCTRICO"))&gt;0,"ELÉCTRICO",""),IF(SUMPRODUCT((BF497:CQ497&lt;1)*(PARTIDAS!$I$2:$AT$2="TERMINACIONES"))&gt;0,"TERMINACIONES",""))</f>
        <v>OBRA GRUESA, SANITARIOS, ELÉCTRICO, TERMINACIONES</v>
      </c>
      <c r="CU497" s="46" cm="1">
        <f t="array" ref="CU497">SUMPRODUCT(--(BF497:CQ497&lt;1))</f>
        <v>38</v>
      </c>
    </row>
    <row r="498" spans="1:99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46181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 s="3" t="str">
        <f>+IF(AVANCE[[#This Row],[% AVANCE]]=100%,"MODULO TERMINADO",IF(AVANCE[[#This Row],[FECHA INICIO REAL]]="","MODULO NO INICIADO","PENDIENTE"))</f>
        <v>MODULO NO INICIADO</v>
      </c>
      <c r="BF498" s="3">
        <f>+IF(AVANCE[[#This Row],[VENTANAS]]=8.10810810810811%,100%,AVANCE[[#This Row],[VENTANAS]])</f>
        <v>0</v>
      </c>
      <c r="BG498" s="3">
        <f>+IF(AVANCE[[#This Row],[PISO]]=N$2,100%,AVANCE[[#This Row],[PISO]])</f>
        <v>0</v>
      </c>
      <c r="BH498" s="3">
        <f>+IF(AVANCE[[#This Row],[TABIQUES]]=O$2,100%,AVANCE[[#This Row],[TABIQUES]])</f>
        <v>0</v>
      </c>
      <c r="BI498" s="3">
        <f>+IF(AVANCE[[#This Row],[MUROS]]=P$2,100%,AVANCE[[#This Row],[MUROS]])</f>
        <v>0</v>
      </c>
      <c r="BJ498" s="3">
        <f>+IF(AVANCE[[#This Row],[CIELO]]=Q$2,100%,AVANCE[[#This Row],[CIELO]])</f>
        <v>0</v>
      </c>
      <c r="BK498" s="3">
        <f>+IF(AVANCE[[#This Row],[BALCÓN]]=R$2,100%,AVANCE[[#This Row],[BALCÓN]])</f>
        <v>0</v>
      </c>
      <c r="BL498" s="3">
        <f>+IF(AVANCE[[#This Row],[RED ALCANTARILLADO]]=U$2,100%,AVANCE[[#This Row],[RED ALCANTARILLADO]])</f>
        <v>0</v>
      </c>
      <c r="BM498" s="3">
        <f>+IF(AVANCE[[#This Row],[RED DE AGUA]]=V$2,100%,AVANCE[[#This Row],[RED DE AGUA]])</f>
        <v>0</v>
      </c>
      <c r="BN498" s="3">
        <f>+IF(AVANCE[[#This Row],[VENTILACIONES]]=W$2,100%,AVANCE[[#This Row],[VENTILACIONES]])</f>
        <v>0</v>
      </c>
      <c r="BO498" s="3">
        <f>+IF(AVANCE[[#This Row],[TINA]]=X$2,100%,AVANCE[[#This Row],[TINA]])</f>
        <v>0</v>
      </c>
      <c r="BP498" s="3">
        <f>+IF(AVANCE[[#This Row],[WC]]=Y$2,100%,AVANCE[[#This Row],[WC]])</f>
        <v>0</v>
      </c>
      <c r="BQ498" s="3">
        <f>+IF(AVANCE[[#This Row],[LAVAMANOS / LAVAPLATOS / LAVADERO]]=Z$2,100%,AVANCE[[#This Row],[LAVAMANOS / LAVAPLATOS / LAVADERO]])</f>
        <v>0</v>
      </c>
      <c r="BR498" s="3">
        <f>+IF(AVANCE[[#This Row],[CANALIZACIÓN]]=AC$2,100%,AVANCE[[#This Row],[CANALIZACIÓN]])</f>
        <v>0</v>
      </c>
      <c r="BS498" s="3">
        <f>+IF(AVANCE[[#This Row],[CABLEADO]]=AD$2,100%,AVANCE[[#This Row],[CABLEADO]])</f>
        <v>0</v>
      </c>
      <c r="BT498" s="3">
        <f>+IF(AVANCE[[#This Row],[ARTEFACTOS]]=AE$2,100%,AVANCE[[#This Row],[ARTEFACTOS]])</f>
        <v>0</v>
      </c>
      <c r="BU498" s="3">
        <f>+IF(AVANCE[[#This Row],[TABLERO]]=AF$2,100%,AVANCE[[#This Row],[TABLERO]])</f>
        <v>0</v>
      </c>
      <c r="BV498" s="3">
        <f>+IF(AVANCE[[#This Row],[CAJA PAU]]=AG$2,100%,AVANCE[[#This Row],[CAJA PAU]])</f>
        <v>0</v>
      </c>
      <c r="BW498" s="3">
        <f>+IF(AVANCE[[#This Row],[INSTALACION VINILICO]]=AJ$2,100%,AVANCE[[#This Row],[INSTALACION VINILICO]])</f>
        <v>0</v>
      </c>
      <c r="BX498" s="3">
        <f>+IF(AVANCE[[#This Row],[OSB CUBIERTA]]=AK$2,100%,AVANCE[[#This Row],[OSB CUBIERTA]])</f>
        <v>0</v>
      </c>
      <c r="BY498" s="3">
        <f>+IF(AVANCE[[#This Row],[BARANDA BALCON]]=AL$2,100%,AVANCE[[#This Row],[BARANDA BALCON]])</f>
        <v>0</v>
      </c>
      <c r="BZ498" s="3">
        <f>+IF(AVANCE[[#This Row],[OSB EXTERIOR]]=AM$2,100%,AVANCE[[#This Row],[OSB EXTERIOR]])</f>
        <v>0</v>
      </c>
      <c r="CA498" s="3">
        <f>+IF(AVANCE[[#This Row],[SMART PANEL]]=AN$2,100%,AVANCE[[#This Row],[SMART PANEL]])</f>
        <v>0</v>
      </c>
      <c r="CB498" s="3">
        <f>+IF(AVANCE[[#This Row],[PINTURA EXTERIOR]]=AO$2,100%,AVANCE[[#This Row],[PINTURA EXTERIOR]])</f>
        <v>0</v>
      </c>
      <c r="CC498" s="3">
        <f>+IF(AVANCE[[#This Row],[ZOCALOS LOGIA]]=AP$2,100%,AVANCE[[#This Row],[ZOCALOS LOGIA]])</f>
        <v>0</v>
      </c>
      <c r="CD498" s="3">
        <f>+IF(AVANCE[[#This Row],[MOLDURAS]]=AQ$2,100%,AVANCE[[#This Row],[MOLDURAS]])</f>
        <v>0</v>
      </c>
      <c r="CE498" s="3">
        <f>+IF(AVANCE[[#This Row],[PILASTREO]]=AR$2,100%,AVANCE[[#This Row],[PILASTREO]])</f>
        <v>0</v>
      </c>
      <c r="CF498" s="3">
        <f>+IF(AVANCE[[#This Row],[CELOSIAS]]=AS$2,100%,AVANCE[[#This Row],[CELOSIAS]])</f>
        <v>0</v>
      </c>
      <c r="CG498" s="3">
        <f>+IF(AVANCE[[#This Row],[VENTANAS]]=AT$2,100%,AVANCE[[#This Row],[VENTANAS]])</f>
        <v>0</v>
      </c>
      <c r="CH498" s="3">
        <f>+IF(AVANCE[[#This Row],[PUERTAS ACCESO - LOGIA - BANO]]=AU$2,100%,AVANCE[[#This Row],[PUERTAS ACCESO - LOGIA - BANO]])</f>
        <v>0</v>
      </c>
      <c r="CI498" s="3">
        <f>+IF(AVANCE[[#This Row],[CERRADURAS]]=AV$2,100%,AVANCE[[#This Row],[CERRADURAS]])</f>
        <v>0</v>
      </c>
      <c r="CJ498" s="3">
        <f>+IF(AVANCE[[#This Row],[REVESTIMIENTO INTERIOR ZONA SECA]]=AW$2,100%,AVANCE[[#This Row],[REVESTIMIENTO INTERIOR ZONA SECA]])</f>
        <v>0</v>
      </c>
      <c r="CK498" s="3">
        <f>+IF(AVANCE[[#This Row],[REVESTIMIENTO INTERIOR ZONAS HUMEDAS]]=AX$2,100%,AVANCE[[#This Row],[REVESTIMIENTO INTERIOR ZONAS HUMEDAS]])</f>
        <v>0</v>
      </c>
      <c r="CL498" s="3">
        <f>+IF(AVANCE[[#This Row],[MEMBRANA CIELO]]=AY$2,100%,AVANCE[[#This Row],[MEMBRANA CIELO]])</f>
        <v>0</v>
      </c>
      <c r="CM498" s="3">
        <f>+IF(AVANCE[[#This Row],[LIMPIEZA FINAL]]=AZ$2,100%,AVANCE[[#This Row],[LIMPIEZA FINAL]])</f>
        <v>0</v>
      </c>
      <c r="CN498" s="3">
        <f>+IF(AVANCE[[#This Row],[PUERTAS DORMITORIO]]=BA$2,100%,AVANCE[[#This Row],[PUERTAS DORMITORIO]])</f>
        <v>0</v>
      </c>
      <c r="CO498" s="3">
        <f>+IF(AVANCE[[#This Row],[REVESTIMIENTO INTERIOR BANO]]=BB$2,100%,AVANCE[[#This Row],[REVESTIMIENTO INTERIOR BANO]])</f>
        <v>0</v>
      </c>
      <c r="CP498" s="3">
        <f>+IF(AVANCE[[#This Row],[MUEBLE LAVAPLATOS]]=BC$2,100%,AVANCE[[#This Row],[MUEBLE LAVAPLATOS]])</f>
        <v>0</v>
      </c>
      <c r="CQ498" s="3">
        <f>+IF(AVANCE[[#This Row],[IMPERMEABILIZACION BANO - COCINA LOGIA]]=BD$2,100%,AVANCE[[#This Row],[IMPERMEABILIZACION BANO - COCINA LOGIA]])</f>
        <v>0</v>
      </c>
      <c r="CR498" s="40">
        <f ca="1">+IF(AVANCE[[#This Row],[ESTADO MODULO]]="PENDIENTE",(TODAY()-AVANCE[[#This Row],[FECHA TERMINO  PLANIFICADO]]),0)</f>
        <v>0</v>
      </c>
      <c r="CS498" s="42" t="str" cm="1">
        <f t="array" ref="CS498">_xlfn.TEXTJOIN(" | ",TRUE,IF(SUMPRODUCT((BF498:CQ498&lt;1)*(PARTIDAS!$I$2:$AT$2="OBRA GRUESA"))&gt;0,"OBRA GRUESA: "&amp;_xlfn.TEXTJOIN(", ",TRUE,IF((BF498:CQ498&lt;1)*(PARTIDAS!$I$2:$AT$2="OBRA GRUESA"),PARTIDAS!$I$1:$AT$1,"")),""),IF(SUMPRODUCT((BF498:CQ498&lt;1)*(PARTIDAS!$I$2:$AT$2="SANITARIOS"))&gt;0,"SANITARIOS: "&amp;_xlfn.TEXTJOIN(", ",TRUE,IF((BF498:CQ498&lt;1)*(PARTIDAS!$I$2:$AT$2="SANITARIOS"),PARTIDAS!$I$1:$AT$1,"")),""),IF(SUMPRODUCT((BF498:CQ498&lt;1)*(PARTIDAS!$I$2:$AT$2="ELÉCTRICO"))&gt;0,"ELÉCTRICO: "&amp;_xlfn.TEXTJOIN(", ",TRUE,IF((BF498:CQ498&lt;1)*(PARTIDAS!$I$2:$AT$2="ELÉCTRICO"),PARTIDAS!$I$1:$AT$1,"")),""),IF(SUMPRODUCT((BF498:CQ498&lt;1)*(PARTIDAS!$I$2:$AT$2="TERMINACIONES"))&gt;0,"TERMINACIONES: "&amp;_xlfn.TEXTJOIN(", ",TRUE,IF((BF498:CQ498&lt;1)*(PARTIDAS!$I$2:$AT$2="TERMINACIONES"),PARTIDAS!$I$1:$AT$1,"")),""))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8" s="45" t="str" cm="1">
        <f t="array" ref="CT498">_xlfn.TEXTJOIN(", ",TRUE,IF(SUMPRODUCT((BF498:CQ498&lt;1)*(PARTIDAS!$I$2:$AT$2="OBRA GRUESA"))&gt;0,"OBRA GRUESA",""),IF(SUMPRODUCT((BF498:CQ498&lt;1)*(PARTIDAS!$I$2:$AT$2="SANITARIOS"))&gt;0,"SANITARIOS",""),IF(SUMPRODUCT((BF498:CQ498&lt;1)*(PARTIDAS!$I$2:$AT$2="ELÉCTRICO"))&gt;0,"ELÉCTRICO",""),IF(SUMPRODUCT((BF498:CQ498&lt;1)*(PARTIDAS!$I$2:$AT$2="TERMINACIONES"))&gt;0,"TERMINACIONES",""))</f>
        <v>OBRA GRUESA, SANITARIOS, ELÉCTRICO, TERMINACIONES</v>
      </c>
      <c r="CU498" s="46" cm="1">
        <f t="array" ref="CU498">SUMPRODUCT(--(BF498:CQ498&lt;1))</f>
        <v>38</v>
      </c>
    </row>
    <row r="499" spans="1:99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46181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 s="3" t="str">
        <f>+IF(AVANCE[[#This Row],[% AVANCE]]=100%,"MODULO TERMINADO",IF(AVANCE[[#This Row],[FECHA INICIO REAL]]="","MODULO NO INICIADO","PENDIENTE"))</f>
        <v>MODULO NO INICIADO</v>
      </c>
      <c r="BF499" s="3">
        <f>+IF(AVANCE[[#This Row],[VENTANAS]]=8.10810810810811%,100%,AVANCE[[#This Row],[VENTANAS]])</f>
        <v>0</v>
      </c>
      <c r="BG499" s="3">
        <f>+IF(AVANCE[[#This Row],[PISO]]=N$2,100%,AVANCE[[#This Row],[PISO]])</f>
        <v>0</v>
      </c>
      <c r="BH499" s="3">
        <f>+IF(AVANCE[[#This Row],[TABIQUES]]=O$2,100%,AVANCE[[#This Row],[TABIQUES]])</f>
        <v>0</v>
      </c>
      <c r="BI499" s="3">
        <f>+IF(AVANCE[[#This Row],[MUROS]]=P$2,100%,AVANCE[[#This Row],[MUROS]])</f>
        <v>0</v>
      </c>
      <c r="BJ499" s="3">
        <f>+IF(AVANCE[[#This Row],[CIELO]]=Q$2,100%,AVANCE[[#This Row],[CIELO]])</f>
        <v>0</v>
      </c>
      <c r="BK499" s="3">
        <f>+IF(AVANCE[[#This Row],[BALCÓN]]=R$2,100%,AVANCE[[#This Row],[BALCÓN]])</f>
        <v>0</v>
      </c>
      <c r="BL499" s="3">
        <f>+IF(AVANCE[[#This Row],[RED ALCANTARILLADO]]=U$2,100%,AVANCE[[#This Row],[RED ALCANTARILLADO]])</f>
        <v>0</v>
      </c>
      <c r="BM499" s="3">
        <f>+IF(AVANCE[[#This Row],[RED DE AGUA]]=V$2,100%,AVANCE[[#This Row],[RED DE AGUA]])</f>
        <v>0</v>
      </c>
      <c r="BN499" s="3">
        <f>+IF(AVANCE[[#This Row],[VENTILACIONES]]=W$2,100%,AVANCE[[#This Row],[VENTILACIONES]])</f>
        <v>0</v>
      </c>
      <c r="BO499" s="3">
        <f>+IF(AVANCE[[#This Row],[TINA]]=X$2,100%,AVANCE[[#This Row],[TINA]])</f>
        <v>0</v>
      </c>
      <c r="BP499" s="3">
        <f>+IF(AVANCE[[#This Row],[WC]]=Y$2,100%,AVANCE[[#This Row],[WC]])</f>
        <v>0</v>
      </c>
      <c r="BQ499" s="3">
        <f>+IF(AVANCE[[#This Row],[LAVAMANOS / LAVAPLATOS / LAVADERO]]=Z$2,100%,AVANCE[[#This Row],[LAVAMANOS / LAVAPLATOS / LAVADERO]])</f>
        <v>0</v>
      </c>
      <c r="BR499" s="3">
        <f>+IF(AVANCE[[#This Row],[CANALIZACIÓN]]=AC$2,100%,AVANCE[[#This Row],[CANALIZACIÓN]])</f>
        <v>0</v>
      </c>
      <c r="BS499" s="3">
        <f>+IF(AVANCE[[#This Row],[CABLEADO]]=AD$2,100%,AVANCE[[#This Row],[CABLEADO]])</f>
        <v>0</v>
      </c>
      <c r="BT499" s="3">
        <f>+IF(AVANCE[[#This Row],[ARTEFACTOS]]=AE$2,100%,AVANCE[[#This Row],[ARTEFACTOS]])</f>
        <v>0</v>
      </c>
      <c r="BU499" s="3">
        <f>+IF(AVANCE[[#This Row],[TABLERO]]=AF$2,100%,AVANCE[[#This Row],[TABLERO]])</f>
        <v>0</v>
      </c>
      <c r="BV499" s="3">
        <f>+IF(AVANCE[[#This Row],[CAJA PAU]]=AG$2,100%,AVANCE[[#This Row],[CAJA PAU]])</f>
        <v>0</v>
      </c>
      <c r="BW499" s="3">
        <f>+IF(AVANCE[[#This Row],[INSTALACION VINILICO]]=AJ$2,100%,AVANCE[[#This Row],[INSTALACION VINILICO]])</f>
        <v>0</v>
      </c>
      <c r="BX499" s="3">
        <f>+IF(AVANCE[[#This Row],[OSB CUBIERTA]]=AK$2,100%,AVANCE[[#This Row],[OSB CUBIERTA]])</f>
        <v>0</v>
      </c>
      <c r="BY499" s="3">
        <f>+IF(AVANCE[[#This Row],[BARANDA BALCON]]=AL$2,100%,AVANCE[[#This Row],[BARANDA BALCON]])</f>
        <v>0</v>
      </c>
      <c r="BZ499" s="3">
        <f>+IF(AVANCE[[#This Row],[OSB EXTERIOR]]=AM$2,100%,AVANCE[[#This Row],[OSB EXTERIOR]])</f>
        <v>0</v>
      </c>
      <c r="CA499" s="3">
        <f>+IF(AVANCE[[#This Row],[SMART PANEL]]=AN$2,100%,AVANCE[[#This Row],[SMART PANEL]])</f>
        <v>0</v>
      </c>
      <c r="CB499" s="3">
        <f>+IF(AVANCE[[#This Row],[PINTURA EXTERIOR]]=AO$2,100%,AVANCE[[#This Row],[PINTURA EXTERIOR]])</f>
        <v>0</v>
      </c>
      <c r="CC499" s="3">
        <f>+IF(AVANCE[[#This Row],[ZOCALOS LOGIA]]=AP$2,100%,AVANCE[[#This Row],[ZOCALOS LOGIA]])</f>
        <v>0</v>
      </c>
      <c r="CD499" s="3">
        <f>+IF(AVANCE[[#This Row],[MOLDURAS]]=AQ$2,100%,AVANCE[[#This Row],[MOLDURAS]])</f>
        <v>0</v>
      </c>
      <c r="CE499" s="3">
        <f>+IF(AVANCE[[#This Row],[PILASTREO]]=AR$2,100%,AVANCE[[#This Row],[PILASTREO]])</f>
        <v>0</v>
      </c>
      <c r="CF499" s="3">
        <f>+IF(AVANCE[[#This Row],[CELOSIAS]]=AS$2,100%,AVANCE[[#This Row],[CELOSIAS]])</f>
        <v>0</v>
      </c>
      <c r="CG499" s="3">
        <f>+IF(AVANCE[[#This Row],[VENTANAS]]=AT$2,100%,AVANCE[[#This Row],[VENTANAS]])</f>
        <v>0</v>
      </c>
      <c r="CH499" s="3">
        <f>+IF(AVANCE[[#This Row],[PUERTAS ACCESO - LOGIA - BANO]]=AU$2,100%,AVANCE[[#This Row],[PUERTAS ACCESO - LOGIA - BANO]])</f>
        <v>0</v>
      </c>
      <c r="CI499" s="3">
        <f>+IF(AVANCE[[#This Row],[CERRADURAS]]=AV$2,100%,AVANCE[[#This Row],[CERRADURAS]])</f>
        <v>0</v>
      </c>
      <c r="CJ499" s="3">
        <f>+IF(AVANCE[[#This Row],[REVESTIMIENTO INTERIOR ZONA SECA]]=AW$2,100%,AVANCE[[#This Row],[REVESTIMIENTO INTERIOR ZONA SECA]])</f>
        <v>0</v>
      </c>
      <c r="CK499" s="3">
        <f>+IF(AVANCE[[#This Row],[REVESTIMIENTO INTERIOR ZONAS HUMEDAS]]=AX$2,100%,AVANCE[[#This Row],[REVESTIMIENTO INTERIOR ZONAS HUMEDAS]])</f>
        <v>0</v>
      </c>
      <c r="CL499" s="3">
        <f>+IF(AVANCE[[#This Row],[MEMBRANA CIELO]]=AY$2,100%,AVANCE[[#This Row],[MEMBRANA CIELO]])</f>
        <v>0</v>
      </c>
      <c r="CM499" s="3">
        <f>+IF(AVANCE[[#This Row],[LIMPIEZA FINAL]]=AZ$2,100%,AVANCE[[#This Row],[LIMPIEZA FINAL]])</f>
        <v>0</v>
      </c>
      <c r="CN499" s="3">
        <f>+IF(AVANCE[[#This Row],[PUERTAS DORMITORIO]]=BA$2,100%,AVANCE[[#This Row],[PUERTAS DORMITORIO]])</f>
        <v>0</v>
      </c>
      <c r="CO499" s="3">
        <f>+IF(AVANCE[[#This Row],[REVESTIMIENTO INTERIOR BANO]]=BB$2,100%,AVANCE[[#This Row],[REVESTIMIENTO INTERIOR BANO]])</f>
        <v>0</v>
      </c>
      <c r="CP499" s="3">
        <f>+IF(AVANCE[[#This Row],[MUEBLE LAVAPLATOS]]=BC$2,100%,AVANCE[[#This Row],[MUEBLE LAVAPLATOS]])</f>
        <v>0</v>
      </c>
      <c r="CQ499" s="3">
        <f>+IF(AVANCE[[#This Row],[IMPERMEABILIZACION BANO - COCINA LOGIA]]=BD$2,100%,AVANCE[[#This Row],[IMPERMEABILIZACION BANO - COCINA LOGIA]])</f>
        <v>0</v>
      </c>
      <c r="CR499" s="40">
        <f ca="1">+IF(AVANCE[[#This Row],[ESTADO MODULO]]="PENDIENTE",(TODAY()-AVANCE[[#This Row],[FECHA TERMINO  PLANIFICADO]]),0)</f>
        <v>0</v>
      </c>
      <c r="CS499" s="42" t="str" cm="1">
        <f t="array" ref="CS499">_xlfn.TEXTJOIN(" | ",TRUE,IF(SUMPRODUCT((BF499:CQ499&lt;1)*(PARTIDAS!$I$2:$AT$2="OBRA GRUESA"))&gt;0,"OBRA GRUESA: "&amp;_xlfn.TEXTJOIN(", ",TRUE,IF((BF499:CQ499&lt;1)*(PARTIDAS!$I$2:$AT$2="OBRA GRUESA"),PARTIDAS!$I$1:$AT$1,"")),""),IF(SUMPRODUCT((BF499:CQ499&lt;1)*(PARTIDAS!$I$2:$AT$2="SANITARIOS"))&gt;0,"SANITARIOS: "&amp;_xlfn.TEXTJOIN(", ",TRUE,IF((BF499:CQ499&lt;1)*(PARTIDAS!$I$2:$AT$2="SANITARIOS"),PARTIDAS!$I$1:$AT$1,"")),""),IF(SUMPRODUCT((BF499:CQ499&lt;1)*(PARTIDAS!$I$2:$AT$2="ELÉCTRICO"))&gt;0,"ELÉCTRICO: "&amp;_xlfn.TEXTJOIN(", ",TRUE,IF((BF499:CQ499&lt;1)*(PARTIDAS!$I$2:$AT$2="ELÉCTRICO"),PARTIDAS!$I$1:$AT$1,"")),""),IF(SUMPRODUCT((BF499:CQ499&lt;1)*(PARTIDAS!$I$2:$AT$2="TERMINACIONES"))&gt;0,"TERMINACIONES: "&amp;_xlfn.TEXTJOIN(", ",TRUE,IF((BF499:CQ499&lt;1)*(PARTIDAS!$I$2:$AT$2="TERMINACIONES"),PARTIDAS!$I$1:$AT$1,"")),""))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499" s="45" t="str" cm="1">
        <f t="array" ref="CT499">_xlfn.TEXTJOIN(", ",TRUE,IF(SUMPRODUCT((BF499:CQ499&lt;1)*(PARTIDAS!$I$2:$AT$2="OBRA GRUESA"))&gt;0,"OBRA GRUESA",""),IF(SUMPRODUCT((BF499:CQ499&lt;1)*(PARTIDAS!$I$2:$AT$2="SANITARIOS"))&gt;0,"SANITARIOS",""),IF(SUMPRODUCT((BF499:CQ499&lt;1)*(PARTIDAS!$I$2:$AT$2="ELÉCTRICO"))&gt;0,"ELÉCTRICO",""),IF(SUMPRODUCT((BF499:CQ499&lt;1)*(PARTIDAS!$I$2:$AT$2="TERMINACIONES"))&gt;0,"TERMINACIONES",""))</f>
        <v>OBRA GRUESA, SANITARIOS, ELÉCTRICO, TERMINACIONES</v>
      </c>
      <c r="CU499" s="46" cm="1">
        <f t="array" ref="CU499">SUMPRODUCT(--(BF499:CQ499&lt;1))</f>
        <v>38</v>
      </c>
    </row>
    <row r="500" spans="1:99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46181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 s="3" t="str">
        <f>+IF(AVANCE[[#This Row],[% AVANCE]]=100%,"MODULO TERMINADO",IF(AVANCE[[#This Row],[FECHA INICIO REAL]]="","MODULO NO INICIADO","PENDIENTE"))</f>
        <v>MODULO NO INICIADO</v>
      </c>
      <c r="BF500" s="3">
        <f>+IF(AVANCE[[#This Row],[VENTANAS]]=8.10810810810811%,100%,AVANCE[[#This Row],[VENTANAS]])</f>
        <v>0</v>
      </c>
      <c r="BG500" s="3">
        <f>+IF(AVANCE[[#This Row],[PISO]]=N$2,100%,AVANCE[[#This Row],[PISO]])</f>
        <v>0</v>
      </c>
      <c r="BH500" s="3">
        <f>+IF(AVANCE[[#This Row],[TABIQUES]]=O$2,100%,AVANCE[[#This Row],[TABIQUES]])</f>
        <v>0</v>
      </c>
      <c r="BI500" s="3">
        <f>+IF(AVANCE[[#This Row],[MUROS]]=P$2,100%,AVANCE[[#This Row],[MUROS]])</f>
        <v>0</v>
      </c>
      <c r="BJ500" s="3">
        <f>+IF(AVANCE[[#This Row],[CIELO]]=Q$2,100%,AVANCE[[#This Row],[CIELO]])</f>
        <v>0</v>
      </c>
      <c r="BK500" s="3">
        <f>+IF(AVANCE[[#This Row],[BALCÓN]]=R$2,100%,AVANCE[[#This Row],[BALCÓN]])</f>
        <v>0</v>
      </c>
      <c r="BL500" s="3">
        <f>+IF(AVANCE[[#This Row],[RED ALCANTARILLADO]]=U$2,100%,AVANCE[[#This Row],[RED ALCANTARILLADO]])</f>
        <v>0</v>
      </c>
      <c r="BM500" s="3">
        <f>+IF(AVANCE[[#This Row],[RED DE AGUA]]=V$2,100%,AVANCE[[#This Row],[RED DE AGUA]])</f>
        <v>0</v>
      </c>
      <c r="BN500" s="3">
        <f>+IF(AVANCE[[#This Row],[VENTILACIONES]]=W$2,100%,AVANCE[[#This Row],[VENTILACIONES]])</f>
        <v>0</v>
      </c>
      <c r="BO500" s="3">
        <f>+IF(AVANCE[[#This Row],[TINA]]=X$2,100%,AVANCE[[#This Row],[TINA]])</f>
        <v>0</v>
      </c>
      <c r="BP500" s="3">
        <f>+IF(AVANCE[[#This Row],[WC]]=Y$2,100%,AVANCE[[#This Row],[WC]])</f>
        <v>0</v>
      </c>
      <c r="BQ500" s="3">
        <f>+IF(AVANCE[[#This Row],[LAVAMANOS / LAVAPLATOS / LAVADERO]]=Z$2,100%,AVANCE[[#This Row],[LAVAMANOS / LAVAPLATOS / LAVADERO]])</f>
        <v>0</v>
      </c>
      <c r="BR500" s="3">
        <f>+IF(AVANCE[[#This Row],[CANALIZACIÓN]]=AC$2,100%,AVANCE[[#This Row],[CANALIZACIÓN]])</f>
        <v>0</v>
      </c>
      <c r="BS500" s="3">
        <f>+IF(AVANCE[[#This Row],[CABLEADO]]=AD$2,100%,AVANCE[[#This Row],[CABLEADO]])</f>
        <v>0</v>
      </c>
      <c r="BT500" s="3">
        <f>+IF(AVANCE[[#This Row],[ARTEFACTOS]]=AE$2,100%,AVANCE[[#This Row],[ARTEFACTOS]])</f>
        <v>0</v>
      </c>
      <c r="BU500" s="3">
        <f>+IF(AVANCE[[#This Row],[TABLERO]]=AF$2,100%,AVANCE[[#This Row],[TABLERO]])</f>
        <v>0</v>
      </c>
      <c r="BV500" s="3">
        <f>+IF(AVANCE[[#This Row],[CAJA PAU]]=AG$2,100%,AVANCE[[#This Row],[CAJA PAU]])</f>
        <v>0</v>
      </c>
      <c r="BW500" s="3">
        <f>+IF(AVANCE[[#This Row],[INSTALACION VINILICO]]=AJ$2,100%,AVANCE[[#This Row],[INSTALACION VINILICO]])</f>
        <v>0</v>
      </c>
      <c r="BX500" s="3">
        <f>+IF(AVANCE[[#This Row],[OSB CUBIERTA]]=AK$2,100%,AVANCE[[#This Row],[OSB CUBIERTA]])</f>
        <v>0</v>
      </c>
      <c r="BY500" s="3">
        <f>+IF(AVANCE[[#This Row],[BARANDA BALCON]]=AL$2,100%,AVANCE[[#This Row],[BARANDA BALCON]])</f>
        <v>0</v>
      </c>
      <c r="BZ500" s="3">
        <f>+IF(AVANCE[[#This Row],[OSB EXTERIOR]]=AM$2,100%,AVANCE[[#This Row],[OSB EXTERIOR]])</f>
        <v>0</v>
      </c>
      <c r="CA500" s="3">
        <f>+IF(AVANCE[[#This Row],[SMART PANEL]]=AN$2,100%,AVANCE[[#This Row],[SMART PANEL]])</f>
        <v>0</v>
      </c>
      <c r="CB500" s="3">
        <f>+IF(AVANCE[[#This Row],[PINTURA EXTERIOR]]=AO$2,100%,AVANCE[[#This Row],[PINTURA EXTERIOR]])</f>
        <v>0</v>
      </c>
      <c r="CC500" s="3">
        <f>+IF(AVANCE[[#This Row],[ZOCALOS LOGIA]]=AP$2,100%,AVANCE[[#This Row],[ZOCALOS LOGIA]])</f>
        <v>0</v>
      </c>
      <c r="CD500" s="3">
        <f>+IF(AVANCE[[#This Row],[MOLDURAS]]=AQ$2,100%,AVANCE[[#This Row],[MOLDURAS]])</f>
        <v>0</v>
      </c>
      <c r="CE500" s="3">
        <f>+IF(AVANCE[[#This Row],[PILASTREO]]=AR$2,100%,AVANCE[[#This Row],[PILASTREO]])</f>
        <v>0</v>
      </c>
      <c r="CF500" s="3">
        <f>+IF(AVANCE[[#This Row],[CELOSIAS]]=AS$2,100%,AVANCE[[#This Row],[CELOSIAS]])</f>
        <v>0</v>
      </c>
      <c r="CG500" s="3">
        <f>+IF(AVANCE[[#This Row],[VENTANAS]]=AT$2,100%,AVANCE[[#This Row],[VENTANAS]])</f>
        <v>0</v>
      </c>
      <c r="CH500" s="3">
        <f>+IF(AVANCE[[#This Row],[PUERTAS ACCESO - LOGIA - BANO]]=AU$2,100%,AVANCE[[#This Row],[PUERTAS ACCESO - LOGIA - BANO]])</f>
        <v>0</v>
      </c>
      <c r="CI500" s="3">
        <f>+IF(AVANCE[[#This Row],[CERRADURAS]]=AV$2,100%,AVANCE[[#This Row],[CERRADURAS]])</f>
        <v>0</v>
      </c>
      <c r="CJ500" s="3">
        <f>+IF(AVANCE[[#This Row],[REVESTIMIENTO INTERIOR ZONA SECA]]=AW$2,100%,AVANCE[[#This Row],[REVESTIMIENTO INTERIOR ZONA SECA]])</f>
        <v>0</v>
      </c>
      <c r="CK500" s="3">
        <f>+IF(AVANCE[[#This Row],[REVESTIMIENTO INTERIOR ZONAS HUMEDAS]]=AX$2,100%,AVANCE[[#This Row],[REVESTIMIENTO INTERIOR ZONAS HUMEDAS]])</f>
        <v>0</v>
      </c>
      <c r="CL500" s="3">
        <f>+IF(AVANCE[[#This Row],[MEMBRANA CIELO]]=AY$2,100%,AVANCE[[#This Row],[MEMBRANA CIELO]])</f>
        <v>0</v>
      </c>
      <c r="CM500" s="3">
        <f>+IF(AVANCE[[#This Row],[LIMPIEZA FINAL]]=AZ$2,100%,AVANCE[[#This Row],[LIMPIEZA FINAL]])</f>
        <v>0</v>
      </c>
      <c r="CN500" s="3">
        <f>+IF(AVANCE[[#This Row],[PUERTAS DORMITORIO]]=BA$2,100%,AVANCE[[#This Row],[PUERTAS DORMITORIO]])</f>
        <v>0</v>
      </c>
      <c r="CO500" s="3">
        <f>+IF(AVANCE[[#This Row],[REVESTIMIENTO INTERIOR BANO]]=BB$2,100%,AVANCE[[#This Row],[REVESTIMIENTO INTERIOR BANO]])</f>
        <v>0</v>
      </c>
      <c r="CP500" s="3">
        <f>+IF(AVANCE[[#This Row],[MUEBLE LAVAPLATOS]]=BC$2,100%,AVANCE[[#This Row],[MUEBLE LAVAPLATOS]])</f>
        <v>0</v>
      </c>
      <c r="CQ500" s="3">
        <f>+IF(AVANCE[[#This Row],[IMPERMEABILIZACION BANO - COCINA LOGIA]]=BD$2,100%,AVANCE[[#This Row],[IMPERMEABILIZACION BANO - COCINA LOGIA]])</f>
        <v>0</v>
      </c>
      <c r="CR500" s="40">
        <f ca="1">+IF(AVANCE[[#This Row],[ESTADO MODULO]]="PENDIENTE",(TODAY()-AVANCE[[#This Row],[FECHA TERMINO  PLANIFICADO]]),0)</f>
        <v>0</v>
      </c>
      <c r="CS500" s="42" t="str" cm="1">
        <f t="array" ref="CS500">_xlfn.TEXTJOIN(" | ",TRUE,IF(SUMPRODUCT((BF500:CQ500&lt;1)*(PARTIDAS!$I$2:$AT$2="OBRA GRUESA"))&gt;0,"OBRA GRUESA: "&amp;_xlfn.TEXTJOIN(", ",TRUE,IF((BF500:CQ500&lt;1)*(PARTIDAS!$I$2:$AT$2="OBRA GRUESA"),PARTIDAS!$I$1:$AT$1,"")),""),IF(SUMPRODUCT((BF500:CQ500&lt;1)*(PARTIDAS!$I$2:$AT$2="SANITARIOS"))&gt;0,"SANITARIOS: "&amp;_xlfn.TEXTJOIN(", ",TRUE,IF((BF500:CQ500&lt;1)*(PARTIDAS!$I$2:$AT$2="SANITARIOS"),PARTIDAS!$I$1:$AT$1,"")),""),IF(SUMPRODUCT((BF500:CQ500&lt;1)*(PARTIDAS!$I$2:$AT$2="ELÉCTRICO"))&gt;0,"ELÉCTRICO: "&amp;_xlfn.TEXTJOIN(", ",TRUE,IF((BF500:CQ500&lt;1)*(PARTIDAS!$I$2:$AT$2="ELÉCTRICO"),PARTIDAS!$I$1:$AT$1,"")),""),IF(SUMPRODUCT((BF500:CQ500&lt;1)*(PARTIDAS!$I$2:$AT$2="TERMINACIONES"))&gt;0,"TERMINACIONES: "&amp;_xlfn.TEXTJOIN(", ",TRUE,IF((BF500:CQ500&lt;1)*(PARTIDAS!$I$2:$AT$2="TERMINACIONES"),PARTIDAS!$I$1:$AT$1,"")),""))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0" s="45" t="str" cm="1">
        <f t="array" ref="CT500">_xlfn.TEXTJOIN(", ",TRUE,IF(SUMPRODUCT((BF500:CQ500&lt;1)*(PARTIDAS!$I$2:$AT$2="OBRA GRUESA"))&gt;0,"OBRA GRUESA",""),IF(SUMPRODUCT((BF500:CQ500&lt;1)*(PARTIDAS!$I$2:$AT$2="SANITARIOS"))&gt;0,"SANITARIOS",""),IF(SUMPRODUCT((BF500:CQ500&lt;1)*(PARTIDAS!$I$2:$AT$2="ELÉCTRICO"))&gt;0,"ELÉCTRICO",""),IF(SUMPRODUCT((BF500:CQ500&lt;1)*(PARTIDAS!$I$2:$AT$2="TERMINACIONES"))&gt;0,"TERMINACIONES",""))</f>
        <v>OBRA GRUESA, SANITARIOS, ELÉCTRICO, TERMINACIONES</v>
      </c>
      <c r="CU500" s="46" cm="1">
        <f t="array" ref="CU500">SUMPRODUCT(--(BF500:CQ500&lt;1))</f>
        <v>38</v>
      </c>
    </row>
    <row r="501" spans="1:99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46181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 s="3" t="str">
        <f>+IF(AVANCE[[#This Row],[% AVANCE]]=100%,"MODULO TERMINADO",IF(AVANCE[[#This Row],[FECHA INICIO REAL]]="","MODULO NO INICIADO","PENDIENTE"))</f>
        <v>MODULO NO INICIADO</v>
      </c>
      <c r="BF501" s="3">
        <f>+IF(AVANCE[[#This Row],[VENTANAS]]=8.10810810810811%,100%,AVANCE[[#This Row],[VENTANAS]])</f>
        <v>0</v>
      </c>
      <c r="BG501" s="3">
        <f>+IF(AVANCE[[#This Row],[PISO]]=N$2,100%,AVANCE[[#This Row],[PISO]])</f>
        <v>0</v>
      </c>
      <c r="BH501" s="3">
        <f>+IF(AVANCE[[#This Row],[TABIQUES]]=O$2,100%,AVANCE[[#This Row],[TABIQUES]])</f>
        <v>0</v>
      </c>
      <c r="BI501" s="3">
        <f>+IF(AVANCE[[#This Row],[MUROS]]=P$2,100%,AVANCE[[#This Row],[MUROS]])</f>
        <v>0</v>
      </c>
      <c r="BJ501" s="3">
        <f>+IF(AVANCE[[#This Row],[CIELO]]=Q$2,100%,AVANCE[[#This Row],[CIELO]])</f>
        <v>0</v>
      </c>
      <c r="BK501" s="3">
        <f>+IF(AVANCE[[#This Row],[BALCÓN]]=R$2,100%,AVANCE[[#This Row],[BALCÓN]])</f>
        <v>0</v>
      </c>
      <c r="BL501" s="3">
        <f>+IF(AVANCE[[#This Row],[RED ALCANTARILLADO]]=U$2,100%,AVANCE[[#This Row],[RED ALCANTARILLADO]])</f>
        <v>0</v>
      </c>
      <c r="BM501" s="3">
        <f>+IF(AVANCE[[#This Row],[RED DE AGUA]]=V$2,100%,AVANCE[[#This Row],[RED DE AGUA]])</f>
        <v>0</v>
      </c>
      <c r="BN501" s="3">
        <f>+IF(AVANCE[[#This Row],[VENTILACIONES]]=W$2,100%,AVANCE[[#This Row],[VENTILACIONES]])</f>
        <v>0</v>
      </c>
      <c r="BO501" s="3">
        <f>+IF(AVANCE[[#This Row],[TINA]]=X$2,100%,AVANCE[[#This Row],[TINA]])</f>
        <v>0</v>
      </c>
      <c r="BP501" s="3">
        <f>+IF(AVANCE[[#This Row],[WC]]=Y$2,100%,AVANCE[[#This Row],[WC]])</f>
        <v>0</v>
      </c>
      <c r="BQ501" s="3">
        <f>+IF(AVANCE[[#This Row],[LAVAMANOS / LAVAPLATOS / LAVADERO]]=Z$2,100%,AVANCE[[#This Row],[LAVAMANOS / LAVAPLATOS / LAVADERO]])</f>
        <v>0</v>
      </c>
      <c r="BR501" s="3">
        <f>+IF(AVANCE[[#This Row],[CANALIZACIÓN]]=AC$2,100%,AVANCE[[#This Row],[CANALIZACIÓN]])</f>
        <v>0</v>
      </c>
      <c r="BS501" s="3">
        <f>+IF(AVANCE[[#This Row],[CABLEADO]]=AD$2,100%,AVANCE[[#This Row],[CABLEADO]])</f>
        <v>0</v>
      </c>
      <c r="BT501" s="3">
        <f>+IF(AVANCE[[#This Row],[ARTEFACTOS]]=AE$2,100%,AVANCE[[#This Row],[ARTEFACTOS]])</f>
        <v>0</v>
      </c>
      <c r="BU501" s="3">
        <f>+IF(AVANCE[[#This Row],[TABLERO]]=AF$2,100%,AVANCE[[#This Row],[TABLERO]])</f>
        <v>0</v>
      </c>
      <c r="BV501" s="3">
        <f>+IF(AVANCE[[#This Row],[CAJA PAU]]=AG$2,100%,AVANCE[[#This Row],[CAJA PAU]])</f>
        <v>0</v>
      </c>
      <c r="BW501" s="3">
        <f>+IF(AVANCE[[#This Row],[INSTALACION VINILICO]]=AJ$2,100%,AVANCE[[#This Row],[INSTALACION VINILICO]])</f>
        <v>0</v>
      </c>
      <c r="BX501" s="3">
        <f>+IF(AVANCE[[#This Row],[OSB CUBIERTA]]=AK$2,100%,AVANCE[[#This Row],[OSB CUBIERTA]])</f>
        <v>0</v>
      </c>
      <c r="BY501" s="3">
        <f>+IF(AVANCE[[#This Row],[BARANDA BALCON]]=AL$2,100%,AVANCE[[#This Row],[BARANDA BALCON]])</f>
        <v>0</v>
      </c>
      <c r="BZ501" s="3">
        <f>+IF(AVANCE[[#This Row],[OSB EXTERIOR]]=AM$2,100%,AVANCE[[#This Row],[OSB EXTERIOR]])</f>
        <v>0</v>
      </c>
      <c r="CA501" s="3">
        <f>+IF(AVANCE[[#This Row],[SMART PANEL]]=AN$2,100%,AVANCE[[#This Row],[SMART PANEL]])</f>
        <v>0</v>
      </c>
      <c r="CB501" s="3">
        <f>+IF(AVANCE[[#This Row],[PINTURA EXTERIOR]]=AO$2,100%,AVANCE[[#This Row],[PINTURA EXTERIOR]])</f>
        <v>0</v>
      </c>
      <c r="CC501" s="3">
        <f>+IF(AVANCE[[#This Row],[ZOCALOS LOGIA]]=AP$2,100%,AVANCE[[#This Row],[ZOCALOS LOGIA]])</f>
        <v>0</v>
      </c>
      <c r="CD501" s="3">
        <f>+IF(AVANCE[[#This Row],[MOLDURAS]]=AQ$2,100%,AVANCE[[#This Row],[MOLDURAS]])</f>
        <v>0</v>
      </c>
      <c r="CE501" s="3">
        <f>+IF(AVANCE[[#This Row],[PILASTREO]]=AR$2,100%,AVANCE[[#This Row],[PILASTREO]])</f>
        <v>0</v>
      </c>
      <c r="CF501" s="3">
        <f>+IF(AVANCE[[#This Row],[CELOSIAS]]=AS$2,100%,AVANCE[[#This Row],[CELOSIAS]])</f>
        <v>0</v>
      </c>
      <c r="CG501" s="3">
        <f>+IF(AVANCE[[#This Row],[VENTANAS]]=AT$2,100%,AVANCE[[#This Row],[VENTANAS]])</f>
        <v>0</v>
      </c>
      <c r="CH501" s="3">
        <f>+IF(AVANCE[[#This Row],[PUERTAS ACCESO - LOGIA - BANO]]=AU$2,100%,AVANCE[[#This Row],[PUERTAS ACCESO - LOGIA - BANO]])</f>
        <v>0</v>
      </c>
      <c r="CI501" s="3">
        <f>+IF(AVANCE[[#This Row],[CERRADURAS]]=AV$2,100%,AVANCE[[#This Row],[CERRADURAS]])</f>
        <v>0</v>
      </c>
      <c r="CJ501" s="3">
        <f>+IF(AVANCE[[#This Row],[REVESTIMIENTO INTERIOR ZONA SECA]]=AW$2,100%,AVANCE[[#This Row],[REVESTIMIENTO INTERIOR ZONA SECA]])</f>
        <v>0</v>
      </c>
      <c r="CK501" s="3">
        <f>+IF(AVANCE[[#This Row],[REVESTIMIENTO INTERIOR ZONAS HUMEDAS]]=AX$2,100%,AVANCE[[#This Row],[REVESTIMIENTO INTERIOR ZONAS HUMEDAS]])</f>
        <v>0</v>
      </c>
      <c r="CL501" s="3">
        <f>+IF(AVANCE[[#This Row],[MEMBRANA CIELO]]=AY$2,100%,AVANCE[[#This Row],[MEMBRANA CIELO]])</f>
        <v>0</v>
      </c>
      <c r="CM501" s="3">
        <f>+IF(AVANCE[[#This Row],[LIMPIEZA FINAL]]=AZ$2,100%,AVANCE[[#This Row],[LIMPIEZA FINAL]])</f>
        <v>0</v>
      </c>
      <c r="CN501" s="3">
        <f>+IF(AVANCE[[#This Row],[PUERTAS DORMITORIO]]=BA$2,100%,AVANCE[[#This Row],[PUERTAS DORMITORIO]])</f>
        <v>0</v>
      </c>
      <c r="CO501" s="3">
        <f>+IF(AVANCE[[#This Row],[REVESTIMIENTO INTERIOR BANO]]=BB$2,100%,AVANCE[[#This Row],[REVESTIMIENTO INTERIOR BANO]])</f>
        <v>0</v>
      </c>
      <c r="CP501" s="3">
        <f>+IF(AVANCE[[#This Row],[MUEBLE LAVAPLATOS]]=BC$2,100%,AVANCE[[#This Row],[MUEBLE LAVAPLATOS]])</f>
        <v>0</v>
      </c>
      <c r="CQ501" s="3">
        <f>+IF(AVANCE[[#This Row],[IMPERMEABILIZACION BANO - COCINA LOGIA]]=BD$2,100%,AVANCE[[#This Row],[IMPERMEABILIZACION BANO - COCINA LOGIA]])</f>
        <v>0</v>
      </c>
      <c r="CR501" s="40">
        <f ca="1">+IF(AVANCE[[#This Row],[ESTADO MODULO]]="PENDIENTE",(TODAY()-AVANCE[[#This Row],[FECHA TERMINO  PLANIFICADO]]),0)</f>
        <v>0</v>
      </c>
      <c r="CS501" s="42" t="str" cm="1">
        <f t="array" ref="CS501">_xlfn.TEXTJOIN(" | ",TRUE,IF(SUMPRODUCT((BF501:CQ501&lt;1)*(PARTIDAS!$I$2:$AT$2="OBRA GRUESA"))&gt;0,"OBRA GRUESA: "&amp;_xlfn.TEXTJOIN(", ",TRUE,IF((BF501:CQ501&lt;1)*(PARTIDAS!$I$2:$AT$2="OBRA GRUESA"),PARTIDAS!$I$1:$AT$1,"")),""),IF(SUMPRODUCT((BF501:CQ501&lt;1)*(PARTIDAS!$I$2:$AT$2="SANITARIOS"))&gt;0,"SANITARIOS: "&amp;_xlfn.TEXTJOIN(", ",TRUE,IF((BF501:CQ501&lt;1)*(PARTIDAS!$I$2:$AT$2="SANITARIOS"),PARTIDAS!$I$1:$AT$1,"")),""),IF(SUMPRODUCT((BF501:CQ501&lt;1)*(PARTIDAS!$I$2:$AT$2="ELÉCTRICO"))&gt;0,"ELÉCTRICO: "&amp;_xlfn.TEXTJOIN(", ",TRUE,IF((BF501:CQ501&lt;1)*(PARTIDAS!$I$2:$AT$2="ELÉCTRICO"),PARTIDAS!$I$1:$AT$1,"")),""),IF(SUMPRODUCT((BF501:CQ501&lt;1)*(PARTIDAS!$I$2:$AT$2="TERMINACIONES"))&gt;0,"TERMINACIONES: "&amp;_xlfn.TEXTJOIN(", ",TRUE,IF((BF501:CQ501&lt;1)*(PARTIDAS!$I$2:$AT$2="TERMINACIONES"),PARTIDAS!$I$1:$AT$1,"")),""))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1" s="45" t="str" cm="1">
        <f t="array" ref="CT501">_xlfn.TEXTJOIN(", ",TRUE,IF(SUMPRODUCT((BF501:CQ501&lt;1)*(PARTIDAS!$I$2:$AT$2="OBRA GRUESA"))&gt;0,"OBRA GRUESA",""),IF(SUMPRODUCT((BF501:CQ501&lt;1)*(PARTIDAS!$I$2:$AT$2="SANITARIOS"))&gt;0,"SANITARIOS",""),IF(SUMPRODUCT((BF501:CQ501&lt;1)*(PARTIDAS!$I$2:$AT$2="ELÉCTRICO"))&gt;0,"ELÉCTRICO",""),IF(SUMPRODUCT((BF501:CQ501&lt;1)*(PARTIDAS!$I$2:$AT$2="TERMINACIONES"))&gt;0,"TERMINACIONES",""))</f>
        <v>OBRA GRUESA, SANITARIOS, ELÉCTRICO, TERMINACIONES</v>
      </c>
      <c r="CU501" s="46" cm="1">
        <f t="array" ref="CU501">SUMPRODUCT(--(BF501:CQ501&lt;1))</f>
        <v>38</v>
      </c>
    </row>
    <row r="502" spans="1:99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46181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 s="3" t="str">
        <f>+IF(AVANCE[[#This Row],[% AVANCE]]=100%,"MODULO TERMINADO",IF(AVANCE[[#This Row],[FECHA INICIO REAL]]="","MODULO NO INICIADO","PENDIENTE"))</f>
        <v>MODULO NO INICIADO</v>
      </c>
      <c r="BF502" s="3">
        <f>+IF(AVANCE[[#This Row],[VENTANAS]]=8.10810810810811%,100%,AVANCE[[#This Row],[VENTANAS]])</f>
        <v>0</v>
      </c>
      <c r="BG502" s="3">
        <f>+IF(AVANCE[[#This Row],[PISO]]=N$2,100%,AVANCE[[#This Row],[PISO]])</f>
        <v>0</v>
      </c>
      <c r="BH502" s="3">
        <f>+IF(AVANCE[[#This Row],[TABIQUES]]=O$2,100%,AVANCE[[#This Row],[TABIQUES]])</f>
        <v>0</v>
      </c>
      <c r="BI502" s="3">
        <f>+IF(AVANCE[[#This Row],[MUROS]]=P$2,100%,AVANCE[[#This Row],[MUROS]])</f>
        <v>0</v>
      </c>
      <c r="BJ502" s="3">
        <f>+IF(AVANCE[[#This Row],[CIELO]]=Q$2,100%,AVANCE[[#This Row],[CIELO]])</f>
        <v>0</v>
      </c>
      <c r="BK502" s="3">
        <f>+IF(AVANCE[[#This Row],[BALCÓN]]=R$2,100%,AVANCE[[#This Row],[BALCÓN]])</f>
        <v>0</v>
      </c>
      <c r="BL502" s="3">
        <f>+IF(AVANCE[[#This Row],[RED ALCANTARILLADO]]=U$2,100%,AVANCE[[#This Row],[RED ALCANTARILLADO]])</f>
        <v>0</v>
      </c>
      <c r="BM502" s="3">
        <f>+IF(AVANCE[[#This Row],[RED DE AGUA]]=V$2,100%,AVANCE[[#This Row],[RED DE AGUA]])</f>
        <v>0</v>
      </c>
      <c r="BN502" s="3">
        <f>+IF(AVANCE[[#This Row],[VENTILACIONES]]=W$2,100%,AVANCE[[#This Row],[VENTILACIONES]])</f>
        <v>0</v>
      </c>
      <c r="BO502" s="3">
        <f>+IF(AVANCE[[#This Row],[TINA]]=X$2,100%,AVANCE[[#This Row],[TINA]])</f>
        <v>0</v>
      </c>
      <c r="BP502" s="3">
        <f>+IF(AVANCE[[#This Row],[WC]]=Y$2,100%,AVANCE[[#This Row],[WC]])</f>
        <v>0</v>
      </c>
      <c r="BQ502" s="3">
        <f>+IF(AVANCE[[#This Row],[LAVAMANOS / LAVAPLATOS / LAVADERO]]=Z$2,100%,AVANCE[[#This Row],[LAVAMANOS / LAVAPLATOS / LAVADERO]])</f>
        <v>0</v>
      </c>
      <c r="BR502" s="3">
        <f>+IF(AVANCE[[#This Row],[CANALIZACIÓN]]=AC$2,100%,AVANCE[[#This Row],[CANALIZACIÓN]])</f>
        <v>0</v>
      </c>
      <c r="BS502" s="3">
        <f>+IF(AVANCE[[#This Row],[CABLEADO]]=AD$2,100%,AVANCE[[#This Row],[CABLEADO]])</f>
        <v>0</v>
      </c>
      <c r="BT502" s="3">
        <f>+IF(AVANCE[[#This Row],[ARTEFACTOS]]=AE$2,100%,AVANCE[[#This Row],[ARTEFACTOS]])</f>
        <v>0</v>
      </c>
      <c r="BU502" s="3">
        <f>+IF(AVANCE[[#This Row],[TABLERO]]=AF$2,100%,AVANCE[[#This Row],[TABLERO]])</f>
        <v>0</v>
      </c>
      <c r="BV502" s="3">
        <f>+IF(AVANCE[[#This Row],[CAJA PAU]]=AG$2,100%,AVANCE[[#This Row],[CAJA PAU]])</f>
        <v>0</v>
      </c>
      <c r="BW502" s="3">
        <f>+IF(AVANCE[[#This Row],[INSTALACION VINILICO]]=AJ$2,100%,AVANCE[[#This Row],[INSTALACION VINILICO]])</f>
        <v>0</v>
      </c>
      <c r="BX502" s="3">
        <f>+IF(AVANCE[[#This Row],[OSB CUBIERTA]]=AK$2,100%,AVANCE[[#This Row],[OSB CUBIERTA]])</f>
        <v>0</v>
      </c>
      <c r="BY502" s="3">
        <f>+IF(AVANCE[[#This Row],[BARANDA BALCON]]=AL$2,100%,AVANCE[[#This Row],[BARANDA BALCON]])</f>
        <v>0</v>
      </c>
      <c r="BZ502" s="3">
        <f>+IF(AVANCE[[#This Row],[OSB EXTERIOR]]=AM$2,100%,AVANCE[[#This Row],[OSB EXTERIOR]])</f>
        <v>0</v>
      </c>
      <c r="CA502" s="3">
        <f>+IF(AVANCE[[#This Row],[SMART PANEL]]=AN$2,100%,AVANCE[[#This Row],[SMART PANEL]])</f>
        <v>0</v>
      </c>
      <c r="CB502" s="3">
        <f>+IF(AVANCE[[#This Row],[PINTURA EXTERIOR]]=AO$2,100%,AVANCE[[#This Row],[PINTURA EXTERIOR]])</f>
        <v>0</v>
      </c>
      <c r="CC502" s="3">
        <f>+IF(AVANCE[[#This Row],[ZOCALOS LOGIA]]=AP$2,100%,AVANCE[[#This Row],[ZOCALOS LOGIA]])</f>
        <v>0</v>
      </c>
      <c r="CD502" s="3">
        <f>+IF(AVANCE[[#This Row],[MOLDURAS]]=AQ$2,100%,AVANCE[[#This Row],[MOLDURAS]])</f>
        <v>0</v>
      </c>
      <c r="CE502" s="3">
        <f>+IF(AVANCE[[#This Row],[PILASTREO]]=AR$2,100%,AVANCE[[#This Row],[PILASTREO]])</f>
        <v>0</v>
      </c>
      <c r="CF502" s="3">
        <f>+IF(AVANCE[[#This Row],[CELOSIAS]]=AS$2,100%,AVANCE[[#This Row],[CELOSIAS]])</f>
        <v>0</v>
      </c>
      <c r="CG502" s="3">
        <f>+IF(AVANCE[[#This Row],[VENTANAS]]=AT$2,100%,AVANCE[[#This Row],[VENTANAS]])</f>
        <v>0</v>
      </c>
      <c r="CH502" s="3">
        <f>+IF(AVANCE[[#This Row],[PUERTAS ACCESO - LOGIA - BANO]]=AU$2,100%,AVANCE[[#This Row],[PUERTAS ACCESO - LOGIA - BANO]])</f>
        <v>0</v>
      </c>
      <c r="CI502" s="3">
        <f>+IF(AVANCE[[#This Row],[CERRADURAS]]=AV$2,100%,AVANCE[[#This Row],[CERRADURAS]])</f>
        <v>0</v>
      </c>
      <c r="CJ502" s="3">
        <f>+IF(AVANCE[[#This Row],[REVESTIMIENTO INTERIOR ZONA SECA]]=AW$2,100%,AVANCE[[#This Row],[REVESTIMIENTO INTERIOR ZONA SECA]])</f>
        <v>0</v>
      </c>
      <c r="CK502" s="3">
        <f>+IF(AVANCE[[#This Row],[REVESTIMIENTO INTERIOR ZONAS HUMEDAS]]=AX$2,100%,AVANCE[[#This Row],[REVESTIMIENTO INTERIOR ZONAS HUMEDAS]])</f>
        <v>0</v>
      </c>
      <c r="CL502" s="3">
        <f>+IF(AVANCE[[#This Row],[MEMBRANA CIELO]]=AY$2,100%,AVANCE[[#This Row],[MEMBRANA CIELO]])</f>
        <v>0</v>
      </c>
      <c r="CM502" s="3">
        <f>+IF(AVANCE[[#This Row],[LIMPIEZA FINAL]]=AZ$2,100%,AVANCE[[#This Row],[LIMPIEZA FINAL]])</f>
        <v>0</v>
      </c>
      <c r="CN502" s="3">
        <f>+IF(AVANCE[[#This Row],[PUERTAS DORMITORIO]]=BA$2,100%,AVANCE[[#This Row],[PUERTAS DORMITORIO]])</f>
        <v>0</v>
      </c>
      <c r="CO502" s="3">
        <f>+IF(AVANCE[[#This Row],[REVESTIMIENTO INTERIOR BANO]]=BB$2,100%,AVANCE[[#This Row],[REVESTIMIENTO INTERIOR BANO]])</f>
        <v>0</v>
      </c>
      <c r="CP502" s="3">
        <f>+IF(AVANCE[[#This Row],[MUEBLE LAVAPLATOS]]=BC$2,100%,AVANCE[[#This Row],[MUEBLE LAVAPLATOS]])</f>
        <v>0</v>
      </c>
      <c r="CQ502" s="3">
        <f>+IF(AVANCE[[#This Row],[IMPERMEABILIZACION BANO - COCINA LOGIA]]=BD$2,100%,AVANCE[[#This Row],[IMPERMEABILIZACION BANO - COCINA LOGIA]])</f>
        <v>0</v>
      </c>
      <c r="CR502" s="40">
        <f ca="1">+IF(AVANCE[[#This Row],[ESTADO MODULO]]="PENDIENTE",(TODAY()-AVANCE[[#This Row],[FECHA TERMINO  PLANIFICADO]]),0)</f>
        <v>0</v>
      </c>
      <c r="CS502" s="42" t="str" cm="1">
        <f t="array" ref="CS502">_xlfn.TEXTJOIN(" | ",TRUE,IF(SUMPRODUCT((BF502:CQ502&lt;1)*(PARTIDAS!$I$2:$AT$2="OBRA GRUESA"))&gt;0,"OBRA GRUESA: "&amp;_xlfn.TEXTJOIN(", ",TRUE,IF((BF502:CQ502&lt;1)*(PARTIDAS!$I$2:$AT$2="OBRA GRUESA"),PARTIDAS!$I$1:$AT$1,"")),""),IF(SUMPRODUCT((BF502:CQ502&lt;1)*(PARTIDAS!$I$2:$AT$2="SANITARIOS"))&gt;0,"SANITARIOS: "&amp;_xlfn.TEXTJOIN(", ",TRUE,IF((BF502:CQ502&lt;1)*(PARTIDAS!$I$2:$AT$2="SANITARIOS"),PARTIDAS!$I$1:$AT$1,"")),""),IF(SUMPRODUCT((BF502:CQ502&lt;1)*(PARTIDAS!$I$2:$AT$2="ELÉCTRICO"))&gt;0,"ELÉCTRICO: "&amp;_xlfn.TEXTJOIN(", ",TRUE,IF((BF502:CQ502&lt;1)*(PARTIDAS!$I$2:$AT$2="ELÉCTRICO"),PARTIDAS!$I$1:$AT$1,"")),""),IF(SUMPRODUCT((BF502:CQ502&lt;1)*(PARTIDAS!$I$2:$AT$2="TERMINACIONES"))&gt;0,"TERMINACIONES: "&amp;_xlfn.TEXTJOIN(", ",TRUE,IF((BF502:CQ502&lt;1)*(PARTIDAS!$I$2:$AT$2="TERMINACIONES"),PARTIDAS!$I$1:$AT$1,"")),""))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2" s="45" t="str" cm="1">
        <f t="array" ref="CT502">_xlfn.TEXTJOIN(", ",TRUE,IF(SUMPRODUCT((BF502:CQ502&lt;1)*(PARTIDAS!$I$2:$AT$2="OBRA GRUESA"))&gt;0,"OBRA GRUESA",""),IF(SUMPRODUCT((BF502:CQ502&lt;1)*(PARTIDAS!$I$2:$AT$2="SANITARIOS"))&gt;0,"SANITARIOS",""),IF(SUMPRODUCT((BF502:CQ502&lt;1)*(PARTIDAS!$I$2:$AT$2="ELÉCTRICO"))&gt;0,"ELÉCTRICO",""),IF(SUMPRODUCT((BF502:CQ502&lt;1)*(PARTIDAS!$I$2:$AT$2="TERMINACIONES"))&gt;0,"TERMINACIONES",""))</f>
        <v>OBRA GRUESA, SANITARIOS, ELÉCTRICO, TERMINACIONES</v>
      </c>
      <c r="CU502" s="46" cm="1">
        <f t="array" ref="CU502">SUMPRODUCT(--(BF502:CQ502&lt;1))</f>
        <v>38</v>
      </c>
    </row>
    <row r="503" spans="1:99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46181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 s="3" t="str">
        <f>+IF(AVANCE[[#This Row],[% AVANCE]]=100%,"MODULO TERMINADO",IF(AVANCE[[#This Row],[FECHA INICIO REAL]]="","MODULO NO INICIADO","PENDIENTE"))</f>
        <v>MODULO NO INICIADO</v>
      </c>
      <c r="BF503" s="3">
        <f>+IF(AVANCE[[#This Row],[VENTANAS]]=8.10810810810811%,100%,AVANCE[[#This Row],[VENTANAS]])</f>
        <v>0</v>
      </c>
      <c r="BG503" s="3">
        <f>+IF(AVANCE[[#This Row],[PISO]]=N$2,100%,AVANCE[[#This Row],[PISO]])</f>
        <v>0</v>
      </c>
      <c r="BH503" s="3">
        <f>+IF(AVANCE[[#This Row],[TABIQUES]]=O$2,100%,AVANCE[[#This Row],[TABIQUES]])</f>
        <v>0</v>
      </c>
      <c r="BI503" s="3">
        <f>+IF(AVANCE[[#This Row],[MUROS]]=P$2,100%,AVANCE[[#This Row],[MUROS]])</f>
        <v>0</v>
      </c>
      <c r="BJ503" s="3">
        <f>+IF(AVANCE[[#This Row],[CIELO]]=Q$2,100%,AVANCE[[#This Row],[CIELO]])</f>
        <v>0</v>
      </c>
      <c r="BK503" s="3">
        <f>+IF(AVANCE[[#This Row],[BALCÓN]]=R$2,100%,AVANCE[[#This Row],[BALCÓN]])</f>
        <v>0</v>
      </c>
      <c r="BL503" s="3">
        <f>+IF(AVANCE[[#This Row],[RED ALCANTARILLADO]]=U$2,100%,AVANCE[[#This Row],[RED ALCANTARILLADO]])</f>
        <v>0</v>
      </c>
      <c r="BM503" s="3">
        <f>+IF(AVANCE[[#This Row],[RED DE AGUA]]=V$2,100%,AVANCE[[#This Row],[RED DE AGUA]])</f>
        <v>0</v>
      </c>
      <c r="BN503" s="3">
        <f>+IF(AVANCE[[#This Row],[VENTILACIONES]]=W$2,100%,AVANCE[[#This Row],[VENTILACIONES]])</f>
        <v>0</v>
      </c>
      <c r="BO503" s="3">
        <f>+IF(AVANCE[[#This Row],[TINA]]=X$2,100%,AVANCE[[#This Row],[TINA]])</f>
        <v>0</v>
      </c>
      <c r="BP503" s="3">
        <f>+IF(AVANCE[[#This Row],[WC]]=Y$2,100%,AVANCE[[#This Row],[WC]])</f>
        <v>0</v>
      </c>
      <c r="BQ503" s="3">
        <f>+IF(AVANCE[[#This Row],[LAVAMANOS / LAVAPLATOS / LAVADERO]]=Z$2,100%,AVANCE[[#This Row],[LAVAMANOS / LAVAPLATOS / LAVADERO]])</f>
        <v>0</v>
      </c>
      <c r="BR503" s="3">
        <f>+IF(AVANCE[[#This Row],[CANALIZACIÓN]]=AC$2,100%,AVANCE[[#This Row],[CANALIZACIÓN]])</f>
        <v>0</v>
      </c>
      <c r="BS503" s="3">
        <f>+IF(AVANCE[[#This Row],[CABLEADO]]=AD$2,100%,AVANCE[[#This Row],[CABLEADO]])</f>
        <v>0</v>
      </c>
      <c r="BT503" s="3">
        <f>+IF(AVANCE[[#This Row],[ARTEFACTOS]]=AE$2,100%,AVANCE[[#This Row],[ARTEFACTOS]])</f>
        <v>0</v>
      </c>
      <c r="BU503" s="3">
        <f>+IF(AVANCE[[#This Row],[TABLERO]]=AF$2,100%,AVANCE[[#This Row],[TABLERO]])</f>
        <v>0</v>
      </c>
      <c r="BV503" s="3">
        <f>+IF(AVANCE[[#This Row],[CAJA PAU]]=AG$2,100%,AVANCE[[#This Row],[CAJA PAU]])</f>
        <v>0</v>
      </c>
      <c r="BW503" s="3">
        <f>+IF(AVANCE[[#This Row],[INSTALACION VINILICO]]=AJ$2,100%,AVANCE[[#This Row],[INSTALACION VINILICO]])</f>
        <v>0</v>
      </c>
      <c r="BX503" s="3">
        <f>+IF(AVANCE[[#This Row],[OSB CUBIERTA]]=AK$2,100%,AVANCE[[#This Row],[OSB CUBIERTA]])</f>
        <v>0</v>
      </c>
      <c r="BY503" s="3">
        <f>+IF(AVANCE[[#This Row],[BARANDA BALCON]]=AL$2,100%,AVANCE[[#This Row],[BARANDA BALCON]])</f>
        <v>0</v>
      </c>
      <c r="BZ503" s="3">
        <f>+IF(AVANCE[[#This Row],[OSB EXTERIOR]]=AM$2,100%,AVANCE[[#This Row],[OSB EXTERIOR]])</f>
        <v>0</v>
      </c>
      <c r="CA503" s="3">
        <f>+IF(AVANCE[[#This Row],[SMART PANEL]]=AN$2,100%,AVANCE[[#This Row],[SMART PANEL]])</f>
        <v>0</v>
      </c>
      <c r="CB503" s="3">
        <f>+IF(AVANCE[[#This Row],[PINTURA EXTERIOR]]=AO$2,100%,AVANCE[[#This Row],[PINTURA EXTERIOR]])</f>
        <v>0</v>
      </c>
      <c r="CC503" s="3">
        <f>+IF(AVANCE[[#This Row],[ZOCALOS LOGIA]]=AP$2,100%,AVANCE[[#This Row],[ZOCALOS LOGIA]])</f>
        <v>0</v>
      </c>
      <c r="CD503" s="3">
        <f>+IF(AVANCE[[#This Row],[MOLDURAS]]=AQ$2,100%,AVANCE[[#This Row],[MOLDURAS]])</f>
        <v>0</v>
      </c>
      <c r="CE503" s="3">
        <f>+IF(AVANCE[[#This Row],[PILASTREO]]=AR$2,100%,AVANCE[[#This Row],[PILASTREO]])</f>
        <v>0</v>
      </c>
      <c r="CF503" s="3">
        <f>+IF(AVANCE[[#This Row],[CELOSIAS]]=AS$2,100%,AVANCE[[#This Row],[CELOSIAS]])</f>
        <v>0</v>
      </c>
      <c r="CG503" s="3">
        <f>+IF(AVANCE[[#This Row],[VENTANAS]]=AT$2,100%,AVANCE[[#This Row],[VENTANAS]])</f>
        <v>0</v>
      </c>
      <c r="CH503" s="3">
        <f>+IF(AVANCE[[#This Row],[PUERTAS ACCESO - LOGIA - BANO]]=AU$2,100%,AVANCE[[#This Row],[PUERTAS ACCESO - LOGIA - BANO]])</f>
        <v>0</v>
      </c>
      <c r="CI503" s="3">
        <f>+IF(AVANCE[[#This Row],[CERRADURAS]]=AV$2,100%,AVANCE[[#This Row],[CERRADURAS]])</f>
        <v>0</v>
      </c>
      <c r="CJ503" s="3">
        <f>+IF(AVANCE[[#This Row],[REVESTIMIENTO INTERIOR ZONA SECA]]=AW$2,100%,AVANCE[[#This Row],[REVESTIMIENTO INTERIOR ZONA SECA]])</f>
        <v>0</v>
      </c>
      <c r="CK503" s="3">
        <f>+IF(AVANCE[[#This Row],[REVESTIMIENTO INTERIOR ZONAS HUMEDAS]]=AX$2,100%,AVANCE[[#This Row],[REVESTIMIENTO INTERIOR ZONAS HUMEDAS]])</f>
        <v>0</v>
      </c>
      <c r="CL503" s="3">
        <f>+IF(AVANCE[[#This Row],[MEMBRANA CIELO]]=AY$2,100%,AVANCE[[#This Row],[MEMBRANA CIELO]])</f>
        <v>0</v>
      </c>
      <c r="CM503" s="3">
        <f>+IF(AVANCE[[#This Row],[LIMPIEZA FINAL]]=AZ$2,100%,AVANCE[[#This Row],[LIMPIEZA FINAL]])</f>
        <v>0</v>
      </c>
      <c r="CN503" s="3">
        <f>+IF(AVANCE[[#This Row],[PUERTAS DORMITORIO]]=BA$2,100%,AVANCE[[#This Row],[PUERTAS DORMITORIO]])</f>
        <v>0</v>
      </c>
      <c r="CO503" s="3">
        <f>+IF(AVANCE[[#This Row],[REVESTIMIENTO INTERIOR BANO]]=BB$2,100%,AVANCE[[#This Row],[REVESTIMIENTO INTERIOR BANO]])</f>
        <v>0</v>
      </c>
      <c r="CP503" s="3">
        <f>+IF(AVANCE[[#This Row],[MUEBLE LAVAPLATOS]]=BC$2,100%,AVANCE[[#This Row],[MUEBLE LAVAPLATOS]])</f>
        <v>0</v>
      </c>
      <c r="CQ503" s="3">
        <f>+IF(AVANCE[[#This Row],[IMPERMEABILIZACION BANO - COCINA LOGIA]]=BD$2,100%,AVANCE[[#This Row],[IMPERMEABILIZACION BANO - COCINA LOGIA]])</f>
        <v>0</v>
      </c>
      <c r="CR503" s="40">
        <f ca="1">+IF(AVANCE[[#This Row],[ESTADO MODULO]]="PENDIENTE",(TODAY()-AVANCE[[#This Row],[FECHA TERMINO  PLANIFICADO]]),0)</f>
        <v>0</v>
      </c>
      <c r="CS503" s="42" t="str" cm="1">
        <f t="array" ref="CS503">_xlfn.TEXTJOIN(" | ",TRUE,IF(SUMPRODUCT((BF503:CQ503&lt;1)*(PARTIDAS!$I$2:$AT$2="OBRA GRUESA"))&gt;0,"OBRA GRUESA: "&amp;_xlfn.TEXTJOIN(", ",TRUE,IF((BF503:CQ503&lt;1)*(PARTIDAS!$I$2:$AT$2="OBRA GRUESA"),PARTIDAS!$I$1:$AT$1,"")),""),IF(SUMPRODUCT((BF503:CQ503&lt;1)*(PARTIDAS!$I$2:$AT$2="SANITARIOS"))&gt;0,"SANITARIOS: "&amp;_xlfn.TEXTJOIN(", ",TRUE,IF((BF503:CQ503&lt;1)*(PARTIDAS!$I$2:$AT$2="SANITARIOS"),PARTIDAS!$I$1:$AT$1,"")),""),IF(SUMPRODUCT((BF503:CQ503&lt;1)*(PARTIDAS!$I$2:$AT$2="ELÉCTRICO"))&gt;0,"ELÉCTRICO: "&amp;_xlfn.TEXTJOIN(", ",TRUE,IF((BF503:CQ503&lt;1)*(PARTIDAS!$I$2:$AT$2="ELÉCTRICO"),PARTIDAS!$I$1:$AT$1,"")),""),IF(SUMPRODUCT((BF503:CQ503&lt;1)*(PARTIDAS!$I$2:$AT$2="TERMINACIONES"))&gt;0,"TERMINACIONES: "&amp;_xlfn.TEXTJOIN(", ",TRUE,IF((BF503:CQ503&lt;1)*(PARTIDAS!$I$2:$AT$2="TERMINACIONES"),PARTIDAS!$I$1:$AT$1,"")),""))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3" s="45" t="str" cm="1">
        <f t="array" ref="CT503">_xlfn.TEXTJOIN(", ",TRUE,IF(SUMPRODUCT((BF503:CQ503&lt;1)*(PARTIDAS!$I$2:$AT$2="OBRA GRUESA"))&gt;0,"OBRA GRUESA",""),IF(SUMPRODUCT((BF503:CQ503&lt;1)*(PARTIDAS!$I$2:$AT$2="SANITARIOS"))&gt;0,"SANITARIOS",""),IF(SUMPRODUCT((BF503:CQ503&lt;1)*(PARTIDAS!$I$2:$AT$2="ELÉCTRICO"))&gt;0,"ELÉCTRICO",""),IF(SUMPRODUCT((BF503:CQ503&lt;1)*(PARTIDAS!$I$2:$AT$2="TERMINACIONES"))&gt;0,"TERMINACIONES",""))</f>
        <v>OBRA GRUESA, SANITARIOS, ELÉCTRICO, TERMINACIONES</v>
      </c>
      <c r="CU503" s="46" cm="1">
        <f t="array" ref="CU503">SUMPRODUCT(--(BF503:CQ503&lt;1))</f>
        <v>38</v>
      </c>
    </row>
    <row r="504" spans="1:99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46181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 s="3" t="str">
        <f>+IF(AVANCE[[#This Row],[% AVANCE]]=100%,"MODULO TERMINADO",IF(AVANCE[[#This Row],[FECHA INICIO REAL]]="","MODULO NO INICIADO","PENDIENTE"))</f>
        <v>MODULO NO INICIADO</v>
      </c>
      <c r="BF504" s="3">
        <f>+IF(AVANCE[[#This Row],[VENTANAS]]=8.10810810810811%,100%,AVANCE[[#This Row],[VENTANAS]])</f>
        <v>0</v>
      </c>
      <c r="BG504" s="3">
        <f>+IF(AVANCE[[#This Row],[PISO]]=N$2,100%,AVANCE[[#This Row],[PISO]])</f>
        <v>0</v>
      </c>
      <c r="BH504" s="3">
        <f>+IF(AVANCE[[#This Row],[TABIQUES]]=O$2,100%,AVANCE[[#This Row],[TABIQUES]])</f>
        <v>0</v>
      </c>
      <c r="BI504" s="3">
        <f>+IF(AVANCE[[#This Row],[MUROS]]=P$2,100%,AVANCE[[#This Row],[MUROS]])</f>
        <v>0</v>
      </c>
      <c r="BJ504" s="3">
        <f>+IF(AVANCE[[#This Row],[CIELO]]=Q$2,100%,AVANCE[[#This Row],[CIELO]])</f>
        <v>0</v>
      </c>
      <c r="BK504" s="3">
        <f>+IF(AVANCE[[#This Row],[BALCÓN]]=R$2,100%,AVANCE[[#This Row],[BALCÓN]])</f>
        <v>0</v>
      </c>
      <c r="BL504" s="3">
        <f>+IF(AVANCE[[#This Row],[RED ALCANTARILLADO]]=U$2,100%,AVANCE[[#This Row],[RED ALCANTARILLADO]])</f>
        <v>0</v>
      </c>
      <c r="BM504" s="3">
        <f>+IF(AVANCE[[#This Row],[RED DE AGUA]]=V$2,100%,AVANCE[[#This Row],[RED DE AGUA]])</f>
        <v>0</v>
      </c>
      <c r="BN504" s="3">
        <f>+IF(AVANCE[[#This Row],[VENTILACIONES]]=W$2,100%,AVANCE[[#This Row],[VENTILACIONES]])</f>
        <v>0</v>
      </c>
      <c r="BO504" s="3">
        <f>+IF(AVANCE[[#This Row],[TINA]]=X$2,100%,AVANCE[[#This Row],[TINA]])</f>
        <v>0</v>
      </c>
      <c r="BP504" s="3">
        <f>+IF(AVANCE[[#This Row],[WC]]=Y$2,100%,AVANCE[[#This Row],[WC]])</f>
        <v>0</v>
      </c>
      <c r="BQ504" s="3">
        <f>+IF(AVANCE[[#This Row],[LAVAMANOS / LAVAPLATOS / LAVADERO]]=Z$2,100%,AVANCE[[#This Row],[LAVAMANOS / LAVAPLATOS / LAVADERO]])</f>
        <v>0</v>
      </c>
      <c r="BR504" s="3">
        <f>+IF(AVANCE[[#This Row],[CANALIZACIÓN]]=AC$2,100%,AVANCE[[#This Row],[CANALIZACIÓN]])</f>
        <v>0</v>
      </c>
      <c r="BS504" s="3">
        <f>+IF(AVANCE[[#This Row],[CABLEADO]]=AD$2,100%,AVANCE[[#This Row],[CABLEADO]])</f>
        <v>0</v>
      </c>
      <c r="BT504" s="3">
        <f>+IF(AVANCE[[#This Row],[ARTEFACTOS]]=AE$2,100%,AVANCE[[#This Row],[ARTEFACTOS]])</f>
        <v>0</v>
      </c>
      <c r="BU504" s="3">
        <f>+IF(AVANCE[[#This Row],[TABLERO]]=AF$2,100%,AVANCE[[#This Row],[TABLERO]])</f>
        <v>0</v>
      </c>
      <c r="BV504" s="3">
        <f>+IF(AVANCE[[#This Row],[CAJA PAU]]=AG$2,100%,AVANCE[[#This Row],[CAJA PAU]])</f>
        <v>0</v>
      </c>
      <c r="BW504" s="3">
        <f>+IF(AVANCE[[#This Row],[INSTALACION VINILICO]]=AJ$2,100%,AVANCE[[#This Row],[INSTALACION VINILICO]])</f>
        <v>0</v>
      </c>
      <c r="BX504" s="3">
        <f>+IF(AVANCE[[#This Row],[OSB CUBIERTA]]=AK$2,100%,AVANCE[[#This Row],[OSB CUBIERTA]])</f>
        <v>0</v>
      </c>
      <c r="BY504" s="3">
        <f>+IF(AVANCE[[#This Row],[BARANDA BALCON]]=AL$2,100%,AVANCE[[#This Row],[BARANDA BALCON]])</f>
        <v>0</v>
      </c>
      <c r="BZ504" s="3">
        <f>+IF(AVANCE[[#This Row],[OSB EXTERIOR]]=AM$2,100%,AVANCE[[#This Row],[OSB EXTERIOR]])</f>
        <v>0</v>
      </c>
      <c r="CA504" s="3">
        <f>+IF(AVANCE[[#This Row],[SMART PANEL]]=AN$2,100%,AVANCE[[#This Row],[SMART PANEL]])</f>
        <v>0</v>
      </c>
      <c r="CB504" s="3">
        <f>+IF(AVANCE[[#This Row],[PINTURA EXTERIOR]]=AO$2,100%,AVANCE[[#This Row],[PINTURA EXTERIOR]])</f>
        <v>0</v>
      </c>
      <c r="CC504" s="3">
        <f>+IF(AVANCE[[#This Row],[ZOCALOS LOGIA]]=AP$2,100%,AVANCE[[#This Row],[ZOCALOS LOGIA]])</f>
        <v>0</v>
      </c>
      <c r="CD504" s="3">
        <f>+IF(AVANCE[[#This Row],[MOLDURAS]]=AQ$2,100%,AVANCE[[#This Row],[MOLDURAS]])</f>
        <v>0</v>
      </c>
      <c r="CE504" s="3">
        <f>+IF(AVANCE[[#This Row],[PILASTREO]]=AR$2,100%,AVANCE[[#This Row],[PILASTREO]])</f>
        <v>0</v>
      </c>
      <c r="CF504" s="3">
        <f>+IF(AVANCE[[#This Row],[CELOSIAS]]=AS$2,100%,AVANCE[[#This Row],[CELOSIAS]])</f>
        <v>0</v>
      </c>
      <c r="CG504" s="3">
        <f>+IF(AVANCE[[#This Row],[VENTANAS]]=AT$2,100%,AVANCE[[#This Row],[VENTANAS]])</f>
        <v>0</v>
      </c>
      <c r="CH504" s="3">
        <f>+IF(AVANCE[[#This Row],[PUERTAS ACCESO - LOGIA - BANO]]=AU$2,100%,AVANCE[[#This Row],[PUERTAS ACCESO - LOGIA - BANO]])</f>
        <v>0</v>
      </c>
      <c r="CI504" s="3">
        <f>+IF(AVANCE[[#This Row],[CERRADURAS]]=AV$2,100%,AVANCE[[#This Row],[CERRADURAS]])</f>
        <v>0</v>
      </c>
      <c r="CJ504" s="3">
        <f>+IF(AVANCE[[#This Row],[REVESTIMIENTO INTERIOR ZONA SECA]]=AW$2,100%,AVANCE[[#This Row],[REVESTIMIENTO INTERIOR ZONA SECA]])</f>
        <v>0</v>
      </c>
      <c r="CK504" s="3">
        <f>+IF(AVANCE[[#This Row],[REVESTIMIENTO INTERIOR ZONAS HUMEDAS]]=AX$2,100%,AVANCE[[#This Row],[REVESTIMIENTO INTERIOR ZONAS HUMEDAS]])</f>
        <v>0</v>
      </c>
      <c r="CL504" s="3">
        <f>+IF(AVANCE[[#This Row],[MEMBRANA CIELO]]=AY$2,100%,AVANCE[[#This Row],[MEMBRANA CIELO]])</f>
        <v>0</v>
      </c>
      <c r="CM504" s="3">
        <f>+IF(AVANCE[[#This Row],[LIMPIEZA FINAL]]=AZ$2,100%,AVANCE[[#This Row],[LIMPIEZA FINAL]])</f>
        <v>0</v>
      </c>
      <c r="CN504" s="3">
        <f>+IF(AVANCE[[#This Row],[PUERTAS DORMITORIO]]=BA$2,100%,AVANCE[[#This Row],[PUERTAS DORMITORIO]])</f>
        <v>0</v>
      </c>
      <c r="CO504" s="3">
        <f>+IF(AVANCE[[#This Row],[REVESTIMIENTO INTERIOR BANO]]=BB$2,100%,AVANCE[[#This Row],[REVESTIMIENTO INTERIOR BANO]])</f>
        <v>0</v>
      </c>
      <c r="CP504" s="3">
        <f>+IF(AVANCE[[#This Row],[MUEBLE LAVAPLATOS]]=BC$2,100%,AVANCE[[#This Row],[MUEBLE LAVAPLATOS]])</f>
        <v>0</v>
      </c>
      <c r="CQ504" s="3">
        <f>+IF(AVANCE[[#This Row],[IMPERMEABILIZACION BANO - COCINA LOGIA]]=BD$2,100%,AVANCE[[#This Row],[IMPERMEABILIZACION BANO - COCINA LOGIA]])</f>
        <v>0</v>
      </c>
      <c r="CR504" s="40">
        <f ca="1">+IF(AVANCE[[#This Row],[ESTADO MODULO]]="PENDIENTE",(TODAY()-AVANCE[[#This Row],[FECHA TERMINO  PLANIFICADO]]),0)</f>
        <v>0</v>
      </c>
      <c r="CS504" s="42" t="str" cm="1">
        <f t="array" ref="CS504">_xlfn.TEXTJOIN(" | ",TRUE,IF(SUMPRODUCT((BF504:CQ504&lt;1)*(PARTIDAS!$I$2:$AT$2="OBRA GRUESA"))&gt;0,"OBRA GRUESA: "&amp;_xlfn.TEXTJOIN(", ",TRUE,IF((BF504:CQ504&lt;1)*(PARTIDAS!$I$2:$AT$2="OBRA GRUESA"),PARTIDAS!$I$1:$AT$1,"")),""),IF(SUMPRODUCT((BF504:CQ504&lt;1)*(PARTIDAS!$I$2:$AT$2="SANITARIOS"))&gt;0,"SANITARIOS: "&amp;_xlfn.TEXTJOIN(", ",TRUE,IF((BF504:CQ504&lt;1)*(PARTIDAS!$I$2:$AT$2="SANITARIOS"),PARTIDAS!$I$1:$AT$1,"")),""),IF(SUMPRODUCT((BF504:CQ504&lt;1)*(PARTIDAS!$I$2:$AT$2="ELÉCTRICO"))&gt;0,"ELÉCTRICO: "&amp;_xlfn.TEXTJOIN(", ",TRUE,IF((BF504:CQ504&lt;1)*(PARTIDAS!$I$2:$AT$2="ELÉCTRICO"),PARTIDAS!$I$1:$AT$1,"")),""),IF(SUMPRODUCT((BF504:CQ504&lt;1)*(PARTIDAS!$I$2:$AT$2="TERMINACIONES"))&gt;0,"TERMINACIONES: "&amp;_xlfn.TEXTJOIN(", ",TRUE,IF((BF504:CQ504&lt;1)*(PARTIDAS!$I$2:$AT$2="TERMINACIONES"),PARTIDAS!$I$1:$AT$1,"")),""))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4" s="45" t="str" cm="1">
        <f t="array" ref="CT504">_xlfn.TEXTJOIN(", ",TRUE,IF(SUMPRODUCT((BF504:CQ504&lt;1)*(PARTIDAS!$I$2:$AT$2="OBRA GRUESA"))&gt;0,"OBRA GRUESA",""),IF(SUMPRODUCT((BF504:CQ504&lt;1)*(PARTIDAS!$I$2:$AT$2="SANITARIOS"))&gt;0,"SANITARIOS",""),IF(SUMPRODUCT((BF504:CQ504&lt;1)*(PARTIDAS!$I$2:$AT$2="ELÉCTRICO"))&gt;0,"ELÉCTRICO",""),IF(SUMPRODUCT((BF504:CQ504&lt;1)*(PARTIDAS!$I$2:$AT$2="TERMINACIONES"))&gt;0,"TERMINACIONES",""))</f>
        <v>OBRA GRUESA, SANITARIOS, ELÉCTRICO, TERMINACIONES</v>
      </c>
      <c r="CU504" s="46" cm="1">
        <f t="array" ref="CU504">SUMPRODUCT(--(BF504:CQ504&lt;1))</f>
        <v>38</v>
      </c>
    </row>
    <row r="505" spans="1:99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46181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 s="3" t="str">
        <f>+IF(AVANCE[[#This Row],[% AVANCE]]=100%,"MODULO TERMINADO",IF(AVANCE[[#This Row],[FECHA INICIO REAL]]="","MODULO NO INICIADO","PENDIENTE"))</f>
        <v>MODULO NO INICIADO</v>
      </c>
      <c r="BF505" s="3">
        <f>+IF(AVANCE[[#This Row],[VENTANAS]]=8.10810810810811%,100%,AVANCE[[#This Row],[VENTANAS]])</f>
        <v>0</v>
      </c>
      <c r="BG505" s="3">
        <f>+IF(AVANCE[[#This Row],[PISO]]=N$2,100%,AVANCE[[#This Row],[PISO]])</f>
        <v>0</v>
      </c>
      <c r="BH505" s="3">
        <f>+IF(AVANCE[[#This Row],[TABIQUES]]=O$2,100%,AVANCE[[#This Row],[TABIQUES]])</f>
        <v>0</v>
      </c>
      <c r="BI505" s="3">
        <f>+IF(AVANCE[[#This Row],[MUROS]]=P$2,100%,AVANCE[[#This Row],[MUROS]])</f>
        <v>0</v>
      </c>
      <c r="BJ505" s="3">
        <f>+IF(AVANCE[[#This Row],[CIELO]]=Q$2,100%,AVANCE[[#This Row],[CIELO]])</f>
        <v>0</v>
      </c>
      <c r="BK505" s="3">
        <f>+IF(AVANCE[[#This Row],[BALCÓN]]=R$2,100%,AVANCE[[#This Row],[BALCÓN]])</f>
        <v>0</v>
      </c>
      <c r="BL505" s="3">
        <f>+IF(AVANCE[[#This Row],[RED ALCANTARILLADO]]=U$2,100%,AVANCE[[#This Row],[RED ALCANTARILLADO]])</f>
        <v>0</v>
      </c>
      <c r="BM505" s="3">
        <f>+IF(AVANCE[[#This Row],[RED DE AGUA]]=V$2,100%,AVANCE[[#This Row],[RED DE AGUA]])</f>
        <v>0</v>
      </c>
      <c r="BN505" s="3">
        <f>+IF(AVANCE[[#This Row],[VENTILACIONES]]=W$2,100%,AVANCE[[#This Row],[VENTILACIONES]])</f>
        <v>0</v>
      </c>
      <c r="BO505" s="3">
        <f>+IF(AVANCE[[#This Row],[TINA]]=X$2,100%,AVANCE[[#This Row],[TINA]])</f>
        <v>0</v>
      </c>
      <c r="BP505" s="3">
        <f>+IF(AVANCE[[#This Row],[WC]]=Y$2,100%,AVANCE[[#This Row],[WC]])</f>
        <v>0</v>
      </c>
      <c r="BQ505" s="3">
        <f>+IF(AVANCE[[#This Row],[LAVAMANOS / LAVAPLATOS / LAVADERO]]=Z$2,100%,AVANCE[[#This Row],[LAVAMANOS / LAVAPLATOS / LAVADERO]])</f>
        <v>0</v>
      </c>
      <c r="BR505" s="3">
        <f>+IF(AVANCE[[#This Row],[CANALIZACIÓN]]=AC$2,100%,AVANCE[[#This Row],[CANALIZACIÓN]])</f>
        <v>0</v>
      </c>
      <c r="BS505" s="3">
        <f>+IF(AVANCE[[#This Row],[CABLEADO]]=AD$2,100%,AVANCE[[#This Row],[CABLEADO]])</f>
        <v>0</v>
      </c>
      <c r="BT505" s="3">
        <f>+IF(AVANCE[[#This Row],[ARTEFACTOS]]=AE$2,100%,AVANCE[[#This Row],[ARTEFACTOS]])</f>
        <v>0</v>
      </c>
      <c r="BU505" s="3">
        <f>+IF(AVANCE[[#This Row],[TABLERO]]=AF$2,100%,AVANCE[[#This Row],[TABLERO]])</f>
        <v>0</v>
      </c>
      <c r="BV505" s="3">
        <f>+IF(AVANCE[[#This Row],[CAJA PAU]]=AG$2,100%,AVANCE[[#This Row],[CAJA PAU]])</f>
        <v>0</v>
      </c>
      <c r="BW505" s="3">
        <f>+IF(AVANCE[[#This Row],[INSTALACION VINILICO]]=AJ$2,100%,AVANCE[[#This Row],[INSTALACION VINILICO]])</f>
        <v>0</v>
      </c>
      <c r="BX505" s="3">
        <f>+IF(AVANCE[[#This Row],[OSB CUBIERTA]]=AK$2,100%,AVANCE[[#This Row],[OSB CUBIERTA]])</f>
        <v>0</v>
      </c>
      <c r="BY505" s="3">
        <f>+IF(AVANCE[[#This Row],[BARANDA BALCON]]=AL$2,100%,AVANCE[[#This Row],[BARANDA BALCON]])</f>
        <v>0</v>
      </c>
      <c r="BZ505" s="3">
        <f>+IF(AVANCE[[#This Row],[OSB EXTERIOR]]=AM$2,100%,AVANCE[[#This Row],[OSB EXTERIOR]])</f>
        <v>0</v>
      </c>
      <c r="CA505" s="3">
        <f>+IF(AVANCE[[#This Row],[SMART PANEL]]=AN$2,100%,AVANCE[[#This Row],[SMART PANEL]])</f>
        <v>0</v>
      </c>
      <c r="CB505" s="3">
        <f>+IF(AVANCE[[#This Row],[PINTURA EXTERIOR]]=AO$2,100%,AVANCE[[#This Row],[PINTURA EXTERIOR]])</f>
        <v>0</v>
      </c>
      <c r="CC505" s="3">
        <f>+IF(AVANCE[[#This Row],[ZOCALOS LOGIA]]=AP$2,100%,AVANCE[[#This Row],[ZOCALOS LOGIA]])</f>
        <v>0</v>
      </c>
      <c r="CD505" s="3">
        <f>+IF(AVANCE[[#This Row],[MOLDURAS]]=AQ$2,100%,AVANCE[[#This Row],[MOLDURAS]])</f>
        <v>0</v>
      </c>
      <c r="CE505" s="3">
        <f>+IF(AVANCE[[#This Row],[PILASTREO]]=AR$2,100%,AVANCE[[#This Row],[PILASTREO]])</f>
        <v>0</v>
      </c>
      <c r="CF505" s="3">
        <f>+IF(AVANCE[[#This Row],[CELOSIAS]]=AS$2,100%,AVANCE[[#This Row],[CELOSIAS]])</f>
        <v>0</v>
      </c>
      <c r="CG505" s="3">
        <f>+IF(AVANCE[[#This Row],[VENTANAS]]=AT$2,100%,AVANCE[[#This Row],[VENTANAS]])</f>
        <v>0</v>
      </c>
      <c r="CH505" s="3">
        <f>+IF(AVANCE[[#This Row],[PUERTAS ACCESO - LOGIA - BANO]]=AU$2,100%,AVANCE[[#This Row],[PUERTAS ACCESO - LOGIA - BANO]])</f>
        <v>0</v>
      </c>
      <c r="CI505" s="3">
        <f>+IF(AVANCE[[#This Row],[CERRADURAS]]=AV$2,100%,AVANCE[[#This Row],[CERRADURAS]])</f>
        <v>0</v>
      </c>
      <c r="CJ505" s="3">
        <f>+IF(AVANCE[[#This Row],[REVESTIMIENTO INTERIOR ZONA SECA]]=AW$2,100%,AVANCE[[#This Row],[REVESTIMIENTO INTERIOR ZONA SECA]])</f>
        <v>0</v>
      </c>
      <c r="CK505" s="3">
        <f>+IF(AVANCE[[#This Row],[REVESTIMIENTO INTERIOR ZONAS HUMEDAS]]=AX$2,100%,AVANCE[[#This Row],[REVESTIMIENTO INTERIOR ZONAS HUMEDAS]])</f>
        <v>0</v>
      </c>
      <c r="CL505" s="3">
        <f>+IF(AVANCE[[#This Row],[MEMBRANA CIELO]]=AY$2,100%,AVANCE[[#This Row],[MEMBRANA CIELO]])</f>
        <v>0</v>
      </c>
      <c r="CM505" s="3">
        <f>+IF(AVANCE[[#This Row],[LIMPIEZA FINAL]]=AZ$2,100%,AVANCE[[#This Row],[LIMPIEZA FINAL]])</f>
        <v>0</v>
      </c>
      <c r="CN505" s="3">
        <f>+IF(AVANCE[[#This Row],[PUERTAS DORMITORIO]]=BA$2,100%,AVANCE[[#This Row],[PUERTAS DORMITORIO]])</f>
        <v>0</v>
      </c>
      <c r="CO505" s="3">
        <f>+IF(AVANCE[[#This Row],[REVESTIMIENTO INTERIOR BANO]]=BB$2,100%,AVANCE[[#This Row],[REVESTIMIENTO INTERIOR BANO]])</f>
        <v>0</v>
      </c>
      <c r="CP505" s="3">
        <f>+IF(AVANCE[[#This Row],[MUEBLE LAVAPLATOS]]=BC$2,100%,AVANCE[[#This Row],[MUEBLE LAVAPLATOS]])</f>
        <v>0</v>
      </c>
      <c r="CQ505" s="3">
        <f>+IF(AVANCE[[#This Row],[IMPERMEABILIZACION BANO - COCINA LOGIA]]=BD$2,100%,AVANCE[[#This Row],[IMPERMEABILIZACION BANO - COCINA LOGIA]])</f>
        <v>0</v>
      </c>
      <c r="CR505" s="40">
        <f ca="1">+IF(AVANCE[[#This Row],[ESTADO MODULO]]="PENDIENTE",(TODAY()-AVANCE[[#This Row],[FECHA TERMINO  PLANIFICADO]]),0)</f>
        <v>0</v>
      </c>
      <c r="CS505" s="42" t="str" cm="1">
        <f t="array" ref="CS505">_xlfn.TEXTJOIN(" | ",TRUE,IF(SUMPRODUCT((BF505:CQ505&lt;1)*(PARTIDAS!$I$2:$AT$2="OBRA GRUESA"))&gt;0,"OBRA GRUESA: "&amp;_xlfn.TEXTJOIN(", ",TRUE,IF((BF505:CQ505&lt;1)*(PARTIDAS!$I$2:$AT$2="OBRA GRUESA"),PARTIDAS!$I$1:$AT$1,"")),""),IF(SUMPRODUCT((BF505:CQ505&lt;1)*(PARTIDAS!$I$2:$AT$2="SANITARIOS"))&gt;0,"SANITARIOS: "&amp;_xlfn.TEXTJOIN(", ",TRUE,IF((BF505:CQ505&lt;1)*(PARTIDAS!$I$2:$AT$2="SANITARIOS"),PARTIDAS!$I$1:$AT$1,"")),""),IF(SUMPRODUCT((BF505:CQ505&lt;1)*(PARTIDAS!$I$2:$AT$2="ELÉCTRICO"))&gt;0,"ELÉCTRICO: "&amp;_xlfn.TEXTJOIN(", ",TRUE,IF((BF505:CQ505&lt;1)*(PARTIDAS!$I$2:$AT$2="ELÉCTRICO"),PARTIDAS!$I$1:$AT$1,"")),""),IF(SUMPRODUCT((BF505:CQ505&lt;1)*(PARTIDAS!$I$2:$AT$2="TERMINACIONES"))&gt;0,"TERMINACIONES: "&amp;_xlfn.TEXTJOIN(", ",TRUE,IF((BF505:CQ505&lt;1)*(PARTIDAS!$I$2:$AT$2="TERMINACIONES"),PARTIDAS!$I$1:$AT$1,"")),""))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5" s="45" t="str" cm="1">
        <f t="array" ref="CT505">_xlfn.TEXTJOIN(", ",TRUE,IF(SUMPRODUCT((BF505:CQ505&lt;1)*(PARTIDAS!$I$2:$AT$2="OBRA GRUESA"))&gt;0,"OBRA GRUESA",""),IF(SUMPRODUCT((BF505:CQ505&lt;1)*(PARTIDAS!$I$2:$AT$2="SANITARIOS"))&gt;0,"SANITARIOS",""),IF(SUMPRODUCT((BF505:CQ505&lt;1)*(PARTIDAS!$I$2:$AT$2="ELÉCTRICO"))&gt;0,"ELÉCTRICO",""),IF(SUMPRODUCT((BF505:CQ505&lt;1)*(PARTIDAS!$I$2:$AT$2="TERMINACIONES"))&gt;0,"TERMINACIONES",""))</f>
        <v>OBRA GRUESA, SANITARIOS, ELÉCTRICO, TERMINACIONES</v>
      </c>
      <c r="CU505" s="46" cm="1">
        <f t="array" ref="CU505">SUMPRODUCT(--(BF505:CQ505&lt;1))</f>
        <v>38</v>
      </c>
    </row>
    <row r="506" spans="1:99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46181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 s="3" t="str">
        <f>+IF(AVANCE[[#This Row],[% AVANCE]]=100%,"MODULO TERMINADO",IF(AVANCE[[#This Row],[FECHA INICIO REAL]]="","MODULO NO INICIADO","PENDIENTE"))</f>
        <v>MODULO NO INICIADO</v>
      </c>
      <c r="BF506" s="3">
        <f>+IF(AVANCE[[#This Row],[VENTANAS]]=8.10810810810811%,100%,AVANCE[[#This Row],[VENTANAS]])</f>
        <v>0</v>
      </c>
      <c r="BG506" s="3">
        <f>+IF(AVANCE[[#This Row],[PISO]]=N$2,100%,AVANCE[[#This Row],[PISO]])</f>
        <v>0</v>
      </c>
      <c r="BH506" s="3">
        <f>+IF(AVANCE[[#This Row],[TABIQUES]]=O$2,100%,AVANCE[[#This Row],[TABIQUES]])</f>
        <v>0</v>
      </c>
      <c r="BI506" s="3">
        <f>+IF(AVANCE[[#This Row],[MUROS]]=P$2,100%,AVANCE[[#This Row],[MUROS]])</f>
        <v>0</v>
      </c>
      <c r="BJ506" s="3">
        <f>+IF(AVANCE[[#This Row],[CIELO]]=Q$2,100%,AVANCE[[#This Row],[CIELO]])</f>
        <v>0</v>
      </c>
      <c r="BK506" s="3">
        <f>+IF(AVANCE[[#This Row],[BALCÓN]]=R$2,100%,AVANCE[[#This Row],[BALCÓN]])</f>
        <v>0</v>
      </c>
      <c r="BL506" s="3">
        <f>+IF(AVANCE[[#This Row],[RED ALCANTARILLADO]]=U$2,100%,AVANCE[[#This Row],[RED ALCANTARILLADO]])</f>
        <v>0</v>
      </c>
      <c r="BM506" s="3">
        <f>+IF(AVANCE[[#This Row],[RED DE AGUA]]=V$2,100%,AVANCE[[#This Row],[RED DE AGUA]])</f>
        <v>0</v>
      </c>
      <c r="BN506" s="3">
        <f>+IF(AVANCE[[#This Row],[VENTILACIONES]]=W$2,100%,AVANCE[[#This Row],[VENTILACIONES]])</f>
        <v>0</v>
      </c>
      <c r="BO506" s="3">
        <f>+IF(AVANCE[[#This Row],[TINA]]=X$2,100%,AVANCE[[#This Row],[TINA]])</f>
        <v>0</v>
      </c>
      <c r="BP506" s="3">
        <f>+IF(AVANCE[[#This Row],[WC]]=Y$2,100%,AVANCE[[#This Row],[WC]])</f>
        <v>0</v>
      </c>
      <c r="BQ506" s="3">
        <f>+IF(AVANCE[[#This Row],[LAVAMANOS / LAVAPLATOS / LAVADERO]]=Z$2,100%,AVANCE[[#This Row],[LAVAMANOS / LAVAPLATOS / LAVADERO]])</f>
        <v>0</v>
      </c>
      <c r="BR506" s="3">
        <f>+IF(AVANCE[[#This Row],[CANALIZACIÓN]]=AC$2,100%,AVANCE[[#This Row],[CANALIZACIÓN]])</f>
        <v>0</v>
      </c>
      <c r="BS506" s="3">
        <f>+IF(AVANCE[[#This Row],[CABLEADO]]=AD$2,100%,AVANCE[[#This Row],[CABLEADO]])</f>
        <v>0</v>
      </c>
      <c r="BT506" s="3">
        <f>+IF(AVANCE[[#This Row],[ARTEFACTOS]]=AE$2,100%,AVANCE[[#This Row],[ARTEFACTOS]])</f>
        <v>0</v>
      </c>
      <c r="BU506" s="3">
        <f>+IF(AVANCE[[#This Row],[TABLERO]]=AF$2,100%,AVANCE[[#This Row],[TABLERO]])</f>
        <v>0</v>
      </c>
      <c r="BV506" s="3">
        <f>+IF(AVANCE[[#This Row],[CAJA PAU]]=AG$2,100%,AVANCE[[#This Row],[CAJA PAU]])</f>
        <v>0</v>
      </c>
      <c r="BW506" s="3">
        <f>+IF(AVANCE[[#This Row],[INSTALACION VINILICO]]=AJ$2,100%,AVANCE[[#This Row],[INSTALACION VINILICO]])</f>
        <v>0</v>
      </c>
      <c r="BX506" s="3">
        <f>+IF(AVANCE[[#This Row],[OSB CUBIERTA]]=AK$2,100%,AVANCE[[#This Row],[OSB CUBIERTA]])</f>
        <v>0</v>
      </c>
      <c r="BY506" s="3">
        <f>+IF(AVANCE[[#This Row],[BARANDA BALCON]]=AL$2,100%,AVANCE[[#This Row],[BARANDA BALCON]])</f>
        <v>0</v>
      </c>
      <c r="BZ506" s="3">
        <f>+IF(AVANCE[[#This Row],[OSB EXTERIOR]]=AM$2,100%,AVANCE[[#This Row],[OSB EXTERIOR]])</f>
        <v>0</v>
      </c>
      <c r="CA506" s="3">
        <f>+IF(AVANCE[[#This Row],[SMART PANEL]]=AN$2,100%,AVANCE[[#This Row],[SMART PANEL]])</f>
        <v>0</v>
      </c>
      <c r="CB506" s="3">
        <f>+IF(AVANCE[[#This Row],[PINTURA EXTERIOR]]=AO$2,100%,AVANCE[[#This Row],[PINTURA EXTERIOR]])</f>
        <v>0</v>
      </c>
      <c r="CC506" s="3">
        <f>+IF(AVANCE[[#This Row],[ZOCALOS LOGIA]]=AP$2,100%,AVANCE[[#This Row],[ZOCALOS LOGIA]])</f>
        <v>0</v>
      </c>
      <c r="CD506" s="3">
        <f>+IF(AVANCE[[#This Row],[MOLDURAS]]=AQ$2,100%,AVANCE[[#This Row],[MOLDURAS]])</f>
        <v>0</v>
      </c>
      <c r="CE506" s="3">
        <f>+IF(AVANCE[[#This Row],[PILASTREO]]=AR$2,100%,AVANCE[[#This Row],[PILASTREO]])</f>
        <v>0</v>
      </c>
      <c r="CF506" s="3">
        <f>+IF(AVANCE[[#This Row],[CELOSIAS]]=AS$2,100%,AVANCE[[#This Row],[CELOSIAS]])</f>
        <v>0</v>
      </c>
      <c r="CG506" s="3">
        <f>+IF(AVANCE[[#This Row],[VENTANAS]]=AT$2,100%,AVANCE[[#This Row],[VENTANAS]])</f>
        <v>0</v>
      </c>
      <c r="CH506" s="3">
        <f>+IF(AVANCE[[#This Row],[PUERTAS ACCESO - LOGIA - BANO]]=AU$2,100%,AVANCE[[#This Row],[PUERTAS ACCESO - LOGIA - BANO]])</f>
        <v>0</v>
      </c>
      <c r="CI506" s="3">
        <f>+IF(AVANCE[[#This Row],[CERRADURAS]]=AV$2,100%,AVANCE[[#This Row],[CERRADURAS]])</f>
        <v>0</v>
      </c>
      <c r="CJ506" s="3">
        <f>+IF(AVANCE[[#This Row],[REVESTIMIENTO INTERIOR ZONA SECA]]=AW$2,100%,AVANCE[[#This Row],[REVESTIMIENTO INTERIOR ZONA SECA]])</f>
        <v>0</v>
      </c>
      <c r="CK506" s="3">
        <f>+IF(AVANCE[[#This Row],[REVESTIMIENTO INTERIOR ZONAS HUMEDAS]]=AX$2,100%,AVANCE[[#This Row],[REVESTIMIENTO INTERIOR ZONAS HUMEDAS]])</f>
        <v>0</v>
      </c>
      <c r="CL506" s="3">
        <f>+IF(AVANCE[[#This Row],[MEMBRANA CIELO]]=AY$2,100%,AVANCE[[#This Row],[MEMBRANA CIELO]])</f>
        <v>0</v>
      </c>
      <c r="CM506" s="3">
        <f>+IF(AVANCE[[#This Row],[LIMPIEZA FINAL]]=AZ$2,100%,AVANCE[[#This Row],[LIMPIEZA FINAL]])</f>
        <v>0</v>
      </c>
      <c r="CN506" s="3">
        <f>+IF(AVANCE[[#This Row],[PUERTAS DORMITORIO]]=BA$2,100%,AVANCE[[#This Row],[PUERTAS DORMITORIO]])</f>
        <v>0</v>
      </c>
      <c r="CO506" s="3">
        <f>+IF(AVANCE[[#This Row],[REVESTIMIENTO INTERIOR BANO]]=BB$2,100%,AVANCE[[#This Row],[REVESTIMIENTO INTERIOR BANO]])</f>
        <v>0</v>
      </c>
      <c r="CP506" s="3">
        <f>+IF(AVANCE[[#This Row],[MUEBLE LAVAPLATOS]]=BC$2,100%,AVANCE[[#This Row],[MUEBLE LAVAPLATOS]])</f>
        <v>0</v>
      </c>
      <c r="CQ506" s="3">
        <f>+IF(AVANCE[[#This Row],[IMPERMEABILIZACION BANO - COCINA LOGIA]]=BD$2,100%,AVANCE[[#This Row],[IMPERMEABILIZACION BANO - COCINA LOGIA]])</f>
        <v>0</v>
      </c>
      <c r="CR506" s="40">
        <f ca="1">+IF(AVANCE[[#This Row],[ESTADO MODULO]]="PENDIENTE",(TODAY()-AVANCE[[#This Row],[FECHA TERMINO  PLANIFICADO]]),0)</f>
        <v>0</v>
      </c>
      <c r="CS506" s="42" t="str" cm="1">
        <f t="array" ref="CS506">_xlfn.TEXTJOIN(" | ",TRUE,IF(SUMPRODUCT((BF506:CQ506&lt;1)*(PARTIDAS!$I$2:$AT$2="OBRA GRUESA"))&gt;0,"OBRA GRUESA: "&amp;_xlfn.TEXTJOIN(", ",TRUE,IF((BF506:CQ506&lt;1)*(PARTIDAS!$I$2:$AT$2="OBRA GRUESA"),PARTIDAS!$I$1:$AT$1,"")),""),IF(SUMPRODUCT((BF506:CQ506&lt;1)*(PARTIDAS!$I$2:$AT$2="SANITARIOS"))&gt;0,"SANITARIOS: "&amp;_xlfn.TEXTJOIN(", ",TRUE,IF((BF506:CQ506&lt;1)*(PARTIDAS!$I$2:$AT$2="SANITARIOS"),PARTIDAS!$I$1:$AT$1,"")),""),IF(SUMPRODUCT((BF506:CQ506&lt;1)*(PARTIDAS!$I$2:$AT$2="ELÉCTRICO"))&gt;0,"ELÉCTRICO: "&amp;_xlfn.TEXTJOIN(", ",TRUE,IF((BF506:CQ506&lt;1)*(PARTIDAS!$I$2:$AT$2="ELÉCTRICO"),PARTIDAS!$I$1:$AT$1,"")),""),IF(SUMPRODUCT((BF506:CQ506&lt;1)*(PARTIDAS!$I$2:$AT$2="TERMINACIONES"))&gt;0,"TERMINACIONES: "&amp;_xlfn.TEXTJOIN(", ",TRUE,IF((BF506:CQ506&lt;1)*(PARTIDAS!$I$2:$AT$2="TERMINACIONES"),PARTIDAS!$I$1:$AT$1,"")),""))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6" s="45" t="str" cm="1">
        <f t="array" ref="CT506">_xlfn.TEXTJOIN(", ",TRUE,IF(SUMPRODUCT((BF506:CQ506&lt;1)*(PARTIDAS!$I$2:$AT$2="OBRA GRUESA"))&gt;0,"OBRA GRUESA",""),IF(SUMPRODUCT((BF506:CQ506&lt;1)*(PARTIDAS!$I$2:$AT$2="SANITARIOS"))&gt;0,"SANITARIOS",""),IF(SUMPRODUCT((BF506:CQ506&lt;1)*(PARTIDAS!$I$2:$AT$2="ELÉCTRICO"))&gt;0,"ELÉCTRICO",""),IF(SUMPRODUCT((BF506:CQ506&lt;1)*(PARTIDAS!$I$2:$AT$2="TERMINACIONES"))&gt;0,"TERMINACIONES",""))</f>
        <v>OBRA GRUESA, SANITARIOS, ELÉCTRICO, TERMINACIONES</v>
      </c>
      <c r="CU506" s="46" cm="1">
        <f t="array" ref="CU506">SUMPRODUCT(--(BF506:CQ506&lt;1))</f>
        <v>38</v>
      </c>
    </row>
    <row r="507" spans="1:99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46181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 s="3" t="str">
        <f>+IF(AVANCE[[#This Row],[% AVANCE]]=100%,"MODULO TERMINADO",IF(AVANCE[[#This Row],[FECHA INICIO REAL]]="","MODULO NO INICIADO","PENDIENTE"))</f>
        <v>MODULO NO INICIADO</v>
      </c>
      <c r="BF507" s="3">
        <f>+IF(AVANCE[[#This Row],[VENTANAS]]=8.10810810810811%,100%,AVANCE[[#This Row],[VENTANAS]])</f>
        <v>0</v>
      </c>
      <c r="BG507" s="3">
        <f>+IF(AVANCE[[#This Row],[PISO]]=N$2,100%,AVANCE[[#This Row],[PISO]])</f>
        <v>0</v>
      </c>
      <c r="BH507" s="3">
        <f>+IF(AVANCE[[#This Row],[TABIQUES]]=O$2,100%,AVANCE[[#This Row],[TABIQUES]])</f>
        <v>0</v>
      </c>
      <c r="BI507" s="3">
        <f>+IF(AVANCE[[#This Row],[MUROS]]=P$2,100%,AVANCE[[#This Row],[MUROS]])</f>
        <v>0</v>
      </c>
      <c r="BJ507" s="3">
        <f>+IF(AVANCE[[#This Row],[CIELO]]=Q$2,100%,AVANCE[[#This Row],[CIELO]])</f>
        <v>0</v>
      </c>
      <c r="BK507" s="3">
        <f>+IF(AVANCE[[#This Row],[BALCÓN]]=R$2,100%,AVANCE[[#This Row],[BALCÓN]])</f>
        <v>0</v>
      </c>
      <c r="BL507" s="3">
        <f>+IF(AVANCE[[#This Row],[RED ALCANTARILLADO]]=U$2,100%,AVANCE[[#This Row],[RED ALCANTARILLADO]])</f>
        <v>0</v>
      </c>
      <c r="BM507" s="3">
        <f>+IF(AVANCE[[#This Row],[RED DE AGUA]]=V$2,100%,AVANCE[[#This Row],[RED DE AGUA]])</f>
        <v>0</v>
      </c>
      <c r="BN507" s="3">
        <f>+IF(AVANCE[[#This Row],[VENTILACIONES]]=W$2,100%,AVANCE[[#This Row],[VENTILACIONES]])</f>
        <v>0</v>
      </c>
      <c r="BO507" s="3">
        <f>+IF(AVANCE[[#This Row],[TINA]]=X$2,100%,AVANCE[[#This Row],[TINA]])</f>
        <v>0</v>
      </c>
      <c r="BP507" s="3">
        <f>+IF(AVANCE[[#This Row],[WC]]=Y$2,100%,AVANCE[[#This Row],[WC]])</f>
        <v>0</v>
      </c>
      <c r="BQ507" s="3">
        <f>+IF(AVANCE[[#This Row],[LAVAMANOS / LAVAPLATOS / LAVADERO]]=Z$2,100%,AVANCE[[#This Row],[LAVAMANOS / LAVAPLATOS / LAVADERO]])</f>
        <v>0</v>
      </c>
      <c r="BR507" s="3">
        <f>+IF(AVANCE[[#This Row],[CANALIZACIÓN]]=AC$2,100%,AVANCE[[#This Row],[CANALIZACIÓN]])</f>
        <v>0</v>
      </c>
      <c r="BS507" s="3">
        <f>+IF(AVANCE[[#This Row],[CABLEADO]]=AD$2,100%,AVANCE[[#This Row],[CABLEADO]])</f>
        <v>0</v>
      </c>
      <c r="BT507" s="3">
        <f>+IF(AVANCE[[#This Row],[ARTEFACTOS]]=AE$2,100%,AVANCE[[#This Row],[ARTEFACTOS]])</f>
        <v>0</v>
      </c>
      <c r="BU507" s="3">
        <f>+IF(AVANCE[[#This Row],[TABLERO]]=AF$2,100%,AVANCE[[#This Row],[TABLERO]])</f>
        <v>0</v>
      </c>
      <c r="BV507" s="3">
        <f>+IF(AVANCE[[#This Row],[CAJA PAU]]=AG$2,100%,AVANCE[[#This Row],[CAJA PAU]])</f>
        <v>0</v>
      </c>
      <c r="BW507" s="3">
        <f>+IF(AVANCE[[#This Row],[INSTALACION VINILICO]]=AJ$2,100%,AVANCE[[#This Row],[INSTALACION VINILICO]])</f>
        <v>0</v>
      </c>
      <c r="BX507" s="3">
        <f>+IF(AVANCE[[#This Row],[OSB CUBIERTA]]=AK$2,100%,AVANCE[[#This Row],[OSB CUBIERTA]])</f>
        <v>0</v>
      </c>
      <c r="BY507" s="3">
        <f>+IF(AVANCE[[#This Row],[BARANDA BALCON]]=AL$2,100%,AVANCE[[#This Row],[BARANDA BALCON]])</f>
        <v>0</v>
      </c>
      <c r="BZ507" s="3">
        <f>+IF(AVANCE[[#This Row],[OSB EXTERIOR]]=AM$2,100%,AVANCE[[#This Row],[OSB EXTERIOR]])</f>
        <v>0</v>
      </c>
      <c r="CA507" s="3">
        <f>+IF(AVANCE[[#This Row],[SMART PANEL]]=AN$2,100%,AVANCE[[#This Row],[SMART PANEL]])</f>
        <v>0</v>
      </c>
      <c r="CB507" s="3">
        <f>+IF(AVANCE[[#This Row],[PINTURA EXTERIOR]]=AO$2,100%,AVANCE[[#This Row],[PINTURA EXTERIOR]])</f>
        <v>0</v>
      </c>
      <c r="CC507" s="3">
        <f>+IF(AVANCE[[#This Row],[ZOCALOS LOGIA]]=AP$2,100%,AVANCE[[#This Row],[ZOCALOS LOGIA]])</f>
        <v>0</v>
      </c>
      <c r="CD507" s="3">
        <f>+IF(AVANCE[[#This Row],[MOLDURAS]]=AQ$2,100%,AVANCE[[#This Row],[MOLDURAS]])</f>
        <v>0</v>
      </c>
      <c r="CE507" s="3">
        <f>+IF(AVANCE[[#This Row],[PILASTREO]]=AR$2,100%,AVANCE[[#This Row],[PILASTREO]])</f>
        <v>0</v>
      </c>
      <c r="CF507" s="3">
        <f>+IF(AVANCE[[#This Row],[CELOSIAS]]=AS$2,100%,AVANCE[[#This Row],[CELOSIAS]])</f>
        <v>0</v>
      </c>
      <c r="CG507" s="3">
        <f>+IF(AVANCE[[#This Row],[VENTANAS]]=AT$2,100%,AVANCE[[#This Row],[VENTANAS]])</f>
        <v>0</v>
      </c>
      <c r="CH507" s="3">
        <f>+IF(AVANCE[[#This Row],[PUERTAS ACCESO - LOGIA - BANO]]=AU$2,100%,AVANCE[[#This Row],[PUERTAS ACCESO - LOGIA - BANO]])</f>
        <v>0</v>
      </c>
      <c r="CI507" s="3">
        <f>+IF(AVANCE[[#This Row],[CERRADURAS]]=AV$2,100%,AVANCE[[#This Row],[CERRADURAS]])</f>
        <v>0</v>
      </c>
      <c r="CJ507" s="3">
        <f>+IF(AVANCE[[#This Row],[REVESTIMIENTO INTERIOR ZONA SECA]]=AW$2,100%,AVANCE[[#This Row],[REVESTIMIENTO INTERIOR ZONA SECA]])</f>
        <v>0</v>
      </c>
      <c r="CK507" s="3">
        <f>+IF(AVANCE[[#This Row],[REVESTIMIENTO INTERIOR ZONAS HUMEDAS]]=AX$2,100%,AVANCE[[#This Row],[REVESTIMIENTO INTERIOR ZONAS HUMEDAS]])</f>
        <v>0</v>
      </c>
      <c r="CL507" s="3">
        <f>+IF(AVANCE[[#This Row],[MEMBRANA CIELO]]=AY$2,100%,AVANCE[[#This Row],[MEMBRANA CIELO]])</f>
        <v>0</v>
      </c>
      <c r="CM507" s="3">
        <f>+IF(AVANCE[[#This Row],[LIMPIEZA FINAL]]=AZ$2,100%,AVANCE[[#This Row],[LIMPIEZA FINAL]])</f>
        <v>0</v>
      </c>
      <c r="CN507" s="3">
        <f>+IF(AVANCE[[#This Row],[PUERTAS DORMITORIO]]=BA$2,100%,AVANCE[[#This Row],[PUERTAS DORMITORIO]])</f>
        <v>0</v>
      </c>
      <c r="CO507" s="3">
        <f>+IF(AVANCE[[#This Row],[REVESTIMIENTO INTERIOR BANO]]=BB$2,100%,AVANCE[[#This Row],[REVESTIMIENTO INTERIOR BANO]])</f>
        <v>0</v>
      </c>
      <c r="CP507" s="3">
        <f>+IF(AVANCE[[#This Row],[MUEBLE LAVAPLATOS]]=BC$2,100%,AVANCE[[#This Row],[MUEBLE LAVAPLATOS]])</f>
        <v>0</v>
      </c>
      <c r="CQ507" s="3">
        <f>+IF(AVANCE[[#This Row],[IMPERMEABILIZACION BANO - COCINA LOGIA]]=BD$2,100%,AVANCE[[#This Row],[IMPERMEABILIZACION BANO - COCINA LOGIA]])</f>
        <v>0</v>
      </c>
      <c r="CR507" s="40">
        <f ca="1">+IF(AVANCE[[#This Row],[ESTADO MODULO]]="PENDIENTE",(TODAY()-AVANCE[[#This Row],[FECHA TERMINO  PLANIFICADO]]),0)</f>
        <v>0</v>
      </c>
      <c r="CS507" s="42" t="str" cm="1">
        <f t="array" ref="CS507">_xlfn.TEXTJOIN(" | ",TRUE,IF(SUMPRODUCT((BF507:CQ507&lt;1)*(PARTIDAS!$I$2:$AT$2="OBRA GRUESA"))&gt;0,"OBRA GRUESA: "&amp;_xlfn.TEXTJOIN(", ",TRUE,IF((BF507:CQ507&lt;1)*(PARTIDAS!$I$2:$AT$2="OBRA GRUESA"),PARTIDAS!$I$1:$AT$1,"")),""),IF(SUMPRODUCT((BF507:CQ507&lt;1)*(PARTIDAS!$I$2:$AT$2="SANITARIOS"))&gt;0,"SANITARIOS: "&amp;_xlfn.TEXTJOIN(", ",TRUE,IF((BF507:CQ507&lt;1)*(PARTIDAS!$I$2:$AT$2="SANITARIOS"),PARTIDAS!$I$1:$AT$1,"")),""),IF(SUMPRODUCT((BF507:CQ507&lt;1)*(PARTIDAS!$I$2:$AT$2="ELÉCTRICO"))&gt;0,"ELÉCTRICO: "&amp;_xlfn.TEXTJOIN(", ",TRUE,IF((BF507:CQ507&lt;1)*(PARTIDAS!$I$2:$AT$2="ELÉCTRICO"),PARTIDAS!$I$1:$AT$1,"")),""),IF(SUMPRODUCT((BF507:CQ507&lt;1)*(PARTIDAS!$I$2:$AT$2="TERMINACIONES"))&gt;0,"TERMINACIONES: "&amp;_xlfn.TEXTJOIN(", ",TRUE,IF((BF507:CQ507&lt;1)*(PARTIDAS!$I$2:$AT$2="TERMINACIONES"),PARTIDAS!$I$1:$AT$1,"")),""))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7" s="45" t="str" cm="1">
        <f t="array" ref="CT507">_xlfn.TEXTJOIN(", ",TRUE,IF(SUMPRODUCT((BF507:CQ507&lt;1)*(PARTIDAS!$I$2:$AT$2="OBRA GRUESA"))&gt;0,"OBRA GRUESA",""),IF(SUMPRODUCT((BF507:CQ507&lt;1)*(PARTIDAS!$I$2:$AT$2="SANITARIOS"))&gt;0,"SANITARIOS",""),IF(SUMPRODUCT((BF507:CQ507&lt;1)*(PARTIDAS!$I$2:$AT$2="ELÉCTRICO"))&gt;0,"ELÉCTRICO",""),IF(SUMPRODUCT((BF507:CQ507&lt;1)*(PARTIDAS!$I$2:$AT$2="TERMINACIONES"))&gt;0,"TERMINACIONES",""))</f>
        <v>OBRA GRUESA, SANITARIOS, ELÉCTRICO, TERMINACIONES</v>
      </c>
      <c r="CU507" s="46" cm="1">
        <f t="array" ref="CU507">SUMPRODUCT(--(BF507:CQ507&lt;1))</f>
        <v>38</v>
      </c>
    </row>
    <row r="508" spans="1:99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46181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 s="3" t="str">
        <f>+IF(AVANCE[[#This Row],[% AVANCE]]=100%,"MODULO TERMINADO",IF(AVANCE[[#This Row],[FECHA INICIO REAL]]="","MODULO NO INICIADO","PENDIENTE"))</f>
        <v>MODULO NO INICIADO</v>
      </c>
      <c r="BF508" s="3">
        <f>+IF(AVANCE[[#This Row],[VENTANAS]]=8.10810810810811%,100%,AVANCE[[#This Row],[VENTANAS]])</f>
        <v>0</v>
      </c>
      <c r="BG508" s="3">
        <f>+IF(AVANCE[[#This Row],[PISO]]=N$2,100%,AVANCE[[#This Row],[PISO]])</f>
        <v>0</v>
      </c>
      <c r="BH508" s="3">
        <f>+IF(AVANCE[[#This Row],[TABIQUES]]=O$2,100%,AVANCE[[#This Row],[TABIQUES]])</f>
        <v>0</v>
      </c>
      <c r="BI508" s="3">
        <f>+IF(AVANCE[[#This Row],[MUROS]]=P$2,100%,AVANCE[[#This Row],[MUROS]])</f>
        <v>0</v>
      </c>
      <c r="BJ508" s="3">
        <f>+IF(AVANCE[[#This Row],[CIELO]]=Q$2,100%,AVANCE[[#This Row],[CIELO]])</f>
        <v>0</v>
      </c>
      <c r="BK508" s="3">
        <f>+IF(AVANCE[[#This Row],[BALCÓN]]=R$2,100%,AVANCE[[#This Row],[BALCÓN]])</f>
        <v>0</v>
      </c>
      <c r="BL508" s="3">
        <f>+IF(AVANCE[[#This Row],[RED ALCANTARILLADO]]=U$2,100%,AVANCE[[#This Row],[RED ALCANTARILLADO]])</f>
        <v>0</v>
      </c>
      <c r="BM508" s="3">
        <f>+IF(AVANCE[[#This Row],[RED DE AGUA]]=V$2,100%,AVANCE[[#This Row],[RED DE AGUA]])</f>
        <v>0</v>
      </c>
      <c r="BN508" s="3">
        <f>+IF(AVANCE[[#This Row],[VENTILACIONES]]=W$2,100%,AVANCE[[#This Row],[VENTILACIONES]])</f>
        <v>0</v>
      </c>
      <c r="BO508" s="3">
        <f>+IF(AVANCE[[#This Row],[TINA]]=X$2,100%,AVANCE[[#This Row],[TINA]])</f>
        <v>0</v>
      </c>
      <c r="BP508" s="3">
        <f>+IF(AVANCE[[#This Row],[WC]]=Y$2,100%,AVANCE[[#This Row],[WC]])</f>
        <v>0</v>
      </c>
      <c r="BQ508" s="3">
        <f>+IF(AVANCE[[#This Row],[LAVAMANOS / LAVAPLATOS / LAVADERO]]=Z$2,100%,AVANCE[[#This Row],[LAVAMANOS / LAVAPLATOS / LAVADERO]])</f>
        <v>0</v>
      </c>
      <c r="BR508" s="3">
        <f>+IF(AVANCE[[#This Row],[CANALIZACIÓN]]=AC$2,100%,AVANCE[[#This Row],[CANALIZACIÓN]])</f>
        <v>0</v>
      </c>
      <c r="BS508" s="3">
        <f>+IF(AVANCE[[#This Row],[CABLEADO]]=AD$2,100%,AVANCE[[#This Row],[CABLEADO]])</f>
        <v>0</v>
      </c>
      <c r="BT508" s="3">
        <f>+IF(AVANCE[[#This Row],[ARTEFACTOS]]=AE$2,100%,AVANCE[[#This Row],[ARTEFACTOS]])</f>
        <v>0</v>
      </c>
      <c r="BU508" s="3">
        <f>+IF(AVANCE[[#This Row],[TABLERO]]=AF$2,100%,AVANCE[[#This Row],[TABLERO]])</f>
        <v>0</v>
      </c>
      <c r="BV508" s="3">
        <f>+IF(AVANCE[[#This Row],[CAJA PAU]]=AG$2,100%,AVANCE[[#This Row],[CAJA PAU]])</f>
        <v>0</v>
      </c>
      <c r="BW508" s="3">
        <f>+IF(AVANCE[[#This Row],[INSTALACION VINILICO]]=AJ$2,100%,AVANCE[[#This Row],[INSTALACION VINILICO]])</f>
        <v>0</v>
      </c>
      <c r="BX508" s="3">
        <f>+IF(AVANCE[[#This Row],[OSB CUBIERTA]]=AK$2,100%,AVANCE[[#This Row],[OSB CUBIERTA]])</f>
        <v>0</v>
      </c>
      <c r="BY508" s="3">
        <f>+IF(AVANCE[[#This Row],[BARANDA BALCON]]=AL$2,100%,AVANCE[[#This Row],[BARANDA BALCON]])</f>
        <v>0</v>
      </c>
      <c r="BZ508" s="3">
        <f>+IF(AVANCE[[#This Row],[OSB EXTERIOR]]=AM$2,100%,AVANCE[[#This Row],[OSB EXTERIOR]])</f>
        <v>0</v>
      </c>
      <c r="CA508" s="3">
        <f>+IF(AVANCE[[#This Row],[SMART PANEL]]=AN$2,100%,AVANCE[[#This Row],[SMART PANEL]])</f>
        <v>0</v>
      </c>
      <c r="CB508" s="3">
        <f>+IF(AVANCE[[#This Row],[PINTURA EXTERIOR]]=AO$2,100%,AVANCE[[#This Row],[PINTURA EXTERIOR]])</f>
        <v>0</v>
      </c>
      <c r="CC508" s="3">
        <f>+IF(AVANCE[[#This Row],[ZOCALOS LOGIA]]=AP$2,100%,AVANCE[[#This Row],[ZOCALOS LOGIA]])</f>
        <v>0</v>
      </c>
      <c r="CD508" s="3">
        <f>+IF(AVANCE[[#This Row],[MOLDURAS]]=AQ$2,100%,AVANCE[[#This Row],[MOLDURAS]])</f>
        <v>0</v>
      </c>
      <c r="CE508" s="3">
        <f>+IF(AVANCE[[#This Row],[PILASTREO]]=AR$2,100%,AVANCE[[#This Row],[PILASTREO]])</f>
        <v>0</v>
      </c>
      <c r="CF508" s="3">
        <f>+IF(AVANCE[[#This Row],[CELOSIAS]]=AS$2,100%,AVANCE[[#This Row],[CELOSIAS]])</f>
        <v>0</v>
      </c>
      <c r="CG508" s="3">
        <f>+IF(AVANCE[[#This Row],[VENTANAS]]=AT$2,100%,AVANCE[[#This Row],[VENTANAS]])</f>
        <v>0</v>
      </c>
      <c r="CH508" s="3">
        <f>+IF(AVANCE[[#This Row],[PUERTAS ACCESO - LOGIA - BANO]]=AU$2,100%,AVANCE[[#This Row],[PUERTAS ACCESO - LOGIA - BANO]])</f>
        <v>0</v>
      </c>
      <c r="CI508" s="3">
        <f>+IF(AVANCE[[#This Row],[CERRADURAS]]=AV$2,100%,AVANCE[[#This Row],[CERRADURAS]])</f>
        <v>0</v>
      </c>
      <c r="CJ508" s="3">
        <f>+IF(AVANCE[[#This Row],[REVESTIMIENTO INTERIOR ZONA SECA]]=AW$2,100%,AVANCE[[#This Row],[REVESTIMIENTO INTERIOR ZONA SECA]])</f>
        <v>0</v>
      </c>
      <c r="CK508" s="3">
        <f>+IF(AVANCE[[#This Row],[REVESTIMIENTO INTERIOR ZONAS HUMEDAS]]=AX$2,100%,AVANCE[[#This Row],[REVESTIMIENTO INTERIOR ZONAS HUMEDAS]])</f>
        <v>0</v>
      </c>
      <c r="CL508" s="3">
        <f>+IF(AVANCE[[#This Row],[MEMBRANA CIELO]]=AY$2,100%,AVANCE[[#This Row],[MEMBRANA CIELO]])</f>
        <v>0</v>
      </c>
      <c r="CM508" s="3">
        <f>+IF(AVANCE[[#This Row],[LIMPIEZA FINAL]]=AZ$2,100%,AVANCE[[#This Row],[LIMPIEZA FINAL]])</f>
        <v>0</v>
      </c>
      <c r="CN508" s="3">
        <f>+IF(AVANCE[[#This Row],[PUERTAS DORMITORIO]]=BA$2,100%,AVANCE[[#This Row],[PUERTAS DORMITORIO]])</f>
        <v>0</v>
      </c>
      <c r="CO508" s="3">
        <f>+IF(AVANCE[[#This Row],[REVESTIMIENTO INTERIOR BANO]]=BB$2,100%,AVANCE[[#This Row],[REVESTIMIENTO INTERIOR BANO]])</f>
        <v>0</v>
      </c>
      <c r="CP508" s="3">
        <f>+IF(AVANCE[[#This Row],[MUEBLE LAVAPLATOS]]=BC$2,100%,AVANCE[[#This Row],[MUEBLE LAVAPLATOS]])</f>
        <v>0</v>
      </c>
      <c r="CQ508" s="3">
        <f>+IF(AVANCE[[#This Row],[IMPERMEABILIZACION BANO - COCINA LOGIA]]=BD$2,100%,AVANCE[[#This Row],[IMPERMEABILIZACION BANO - COCINA LOGIA]])</f>
        <v>0</v>
      </c>
      <c r="CR508" s="40">
        <f ca="1">+IF(AVANCE[[#This Row],[ESTADO MODULO]]="PENDIENTE",(TODAY()-AVANCE[[#This Row],[FECHA TERMINO  PLANIFICADO]]),0)</f>
        <v>0</v>
      </c>
      <c r="CS508" s="42" t="str" cm="1">
        <f t="array" ref="CS508">_xlfn.TEXTJOIN(" | ",TRUE,IF(SUMPRODUCT((BF508:CQ508&lt;1)*(PARTIDAS!$I$2:$AT$2="OBRA GRUESA"))&gt;0,"OBRA GRUESA: "&amp;_xlfn.TEXTJOIN(", ",TRUE,IF((BF508:CQ508&lt;1)*(PARTIDAS!$I$2:$AT$2="OBRA GRUESA"),PARTIDAS!$I$1:$AT$1,"")),""),IF(SUMPRODUCT((BF508:CQ508&lt;1)*(PARTIDAS!$I$2:$AT$2="SANITARIOS"))&gt;0,"SANITARIOS: "&amp;_xlfn.TEXTJOIN(", ",TRUE,IF((BF508:CQ508&lt;1)*(PARTIDAS!$I$2:$AT$2="SANITARIOS"),PARTIDAS!$I$1:$AT$1,"")),""),IF(SUMPRODUCT((BF508:CQ508&lt;1)*(PARTIDAS!$I$2:$AT$2="ELÉCTRICO"))&gt;0,"ELÉCTRICO: "&amp;_xlfn.TEXTJOIN(", ",TRUE,IF((BF508:CQ508&lt;1)*(PARTIDAS!$I$2:$AT$2="ELÉCTRICO"),PARTIDAS!$I$1:$AT$1,"")),""),IF(SUMPRODUCT((BF508:CQ508&lt;1)*(PARTIDAS!$I$2:$AT$2="TERMINACIONES"))&gt;0,"TERMINACIONES: "&amp;_xlfn.TEXTJOIN(", ",TRUE,IF((BF508:CQ508&lt;1)*(PARTIDAS!$I$2:$AT$2="TERMINACIONES"),PARTIDAS!$I$1:$AT$1,"")),""))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8" s="45" t="str" cm="1">
        <f t="array" ref="CT508">_xlfn.TEXTJOIN(", ",TRUE,IF(SUMPRODUCT((BF508:CQ508&lt;1)*(PARTIDAS!$I$2:$AT$2="OBRA GRUESA"))&gt;0,"OBRA GRUESA",""),IF(SUMPRODUCT((BF508:CQ508&lt;1)*(PARTIDAS!$I$2:$AT$2="SANITARIOS"))&gt;0,"SANITARIOS",""),IF(SUMPRODUCT((BF508:CQ508&lt;1)*(PARTIDAS!$I$2:$AT$2="ELÉCTRICO"))&gt;0,"ELÉCTRICO",""),IF(SUMPRODUCT((BF508:CQ508&lt;1)*(PARTIDAS!$I$2:$AT$2="TERMINACIONES"))&gt;0,"TERMINACIONES",""))</f>
        <v>OBRA GRUESA, SANITARIOS, ELÉCTRICO, TERMINACIONES</v>
      </c>
      <c r="CU508" s="46" cm="1">
        <f t="array" ref="CU508">SUMPRODUCT(--(BF508:CQ508&lt;1))</f>
        <v>38</v>
      </c>
    </row>
    <row r="509" spans="1:99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46181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 s="3" t="str">
        <f>+IF(AVANCE[[#This Row],[% AVANCE]]=100%,"MODULO TERMINADO",IF(AVANCE[[#This Row],[FECHA INICIO REAL]]="","MODULO NO INICIADO","PENDIENTE"))</f>
        <v>MODULO NO INICIADO</v>
      </c>
      <c r="BF509" s="3">
        <f>+IF(AVANCE[[#This Row],[VENTANAS]]=8.10810810810811%,100%,AVANCE[[#This Row],[VENTANAS]])</f>
        <v>0</v>
      </c>
      <c r="BG509" s="3">
        <f>+IF(AVANCE[[#This Row],[PISO]]=N$2,100%,AVANCE[[#This Row],[PISO]])</f>
        <v>0</v>
      </c>
      <c r="BH509" s="3">
        <f>+IF(AVANCE[[#This Row],[TABIQUES]]=O$2,100%,AVANCE[[#This Row],[TABIQUES]])</f>
        <v>0</v>
      </c>
      <c r="BI509" s="3">
        <f>+IF(AVANCE[[#This Row],[MUROS]]=P$2,100%,AVANCE[[#This Row],[MUROS]])</f>
        <v>0</v>
      </c>
      <c r="BJ509" s="3">
        <f>+IF(AVANCE[[#This Row],[CIELO]]=Q$2,100%,AVANCE[[#This Row],[CIELO]])</f>
        <v>0</v>
      </c>
      <c r="BK509" s="3">
        <f>+IF(AVANCE[[#This Row],[BALCÓN]]=R$2,100%,AVANCE[[#This Row],[BALCÓN]])</f>
        <v>0</v>
      </c>
      <c r="BL509" s="3">
        <f>+IF(AVANCE[[#This Row],[RED ALCANTARILLADO]]=U$2,100%,AVANCE[[#This Row],[RED ALCANTARILLADO]])</f>
        <v>0</v>
      </c>
      <c r="BM509" s="3">
        <f>+IF(AVANCE[[#This Row],[RED DE AGUA]]=V$2,100%,AVANCE[[#This Row],[RED DE AGUA]])</f>
        <v>0</v>
      </c>
      <c r="BN509" s="3">
        <f>+IF(AVANCE[[#This Row],[VENTILACIONES]]=W$2,100%,AVANCE[[#This Row],[VENTILACIONES]])</f>
        <v>0</v>
      </c>
      <c r="BO509" s="3">
        <f>+IF(AVANCE[[#This Row],[TINA]]=X$2,100%,AVANCE[[#This Row],[TINA]])</f>
        <v>0</v>
      </c>
      <c r="BP509" s="3">
        <f>+IF(AVANCE[[#This Row],[WC]]=Y$2,100%,AVANCE[[#This Row],[WC]])</f>
        <v>0</v>
      </c>
      <c r="BQ509" s="3">
        <f>+IF(AVANCE[[#This Row],[LAVAMANOS / LAVAPLATOS / LAVADERO]]=Z$2,100%,AVANCE[[#This Row],[LAVAMANOS / LAVAPLATOS / LAVADERO]])</f>
        <v>0</v>
      </c>
      <c r="BR509" s="3">
        <f>+IF(AVANCE[[#This Row],[CANALIZACIÓN]]=AC$2,100%,AVANCE[[#This Row],[CANALIZACIÓN]])</f>
        <v>0</v>
      </c>
      <c r="BS509" s="3">
        <f>+IF(AVANCE[[#This Row],[CABLEADO]]=AD$2,100%,AVANCE[[#This Row],[CABLEADO]])</f>
        <v>0</v>
      </c>
      <c r="BT509" s="3">
        <f>+IF(AVANCE[[#This Row],[ARTEFACTOS]]=AE$2,100%,AVANCE[[#This Row],[ARTEFACTOS]])</f>
        <v>0</v>
      </c>
      <c r="BU509" s="3">
        <f>+IF(AVANCE[[#This Row],[TABLERO]]=AF$2,100%,AVANCE[[#This Row],[TABLERO]])</f>
        <v>0</v>
      </c>
      <c r="BV509" s="3">
        <f>+IF(AVANCE[[#This Row],[CAJA PAU]]=AG$2,100%,AVANCE[[#This Row],[CAJA PAU]])</f>
        <v>0</v>
      </c>
      <c r="BW509" s="3">
        <f>+IF(AVANCE[[#This Row],[INSTALACION VINILICO]]=AJ$2,100%,AVANCE[[#This Row],[INSTALACION VINILICO]])</f>
        <v>0</v>
      </c>
      <c r="BX509" s="3">
        <f>+IF(AVANCE[[#This Row],[OSB CUBIERTA]]=AK$2,100%,AVANCE[[#This Row],[OSB CUBIERTA]])</f>
        <v>0</v>
      </c>
      <c r="BY509" s="3">
        <f>+IF(AVANCE[[#This Row],[BARANDA BALCON]]=AL$2,100%,AVANCE[[#This Row],[BARANDA BALCON]])</f>
        <v>0</v>
      </c>
      <c r="BZ509" s="3">
        <f>+IF(AVANCE[[#This Row],[OSB EXTERIOR]]=AM$2,100%,AVANCE[[#This Row],[OSB EXTERIOR]])</f>
        <v>0</v>
      </c>
      <c r="CA509" s="3">
        <f>+IF(AVANCE[[#This Row],[SMART PANEL]]=AN$2,100%,AVANCE[[#This Row],[SMART PANEL]])</f>
        <v>0</v>
      </c>
      <c r="CB509" s="3">
        <f>+IF(AVANCE[[#This Row],[PINTURA EXTERIOR]]=AO$2,100%,AVANCE[[#This Row],[PINTURA EXTERIOR]])</f>
        <v>0</v>
      </c>
      <c r="CC509" s="3">
        <f>+IF(AVANCE[[#This Row],[ZOCALOS LOGIA]]=AP$2,100%,AVANCE[[#This Row],[ZOCALOS LOGIA]])</f>
        <v>0</v>
      </c>
      <c r="CD509" s="3">
        <f>+IF(AVANCE[[#This Row],[MOLDURAS]]=AQ$2,100%,AVANCE[[#This Row],[MOLDURAS]])</f>
        <v>0</v>
      </c>
      <c r="CE509" s="3">
        <f>+IF(AVANCE[[#This Row],[PILASTREO]]=AR$2,100%,AVANCE[[#This Row],[PILASTREO]])</f>
        <v>0</v>
      </c>
      <c r="CF509" s="3">
        <f>+IF(AVANCE[[#This Row],[CELOSIAS]]=AS$2,100%,AVANCE[[#This Row],[CELOSIAS]])</f>
        <v>0</v>
      </c>
      <c r="CG509" s="3">
        <f>+IF(AVANCE[[#This Row],[VENTANAS]]=AT$2,100%,AVANCE[[#This Row],[VENTANAS]])</f>
        <v>0</v>
      </c>
      <c r="CH509" s="3">
        <f>+IF(AVANCE[[#This Row],[PUERTAS ACCESO - LOGIA - BANO]]=AU$2,100%,AVANCE[[#This Row],[PUERTAS ACCESO - LOGIA - BANO]])</f>
        <v>0</v>
      </c>
      <c r="CI509" s="3">
        <f>+IF(AVANCE[[#This Row],[CERRADURAS]]=AV$2,100%,AVANCE[[#This Row],[CERRADURAS]])</f>
        <v>0</v>
      </c>
      <c r="CJ509" s="3">
        <f>+IF(AVANCE[[#This Row],[REVESTIMIENTO INTERIOR ZONA SECA]]=AW$2,100%,AVANCE[[#This Row],[REVESTIMIENTO INTERIOR ZONA SECA]])</f>
        <v>0</v>
      </c>
      <c r="CK509" s="3">
        <f>+IF(AVANCE[[#This Row],[REVESTIMIENTO INTERIOR ZONAS HUMEDAS]]=AX$2,100%,AVANCE[[#This Row],[REVESTIMIENTO INTERIOR ZONAS HUMEDAS]])</f>
        <v>0</v>
      </c>
      <c r="CL509" s="3">
        <f>+IF(AVANCE[[#This Row],[MEMBRANA CIELO]]=AY$2,100%,AVANCE[[#This Row],[MEMBRANA CIELO]])</f>
        <v>0</v>
      </c>
      <c r="CM509" s="3">
        <f>+IF(AVANCE[[#This Row],[LIMPIEZA FINAL]]=AZ$2,100%,AVANCE[[#This Row],[LIMPIEZA FINAL]])</f>
        <v>0</v>
      </c>
      <c r="CN509" s="3">
        <f>+IF(AVANCE[[#This Row],[PUERTAS DORMITORIO]]=BA$2,100%,AVANCE[[#This Row],[PUERTAS DORMITORIO]])</f>
        <v>0</v>
      </c>
      <c r="CO509" s="3">
        <f>+IF(AVANCE[[#This Row],[REVESTIMIENTO INTERIOR BANO]]=BB$2,100%,AVANCE[[#This Row],[REVESTIMIENTO INTERIOR BANO]])</f>
        <v>0</v>
      </c>
      <c r="CP509" s="3">
        <f>+IF(AVANCE[[#This Row],[MUEBLE LAVAPLATOS]]=BC$2,100%,AVANCE[[#This Row],[MUEBLE LAVAPLATOS]])</f>
        <v>0</v>
      </c>
      <c r="CQ509" s="3">
        <f>+IF(AVANCE[[#This Row],[IMPERMEABILIZACION BANO - COCINA LOGIA]]=BD$2,100%,AVANCE[[#This Row],[IMPERMEABILIZACION BANO - COCINA LOGIA]])</f>
        <v>0</v>
      </c>
      <c r="CR509" s="40">
        <f ca="1">+IF(AVANCE[[#This Row],[ESTADO MODULO]]="PENDIENTE",(TODAY()-AVANCE[[#This Row],[FECHA TERMINO  PLANIFICADO]]),0)</f>
        <v>0</v>
      </c>
      <c r="CS509" s="42" t="str" cm="1">
        <f t="array" ref="CS509">_xlfn.TEXTJOIN(" | ",TRUE,IF(SUMPRODUCT((BF509:CQ509&lt;1)*(PARTIDAS!$I$2:$AT$2="OBRA GRUESA"))&gt;0,"OBRA GRUESA: "&amp;_xlfn.TEXTJOIN(", ",TRUE,IF((BF509:CQ509&lt;1)*(PARTIDAS!$I$2:$AT$2="OBRA GRUESA"),PARTIDAS!$I$1:$AT$1,"")),""),IF(SUMPRODUCT((BF509:CQ509&lt;1)*(PARTIDAS!$I$2:$AT$2="SANITARIOS"))&gt;0,"SANITARIOS: "&amp;_xlfn.TEXTJOIN(", ",TRUE,IF((BF509:CQ509&lt;1)*(PARTIDAS!$I$2:$AT$2="SANITARIOS"),PARTIDAS!$I$1:$AT$1,"")),""),IF(SUMPRODUCT((BF509:CQ509&lt;1)*(PARTIDAS!$I$2:$AT$2="ELÉCTRICO"))&gt;0,"ELÉCTRICO: "&amp;_xlfn.TEXTJOIN(", ",TRUE,IF((BF509:CQ509&lt;1)*(PARTIDAS!$I$2:$AT$2="ELÉCTRICO"),PARTIDAS!$I$1:$AT$1,"")),""),IF(SUMPRODUCT((BF509:CQ509&lt;1)*(PARTIDAS!$I$2:$AT$2="TERMINACIONES"))&gt;0,"TERMINACIONES: "&amp;_xlfn.TEXTJOIN(", ",TRUE,IF((BF509:CQ509&lt;1)*(PARTIDAS!$I$2:$AT$2="TERMINACIONES"),PARTIDAS!$I$1:$AT$1,"")),""))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09" s="45" t="str" cm="1">
        <f t="array" ref="CT509">_xlfn.TEXTJOIN(", ",TRUE,IF(SUMPRODUCT((BF509:CQ509&lt;1)*(PARTIDAS!$I$2:$AT$2="OBRA GRUESA"))&gt;0,"OBRA GRUESA",""),IF(SUMPRODUCT((BF509:CQ509&lt;1)*(PARTIDAS!$I$2:$AT$2="SANITARIOS"))&gt;0,"SANITARIOS",""),IF(SUMPRODUCT((BF509:CQ509&lt;1)*(PARTIDAS!$I$2:$AT$2="ELÉCTRICO"))&gt;0,"ELÉCTRICO",""),IF(SUMPRODUCT((BF509:CQ509&lt;1)*(PARTIDAS!$I$2:$AT$2="TERMINACIONES"))&gt;0,"TERMINACIONES",""))</f>
        <v>OBRA GRUESA, SANITARIOS, ELÉCTRICO, TERMINACIONES</v>
      </c>
      <c r="CU509" s="46" cm="1">
        <f t="array" ref="CU509">SUMPRODUCT(--(BF509:CQ509&lt;1))</f>
        <v>38</v>
      </c>
    </row>
    <row r="510" spans="1:99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46181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 s="3" t="str">
        <f>+IF(AVANCE[[#This Row],[% AVANCE]]=100%,"MODULO TERMINADO",IF(AVANCE[[#This Row],[FECHA INICIO REAL]]="","MODULO NO INICIADO","PENDIENTE"))</f>
        <v>MODULO NO INICIADO</v>
      </c>
      <c r="BF510" s="3">
        <f>+IF(AVANCE[[#This Row],[VENTANAS]]=8.10810810810811%,100%,AVANCE[[#This Row],[VENTANAS]])</f>
        <v>0</v>
      </c>
      <c r="BG510" s="3">
        <f>+IF(AVANCE[[#This Row],[PISO]]=N$2,100%,AVANCE[[#This Row],[PISO]])</f>
        <v>0</v>
      </c>
      <c r="BH510" s="3">
        <f>+IF(AVANCE[[#This Row],[TABIQUES]]=O$2,100%,AVANCE[[#This Row],[TABIQUES]])</f>
        <v>0</v>
      </c>
      <c r="BI510" s="3">
        <f>+IF(AVANCE[[#This Row],[MUROS]]=P$2,100%,AVANCE[[#This Row],[MUROS]])</f>
        <v>0</v>
      </c>
      <c r="BJ510" s="3">
        <f>+IF(AVANCE[[#This Row],[CIELO]]=Q$2,100%,AVANCE[[#This Row],[CIELO]])</f>
        <v>0</v>
      </c>
      <c r="BK510" s="3">
        <f>+IF(AVANCE[[#This Row],[BALCÓN]]=R$2,100%,AVANCE[[#This Row],[BALCÓN]])</f>
        <v>0</v>
      </c>
      <c r="BL510" s="3">
        <f>+IF(AVANCE[[#This Row],[RED ALCANTARILLADO]]=U$2,100%,AVANCE[[#This Row],[RED ALCANTARILLADO]])</f>
        <v>0</v>
      </c>
      <c r="BM510" s="3">
        <f>+IF(AVANCE[[#This Row],[RED DE AGUA]]=V$2,100%,AVANCE[[#This Row],[RED DE AGUA]])</f>
        <v>0</v>
      </c>
      <c r="BN510" s="3">
        <f>+IF(AVANCE[[#This Row],[VENTILACIONES]]=W$2,100%,AVANCE[[#This Row],[VENTILACIONES]])</f>
        <v>0</v>
      </c>
      <c r="BO510" s="3">
        <f>+IF(AVANCE[[#This Row],[TINA]]=X$2,100%,AVANCE[[#This Row],[TINA]])</f>
        <v>0</v>
      </c>
      <c r="BP510" s="3">
        <f>+IF(AVANCE[[#This Row],[WC]]=Y$2,100%,AVANCE[[#This Row],[WC]])</f>
        <v>0</v>
      </c>
      <c r="BQ510" s="3">
        <f>+IF(AVANCE[[#This Row],[LAVAMANOS / LAVAPLATOS / LAVADERO]]=Z$2,100%,AVANCE[[#This Row],[LAVAMANOS / LAVAPLATOS / LAVADERO]])</f>
        <v>0</v>
      </c>
      <c r="BR510" s="3">
        <f>+IF(AVANCE[[#This Row],[CANALIZACIÓN]]=AC$2,100%,AVANCE[[#This Row],[CANALIZACIÓN]])</f>
        <v>0</v>
      </c>
      <c r="BS510" s="3">
        <f>+IF(AVANCE[[#This Row],[CABLEADO]]=AD$2,100%,AVANCE[[#This Row],[CABLEADO]])</f>
        <v>0</v>
      </c>
      <c r="BT510" s="3">
        <f>+IF(AVANCE[[#This Row],[ARTEFACTOS]]=AE$2,100%,AVANCE[[#This Row],[ARTEFACTOS]])</f>
        <v>0</v>
      </c>
      <c r="BU510" s="3">
        <f>+IF(AVANCE[[#This Row],[TABLERO]]=AF$2,100%,AVANCE[[#This Row],[TABLERO]])</f>
        <v>0</v>
      </c>
      <c r="BV510" s="3">
        <f>+IF(AVANCE[[#This Row],[CAJA PAU]]=AG$2,100%,AVANCE[[#This Row],[CAJA PAU]])</f>
        <v>0</v>
      </c>
      <c r="BW510" s="3">
        <f>+IF(AVANCE[[#This Row],[INSTALACION VINILICO]]=AJ$2,100%,AVANCE[[#This Row],[INSTALACION VINILICO]])</f>
        <v>0</v>
      </c>
      <c r="BX510" s="3">
        <f>+IF(AVANCE[[#This Row],[OSB CUBIERTA]]=AK$2,100%,AVANCE[[#This Row],[OSB CUBIERTA]])</f>
        <v>0</v>
      </c>
      <c r="BY510" s="3">
        <f>+IF(AVANCE[[#This Row],[BARANDA BALCON]]=AL$2,100%,AVANCE[[#This Row],[BARANDA BALCON]])</f>
        <v>0</v>
      </c>
      <c r="BZ510" s="3">
        <f>+IF(AVANCE[[#This Row],[OSB EXTERIOR]]=AM$2,100%,AVANCE[[#This Row],[OSB EXTERIOR]])</f>
        <v>0</v>
      </c>
      <c r="CA510" s="3">
        <f>+IF(AVANCE[[#This Row],[SMART PANEL]]=AN$2,100%,AVANCE[[#This Row],[SMART PANEL]])</f>
        <v>0</v>
      </c>
      <c r="CB510" s="3">
        <f>+IF(AVANCE[[#This Row],[PINTURA EXTERIOR]]=AO$2,100%,AVANCE[[#This Row],[PINTURA EXTERIOR]])</f>
        <v>0</v>
      </c>
      <c r="CC510" s="3">
        <f>+IF(AVANCE[[#This Row],[ZOCALOS LOGIA]]=AP$2,100%,AVANCE[[#This Row],[ZOCALOS LOGIA]])</f>
        <v>0</v>
      </c>
      <c r="CD510" s="3">
        <f>+IF(AVANCE[[#This Row],[MOLDURAS]]=AQ$2,100%,AVANCE[[#This Row],[MOLDURAS]])</f>
        <v>0</v>
      </c>
      <c r="CE510" s="3">
        <f>+IF(AVANCE[[#This Row],[PILASTREO]]=AR$2,100%,AVANCE[[#This Row],[PILASTREO]])</f>
        <v>0</v>
      </c>
      <c r="CF510" s="3">
        <f>+IF(AVANCE[[#This Row],[CELOSIAS]]=AS$2,100%,AVANCE[[#This Row],[CELOSIAS]])</f>
        <v>0</v>
      </c>
      <c r="CG510" s="3">
        <f>+IF(AVANCE[[#This Row],[VENTANAS]]=AT$2,100%,AVANCE[[#This Row],[VENTANAS]])</f>
        <v>0</v>
      </c>
      <c r="CH510" s="3">
        <f>+IF(AVANCE[[#This Row],[PUERTAS ACCESO - LOGIA - BANO]]=AU$2,100%,AVANCE[[#This Row],[PUERTAS ACCESO - LOGIA - BANO]])</f>
        <v>0</v>
      </c>
      <c r="CI510" s="3">
        <f>+IF(AVANCE[[#This Row],[CERRADURAS]]=AV$2,100%,AVANCE[[#This Row],[CERRADURAS]])</f>
        <v>0</v>
      </c>
      <c r="CJ510" s="3">
        <f>+IF(AVANCE[[#This Row],[REVESTIMIENTO INTERIOR ZONA SECA]]=AW$2,100%,AVANCE[[#This Row],[REVESTIMIENTO INTERIOR ZONA SECA]])</f>
        <v>0</v>
      </c>
      <c r="CK510" s="3">
        <f>+IF(AVANCE[[#This Row],[REVESTIMIENTO INTERIOR ZONAS HUMEDAS]]=AX$2,100%,AVANCE[[#This Row],[REVESTIMIENTO INTERIOR ZONAS HUMEDAS]])</f>
        <v>0</v>
      </c>
      <c r="CL510" s="3">
        <f>+IF(AVANCE[[#This Row],[MEMBRANA CIELO]]=AY$2,100%,AVANCE[[#This Row],[MEMBRANA CIELO]])</f>
        <v>0</v>
      </c>
      <c r="CM510" s="3">
        <f>+IF(AVANCE[[#This Row],[LIMPIEZA FINAL]]=AZ$2,100%,AVANCE[[#This Row],[LIMPIEZA FINAL]])</f>
        <v>0</v>
      </c>
      <c r="CN510" s="3">
        <f>+IF(AVANCE[[#This Row],[PUERTAS DORMITORIO]]=BA$2,100%,AVANCE[[#This Row],[PUERTAS DORMITORIO]])</f>
        <v>0</v>
      </c>
      <c r="CO510" s="3">
        <f>+IF(AVANCE[[#This Row],[REVESTIMIENTO INTERIOR BANO]]=BB$2,100%,AVANCE[[#This Row],[REVESTIMIENTO INTERIOR BANO]])</f>
        <v>0</v>
      </c>
      <c r="CP510" s="3">
        <f>+IF(AVANCE[[#This Row],[MUEBLE LAVAPLATOS]]=BC$2,100%,AVANCE[[#This Row],[MUEBLE LAVAPLATOS]])</f>
        <v>0</v>
      </c>
      <c r="CQ510" s="3">
        <f>+IF(AVANCE[[#This Row],[IMPERMEABILIZACION BANO - COCINA LOGIA]]=BD$2,100%,AVANCE[[#This Row],[IMPERMEABILIZACION BANO - COCINA LOGIA]])</f>
        <v>0</v>
      </c>
      <c r="CR510" s="40">
        <f ca="1">+IF(AVANCE[[#This Row],[ESTADO MODULO]]="PENDIENTE",(TODAY()-AVANCE[[#This Row],[FECHA TERMINO  PLANIFICADO]]),0)</f>
        <v>0</v>
      </c>
      <c r="CS510" s="42" t="str" cm="1">
        <f t="array" ref="CS510">_xlfn.TEXTJOIN(" | ",TRUE,IF(SUMPRODUCT((BF510:CQ510&lt;1)*(PARTIDAS!$I$2:$AT$2="OBRA GRUESA"))&gt;0,"OBRA GRUESA: "&amp;_xlfn.TEXTJOIN(", ",TRUE,IF((BF510:CQ510&lt;1)*(PARTIDAS!$I$2:$AT$2="OBRA GRUESA"),PARTIDAS!$I$1:$AT$1,"")),""),IF(SUMPRODUCT((BF510:CQ510&lt;1)*(PARTIDAS!$I$2:$AT$2="SANITARIOS"))&gt;0,"SANITARIOS: "&amp;_xlfn.TEXTJOIN(", ",TRUE,IF((BF510:CQ510&lt;1)*(PARTIDAS!$I$2:$AT$2="SANITARIOS"),PARTIDAS!$I$1:$AT$1,"")),""),IF(SUMPRODUCT((BF510:CQ510&lt;1)*(PARTIDAS!$I$2:$AT$2="ELÉCTRICO"))&gt;0,"ELÉCTRICO: "&amp;_xlfn.TEXTJOIN(", ",TRUE,IF((BF510:CQ510&lt;1)*(PARTIDAS!$I$2:$AT$2="ELÉCTRICO"),PARTIDAS!$I$1:$AT$1,"")),""),IF(SUMPRODUCT((BF510:CQ510&lt;1)*(PARTIDAS!$I$2:$AT$2="TERMINACIONES"))&gt;0,"TERMINACIONES: "&amp;_xlfn.TEXTJOIN(", ",TRUE,IF((BF510:CQ510&lt;1)*(PARTIDAS!$I$2:$AT$2="TERMINACIONES"),PARTIDAS!$I$1:$AT$1,"")),""))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0" s="45" t="str" cm="1">
        <f t="array" ref="CT510">_xlfn.TEXTJOIN(", ",TRUE,IF(SUMPRODUCT((BF510:CQ510&lt;1)*(PARTIDAS!$I$2:$AT$2="OBRA GRUESA"))&gt;0,"OBRA GRUESA",""),IF(SUMPRODUCT((BF510:CQ510&lt;1)*(PARTIDAS!$I$2:$AT$2="SANITARIOS"))&gt;0,"SANITARIOS",""),IF(SUMPRODUCT((BF510:CQ510&lt;1)*(PARTIDAS!$I$2:$AT$2="ELÉCTRICO"))&gt;0,"ELÉCTRICO",""),IF(SUMPRODUCT((BF510:CQ510&lt;1)*(PARTIDAS!$I$2:$AT$2="TERMINACIONES"))&gt;0,"TERMINACIONES",""))</f>
        <v>OBRA GRUESA, SANITARIOS, ELÉCTRICO, TERMINACIONES</v>
      </c>
      <c r="CU510" s="46" cm="1">
        <f t="array" ref="CU510">SUMPRODUCT(--(BF510:CQ510&lt;1))</f>
        <v>38</v>
      </c>
    </row>
    <row r="511" spans="1:99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46181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 s="3" t="str">
        <f>+IF(AVANCE[[#This Row],[% AVANCE]]=100%,"MODULO TERMINADO",IF(AVANCE[[#This Row],[FECHA INICIO REAL]]="","MODULO NO INICIADO","PENDIENTE"))</f>
        <v>MODULO NO INICIADO</v>
      </c>
      <c r="BF511" s="3">
        <f>+IF(AVANCE[[#This Row],[VENTANAS]]=8.10810810810811%,100%,AVANCE[[#This Row],[VENTANAS]])</f>
        <v>0</v>
      </c>
      <c r="BG511" s="3">
        <f>+IF(AVANCE[[#This Row],[PISO]]=N$2,100%,AVANCE[[#This Row],[PISO]])</f>
        <v>0</v>
      </c>
      <c r="BH511" s="3">
        <f>+IF(AVANCE[[#This Row],[TABIQUES]]=O$2,100%,AVANCE[[#This Row],[TABIQUES]])</f>
        <v>0</v>
      </c>
      <c r="BI511" s="3">
        <f>+IF(AVANCE[[#This Row],[MUROS]]=P$2,100%,AVANCE[[#This Row],[MUROS]])</f>
        <v>0</v>
      </c>
      <c r="BJ511" s="3">
        <f>+IF(AVANCE[[#This Row],[CIELO]]=Q$2,100%,AVANCE[[#This Row],[CIELO]])</f>
        <v>0</v>
      </c>
      <c r="BK511" s="3">
        <f>+IF(AVANCE[[#This Row],[BALCÓN]]=R$2,100%,AVANCE[[#This Row],[BALCÓN]])</f>
        <v>0</v>
      </c>
      <c r="BL511" s="3">
        <f>+IF(AVANCE[[#This Row],[RED ALCANTARILLADO]]=U$2,100%,AVANCE[[#This Row],[RED ALCANTARILLADO]])</f>
        <v>0</v>
      </c>
      <c r="BM511" s="3">
        <f>+IF(AVANCE[[#This Row],[RED DE AGUA]]=V$2,100%,AVANCE[[#This Row],[RED DE AGUA]])</f>
        <v>0</v>
      </c>
      <c r="BN511" s="3">
        <f>+IF(AVANCE[[#This Row],[VENTILACIONES]]=W$2,100%,AVANCE[[#This Row],[VENTILACIONES]])</f>
        <v>0</v>
      </c>
      <c r="BO511" s="3">
        <f>+IF(AVANCE[[#This Row],[TINA]]=X$2,100%,AVANCE[[#This Row],[TINA]])</f>
        <v>0</v>
      </c>
      <c r="BP511" s="3">
        <f>+IF(AVANCE[[#This Row],[WC]]=Y$2,100%,AVANCE[[#This Row],[WC]])</f>
        <v>0</v>
      </c>
      <c r="BQ511" s="3">
        <f>+IF(AVANCE[[#This Row],[LAVAMANOS / LAVAPLATOS / LAVADERO]]=Z$2,100%,AVANCE[[#This Row],[LAVAMANOS / LAVAPLATOS / LAVADERO]])</f>
        <v>0</v>
      </c>
      <c r="BR511" s="3">
        <f>+IF(AVANCE[[#This Row],[CANALIZACIÓN]]=AC$2,100%,AVANCE[[#This Row],[CANALIZACIÓN]])</f>
        <v>0</v>
      </c>
      <c r="BS511" s="3">
        <f>+IF(AVANCE[[#This Row],[CABLEADO]]=AD$2,100%,AVANCE[[#This Row],[CABLEADO]])</f>
        <v>0</v>
      </c>
      <c r="BT511" s="3">
        <f>+IF(AVANCE[[#This Row],[ARTEFACTOS]]=AE$2,100%,AVANCE[[#This Row],[ARTEFACTOS]])</f>
        <v>0</v>
      </c>
      <c r="BU511" s="3">
        <f>+IF(AVANCE[[#This Row],[TABLERO]]=AF$2,100%,AVANCE[[#This Row],[TABLERO]])</f>
        <v>0</v>
      </c>
      <c r="BV511" s="3">
        <f>+IF(AVANCE[[#This Row],[CAJA PAU]]=AG$2,100%,AVANCE[[#This Row],[CAJA PAU]])</f>
        <v>0</v>
      </c>
      <c r="BW511" s="3">
        <f>+IF(AVANCE[[#This Row],[INSTALACION VINILICO]]=AJ$2,100%,AVANCE[[#This Row],[INSTALACION VINILICO]])</f>
        <v>0</v>
      </c>
      <c r="BX511" s="3">
        <f>+IF(AVANCE[[#This Row],[OSB CUBIERTA]]=AK$2,100%,AVANCE[[#This Row],[OSB CUBIERTA]])</f>
        <v>0</v>
      </c>
      <c r="BY511" s="3">
        <f>+IF(AVANCE[[#This Row],[BARANDA BALCON]]=AL$2,100%,AVANCE[[#This Row],[BARANDA BALCON]])</f>
        <v>0</v>
      </c>
      <c r="BZ511" s="3">
        <f>+IF(AVANCE[[#This Row],[OSB EXTERIOR]]=AM$2,100%,AVANCE[[#This Row],[OSB EXTERIOR]])</f>
        <v>0</v>
      </c>
      <c r="CA511" s="3">
        <f>+IF(AVANCE[[#This Row],[SMART PANEL]]=AN$2,100%,AVANCE[[#This Row],[SMART PANEL]])</f>
        <v>0</v>
      </c>
      <c r="CB511" s="3">
        <f>+IF(AVANCE[[#This Row],[PINTURA EXTERIOR]]=AO$2,100%,AVANCE[[#This Row],[PINTURA EXTERIOR]])</f>
        <v>0</v>
      </c>
      <c r="CC511" s="3">
        <f>+IF(AVANCE[[#This Row],[ZOCALOS LOGIA]]=AP$2,100%,AVANCE[[#This Row],[ZOCALOS LOGIA]])</f>
        <v>0</v>
      </c>
      <c r="CD511" s="3">
        <f>+IF(AVANCE[[#This Row],[MOLDURAS]]=AQ$2,100%,AVANCE[[#This Row],[MOLDURAS]])</f>
        <v>0</v>
      </c>
      <c r="CE511" s="3">
        <f>+IF(AVANCE[[#This Row],[PILASTREO]]=AR$2,100%,AVANCE[[#This Row],[PILASTREO]])</f>
        <v>0</v>
      </c>
      <c r="CF511" s="3">
        <f>+IF(AVANCE[[#This Row],[CELOSIAS]]=AS$2,100%,AVANCE[[#This Row],[CELOSIAS]])</f>
        <v>0</v>
      </c>
      <c r="CG511" s="3">
        <f>+IF(AVANCE[[#This Row],[VENTANAS]]=AT$2,100%,AVANCE[[#This Row],[VENTANAS]])</f>
        <v>0</v>
      </c>
      <c r="CH511" s="3">
        <f>+IF(AVANCE[[#This Row],[PUERTAS ACCESO - LOGIA - BANO]]=AU$2,100%,AVANCE[[#This Row],[PUERTAS ACCESO - LOGIA - BANO]])</f>
        <v>0</v>
      </c>
      <c r="CI511" s="3">
        <f>+IF(AVANCE[[#This Row],[CERRADURAS]]=AV$2,100%,AVANCE[[#This Row],[CERRADURAS]])</f>
        <v>0</v>
      </c>
      <c r="CJ511" s="3">
        <f>+IF(AVANCE[[#This Row],[REVESTIMIENTO INTERIOR ZONA SECA]]=AW$2,100%,AVANCE[[#This Row],[REVESTIMIENTO INTERIOR ZONA SECA]])</f>
        <v>0</v>
      </c>
      <c r="CK511" s="3">
        <f>+IF(AVANCE[[#This Row],[REVESTIMIENTO INTERIOR ZONAS HUMEDAS]]=AX$2,100%,AVANCE[[#This Row],[REVESTIMIENTO INTERIOR ZONAS HUMEDAS]])</f>
        <v>0</v>
      </c>
      <c r="CL511" s="3">
        <f>+IF(AVANCE[[#This Row],[MEMBRANA CIELO]]=AY$2,100%,AVANCE[[#This Row],[MEMBRANA CIELO]])</f>
        <v>0</v>
      </c>
      <c r="CM511" s="3">
        <f>+IF(AVANCE[[#This Row],[LIMPIEZA FINAL]]=AZ$2,100%,AVANCE[[#This Row],[LIMPIEZA FINAL]])</f>
        <v>0</v>
      </c>
      <c r="CN511" s="3">
        <f>+IF(AVANCE[[#This Row],[PUERTAS DORMITORIO]]=BA$2,100%,AVANCE[[#This Row],[PUERTAS DORMITORIO]])</f>
        <v>0</v>
      </c>
      <c r="CO511" s="3">
        <f>+IF(AVANCE[[#This Row],[REVESTIMIENTO INTERIOR BANO]]=BB$2,100%,AVANCE[[#This Row],[REVESTIMIENTO INTERIOR BANO]])</f>
        <v>0</v>
      </c>
      <c r="CP511" s="3">
        <f>+IF(AVANCE[[#This Row],[MUEBLE LAVAPLATOS]]=BC$2,100%,AVANCE[[#This Row],[MUEBLE LAVAPLATOS]])</f>
        <v>0</v>
      </c>
      <c r="CQ511" s="3">
        <f>+IF(AVANCE[[#This Row],[IMPERMEABILIZACION BANO - COCINA LOGIA]]=BD$2,100%,AVANCE[[#This Row],[IMPERMEABILIZACION BANO - COCINA LOGIA]])</f>
        <v>0</v>
      </c>
      <c r="CR511" s="40">
        <f ca="1">+IF(AVANCE[[#This Row],[ESTADO MODULO]]="PENDIENTE",(TODAY()-AVANCE[[#This Row],[FECHA TERMINO  PLANIFICADO]]),0)</f>
        <v>0</v>
      </c>
      <c r="CS511" s="42" t="str" cm="1">
        <f t="array" ref="CS511">_xlfn.TEXTJOIN(" | ",TRUE,IF(SUMPRODUCT((BF511:CQ511&lt;1)*(PARTIDAS!$I$2:$AT$2="OBRA GRUESA"))&gt;0,"OBRA GRUESA: "&amp;_xlfn.TEXTJOIN(", ",TRUE,IF((BF511:CQ511&lt;1)*(PARTIDAS!$I$2:$AT$2="OBRA GRUESA"),PARTIDAS!$I$1:$AT$1,"")),""),IF(SUMPRODUCT((BF511:CQ511&lt;1)*(PARTIDAS!$I$2:$AT$2="SANITARIOS"))&gt;0,"SANITARIOS: "&amp;_xlfn.TEXTJOIN(", ",TRUE,IF((BF511:CQ511&lt;1)*(PARTIDAS!$I$2:$AT$2="SANITARIOS"),PARTIDAS!$I$1:$AT$1,"")),""),IF(SUMPRODUCT((BF511:CQ511&lt;1)*(PARTIDAS!$I$2:$AT$2="ELÉCTRICO"))&gt;0,"ELÉCTRICO: "&amp;_xlfn.TEXTJOIN(", ",TRUE,IF((BF511:CQ511&lt;1)*(PARTIDAS!$I$2:$AT$2="ELÉCTRICO"),PARTIDAS!$I$1:$AT$1,"")),""),IF(SUMPRODUCT((BF511:CQ511&lt;1)*(PARTIDAS!$I$2:$AT$2="TERMINACIONES"))&gt;0,"TERMINACIONES: "&amp;_xlfn.TEXTJOIN(", ",TRUE,IF((BF511:CQ511&lt;1)*(PARTIDAS!$I$2:$AT$2="TERMINACIONES"),PARTIDAS!$I$1:$AT$1,"")),""))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1" s="45" t="str" cm="1">
        <f t="array" ref="CT511">_xlfn.TEXTJOIN(", ",TRUE,IF(SUMPRODUCT((BF511:CQ511&lt;1)*(PARTIDAS!$I$2:$AT$2="OBRA GRUESA"))&gt;0,"OBRA GRUESA",""),IF(SUMPRODUCT((BF511:CQ511&lt;1)*(PARTIDAS!$I$2:$AT$2="SANITARIOS"))&gt;0,"SANITARIOS",""),IF(SUMPRODUCT((BF511:CQ511&lt;1)*(PARTIDAS!$I$2:$AT$2="ELÉCTRICO"))&gt;0,"ELÉCTRICO",""),IF(SUMPRODUCT((BF511:CQ511&lt;1)*(PARTIDAS!$I$2:$AT$2="TERMINACIONES"))&gt;0,"TERMINACIONES",""))</f>
        <v>OBRA GRUESA, SANITARIOS, ELÉCTRICO, TERMINACIONES</v>
      </c>
      <c r="CU511" s="46" cm="1">
        <f t="array" ref="CU511">SUMPRODUCT(--(BF511:CQ511&lt;1))</f>
        <v>38</v>
      </c>
    </row>
    <row r="512" spans="1:99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46181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 s="3" t="str">
        <f>+IF(AVANCE[[#This Row],[% AVANCE]]=100%,"MODULO TERMINADO",IF(AVANCE[[#This Row],[FECHA INICIO REAL]]="","MODULO NO INICIADO","PENDIENTE"))</f>
        <v>MODULO NO INICIADO</v>
      </c>
      <c r="BF512" s="3">
        <f>+IF(AVANCE[[#This Row],[VENTANAS]]=8.10810810810811%,100%,AVANCE[[#This Row],[VENTANAS]])</f>
        <v>0</v>
      </c>
      <c r="BG512" s="3">
        <f>+IF(AVANCE[[#This Row],[PISO]]=N$2,100%,AVANCE[[#This Row],[PISO]])</f>
        <v>0</v>
      </c>
      <c r="BH512" s="3">
        <f>+IF(AVANCE[[#This Row],[TABIQUES]]=O$2,100%,AVANCE[[#This Row],[TABIQUES]])</f>
        <v>0</v>
      </c>
      <c r="BI512" s="3">
        <f>+IF(AVANCE[[#This Row],[MUROS]]=P$2,100%,AVANCE[[#This Row],[MUROS]])</f>
        <v>0</v>
      </c>
      <c r="BJ512" s="3">
        <f>+IF(AVANCE[[#This Row],[CIELO]]=Q$2,100%,AVANCE[[#This Row],[CIELO]])</f>
        <v>0</v>
      </c>
      <c r="BK512" s="3">
        <f>+IF(AVANCE[[#This Row],[BALCÓN]]=R$2,100%,AVANCE[[#This Row],[BALCÓN]])</f>
        <v>0</v>
      </c>
      <c r="BL512" s="3">
        <f>+IF(AVANCE[[#This Row],[RED ALCANTARILLADO]]=U$2,100%,AVANCE[[#This Row],[RED ALCANTARILLADO]])</f>
        <v>0</v>
      </c>
      <c r="BM512" s="3">
        <f>+IF(AVANCE[[#This Row],[RED DE AGUA]]=V$2,100%,AVANCE[[#This Row],[RED DE AGUA]])</f>
        <v>0</v>
      </c>
      <c r="BN512" s="3">
        <f>+IF(AVANCE[[#This Row],[VENTILACIONES]]=W$2,100%,AVANCE[[#This Row],[VENTILACIONES]])</f>
        <v>0</v>
      </c>
      <c r="BO512" s="3">
        <f>+IF(AVANCE[[#This Row],[TINA]]=X$2,100%,AVANCE[[#This Row],[TINA]])</f>
        <v>0</v>
      </c>
      <c r="BP512" s="3">
        <f>+IF(AVANCE[[#This Row],[WC]]=Y$2,100%,AVANCE[[#This Row],[WC]])</f>
        <v>0</v>
      </c>
      <c r="BQ512" s="3">
        <f>+IF(AVANCE[[#This Row],[LAVAMANOS / LAVAPLATOS / LAVADERO]]=Z$2,100%,AVANCE[[#This Row],[LAVAMANOS / LAVAPLATOS / LAVADERO]])</f>
        <v>0</v>
      </c>
      <c r="BR512" s="3">
        <f>+IF(AVANCE[[#This Row],[CANALIZACIÓN]]=AC$2,100%,AVANCE[[#This Row],[CANALIZACIÓN]])</f>
        <v>0</v>
      </c>
      <c r="BS512" s="3">
        <f>+IF(AVANCE[[#This Row],[CABLEADO]]=AD$2,100%,AVANCE[[#This Row],[CABLEADO]])</f>
        <v>0</v>
      </c>
      <c r="BT512" s="3">
        <f>+IF(AVANCE[[#This Row],[ARTEFACTOS]]=AE$2,100%,AVANCE[[#This Row],[ARTEFACTOS]])</f>
        <v>0</v>
      </c>
      <c r="BU512" s="3">
        <f>+IF(AVANCE[[#This Row],[TABLERO]]=AF$2,100%,AVANCE[[#This Row],[TABLERO]])</f>
        <v>0</v>
      </c>
      <c r="BV512" s="3">
        <f>+IF(AVANCE[[#This Row],[CAJA PAU]]=AG$2,100%,AVANCE[[#This Row],[CAJA PAU]])</f>
        <v>0</v>
      </c>
      <c r="BW512" s="3">
        <f>+IF(AVANCE[[#This Row],[INSTALACION VINILICO]]=AJ$2,100%,AVANCE[[#This Row],[INSTALACION VINILICO]])</f>
        <v>0</v>
      </c>
      <c r="BX512" s="3">
        <f>+IF(AVANCE[[#This Row],[OSB CUBIERTA]]=AK$2,100%,AVANCE[[#This Row],[OSB CUBIERTA]])</f>
        <v>0</v>
      </c>
      <c r="BY512" s="3">
        <f>+IF(AVANCE[[#This Row],[BARANDA BALCON]]=AL$2,100%,AVANCE[[#This Row],[BARANDA BALCON]])</f>
        <v>0</v>
      </c>
      <c r="BZ512" s="3">
        <f>+IF(AVANCE[[#This Row],[OSB EXTERIOR]]=AM$2,100%,AVANCE[[#This Row],[OSB EXTERIOR]])</f>
        <v>0</v>
      </c>
      <c r="CA512" s="3">
        <f>+IF(AVANCE[[#This Row],[SMART PANEL]]=AN$2,100%,AVANCE[[#This Row],[SMART PANEL]])</f>
        <v>0</v>
      </c>
      <c r="CB512" s="3">
        <f>+IF(AVANCE[[#This Row],[PINTURA EXTERIOR]]=AO$2,100%,AVANCE[[#This Row],[PINTURA EXTERIOR]])</f>
        <v>0</v>
      </c>
      <c r="CC512" s="3">
        <f>+IF(AVANCE[[#This Row],[ZOCALOS LOGIA]]=AP$2,100%,AVANCE[[#This Row],[ZOCALOS LOGIA]])</f>
        <v>0</v>
      </c>
      <c r="CD512" s="3">
        <f>+IF(AVANCE[[#This Row],[MOLDURAS]]=AQ$2,100%,AVANCE[[#This Row],[MOLDURAS]])</f>
        <v>0</v>
      </c>
      <c r="CE512" s="3">
        <f>+IF(AVANCE[[#This Row],[PILASTREO]]=AR$2,100%,AVANCE[[#This Row],[PILASTREO]])</f>
        <v>0</v>
      </c>
      <c r="CF512" s="3">
        <f>+IF(AVANCE[[#This Row],[CELOSIAS]]=AS$2,100%,AVANCE[[#This Row],[CELOSIAS]])</f>
        <v>0</v>
      </c>
      <c r="CG512" s="3">
        <f>+IF(AVANCE[[#This Row],[VENTANAS]]=AT$2,100%,AVANCE[[#This Row],[VENTANAS]])</f>
        <v>0</v>
      </c>
      <c r="CH512" s="3">
        <f>+IF(AVANCE[[#This Row],[PUERTAS ACCESO - LOGIA - BANO]]=AU$2,100%,AVANCE[[#This Row],[PUERTAS ACCESO - LOGIA - BANO]])</f>
        <v>0</v>
      </c>
      <c r="CI512" s="3">
        <f>+IF(AVANCE[[#This Row],[CERRADURAS]]=AV$2,100%,AVANCE[[#This Row],[CERRADURAS]])</f>
        <v>0</v>
      </c>
      <c r="CJ512" s="3">
        <f>+IF(AVANCE[[#This Row],[REVESTIMIENTO INTERIOR ZONA SECA]]=AW$2,100%,AVANCE[[#This Row],[REVESTIMIENTO INTERIOR ZONA SECA]])</f>
        <v>0</v>
      </c>
      <c r="CK512" s="3">
        <f>+IF(AVANCE[[#This Row],[REVESTIMIENTO INTERIOR ZONAS HUMEDAS]]=AX$2,100%,AVANCE[[#This Row],[REVESTIMIENTO INTERIOR ZONAS HUMEDAS]])</f>
        <v>0</v>
      </c>
      <c r="CL512" s="3">
        <f>+IF(AVANCE[[#This Row],[MEMBRANA CIELO]]=AY$2,100%,AVANCE[[#This Row],[MEMBRANA CIELO]])</f>
        <v>0</v>
      </c>
      <c r="CM512" s="3">
        <f>+IF(AVANCE[[#This Row],[LIMPIEZA FINAL]]=AZ$2,100%,AVANCE[[#This Row],[LIMPIEZA FINAL]])</f>
        <v>0</v>
      </c>
      <c r="CN512" s="3">
        <f>+IF(AVANCE[[#This Row],[PUERTAS DORMITORIO]]=BA$2,100%,AVANCE[[#This Row],[PUERTAS DORMITORIO]])</f>
        <v>0</v>
      </c>
      <c r="CO512" s="3">
        <f>+IF(AVANCE[[#This Row],[REVESTIMIENTO INTERIOR BANO]]=BB$2,100%,AVANCE[[#This Row],[REVESTIMIENTO INTERIOR BANO]])</f>
        <v>0</v>
      </c>
      <c r="CP512" s="3">
        <f>+IF(AVANCE[[#This Row],[MUEBLE LAVAPLATOS]]=BC$2,100%,AVANCE[[#This Row],[MUEBLE LAVAPLATOS]])</f>
        <v>0</v>
      </c>
      <c r="CQ512" s="3">
        <f>+IF(AVANCE[[#This Row],[IMPERMEABILIZACION BANO - COCINA LOGIA]]=BD$2,100%,AVANCE[[#This Row],[IMPERMEABILIZACION BANO - COCINA LOGIA]])</f>
        <v>0</v>
      </c>
      <c r="CR512" s="40">
        <f ca="1">+IF(AVANCE[[#This Row],[ESTADO MODULO]]="PENDIENTE",(TODAY()-AVANCE[[#This Row],[FECHA TERMINO  PLANIFICADO]]),0)</f>
        <v>0</v>
      </c>
      <c r="CS512" s="42" t="str" cm="1">
        <f t="array" ref="CS512">_xlfn.TEXTJOIN(" | ",TRUE,IF(SUMPRODUCT((BF512:CQ512&lt;1)*(PARTIDAS!$I$2:$AT$2="OBRA GRUESA"))&gt;0,"OBRA GRUESA: "&amp;_xlfn.TEXTJOIN(", ",TRUE,IF((BF512:CQ512&lt;1)*(PARTIDAS!$I$2:$AT$2="OBRA GRUESA"),PARTIDAS!$I$1:$AT$1,"")),""),IF(SUMPRODUCT((BF512:CQ512&lt;1)*(PARTIDAS!$I$2:$AT$2="SANITARIOS"))&gt;0,"SANITARIOS: "&amp;_xlfn.TEXTJOIN(", ",TRUE,IF((BF512:CQ512&lt;1)*(PARTIDAS!$I$2:$AT$2="SANITARIOS"),PARTIDAS!$I$1:$AT$1,"")),""),IF(SUMPRODUCT((BF512:CQ512&lt;1)*(PARTIDAS!$I$2:$AT$2="ELÉCTRICO"))&gt;0,"ELÉCTRICO: "&amp;_xlfn.TEXTJOIN(", ",TRUE,IF((BF512:CQ512&lt;1)*(PARTIDAS!$I$2:$AT$2="ELÉCTRICO"),PARTIDAS!$I$1:$AT$1,"")),""),IF(SUMPRODUCT((BF512:CQ512&lt;1)*(PARTIDAS!$I$2:$AT$2="TERMINACIONES"))&gt;0,"TERMINACIONES: "&amp;_xlfn.TEXTJOIN(", ",TRUE,IF((BF512:CQ512&lt;1)*(PARTIDAS!$I$2:$AT$2="TERMINACIONES"),PARTIDAS!$I$1:$AT$1,"")),""))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2" s="45" t="str" cm="1">
        <f t="array" ref="CT512">_xlfn.TEXTJOIN(", ",TRUE,IF(SUMPRODUCT((BF512:CQ512&lt;1)*(PARTIDAS!$I$2:$AT$2="OBRA GRUESA"))&gt;0,"OBRA GRUESA",""),IF(SUMPRODUCT((BF512:CQ512&lt;1)*(PARTIDAS!$I$2:$AT$2="SANITARIOS"))&gt;0,"SANITARIOS",""),IF(SUMPRODUCT((BF512:CQ512&lt;1)*(PARTIDAS!$I$2:$AT$2="ELÉCTRICO"))&gt;0,"ELÉCTRICO",""),IF(SUMPRODUCT((BF512:CQ512&lt;1)*(PARTIDAS!$I$2:$AT$2="TERMINACIONES"))&gt;0,"TERMINACIONES",""))</f>
        <v>OBRA GRUESA, SANITARIOS, ELÉCTRICO, TERMINACIONES</v>
      </c>
      <c r="CU512" s="46" cm="1">
        <f t="array" ref="CU512">SUMPRODUCT(--(BF512:CQ512&lt;1))</f>
        <v>38</v>
      </c>
    </row>
    <row r="513" spans="1:99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46181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 s="3" t="str">
        <f>+IF(AVANCE[[#This Row],[% AVANCE]]=100%,"MODULO TERMINADO",IF(AVANCE[[#This Row],[FECHA INICIO REAL]]="","MODULO NO INICIADO","PENDIENTE"))</f>
        <v>MODULO NO INICIADO</v>
      </c>
      <c r="BF513" s="3">
        <f>+IF(AVANCE[[#This Row],[VENTANAS]]=8.10810810810811%,100%,AVANCE[[#This Row],[VENTANAS]])</f>
        <v>0</v>
      </c>
      <c r="BG513" s="3">
        <f>+IF(AVANCE[[#This Row],[PISO]]=N$2,100%,AVANCE[[#This Row],[PISO]])</f>
        <v>0</v>
      </c>
      <c r="BH513" s="3">
        <f>+IF(AVANCE[[#This Row],[TABIQUES]]=O$2,100%,AVANCE[[#This Row],[TABIQUES]])</f>
        <v>0</v>
      </c>
      <c r="BI513" s="3">
        <f>+IF(AVANCE[[#This Row],[MUROS]]=P$2,100%,AVANCE[[#This Row],[MUROS]])</f>
        <v>0</v>
      </c>
      <c r="BJ513" s="3">
        <f>+IF(AVANCE[[#This Row],[CIELO]]=Q$2,100%,AVANCE[[#This Row],[CIELO]])</f>
        <v>0</v>
      </c>
      <c r="BK513" s="3">
        <f>+IF(AVANCE[[#This Row],[BALCÓN]]=R$2,100%,AVANCE[[#This Row],[BALCÓN]])</f>
        <v>0</v>
      </c>
      <c r="BL513" s="3">
        <f>+IF(AVANCE[[#This Row],[RED ALCANTARILLADO]]=U$2,100%,AVANCE[[#This Row],[RED ALCANTARILLADO]])</f>
        <v>0</v>
      </c>
      <c r="BM513" s="3">
        <f>+IF(AVANCE[[#This Row],[RED DE AGUA]]=V$2,100%,AVANCE[[#This Row],[RED DE AGUA]])</f>
        <v>0</v>
      </c>
      <c r="BN513" s="3">
        <f>+IF(AVANCE[[#This Row],[VENTILACIONES]]=W$2,100%,AVANCE[[#This Row],[VENTILACIONES]])</f>
        <v>0</v>
      </c>
      <c r="BO513" s="3">
        <f>+IF(AVANCE[[#This Row],[TINA]]=X$2,100%,AVANCE[[#This Row],[TINA]])</f>
        <v>0</v>
      </c>
      <c r="BP513" s="3">
        <f>+IF(AVANCE[[#This Row],[WC]]=Y$2,100%,AVANCE[[#This Row],[WC]])</f>
        <v>0</v>
      </c>
      <c r="BQ513" s="3">
        <f>+IF(AVANCE[[#This Row],[LAVAMANOS / LAVAPLATOS / LAVADERO]]=Z$2,100%,AVANCE[[#This Row],[LAVAMANOS / LAVAPLATOS / LAVADERO]])</f>
        <v>0</v>
      </c>
      <c r="BR513" s="3">
        <f>+IF(AVANCE[[#This Row],[CANALIZACIÓN]]=AC$2,100%,AVANCE[[#This Row],[CANALIZACIÓN]])</f>
        <v>0</v>
      </c>
      <c r="BS513" s="3">
        <f>+IF(AVANCE[[#This Row],[CABLEADO]]=AD$2,100%,AVANCE[[#This Row],[CABLEADO]])</f>
        <v>0</v>
      </c>
      <c r="BT513" s="3">
        <f>+IF(AVANCE[[#This Row],[ARTEFACTOS]]=AE$2,100%,AVANCE[[#This Row],[ARTEFACTOS]])</f>
        <v>0</v>
      </c>
      <c r="BU513" s="3">
        <f>+IF(AVANCE[[#This Row],[TABLERO]]=AF$2,100%,AVANCE[[#This Row],[TABLERO]])</f>
        <v>0</v>
      </c>
      <c r="BV513" s="3">
        <f>+IF(AVANCE[[#This Row],[CAJA PAU]]=AG$2,100%,AVANCE[[#This Row],[CAJA PAU]])</f>
        <v>0</v>
      </c>
      <c r="BW513" s="3">
        <f>+IF(AVANCE[[#This Row],[INSTALACION VINILICO]]=AJ$2,100%,AVANCE[[#This Row],[INSTALACION VINILICO]])</f>
        <v>0</v>
      </c>
      <c r="BX513" s="3">
        <f>+IF(AVANCE[[#This Row],[OSB CUBIERTA]]=AK$2,100%,AVANCE[[#This Row],[OSB CUBIERTA]])</f>
        <v>0</v>
      </c>
      <c r="BY513" s="3">
        <f>+IF(AVANCE[[#This Row],[BARANDA BALCON]]=AL$2,100%,AVANCE[[#This Row],[BARANDA BALCON]])</f>
        <v>0</v>
      </c>
      <c r="BZ513" s="3">
        <f>+IF(AVANCE[[#This Row],[OSB EXTERIOR]]=AM$2,100%,AVANCE[[#This Row],[OSB EXTERIOR]])</f>
        <v>0</v>
      </c>
      <c r="CA513" s="3">
        <f>+IF(AVANCE[[#This Row],[SMART PANEL]]=AN$2,100%,AVANCE[[#This Row],[SMART PANEL]])</f>
        <v>0</v>
      </c>
      <c r="CB513" s="3">
        <f>+IF(AVANCE[[#This Row],[PINTURA EXTERIOR]]=AO$2,100%,AVANCE[[#This Row],[PINTURA EXTERIOR]])</f>
        <v>0</v>
      </c>
      <c r="CC513" s="3">
        <f>+IF(AVANCE[[#This Row],[ZOCALOS LOGIA]]=AP$2,100%,AVANCE[[#This Row],[ZOCALOS LOGIA]])</f>
        <v>0</v>
      </c>
      <c r="CD513" s="3">
        <f>+IF(AVANCE[[#This Row],[MOLDURAS]]=AQ$2,100%,AVANCE[[#This Row],[MOLDURAS]])</f>
        <v>0</v>
      </c>
      <c r="CE513" s="3">
        <f>+IF(AVANCE[[#This Row],[PILASTREO]]=AR$2,100%,AVANCE[[#This Row],[PILASTREO]])</f>
        <v>0</v>
      </c>
      <c r="CF513" s="3">
        <f>+IF(AVANCE[[#This Row],[CELOSIAS]]=AS$2,100%,AVANCE[[#This Row],[CELOSIAS]])</f>
        <v>0</v>
      </c>
      <c r="CG513" s="3">
        <f>+IF(AVANCE[[#This Row],[VENTANAS]]=AT$2,100%,AVANCE[[#This Row],[VENTANAS]])</f>
        <v>0</v>
      </c>
      <c r="CH513" s="3">
        <f>+IF(AVANCE[[#This Row],[PUERTAS ACCESO - LOGIA - BANO]]=AU$2,100%,AVANCE[[#This Row],[PUERTAS ACCESO - LOGIA - BANO]])</f>
        <v>0</v>
      </c>
      <c r="CI513" s="3">
        <f>+IF(AVANCE[[#This Row],[CERRADURAS]]=AV$2,100%,AVANCE[[#This Row],[CERRADURAS]])</f>
        <v>0</v>
      </c>
      <c r="CJ513" s="3">
        <f>+IF(AVANCE[[#This Row],[REVESTIMIENTO INTERIOR ZONA SECA]]=AW$2,100%,AVANCE[[#This Row],[REVESTIMIENTO INTERIOR ZONA SECA]])</f>
        <v>0</v>
      </c>
      <c r="CK513" s="3">
        <f>+IF(AVANCE[[#This Row],[REVESTIMIENTO INTERIOR ZONAS HUMEDAS]]=AX$2,100%,AVANCE[[#This Row],[REVESTIMIENTO INTERIOR ZONAS HUMEDAS]])</f>
        <v>0</v>
      </c>
      <c r="CL513" s="3">
        <f>+IF(AVANCE[[#This Row],[MEMBRANA CIELO]]=AY$2,100%,AVANCE[[#This Row],[MEMBRANA CIELO]])</f>
        <v>0</v>
      </c>
      <c r="CM513" s="3">
        <f>+IF(AVANCE[[#This Row],[LIMPIEZA FINAL]]=AZ$2,100%,AVANCE[[#This Row],[LIMPIEZA FINAL]])</f>
        <v>0</v>
      </c>
      <c r="CN513" s="3">
        <f>+IF(AVANCE[[#This Row],[PUERTAS DORMITORIO]]=BA$2,100%,AVANCE[[#This Row],[PUERTAS DORMITORIO]])</f>
        <v>0</v>
      </c>
      <c r="CO513" s="3">
        <f>+IF(AVANCE[[#This Row],[REVESTIMIENTO INTERIOR BANO]]=BB$2,100%,AVANCE[[#This Row],[REVESTIMIENTO INTERIOR BANO]])</f>
        <v>0</v>
      </c>
      <c r="CP513" s="3">
        <f>+IF(AVANCE[[#This Row],[MUEBLE LAVAPLATOS]]=BC$2,100%,AVANCE[[#This Row],[MUEBLE LAVAPLATOS]])</f>
        <v>0</v>
      </c>
      <c r="CQ513" s="3">
        <f>+IF(AVANCE[[#This Row],[IMPERMEABILIZACION BANO - COCINA LOGIA]]=BD$2,100%,AVANCE[[#This Row],[IMPERMEABILIZACION BANO - COCINA LOGIA]])</f>
        <v>0</v>
      </c>
      <c r="CR513" s="40">
        <f ca="1">+IF(AVANCE[[#This Row],[ESTADO MODULO]]="PENDIENTE",(TODAY()-AVANCE[[#This Row],[FECHA TERMINO  PLANIFICADO]]),0)</f>
        <v>0</v>
      </c>
      <c r="CS513" s="42" t="str" cm="1">
        <f t="array" ref="CS513">_xlfn.TEXTJOIN(" | ",TRUE,IF(SUMPRODUCT((BF513:CQ513&lt;1)*(PARTIDAS!$I$2:$AT$2="OBRA GRUESA"))&gt;0,"OBRA GRUESA: "&amp;_xlfn.TEXTJOIN(", ",TRUE,IF((BF513:CQ513&lt;1)*(PARTIDAS!$I$2:$AT$2="OBRA GRUESA"),PARTIDAS!$I$1:$AT$1,"")),""),IF(SUMPRODUCT((BF513:CQ513&lt;1)*(PARTIDAS!$I$2:$AT$2="SANITARIOS"))&gt;0,"SANITARIOS: "&amp;_xlfn.TEXTJOIN(", ",TRUE,IF((BF513:CQ513&lt;1)*(PARTIDAS!$I$2:$AT$2="SANITARIOS"),PARTIDAS!$I$1:$AT$1,"")),""),IF(SUMPRODUCT((BF513:CQ513&lt;1)*(PARTIDAS!$I$2:$AT$2="ELÉCTRICO"))&gt;0,"ELÉCTRICO: "&amp;_xlfn.TEXTJOIN(", ",TRUE,IF((BF513:CQ513&lt;1)*(PARTIDAS!$I$2:$AT$2="ELÉCTRICO"),PARTIDAS!$I$1:$AT$1,"")),""),IF(SUMPRODUCT((BF513:CQ513&lt;1)*(PARTIDAS!$I$2:$AT$2="TERMINACIONES"))&gt;0,"TERMINACIONES: "&amp;_xlfn.TEXTJOIN(", ",TRUE,IF((BF513:CQ513&lt;1)*(PARTIDAS!$I$2:$AT$2="TERMINACIONES"),PARTIDAS!$I$1:$AT$1,"")),""))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3" s="45" t="str" cm="1">
        <f t="array" ref="CT513">_xlfn.TEXTJOIN(", ",TRUE,IF(SUMPRODUCT((BF513:CQ513&lt;1)*(PARTIDAS!$I$2:$AT$2="OBRA GRUESA"))&gt;0,"OBRA GRUESA",""),IF(SUMPRODUCT((BF513:CQ513&lt;1)*(PARTIDAS!$I$2:$AT$2="SANITARIOS"))&gt;0,"SANITARIOS",""),IF(SUMPRODUCT((BF513:CQ513&lt;1)*(PARTIDAS!$I$2:$AT$2="ELÉCTRICO"))&gt;0,"ELÉCTRICO",""),IF(SUMPRODUCT((BF513:CQ513&lt;1)*(PARTIDAS!$I$2:$AT$2="TERMINACIONES"))&gt;0,"TERMINACIONES",""))</f>
        <v>OBRA GRUESA, SANITARIOS, ELÉCTRICO, TERMINACIONES</v>
      </c>
      <c r="CU513" s="46" cm="1">
        <f t="array" ref="CU513">SUMPRODUCT(--(BF513:CQ513&lt;1))</f>
        <v>38</v>
      </c>
    </row>
    <row r="514" spans="1:99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46181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 s="3" t="str">
        <f>+IF(AVANCE[[#This Row],[% AVANCE]]=100%,"MODULO TERMINADO",IF(AVANCE[[#This Row],[FECHA INICIO REAL]]="","MODULO NO INICIADO","PENDIENTE"))</f>
        <v>MODULO NO INICIADO</v>
      </c>
      <c r="BF514" s="3">
        <f>+IF(AVANCE[[#This Row],[VENTANAS]]=8.10810810810811%,100%,AVANCE[[#This Row],[VENTANAS]])</f>
        <v>0</v>
      </c>
      <c r="BG514" s="3">
        <f>+IF(AVANCE[[#This Row],[PISO]]=N$2,100%,AVANCE[[#This Row],[PISO]])</f>
        <v>0</v>
      </c>
      <c r="BH514" s="3">
        <f>+IF(AVANCE[[#This Row],[TABIQUES]]=O$2,100%,AVANCE[[#This Row],[TABIQUES]])</f>
        <v>0</v>
      </c>
      <c r="BI514" s="3">
        <f>+IF(AVANCE[[#This Row],[MUROS]]=P$2,100%,AVANCE[[#This Row],[MUROS]])</f>
        <v>0</v>
      </c>
      <c r="BJ514" s="3">
        <f>+IF(AVANCE[[#This Row],[CIELO]]=Q$2,100%,AVANCE[[#This Row],[CIELO]])</f>
        <v>0</v>
      </c>
      <c r="BK514" s="3">
        <f>+IF(AVANCE[[#This Row],[BALCÓN]]=R$2,100%,AVANCE[[#This Row],[BALCÓN]])</f>
        <v>0</v>
      </c>
      <c r="BL514" s="3">
        <f>+IF(AVANCE[[#This Row],[RED ALCANTARILLADO]]=U$2,100%,AVANCE[[#This Row],[RED ALCANTARILLADO]])</f>
        <v>0</v>
      </c>
      <c r="BM514" s="3">
        <f>+IF(AVANCE[[#This Row],[RED DE AGUA]]=V$2,100%,AVANCE[[#This Row],[RED DE AGUA]])</f>
        <v>0</v>
      </c>
      <c r="BN514" s="3">
        <f>+IF(AVANCE[[#This Row],[VENTILACIONES]]=W$2,100%,AVANCE[[#This Row],[VENTILACIONES]])</f>
        <v>0</v>
      </c>
      <c r="BO514" s="3">
        <f>+IF(AVANCE[[#This Row],[TINA]]=X$2,100%,AVANCE[[#This Row],[TINA]])</f>
        <v>0</v>
      </c>
      <c r="BP514" s="3">
        <f>+IF(AVANCE[[#This Row],[WC]]=Y$2,100%,AVANCE[[#This Row],[WC]])</f>
        <v>0</v>
      </c>
      <c r="BQ514" s="3">
        <f>+IF(AVANCE[[#This Row],[LAVAMANOS / LAVAPLATOS / LAVADERO]]=Z$2,100%,AVANCE[[#This Row],[LAVAMANOS / LAVAPLATOS / LAVADERO]])</f>
        <v>0</v>
      </c>
      <c r="BR514" s="3">
        <f>+IF(AVANCE[[#This Row],[CANALIZACIÓN]]=AC$2,100%,AVANCE[[#This Row],[CANALIZACIÓN]])</f>
        <v>0</v>
      </c>
      <c r="BS514" s="3">
        <f>+IF(AVANCE[[#This Row],[CABLEADO]]=AD$2,100%,AVANCE[[#This Row],[CABLEADO]])</f>
        <v>0</v>
      </c>
      <c r="BT514" s="3">
        <f>+IF(AVANCE[[#This Row],[ARTEFACTOS]]=AE$2,100%,AVANCE[[#This Row],[ARTEFACTOS]])</f>
        <v>0</v>
      </c>
      <c r="BU514" s="3">
        <f>+IF(AVANCE[[#This Row],[TABLERO]]=AF$2,100%,AVANCE[[#This Row],[TABLERO]])</f>
        <v>0</v>
      </c>
      <c r="BV514" s="3">
        <f>+IF(AVANCE[[#This Row],[CAJA PAU]]=AG$2,100%,AVANCE[[#This Row],[CAJA PAU]])</f>
        <v>0</v>
      </c>
      <c r="BW514" s="3">
        <f>+IF(AVANCE[[#This Row],[INSTALACION VINILICO]]=AJ$2,100%,AVANCE[[#This Row],[INSTALACION VINILICO]])</f>
        <v>0</v>
      </c>
      <c r="BX514" s="3">
        <f>+IF(AVANCE[[#This Row],[OSB CUBIERTA]]=AK$2,100%,AVANCE[[#This Row],[OSB CUBIERTA]])</f>
        <v>0</v>
      </c>
      <c r="BY514" s="3">
        <f>+IF(AVANCE[[#This Row],[BARANDA BALCON]]=AL$2,100%,AVANCE[[#This Row],[BARANDA BALCON]])</f>
        <v>0</v>
      </c>
      <c r="BZ514" s="3">
        <f>+IF(AVANCE[[#This Row],[OSB EXTERIOR]]=AM$2,100%,AVANCE[[#This Row],[OSB EXTERIOR]])</f>
        <v>0</v>
      </c>
      <c r="CA514" s="3">
        <f>+IF(AVANCE[[#This Row],[SMART PANEL]]=AN$2,100%,AVANCE[[#This Row],[SMART PANEL]])</f>
        <v>0</v>
      </c>
      <c r="CB514" s="3">
        <f>+IF(AVANCE[[#This Row],[PINTURA EXTERIOR]]=AO$2,100%,AVANCE[[#This Row],[PINTURA EXTERIOR]])</f>
        <v>0</v>
      </c>
      <c r="CC514" s="3">
        <f>+IF(AVANCE[[#This Row],[ZOCALOS LOGIA]]=AP$2,100%,AVANCE[[#This Row],[ZOCALOS LOGIA]])</f>
        <v>0</v>
      </c>
      <c r="CD514" s="3">
        <f>+IF(AVANCE[[#This Row],[MOLDURAS]]=AQ$2,100%,AVANCE[[#This Row],[MOLDURAS]])</f>
        <v>0</v>
      </c>
      <c r="CE514" s="3">
        <f>+IF(AVANCE[[#This Row],[PILASTREO]]=AR$2,100%,AVANCE[[#This Row],[PILASTREO]])</f>
        <v>0</v>
      </c>
      <c r="CF514" s="3">
        <f>+IF(AVANCE[[#This Row],[CELOSIAS]]=AS$2,100%,AVANCE[[#This Row],[CELOSIAS]])</f>
        <v>0</v>
      </c>
      <c r="CG514" s="3">
        <f>+IF(AVANCE[[#This Row],[VENTANAS]]=AT$2,100%,AVANCE[[#This Row],[VENTANAS]])</f>
        <v>0</v>
      </c>
      <c r="CH514" s="3">
        <f>+IF(AVANCE[[#This Row],[PUERTAS ACCESO - LOGIA - BANO]]=AU$2,100%,AVANCE[[#This Row],[PUERTAS ACCESO - LOGIA - BANO]])</f>
        <v>0</v>
      </c>
      <c r="CI514" s="3">
        <f>+IF(AVANCE[[#This Row],[CERRADURAS]]=AV$2,100%,AVANCE[[#This Row],[CERRADURAS]])</f>
        <v>0</v>
      </c>
      <c r="CJ514" s="3">
        <f>+IF(AVANCE[[#This Row],[REVESTIMIENTO INTERIOR ZONA SECA]]=AW$2,100%,AVANCE[[#This Row],[REVESTIMIENTO INTERIOR ZONA SECA]])</f>
        <v>0</v>
      </c>
      <c r="CK514" s="3">
        <f>+IF(AVANCE[[#This Row],[REVESTIMIENTO INTERIOR ZONAS HUMEDAS]]=AX$2,100%,AVANCE[[#This Row],[REVESTIMIENTO INTERIOR ZONAS HUMEDAS]])</f>
        <v>0</v>
      </c>
      <c r="CL514" s="3">
        <f>+IF(AVANCE[[#This Row],[MEMBRANA CIELO]]=AY$2,100%,AVANCE[[#This Row],[MEMBRANA CIELO]])</f>
        <v>0</v>
      </c>
      <c r="CM514" s="3">
        <f>+IF(AVANCE[[#This Row],[LIMPIEZA FINAL]]=AZ$2,100%,AVANCE[[#This Row],[LIMPIEZA FINAL]])</f>
        <v>0</v>
      </c>
      <c r="CN514" s="3">
        <f>+IF(AVANCE[[#This Row],[PUERTAS DORMITORIO]]=BA$2,100%,AVANCE[[#This Row],[PUERTAS DORMITORIO]])</f>
        <v>0</v>
      </c>
      <c r="CO514" s="3">
        <f>+IF(AVANCE[[#This Row],[REVESTIMIENTO INTERIOR BANO]]=BB$2,100%,AVANCE[[#This Row],[REVESTIMIENTO INTERIOR BANO]])</f>
        <v>0</v>
      </c>
      <c r="CP514" s="3">
        <f>+IF(AVANCE[[#This Row],[MUEBLE LAVAPLATOS]]=BC$2,100%,AVANCE[[#This Row],[MUEBLE LAVAPLATOS]])</f>
        <v>0</v>
      </c>
      <c r="CQ514" s="3">
        <f>+IF(AVANCE[[#This Row],[IMPERMEABILIZACION BANO - COCINA LOGIA]]=BD$2,100%,AVANCE[[#This Row],[IMPERMEABILIZACION BANO - COCINA LOGIA]])</f>
        <v>0</v>
      </c>
      <c r="CR514" s="40">
        <f ca="1">+IF(AVANCE[[#This Row],[ESTADO MODULO]]="PENDIENTE",(TODAY()-AVANCE[[#This Row],[FECHA TERMINO  PLANIFICADO]]),0)</f>
        <v>0</v>
      </c>
      <c r="CS514" s="42" t="str" cm="1">
        <f t="array" ref="CS514">_xlfn.TEXTJOIN(" | ",TRUE,IF(SUMPRODUCT((BF514:CQ514&lt;1)*(PARTIDAS!$I$2:$AT$2="OBRA GRUESA"))&gt;0,"OBRA GRUESA: "&amp;_xlfn.TEXTJOIN(", ",TRUE,IF((BF514:CQ514&lt;1)*(PARTIDAS!$I$2:$AT$2="OBRA GRUESA"),PARTIDAS!$I$1:$AT$1,"")),""),IF(SUMPRODUCT((BF514:CQ514&lt;1)*(PARTIDAS!$I$2:$AT$2="SANITARIOS"))&gt;0,"SANITARIOS: "&amp;_xlfn.TEXTJOIN(", ",TRUE,IF((BF514:CQ514&lt;1)*(PARTIDAS!$I$2:$AT$2="SANITARIOS"),PARTIDAS!$I$1:$AT$1,"")),""),IF(SUMPRODUCT((BF514:CQ514&lt;1)*(PARTIDAS!$I$2:$AT$2="ELÉCTRICO"))&gt;0,"ELÉCTRICO: "&amp;_xlfn.TEXTJOIN(", ",TRUE,IF((BF514:CQ514&lt;1)*(PARTIDAS!$I$2:$AT$2="ELÉCTRICO"),PARTIDAS!$I$1:$AT$1,"")),""),IF(SUMPRODUCT((BF514:CQ514&lt;1)*(PARTIDAS!$I$2:$AT$2="TERMINACIONES"))&gt;0,"TERMINACIONES: "&amp;_xlfn.TEXTJOIN(", ",TRUE,IF((BF514:CQ514&lt;1)*(PARTIDAS!$I$2:$AT$2="TERMINACIONES"),PARTIDAS!$I$1:$AT$1,"")),""))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4" s="45" t="str" cm="1">
        <f t="array" ref="CT514">_xlfn.TEXTJOIN(", ",TRUE,IF(SUMPRODUCT((BF514:CQ514&lt;1)*(PARTIDAS!$I$2:$AT$2="OBRA GRUESA"))&gt;0,"OBRA GRUESA",""),IF(SUMPRODUCT((BF514:CQ514&lt;1)*(PARTIDAS!$I$2:$AT$2="SANITARIOS"))&gt;0,"SANITARIOS",""),IF(SUMPRODUCT((BF514:CQ514&lt;1)*(PARTIDAS!$I$2:$AT$2="ELÉCTRICO"))&gt;0,"ELÉCTRICO",""),IF(SUMPRODUCT((BF514:CQ514&lt;1)*(PARTIDAS!$I$2:$AT$2="TERMINACIONES"))&gt;0,"TERMINACIONES",""))</f>
        <v>OBRA GRUESA, SANITARIOS, ELÉCTRICO, TERMINACIONES</v>
      </c>
      <c r="CU514" s="46" cm="1">
        <f t="array" ref="CU514">SUMPRODUCT(--(BF514:CQ514&lt;1))</f>
        <v>38</v>
      </c>
    </row>
    <row r="515" spans="1:99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46181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 s="3" t="str">
        <f>+IF(AVANCE[[#This Row],[% AVANCE]]=100%,"MODULO TERMINADO",IF(AVANCE[[#This Row],[FECHA INICIO REAL]]="","MODULO NO INICIADO","PENDIENTE"))</f>
        <v>MODULO NO INICIADO</v>
      </c>
      <c r="BF515" s="3">
        <f>+IF(AVANCE[[#This Row],[VENTANAS]]=8.10810810810811%,100%,AVANCE[[#This Row],[VENTANAS]])</f>
        <v>0</v>
      </c>
      <c r="BG515" s="3">
        <f>+IF(AVANCE[[#This Row],[PISO]]=N$2,100%,AVANCE[[#This Row],[PISO]])</f>
        <v>0</v>
      </c>
      <c r="BH515" s="3">
        <f>+IF(AVANCE[[#This Row],[TABIQUES]]=O$2,100%,AVANCE[[#This Row],[TABIQUES]])</f>
        <v>0</v>
      </c>
      <c r="BI515" s="3">
        <f>+IF(AVANCE[[#This Row],[MUROS]]=P$2,100%,AVANCE[[#This Row],[MUROS]])</f>
        <v>0</v>
      </c>
      <c r="BJ515" s="3">
        <f>+IF(AVANCE[[#This Row],[CIELO]]=Q$2,100%,AVANCE[[#This Row],[CIELO]])</f>
        <v>0</v>
      </c>
      <c r="BK515" s="3">
        <f>+IF(AVANCE[[#This Row],[BALCÓN]]=R$2,100%,AVANCE[[#This Row],[BALCÓN]])</f>
        <v>0</v>
      </c>
      <c r="BL515" s="3">
        <f>+IF(AVANCE[[#This Row],[RED ALCANTARILLADO]]=U$2,100%,AVANCE[[#This Row],[RED ALCANTARILLADO]])</f>
        <v>0</v>
      </c>
      <c r="BM515" s="3">
        <f>+IF(AVANCE[[#This Row],[RED DE AGUA]]=V$2,100%,AVANCE[[#This Row],[RED DE AGUA]])</f>
        <v>0</v>
      </c>
      <c r="BN515" s="3">
        <f>+IF(AVANCE[[#This Row],[VENTILACIONES]]=W$2,100%,AVANCE[[#This Row],[VENTILACIONES]])</f>
        <v>0</v>
      </c>
      <c r="BO515" s="3">
        <f>+IF(AVANCE[[#This Row],[TINA]]=X$2,100%,AVANCE[[#This Row],[TINA]])</f>
        <v>0</v>
      </c>
      <c r="BP515" s="3">
        <f>+IF(AVANCE[[#This Row],[WC]]=Y$2,100%,AVANCE[[#This Row],[WC]])</f>
        <v>0</v>
      </c>
      <c r="BQ515" s="3">
        <f>+IF(AVANCE[[#This Row],[LAVAMANOS / LAVAPLATOS / LAVADERO]]=Z$2,100%,AVANCE[[#This Row],[LAVAMANOS / LAVAPLATOS / LAVADERO]])</f>
        <v>0</v>
      </c>
      <c r="BR515" s="3">
        <f>+IF(AVANCE[[#This Row],[CANALIZACIÓN]]=AC$2,100%,AVANCE[[#This Row],[CANALIZACIÓN]])</f>
        <v>0</v>
      </c>
      <c r="BS515" s="3">
        <f>+IF(AVANCE[[#This Row],[CABLEADO]]=AD$2,100%,AVANCE[[#This Row],[CABLEADO]])</f>
        <v>0</v>
      </c>
      <c r="BT515" s="3">
        <f>+IF(AVANCE[[#This Row],[ARTEFACTOS]]=AE$2,100%,AVANCE[[#This Row],[ARTEFACTOS]])</f>
        <v>0</v>
      </c>
      <c r="BU515" s="3">
        <f>+IF(AVANCE[[#This Row],[TABLERO]]=AF$2,100%,AVANCE[[#This Row],[TABLERO]])</f>
        <v>0</v>
      </c>
      <c r="BV515" s="3">
        <f>+IF(AVANCE[[#This Row],[CAJA PAU]]=AG$2,100%,AVANCE[[#This Row],[CAJA PAU]])</f>
        <v>0</v>
      </c>
      <c r="BW515" s="3">
        <f>+IF(AVANCE[[#This Row],[INSTALACION VINILICO]]=AJ$2,100%,AVANCE[[#This Row],[INSTALACION VINILICO]])</f>
        <v>0</v>
      </c>
      <c r="BX515" s="3">
        <f>+IF(AVANCE[[#This Row],[OSB CUBIERTA]]=AK$2,100%,AVANCE[[#This Row],[OSB CUBIERTA]])</f>
        <v>0</v>
      </c>
      <c r="BY515" s="3">
        <f>+IF(AVANCE[[#This Row],[BARANDA BALCON]]=AL$2,100%,AVANCE[[#This Row],[BARANDA BALCON]])</f>
        <v>0</v>
      </c>
      <c r="BZ515" s="3">
        <f>+IF(AVANCE[[#This Row],[OSB EXTERIOR]]=AM$2,100%,AVANCE[[#This Row],[OSB EXTERIOR]])</f>
        <v>0</v>
      </c>
      <c r="CA515" s="3">
        <f>+IF(AVANCE[[#This Row],[SMART PANEL]]=AN$2,100%,AVANCE[[#This Row],[SMART PANEL]])</f>
        <v>0</v>
      </c>
      <c r="CB515" s="3">
        <f>+IF(AVANCE[[#This Row],[PINTURA EXTERIOR]]=AO$2,100%,AVANCE[[#This Row],[PINTURA EXTERIOR]])</f>
        <v>0</v>
      </c>
      <c r="CC515" s="3">
        <f>+IF(AVANCE[[#This Row],[ZOCALOS LOGIA]]=AP$2,100%,AVANCE[[#This Row],[ZOCALOS LOGIA]])</f>
        <v>0</v>
      </c>
      <c r="CD515" s="3">
        <f>+IF(AVANCE[[#This Row],[MOLDURAS]]=AQ$2,100%,AVANCE[[#This Row],[MOLDURAS]])</f>
        <v>0</v>
      </c>
      <c r="CE515" s="3">
        <f>+IF(AVANCE[[#This Row],[PILASTREO]]=AR$2,100%,AVANCE[[#This Row],[PILASTREO]])</f>
        <v>0</v>
      </c>
      <c r="CF515" s="3">
        <f>+IF(AVANCE[[#This Row],[CELOSIAS]]=AS$2,100%,AVANCE[[#This Row],[CELOSIAS]])</f>
        <v>0</v>
      </c>
      <c r="CG515" s="3">
        <f>+IF(AVANCE[[#This Row],[VENTANAS]]=AT$2,100%,AVANCE[[#This Row],[VENTANAS]])</f>
        <v>0</v>
      </c>
      <c r="CH515" s="3">
        <f>+IF(AVANCE[[#This Row],[PUERTAS ACCESO - LOGIA - BANO]]=AU$2,100%,AVANCE[[#This Row],[PUERTAS ACCESO - LOGIA - BANO]])</f>
        <v>0</v>
      </c>
      <c r="CI515" s="3">
        <f>+IF(AVANCE[[#This Row],[CERRADURAS]]=AV$2,100%,AVANCE[[#This Row],[CERRADURAS]])</f>
        <v>0</v>
      </c>
      <c r="CJ515" s="3">
        <f>+IF(AVANCE[[#This Row],[REVESTIMIENTO INTERIOR ZONA SECA]]=AW$2,100%,AVANCE[[#This Row],[REVESTIMIENTO INTERIOR ZONA SECA]])</f>
        <v>0</v>
      </c>
      <c r="CK515" s="3">
        <f>+IF(AVANCE[[#This Row],[REVESTIMIENTO INTERIOR ZONAS HUMEDAS]]=AX$2,100%,AVANCE[[#This Row],[REVESTIMIENTO INTERIOR ZONAS HUMEDAS]])</f>
        <v>0</v>
      </c>
      <c r="CL515" s="3">
        <f>+IF(AVANCE[[#This Row],[MEMBRANA CIELO]]=AY$2,100%,AVANCE[[#This Row],[MEMBRANA CIELO]])</f>
        <v>0</v>
      </c>
      <c r="CM515" s="3">
        <f>+IF(AVANCE[[#This Row],[LIMPIEZA FINAL]]=AZ$2,100%,AVANCE[[#This Row],[LIMPIEZA FINAL]])</f>
        <v>0</v>
      </c>
      <c r="CN515" s="3">
        <f>+IF(AVANCE[[#This Row],[PUERTAS DORMITORIO]]=BA$2,100%,AVANCE[[#This Row],[PUERTAS DORMITORIO]])</f>
        <v>0</v>
      </c>
      <c r="CO515" s="3">
        <f>+IF(AVANCE[[#This Row],[REVESTIMIENTO INTERIOR BANO]]=BB$2,100%,AVANCE[[#This Row],[REVESTIMIENTO INTERIOR BANO]])</f>
        <v>0</v>
      </c>
      <c r="CP515" s="3">
        <f>+IF(AVANCE[[#This Row],[MUEBLE LAVAPLATOS]]=BC$2,100%,AVANCE[[#This Row],[MUEBLE LAVAPLATOS]])</f>
        <v>0</v>
      </c>
      <c r="CQ515" s="3">
        <f>+IF(AVANCE[[#This Row],[IMPERMEABILIZACION BANO - COCINA LOGIA]]=BD$2,100%,AVANCE[[#This Row],[IMPERMEABILIZACION BANO - COCINA LOGIA]])</f>
        <v>0</v>
      </c>
      <c r="CR515" s="40">
        <f ca="1">+IF(AVANCE[[#This Row],[ESTADO MODULO]]="PENDIENTE",(TODAY()-AVANCE[[#This Row],[FECHA TERMINO  PLANIFICADO]]),0)</f>
        <v>0</v>
      </c>
      <c r="CS515" s="42" t="str" cm="1">
        <f t="array" ref="CS515">_xlfn.TEXTJOIN(" | ",TRUE,IF(SUMPRODUCT((BF515:CQ515&lt;1)*(PARTIDAS!$I$2:$AT$2="OBRA GRUESA"))&gt;0,"OBRA GRUESA: "&amp;_xlfn.TEXTJOIN(", ",TRUE,IF((BF515:CQ515&lt;1)*(PARTIDAS!$I$2:$AT$2="OBRA GRUESA"),PARTIDAS!$I$1:$AT$1,"")),""),IF(SUMPRODUCT((BF515:CQ515&lt;1)*(PARTIDAS!$I$2:$AT$2="SANITARIOS"))&gt;0,"SANITARIOS: "&amp;_xlfn.TEXTJOIN(", ",TRUE,IF((BF515:CQ515&lt;1)*(PARTIDAS!$I$2:$AT$2="SANITARIOS"),PARTIDAS!$I$1:$AT$1,"")),""),IF(SUMPRODUCT((BF515:CQ515&lt;1)*(PARTIDAS!$I$2:$AT$2="ELÉCTRICO"))&gt;0,"ELÉCTRICO: "&amp;_xlfn.TEXTJOIN(", ",TRUE,IF((BF515:CQ515&lt;1)*(PARTIDAS!$I$2:$AT$2="ELÉCTRICO"),PARTIDAS!$I$1:$AT$1,"")),""),IF(SUMPRODUCT((BF515:CQ515&lt;1)*(PARTIDAS!$I$2:$AT$2="TERMINACIONES"))&gt;0,"TERMINACIONES: "&amp;_xlfn.TEXTJOIN(", ",TRUE,IF((BF515:CQ515&lt;1)*(PARTIDAS!$I$2:$AT$2="TERMINACIONES"),PARTIDAS!$I$1:$AT$1,"")),""))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5" s="45" t="str" cm="1">
        <f t="array" ref="CT515">_xlfn.TEXTJOIN(", ",TRUE,IF(SUMPRODUCT((BF515:CQ515&lt;1)*(PARTIDAS!$I$2:$AT$2="OBRA GRUESA"))&gt;0,"OBRA GRUESA",""),IF(SUMPRODUCT((BF515:CQ515&lt;1)*(PARTIDAS!$I$2:$AT$2="SANITARIOS"))&gt;0,"SANITARIOS",""),IF(SUMPRODUCT((BF515:CQ515&lt;1)*(PARTIDAS!$I$2:$AT$2="ELÉCTRICO"))&gt;0,"ELÉCTRICO",""),IF(SUMPRODUCT((BF515:CQ515&lt;1)*(PARTIDAS!$I$2:$AT$2="TERMINACIONES"))&gt;0,"TERMINACIONES",""))</f>
        <v>OBRA GRUESA, SANITARIOS, ELÉCTRICO, TERMINACIONES</v>
      </c>
      <c r="CU515" s="46" cm="1">
        <f t="array" ref="CU515">SUMPRODUCT(--(BF515:CQ515&lt;1))</f>
        <v>38</v>
      </c>
    </row>
    <row r="516" spans="1:99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46181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 s="3" t="str">
        <f>+IF(AVANCE[[#This Row],[% AVANCE]]=100%,"MODULO TERMINADO",IF(AVANCE[[#This Row],[FECHA INICIO REAL]]="","MODULO NO INICIADO","PENDIENTE"))</f>
        <v>MODULO NO INICIADO</v>
      </c>
      <c r="BF516" s="3">
        <f>+IF(AVANCE[[#This Row],[VENTANAS]]=8.10810810810811%,100%,AVANCE[[#This Row],[VENTANAS]])</f>
        <v>0</v>
      </c>
      <c r="BG516" s="3">
        <f>+IF(AVANCE[[#This Row],[PISO]]=N$2,100%,AVANCE[[#This Row],[PISO]])</f>
        <v>0</v>
      </c>
      <c r="BH516" s="3">
        <f>+IF(AVANCE[[#This Row],[TABIQUES]]=O$2,100%,AVANCE[[#This Row],[TABIQUES]])</f>
        <v>0</v>
      </c>
      <c r="BI516" s="3">
        <f>+IF(AVANCE[[#This Row],[MUROS]]=P$2,100%,AVANCE[[#This Row],[MUROS]])</f>
        <v>0</v>
      </c>
      <c r="BJ516" s="3">
        <f>+IF(AVANCE[[#This Row],[CIELO]]=Q$2,100%,AVANCE[[#This Row],[CIELO]])</f>
        <v>0</v>
      </c>
      <c r="BK516" s="3">
        <f>+IF(AVANCE[[#This Row],[BALCÓN]]=R$2,100%,AVANCE[[#This Row],[BALCÓN]])</f>
        <v>0</v>
      </c>
      <c r="BL516" s="3">
        <f>+IF(AVANCE[[#This Row],[RED ALCANTARILLADO]]=U$2,100%,AVANCE[[#This Row],[RED ALCANTARILLADO]])</f>
        <v>0</v>
      </c>
      <c r="BM516" s="3">
        <f>+IF(AVANCE[[#This Row],[RED DE AGUA]]=V$2,100%,AVANCE[[#This Row],[RED DE AGUA]])</f>
        <v>0</v>
      </c>
      <c r="BN516" s="3">
        <f>+IF(AVANCE[[#This Row],[VENTILACIONES]]=W$2,100%,AVANCE[[#This Row],[VENTILACIONES]])</f>
        <v>0</v>
      </c>
      <c r="BO516" s="3">
        <f>+IF(AVANCE[[#This Row],[TINA]]=X$2,100%,AVANCE[[#This Row],[TINA]])</f>
        <v>0</v>
      </c>
      <c r="BP516" s="3">
        <f>+IF(AVANCE[[#This Row],[WC]]=Y$2,100%,AVANCE[[#This Row],[WC]])</f>
        <v>0</v>
      </c>
      <c r="BQ516" s="3">
        <f>+IF(AVANCE[[#This Row],[LAVAMANOS / LAVAPLATOS / LAVADERO]]=Z$2,100%,AVANCE[[#This Row],[LAVAMANOS / LAVAPLATOS / LAVADERO]])</f>
        <v>0</v>
      </c>
      <c r="BR516" s="3">
        <f>+IF(AVANCE[[#This Row],[CANALIZACIÓN]]=AC$2,100%,AVANCE[[#This Row],[CANALIZACIÓN]])</f>
        <v>0</v>
      </c>
      <c r="BS516" s="3">
        <f>+IF(AVANCE[[#This Row],[CABLEADO]]=AD$2,100%,AVANCE[[#This Row],[CABLEADO]])</f>
        <v>0</v>
      </c>
      <c r="BT516" s="3">
        <f>+IF(AVANCE[[#This Row],[ARTEFACTOS]]=AE$2,100%,AVANCE[[#This Row],[ARTEFACTOS]])</f>
        <v>0</v>
      </c>
      <c r="BU516" s="3">
        <f>+IF(AVANCE[[#This Row],[TABLERO]]=AF$2,100%,AVANCE[[#This Row],[TABLERO]])</f>
        <v>0</v>
      </c>
      <c r="BV516" s="3">
        <f>+IF(AVANCE[[#This Row],[CAJA PAU]]=AG$2,100%,AVANCE[[#This Row],[CAJA PAU]])</f>
        <v>0</v>
      </c>
      <c r="BW516" s="3">
        <f>+IF(AVANCE[[#This Row],[INSTALACION VINILICO]]=AJ$2,100%,AVANCE[[#This Row],[INSTALACION VINILICO]])</f>
        <v>0</v>
      </c>
      <c r="BX516" s="3">
        <f>+IF(AVANCE[[#This Row],[OSB CUBIERTA]]=AK$2,100%,AVANCE[[#This Row],[OSB CUBIERTA]])</f>
        <v>0</v>
      </c>
      <c r="BY516" s="3">
        <f>+IF(AVANCE[[#This Row],[BARANDA BALCON]]=AL$2,100%,AVANCE[[#This Row],[BARANDA BALCON]])</f>
        <v>0</v>
      </c>
      <c r="BZ516" s="3">
        <f>+IF(AVANCE[[#This Row],[OSB EXTERIOR]]=AM$2,100%,AVANCE[[#This Row],[OSB EXTERIOR]])</f>
        <v>0</v>
      </c>
      <c r="CA516" s="3">
        <f>+IF(AVANCE[[#This Row],[SMART PANEL]]=AN$2,100%,AVANCE[[#This Row],[SMART PANEL]])</f>
        <v>0</v>
      </c>
      <c r="CB516" s="3">
        <f>+IF(AVANCE[[#This Row],[PINTURA EXTERIOR]]=AO$2,100%,AVANCE[[#This Row],[PINTURA EXTERIOR]])</f>
        <v>0</v>
      </c>
      <c r="CC516" s="3">
        <f>+IF(AVANCE[[#This Row],[ZOCALOS LOGIA]]=AP$2,100%,AVANCE[[#This Row],[ZOCALOS LOGIA]])</f>
        <v>0</v>
      </c>
      <c r="CD516" s="3">
        <f>+IF(AVANCE[[#This Row],[MOLDURAS]]=AQ$2,100%,AVANCE[[#This Row],[MOLDURAS]])</f>
        <v>0</v>
      </c>
      <c r="CE516" s="3">
        <f>+IF(AVANCE[[#This Row],[PILASTREO]]=AR$2,100%,AVANCE[[#This Row],[PILASTREO]])</f>
        <v>0</v>
      </c>
      <c r="CF516" s="3">
        <f>+IF(AVANCE[[#This Row],[CELOSIAS]]=AS$2,100%,AVANCE[[#This Row],[CELOSIAS]])</f>
        <v>0</v>
      </c>
      <c r="CG516" s="3">
        <f>+IF(AVANCE[[#This Row],[VENTANAS]]=AT$2,100%,AVANCE[[#This Row],[VENTANAS]])</f>
        <v>0</v>
      </c>
      <c r="CH516" s="3">
        <f>+IF(AVANCE[[#This Row],[PUERTAS ACCESO - LOGIA - BANO]]=AU$2,100%,AVANCE[[#This Row],[PUERTAS ACCESO - LOGIA - BANO]])</f>
        <v>0</v>
      </c>
      <c r="CI516" s="3">
        <f>+IF(AVANCE[[#This Row],[CERRADURAS]]=AV$2,100%,AVANCE[[#This Row],[CERRADURAS]])</f>
        <v>0</v>
      </c>
      <c r="CJ516" s="3">
        <f>+IF(AVANCE[[#This Row],[REVESTIMIENTO INTERIOR ZONA SECA]]=AW$2,100%,AVANCE[[#This Row],[REVESTIMIENTO INTERIOR ZONA SECA]])</f>
        <v>0</v>
      </c>
      <c r="CK516" s="3">
        <f>+IF(AVANCE[[#This Row],[REVESTIMIENTO INTERIOR ZONAS HUMEDAS]]=AX$2,100%,AVANCE[[#This Row],[REVESTIMIENTO INTERIOR ZONAS HUMEDAS]])</f>
        <v>0</v>
      </c>
      <c r="CL516" s="3">
        <f>+IF(AVANCE[[#This Row],[MEMBRANA CIELO]]=AY$2,100%,AVANCE[[#This Row],[MEMBRANA CIELO]])</f>
        <v>0</v>
      </c>
      <c r="CM516" s="3">
        <f>+IF(AVANCE[[#This Row],[LIMPIEZA FINAL]]=AZ$2,100%,AVANCE[[#This Row],[LIMPIEZA FINAL]])</f>
        <v>0</v>
      </c>
      <c r="CN516" s="3">
        <f>+IF(AVANCE[[#This Row],[PUERTAS DORMITORIO]]=BA$2,100%,AVANCE[[#This Row],[PUERTAS DORMITORIO]])</f>
        <v>0</v>
      </c>
      <c r="CO516" s="3">
        <f>+IF(AVANCE[[#This Row],[REVESTIMIENTO INTERIOR BANO]]=BB$2,100%,AVANCE[[#This Row],[REVESTIMIENTO INTERIOR BANO]])</f>
        <v>0</v>
      </c>
      <c r="CP516" s="3">
        <f>+IF(AVANCE[[#This Row],[MUEBLE LAVAPLATOS]]=BC$2,100%,AVANCE[[#This Row],[MUEBLE LAVAPLATOS]])</f>
        <v>0</v>
      </c>
      <c r="CQ516" s="3">
        <f>+IF(AVANCE[[#This Row],[IMPERMEABILIZACION BANO - COCINA LOGIA]]=BD$2,100%,AVANCE[[#This Row],[IMPERMEABILIZACION BANO - COCINA LOGIA]])</f>
        <v>0</v>
      </c>
      <c r="CR516" s="40">
        <f ca="1">+IF(AVANCE[[#This Row],[ESTADO MODULO]]="PENDIENTE",(TODAY()-AVANCE[[#This Row],[FECHA TERMINO  PLANIFICADO]]),0)</f>
        <v>0</v>
      </c>
      <c r="CS516" s="42" t="str" cm="1">
        <f t="array" ref="CS516">_xlfn.TEXTJOIN(" | ",TRUE,IF(SUMPRODUCT((BF516:CQ516&lt;1)*(PARTIDAS!$I$2:$AT$2="OBRA GRUESA"))&gt;0,"OBRA GRUESA: "&amp;_xlfn.TEXTJOIN(", ",TRUE,IF((BF516:CQ516&lt;1)*(PARTIDAS!$I$2:$AT$2="OBRA GRUESA"),PARTIDAS!$I$1:$AT$1,"")),""),IF(SUMPRODUCT((BF516:CQ516&lt;1)*(PARTIDAS!$I$2:$AT$2="SANITARIOS"))&gt;0,"SANITARIOS: "&amp;_xlfn.TEXTJOIN(", ",TRUE,IF((BF516:CQ516&lt;1)*(PARTIDAS!$I$2:$AT$2="SANITARIOS"),PARTIDAS!$I$1:$AT$1,"")),""),IF(SUMPRODUCT((BF516:CQ516&lt;1)*(PARTIDAS!$I$2:$AT$2="ELÉCTRICO"))&gt;0,"ELÉCTRICO: "&amp;_xlfn.TEXTJOIN(", ",TRUE,IF((BF516:CQ516&lt;1)*(PARTIDAS!$I$2:$AT$2="ELÉCTRICO"),PARTIDAS!$I$1:$AT$1,"")),""),IF(SUMPRODUCT((BF516:CQ516&lt;1)*(PARTIDAS!$I$2:$AT$2="TERMINACIONES"))&gt;0,"TERMINACIONES: "&amp;_xlfn.TEXTJOIN(", ",TRUE,IF((BF516:CQ516&lt;1)*(PARTIDAS!$I$2:$AT$2="TERMINACIONES"),PARTIDAS!$I$1:$AT$1,"")),""))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6" s="45" t="str" cm="1">
        <f t="array" ref="CT516">_xlfn.TEXTJOIN(", ",TRUE,IF(SUMPRODUCT((BF516:CQ516&lt;1)*(PARTIDAS!$I$2:$AT$2="OBRA GRUESA"))&gt;0,"OBRA GRUESA",""),IF(SUMPRODUCT((BF516:CQ516&lt;1)*(PARTIDAS!$I$2:$AT$2="SANITARIOS"))&gt;0,"SANITARIOS",""),IF(SUMPRODUCT((BF516:CQ516&lt;1)*(PARTIDAS!$I$2:$AT$2="ELÉCTRICO"))&gt;0,"ELÉCTRICO",""),IF(SUMPRODUCT((BF516:CQ516&lt;1)*(PARTIDAS!$I$2:$AT$2="TERMINACIONES"))&gt;0,"TERMINACIONES",""))</f>
        <v>OBRA GRUESA, SANITARIOS, ELÉCTRICO, TERMINACIONES</v>
      </c>
      <c r="CU516" s="46" cm="1">
        <f t="array" ref="CU516">SUMPRODUCT(--(BF516:CQ516&lt;1))</f>
        <v>38</v>
      </c>
    </row>
    <row r="517" spans="1:99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46181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 s="3" t="str">
        <f>+IF(AVANCE[[#This Row],[% AVANCE]]=100%,"MODULO TERMINADO",IF(AVANCE[[#This Row],[FECHA INICIO REAL]]="","MODULO NO INICIADO","PENDIENTE"))</f>
        <v>MODULO NO INICIADO</v>
      </c>
      <c r="BF517" s="3">
        <f>+IF(AVANCE[[#This Row],[VENTANAS]]=8.10810810810811%,100%,AVANCE[[#This Row],[VENTANAS]])</f>
        <v>0</v>
      </c>
      <c r="BG517" s="3">
        <f>+IF(AVANCE[[#This Row],[PISO]]=N$2,100%,AVANCE[[#This Row],[PISO]])</f>
        <v>0</v>
      </c>
      <c r="BH517" s="3">
        <f>+IF(AVANCE[[#This Row],[TABIQUES]]=O$2,100%,AVANCE[[#This Row],[TABIQUES]])</f>
        <v>0</v>
      </c>
      <c r="BI517" s="3">
        <f>+IF(AVANCE[[#This Row],[MUROS]]=P$2,100%,AVANCE[[#This Row],[MUROS]])</f>
        <v>0</v>
      </c>
      <c r="BJ517" s="3">
        <f>+IF(AVANCE[[#This Row],[CIELO]]=Q$2,100%,AVANCE[[#This Row],[CIELO]])</f>
        <v>0</v>
      </c>
      <c r="BK517" s="3">
        <f>+IF(AVANCE[[#This Row],[BALCÓN]]=R$2,100%,AVANCE[[#This Row],[BALCÓN]])</f>
        <v>0</v>
      </c>
      <c r="BL517" s="3">
        <f>+IF(AVANCE[[#This Row],[RED ALCANTARILLADO]]=U$2,100%,AVANCE[[#This Row],[RED ALCANTARILLADO]])</f>
        <v>0</v>
      </c>
      <c r="BM517" s="3">
        <f>+IF(AVANCE[[#This Row],[RED DE AGUA]]=V$2,100%,AVANCE[[#This Row],[RED DE AGUA]])</f>
        <v>0</v>
      </c>
      <c r="BN517" s="3">
        <f>+IF(AVANCE[[#This Row],[VENTILACIONES]]=W$2,100%,AVANCE[[#This Row],[VENTILACIONES]])</f>
        <v>0</v>
      </c>
      <c r="BO517" s="3">
        <f>+IF(AVANCE[[#This Row],[TINA]]=X$2,100%,AVANCE[[#This Row],[TINA]])</f>
        <v>0</v>
      </c>
      <c r="BP517" s="3">
        <f>+IF(AVANCE[[#This Row],[WC]]=Y$2,100%,AVANCE[[#This Row],[WC]])</f>
        <v>0</v>
      </c>
      <c r="BQ517" s="3">
        <f>+IF(AVANCE[[#This Row],[LAVAMANOS / LAVAPLATOS / LAVADERO]]=Z$2,100%,AVANCE[[#This Row],[LAVAMANOS / LAVAPLATOS / LAVADERO]])</f>
        <v>0</v>
      </c>
      <c r="BR517" s="3">
        <f>+IF(AVANCE[[#This Row],[CANALIZACIÓN]]=AC$2,100%,AVANCE[[#This Row],[CANALIZACIÓN]])</f>
        <v>0</v>
      </c>
      <c r="BS517" s="3">
        <f>+IF(AVANCE[[#This Row],[CABLEADO]]=AD$2,100%,AVANCE[[#This Row],[CABLEADO]])</f>
        <v>0</v>
      </c>
      <c r="BT517" s="3">
        <f>+IF(AVANCE[[#This Row],[ARTEFACTOS]]=AE$2,100%,AVANCE[[#This Row],[ARTEFACTOS]])</f>
        <v>0</v>
      </c>
      <c r="BU517" s="3">
        <f>+IF(AVANCE[[#This Row],[TABLERO]]=AF$2,100%,AVANCE[[#This Row],[TABLERO]])</f>
        <v>0</v>
      </c>
      <c r="BV517" s="3">
        <f>+IF(AVANCE[[#This Row],[CAJA PAU]]=AG$2,100%,AVANCE[[#This Row],[CAJA PAU]])</f>
        <v>0</v>
      </c>
      <c r="BW517" s="3">
        <f>+IF(AVANCE[[#This Row],[INSTALACION VINILICO]]=AJ$2,100%,AVANCE[[#This Row],[INSTALACION VINILICO]])</f>
        <v>0</v>
      </c>
      <c r="BX517" s="3">
        <f>+IF(AVANCE[[#This Row],[OSB CUBIERTA]]=AK$2,100%,AVANCE[[#This Row],[OSB CUBIERTA]])</f>
        <v>0</v>
      </c>
      <c r="BY517" s="3">
        <f>+IF(AVANCE[[#This Row],[BARANDA BALCON]]=AL$2,100%,AVANCE[[#This Row],[BARANDA BALCON]])</f>
        <v>0</v>
      </c>
      <c r="BZ517" s="3">
        <f>+IF(AVANCE[[#This Row],[OSB EXTERIOR]]=AM$2,100%,AVANCE[[#This Row],[OSB EXTERIOR]])</f>
        <v>0</v>
      </c>
      <c r="CA517" s="3">
        <f>+IF(AVANCE[[#This Row],[SMART PANEL]]=AN$2,100%,AVANCE[[#This Row],[SMART PANEL]])</f>
        <v>0</v>
      </c>
      <c r="CB517" s="3">
        <f>+IF(AVANCE[[#This Row],[PINTURA EXTERIOR]]=AO$2,100%,AVANCE[[#This Row],[PINTURA EXTERIOR]])</f>
        <v>0</v>
      </c>
      <c r="CC517" s="3">
        <f>+IF(AVANCE[[#This Row],[ZOCALOS LOGIA]]=AP$2,100%,AVANCE[[#This Row],[ZOCALOS LOGIA]])</f>
        <v>0</v>
      </c>
      <c r="CD517" s="3">
        <f>+IF(AVANCE[[#This Row],[MOLDURAS]]=AQ$2,100%,AVANCE[[#This Row],[MOLDURAS]])</f>
        <v>0</v>
      </c>
      <c r="CE517" s="3">
        <f>+IF(AVANCE[[#This Row],[PILASTREO]]=AR$2,100%,AVANCE[[#This Row],[PILASTREO]])</f>
        <v>0</v>
      </c>
      <c r="CF517" s="3">
        <f>+IF(AVANCE[[#This Row],[CELOSIAS]]=AS$2,100%,AVANCE[[#This Row],[CELOSIAS]])</f>
        <v>0</v>
      </c>
      <c r="CG517" s="3">
        <f>+IF(AVANCE[[#This Row],[VENTANAS]]=AT$2,100%,AVANCE[[#This Row],[VENTANAS]])</f>
        <v>0</v>
      </c>
      <c r="CH517" s="3">
        <f>+IF(AVANCE[[#This Row],[PUERTAS ACCESO - LOGIA - BANO]]=AU$2,100%,AVANCE[[#This Row],[PUERTAS ACCESO - LOGIA - BANO]])</f>
        <v>0</v>
      </c>
      <c r="CI517" s="3">
        <f>+IF(AVANCE[[#This Row],[CERRADURAS]]=AV$2,100%,AVANCE[[#This Row],[CERRADURAS]])</f>
        <v>0</v>
      </c>
      <c r="CJ517" s="3">
        <f>+IF(AVANCE[[#This Row],[REVESTIMIENTO INTERIOR ZONA SECA]]=AW$2,100%,AVANCE[[#This Row],[REVESTIMIENTO INTERIOR ZONA SECA]])</f>
        <v>0</v>
      </c>
      <c r="CK517" s="3">
        <f>+IF(AVANCE[[#This Row],[REVESTIMIENTO INTERIOR ZONAS HUMEDAS]]=AX$2,100%,AVANCE[[#This Row],[REVESTIMIENTO INTERIOR ZONAS HUMEDAS]])</f>
        <v>0</v>
      </c>
      <c r="CL517" s="3">
        <f>+IF(AVANCE[[#This Row],[MEMBRANA CIELO]]=AY$2,100%,AVANCE[[#This Row],[MEMBRANA CIELO]])</f>
        <v>0</v>
      </c>
      <c r="CM517" s="3">
        <f>+IF(AVANCE[[#This Row],[LIMPIEZA FINAL]]=AZ$2,100%,AVANCE[[#This Row],[LIMPIEZA FINAL]])</f>
        <v>0</v>
      </c>
      <c r="CN517" s="3">
        <f>+IF(AVANCE[[#This Row],[PUERTAS DORMITORIO]]=BA$2,100%,AVANCE[[#This Row],[PUERTAS DORMITORIO]])</f>
        <v>0</v>
      </c>
      <c r="CO517" s="3">
        <f>+IF(AVANCE[[#This Row],[REVESTIMIENTO INTERIOR BANO]]=BB$2,100%,AVANCE[[#This Row],[REVESTIMIENTO INTERIOR BANO]])</f>
        <v>0</v>
      </c>
      <c r="CP517" s="3">
        <f>+IF(AVANCE[[#This Row],[MUEBLE LAVAPLATOS]]=BC$2,100%,AVANCE[[#This Row],[MUEBLE LAVAPLATOS]])</f>
        <v>0</v>
      </c>
      <c r="CQ517" s="3">
        <f>+IF(AVANCE[[#This Row],[IMPERMEABILIZACION BANO - COCINA LOGIA]]=BD$2,100%,AVANCE[[#This Row],[IMPERMEABILIZACION BANO - COCINA LOGIA]])</f>
        <v>0</v>
      </c>
      <c r="CR517" s="40">
        <f ca="1">+IF(AVANCE[[#This Row],[ESTADO MODULO]]="PENDIENTE",(TODAY()-AVANCE[[#This Row],[FECHA TERMINO  PLANIFICADO]]),0)</f>
        <v>0</v>
      </c>
      <c r="CS517" s="42" t="str" cm="1">
        <f t="array" ref="CS517">_xlfn.TEXTJOIN(" | ",TRUE,IF(SUMPRODUCT((BF517:CQ517&lt;1)*(PARTIDAS!$I$2:$AT$2="OBRA GRUESA"))&gt;0,"OBRA GRUESA: "&amp;_xlfn.TEXTJOIN(", ",TRUE,IF((BF517:CQ517&lt;1)*(PARTIDAS!$I$2:$AT$2="OBRA GRUESA"),PARTIDAS!$I$1:$AT$1,"")),""),IF(SUMPRODUCT((BF517:CQ517&lt;1)*(PARTIDAS!$I$2:$AT$2="SANITARIOS"))&gt;0,"SANITARIOS: "&amp;_xlfn.TEXTJOIN(", ",TRUE,IF((BF517:CQ517&lt;1)*(PARTIDAS!$I$2:$AT$2="SANITARIOS"),PARTIDAS!$I$1:$AT$1,"")),""),IF(SUMPRODUCT((BF517:CQ517&lt;1)*(PARTIDAS!$I$2:$AT$2="ELÉCTRICO"))&gt;0,"ELÉCTRICO: "&amp;_xlfn.TEXTJOIN(", ",TRUE,IF((BF517:CQ517&lt;1)*(PARTIDAS!$I$2:$AT$2="ELÉCTRICO"),PARTIDAS!$I$1:$AT$1,"")),""),IF(SUMPRODUCT((BF517:CQ517&lt;1)*(PARTIDAS!$I$2:$AT$2="TERMINACIONES"))&gt;0,"TERMINACIONES: "&amp;_xlfn.TEXTJOIN(", ",TRUE,IF((BF517:CQ517&lt;1)*(PARTIDAS!$I$2:$AT$2="TERMINACIONES"),PARTIDAS!$I$1:$AT$1,"")),""))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7" s="45" t="str" cm="1">
        <f t="array" ref="CT517">_xlfn.TEXTJOIN(", ",TRUE,IF(SUMPRODUCT((BF517:CQ517&lt;1)*(PARTIDAS!$I$2:$AT$2="OBRA GRUESA"))&gt;0,"OBRA GRUESA",""),IF(SUMPRODUCT((BF517:CQ517&lt;1)*(PARTIDAS!$I$2:$AT$2="SANITARIOS"))&gt;0,"SANITARIOS",""),IF(SUMPRODUCT((BF517:CQ517&lt;1)*(PARTIDAS!$I$2:$AT$2="ELÉCTRICO"))&gt;0,"ELÉCTRICO",""),IF(SUMPRODUCT((BF517:CQ517&lt;1)*(PARTIDAS!$I$2:$AT$2="TERMINACIONES"))&gt;0,"TERMINACIONES",""))</f>
        <v>OBRA GRUESA, SANITARIOS, ELÉCTRICO, TERMINACIONES</v>
      </c>
      <c r="CU517" s="46" cm="1">
        <f t="array" ref="CU517">SUMPRODUCT(--(BF517:CQ517&lt;1))</f>
        <v>38</v>
      </c>
    </row>
    <row r="518" spans="1:99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46181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 s="3" t="str">
        <f>+IF(AVANCE[[#This Row],[% AVANCE]]=100%,"MODULO TERMINADO",IF(AVANCE[[#This Row],[FECHA INICIO REAL]]="","MODULO NO INICIADO","PENDIENTE"))</f>
        <v>MODULO NO INICIADO</v>
      </c>
      <c r="BF518" s="3">
        <f>+IF(AVANCE[[#This Row],[VENTANAS]]=8.10810810810811%,100%,AVANCE[[#This Row],[VENTANAS]])</f>
        <v>0</v>
      </c>
      <c r="BG518" s="3">
        <f>+IF(AVANCE[[#This Row],[PISO]]=N$2,100%,AVANCE[[#This Row],[PISO]])</f>
        <v>0</v>
      </c>
      <c r="BH518" s="3">
        <f>+IF(AVANCE[[#This Row],[TABIQUES]]=O$2,100%,AVANCE[[#This Row],[TABIQUES]])</f>
        <v>0</v>
      </c>
      <c r="BI518" s="3">
        <f>+IF(AVANCE[[#This Row],[MUROS]]=P$2,100%,AVANCE[[#This Row],[MUROS]])</f>
        <v>0</v>
      </c>
      <c r="BJ518" s="3">
        <f>+IF(AVANCE[[#This Row],[CIELO]]=Q$2,100%,AVANCE[[#This Row],[CIELO]])</f>
        <v>0</v>
      </c>
      <c r="BK518" s="3">
        <f>+IF(AVANCE[[#This Row],[BALCÓN]]=R$2,100%,AVANCE[[#This Row],[BALCÓN]])</f>
        <v>0</v>
      </c>
      <c r="BL518" s="3">
        <f>+IF(AVANCE[[#This Row],[RED ALCANTARILLADO]]=U$2,100%,AVANCE[[#This Row],[RED ALCANTARILLADO]])</f>
        <v>0</v>
      </c>
      <c r="BM518" s="3">
        <f>+IF(AVANCE[[#This Row],[RED DE AGUA]]=V$2,100%,AVANCE[[#This Row],[RED DE AGUA]])</f>
        <v>0</v>
      </c>
      <c r="BN518" s="3">
        <f>+IF(AVANCE[[#This Row],[VENTILACIONES]]=W$2,100%,AVANCE[[#This Row],[VENTILACIONES]])</f>
        <v>0</v>
      </c>
      <c r="BO518" s="3">
        <f>+IF(AVANCE[[#This Row],[TINA]]=X$2,100%,AVANCE[[#This Row],[TINA]])</f>
        <v>0</v>
      </c>
      <c r="BP518" s="3">
        <f>+IF(AVANCE[[#This Row],[WC]]=Y$2,100%,AVANCE[[#This Row],[WC]])</f>
        <v>0</v>
      </c>
      <c r="BQ518" s="3">
        <f>+IF(AVANCE[[#This Row],[LAVAMANOS / LAVAPLATOS / LAVADERO]]=Z$2,100%,AVANCE[[#This Row],[LAVAMANOS / LAVAPLATOS / LAVADERO]])</f>
        <v>0</v>
      </c>
      <c r="BR518" s="3">
        <f>+IF(AVANCE[[#This Row],[CANALIZACIÓN]]=AC$2,100%,AVANCE[[#This Row],[CANALIZACIÓN]])</f>
        <v>0</v>
      </c>
      <c r="BS518" s="3">
        <f>+IF(AVANCE[[#This Row],[CABLEADO]]=AD$2,100%,AVANCE[[#This Row],[CABLEADO]])</f>
        <v>0</v>
      </c>
      <c r="BT518" s="3">
        <f>+IF(AVANCE[[#This Row],[ARTEFACTOS]]=AE$2,100%,AVANCE[[#This Row],[ARTEFACTOS]])</f>
        <v>0</v>
      </c>
      <c r="BU518" s="3">
        <f>+IF(AVANCE[[#This Row],[TABLERO]]=AF$2,100%,AVANCE[[#This Row],[TABLERO]])</f>
        <v>0</v>
      </c>
      <c r="BV518" s="3">
        <f>+IF(AVANCE[[#This Row],[CAJA PAU]]=AG$2,100%,AVANCE[[#This Row],[CAJA PAU]])</f>
        <v>0</v>
      </c>
      <c r="BW518" s="3">
        <f>+IF(AVANCE[[#This Row],[INSTALACION VINILICO]]=AJ$2,100%,AVANCE[[#This Row],[INSTALACION VINILICO]])</f>
        <v>0</v>
      </c>
      <c r="BX518" s="3">
        <f>+IF(AVANCE[[#This Row],[OSB CUBIERTA]]=AK$2,100%,AVANCE[[#This Row],[OSB CUBIERTA]])</f>
        <v>0</v>
      </c>
      <c r="BY518" s="3">
        <f>+IF(AVANCE[[#This Row],[BARANDA BALCON]]=AL$2,100%,AVANCE[[#This Row],[BARANDA BALCON]])</f>
        <v>0</v>
      </c>
      <c r="BZ518" s="3">
        <f>+IF(AVANCE[[#This Row],[OSB EXTERIOR]]=AM$2,100%,AVANCE[[#This Row],[OSB EXTERIOR]])</f>
        <v>0</v>
      </c>
      <c r="CA518" s="3">
        <f>+IF(AVANCE[[#This Row],[SMART PANEL]]=AN$2,100%,AVANCE[[#This Row],[SMART PANEL]])</f>
        <v>0</v>
      </c>
      <c r="CB518" s="3">
        <f>+IF(AVANCE[[#This Row],[PINTURA EXTERIOR]]=AO$2,100%,AVANCE[[#This Row],[PINTURA EXTERIOR]])</f>
        <v>0</v>
      </c>
      <c r="CC518" s="3">
        <f>+IF(AVANCE[[#This Row],[ZOCALOS LOGIA]]=AP$2,100%,AVANCE[[#This Row],[ZOCALOS LOGIA]])</f>
        <v>0</v>
      </c>
      <c r="CD518" s="3">
        <f>+IF(AVANCE[[#This Row],[MOLDURAS]]=AQ$2,100%,AVANCE[[#This Row],[MOLDURAS]])</f>
        <v>0</v>
      </c>
      <c r="CE518" s="3">
        <f>+IF(AVANCE[[#This Row],[PILASTREO]]=AR$2,100%,AVANCE[[#This Row],[PILASTREO]])</f>
        <v>0</v>
      </c>
      <c r="CF518" s="3">
        <f>+IF(AVANCE[[#This Row],[CELOSIAS]]=AS$2,100%,AVANCE[[#This Row],[CELOSIAS]])</f>
        <v>0</v>
      </c>
      <c r="CG518" s="3">
        <f>+IF(AVANCE[[#This Row],[VENTANAS]]=AT$2,100%,AVANCE[[#This Row],[VENTANAS]])</f>
        <v>0</v>
      </c>
      <c r="CH518" s="3">
        <f>+IF(AVANCE[[#This Row],[PUERTAS ACCESO - LOGIA - BANO]]=AU$2,100%,AVANCE[[#This Row],[PUERTAS ACCESO - LOGIA - BANO]])</f>
        <v>0</v>
      </c>
      <c r="CI518" s="3">
        <f>+IF(AVANCE[[#This Row],[CERRADURAS]]=AV$2,100%,AVANCE[[#This Row],[CERRADURAS]])</f>
        <v>0</v>
      </c>
      <c r="CJ518" s="3">
        <f>+IF(AVANCE[[#This Row],[REVESTIMIENTO INTERIOR ZONA SECA]]=AW$2,100%,AVANCE[[#This Row],[REVESTIMIENTO INTERIOR ZONA SECA]])</f>
        <v>0</v>
      </c>
      <c r="CK518" s="3">
        <f>+IF(AVANCE[[#This Row],[REVESTIMIENTO INTERIOR ZONAS HUMEDAS]]=AX$2,100%,AVANCE[[#This Row],[REVESTIMIENTO INTERIOR ZONAS HUMEDAS]])</f>
        <v>0</v>
      </c>
      <c r="CL518" s="3">
        <f>+IF(AVANCE[[#This Row],[MEMBRANA CIELO]]=AY$2,100%,AVANCE[[#This Row],[MEMBRANA CIELO]])</f>
        <v>0</v>
      </c>
      <c r="CM518" s="3">
        <f>+IF(AVANCE[[#This Row],[LIMPIEZA FINAL]]=AZ$2,100%,AVANCE[[#This Row],[LIMPIEZA FINAL]])</f>
        <v>0</v>
      </c>
      <c r="CN518" s="3">
        <f>+IF(AVANCE[[#This Row],[PUERTAS DORMITORIO]]=BA$2,100%,AVANCE[[#This Row],[PUERTAS DORMITORIO]])</f>
        <v>0</v>
      </c>
      <c r="CO518" s="3">
        <f>+IF(AVANCE[[#This Row],[REVESTIMIENTO INTERIOR BANO]]=BB$2,100%,AVANCE[[#This Row],[REVESTIMIENTO INTERIOR BANO]])</f>
        <v>0</v>
      </c>
      <c r="CP518" s="3">
        <f>+IF(AVANCE[[#This Row],[MUEBLE LAVAPLATOS]]=BC$2,100%,AVANCE[[#This Row],[MUEBLE LAVAPLATOS]])</f>
        <v>0</v>
      </c>
      <c r="CQ518" s="3">
        <f>+IF(AVANCE[[#This Row],[IMPERMEABILIZACION BANO - COCINA LOGIA]]=BD$2,100%,AVANCE[[#This Row],[IMPERMEABILIZACION BANO - COCINA LOGIA]])</f>
        <v>0</v>
      </c>
      <c r="CR518" s="40">
        <f ca="1">+IF(AVANCE[[#This Row],[ESTADO MODULO]]="PENDIENTE",(TODAY()-AVANCE[[#This Row],[FECHA TERMINO  PLANIFICADO]]),0)</f>
        <v>0</v>
      </c>
      <c r="CS518" s="42" t="str" cm="1">
        <f t="array" ref="CS518">_xlfn.TEXTJOIN(" | ",TRUE,IF(SUMPRODUCT((BF518:CQ518&lt;1)*(PARTIDAS!$I$2:$AT$2="OBRA GRUESA"))&gt;0,"OBRA GRUESA: "&amp;_xlfn.TEXTJOIN(", ",TRUE,IF((BF518:CQ518&lt;1)*(PARTIDAS!$I$2:$AT$2="OBRA GRUESA"),PARTIDAS!$I$1:$AT$1,"")),""),IF(SUMPRODUCT((BF518:CQ518&lt;1)*(PARTIDAS!$I$2:$AT$2="SANITARIOS"))&gt;0,"SANITARIOS: "&amp;_xlfn.TEXTJOIN(", ",TRUE,IF((BF518:CQ518&lt;1)*(PARTIDAS!$I$2:$AT$2="SANITARIOS"),PARTIDAS!$I$1:$AT$1,"")),""),IF(SUMPRODUCT((BF518:CQ518&lt;1)*(PARTIDAS!$I$2:$AT$2="ELÉCTRICO"))&gt;0,"ELÉCTRICO: "&amp;_xlfn.TEXTJOIN(", ",TRUE,IF((BF518:CQ518&lt;1)*(PARTIDAS!$I$2:$AT$2="ELÉCTRICO"),PARTIDAS!$I$1:$AT$1,"")),""),IF(SUMPRODUCT((BF518:CQ518&lt;1)*(PARTIDAS!$I$2:$AT$2="TERMINACIONES"))&gt;0,"TERMINACIONES: "&amp;_xlfn.TEXTJOIN(", ",TRUE,IF((BF518:CQ518&lt;1)*(PARTIDAS!$I$2:$AT$2="TERMINACIONES"),PARTIDAS!$I$1:$AT$1,"")),""))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8" s="45" t="str" cm="1">
        <f t="array" ref="CT518">_xlfn.TEXTJOIN(", ",TRUE,IF(SUMPRODUCT((BF518:CQ518&lt;1)*(PARTIDAS!$I$2:$AT$2="OBRA GRUESA"))&gt;0,"OBRA GRUESA",""),IF(SUMPRODUCT((BF518:CQ518&lt;1)*(PARTIDAS!$I$2:$AT$2="SANITARIOS"))&gt;0,"SANITARIOS",""),IF(SUMPRODUCT((BF518:CQ518&lt;1)*(PARTIDAS!$I$2:$AT$2="ELÉCTRICO"))&gt;0,"ELÉCTRICO",""),IF(SUMPRODUCT((BF518:CQ518&lt;1)*(PARTIDAS!$I$2:$AT$2="TERMINACIONES"))&gt;0,"TERMINACIONES",""))</f>
        <v>OBRA GRUESA, SANITARIOS, ELÉCTRICO, TERMINACIONES</v>
      </c>
      <c r="CU518" s="46" cm="1">
        <f t="array" ref="CU518">SUMPRODUCT(--(BF518:CQ518&lt;1))</f>
        <v>38</v>
      </c>
    </row>
    <row r="519" spans="1:99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46181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 s="3" t="str">
        <f>+IF(AVANCE[[#This Row],[% AVANCE]]=100%,"MODULO TERMINADO",IF(AVANCE[[#This Row],[FECHA INICIO REAL]]="","MODULO NO INICIADO","PENDIENTE"))</f>
        <v>MODULO NO INICIADO</v>
      </c>
      <c r="BF519" s="3">
        <f>+IF(AVANCE[[#This Row],[VENTANAS]]=8.10810810810811%,100%,AVANCE[[#This Row],[VENTANAS]])</f>
        <v>0</v>
      </c>
      <c r="BG519" s="3">
        <f>+IF(AVANCE[[#This Row],[PISO]]=N$2,100%,AVANCE[[#This Row],[PISO]])</f>
        <v>0</v>
      </c>
      <c r="BH519" s="3">
        <f>+IF(AVANCE[[#This Row],[TABIQUES]]=O$2,100%,AVANCE[[#This Row],[TABIQUES]])</f>
        <v>0</v>
      </c>
      <c r="BI519" s="3">
        <f>+IF(AVANCE[[#This Row],[MUROS]]=P$2,100%,AVANCE[[#This Row],[MUROS]])</f>
        <v>0</v>
      </c>
      <c r="BJ519" s="3">
        <f>+IF(AVANCE[[#This Row],[CIELO]]=Q$2,100%,AVANCE[[#This Row],[CIELO]])</f>
        <v>0</v>
      </c>
      <c r="BK519" s="3">
        <f>+IF(AVANCE[[#This Row],[BALCÓN]]=R$2,100%,AVANCE[[#This Row],[BALCÓN]])</f>
        <v>0</v>
      </c>
      <c r="BL519" s="3">
        <f>+IF(AVANCE[[#This Row],[RED ALCANTARILLADO]]=U$2,100%,AVANCE[[#This Row],[RED ALCANTARILLADO]])</f>
        <v>0</v>
      </c>
      <c r="BM519" s="3">
        <f>+IF(AVANCE[[#This Row],[RED DE AGUA]]=V$2,100%,AVANCE[[#This Row],[RED DE AGUA]])</f>
        <v>0</v>
      </c>
      <c r="BN519" s="3">
        <f>+IF(AVANCE[[#This Row],[VENTILACIONES]]=W$2,100%,AVANCE[[#This Row],[VENTILACIONES]])</f>
        <v>0</v>
      </c>
      <c r="BO519" s="3">
        <f>+IF(AVANCE[[#This Row],[TINA]]=X$2,100%,AVANCE[[#This Row],[TINA]])</f>
        <v>0</v>
      </c>
      <c r="BP519" s="3">
        <f>+IF(AVANCE[[#This Row],[WC]]=Y$2,100%,AVANCE[[#This Row],[WC]])</f>
        <v>0</v>
      </c>
      <c r="BQ519" s="3">
        <f>+IF(AVANCE[[#This Row],[LAVAMANOS / LAVAPLATOS / LAVADERO]]=Z$2,100%,AVANCE[[#This Row],[LAVAMANOS / LAVAPLATOS / LAVADERO]])</f>
        <v>0</v>
      </c>
      <c r="BR519" s="3">
        <f>+IF(AVANCE[[#This Row],[CANALIZACIÓN]]=AC$2,100%,AVANCE[[#This Row],[CANALIZACIÓN]])</f>
        <v>0</v>
      </c>
      <c r="BS519" s="3">
        <f>+IF(AVANCE[[#This Row],[CABLEADO]]=AD$2,100%,AVANCE[[#This Row],[CABLEADO]])</f>
        <v>0</v>
      </c>
      <c r="BT519" s="3">
        <f>+IF(AVANCE[[#This Row],[ARTEFACTOS]]=AE$2,100%,AVANCE[[#This Row],[ARTEFACTOS]])</f>
        <v>0</v>
      </c>
      <c r="BU519" s="3">
        <f>+IF(AVANCE[[#This Row],[TABLERO]]=AF$2,100%,AVANCE[[#This Row],[TABLERO]])</f>
        <v>0</v>
      </c>
      <c r="BV519" s="3">
        <f>+IF(AVANCE[[#This Row],[CAJA PAU]]=AG$2,100%,AVANCE[[#This Row],[CAJA PAU]])</f>
        <v>0</v>
      </c>
      <c r="BW519" s="3">
        <f>+IF(AVANCE[[#This Row],[INSTALACION VINILICO]]=AJ$2,100%,AVANCE[[#This Row],[INSTALACION VINILICO]])</f>
        <v>0</v>
      </c>
      <c r="BX519" s="3">
        <f>+IF(AVANCE[[#This Row],[OSB CUBIERTA]]=AK$2,100%,AVANCE[[#This Row],[OSB CUBIERTA]])</f>
        <v>0</v>
      </c>
      <c r="BY519" s="3">
        <f>+IF(AVANCE[[#This Row],[BARANDA BALCON]]=AL$2,100%,AVANCE[[#This Row],[BARANDA BALCON]])</f>
        <v>0</v>
      </c>
      <c r="BZ519" s="3">
        <f>+IF(AVANCE[[#This Row],[OSB EXTERIOR]]=AM$2,100%,AVANCE[[#This Row],[OSB EXTERIOR]])</f>
        <v>0</v>
      </c>
      <c r="CA519" s="3">
        <f>+IF(AVANCE[[#This Row],[SMART PANEL]]=AN$2,100%,AVANCE[[#This Row],[SMART PANEL]])</f>
        <v>0</v>
      </c>
      <c r="CB519" s="3">
        <f>+IF(AVANCE[[#This Row],[PINTURA EXTERIOR]]=AO$2,100%,AVANCE[[#This Row],[PINTURA EXTERIOR]])</f>
        <v>0</v>
      </c>
      <c r="CC519" s="3">
        <f>+IF(AVANCE[[#This Row],[ZOCALOS LOGIA]]=AP$2,100%,AVANCE[[#This Row],[ZOCALOS LOGIA]])</f>
        <v>0</v>
      </c>
      <c r="CD519" s="3">
        <f>+IF(AVANCE[[#This Row],[MOLDURAS]]=AQ$2,100%,AVANCE[[#This Row],[MOLDURAS]])</f>
        <v>0</v>
      </c>
      <c r="CE519" s="3">
        <f>+IF(AVANCE[[#This Row],[PILASTREO]]=AR$2,100%,AVANCE[[#This Row],[PILASTREO]])</f>
        <v>0</v>
      </c>
      <c r="CF519" s="3">
        <f>+IF(AVANCE[[#This Row],[CELOSIAS]]=AS$2,100%,AVANCE[[#This Row],[CELOSIAS]])</f>
        <v>0</v>
      </c>
      <c r="CG519" s="3">
        <f>+IF(AVANCE[[#This Row],[VENTANAS]]=AT$2,100%,AVANCE[[#This Row],[VENTANAS]])</f>
        <v>0</v>
      </c>
      <c r="CH519" s="3">
        <f>+IF(AVANCE[[#This Row],[PUERTAS ACCESO - LOGIA - BANO]]=AU$2,100%,AVANCE[[#This Row],[PUERTAS ACCESO - LOGIA - BANO]])</f>
        <v>0</v>
      </c>
      <c r="CI519" s="3">
        <f>+IF(AVANCE[[#This Row],[CERRADURAS]]=AV$2,100%,AVANCE[[#This Row],[CERRADURAS]])</f>
        <v>0</v>
      </c>
      <c r="CJ519" s="3">
        <f>+IF(AVANCE[[#This Row],[REVESTIMIENTO INTERIOR ZONA SECA]]=AW$2,100%,AVANCE[[#This Row],[REVESTIMIENTO INTERIOR ZONA SECA]])</f>
        <v>0</v>
      </c>
      <c r="CK519" s="3">
        <f>+IF(AVANCE[[#This Row],[REVESTIMIENTO INTERIOR ZONAS HUMEDAS]]=AX$2,100%,AVANCE[[#This Row],[REVESTIMIENTO INTERIOR ZONAS HUMEDAS]])</f>
        <v>0</v>
      </c>
      <c r="CL519" s="3">
        <f>+IF(AVANCE[[#This Row],[MEMBRANA CIELO]]=AY$2,100%,AVANCE[[#This Row],[MEMBRANA CIELO]])</f>
        <v>0</v>
      </c>
      <c r="CM519" s="3">
        <f>+IF(AVANCE[[#This Row],[LIMPIEZA FINAL]]=AZ$2,100%,AVANCE[[#This Row],[LIMPIEZA FINAL]])</f>
        <v>0</v>
      </c>
      <c r="CN519" s="3">
        <f>+IF(AVANCE[[#This Row],[PUERTAS DORMITORIO]]=BA$2,100%,AVANCE[[#This Row],[PUERTAS DORMITORIO]])</f>
        <v>0</v>
      </c>
      <c r="CO519" s="3">
        <f>+IF(AVANCE[[#This Row],[REVESTIMIENTO INTERIOR BANO]]=BB$2,100%,AVANCE[[#This Row],[REVESTIMIENTO INTERIOR BANO]])</f>
        <v>0</v>
      </c>
      <c r="CP519" s="3">
        <f>+IF(AVANCE[[#This Row],[MUEBLE LAVAPLATOS]]=BC$2,100%,AVANCE[[#This Row],[MUEBLE LAVAPLATOS]])</f>
        <v>0</v>
      </c>
      <c r="CQ519" s="3">
        <f>+IF(AVANCE[[#This Row],[IMPERMEABILIZACION BANO - COCINA LOGIA]]=BD$2,100%,AVANCE[[#This Row],[IMPERMEABILIZACION BANO - COCINA LOGIA]])</f>
        <v>0</v>
      </c>
      <c r="CR519" s="40">
        <f ca="1">+IF(AVANCE[[#This Row],[ESTADO MODULO]]="PENDIENTE",(TODAY()-AVANCE[[#This Row],[FECHA TERMINO  PLANIFICADO]]),0)</f>
        <v>0</v>
      </c>
      <c r="CS519" s="42" t="str" cm="1">
        <f t="array" ref="CS519">_xlfn.TEXTJOIN(" | ",TRUE,IF(SUMPRODUCT((BF519:CQ519&lt;1)*(PARTIDAS!$I$2:$AT$2="OBRA GRUESA"))&gt;0,"OBRA GRUESA: "&amp;_xlfn.TEXTJOIN(", ",TRUE,IF((BF519:CQ519&lt;1)*(PARTIDAS!$I$2:$AT$2="OBRA GRUESA"),PARTIDAS!$I$1:$AT$1,"")),""),IF(SUMPRODUCT((BF519:CQ519&lt;1)*(PARTIDAS!$I$2:$AT$2="SANITARIOS"))&gt;0,"SANITARIOS: "&amp;_xlfn.TEXTJOIN(", ",TRUE,IF((BF519:CQ519&lt;1)*(PARTIDAS!$I$2:$AT$2="SANITARIOS"),PARTIDAS!$I$1:$AT$1,"")),""),IF(SUMPRODUCT((BF519:CQ519&lt;1)*(PARTIDAS!$I$2:$AT$2="ELÉCTRICO"))&gt;0,"ELÉCTRICO: "&amp;_xlfn.TEXTJOIN(", ",TRUE,IF((BF519:CQ519&lt;1)*(PARTIDAS!$I$2:$AT$2="ELÉCTRICO"),PARTIDAS!$I$1:$AT$1,"")),""),IF(SUMPRODUCT((BF519:CQ519&lt;1)*(PARTIDAS!$I$2:$AT$2="TERMINACIONES"))&gt;0,"TERMINACIONES: "&amp;_xlfn.TEXTJOIN(", ",TRUE,IF((BF519:CQ519&lt;1)*(PARTIDAS!$I$2:$AT$2="TERMINACIONES"),PARTIDAS!$I$1:$AT$1,"")),""))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19" s="45" t="str" cm="1">
        <f t="array" ref="CT519">_xlfn.TEXTJOIN(", ",TRUE,IF(SUMPRODUCT((BF519:CQ519&lt;1)*(PARTIDAS!$I$2:$AT$2="OBRA GRUESA"))&gt;0,"OBRA GRUESA",""),IF(SUMPRODUCT((BF519:CQ519&lt;1)*(PARTIDAS!$I$2:$AT$2="SANITARIOS"))&gt;0,"SANITARIOS",""),IF(SUMPRODUCT((BF519:CQ519&lt;1)*(PARTIDAS!$I$2:$AT$2="ELÉCTRICO"))&gt;0,"ELÉCTRICO",""),IF(SUMPRODUCT((BF519:CQ519&lt;1)*(PARTIDAS!$I$2:$AT$2="TERMINACIONES"))&gt;0,"TERMINACIONES",""))</f>
        <v>OBRA GRUESA, SANITARIOS, ELÉCTRICO, TERMINACIONES</v>
      </c>
      <c r="CU519" s="46" cm="1">
        <f t="array" ref="CU519">SUMPRODUCT(--(BF519:CQ519&lt;1))</f>
        <v>38</v>
      </c>
    </row>
    <row r="520" spans="1:99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46181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 s="3" t="str">
        <f>+IF(AVANCE[[#This Row],[% AVANCE]]=100%,"MODULO TERMINADO",IF(AVANCE[[#This Row],[FECHA INICIO REAL]]="","MODULO NO INICIADO","PENDIENTE"))</f>
        <v>MODULO NO INICIADO</v>
      </c>
      <c r="BF520" s="3">
        <f>+IF(AVANCE[[#This Row],[VENTANAS]]=8.10810810810811%,100%,AVANCE[[#This Row],[VENTANAS]])</f>
        <v>0</v>
      </c>
      <c r="BG520" s="3">
        <f>+IF(AVANCE[[#This Row],[PISO]]=N$2,100%,AVANCE[[#This Row],[PISO]])</f>
        <v>0</v>
      </c>
      <c r="BH520" s="3">
        <f>+IF(AVANCE[[#This Row],[TABIQUES]]=O$2,100%,AVANCE[[#This Row],[TABIQUES]])</f>
        <v>0</v>
      </c>
      <c r="BI520" s="3">
        <f>+IF(AVANCE[[#This Row],[MUROS]]=P$2,100%,AVANCE[[#This Row],[MUROS]])</f>
        <v>0</v>
      </c>
      <c r="BJ520" s="3">
        <f>+IF(AVANCE[[#This Row],[CIELO]]=Q$2,100%,AVANCE[[#This Row],[CIELO]])</f>
        <v>0</v>
      </c>
      <c r="BK520" s="3">
        <f>+IF(AVANCE[[#This Row],[BALCÓN]]=R$2,100%,AVANCE[[#This Row],[BALCÓN]])</f>
        <v>0</v>
      </c>
      <c r="BL520" s="3">
        <f>+IF(AVANCE[[#This Row],[RED ALCANTARILLADO]]=U$2,100%,AVANCE[[#This Row],[RED ALCANTARILLADO]])</f>
        <v>0</v>
      </c>
      <c r="BM520" s="3">
        <f>+IF(AVANCE[[#This Row],[RED DE AGUA]]=V$2,100%,AVANCE[[#This Row],[RED DE AGUA]])</f>
        <v>0</v>
      </c>
      <c r="BN520" s="3">
        <f>+IF(AVANCE[[#This Row],[VENTILACIONES]]=W$2,100%,AVANCE[[#This Row],[VENTILACIONES]])</f>
        <v>0</v>
      </c>
      <c r="BO520" s="3">
        <f>+IF(AVANCE[[#This Row],[TINA]]=X$2,100%,AVANCE[[#This Row],[TINA]])</f>
        <v>0</v>
      </c>
      <c r="BP520" s="3">
        <f>+IF(AVANCE[[#This Row],[WC]]=Y$2,100%,AVANCE[[#This Row],[WC]])</f>
        <v>0</v>
      </c>
      <c r="BQ520" s="3">
        <f>+IF(AVANCE[[#This Row],[LAVAMANOS / LAVAPLATOS / LAVADERO]]=Z$2,100%,AVANCE[[#This Row],[LAVAMANOS / LAVAPLATOS / LAVADERO]])</f>
        <v>0</v>
      </c>
      <c r="BR520" s="3">
        <f>+IF(AVANCE[[#This Row],[CANALIZACIÓN]]=AC$2,100%,AVANCE[[#This Row],[CANALIZACIÓN]])</f>
        <v>0</v>
      </c>
      <c r="BS520" s="3">
        <f>+IF(AVANCE[[#This Row],[CABLEADO]]=AD$2,100%,AVANCE[[#This Row],[CABLEADO]])</f>
        <v>0</v>
      </c>
      <c r="BT520" s="3">
        <f>+IF(AVANCE[[#This Row],[ARTEFACTOS]]=AE$2,100%,AVANCE[[#This Row],[ARTEFACTOS]])</f>
        <v>0</v>
      </c>
      <c r="BU520" s="3">
        <f>+IF(AVANCE[[#This Row],[TABLERO]]=AF$2,100%,AVANCE[[#This Row],[TABLERO]])</f>
        <v>0</v>
      </c>
      <c r="BV520" s="3">
        <f>+IF(AVANCE[[#This Row],[CAJA PAU]]=AG$2,100%,AVANCE[[#This Row],[CAJA PAU]])</f>
        <v>0</v>
      </c>
      <c r="BW520" s="3">
        <f>+IF(AVANCE[[#This Row],[INSTALACION VINILICO]]=AJ$2,100%,AVANCE[[#This Row],[INSTALACION VINILICO]])</f>
        <v>0</v>
      </c>
      <c r="BX520" s="3">
        <f>+IF(AVANCE[[#This Row],[OSB CUBIERTA]]=AK$2,100%,AVANCE[[#This Row],[OSB CUBIERTA]])</f>
        <v>0</v>
      </c>
      <c r="BY520" s="3">
        <f>+IF(AVANCE[[#This Row],[BARANDA BALCON]]=AL$2,100%,AVANCE[[#This Row],[BARANDA BALCON]])</f>
        <v>0</v>
      </c>
      <c r="BZ520" s="3">
        <f>+IF(AVANCE[[#This Row],[OSB EXTERIOR]]=AM$2,100%,AVANCE[[#This Row],[OSB EXTERIOR]])</f>
        <v>0</v>
      </c>
      <c r="CA520" s="3">
        <f>+IF(AVANCE[[#This Row],[SMART PANEL]]=AN$2,100%,AVANCE[[#This Row],[SMART PANEL]])</f>
        <v>0</v>
      </c>
      <c r="CB520" s="3">
        <f>+IF(AVANCE[[#This Row],[PINTURA EXTERIOR]]=AO$2,100%,AVANCE[[#This Row],[PINTURA EXTERIOR]])</f>
        <v>0</v>
      </c>
      <c r="CC520" s="3">
        <f>+IF(AVANCE[[#This Row],[ZOCALOS LOGIA]]=AP$2,100%,AVANCE[[#This Row],[ZOCALOS LOGIA]])</f>
        <v>0</v>
      </c>
      <c r="CD520" s="3">
        <f>+IF(AVANCE[[#This Row],[MOLDURAS]]=AQ$2,100%,AVANCE[[#This Row],[MOLDURAS]])</f>
        <v>0</v>
      </c>
      <c r="CE520" s="3">
        <f>+IF(AVANCE[[#This Row],[PILASTREO]]=AR$2,100%,AVANCE[[#This Row],[PILASTREO]])</f>
        <v>0</v>
      </c>
      <c r="CF520" s="3">
        <f>+IF(AVANCE[[#This Row],[CELOSIAS]]=AS$2,100%,AVANCE[[#This Row],[CELOSIAS]])</f>
        <v>0</v>
      </c>
      <c r="CG520" s="3">
        <f>+IF(AVANCE[[#This Row],[VENTANAS]]=AT$2,100%,AVANCE[[#This Row],[VENTANAS]])</f>
        <v>0</v>
      </c>
      <c r="CH520" s="3">
        <f>+IF(AVANCE[[#This Row],[PUERTAS ACCESO - LOGIA - BANO]]=AU$2,100%,AVANCE[[#This Row],[PUERTAS ACCESO - LOGIA - BANO]])</f>
        <v>0</v>
      </c>
      <c r="CI520" s="3">
        <f>+IF(AVANCE[[#This Row],[CERRADURAS]]=AV$2,100%,AVANCE[[#This Row],[CERRADURAS]])</f>
        <v>0</v>
      </c>
      <c r="CJ520" s="3">
        <f>+IF(AVANCE[[#This Row],[REVESTIMIENTO INTERIOR ZONA SECA]]=AW$2,100%,AVANCE[[#This Row],[REVESTIMIENTO INTERIOR ZONA SECA]])</f>
        <v>0</v>
      </c>
      <c r="CK520" s="3">
        <f>+IF(AVANCE[[#This Row],[REVESTIMIENTO INTERIOR ZONAS HUMEDAS]]=AX$2,100%,AVANCE[[#This Row],[REVESTIMIENTO INTERIOR ZONAS HUMEDAS]])</f>
        <v>0</v>
      </c>
      <c r="CL520" s="3">
        <f>+IF(AVANCE[[#This Row],[MEMBRANA CIELO]]=AY$2,100%,AVANCE[[#This Row],[MEMBRANA CIELO]])</f>
        <v>0</v>
      </c>
      <c r="CM520" s="3">
        <f>+IF(AVANCE[[#This Row],[LIMPIEZA FINAL]]=AZ$2,100%,AVANCE[[#This Row],[LIMPIEZA FINAL]])</f>
        <v>0</v>
      </c>
      <c r="CN520" s="3">
        <f>+IF(AVANCE[[#This Row],[PUERTAS DORMITORIO]]=BA$2,100%,AVANCE[[#This Row],[PUERTAS DORMITORIO]])</f>
        <v>0</v>
      </c>
      <c r="CO520" s="3">
        <f>+IF(AVANCE[[#This Row],[REVESTIMIENTO INTERIOR BANO]]=BB$2,100%,AVANCE[[#This Row],[REVESTIMIENTO INTERIOR BANO]])</f>
        <v>0</v>
      </c>
      <c r="CP520" s="3">
        <f>+IF(AVANCE[[#This Row],[MUEBLE LAVAPLATOS]]=BC$2,100%,AVANCE[[#This Row],[MUEBLE LAVAPLATOS]])</f>
        <v>0</v>
      </c>
      <c r="CQ520" s="3">
        <f>+IF(AVANCE[[#This Row],[IMPERMEABILIZACION BANO - COCINA LOGIA]]=BD$2,100%,AVANCE[[#This Row],[IMPERMEABILIZACION BANO - COCINA LOGIA]])</f>
        <v>0</v>
      </c>
      <c r="CR520" s="40">
        <f ca="1">+IF(AVANCE[[#This Row],[ESTADO MODULO]]="PENDIENTE",(TODAY()-AVANCE[[#This Row],[FECHA TERMINO  PLANIFICADO]]),0)</f>
        <v>0</v>
      </c>
      <c r="CS520" s="42" t="str" cm="1">
        <f t="array" ref="CS520">_xlfn.TEXTJOIN(" | ",TRUE,IF(SUMPRODUCT((BF520:CQ520&lt;1)*(PARTIDAS!$I$2:$AT$2="OBRA GRUESA"))&gt;0,"OBRA GRUESA: "&amp;_xlfn.TEXTJOIN(", ",TRUE,IF((BF520:CQ520&lt;1)*(PARTIDAS!$I$2:$AT$2="OBRA GRUESA"),PARTIDAS!$I$1:$AT$1,"")),""),IF(SUMPRODUCT((BF520:CQ520&lt;1)*(PARTIDAS!$I$2:$AT$2="SANITARIOS"))&gt;0,"SANITARIOS: "&amp;_xlfn.TEXTJOIN(", ",TRUE,IF((BF520:CQ520&lt;1)*(PARTIDAS!$I$2:$AT$2="SANITARIOS"),PARTIDAS!$I$1:$AT$1,"")),""),IF(SUMPRODUCT((BF520:CQ520&lt;1)*(PARTIDAS!$I$2:$AT$2="ELÉCTRICO"))&gt;0,"ELÉCTRICO: "&amp;_xlfn.TEXTJOIN(", ",TRUE,IF((BF520:CQ520&lt;1)*(PARTIDAS!$I$2:$AT$2="ELÉCTRICO"),PARTIDAS!$I$1:$AT$1,"")),""),IF(SUMPRODUCT((BF520:CQ520&lt;1)*(PARTIDAS!$I$2:$AT$2="TERMINACIONES"))&gt;0,"TERMINACIONES: "&amp;_xlfn.TEXTJOIN(", ",TRUE,IF((BF520:CQ520&lt;1)*(PARTIDAS!$I$2:$AT$2="TERMINACIONES"),PARTIDAS!$I$1:$AT$1,"")),""))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0" s="45" t="str" cm="1">
        <f t="array" ref="CT520">_xlfn.TEXTJOIN(", ",TRUE,IF(SUMPRODUCT((BF520:CQ520&lt;1)*(PARTIDAS!$I$2:$AT$2="OBRA GRUESA"))&gt;0,"OBRA GRUESA",""),IF(SUMPRODUCT((BF520:CQ520&lt;1)*(PARTIDAS!$I$2:$AT$2="SANITARIOS"))&gt;0,"SANITARIOS",""),IF(SUMPRODUCT((BF520:CQ520&lt;1)*(PARTIDAS!$I$2:$AT$2="ELÉCTRICO"))&gt;0,"ELÉCTRICO",""),IF(SUMPRODUCT((BF520:CQ520&lt;1)*(PARTIDAS!$I$2:$AT$2="TERMINACIONES"))&gt;0,"TERMINACIONES",""))</f>
        <v>OBRA GRUESA, SANITARIOS, ELÉCTRICO, TERMINACIONES</v>
      </c>
      <c r="CU520" s="46" cm="1">
        <f t="array" ref="CU520">SUMPRODUCT(--(BF520:CQ520&lt;1))</f>
        <v>38</v>
      </c>
    </row>
    <row r="521" spans="1:99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46181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 s="3" t="str">
        <f>+IF(AVANCE[[#This Row],[% AVANCE]]=100%,"MODULO TERMINADO",IF(AVANCE[[#This Row],[FECHA INICIO REAL]]="","MODULO NO INICIADO","PENDIENTE"))</f>
        <v>MODULO NO INICIADO</v>
      </c>
      <c r="BF521" s="3">
        <f>+IF(AVANCE[[#This Row],[VENTANAS]]=8.10810810810811%,100%,AVANCE[[#This Row],[VENTANAS]])</f>
        <v>0</v>
      </c>
      <c r="BG521" s="3">
        <f>+IF(AVANCE[[#This Row],[PISO]]=N$2,100%,AVANCE[[#This Row],[PISO]])</f>
        <v>0</v>
      </c>
      <c r="BH521" s="3">
        <f>+IF(AVANCE[[#This Row],[TABIQUES]]=O$2,100%,AVANCE[[#This Row],[TABIQUES]])</f>
        <v>0</v>
      </c>
      <c r="BI521" s="3">
        <f>+IF(AVANCE[[#This Row],[MUROS]]=P$2,100%,AVANCE[[#This Row],[MUROS]])</f>
        <v>0</v>
      </c>
      <c r="BJ521" s="3">
        <f>+IF(AVANCE[[#This Row],[CIELO]]=Q$2,100%,AVANCE[[#This Row],[CIELO]])</f>
        <v>0</v>
      </c>
      <c r="BK521" s="3">
        <f>+IF(AVANCE[[#This Row],[BALCÓN]]=R$2,100%,AVANCE[[#This Row],[BALCÓN]])</f>
        <v>0</v>
      </c>
      <c r="BL521" s="3">
        <f>+IF(AVANCE[[#This Row],[RED ALCANTARILLADO]]=U$2,100%,AVANCE[[#This Row],[RED ALCANTARILLADO]])</f>
        <v>0</v>
      </c>
      <c r="BM521" s="3">
        <f>+IF(AVANCE[[#This Row],[RED DE AGUA]]=V$2,100%,AVANCE[[#This Row],[RED DE AGUA]])</f>
        <v>0</v>
      </c>
      <c r="BN521" s="3">
        <f>+IF(AVANCE[[#This Row],[VENTILACIONES]]=W$2,100%,AVANCE[[#This Row],[VENTILACIONES]])</f>
        <v>0</v>
      </c>
      <c r="BO521" s="3">
        <f>+IF(AVANCE[[#This Row],[TINA]]=X$2,100%,AVANCE[[#This Row],[TINA]])</f>
        <v>0</v>
      </c>
      <c r="BP521" s="3">
        <f>+IF(AVANCE[[#This Row],[WC]]=Y$2,100%,AVANCE[[#This Row],[WC]])</f>
        <v>0</v>
      </c>
      <c r="BQ521" s="3">
        <f>+IF(AVANCE[[#This Row],[LAVAMANOS / LAVAPLATOS / LAVADERO]]=Z$2,100%,AVANCE[[#This Row],[LAVAMANOS / LAVAPLATOS / LAVADERO]])</f>
        <v>0</v>
      </c>
      <c r="BR521" s="3">
        <f>+IF(AVANCE[[#This Row],[CANALIZACIÓN]]=AC$2,100%,AVANCE[[#This Row],[CANALIZACIÓN]])</f>
        <v>0</v>
      </c>
      <c r="BS521" s="3">
        <f>+IF(AVANCE[[#This Row],[CABLEADO]]=AD$2,100%,AVANCE[[#This Row],[CABLEADO]])</f>
        <v>0</v>
      </c>
      <c r="BT521" s="3">
        <f>+IF(AVANCE[[#This Row],[ARTEFACTOS]]=AE$2,100%,AVANCE[[#This Row],[ARTEFACTOS]])</f>
        <v>0</v>
      </c>
      <c r="BU521" s="3">
        <f>+IF(AVANCE[[#This Row],[TABLERO]]=AF$2,100%,AVANCE[[#This Row],[TABLERO]])</f>
        <v>0</v>
      </c>
      <c r="BV521" s="3">
        <f>+IF(AVANCE[[#This Row],[CAJA PAU]]=AG$2,100%,AVANCE[[#This Row],[CAJA PAU]])</f>
        <v>0</v>
      </c>
      <c r="BW521" s="3">
        <f>+IF(AVANCE[[#This Row],[INSTALACION VINILICO]]=AJ$2,100%,AVANCE[[#This Row],[INSTALACION VINILICO]])</f>
        <v>0</v>
      </c>
      <c r="BX521" s="3">
        <f>+IF(AVANCE[[#This Row],[OSB CUBIERTA]]=AK$2,100%,AVANCE[[#This Row],[OSB CUBIERTA]])</f>
        <v>0</v>
      </c>
      <c r="BY521" s="3">
        <f>+IF(AVANCE[[#This Row],[BARANDA BALCON]]=AL$2,100%,AVANCE[[#This Row],[BARANDA BALCON]])</f>
        <v>0</v>
      </c>
      <c r="BZ521" s="3">
        <f>+IF(AVANCE[[#This Row],[OSB EXTERIOR]]=AM$2,100%,AVANCE[[#This Row],[OSB EXTERIOR]])</f>
        <v>0</v>
      </c>
      <c r="CA521" s="3">
        <f>+IF(AVANCE[[#This Row],[SMART PANEL]]=AN$2,100%,AVANCE[[#This Row],[SMART PANEL]])</f>
        <v>0</v>
      </c>
      <c r="CB521" s="3">
        <f>+IF(AVANCE[[#This Row],[PINTURA EXTERIOR]]=AO$2,100%,AVANCE[[#This Row],[PINTURA EXTERIOR]])</f>
        <v>0</v>
      </c>
      <c r="CC521" s="3">
        <f>+IF(AVANCE[[#This Row],[ZOCALOS LOGIA]]=AP$2,100%,AVANCE[[#This Row],[ZOCALOS LOGIA]])</f>
        <v>0</v>
      </c>
      <c r="CD521" s="3">
        <f>+IF(AVANCE[[#This Row],[MOLDURAS]]=AQ$2,100%,AVANCE[[#This Row],[MOLDURAS]])</f>
        <v>0</v>
      </c>
      <c r="CE521" s="3">
        <f>+IF(AVANCE[[#This Row],[PILASTREO]]=AR$2,100%,AVANCE[[#This Row],[PILASTREO]])</f>
        <v>0</v>
      </c>
      <c r="CF521" s="3">
        <f>+IF(AVANCE[[#This Row],[CELOSIAS]]=AS$2,100%,AVANCE[[#This Row],[CELOSIAS]])</f>
        <v>0</v>
      </c>
      <c r="CG521" s="3">
        <f>+IF(AVANCE[[#This Row],[VENTANAS]]=AT$2,100%,AVANCE[[#This Row],[VENTANAS]])</f>
        <v>0</v>
      </c>
      <c r="CH521" s="3">
        <f>+IF(AVANCE[[#This Row],[PUERTAS ACCESO - LOGIA - BANO]]=AU$2,100%,AVANCE[[#This Row],[PUERTAS ACCESO - LOGIA - BANO]])</f>
        <v>0</v>
      </c>
      <c r="CI521" s="3">
        <f>+IF(AVANCE[[#This Row],[CERRADURAS]]=AV$2,100%,AVANCE[[#This Row],[CERRADURAS]])</f>
        <v>0</v>
      </c>
      <c r="CJ521" s="3">
        <f>+IF(AVANCE[[#This Row],[REVESTIMIENTO INTERIOR ZONA SECA]]=AW$2,100%,AVANCE[[#This Row],[REVESTIMIENTO INTERIOR ZONA SECA]])</f>
        <v>0</v>
      </c>
      <c r="CK521" s="3">
        <f>+IF(AVANCE[[#This Row],[REVESTIMIENTO INTERIOR ZONAS HUMEDAS]]=AX$2,100%,AVANCE[[#This Row],[REVESTIMIENTO INTERIOR ZONAS HUMEDAS]])</f>
        <v>0</v>
      </c>
      <c r="CL521" s="3">
        <f>+IF(AVANCE[[#This Row],[MEMBRANA CIELO]]=AY$2,100%,AVANCE[[#This Row],[MEMBRANA CIELO]])</f>
        <v>0</v>
      </c>
      <c r="CM521" s="3">
        <f>+IF(AVANCE[[#This Row],[LIMPIEZA FINAL]]=AZ$2,100%,AVANCE[[#This Row],[LIMPIEZA FINAL]])</f>
        <v>0</v>
      </c>
      <c r="CN521" s="3">
        <f>+IF(AVANCE[[#This Row],[PUERTAS DORMITORIO]]=BA$2,100%,AVANCE[[#This Row],[PUERTAS DORMITORIO]])</f>
        <v>0</v>
      </c>
      <c r="CO521" s="3">
        <f>+IF(AVANCE[[#This Row],[REVESTIMIENTO INTERIOR BANO]]=BB$2,100%,AVANCE[[#This Row],[REVESTIMIENTO INTERIOR BANO]])</f>
        <v>0</v>
      </c>
      <c r="CP521" s="3">
        <f>+IF(AVANCE[[#This Row],[MUEBLE LAVAPLATOS]]=BC$2,100%,AVANCE[[#This Row],[MUEBLE LAVAPLATOS]])</f>
        <v>0</v>
      </c>
      <c r="CQ521" s="3">
        <f>+IF(AVANCE[[#This Row],[IMPERMEABILIZACION BANO - COCINA LOGIA]]=BD$2,100%,AVANCE[[#This Row],[IMPERMEABILIZACION BANO - COCINA LOGIA]])</f>
        <v>0</v>
      </c>
      <c r="CR521" s="40">
        <f ca="1">+IF(AVANCE[[#This Row],[ESTADO MODULO]]="PENDIENTE",(TODAY()-AVANCE[[#This Row],[FECHA TERMINO  PLANIFICADO]]),0)</f>
        <v>0</v>
      </c>
      <c r="CS521" s="42" t="str" cm="1">
        <f t="array" ref="CS521">_xlfn.TEXTJOIN(" | ",TRUE,IF(SUMPRODUCT((BF521:CQ521&lt;1)*(PARTIDAS!$I$2:$AT$2="OBRA GRUESA"))&gt;0,"OBRA GRUESA: "&amp;_xlfn.TEXTJOIN(", ",TRUE,IF((BF521:CQ521&lt;1)*(PARTIDAS!$I$2:$AT$2="OBRA GRUESA"),PARTIDAS!$I$1:$AT$1,"")),""),IF(SUMPRODUCT((BF521:CQ521&lt;1)*(PARTIDAS!$I$2:$AT$2="SANITARIOS"))&gt;0,"SANITARIOS: "&amp;_xlfn.TEXTJOIN(", ",TRUE,IF((BF521:CQ521&lt;1)*(PARTIDAS!$I$2:$AT$2="SANITARIOS"),PARTIDAS!$I$1:$AT$1,"")),""),IF(SUMPRODUCT((BF521:CQ521&lt;1)*(PARTIDAS!$I$2:$AT$2="ELÉCTRICO"))&gt;0,"ELÉCTRICO: "&amp;_xlfn.TEXTJOIN(", ",TRUE,IF((BF521:CQ521&lt;1)*(PARTIDAS!$I$2:$AT$2="ELÉCTRICO"),PARTIDAS!$I$1:$AT$1,"")),""),IF(SUMPRODUCT((BF521:CQ521&lt;1)*(PARTIDAS!$I$2:$AT$2="TERMINACIONES"))&gt;0,"TERMINACIONES: "&amp;_xlfn.TEXTJOIN(", ",TRUE,IF((BF521:CQ521&lt;1)*(PARTIDAS!$I$2:$AT$2="TERMINACIONES"),PARTIDAS!$I$1:$AT$1,"")),""))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1" s="45" t="str" cm="1">
        <f t="array" ref="CT521">_xlfn.TEXTJOIN(", ",TRUE,IF(SUMPRODUCT((BF521:CQ521&lt;1)*(PARTIDAS!$I$2:$AT$2="OBRA GRUESA"))&gt;0,"OBRA GRUESA",""),IF(SUMPRODUCT((BF521:CQ521&lt;1)*(PARTIDAS!$I$2:$AT$2="SANITARIOS"))&gt;0,"SANITARIOS",""),IF(SUMPRODUCT((BF521:CQ521&lt;1)*(PARTIDAS!$I$2:$AT$2="ELÉCTRICO"))&gt;0,"ELÉCTRICO",""),IF(SUMPRODUCT((BF521:CQ521&lt;1)*(PARTIDAS!$I$2:$AT$2="TERMINACIONES"))&gt;0,"TERMINACIONES",""))</f>
        <v>OBRA GRUESA, SANITARIOS, ELÉCTRICO, TERMINACIONES</v>
      </c>
      <c r="CU521" s="46" cm="1">
        <f t="array" ref="CU521">SUMPRODUCT(--(BF521:CQ521&lt;1))</f>
        <v>38</v>
      </c>
    </row>
    <row r="522" spans="1:99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46181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 s="3" t="str">
        <f>+IF(AVANCE[[#This Row],[% AVANCE]]=100%,"MODULO TERMINADO",IF(AVANCE[[#This Row],[FECHA INICIO REAL]]="","MODULO NO INICIADO","PENDIENTE"))</f>
        <v>MODULO NO INICIADO</v>
      </c>
      <c r="BF522" s="3">
        <f>+IF(AVANCE[[#This Row],[VENTANAS]]=8.10810810810811%,100%,AVANCE[[#This Row],[VENTANAS]])</f>
        <v>0</v>
      </c>
      <c r="BG522" s="3">
        <f>+IF(AVANCE[[#This Row],[PISO]]=N$2,100%,AVANCE[[#This Row],[PISO]])</f>
        <v>0</v>
      </c>
      <c r="BH522" s="3">
        <f>+IF(AVANCE[[#This Row],[TABIQUES]]=O$2,100%,AVANCE[[#This Row],[TABIQUES]])</f>
        <v>0</v>
      </c>
      <c r="BI522" s="3">
        <f>+IF(AVANCE[[#This Row],[MUROS]]=P$2,100%,AVANCE[[#This Row],[MUROS]])</f>
        <v>0</v>
      </c>
      <c r="BJ522" s="3">
        <f>+IF(AVANCE[[#This Row],[CIELO]]=Q$2,100%,AVANCE[[#This Row],[CIELO]])</f>
        <v>0</v>
      </c>
      <c r="BK522" s="3">
        <f>+IF(AVANCE[[#This Row],[BALCÓN]]=R$2,100%,AVANCE[[#This Row],[BALCÓN]])</f>
        <v>0</v>
      </c>
      <c r="BL522" s="3">
        <f>+IF(AVANCE[[#This Row],[RED ALCANTARILLADO]]=U$2,100%,AVANCE[[#This Row],[RED ALCANTARILLADO]])</f>
        <v>0</v>
      </c>
      <c r="BM522" s="3">
        <f>+IF(AVANCE[[#This Row],[RED DE AGUA]]=V$2,100%,AVANCE[[#This Row],[RED DE AGUA]])</f>
        <v>0</v>
      </c>
      <c r="BN522" s="3">
        <f>+IF(AVANCE[[#This Row],[VENTILACIONES]]=W$2,100%,AVANCE[[#This Row],[VENTILACIONES]])</f>
        <v>0</v>
      </c>
      <c r="BO522" s="3">
        <f>+IF(AVANCE[[#This Row],[TINA]]=X$2,100%,AVANCE[[#This Row],[TINA]])</f>
        <v>0</v>
      </c>
      <c r="BP522" s="3">
        <f>+IF(AVANCE[[#This Row],[WC]]=Y$2,100%,AVANCE[[#This Row],[WC]])</f>
        <v>0</v>
      </c>
      <c r="BQ522" s="3">
        <f>+IF(AVANCE[[#This Row],[LAVAMANOS / LAVAPLATOS / LAVADERO]]=Z$2,100%,AVANCE[[#This Row],[LAVAMANOS / LAVAPLATOS / LAVADERO]])</f>
        <v>0</v>
      </c>
      <c r="BR522" s="3">
        <f>+IF(AVANCE[[#This Row],[CANALIZACIÓN]]=AC$2,100%,AVANCE[[#This Row],[CANALIZACIÓN]])</f>
        <v>0</v>
      </c>
      <c r="BS522" s="3">
        <f>+IF(AVANCE[[#This Row],[CABLEADO]]=AD$2,100%,AVANCE[[#This Row],[CABLEADO]])</f>
        <v>0</v>
      </c>
      <c r="BT522" s="3">
        <f>+IF(AVANCE[[#This Row],[ARTEFACTOS]]=AE$2,100%,AVANCE[[#This Row],[ARTEFACTOS]])</f>
        <v>0</v>
      </c>
      <c r="BU522" s="3">
        <f>+IF(AVANCE[[#This Row],[TABLERO]]=AF$2,100%,AVANCE[[#This Row],[TABLERO]])</f>
        <v>0</v>
      </c>
      <c r="BV522" s="3">
        <f>+IF(AVANCE[[#This Row],[CAJA PAU]]=AG$2,100%,AVANCE[[#This Row],[CAJA PAU]])</f>
        <v>0</v>
      </c>
      <c r="BW522" s="3">
        <f>+IF(AVANCE[[#This Row],[INSTALACION VINILICO]]=AJ$2,100%,AVANCE[[#This Row],[INSTALACION VINILICO]])</f>
        <v>0</v>
      </c>
      <c r="BX522" s="3">
        <f>+IF(AVANCE[[#This Row],[OSB CUBIERTA]]=AK$2,100%,AVANCE[[#This Row],[OSB CUBIERTA]])</f>
        <v>0</v>
      </c>
      <c r="BY522" s="3">
        <f>+IF(AVANCE[[#This Row],[BARANDA BALCON]]=AL$2,100%,AVANCE[[#This Row],[BARANDA BALCON]])</f>
        <v>0</v>
      </c>
      <c r="BZ522" s="3">
        <f>+IF(AVANCE[[#This Row],[OSB EXTERIOR]]=AM$2,100%,AVANCE[[#This Row],[OSB EXTERIOR]])</f>
        <v>0</v>
      </c>
      <c r="CA522" s="3">
        <f>+IF(AVANCE[[#This Row],[SMART PANEL]]=AN$2,100%,AVANCE[[#This Row],[SMART PANEL]])</f>
        <v>0</v>
      </c>
      <c r="CB522" s="3">
        <f>+IF(AVANCE[[#This Row],[PINTURA EXTERIOR]]=AO$2,100%,AVANCE[[#This Row],[PINTURA EXTERIOR]])</f>
        <v>0</v>
      </c>
      <c r="CC522" s="3">
        <f>+IF(AVANCE[[#This Row],[ZOCALOS LOGIA]]=AP$2,100%,AVANCE[[#This Row],[ZOCALOS LOGIA]])</f>
        <v>0</v>
      </c>
      <c r="CD522" s="3">
        <f>+IF(AVANCE[[#This Row],[MOLDURAS]]=AQ$2,100%,AVANCE[[#This Row],[MOLDURAS]])</f>
        <v>0</v>
      </c>
      <c r="CE522" s="3">
        <f>+IF(AVANCE[[#This Row],[PILASTREO]]=AR$2,100%,AVANCE[[#This Row],[PILASTREO]])</f>
        <v>0</v>
      </c>
      <c r="CF522" s="3">
        <f>+IF(AVANCE[[#This Row],[CELOSIAS]]=AS$2,100%,AVANCE[[#This Row],[CELOSIAS]])</f>
        <v>0</v>
      </c>
      <c r="CG522" s="3">
        <f>+IF(AVANCE[[#This Row],[VENTANAS]]=AT$2,100%,AVANCE[[#This Row],[VENTANAS]])</f>
        <v>0</v>
      </c>
      <c r="CH522" s="3">
        <f>+IF(AVANCE[[#This Row],[PUERTAS ACCESO - LOGIA - BANO]]=AU$2,100%,AVANCE[[#This Row],[PUERTAS ACCESO - LOGIA - BANO]])</f>
        <v>0</v>
      </c>
      <c r="CI522" s="3">
        <f>+IF(AVANCE[[#This Row],[CERRADURAS]]=AV$2,100%,AVANCE[[#This Row],[CERRADURAS]])</f>
        <v>0</v>
      </c>
      <c r="CJ522" s="3">
        <f>+IF(AVANCE[[#This Row],[REVESTIMIENTO INTERIOR ZONA SECA]]=AW$2,100%,AVANCE[[#This Row],[REVESTIMIENTO INTERIOR ZONA SECA]])</f>
        <v>0</v>
      </c>
      <c r="CK522" s="3">
        <f>+IF(AVANCE[[#This Row],[REVESTIMIENTO INTERIOR ZONAS HUMEDAS]]=AX$2,100%,AVANCE[[#This Row],[REVESTIMIENTO INTERIOR ZONAS HUMEDAS]])</f>
        <v>0</v>
      </c>
      <c r="CL522" s="3">
        <f>+IF(AVANCE[[#This Row],[MEMBRANA CIELO]]=AY$2,100%,AVANCE[[#This Row],[MEMBRANA CIELO]])</f>
        <v>0</v>
      </c>
      <c r="CM522" s="3">
        <f>+IF(AVANCE[[#This Row],[LIMPIEZA FINAL]]=AZ$2,100%,AVANCE[[#This Row],[LIMPIEZA FINAL]])</f>
        <v>0</v>
      </c>
      <c r="CN522" s="3">
        <f>+IF(AVANCE[[#This Row],[PUERTAS DORMITORIO]]=BA$2,100%,AVANCE[[#This Row],[PUERTAS DORMITORIO]])</f>
        <v>0</v>
      </c>
      <c r="CO522" s="3">
        <f>+IF(AVANCE[[#This Row],[REVESTIMIENTO INTERIOR BANO]]=BB$2,100%,AVANCE[[#This Row],[REVESTIMIENTO INTERIOR BANO]])</f>
        <v>0</v>
      </c>
      <c r="CP522" s="3">
        <f>+IF(AVANCE[[#This Row],[MUEBLE LAVAPLATOS]]=BC$2,100%,AVANCE[[#This Row],[MUEBLE LAVAPLATOS]])</f>
        <v>0</v>
      </c>
      <c r="CQ522" s="3">
        <f>+IF(AVANCE[[#This Row],[IMPERMEABILIZACION BANO - COCINA LOGIA]]=BD$2,100%,AVANCE[[#This Row],[IMPERMEABILIZACION BANO - COCINA LOGIA]])</f>
        <v>0</v>
      </c>
      <c r="CR522" s="40">
        <f ca="1">+IF(AVANCE[[#This Row],[ESTADO MODULO]]="PENDIENTE",(TODAY()-AVANCE[[#This Row],[FECHA TERMINO  PLANIFICADO]]),0)</f>
        <v>0</v>
      </c>
      <c r="CS522" s="42" t="str" cm="1">
        <f t="array" ref="CS522">_xlfn.TEXTJOIN(" | ",TRUE,IF(SUMPRODUCT((BF522:CQ522&lt;1)*(PARTIDAS!$I$2:$AT$2="OBRA GRUESA"))&gt;0,"OBRA GRUESA: "&amp;_xlfn.TEXTJOIN(", ",TRUE,IF((BF522:CQ522&lt;1)*(PARTIDAS!$I$2:$AT$2="OBRA GRUESA"),PARTIDAS!$I$1:$AT$1,"")),""),IF(SUMPRODUCT((BF522:CQ522&lt;1)*(PARTIDAS!$I$2:$AT$2="SANITARIOS"))&gt;0,"SANITARIOS: "&amp;_xlfn.TEXTJOIN(", ",TRUE,IF((BF522:CQ522&lt;1)*(PARTIDAS!$I$2:$AT$2="SANITARIOS"),PARTIDAS!$I$1:$AT$1,"")),""),IF(SUMPRODUCT((BF522:CQ522&lt;1)*(PARTIDAS!$I$2:$AT$2="ELÉCTRICO"))&gt;0,"ELÉCTRICO: "&amp;_xlfn.TEXTJOIN(", ",TRUE,IF((BF522:CQ522&lt;1)*(PARTIDAS!$I$2:$AT$2="ELÉCTRICO"),PARTIDAS!$I$1:$AT$1,"")),""),IF(SUMPRODUCT((BF522:CQ522&lt;1)*(PARTIDAS!$I$2:$AT$2="TERMINACIONES"))&gt;0,"TERMINACIONES: "&amp;_xlfn.TEXTJOIN(", ",TRUE,IF((BF522:CQ522&lt;1)*(PARTIDAS!$I$2:$AT$2="TERMINACIONES"),PARTIDAS!$I$1:$AT$1,"")),""))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2" s="45" t="str" cm="1">
        <f t="array" ref="CT522">_xlfn.TEXTJOIN(", ",TRUE,IF(SUMPRODUCT((BF522:CQ522&lt;1)*(PARTIDAS!$I$2:$AT$2="OBRA GRUESA"))&gt;0,"OBRA GRUESA",""),IF(SUMPRODUCT((BF522:CQ522&lt;1)*(PARTIDAS!$I$2:$AT$2="SANITARIOS"))&gt;0,"SANITARIOS",""),IF(SUMPRODUCT((BF522:CQ522&lt;1)*(PARTIDAS!$I$2:$AT$2="ELÉCTRICO"))&gt;0,"ELÉCTRICO",""),IF(SUMPRODUCT((BF522:CQ522&lt;1)*(PARTIDAS!$I$2:$AT$2="TERMINACIONES"))&gt;0,"TERMINACIONES",""))</f>
        <v>OBRA GRUESA, SANITARIOS, ELÉCTRICO, TERMINACIONES</v>
      </c>
      <c r="CU522" s="46" cm="1">
        <f t="array" ref="CU522">SUMPRODUCT(--(BF522:CQ522&lt;1))</f>
        <v>38</v>
      </c>
    </row>
    <row r="523" spans="1:99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46181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 s="3" t="str">
        <f>+IF(AVANCE[[#This Row],[% AVANCE]]=100%,"MODULO TERMINADO",IF(AVANCE[[#This Row],[FECHA INICIO REAL]]="","MODULO NO INICIADO","PENDIENTE"))</f>
        <v>MODULO NO INICIADO</v>
      </c>
      <c r="BF523" s="3">
        <f>+IF(AVANCE[[#This Row],[VENTANAS]]=8.10810810810811%,100%,AVANCE[[#This Row],[VENTANAS]])</f>
        <v>0</v>
      </c>
      <c r="BG523" s="3">
        <f>+IF(AVANCE[[#This Row],[PISO]]=N$2,100%,AVANCE[[#This Row],[PISO]])</f>
        <v>0</v>
      </c>
      <c r="BH523" s="3">
        <f>+IF(AVANCE[[#This Row],[TABIQUES]]=O$2,100%,AVANCE[[#This Row],[TABIQUES]])</f>
        <v>0</v>
      </c>
      <c r="BI523" s="3">
        <f>+IF(AVANCE[[#This Row],[MUROS]]=P$2,100%,AVANCE[[#This Row],[MUROS]])</f>
        <v>0</v>
      </c>
      <c r="BJ523" s="3">
        <f>+IF(AVANCE[[#This Row],[CIELO]]=Q$2,100%,AVANCE[[#This Row],[CIELO]])</f>
        <v>0</v>
      </c>
      <c r="BK523" s="3">
        <f>+IF(AVANCE[[#This Row],[BALCÓN]]=R$2,100%,AVANCE[[#This Row],[BALCÓN]])</f>
        <v>0</v>
      </c>
      <c r="BL523" s="3">
        <f>+IF(AVANCE[[#This Row],[RED ALCANTARILLADO]]=U$2,100%,AVANCE[[#This Row],[RED ALCANTARILLADO]])</f>
        <v>0</v>
      </c>
      <c r="BM523" s="3">
        <f>+IF(AVANCE[[#This Row],[RED DE AGUA]]=V$2,100%,AVANCE[[#This Row],[RED DE AGUA]])</f>
        <v>0</v>
      </c>
      <c r="BN523" s="3">
        <f>+IF(AVANCE[[#This Row],[VENTILACIONES]]=W$2,100%,AVANCE[[#This Row],[VENTILACIONES]])</f>
        <v>0</v>
      </c>
      <c r="BO523" s="3">
        <f>+IF(AVANCE[[#This Row],[TINA]]=X$2,100%,AVANCE[[#This Row],[TINA]])</f>
        <v>0</v>
      </c>
      <c r="BP523" s="3">
        <f>+IF(AVANCE[[#This Row],[WC]]=Y$2,100%,AVANCE[[#This Row],[WC]])</f>
        <v>0</v>
      </c>
      <c r="BQ523" s="3">
        <f>+IF(AVANCE[[#This Row],[LAVAMANOS / LAVAPLATOS / LAVADERO]]=Z$2,100%,AVANCE[[#This Row],[LAVAMANOS / LAVAPLATOS / LAVADERO]])</f>
        <v>0</v>
      </c>
      <c r="BR523" s="3">
        <f>+IF(AVANCE[[#This Row],[CANALIZACIÓN]]=AC$2,100%,AVANCE[[#This Row],[CANALIZACIÓN]])</f>
        <v>0</v>
      </c>
      <c r="BS523" s="3">
        <f>+IF(AVANCE[[#This Row],[CABLEADO]]=AD$2,100%,AVANCE[[#This Row],[CABLEADO]])</f>
        <v>0</v>
      </c>
      <c r="BT523" s="3">
        <f>+IF(AVANCE[[#This Row],[ARTEFACTOS]]=AE$2,100%,AVANCE[[#This Row],[ARTEFACTOS]])</f>
        <v>0</v>
      </c>
      <c r="BU523" s="3">
        <f>+IF(AVANCE[[#This Row],[TABLERO]]=AF$2,100%,AVANCE[[#This Row],[TABLERO]])</f>
        <v>0</v>
      </c>
      <c r="BV523" s="3">
        <f>+IF(AVANCE[[#This Row],[CAJA PAU]]=AG$2,100%,AVANCE[[#This Row],[CAJA PAU]])</f>
        <v>0</v>
      </c>
      <c r="BW523" s="3">
        <f>+IF(AVANCE[[#This Row],[INSTALACION VINILICO]]=AJ$2,100%,AVANCE[[#This Row],[INSTALACION VINILICO]])</f>
        <v>0</v>
      </c>
      <c r="BX523" s="3">
        <f>+IF(AVANCE[[#This Row],[OSB CUBIERTA]]=AK$2,100%,AVANCE[[#This Row],[OSB CUBIERTA]])</f>
        <v>0</v>
      </c>
      <c r="BY523" s="3">
        <f>+IF(AVANCE[[#This Row],[BARANDA BALCON]]=AL$2,100%,AVANCE[[#This Row],[BARANDA BALCON]])</f>
        <v>0</v>
      </c>
      <c r="BZ523" s="3">
        <f>+IF(AVANCE[[#This Row],[OSB EXTERIOR]]=AM$2,100%,AVANCE[[#This Row],[OSB EXTERIOR]])</f>
        <v>0</v>
      </c>
      <c r="CA523" s="3">
        <f>+IF(AVANCE[[#This Row],[SMART PANEL]]=AN$2,100%,AVANCE[[#This Row],[SMART PANEL]])</f>
        <v>0</v>
      </c>
      <c r="CB523" s="3">
        <f>+IF(AVANCE[[#This Row],[PINTURA EXTERIOR]]=AO$2,100%,AVANCE[[#This Row],[PINTURA EXTERIOR]])</f>
        <v>0</v>
      </c>
      <c r="CC523" s="3">
        <f>+IF(AVANCE[[#This Row],[ZOCALOS LOGIA]]=AP$2,100%,AVANCE[[#This Row],[ZOCALOS LOGIA]])</f>
        <v>0</v>
      </c>
      <c r="CD523" s="3">
        <f>+IF(AVANCE[[#This Row],[MOLDURAS]]=AQ$2,100%,AVANCE[[#This Row],[MOLDURAS]])</f>
        <v>0</v>
      </c>
      <c r="CE523" s="3">
        <f>+IF(AVANCE[[#This Row],[PILASTREO]]=AR$2,100%,AVANCE[[#This Row],[PILASTREO]])</f>
        <v>0</v>
      </c>
      <c r="CF523" s="3">
        <f>+IF(AVANCE[[#This Row],[CELOSIAS]]=AS$2,100%,AVANCE[[#This Row],[CELOSIAS]])</f>
        <v>0</v>
      </c>
      <c r="CG523" s="3">
        <f>+IF(AVANCE[[#This Row],[VENTANAS]]=AT$2,100%,AVANCE[[#This Row],[VENTANAS]])</f>
        <v>0</v>
      </c>
      <c r="CH523" s="3">
        <f>+IF(AVANCE[[#This Row],[PUERTAS ACCESO - LOGIA - BANO]]=AU$2,100%,AVANCE[[#This Row],[PUERTAS ACCESO - LOGIA - BANO]])</f>
        <v>0</v>
      </c>
      <c r="CI523" s="3">
        <f>+IF(AVANCE[[#This Row],[CERRADURAS]]=AV$2,100%,AVANCE[[#This Row],[CERRADURAS]])</f>
        <v>0</v>
      </c>
      <c r="CJ523" s="3">
        <f>+IF(AVANCE[[#This Row],[REVESTIMIENTO INTERIOR ZONA SECA]]=AW$2,100%,AVANCE[[#This Row],[REVESTIMIENTO INTERIOR ZONA SECA]])</f>
        <v>0</v>
      </c>
      <c r="CK523" s="3">
        <f>+IF(AVANCE[[#This Row],[REVESTIMIENTO INTERIOR ZONAS HUMEDAS]]=AX$2,100%,AVANCE[[#This Row],[REVESTIMIENTO INTERIOR ZONAS HUMEDAS]])</f>
        <v>0</v>
      </c>
      <c r="CL523" s="3">
        <f>+IF(AVANCE[[#This Row],[MEMBRANA CIELO]]=AY$2,100%,AVANCE[[#This Row],[MEMBRANA CIELO]])</f>
        <v>0</v>
      </c>
      <c r="CM523" s="3">
        <f>+IF(AVANCE[[#This Row],[LIMPIEZA FINAL]]=AZ$2,100%,AVANCE[[#This Row],[LIMPIEZA FINAL]])</f>
        <v>0</v>
      </c>
      <c r="CN523" s="3">
        <f>+IF(AVANCE[[#This Row],[PUERTAS DORMITORIO]]=BA$2,100%,AVANCE[[#This Row],[PUERTAS DORMITORIO]])</f>
        <v>0</v>
      </c>
      <c r="CO523" s="3">
        <f>+IF(AVANCE[[#This Row],[REVESTIMIENTO INTERIOR BANO]]=BB$2,100%,AVANCE[[#This Row],[REVESTIMIENTO INTERIOR BANO]])</f>
        <v>0</v>
      </c>
      <c r="CP523" s="3">
        <f>+IF(AVANCE[[#This Row],[MUEBLE LAVAPLATOS]]=BC$2,100%,AVANCE[[#This Row],[MUEBLE LAVAPLATOS]])</f>
        <v>0</v>
      </c>
      <c r="CQ523" s="3">
        <f>+IF(AVANCE[[#This Row],[IMPERMEABILIZACION BANO - COCINA LOGIA]]=BD$2,100%,AVANCE[[#This Row],[IMPERMEABILIZACION BANO - COCINA LOGIA]])</f>
        <v>0</v>
      </c>
      <c r="CR523" s="40">
        <f ca="1">+IF(AVANCE[[#This Row],[ESTADO MODULO]]="PENDIENTE",(TODAY()-AVANCE[[#This Row],[FECHA TERMINO  PLANIFICADO]]),0)</f>
        <v>0</v>
      </c>
      <c r="CS523" s="42" t="str" cm="1">
        <f t="array" ref="CS523">_xlfn.TEXTJOIN(" | ",TRUE,IF(SUMPRODUCT((BF523:CQ523&lt;1)*(PARTIDAS!$I$2:$AT$2="OBRA GRUESA"))&gt;0,"OBRA GRUESA: "&amp;_xlfn.TEXTJOIN(", ",TRUE,IF((BF523:CQ523&lt;1)*(PARTIDAS!$I$2:$AT$2="OBRA GRUESA"),PARTIDAS!$I$1:$AT$1,"")),""),IF(SUMPRODUCT((BF523:CQ523&lt;1)*(PARTIDAS!$I$2:$AT$2="SANITARIOS"))&gt;0,"SANITARIOS: "&amp;_xlfn.TEXTJOIN(", ",TRUE,IF((BF523:CQ523&lt;1)*(PARTIDAS!$I$2:$AT$2="SANITARIOS"),PARTIDAS!$I$1:$AT$1,"")),""),IF(SUMPRODUCT((BF523:CQ523&lt;1)*(PARTIDAS!$I$2:$AT$2="ELÉCTRICO"))&gt;0,"ELÉCTRICO: "&amp;_xlfn.TEXTJOIN(", ",TRUE,IF((BF523:CQ523&lt;1)*(PARTIDAS!$I$2:$AT$2="ELÉCTRICO"),PARTIDAS!$I$1:$AT$1,"")),""),IF(SUMPRODUCT((BF523:CQ523&lt;1)*(PARTIDAS!$I$2:$AT$2="TERMINACIONES"))&gt;0,"TERMINACIONES: "&amp;_xlfn.TEXTJOIN(", ",TRUE,IF((BF523:CQ523&lt;1)*(PARTIDAS!$I$2:$AT$2="TERMINACIONES"),PARTIDAS!$I$1:$AT$1,"")),""))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3" s="45" t="str" cm="1">
        <f t="array" ref="CT523">_xlfn.TEXTJOIN(", ",TRUE,IF(SUMPRODUCT((BF523:CQ523&lt;1)*(PARTIDAS!$I$2:$AT$2="OBRA GRUESA"))&gt;0,"OBRA GRUESA",""),IF(SUMPRODUCT((BF523:CQ523&lt;1)*(PARTIDAS!$I$2:$AT$2="SANITARIOS"))&gt;0,"SANITARIOS",""),IF(SUMPRODUCT((BF523:CQ523&lt;1)*(PARTIDAS!$I$2:$AT$2="ELÉCTRICO"))&gt;0,"ELÉCTRICO",""),IF(SUMPRODUCT((BF523:CQ523&lt;1)*(PARTIDAS!$I$2:$AT$2="TERMINACIONES"))&gt;0,"TERMINACIONES",""))</f>
        <v>OBRA GRUESA, SANITARIOS, ELÉCTRICO, TERMINACIONES</v>
      </c>
      <c r="CU523" s="46" cm="1">
        <f t="array" ref="CU523">SUMPRODUCT(--(BF523:CQ523&lt;1))</f>
        <v>38</v>
      </c>
    </row>
    <row r="524" spans="1:99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46181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 s="3" t="str">
        <f>+IF(AVANCE[[#This Row],[% AVANCE]]=100%,"MODULO TERMINADO",IF(AVANCE[[#This Row],[FECHA INICIO REAL]]="","MODULO NO INICIADO","PENDIENTE"))</f>
        <v>MODULO NO INICIADO</v>
      </c>
      <c r="BF524" s="3">
        <f>+IF(AVANCE[[#This Row],[VENTANAS]]=8.10810810810811%,100%,AVANCE[[#This Row],[VENTANAS]])</f>
        <v>0</v>
      </c>
      <c r="BG524" s="3">
        <f>+IF(AVANCE[[#This Row],[PISO]]=N$2,100%,AVANCE[[#This Row],[PISO]])</f>
        <v>0</v>
      </c>
      <c r="BH524" s="3">
        <f>+IF(AVANCE[[#This Row],[TABIQUES]]=O$2,100%,AVANCE[[#This Row],[TABIQUES]])</f>
        <v>0</v>
      </c>
      <c r="BI524" s="3">
        <f>+IF(AVANCE[[#This Row],[MUROS]]=P$2,100%,AVANCE[[#This Row],[MUROS]])</f>
        <v>0</v>
      </c>
      <c r="BJ524" s="3">
        <f>+IF(AVANCE[[#This Row],[CIELO]]=Q$2,100%,AVANCE[[#This Row],[CIELO]])</f>
        <v>0</v>
      </c>
      <c r="BK524" s="3">
        <f>+IF(AVANCE[[#This Row],[BALCÓN]]=R$2,100%,AVANCE[[#This Row],[BALCÓN]])</f>
        <v>0</v>
      </c>
      <c r="BL524" s="3">
        <f>+IF(AVANCE[[#This Row],[RED ALCANTARILLADO]]=U$2,100%,AVANCE[[#This Row],[RED ALCANTARILLADO]])</f>
        <v>0</v>
      </c>
      <c r="BM524" s="3">
        <f>+IF(AVANCE[[#This Row],[RED DE AGUA]]=V$2,100%,AVANCE[[#This Row],[RED DE AGUA]])</f>
        <v>0</v>
      </c>
      <c r="BN524" s="3">
        <f>+IF(AVANCE[[#This Row],[VENTILACIONES]]=W$2,100%,AVANCE[[#This Row],[VENTILACIONES]])</f>
        <v>0</v>
      </c>
      <c r="BO524" s="3">
        <f>+IF(AVANCE[[#This Row],[TINA]]=X$2,100%,AVANCE[[#This Row],[TINA]])</f>
        <v>0</v>
      </c>
      <c r="BP524" s="3">
        <f>+IF(AVANCE[[#This Row],[WC]]=Y$2,100%,AVANCE[[#This Row],[WC]])</f>
        <v>0</v>
      </c>
      <c r="BQ524" s="3">
        <f>+IF(AVANCE[[#This Row],[LAVAMANOS / LAVAPLATOS / LAVADERO]]=Z$2,100%,AVANCE[[#This Row],[LAVAMANOS / LAVAPLATOS / LAVADERO]])</f>
        <v>0</v>
      </c>
      <c r="BR524" s="3">
        <f>+IF(AVANCE[[#This Row],[CANALIZACIÓN]]=AC$2,100%,AVANCE[[#This Row],[CANALIZACIÓN]])</f>
        <v>0</v>
      </c>
      <c r="BS524" s="3">
        <f>+IF(AVANCE[[#This Row],[CABLEADO]]=AD$2,100%,AVANCE[[#This Row],[CABLEADO]])</f>
        <v>0</v>
      </c>
      <c r="BT524" s="3">
        <f>+IF(AVANCE[[#This Row],[ARTEFACTOS]]=AE$2,100%,AVANCE[[#This Row],[ARTEFACTOS]])</f>
        <v>0</v>
      </c>
      <c r="BU524" s="3">
        <f>+IF(AVANCE[[#This Row],[TABLERO]]=AF$2,100%,AVANCE[[#This Row],[TABLERO]])</f>
        <v>0</v>
      </c>
      <c r="BV524" s="3">
        <f>+IF(AVANCE[[#This Row],[CAJA PAU]]=AG$2,100%,AVANCE[[#This Row],[CAJA PAU]])</f>
        <v>0</v>
      </c>
      <c r="BW524" s="3">
        <f>+IF(AVANCE[[#This Row],[INSTALACION VINILICO]]=AJ$2,100%,AVANCE[[#This Row],[INSTALACION VINILICO]])</f>
        <v>0</v>
      </c>
      <c r="BX524" s="3">
        <f>+IF(AVANCE[[#This Row],[OSB CUBIERTA]]=AK$2,100%,AVANCE[[#This Row],[OSB CUBIERTA]])</f>
        <v>0</v>
      </c>
      <c r="BY524" s="3">
        <f>+IF(AVANCE[[#This Row],[BARANDA BALCON]]=AL$2,100%,AVANCE[[#This Row],[BARANDA BALCON]])</f>
        <v>0</v>
      </c>
      <c r="BZ524" s="3">
        <f>+IF(AVANCE[[#This Row],[OSB EXTERIOR]]=AM$2,100%,AVANCE[[#This Row],[OSB EXTERIOR]])</f>
        <v>0</v>
      </c>
      <c r="CA524" s="3">
        <f>+IF(AVANCE[[#This Row],[SMART PANEL]]=AN$2,100%,AVANCE[[#This Row],[SMART PANEL]])</f>
        <v>0</v>
      </c>
      <c r="CB524" s="3">
        <f>+IF(AVANCE[[#This Row],[PINTURA EXTERIOR]]=AO$2,100%,AVANCE[[#This Row],[PINTURA EXTERIOR]])</f>
        <v>0</v>
      </c>
      <c r="CC524" s="3">
        <f>+IF(AVANCE[[#This Row],[ZOCALOS LOGIA]]=AP$2,100%,AVANCE[[#This Row],[ZOCALOS LOGIA]])</f>
        <v>0</v>
      </c>
      <c r="CD524" s="3">
        <f>+IF(AVANCE[[#This Row],[MOLDURAS]]=AQ$2,100%,AVANCE[[#This Row],[MOLDURAS]])</f>
        <v>0</v>
      </c>
      <c r="CE524" s="3">
        <f>+IF(AVANCE[[#This Row],[PILASTREO]]=AR$2,100%,AVANCE[[#This Row],[PILASTREO]])</f>
        <v>0</v>
      </c>
      <c r="CF524" s="3">
        <f>+IF(AVANCE[[#This Row],[CELOSIAS]]=AS$2,100%,AVANCE[[#This Row],[CELOSIAS]])</f>
        <v>0</v>
      </c>
      <c r="CG524" s="3">
        <f>+IF(AVANCE[[#This Row],[VENTANAS]]=AT$2,100%,AVANCE[[#This Row],[VENTANAS]])</f>
        <v>0</v>
      </c>
      <c r="CH524" s="3">
        <f>+IF(AVANCE[[#This Row],[PUERTAS ACCESO - LOGIA - BANO]]=AU$2,100%,AVANCE[[#This Row],[PUERTAS ACCESO - LOGIA - BANO]])</f>
        <v>0</v>
      </c>
      <c r="CI524" s="3">
        <f>+IF(AVANCE[[#This Row],[CERRADURAS]]=AV$2,100%,AVANCE[[#This Row],[CERRADURAS]])</f>
        <v>0</v>
      </c>
      <c r="CJ524" s="3">
        <f>+IF(AVANCE[[#This Row],[REVESTIMIENTO INTERIOR ZONA SECA]]=AW$2,100%,AVANCE[[#This Row],[REVESTIMIENTO INTERIOR ZONA SECA]])</f>
        <v>0</v>
      </c>
      <c r="CK524" s="3">
        <f>+IF(AVANCE[[#This Row],[REVESTIMIENTO INTERIOR ZONAS HUMEDAS]]=AX$2,100%,AVANCE[[#This Row],[REVESTIMIENTO INTERIOR ZONAS HUMEDAS]])</f>
        <v>0</v>
      </c>
      <c r="CL524" s="3">
        <f>+IF(AVANCE[[#This Row],[MEMBRANA CIELO]]=AY$2,100%,AVANCE[[#This Row],[MEMBRANA CIELO]])</f>
        <v>0</v>
      </c>
      <c r="CM524" s="3">
        <f>+IF(AVANCE[[#This Row],[LIMPIEZA FINAL]]=AZ$2,100%,AVANCE[[#This Row],[LIMPIEZA FINAL]])</f>
        <v>0</v>
      </c>
      <c r="CN524" s="3">
        <f>+IF(AVANCE[[#This Row],[PUERTAS DORMITORIO]]=BA$2,100%,AVANCE[[#This Row],[PUERTAS DORMITORIO]])</f>
        <v>0</v>
      </c>
      <c r="CO524" s="3">
        <f>+IF(AVANCE[[#This Row],[REVESTIMIENTO INTERIOR BANO]]=BB$2,100%,AVANCE[[#This Row],[REVESTIMIENTO INTERIOR BANO]])</f>
        <v>0</v>
      </c>
      <c r="CP524" s="3">
        <f>+IF(AVANCE[[#This Row],[MUEBLE LAVAPLATOS]]=BC$2,100%,AVANCE[[#This Row],[MUEBLE LAVAPLATOS]])</f>
        <v>0</v>
      </c>
      <c r="CQ524" s="3">
        <f>+IF(AVANCE[[#This Row],[IMPERMEABILIZACION BANO - COCINA LOGIA]]=BD$2,100%,AVANCE[[#This Row],[IMPERMEABILIZACION BANO - COCINA LOGIA]])</f>
        <v>0</v>
      </c>
      <c r="CR524" s="40">
        <f ca="1">+IF(AVANCE[[#This Row],[ESTADO MODULO]]="PENDIENTE",(TODAY()-AVANCE[[#This Row],[FECHA TERMINO  PLANIFICADO]]),0)</f>
        <v>0</v>
      </c>
      <c r="CS524" s="42" t="str" cm="1">
        <f t="array" ref="CS524">_xlfn.TEXTJOIN(" | ",TRUE,IF(SUMPRODUCT((BF524:CQ524&lt;1)*(PARTIDAS!$I$2:$AT$2="OBRA GRUESA"))&gt;0,"OBRA GRUESA: "&amp;_xlfn.TEXTJOIN(", ",TRUE,IF((BF524:CQ524&lt;1)*(PARTIDAS!$I$2:$AT$2="OBRA GRUESA"),PARTIDAS!$I$1:$AT$1,"")),""),IF(SUMPRODUCT((BF524:CQ524&lt;1)*(PARTIDAS!$I$2:$AT$2="SANITARIOS"))&gt;0,"SANITARIOS: "&amp;_xlfn.TEXTJOIN(", ",TRUE,IF((BF524:CQ524&lt;1)*(PARTIDAS!$I$2:$AT$2="SANITARIOS"),PARTIDAS!$I$1:$AT$1,"")),""),IF(SUMPRODUCT((BF524:CQ524&lt;1)*(PARTIDAS!$I$2:$AT$2="ELÉCTRICO"))&gt;0,"ELÉCTRICO: "&amp;_xlfn.TEXTJOIN(", ",TRUE,IF((BF524:CQ524&lt;1)*(PARTIDAS!$I$2:$AT$2="ELÉCTRICO"),PARTIDAS!$I$1:$AT$1,"")),""),IF(SUMPRODUCT((BF524:CQ524&lt;1)*(PARTIDAS!$I$2:$AT$2="TERMINACIONES"))&gt;0,"TERMINACIONES: "&amp;_xlfn.TEXTJOIN(", ",TRUE,IF((BF524:CQ524&lt;1)*(PARTIDAS!$I$2:$AT$2="TERMINACIONES"),PARTIDAS!$I$1:$AT$1,"")),""))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4" s="45" t="str" cm="1">
        <f t="array" ref="CT524">_xlfn.TEXTJOIN(", ",TRUE,IF(SUMPRODUCT((BF524:CQ524&lt;1)*(PARTIDAS!$I$2:$AT$2="OBRA GRUESA"))&gt;0,"OBRA GRUESA",""),IF(SUMPRODUCT((BF524:CQ524&lt;1)*(PARTIDAS!$I$2:$AT$2="SANITARIOS"))&gt;0,"SANITARIOS",""),IF(SUMPRODUCT((BF524:CQ524&lt;1)*(PARTIDAS!$I$2:$AT$2="ELÉCTRICO"))&gt;0,"ELÉCTRICO",""),IF(SUMPRODUCT((BF524:CQ524&lt;1)*(PARTIDAS!$I$2:$AT$2="TERMINACIONES"))&gt;0,"TERMINACIONES",""))</f>
        <v>OBRA GRUESA, SANITARIOS, ELÉCTRICO, TERMINACIONES</v>
      </c>
      <c r="CU524" s="46" cm="1">
        <f t="array" ref="CU524">SUMPRODUCT(--(BF524:CQ524&lt;1))</f>
        <v>38</v>
      </c>
    </row>
    <row r="525" spans="1:99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46181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 s="3" t="str">
        <f>+IF(AVANCE[[#This Row],[% AVANCE]]=100%,"MODULO TERMINADO",IF(AVANCE[[#This Row],[FECHA INICIO REAL]]="","MODULO NO INICIADO","PENDIENTE"))</f>
        <v>MODULO NO INICIADO</v>
      </c>
      <c r="BF525" s="3">
        <f>+IF(AVANCE[[#This Row],[VENTANAS]]=8.10810810810811%,100%,AVANCE[[#This Row],[VENTANAS]])</f>
        <v>0</v>
      </c>
      <c r="BG525" s="3">
        <f>+IF(AVANCE[[#This Row],[PISO]]=N$2,100%,AVANCE[[#This Row],[PISO]])</f>
        <v>0</v>
      </c>
      <c r="BH525" s="3">
        <f>+IF(AVANCE[[#This Row],[TABIQUES]]=O$2,100%,AVANCE[[#This Row],[TABIQUES]])</f>
        <v>0</v>
      </c>
      <c r="BI525" s="3">
        <f>+IF(AVANCE[[#This Row],[MUROS]]=P$2,100%,AVANCE[[#This Row],[MUROS]])</f>
        <v>0</v>
      </c>
      <c r="BJ525" s="3">
        <f>+IF(AVANCE[[#This Row],[CIELO]]=Q$2,100%,AVANCE[[#This Row],[CIELO]])</f>
        <v>0</v>
      </c>
      <c r="BK525" s="3">
        <f>+IF(AVANCE[[#This Row],[BALCÓN]]=R$2,100%,AVANCE[[#This Row],[BALCÓN]])</f>
        <v>0</v>
      </c>
      <c r="BL525" s="3">
        <f>+IF(AVANCE[[#This Row],[RED ALCANTARILLADO]]=U$2,100%,AVANCE[[#This Row],[RED ALCANTARILLADO]])</f>
        <v>0</v>
      </c>
      <c r="BM525" s="3">
        <f>+IF(AVANCE[[#This Row],[RED DE AGUA]]=V$2,100%,AVANCE[[#This Row],[RED DE AGUA]])</f>
        <v>0</v>
      </c>
      <c r="BN525" s="3">
        <f>+IF(AVANCE[[#This Row],[VENTILACIONES]]=W$2,100%,AVANCE[[#This Row],[VENTILACIONES]])</f>
        <v>0</v>
      </c>
      <c r="BO525" s="3">
        <f>+IF(AVANCE[[#This Row],[TINA]]=X$2,100%,AVANCE[[#This Row],[TINA]])</f>
        <v>0</v>
      </c>
      <c r="BP525" s="3">
        <f>+IF(AVANCE[[#This Row],[WC]]=Y$2,100%,AVANCE[[#This Row],[WC]])</f>
        <v>0</v>
      </c>
      <c r="BQ525" s="3">
        <f>+IF(AVANCE[[#This Row],[LAVAMANOS / LAVAPLATOS / LAVADERO]]=Z$2,100%,AVANCE[[#This Row],[LAVAMANOS / LAVAPLATOS / LAVADERO]])</f>
        <v>0</v>
      </c>
      <c r="BR525" s="3">
        <f>+IF(AVANCE[[#This Row],[CANALIZACIÓN]]=AC$2,100%,AVANCE[[#This Row],[CANALIZACIÓN]])</f>
        <v>0</v>
      </c>
      <c r="BS525" s="3">
        <f>+IF(AVANCE[[#This Row],[CABLEADO]]=AD$2,100%,AVANCE[[#This Row],[CABLEADO]])</f>
        <v>0</v>
      </c>
      <c r="BT525" s="3">
        <f>+IF(AVANCE[[#This Row],[ARTEFACTOS]]=AE$2,100%,AVANCE[[#This Row],[ARTEFACTOS]])</f>
        <v>0</v>
      </c>
      <c r="BU525" s="3">
        <f>+IF(AVANCE[[#This Row],[TABLERO]]=AF$2,100%,AVANCE[[#This Row],[TABLERO]])</f>
        <v>0</v>
      </c>
      <c r="BV525" s="3">
        <f>+IF(AVANCE[[#This Row],[CAJA PAU]]=AG$2,100%,AVANCE[[#This Row],[CAJA PAU]])</f>
        <v>0</v>
      </c>
      <c r="BW525" s="3">
        <f>+IF(AVANCE[[#This Row],[INSTALACION VINILICO]]=AJ$2,100%,AVANCE[[#This Row],[INSTALACION VINILICO]])</f>
        <v>0</v>
      </c>
      <c r="BX525" s="3">
        <f>+IF(AVANCE[[#This Row],[OSB CUBIERTA]]=AK$2,100%,AVANCE[[#This Row],[OSB CUBIERTA]])</f>
        <v>0</v>
      </c>
      <c r="BY525" s="3">
        <f>+IF(AVANCE[[#This Row],[BARANDA BALCON]]=AL$2,100%,AVANCE[[#This Row],[BARANDA BALCON]])</f>
        <v>0</v>
      </c>
      <c r="BZ525" s="3">
        <f>+IF(AVANCE[[#This Row],[OSB EXTERIOR]]=AM$2,100%,AVANCE[[#This Row],[OSB EXTERIOR]])</f>
        <v>0</v>
      </c>
      <c r="CA525" s="3">
        <f>+IF(AVANCE[[#This Row],[SMART PANEL]]=AN$2,100%,AVANCE[[#This Row],[SMART PANEL]])</f>
        <v>0</v>
      </c>
      <c r="CB525" s="3">
        <f>+IF(AVANCE[[#This Row],[PINTURA EXTERIOR]]=AO$2,100%,AVANCE[[#This Row],[PINTURA EXTERIOR]])</f>
        <v>0</v>
      </c>
      <c r="CC525" s="3">
        <f>+IF(AVANCE[[#This Row],[ZOCALOS LOGIA]]=AP$2,100%,AVANCE[[#This Row],[ZOCALOS LOGIA]])</f>
        <v>0</v>
      </c>
      <c r="CD525" s="3">
        <f>+IF(AVANCE[[#This Row],[MOLDURAS]]=AQ$2,100%,AVANCE[[#This Row],[MOLDURAS]])</f>
        <v>0</v>
      </c>
      <c r="CE525" s="3">
        <f>+IF(AVANCE[[#This Row],[PILASTREO]]=AR$2,100%,AVANCE[[#This Row],[PILASTREO]])</f>
        <v>0</v>
      </c>
      <c r="CF525" s="3">
        <f>+IF(AVANCE[[#This Row],[CELOSIAS]]=AS$2,100%,AVANCE[[#This Row],[CELOSIAS]])</f>
        <v>0</v>
      </c>
      <c r="CG525" s="3">
        <f>+IF(AVANCE[[#This Row],[VENTANAS]]=AT$2,100%,AVANCE[[#This Row],[VENTANAS]])</f>
        <v>0</v>
      </c>
      <c r="CH525" s="3">
        <f>+IF(AVANCE[[#This Row],[PUERTAS ACCESO - LOGIA - BANO]]=AU$2,100%,AVANCE[[#This Row],[PUERTAS ACCESO - LOGIA - BANO]])</f>
        <v>0</v>
      </c>
      <c r="CI525" s="3">
        <f>+IF(AVANCE[[#This Row],[CERRADURAS]]=AV$2,100%,AVANCE[[#This Row],[CERRADURAS]])</f>
        <v>0</v>
      </c>
      <c r="CJ525" s="3">
        <f>+IF(AVANCE[[#This Row],[REVESTIMIENTO INTERIOR ZONA SECA]]=AW$2,100%,AVANCE[[#This Row],[REVESTIMIENTO INTERIOR ZONA SECA]])</f>
        <v>0</v>
      </c>
      <c r="CK525" s="3">
        <f>+IF(AVANCE[[#This Row],[REVESTIMIENTO INTERIOR ZONAS HUMEDAS]]=AX$2,100%,AVANCE[[#This Row],[REVESTIMIENTO INTERIOR ZONAS HUMEDAS]])</f>
        <v>0</v>
      </c>
      <c r="CL525" s="3">
        <f>+IF(AVANCE[[#This Row],[MEMBRANA CIELO]]=AY$2,100%,AVANCE[[#This Row],[MEMBRANA CIELO]])</f>
        <v>0</v>
      </c>
      <c r="CM525" s="3">
        <f>+IF(AVANCE[[#This Row],[LIMPIEZA FINAL]]=AZ$2,100%,AVANCE[[#This Row],[LIMPIEZA FINAL]])</f>
        <v>0</v>
      </c>
      <c r="CN525" s="3">
        <f>+IF(AVANCE[[#This Row],[PUERTAS DORMITORIO]]=BA$2,100%,AVANCE[[#This Row],[PUERTAS DORMITORIO]])</f>
        <v>0</v>
      </c>
      <c r="CO525" s="3">
        <f>+IF(AVANCE[[#This Row],[REVESTIMIENTO INTERIOR BANO]]=BB$2,100%,AVANCE[[#This Row],[REVESTIMIENTO INTERIOR BANO]])</f>
        <v>0</v>
      </c>
      <c r="CP525" s="3">
        <f>+IF(AVANCE[[#This Row],[MUEBLE LAVAPLATOS]]=BC$2,100%,AVANCE[[#This Row],[MUEBLE LAVAPLATOS]])</f>
        <v>0</v>
      </c>
      <c r="CQ525" s="3">
        <f>+IF(AVANCE[[#This Row],[IMPERMEABILIZACION BANO - COCINA LOGIA]]=BD$2,100%,AVANCE[[#This Row],[IMPERMEABILIZACION BANO - COCINA LOGIA]])</f>
        <v>0</v>
      </c>
      <c r="CR525" s="40">
        <f ca="1">+IF(AVANCE[[#This Row],[ESTADO MODULO]]="PENDIENTE",(TODAY()-AVANCE[[#This Row],[FECHA TERMINO  PLANIFICADO]]),0)</f>
        <v>0</v>
      </c>
      <c r="CS525" s="42" t="str" cm="1">
        <f t="array" ref="CS525">_xlfn.TEXTJOIN(" | ",TRUE,IF(SUMPRODUCT((BF525:CQ525&lt;1)*(PARTIDAS!$I$2:$AT$2="OBRA GRUESA"))&gt;0,"OBRA GRUESA: "&amp;_xlfn.TEXTJOIN(", ",TRUE,IF((BF525:CQ525&lt;1)*(PARTIDAS!$I$2:$AT$2="OBRA GRUESA"),PARTIDAS!$I$1:$AT$1,"")),""),IF(SUMPRODUCT((BF525:CQ525&lt;1)*(PARTIDAS!$I$2:$AT$2="SANITARIOS"))&gt;0,"SANITARIOS: "&amp;_xlfn.TEXTJOIN(", ",TRUE,IF((BF525:CQ525&lt;1)*(PARTIDAS!$I$2:$AT$2="SANITARIOS"),PARTIDAS!$I$1:$AT$1,"")),""),IF(SUMPRODUCT((BF525:CQ525&lt;1)*(PARTIDAS!$I$2:$AT$2="ELÉCTRICO"))&gt;0,"ELÉCTRICO: "&amp;_xlfn.TEXTJOIN(", ",TRUE,IF((BF525:CQ525&lt;1)*(PARTIDAS!$I$2:$AT$2="ELÉCTRICO"),PARTIDAS!$I$1:$AT$1,"")),""),IF(SUMPRODUCT((BF525:CQ525&lt;1)*(PARTIDAS!$I$2:$AT$2="TERMINACIONES"))&gt;0,"TERMINACIONES: "&amp;_xlfn.TEXTJOIN(", ",TRUE,IF((BF525:CQ525&lt;1)*(PARTIDAS!$I$2:$AT$2="TERMINACIONES"),PARTIDAS!$I$1:$AT$1,"")),""))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5" s="45" t="str" cm="1">
        <f t="array" ref="CT525">_xlfn.TEXTJOIN(", ",TRUE,IF(SUMPRODUCT((BF525:CQ525&lt;1)*(PARTIDAS!$I$2:$AT$2="OBRA GRUESA"))&gt;0,"OBRA GRUESA",""),IF(SUMPRODUCT((BF525:CQ525&lt;1)*(PARTIDAS!$I$2:$AT$2="SANITARIOS"))&gt;0,"SANITARIOS",""),IF(SUMPRODUCT((BF525:CQ525&lt;1)*(PARTIDAS!$I$2:$AT$2="ELÉCTRICO"))&gt;0,"ELÉCTRICO",""),IF(SUMPRODUCT((BF525:CQ525&lt;1)*(PARTIDAS!$I$2:$AT$2="TERMINACIONES"))&gt;0,"TERMINACIONES",""))</f>
        <v>OBRA GRUESA, SANITARIOS, ELÉCTRICO, TERMINACIONES</v>
      </c>
      <c r="CU525" s="46" cm="1">
        <f t="array" ref="CU525">SUMPRODUCT(--(BF525:CQ525&lt;1))</f>
        <v>38</v>
      </c>
    </row>
    <row r="526" spans="1:99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46181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 s="3" t="str">
        <f>+IF(AVANCE[[#This Row],[% AVANCE]]=100%,"MODULO TERMINADO",IF(AVANCE[[#This Row],[FECHA INICIO REAL]]="","MODULO NO INICIADO","PENDIENTE"))</f>
        <v>MODULO NO INICIADO</v>
      </c>
      <c r="BF526" s="3">
        <f>+IF(AVANCE[[#This Row],[VENTANAS]]=8.10810810810811%,100%,AVANCE[[#This Row],[VENTANAS]])</f>
        <v>0</v>
      </c>
      <c r="BG526" s="3">
        <f>+IF(AVANCE[[#This Row],[PISO]]=N$2,100%,AVANCE[[#This Row],[PISO]])</f>
        <v>0</v>
      </c>
      <c r="BH526" s="3">
        <f>+IF(AVANCE[[#This Row],[TABIQUES]]=O$2,100%,AVANCE[[#This Row],[TABIQUES]])</f>
        <v>0</v>
      </c>
      <c r="BI526" s="3">
        <f>+IF(AVANCE[[#This Row],[MUROS]]=P$2,100%,AVANCE[[#This Row],[MUROS]])</f>
        <v>0</v>
      </c>
      <c r="BJ526" s="3">
        <f>+IF(AVANCE[[#This Row],[CIELO]]=Q$2,100%,AVANCE[[#This Row],[CIELO]])</f>
        <v>0</v>
      </c>
      <c r="BK526" s="3">
        <f>+IF(AVANCE[[#This Row],[BALCÓN]]=R$2,100%,AVANCE[[#This Row],[BALCÓN]])</f>
        <v>0</v>
      </c>
      <c r="BL526" s="3">
        <f>+IF(AVANCE[[#This Row],[RED ALCANTARILLADO]]=U$2,100%,AVANCE[[#This Row],[RED ALCANTARILLADO]])</f>
        <v>0</v>
      </c>
      <c r="BM526" s="3">
        <f>+IF(AVANCE[[#This Row],[RED DE AGUA]]=V$2,100%,AVANCE[[#This Row],[RED DE AGUA]])</f>
        <v>0</v>
      </c>
      <c r="BN526" s="3">
        <f>+IF(AVANCE[[#This Row],[VENTILACIONES]]=W$2,100%,AVANCE[[#This Row],[VENTILACIONES]])</f>
        <v>0</v>
      </c>
      <c r="BO526" s="3">
        <f>+IF(AVANCE[[#This Row],[TINA]]=X$2,100%,AVANCE[[#This Row],[TINA]])</f>
        <v>0</v>
      </c>
      <c r="BP526" s="3">
        <f>+IF(AVANCE[[#This Row],[WC]]=Y$2,100%,AVANCE[[#This Row],[WC]])</f>
        <v>0</v>
      </c>
      <c r="BQ526" s="3">
        <f>+IF(AVANCE[[#This Row],[LAVAMANOS / LAVAPLATOS / LAVADERO]]=Z$2,100%,AVANCE[[#This Row],[LAVAMANOS / LAVAPLATOS / LAVADERO]])</f>
        <v>0</v>
      </c>
      <c r="BR526" s="3">
        <f>+IF(AVANCE[[#This Row],[CANALIZACIÓN]]=AC$2,100%,AVANCE[[#This Row],[CANALIZACIÓN]])</f>
        <v>0</v>
      </c>
      <c r="BS526" s="3">
        <f>+IF(AVANCE[[#This Row],[CABLEADO]]=AD$2,100%,AVANCE[[#This Row],[CABLEADO]])</f>
        <v>0</v>
      </c>
      <c r="BT526" s="3">
        <f>+IF(AVANCE[[#This Row],[ARTEFACTOS]]=AE$2,100%,AVANCE[[#This Row],[ARTEFACTOS]])</f>
        <v>0</v>
      </c>
      <c r="BU526" s="3">
        <f>+IF(AVANCE[[#This Row],[TABLERO]]=AF$2,100%,AVANCE[[#This Row],[TABLERO]])</f>
        <v>0</v>
      </c>
      <c r="BV526" s="3">
        <f>+IF(AVANCE[[#This Row],[CAJA PAU]]=AG$2,100%,AVANCE[[#This Row],[CAJA PAU]])</f>
        <v>0</v>
      </c>
      <c r="BW526" s="3">
        <f>+IF(AVANCE[[#This Row],[INSTALACION VINILICO]]=AJ$2,100%,AVANCE[[#This Row],[INSTALACION VINILICO]])</f>
        <v>0</v>
      </c>
      <c r="BX526" s="3">
        <f>+IF(AVANCE[[#This Row],[OSB CUBIERTA]]=AK$2,100%,AVANCE[[#This Row],[OSB CUBIERTA]])</f>
        <v>0</v>
      </c>
      <c r="BY526" s="3">
        <f>+IF(AVANCE[[#This Row],[BARANDA BALCON]]=AL$2,100%,AVANCE[[#This Row],[BARANDA BALCON]])</f>
        <v>0</v>
      </c>
      <c r="BZ526" s="3">
        <f>+IF(AVANCE[[#This Row],[OSB EXTERIOR]]=AM$2,100%,AVANCE[[#This Row],[OSB EXTERIOR]])</f>
        <v>0</v>
      </c>
      <c r="CA526" s="3">
        <f>+IF(AVANCE[[#This Row],[SMART PANEL]]=AN$2,100%,AVANCE[[#This Row],[SMART PANEL]])</f>
        <v>0</v>
      </c>
      <c r="CB526" s="3">
        <f>+IF(AVANCE[[#This Row],[PINTURA EXTERIOR]]=AO$2,100%,AVANCE[[#This Row],[PINTURA EXTERIOR]])</f>
        <v>0</v>
      </c>
      <c r="CC526" s="3">
        <f>+IF(AVANCE[[#This Row],[ZOCALOS LOGIA]]=AP$2,100%,AVANCE[[#This Row],[ZOCALOS LOGIA]])</f>
        <v>0</v>
      </c>
      <c r="CD526" s="3">
        <f>+IF(AVANCE[[#This Row],[MOLDURAS]]=AQ$2,100%,AVANCE[[#This Row],[MOLDURAS]])</f>
        <v>0</v>
      </c>
      <c r="CE526" s="3">
        <f>+IF(AVANCE[[#This Row],[PILASTREO]]=AR$2,100%,AVANCE[[#This Row],[PILASTREO]])</f>
        <v>0</v>
      </c>
      <c r="CF526" s="3">
        <f>+IF(AVANCE[[#This Row],[CELOSIAS]]=AS$2,100%,AVANCE[[#This Row],[CELOSIAS]])</f>
        <v>0</v>
      </c>
      <c r="CG526" s="3">
        <f>+IF(AVANCE[[#This Row],[VENTANAS]]=AT$2,100%,AVANCE[[#This Row],[VENTANAS]])</f>
        <v>0</v>
      </c>
      <c r="CH526" s="3">
        <f>+IF(AVANCE[[#This Row],[PUERTAS ACCESO - LOGIA - BANO]]=AU$2,100%,AVANCE[[#This Row],[PUERTAS ACCESO - LOGIA - BANO]])</f>
        <v>0</v>
      </c>
      <c r="CI526" s="3">
        <f>+IF(AVANCE[[#This Row],[CERRADURAS]]=AV$2,100%,AVANCE[[#This Row],[CERRADURAS]])</f>
        <v>0</v>
      </c>
      <c r="CJ526" s="3">
        <f>+IF(AVANCE[[#This Row],[REVESTIMIENTO INTERIOR ZONA SECA]]=AW$2,100%,AVANCE[[#This Row],[REVESTIMIENTO INTERIOR ZONA SECA]])</f>
        <v>0</v>
      </c>
      <c r="CK526" s="3">
        <f>+IF(AVANCE[[#This Row],[REVESTIMIENTO INTERIOR ZONAS HUMEDAS]]=AX$2,100%,AVANCE[[#This Row],[REVESTIMIENTO INTERIOR ZONAS HUMEDAS]])</f>
        <v>0</v>
      </c>
      <c r="CL526" s="3">
        <f>+IF(AVANCE[[#This Row],[MEMBRANA CIELO]]=AY$2,100%,AVANCE[[#This Row],[MEMBRANA CIELO]])</f>
        <v>0</v>
      </c>
      <c r="CM526" s="3">
        <f>+IF(AVANCE[[#This Row],[LIMPIEZA FINAL]]=AZ$2,100%,AVANCE[[#This Row],[LIMPIEZA FINAL]])</f>
        <v>0</v>
      </c>
      <c r="CN526" s="3">
        <f>+IF(AVANCE[[#This Row],[PUERTAS DORMITORIO]]=BA$2,100%,AVANCE[[#This Row],[PUERTAS DORMITORIO]])</f>
        <v>0</v>
      </c>
      <c r="CO526" s="3">
        <f>+IF(AVANCE[[#This Row],[REVESTIMIENTO INTERIOR BANO]]=BB$2,100%,AVANCE[[#This Row],[REVESTIMIENTO INTERIOR BANO]])</f>
        <v>0</v>
      </c>
      <c r="CP526" s="3">
        <f>+IF(AVANCE[[#This Row],[MUEBLE LAVAPLATOS]]=BC$2,100%,AVANCE[[#This Row],[MUEBLE LAVAPLATOS]])</f>
        <v>0</v>
      </c>
      <c r="CQ526" s="3">
        <f>+IF(AVANCE[[#This Row],[IMPERMEABILIZACION BANO - COCINA LOGIA]]=BD$2,100%,AVANCE[[#This Row],[IMPERMEABILIZACION BANO - COCINA LOGIA]])</f>
        <v>0</v>
      </c>
      <c r="CR526" s="40">
        <f ca="1">+IF(AVANCE[[#This Row],[ESTADO MODULO]]="PENDIENTE",(TODAY()-AVANCE[[#This Row],[FECHA TERMINO  PLANIFICADO]]),0)</f>
        <v>0</v>
      </c>
      <c r="CS526" s="42" t="str" cm="1">
        <f t="array" ref="CS526">_xlfn.TEXTJOIN(" | ",TRUE,IF(SUMPRODUCT((BF526:CQ526&lt;1)*(PARTIDAS!$I$2:$AT$2="OBRA GRUESA"))&gt;0,"OBRA GRUESA: "&amp;_xlfn.TEXTJOIN(", ",TRUE,IF((BF526:CQ526&lt;1)*(PARTIDAS!$I$2:$AT$2="OBRA GRUESA"),PARTIDAS!$I$1:$AT$1,"")),""),IF(SUMPRODUCT((BF526:CQ526&lt;1)*(PARTIDAS!$I$2:$AT$2="SANITARIOS"))&gt;0,"SANITARIOS: "&amp;_xlfn.TEXTJOIN(", ",TRUE,IF((BF526:CQ526&lt;1)*(PARTIDAS!$I$2:$AT$2="SANITARIOS"),PARTIDAS!$I$1:$AT$1,"")),""),IF(SUMPRODUCT((BF526:CQ526&lt;1)*(PARTIDAS!$I$2:$AT$2="ELÉCTRICO"))&gt;0,"ELÉCTRICO: "&amp;_xlfn.TEXTJOIN(", ",TRUE,IF((BF526:CQ526&lt;1)*(PARTIDAS!$I$2:$AT$2="ELÉCTRICO"),PARTIDAS!$I$1:$AT$1,"")),""),IF(SUMPRODUCT((BF526:CQ526&lt;1)*(PARTIDAS!$I$2:$AT$2="TERMINACIONES"))&gt;0,"TERMINACIONES: "&amp;_xlfn.TEXTJOIN(", ",TRUE,IF((BF526:CQ526&lt;1)*(PARTIDAS!$I$2:$AT$2="TERMINACIONES"),PARTIDAS!$I$1:$AT$1,"")),""))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6" s="45" t="str" cm="1">
        <f t="array" ref="CT526">_xlfn.TEXTJOIN(", ",TRUE,IF(SUMPRODUCT((BF526:CQ526&lt;1)*(PARTIDAS!$I$2:$AT$2="OBRA GRUESA"))&gt;0,"OBRA GRUESA",""),IF(SUMPRODUCT((BF526:CQ526&lt;1)*(PARTIDAS!$I$2:$AT$2="SANITARIOS"))&gt;0,"SANITARIOS",""),IF(SUMPRODUCT((BF526:CQ526&lt;1)*(PARTIDAS!$I$2:$AT$2="ELÉCTRICO"))&gt;0,"ELÉCTRICO",""),IF(SUMPRODUCT((BF526:CQ526&lt;1)*(PARTIDAS!$I$2:$AT$2="TERMINACIONES"))&gt;0,"TERMINACIONES",""))</f>
        <v>OBRA GRUESA, SANITARIOS, ELÉCTRICO, TERMINACIONES</v>
      </c>
      <c r="CU526" s="46" cm="1">
        <f t="array" ref="CU526">SUMPRODUCT(--(BF526:CQ526&lt;1))</f>
        <v>38</v>
      </c>
    </row>
    <row r="527" spans="1:99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46181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 s="3" t="str">
        <f>+IF(AVANCE[[#This Row],[% AVANCE]]=100%,"MODULO TERMINADO",IF(AVANCE[[#This Row],[FECHA INICIO REAL]]="","MODULO NO INICIADO","PENDIENTE"))</f>
        <v>MODULO NO INICIADO</v>
      </c>
      <c r="BF527" s="3">
        <f>+IF(AVANCE[[#This Row],[VENTANAS]]=8.10810810810811%,100%,AVANCE[[#This Row],[VENTANAS]])</f>
        <v>0</v>
      </c>
      <c r="BG527" s="3">
        <f>+IF(AVANCE[[#This Row],[PISO]]=N$2,100%,AVANCE[[#This Row],[PISO]])</f>
        <v>0</v>
      </c>
      <c r="BH527" s="3">
        <f>+IF(AVANCE[[#This Row],[TABIQUES]]=O$2,100%,AVANCE[[#This Row],[TABIQUES]])</f>
        <v>0</v>
      </c>
      <c r="BI527" s="3">
        <f>+IF(AVANCE[[#This Row],[MUROS]]=P$2,100%,AVANCE[[#This Row],[MUROS]])</f>
        <v>0</v>
      </c>
      <c r="BJ527" s="3">
        <f>+IF(AVANCE[[#This Row],[CIELO]]=Q$2,100%,AVANCE[[#This Row],[CIELO]])</f>
        <v>0</v>
      </c>
      <c r="BK527" s="3">
        <f>+IF(AVANCE[[#This Row],[BALCÓN]]=R$2,100%,AVANCE[[#This Row],[BALCÓN]])</f>
        <v>0</v>
      </c>
      <c r="BL527" s="3">
        <f>+IF(AVANCE[[#This Row],[RED ALCANTARILLADO]]=U$2,100%,AVANCE[[#This Row],[RED ALCANTARILLADO]])</f>
        <v>0</v>
      </c>
      <c r="BM527" s="3">
        <f>+IF(AVANCE[[#This Row],[RED DE AGUA]]=V$2,100%,AVANCE[[#This Row],[RED DE AGUA]])</f>
        <v>0</v>
      </c>
      <c r="BN527" s="3">
        <f>+IF(AVANCE[[#This Row],[VENTILACIONES]]=W$2,100%,AVANCE[[#This Row],[VENTILACIONES]])</f>
        <v>0</v>
      </c>
      <c r="BO527" s="3">
        <f>+IF(AVANCE[[#This Row],[TINA]]=X$2,100%,AVANCE[[#This Row],[TINA]])</f>
        <v>0</v>
      </c>
      <c r="BP527" s="3">
        <f>+IF(AVANCE[[#This Row],[WC]]=Y$2,100%,AVANCE[[#This Row],[WC]])</f>
        <v>0</v>
      </c>
      <c r="BQ527" s="3">
        <f>+IF(AVANCE[[#This Row],[LAVAMANOS / LAVAPLATOS / LAVADERO]]=Z$2,100%,AVANCE[[#This Row],[LAVAMANOS / LAVAPLATOS / LAVADERO]])</f>
        <v>0</v>
      </c>
      <c r="BR527" s="3">
        <f>+IF(AVANCE[[#This Row],[CANALIZACIÓN]]=AC$2,100%,AVANCE[[#This Row],[CANALIZACIÓN]])</f>
        <v>0</v>
      </c>
      <c r="BS527" s="3">
        <f>+IF(AVANCE[[#This Row],[CABLEADO]]=AD$2,100%,AVANCE[[#This Row],[CABLEADO]])</f>
        <v>0</v>
      </c>
      <c r="BT527" s="3">
        <f>+IF(AVANCE[[#This Row],[ARTEFACTOS]]=AE$2,100%,AVANCE[[#This Row],[ARTEFACTOS]])</f>
        <v>0</v>
      </c>
      <c r="BU527" s="3">
        <f>+IF(AVANCE[[#This Row],[TABLERO]]=AF$2,100%,AVANCE[[#This Row],[TABLERO]])</f>
        <v>0</v>
      </c>
      <c r="BV527" s="3">
        <f>+IF(AVANCE[[#This Row],[CAJA PAU]]=AG$2,100%,AVANCE[[#This Row],[CAJA PAU]])</f>
        <v>0</v>
      </c>
      <c r="BW527" s="3">
        <f>+IF(AVANCE[[#This Row],[INSTALACION VINILICO]]=AJ$2,100%,AVANCE[[#This Row],[INSTALACION VINILICO]])</f>
        <v>0</v>
      </c>
      <c r="BX527" s="3">
        <f>+IF(AVANCE[[#This Row],[OSB CUBIERTA]]=AK$2,100%,AVANCE[[#This Row],[OSB CUBIERTA]])</f>
        <v>0</v>
      </c>
      <c r="BY527" s="3">
        <f>+IF(AVANCE[[#This Row],[BARANDA BALCON]]=AL$2,100%,AVANCE[[#This Row],[BARANDA BALCON]])</f>
        <v>0</v>
      </c>
      <c r="BZ527" s="3">
        <f>+IF(AVANCE[[#This Row],[OSB EXTERIOR]]=AM$2,100%,AVANCE[[#This Row],[OSB EXTERIOR]])</f>
        <v>0</v>
      </c>
      <c r="CA527" s="3">
        <f>+IF(AVANCE[[#This Row],[SMART PANEL]]=AN$2,100%,AVANCE[[#This Row],[SMART PANEL]])</f>
        <v>0</v>
      </c>
      <c r="CB527" s="3">
        <f>+IF(AVANCE[[#This Row],[PINTURA EXTERIOR]]=AO$2,100%,AVANCE[[#This Row],[PINTURA EXTERIOR]])</f>
        <v>0</v>
      </c>
      <c r="CC527" s="3">
        <f>+IF(AVANCE[[#This Row],[ZOCALOS LOGIA]]=AP$2,100%,AVANCE[[#This Row],[ZOCALOS LOGIA]])</f>
        <v>0</v>
      </c>
      <c r="CD527" s="3">
        <f>+IF(AVANCE[[#This Row],[MOLDURAS]]=AQ$2,100%,AVANCE[[#This Row],[MOLDURAS]])</f>
        <v>0</v>
      </c>
      <c r="CE527" s="3">
        <f>+IF(AVANCE[[#This Row],[PILASTREO]]=AR$2,100%,AVANCE[[#This Row],[PILASTREO]])</f>
        <v>0</v>
      </c>
      <c r="CF527" s="3">
        <f>+IF(AVANCE[[#This Row],[CELOSIAS]]=AS$2,100%,AVANCE[[#This Row],[CELOSIAS]])</f>
        <v>0</v>
      </c>
      <c r="CG527" s="3">
        <f>+IF(AVANCE[[#This Row],[VENTANAS]]=AT$2,100%,AVANCE[[#This Row],[VENTANAS]])</f>
        <v>0</v>
      </c>
      <c r="CH527" s="3">
        <f>+IF(AVANCE[[#This Row],[PUERTAS ACCESO - LOGIA - BANO]]=AU$2,100%,AVANCE[[#This Row],[PUERTAS ACCESO - LOGIA - BANO]])</f>
        <v>0</v>
      </c>
      <c r="CI527" s="3">
        <f>+IF(AVANCE[[#This Row],[CERRADURAS]]=AV$2,100%,AVANCE[[#This Row],[CERRADURAS]])</f>
        <v>0</v>
      </c>
      <c r="CJ527" s="3">
        <f>+IF(AVANCE[[#This Row],[REVESTIMIENTO INTERIOR ZONA SECA]]=AW$2,100%,AVANCE[[#This Row],[REVESTIMIENTO INTERIOR ZONA SECA]])</f>
        <v>0</v>
      </c>
      <c r="CK527" s="3">
        <f>+IF(AVANCE[[#This Row],[REVESTIMIENTO INTERIOR ZONAS HUMEDAS]]=AX$2,100%,AVANCE[[#This Row],[REVESTIMIENTO INTERIOR ZONAS HUMEDAS]])</f>
        <v>0</v>
      </c>
      <c r="CL527" s="3">
        <f>+IF(AVANCE[[#This Row],[MEMBRANA CIELO]]=AY$2,100%,AVANCE[[#This Row],[MEMBRANA CIELO]])</f>
        <v>0</v>
      </c>
      <c r="CM527" s="3">
        <f>+IF(AVANCE[[#This Row],[LIMPIEZA FINAL]]=AZ$2,100%,AVANCE[[#This Row],[LIMPIEZA FINAL]])</f>
        <v>0</v>
      </c>
      <c r="CN527" s="3">
        <f>+IF(AVANCE[[#This Row],[PUERTAS DORMITORIO]]=BA$2,100%,AVANCE[[#This Row],[PUERTAS DORMITORIO]])</f>
        <v>0</v>
      </c>
      <c r="CO527" s="3">
        <f>+IF(AVANCE[[#This Row],[REVESTIMIENTO INTERIOR BANO]]=BB$2,100%,AVANCE[[#This Row],[REVESTIMIENTO INTERIOR BANO]])</f>
        <v>0</v>
      </c>
      <c r="CP527" s="3">
        <f>+IF(AVANCE[[#This Row],[MUEBLE LAVAPLATOS]]=BC$2,100%,AVANCE[[#This Row],[MUEBLE LAVAPLATOS]])</f>
        <v>0</v>
      </c>
      <c r="CQ527" s="3">
        <f>+IF(AVANCE[[#This Row],[IMPERMEABILIZACION BANO - COCINA LOGIA]]=BD$2,100%,AVANCE[[#This Row],[IMPERMEABILIZACION BANO - COCINA LOGIA]])</f>
        <v>0</v>
      </c>
      <c r="CR527" s="40">
        <f ca="1">+IF(AVANCE[[#This Row],[ESTADO MODULO]]="PENDIENTE",(TODAY()-AVANCE[[#This Row],[FECHA TERMINO  PLANIFICADO]]),0)</f>
        <v>0</v>
      </c>
      <c r="CS527" s="42" t="str" cm="1">
        <f t="array" ref="CS527">_xlfn.TEXTJOIN(" | ",TRUE,IF(SUMPRODUCT((BF527:CQ527&lt;1)*(PARTIDAS!$I$2:$AT$2="OBRA GRUESA"))&gt;0,"OBRA GRUESA: "&amp;_xlfn.TEXTJOIN(", ",TRUE,IF((BF527:CQ527&lt;1)*(PARTIDAS!$I$2:$AT$2="OBRA GRUESA"),PARTIDAS!$I$1:$AT$1,"")),""),IF(SUMPRODUCT((BF527:CQ527&lt;1)*(PARTIDAS!$I$2:$AT$2="SANITARIOS"))&gt;0,"SANITARIOS: "&amp;_xlfn.TEXTJOIN(", ",TRUE,IF((BF527:CQ527&lt;1)*(PARTIDAS!$I$2:$AT$2="SANITARIOS"),PARTIDAS!$I$1:$AT$1,"")),""),IF(SUMPRODUCT((BF527:CQ527&lt;1)*(PARTIDAS!$I$2:$AT$2="ELÉCTRICO"))&gt;0,"ELÉCTRICO: "&amp;_xlfn.TEXTJOIN(", ",TRUE,IF((BF527:CQ527&lt;1)*(PARTIDAS!$I$2:$AT$2="ELÉCTRICO"),PARTIDAS!$I$1:$AT$1,"")),""),IF(SUMPRODUCT((BF527:CQ527&lt;1)*(PARTIDAS!$I$2:$AT$2="TERMINACIONES"))&gt;0,"TERMINACIONES: "&amp;_xlfn.TEXTJOIN(", ",TRUE,IF((BF527:CQ527&lt;1)*(PARTIDAS!$I$2:$AT$2="TERMINACIONES"),PARTIDAS!$I$1:$AT$1,"")),""))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7" s="45" t="str" cm="1">
        <f t="array" ref="CT527">_xlfn.TEXTJOIN(", ",TRUE,IF(SUMPRODUCT((BF527:CQ527&lt;1)*(PARTIDAS!$I$2:$AT$2="OBRA GRUESA"))&gt;0,"OBRA GRUESA",""),IF(SUMPRODUCT((BF527:CQ527&lt;1)*(PARTIDAS!$I$2:$AT$2="SANITARIOS"))&gt;0,"SANITARIOS",""),IF(SUMPRODUCT((BF527:CQ527&lt;1)*(PARTIDAS!$I$2:$AT$2="ELÉCTRICO"))&gt;0,"ELÉCTRICO",""),IF(SUMPRODUCT((BF527:CQ527&lt;1)*(PARTIDAS!$I$2:$AT$2="TERMINACIONES"))&gt;0,"TERMINACIONES",""))</f>
        <v>OBRA GRUESA, SANITARIOS, ELÉCTRICO, TERMINACIONES</v>
      </c>
      <c r="CU527" s="46" cm="1">
        <f t="array" ref="CU527">SUMPRODUCT(--(BF527:CQ527&lt;1))</f>
        <v>38</v>
      </c>
    </row>
    <row r="528" spans="1:99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46181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 s="3" t="str">
        <f>+IF(AVANCE[[#This Row],[% AVANCE]]=100%,"MODULO TERMINADO",IF(AVANCE[[#This Row],[FECHA INICIO REAL]]="","MODULO NO INICIADO","PENDIENTE"))</f>
        <v>MODULO NO INICIADO</v>
      </c>
      <c r="BF528" s="3">
        <f>+IF(AVANCE[[#This Row],[VENTANAS]]=8.10810810810811%,100%,AVANCE[[#This Row],[VENTANAS]])</f>
        <v>0</v>
      </c>
      <c r="BG528" s="3">
        <f>+IF(AVANCE[[#This Row],[PISO]]=N$2,100%,AVANCE[[#This Row],[PISO]])</f>
        <v>0</v>
      </c>
      <c r="BH528" s="3">
        <f>+IF(AVANCE[[#This Row],[TABIQUES]]=O$2,100%,AVANCE[[#This Row],[TABIQUES]])</f>
        <v>0</v>
      </c>
      <c r="BI528" s="3">
        <f>+IF(AVANCE[[#This Row],[MUROS]]=P$2,100%,AVANCE[[#This Row],[MUROS]])</f>
        <v>0</v>
      </c>
      <c r="BJ528" s="3">
        <f>+IF(AVANCE[[#This Row],[CIELO]]=Q$2,100%,AVANCE[[#This Row],[CIELO]])</f>
        <v>0</v>
      </c>
      <c r="BK528" s="3">
        <f>+IF(AVANCE[[#This Row],[BALCÓN]]=R$2,100%,AVANCE[[#This Row],[BALCÓN]])</f>
        <v>0</v>
      </c>
      <c r="BL528" s="3">
        <f>+IF(AVANCE[[#This Row],[RED ALCANTARILLADO]]=U$2,100%,AVANCE[[#This Row],[RED ALCANTARILLADO]])</f>
        <v>0</v>
      </c>
      <c r="BM528" s="3">
        <f>+IF(AVANCE[[#This Row],[RED DE AGUA]]=V$2,100%,AVANCE[[#This Row],[RED DE AGUA]])</f>
        <v>0</v>
      </c>
      <c r="BN528" s="3">
        <f>+IF(AVANCE[[#This Row],[VENTILACIONES]]=W$2,100%,AVANCE[[#This Row],[VENTILACIONES]])</f>
        <v>0</v>
      </c>
      <c r="BO528" s="3">
        <f>+IF(AVANCE[[#This Row],[TINA]]=X$2,100%,AVANCE[[#This Row],[TINA]])</f>
        <v>0</v>
      </c>
      <c r="BP528" s="3">
        <f>+IF(AVANCE[[#This Row],[WC]]=Y$2,100%,AVANCE[[#This Row],[WC]])</f>
        <v>0</v>
      </c>
      <c r="BQ528" s="3">
        <f>+IF(AVANCE[[#This Row],[LAVAMANOS / LAVAPLATOS / LAVADERO]]=Z$2,100%,AVANCE[[#This Row],[LAVAMANOS / LAVAPLATOS / LAVADERO]])</f>
        <v>0</v>
      </c>
      <c r="BR528" s="3">
        <f>+IF(AVANCE[[#This Row],[CANALIZACIÓN]]=AC$2,100%,AVANCE[[#This Row],[CANALIZACIÓN]])</f>
        <v>0</v>
      </c>
      <c r="BS528" s="3">
        <f>+IF(AVANCE[[#This Row],[CABLEADO]]=AD$2,100%,AVANCE[[#This Row],[CABLEADO]])</f>
        <v>0</v>
      </c>
      <c r="BT528" s="3">
        <f>+IF(AVANCE[[#This Row],[ARTEFACTOS]]=AE$2,100%,AVANCE[[#This Row],[ARTEFACTOS]])</f>
        <v>0</v>
      </c>
      <c r="BU528" s="3">
        <f>+IF(AVANCE[[#This Row],[TABLERO]]=AF$2,100%,AVANCE[[#This Row],[TABLERO]])</f>
        <v>0</v>
      </c>
      <c r="BV528" s="3">
        <f>+IF(AVANCE[[#This Row],[CAJA PAU]]=AG$2,100%,AVANCE[[#This Row],[CAJA PAU]])</f>
        <v>0</v>
      </c>
      <c r="BW528" s="3">
        <f>+IF(AVANCE[[#This Row],[INSTALACION VINILICO]]=AJ$2,100%,AVANCE[[#This Row],[INSTALACION VINILICO]])</f>
        <v>0</v>
      </c>
      <c r="BX528" s="3">
        <f>+IF(AVANCE[[#This Row],[OSB CUBIERTA]]=AK$2,100%,AVANCE[[#This Row],[OSB CUBIERTA]])</f>
        <v>0</v>
      </c>
      <c r="BY528" s="3">
        <f>+IF(AVANCE[[#This Row],[BARANDA BALCON]]=AL$2,100%,AVANCE[[#This Row],[BARANDA BALCON]])</f>
        <v>0</v>
      </c>
      <c r="BZ528" s="3">
        <f>+IF(AVANCE[[#This Row],[OSB EXTERIOR]]=AM$2,100%,AVANCE[[#This Row],[OSB EXTERIOR]])</f>
        <v>0</v>
      </c>
      <c r="CA528" s="3">
        <f>+IF(AVANCE[[#This Row],[SMART PANEL]]=AN$2,100%,AVANCE[[#This Row],[SMART PANEL]])</f>
        <v>0</v>
      </c>
      <c r="CB528" s="3">
        <f>+IF(AVANCE[[#This Row],[PINTURA EXTERIOR]]=AO$2,100%,AVANCE[[#This Row],[PINTURA EXTERIOR]])</f>
        <v>0</v>
      </c>
      <c r="CC528" s="3">
        <f>+IF(AVANCE[[#This Row],[ZOCALOS LOGIA]]=AP$2,100%,AVANCE[[#This Row],[ZOCALOS LOGIA]])</f>
        <v>0</v>
      </c>
      <c r="CD528" s="3">
        <f>+IF(AVANCE[[#This Row],[MOLDURAS]]=AQ$2,100%,AVANCE[[#This Row],[MOLDURAS]])</f>
        <v>0</v>
      </c>
      <c r="CE528" s="3">
        <f>+IF(AVANCE[[#This Row],[PILASTREO]]=AR$2,100%,AVANCE[[#This Row],[PILASTREO]])</f>
        <v>0</v>
      </c>
      <c r="CF528" s="3">
        <f>+IF(AVANCE[[#This Row],[CELOSIAS]]=AS$2,100%,AVANCE[[#This Row],[CELOSIAS]])</f>
        <v>0</v>
      </c>
      <c r="CG528" s="3">
        <f>+IF(AVANCE[[#This Row],[VENTANAS]]=AT$2,100%,AVANCE[[#This Row],[VENTANAS]])</f>
        <v>0</v>
      </c>
      <c r="CH528" s="3">
        <f>+IF(AVANCE[[#This Row],[PUERTAS ACCESO - LOGIA - BANO]]=AU$2,100%,AVANCE[[#This Row],[PUERTAS ACCESO - LOGIA - BANO]])</f>
        <v>0</v>
      </c>
      <c r="CI528" s="3">
        <f>+IF(AVANCE[[#This Row],[CERRADURAS]]=AV$2,100%,AVANCE[[#This Row],[CERRADURAS]])</f>
        <v>0</v>
      </c>
      <c r="CJ528" s="3">
        <f>+IF(AVANCE[[#This Row],[REVESTIMIENTO INTERIOR ZONA SECA]]=AW$2,100%,AVANCE[[#This Row],[REVESTIMIENTO INTERIOR ZONA SECA]])</f>
        <v>0</v>
      </c>
      <c r="CK528" s="3">
        <f>+IF(AVANCE[[#This Row],[REVESTIMIENTO INTERIOR ZONAS HUMEDAS]]=AX$2,100%,AVANCE[[#This Row],[REVESTIMIENTO INTERIOR ZONAS HUMEDAS]])</f>
        <v>0</v>
      </c>
      <c r="CL528" s="3">
        <f>+IF(AVANCE[[#This Row],[MEMBRANA CIELO]]=AY$2,100%,AVANCE[[#This Row],[MEMBRANA CIELO]])</f>
        <v>0</v>
      </c>
      <c r="CM528" s="3">
        <f>+IF(AVANCE[[#This Row],[LIMPIEZA FINAL]]=AZ$2,100%,AVANCE[[#This Row],[LIMPIEZA FINAL]])</f>
        <v>0</v>
      </c>
      <c r="CN528" s="3">
        <f>+IF(AVANCE[[#This Row],[PUERTAS DORMITORIO]]=BA$2,100%,AVANCE[[#This Row],[PUERTAS DORMITORIO]])</f>
        <v>0</v>
      </c>
      <c r="CO528" s="3">
        <f>+IF(AVANCE[[#This Row],[REVESTIMIENTO INTERIOR BANO]]=BB$2,100%,AVANCE[[#This Row],[REVESTIMIENTO INTERIOR BANO]])</f>
        <v>0</v>
      </c>
      <c r="CP528" s="3">
        <f>+IF(AVANCE[[#This Row],[MUEBLE LAVAPLATOS]]=BC$2,100%,AVANCE[[#This Row],[MUEBLE LAVAPLATOS]])</f>
        <v>0</v>
      </c>
      <c r="CQ528" s="3">
        <f>+IF(AVANCE[[#This Row],[IMPERMEABILIZACION BANO - COCINA LOGIA]]=BD$2,100%,AVANCE[[#This Row],[IMPERMEABILIZACION BANO - COCINA LOGIA]])</f>
        <v>0</v>
      </c>
      <c r="CR528" s="40">
        <f ca="1">+IF(AVANCE[[#This Row],[ESTADO MODULO]]="PENDIENTE",(TODAY()-AVANCE[[#This Row],[FECHA TERMINO  PLANIFICADO]]),0)</f>
        <v>0</v>
      </c>
      <c r="CS528" s="42" t="str" cm="1">
        <f t="array" ref="CS528">_xlfn.TEXTJOIN(" | ",TRUE,IF(SUMPRODUCT((BF528:CQ528&lt;1)*(PARTIDAS!$I$2:$AT$2="OBRA GRUESA"))&gt;0,"OBRA GRUESA: "&amp;_xlfn.TEXTJOIN(", ",TRUE,IF((BF528:CQ528&lt;1)*(PARTIDAS!$I$2:$AT$2="OBRA GRUESA"),PARTIDAS!$I$1:$AT$1,"")),""),IF(SUMPRODUCT((BF528:CQ528&lt;1)*(PARTIDAS!$I$2:$AT$2="SANITARIOS"))&gt;0,"SANITARIOS: "&amp;_xlfn.TEXTJOIN(", ",TRUE,IF((BF528:CQ528&lt;1)*(PARTIDAS!$I$2:$AT$2="SANITARIOS"),PARTIDAS!$I$1:$AT$1,"")),""),IF(SUMPRODUCT((BF528:CQ528&lt;1)*(PARTIDAS!$I$2:$AT$2="ELÉCTRICO"))&gt;0,"ELÉCTRICO: "&amp;_xlfn.TEXTJOIN(", ",TRUE,IF((BF528:CQ528&lt;1)*(PARTIDAS!$I$2:$AT$2="ELÉCTRICO"),PARTIDAS!$I$1:$AT$1,"")),""),IF(SUMPRODUCT((BF528:CQ528&lt;1)*(PARTIDAS!$I$2:$AT$2="TERMINACIONES"))&gt;0,"TERMINACIONES: "&amp;_xlfn.TEXTJOIN(", ",TRUE,IF((BF528:CQ528&lt;1)*(PARTIDAS!$I$2:$AT$2="TERMINACIONES"),PARTIDAS!$I$1:$AT$1,"")),""))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8" s="45" t="str" cm="1">
        <f t="array" ref="CT528">_xlfn.TEXTJOIN(", ",TRUE,IF(SUMPRODUCT((BF528:CQ528&lt;1)*(PARTIDAS!$I$2:$AT$2="OBRA GRUESA"))&gt;0,"OBRA GRUESA",""),IF(SUMPRODUCT((BF528:CQ528&lt;1)*(PARTIDAS!$I$2:$AT$2="SANITARIOS"))&gt;0,"SANITARIOS",""),IF(SUMPRODUCT((BF528:CQ528&lt;1)*(PARTIDAS!$I$2:$AT$2="ELÉCTRICO"))&gt;0,"ELÉCTRICO",""),IF(SUMPRODUCT((BF528:CQ528&lt;1)*(PARTIDAS!$I$2:$AT$2="TERMINACIONES"))&gt;0,"TERMINACIONES",""))</f>
        <v>OBRA GRUESA, SANITARIOS, ELÉCTRICO, TERMINACIONES</v>
      </c>
      <c r="CU528" s="46" cm="1">
        <f t="array" ref="CU528">SUMPRODUCT(--(BF528:CQ528&lt;1))</f>
        <v>38</v>
      </c>
    </row>
    <row r="529" spans="1:99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46181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 s="3" t="str">
        <f>+IF(AVANCE[[#This Row],[% AVANCE]]=100%,"MODULO TERMINADO",IF(AVANCE[[#This Row],[FECHA INICIO REAL]]="","MODULO NO INICIADO","PENDIENTE"))</f>
        <v>MODULO NO INICIADO</v>
      </c>
      <c r="BF529" s="3">
        <f>+IF(AVANCE[[#This Row],[VENTANAS]]=8.10810810810811%,100%,AVANCE[[#This Row],[VENTANAS]])</f>
        <v>0</v>
      </c>
      <c r="BG529" s="3">
        <f>+IF(AVANCE[[#This Row],[PISO]]=N$2,100%,AVANCE[[#This Row],[PISO]])</f>
        <v>0</v>
      </c>
      <c r="BH529" s="3">
        <f>+IF(AVANCE[[#This Row],[TABIQUES]]=O$2,100%,AVANCE[[#This Row],[TABIQUES]])</f>
        <v>0</v>
      </c>
      <c r="BI529" s="3">
        <f>+IF(AVANCE[[#This Row],[MUROS]]=P$2,100%,AVANCE[[#This Row],[MUROS]])</f>
        <v>0</v>
      </c>
      <c r="BJ529" s="3">
        <f>+IF(AVANCE[[#This Row],[CIELO]]=Q$2,100%,AVANCE[[#This Row],[CIELO]])</f>
        <v>0</v>
      </c>
      <c r="BK529" s="3">
        <f>+IF(AVANCE[[#This Row],[BALCÓN]]=R$2,100%,AVANCE[[#This Row],[BALCÓN]])</f>
        <v>0</v>
      </c>
      <c r="BL529" s="3">
        <f>+IF(AVANCE[[#This Row],[RED ALCANTARILLADO]]=U$2,100%,AVANCE[[#This Row],[RED ALCANTARILLADO]])</f>
        <v>0</v>
      </c>
      <c r="BM529" s="3">
        <f>+IF(AVANCE[[#This Row],[RED DE AGUA]]=V$2,100%,AVANCE[[#This Row],[RED DE AGUA]])</f>
        <v>0</v>
      </c>
      <c r="BN529" s="3">
        <f>+IF(AVANCE[[#This Row],[VENTILACIONES]]=W$2,100%,AVANCE[[#This Row],[VENTILACIONES]])</f>
        <v>0</v>
      </c>
      <c r="BO529" s="3">
        <f>+IF(AVANCE[[#This Row],[TINA]]=X$2,100%,AVANCE[[#This Row],[TINA]])</f>
        <v>0</v>
      </c>
      <c r="BP529" s="3">
        <f>+IF(AVANCE[[#This Row],[WC]]=Y$2,100%,AVANCE[[#This Row],[WC]])</f>
        <v>0</v>
      </c>
      <c r="BQ529" s="3">
        <f>+IF(AVANCE[[#This Row],[LAVAMANOS / LAVAPLATOS / LAVADERO]]=Z$2,100%,AVANCE[[#This Row],[LAVAMANOS / LAVAPLATOS / LAVADERO]])</f>
        <v>0</v>
      </c>
      <c r="BR529" s="3">
        <f>+IF(AVANCE[[#This Row],[CANALIZACIÓN]]=AC$2,100%,AVANCE[[#This Row],[CANALIZACIÓN]])</f>
        <v>0</v>
      </c>
      <c r="BS529" s="3">
        <f>+IF(AVANCE[[#This Row],[CABLEADO]]=AD$2,100%,AVANCE[[#This Row],[CABLEADO]])</f>
        <v>0</v>
      </c>
      <c r="BT529" s="3">
        <f>+IF(AVANCE[[#This Row],[ARTEFACTOS]]=AE$2,100%,AVANCE[[#This Row],[ARTEFACTOS]])</f>
        <v>0</v>
      </c>
      <c r="BU529" s="3">
        <f>+IF(AVANCE[[#This Row],[TABLERO]]=AF$2,100%,AVANCE[[#This Row],[TABLERO]])</f>
        <v>0</v>
      </c>
      <c r="BV529" s="3">
        <f>+IF(AVANCE[[#This Row],[CAJA PAU]]=AG$2,100%,AVANCE[[#This Row],[CAJA PAU]])</f>
        <v>0</v>
      </c>
      <c r="BW529" s="3">
        <f>+IF(AVANCE[[#This Row],[INSTALACION VINILICO]]=AJ$2,100%,AVANCE[[#This Row],[INSTALACION VINILICO]])</f>
        <v>0</v>
      </c>
      <c r="BX529" s="3">
        <f>+IF(AVANCE[[#This Row],[OSB CUBIERTA]]=AK$2,100%,AVANCE[[#This Row],[OSB CUBIERTA]])</f>
        <v>0</v>
      </c>
      <c r="BY529" s="3">
        <f>+IF(AVANCE[[#This Row],[BARANDA BALCON]]=AL$2,100%,AVANCE[[#This Row],[BARANDA BALCON]])</f>
        <v>0</v>
      </c>
      <c r="BZ529" s="3">
        <f>+IF(AVANCE[[#This Row],[OSB EXTERIOR]]=AM$2,100%,AVANCE[[#This Row],[OSB EXTERIOR]])</f>
        <v>0</v>
      </c>
      <c r="CA529" s="3">
        <f>+IF(AVANCE[[#This Row],[SMART PANEL]]=AN$2,100%,AVANCE[[#This Row],[SMART PANEL]])</f>
        <v>0</v>
      </c>
      <c r="CB529" s="3">
        <f>+IF(AVANCE[[#This Row],[PINTURA EXTERIOR]]=AO$2,100%,AVANCE[[#This Row],[PINTURA EXTERIOR]])</f>
        <v>0</v>
      </c>
      <c r="CC529" s="3">
        <f>+IF(AVANCE[[#This Row],[ZOCALOS LOGIA]]=AP$2,100%,AVANCE[[#This Row],[ZOCALOS LOGIA]])</f>
        <v>0</v>
      </c>
      <c r="CD529" s="3">
        <f>+IF(AVANCE[[#This Row],[MOLDURAS]]=AQ$2,100%,AVANCE[[#This Row],[MOLDURAS]])</f>
        <v>0</v>
      </c>
      <c r="CE529" s="3">
        <f>+IF(AVANCE[[#This Row],[PILASTREO]]=AR$2,100%,AVANCE[[#This Row],[PILASTREO]])</f>
        <v>0</v>
      </c>
      <c r="CF529" s="3">
        <f>+IF(AVANCE[[#This Row],[CELOSIAS]]=AS$2,100%,AVANCE[[#This Row],[CELOSIAS]])</f>
        <v>0</v>
      </c>
      <c r="CG529" s="3">
        <f>+IF(AVANCE[[#This Row],[VENTANAS]]=AT$2,100%,AVANCE[[#This Row],[VENTANAS]])</f>
        <v>0</v>
      </c>
      <c r="CH529" s="3">
        <f>+IF(AVANCE[[#This Row],[PUERTAS ACCESO - LOGIA - BANO]]=AU$2,100%,AVANCE[[#This Row],[PUERTAS ACCESO - LOGIA - BANO]])</f>
        <v>0</v>
      </c>
      <c r="CI529" s="3">
        <f>+IF(AVANCE[[#This Row],[CERRADURAS]]=AV$2,100%,AVANCE[[#This Row],[CERRADURAS]])</f>
        <v>0</v>
      </c>
      <c r="CJ529" s="3">
        <f>+IF(AVANCE[[#This Row],[REVESTIMIENTO INTERIOR ZONA SECA]]=AW$2,100%,AVANCE[[#This Row],[REVESTIMIENTO INTERIOR ZONA SECA]])</f>
        <v>0</v>
      </c>
      <c r="CK529" s="3">
        <f>+IF(AVANCE[[#This Row],[REVESTIMIENTO INTERIOR ZONAS HUMEDAS]]=AX$2,100%,AVANCE[[#This Row],[REVESTIMIENTO INTERIOR ZONAS HUMEDAS]])</f>
        <v>0</v>
      </c>
      <c r="CL529" s="3">
        <f>+IF(AVANCE[[#This Row],[MEMBRANA CIELO]]=AY$2,100%,AVANCE[[#This Row],[MEMBRANA CIELO]])</f>
        <v>0</v>
      </c>
      <c r="CM529" s="3">
        <f>+IF(AVANCE[[#This Row],[LIMPIEZA FINAL]]=AZ$2,100%,AVANCE[[#This Row],[LIMPIEZA FINAL]])</f>
        <v>0</v>
      </c>
      <c r="CN529" s="3">
        <f>+IF(AVANCE[[#This Row],[PUERTAS DORMITORIO]]=BA$2,100%,AVANCE[[#This Row],[PUERTAS DORMITORIO]])</f>
        <v>0</v>
      </c>
      <c r="CO529" s="3">
        <f>+IF(AVANCE[[#This Row],[REVESTIMIENTO INTERIOR BANO]]=BB$2,100%,AVANCE[[#This Row],[REVESTIMIENTO INTERIOR BANO]])</f>
        <v>0</v>
      </c>
      <c r="CP529" s="3">
        <f>+IF(AVANCE[[#This Row],[MUEBLE LAVAPLATOS]]=BC$2,100%,AVANCE[[#This Row],[MUEBLE LAVAPLATOS]])</f>
        <v>0</v>
      </c>
      <c r="CQ529" s="3">
        <f>+IF(AVANCE[[#This Row],[IMPERMEABILIZACION BANO - COCINA LOGIA]]=BD$2,100%,AVANCE[[#This Row],[IMPERMEABILIZACION BANO - COCINA LOGIA]])</f>
        <v>0</v>
      </c>
      <c r="CR529" s="40">
        <f ca="1">+IF(AVANCE[[#This Row],[ESTADO MODULO]]="PENDIENTE",(TODAY()-AVANCE[[#This Row],[FECHA TERMINO  PLANIFICADO]]),0)</f>
        <v>0</v>
      </c>
      <c r="CS529" s="42" t="str" cm="1">
        <f t="array" ref="CS529">_xlfn.TEXTJOIN(" | ",TRUE,IF(SUMPRODUCT((BF529:CQ529&lt;1)*(PARTIDAS!$I$2:$AT$2="OBRA GRUESA"))&gt;0,"OBRA GRUESA: "&amp;_xlfn.TEXTJOIN(", ",TRUE,IF((BF529:CQ529&lt;1)*(PARTIDAS!$I$2:$AT$2="OBRA GRUESA"),PARTIDAS!$I$1:$AT$1,"")),""),IF(SUMPRODUCT((BF529:CQ529&lt;1)*(PARTIDAS!$I$2:$AT$2="SANITARIOS"))&gt;0,"SANITARIOS: "&amp;_xlfn.TEXTJOIN(", ",TRUE,IF((BF529:CQ529&lt;1)*(PARTIDAS!$I$2:$AT$2="SANITARIOS"),PARTIDAS!$I$1:$AT$1,"")),""),IF(SUMPRODUCT((BF529:CQ529&lt;1)*(PARTIDAS!$I$2:$AT$2="ELÉCTRICO"))&gt;0,"ELÉCTRICO: "&amp;_xlfn.TEXTJOIN(", ",TRUE,IF((BF529:CQ529&lt;1)*(PARTIDAS!$I$2:$AT$2="ELÉCTRICO"),PARTIDAS!$I$1:$AT$1,"")),""),IF(SUMPRODUCT((BF529:CQ529&lt;1)*(PARTIDAS!$I$2:$AT$2="TERMINACIONES"))&gt;0,"TERMINACIONES: "&amp;_xlfn.TEXTJOIN(", ",TRUE,IF((BF529:CQ529&lt;1)*(PARTIDAS!$I$2:$AT$2="TERMINACIONES"),PARTIDAS!$I$1:$AT$1,"")),""))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29" s="45" t="str" cm="1">
        <f t="array" ref="CT529">_xlfn.TEXTJOIN(", ",TRUE,IF(SUMPRODUCT((BF529:CQ529&lt;1)*(PARTIDAS!$I$2:$AT$2="OBRA GRUESA"))&gt;0,"OBRA GRUESA",""),IF(SUMPRODUCT((BF529:CQ529&lt;1)*(PARTIDAS!$I$2:$AT$2="SANITARIOS"))&gt;0,"SANITARIOS",""),IF(SUMPRODUCT((BF529:CQ529&lt;1)*(PARTIDAS!$I$2:$AT$2="ELÉCTRICO"))&gt;0,"ELÉCTRICO",""),IF(SUMPRODUCT((BF529:CQ529&lt;1)*(PARTIDAS!$I$2:$AT$2="TERMINACIONES"))&gt;0,"TERMINACIONES",""))</f>
        <v>OBRA GRUESA, SANITARIOS, ELÉCTRICO, TERMINACIONES</v>
      </c>
      <c r="CU529" s="46" cm="1">
        <f t="array" ref="CU529">SUMPRODUCT(--(BF529:CQ529&lt;1))</f>
        <v>38</v>
      </c>
    </row>
    <row r="530" spans="1:99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46181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 s="3" t="str">
        <f>+IF(AVANCE[[#This Row],[% AVANCE]]=100%,"MODULO TERMINADO",IF(AVANCE[[#This Row],[FECHA INICIO REAL]]="","MODULO NO INICIADO","PENDIENTE"))</f>
        <v>MODULO NO INICIADO</v>
      </c>
      <c r="BF530" s="3">
        <f>+IF(AVANCE[[#This Row],[VENTANAS]]=8.10810810810811%,100%,AVANCE[[#This Row],[VENTANAS]])</f>
        <v>0</v>
      </c>
      <c r="BG530" s="3">
        <f>+IF(AVANCE[[#This Row],[PISO]]=N$2,100%,AVANCE[[#This Row],[PISO]])</f>
        <v>0</v>
      </c>
      <c r="BH530" s="3">
        <f>+IF(AVANCE[[#This Row],[TABIQUES]]=O$2,100%,AVANCE[[#This Row],[TABIQUES]])</f>
        <v>0</v>
      </c>
      <c r="BI530" s="3">
        <f>+IF(AVANCE[[#This Row],[MUROS]]=P$2,100%,AVANCE[[#This Row],[MUROS]])</f>
        <v>0</v>
      </c>
      <c r="BJ530" s="3">
        <f>+IF(AVANCE[[#This Row],[CIELO]]=Q$2,100%,AVANCE[[#This Row],[CIELO]])</f>
        <v>0</v>
      </c>
      <c r="BK530" s="3">
        <f>+IF(AVANCE[[#This Row],[BALCÓN]]=R$2,100%,AVANCE[[#This Row],[BALCÓN]])</f>
        <v>0</v>
      </c>
      <c r="BL530" s="3">
        <f>+IF(AVANCE[[#This Row],[RED ALCANTARILLADO]]=U$2,100%,AVANCE[[#This Row],[RED ALCANTARILLADO]])</f>
        <v>0</v>
      </c>
      <c r="BM530" s="3">
        <f>+IF(AVANCE[[#This Row],[RED DE AGUA]]=V$2,100%,AVANCE[[#This Row],[RED DE AGUA]])</f>
        <v>0</v>
      </c>
      <c r="BN530" s="3">
        <f>+IF(AVANCE[[#This Row],[VENTILACIONES]]=W$2,100%,AVANCE[[#This Row],[VENTILACIONES]])</f>
        <v>0</v>
      </c>
      <c r="BO530" s="3">
        <f>+IF(AVANCE[[#This Row],[TINA]]=X$2,100%,AVANCE[[#This Row],[TINA]])</f>
        <v>0</v>
      </c>
      <c r="BP530" s="3">
        <f>+IF(AVANCE[[#This Row],[WC]]=Y$2,100%,AVANCE[[#This Row],[WC]])</f>
        <v>0</v>
      </c>
      <c r="BQ530" s="3">
        <f>+IF(AVANCE[[#This Row],[LAVAMANOS / LAVAPLATOS / LAVADERO]]=Z$2,100%,AVANCE[[#This Row],[LAVAMANOS / LAVAPLATOS / LAVADERO]])</f>
        <v>0</v>
      </c>
      <c r="BR530" s="3">
        <f>+IF(AVANCE[[#This Row],[CANALIZACIÓN]]=AC$2,100%,AVANCE[[#This Row],[CANALIZACIÓN]])</f>
        <v>0</v>
      </c>
      <c r="BS530" s="3">
        <f>+IF(AVANCE[[#This Row],[CABLEADO]]=AD$2,100%,AVANCE[[#This Row],[CABLEADO]])</f>
        <v>0</v>
      </c>
      <c r="BT530" s="3">
        <f>+IF(AVANCE[[#This Row],[ARTEFACTOS]]=AE$2,100%,AVANCE[[#This Row],[ARTEFACTOS]])</f>
        <v>0</v>
      </c>
      <c r="BU530" s="3">
        <f>+IF(AVANCE[[#This Row],[TABLERO]]=AF$2,100%,AVANCE[[#This Row],[TABLERO]])</f>
        <v>0</v>
      </c>
      <c r="BV530" s="3">
        <f>+IF(AVANCE[[#This Row],[CAJA PAU]]=AG$2,100%,AVANCE[[#This Row],[CAJA PAU]])</f>
        <v>0</v>
      </c>
      <c r="BW530" s="3">
        <f>+IF(AVANCE[[#This Row],[INSTALACION VINILICO]]=AJ$2,100%,AVANCE[[#This Row],[INSTALACION VINILICO]])</f>
        <v>0</v>
      </c>
      <c r="BX530" s="3">
        <f>+IF(AVANCE[[#This Row],[OSB CUBIERTA]]=AK$2,100%,AVANCE[[#This Row],[OSB CUBIERTA]])</f>
        <v>0</v>
      </c>
      <c r="BY530" s="3">
        <f>+IF(AVANCE[[#This Row],[BARANDA BALCON]]=AL$2,100%,AVANCE[[#This Row],[BARANDA BALCON]])</f>
        <v>0</v>
      </c>
      <c r="BZ530" s="3">
        <f>+IF(AVANCE[[#This Row],[OSB EXTERIOR]]=AM$2,100%,AVANCE[[#This Row],[OSB EXTERIOR]])</f>
        <v>0</v>
      </c>
      <c r="CA530" s="3">
        <f>+IF(AVANCE[[#This Row],[SMART PANEL]]=AN$2,100%,AVANCE[[#This Row],[SMART PANEL]])</f>
        <v>0</v>
      </c>
      <c r="CB530" s="3">
        <f>+IF(AVANCE[[#This Row],[PINTURA EXTERIOR]]=AO$2,100%,AVANCE[[#This Row],[PINTURA EXTERIOR]])</f>
        <v>0</v>
      </c>
      <c r="CC530" s="3">
        <f>+IF(AVANCE[[#This Row],[ZOCALOS LOGIA]]=AP$2,100%,AVANCE[[#This Row],[ZOCALOS LOGIA]])</f>
        <v>0</v>
      </c>
      <c r="CD530" s="3">
        <f>+IF(AVANCE[[#This Row],[MOLDURAS]]=AQ$2,100%,AVANCE[[#This Row],[MOLDURAS]])</f>
        <v>0</v>
      </c>
      <c r="CE530" s="3">
        <f>+IF(AVANCE[[#This Row],[PILASTREO]]=AR$2,100%,AVANCE[[#This Row],[PILASTREO]])</f>
        <v>0</v>
      </c>
      <c r="CF530" s="3">
        <f>+IF(AVANCE[[#This Row],[CELOSIAS]]=AS$2,100%,AVANCE[[#This Row],[CELOSIAS]])</f>
        <v>0</v>
      </c>
      <c r="CG530" s="3">
        <f>+IF(AVANCE[[#This Row],[VENTANAS]]=AT$2,100%,AVANCE[[#This Row],[VENTANAS]])</f>
        <v>0</v>
      </c>
      <c r="CH530" s="3">
        <f>+IF(AVANCE[[#This Row],[PUERTAS ACCESO - LOGIA - BANO]]=AU$2,100%,AVANCE[[#This Row],[PUERTAS ACCESO - LOGIA - BANO]])</f>
        <v>0</v>
      </c>
      <c r="CI530" s="3">
        <f>+IF(AVANCE[[#This Row],[CERRADURAS]]=AV$2,100%,AVANCE[[#This Row],[CERRADURAS]])</f>
        <v>0</v>
      </c>
      <c r="CJ530" s="3">
        <f>+IF(AVANCE[[#This Row],[REVESTIMIENTO INTERIOR ZONA SECA]]=AW$2,100%,AVANCE[[#This Row],[REVESTIMIENTO INTERIOR ZONA SECA]])</f>
        <v>0</v>
      </c>
      <c r="CK530" s="3">
        <f>+IF(AVANCE[[#This Row],[REVESTIMIENTO INTERIOR ZONAS HUMEDAS]]=AX$2,100%,AVANCE[[#This Row],[REVESTIMIENTO INTERIOR ZONAS HUMEDAS]])</f>
        <v>0</v>
      </c>
      <c r="CL530" s="3">
        <f>+IF(AVANCE[[#This Row],[MEMBRANA CIELO]]=AY$2,100%,AVANCE[[#This Row],[MEMBRANA CIELO]])</f>
        <v>0</v>
      </c>
      <c r="CM530" s="3">
        <f>+IF(AVANCE[[#This Row],[LIMPIEZA FINAL]]=AZ$2,100%,AVANCE[[#This Row],[LIMPIEZA FINAL]])</f>
        <v>0</v>
      </c>
      <c r="CN530" s="3">
        <f>+IF(AVANCE[[#This Row],[PUERTAS DORMITORIO]]=BA$2,100%,AVANCE[[#This Row],[PUERTAS DORMITORIO]])</f>
        <v>0</v>
      </c>
      <c r="CO530" s="3">
        <f>+IF(AVANCE[[#This Row],[REVESTIMIENTO INTERIOR BANO]]=BB$2,100%,AVANCE[[#This Row],[REVESTIMIENTO INTERIOR BANO]])</f>
        <v>0</v>
      </c>
      <c r="CP530" s="3">
        <f>+IF(AVANCE[[#This Row],[MUEBLE LAVAPLATOS]]=BC$2,100%,AVANCE[[#This Row],[MUEBLE LAVAPLATOS]])</f>
        <v>0</v>
      </c>
      <c r="CQ530" s="3">
        <f>+IF(AVANCE[[#This Row],[IMPERMEABILIZACION BANO - COCINA LOGIA]]=BD$2,100%,AVANCE[[#This Row],[IMPERMEABILIZACION BANO - COCINA LOGIA]])</f>
        <v>0</v>
      </c>
      <c r="CR530" s="40">
        <f ca="1">+IF(AVANCE[[#This Row],[ESTADO MODULO]]="PENDIENTE",(TODAY()-AVANCE[[#This Row],[FECHA TERMINO  PLANIFICADO]]),0)</f>
        <v>0</v>
      </c>
      <c r="CS530" s="42" t="str" cm="1">
        <f t="array" ref="CS530">_xlfn.TEXTJOIN(" | ",TRUE,IF(SUMPRODUCT((BF530:CQ530&lt;1)*(PARTIDAS!$I$2:$AT$2="OBRA GRUESA"))&gt;0,"OBRA GRUESA: "&amp;_xlfn.TEXTJOIN(", ",TRUE,IF((BF530:CQ530&lt;1)*(PARTIDAS!$I$2:$AT$2="OBRA GRUESA"),PARTIDAS!$I$1:$AT$1,"")),""),IF(SUMPRODUCT((BF530:CQ530&lt;1)*(PARTIDAS!$I$2:$AT$2="SANITARIOS"))&gt;0,"SANITARIOS: "&amp;_xlfn.TEXTJOIN(", ",TRUE,IF((BF530:CQ530&lt;1)*(PARTIDAS!$I$2:$AT$2="SANITARIOS"),PARTIDAS!$I$1:$AT$1,"")),""),IF(SUMPRODUCT((BF530:CQ530&lt;1)*(PARTIDAS!$I$2:$AT$2="ELÉCTRICO"))&gt;0,"ELÉCTRICO: "&amp;_xlfn.TEXTJOIN(", ",TRUE,IF((BF530:CQ530&lt;1)*(PARTIDAS!$I$2:$AT$2="ELÉCTRICO"),PARTIDAS!$I$1:$AT$1,"")),""),IF(SUMPRODUCT((BF530:CQ530&lt;1)*(PARTIDAS!$I$2:$AT$2="TERMINACIONES"))&gt;0,"TERMINACIONES: "&amp;_xlfn.TEXTJOIN(", ",TRUE,IF((BF530:CQ530&lt;1)*(PARTIDAS!$I$2:$AT$2="TERMINACIONES"),PARTIDAS!$I$1:$AT$1,"")),""))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0" s="45" t="str" cm="1">
        <f t="array" ref="CT530">_xlfn.TEXTJOIN(", ",TRUE,IF(SUMPRODUCT((BF530:CQ530&lt;1)*(PARTIDAS!$I$2:$AT$2="OBRA GRUESA"))&gt;0,"OBRA GRUESA",""),IF(SUMPRODUCT((BF530:CQ530&lt;1)*(PARTIDAS!$I$2:$AT$2="SANITARIOS"))&gt;0,"SANITARIOS",""),IF(SUMPRODUCT((BF530:CQ530&lt;1)*(PARTIDAS!$I$2:$AT$2="ELÉCTRICO"))&gt;0,"ELÉCTRICO",""),IF(SUMPRODUCT((BF530:CQ530&lt;1)*(PARTIDAS!$I$2:$AT$2="TERMINACIONES"))&gt;0,"TERMINACIONES",""))</f>
        <v>OBRA GRUESA, SANITARIOS, ELÉCTRICO, TERMINACIONES</v>
      </c>
      <c r="CU530" s="46" cm="1">
        <f t="array" ref="CU530">SUMPRODUCT(--(BF530:CQ530&lt;1))</f>
        <v>38</v>
      </c>
    </row>
    <row r="531" spans="1:99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46181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 s="3" t="str">
        <f>+IF(AVANCE[[#This Row],[% AVANCE]]=100%,"MODULO TERMINADO",IF(AVANCE[[#This Row],[FECHA INICIO REAL]]="","MODULO NO INICIADO","PENDIENTE"))</f>
        <v>MODULO NO INICIADO</v>
      </c>
      <c r="BF531" s="3">
        <f>+IF(AVANCE[[#This Row],[VENTANAS]]=8.10810810810811%,100%,AVANCE[[#This Row],[VENTANAS]])</f>
        <v>0</v>
      </c>
      <c r="BG531" s="3">
        <f>+IF(AVANCE[[#This Row],[PISO]]=N$2,100%,AVANCE[[#This Row],[PISO]])</f>
        <v>0</v>
      </c>
      <c r="BH531" s="3">
        <f>+IF(AVANCE[[#This Row],[TABIQUES]]=O$2,100%,AVANCE[[#This Row],[TABIQUES]])</f>
        <v>0</v>
      </c>
      <c r="BI531" s="3">
        <f>+IF(AVANCE[[#This Row],[MUROS]]=P$2,100%,AVANCE[[#This Row],[MUROS]])</f>
        <v>0</v>
      </c>
      <c r="BJ531" s="3">
        <f>+IF(AVANCE[[#This Row],[CIELO]]=Q$2,100%,AVANCE[[#This Row],[CIELO]])</f>
        <v>0</v>
      </c>
      <c r="BK531" s="3">
        <f>+IF(AVANCE[[#This Row],[BALCÓN]]=R$2,100%,AVANCE[[#This Row],[BALCÓN]])</f>
        <v>0</v>
      </c>
      <c r="BL531" s="3">
        <f>+IF(AVANCE[[#This Row],[RED ALCANTARILLADO]]=U$2,100%,AVANCE[[#This Row],[RED ALCANTARILLADO]])</f>
        <v>0</v>
      </c>
      <c r="BM531" s="3">
        <f>+IF(AVANCE[[#This Row],[RED DE AGUA]]=V$2,100%,AVANCE[[#This Row],[RED DE AGUA]])</f>
        <v>0</v>
      </c>
      <c r="BN531" s="3">
        <f>+IF(AVANCE[[#This Row],[VENTILACIONES]]=W$2,100%,AVANCE[[#This Row],[VENTILACIONES]])</f>
        <v>0</v>
      </c>
      <c r="BO531" s="3">
        <f>+IF(AVANCE[[#This Row],[TINA]]=X$2,100%,AVANCE[[#This Row],[TINA]])</f>
        <v>0</v>
      </c>
      <c r="BP531" s="3">
        <f>+IF(AVANCE[[#This Row],[WC]]=Y$2,100%,AVANCE[[#This Row],[WC]])</f>
        <v>0</v>
      </c>
      <c r="BQ531" s="3">
        <f>+IF(AVANCE[[#This Row],[LAVAMANOS / LAVAPLATOS / LAVADERO]]=Z$2,100%,AVANCE[[#This Row],[LAVAMANOS / LAVAPLATOS / LAVADERO]])</f>
        <v>0</v>
      </c>
      <c r="BR531" s="3">
        <f>+IF(AVANCE[[#This Row],[CANALIZACIÓN]]=AC$2,100%,AVANCE[[#This Row],[CANALIZACIÓN]])</f>
        <v>0</v>
      </c>
      <c r="BS531" s="3">
        <f>+IF(AVANCE[[#This Row],[CABLEADO]]=AD$2,100%,AVANCE[[#This Row],[CABLEADO]])</f>
        <v>0</v>
      </c>
      <c r="BT531" s="3">
        <f>+IF(AVANCE[[#This Row],[ARTEFACTOS]]=AE$2,100%,AVANCE[[#This Row],[ARTEFACTOS]])</f>
        <v>0</v>
      </c>
      <c r="BU531" s="3">
        <f>+IF(AVANCE[[#This Row],[TABLERO]]=AF$2,100%,AVANCE[[#This Row],[TABLERO]])</f>
        <v>0</v>
      </c>
      <c r="BV531" s="3">
        <f>+IF(AVANCE[[#This Row],[CAJA PAU]]=AG$2,100%,AVANCE[[#This Row],[CAJA PAU]])</f>
        <v>0</v>
      </c>
      <c r="BW531" s="3">
        <f>+IF(AVANCE[[#This Row],[INSTALACION VINILICO]]=AJ$2,100%,AVANCE[[#This Row],[INSTALACION VINILICO]])</f>
        <v>0</v>
      </c>
      <c r="BX531" s="3">
        <f>+IF(AVANCE[[#This Row],[OSB CUBIERTA]]=AK$2,100%,AVANCE[[#This Row],[OSB CUBIERTA]])</f>
        <v>0</v>
      </c>
      <c r="BY531" s="3">
        <f>+IF(AVANCE[[#This Row],[BARANDA BALCON]]=AL$2,100%,AVANCE[[#This Row],[BARANDA BALCON]])</f>
        <v>0</v>
      </c>
      <c r="BZ531" s="3">
        <f>+IF(AVANCE[[#This Row],[OSB EXTERIOR]]=AM$2,100%,AVANCE[[#This Row],[OSB EXTERIOR]])</f>
        <v>0</v>
      </c>
      <c r="CA531" s="3">
        <f>+IF(AVANCE[[#This Row],[SMART PANEL]]=AN$2,100%,AVANCE[[#This Row],[SMART PANEL]])</f>
        <v>0</v>
      </c>
      <c r="CB531" s="3">
        <f>+IF(AVANCE[[#This Row],[PINTURA EXTERIOR]]=AO$2,100%,AVANCE[[#This Row],[PINTURA EXTERIOR]])</f>
        <v>0</v>
      </c>
      <c r="CC531" s="3">
        <f>+IF(AVANCE[[#This Row],[ZOCALOS LOGIA]]=AP$2,100%,AVANCE[[#This Row],[ZOCALOS LOGIA]])</f>
        <v>0</v>
      </c>
      <c r="CD531" s="3">
        <f>+IF(AVANCE[[#This Row],[MOLDURAS]]=AQ$2,100%,AVANCE[[#This Row],[MOLDURAS]])</f>
        <v>0</v>
      </c>
      <c r="CE531" s="3">
        <f>+IF(AVANCE[[#This Row],[PILASTREO]]=AR$2,100%,AVANCE[[#This Row],[PILASTREO]])</f>
        <v>0</v>
      </c>
      <c r="CF531" s="3">
        <f>+IF(AVANCE[[#This Row],[CELOSIAS]]=AS$2,100%,AVANCE[[#This Row],[CELOSIAS]])</f>
        <v>0</v>
      </c>
      <c r="CG531" s="3">
        <f>+IF(AVANCE[[#This Row],[VENTANAS]]=AT$2,100%,AVANCE[[#This Row],[VENTANAS]])</f>
        <v>0</v>
      </c>
      <c r="CH531" s="3">
        <f>+IF(AVANCE[[#This Row],[PUERTAS ACCESO - LOGIA - BANO]]=AU$2,100%,AVANCE[[#This Row],[PUERTAS ACCESO - LOGIA - BANO]])</f>
        <v>0</v>
      </c>
      <c r="CI531" s="3">
        <f>+IF(AVANCE[[#This Row],[CERRADURAS]]=AV$2,100%,AVANCE[[#This Row],[CERRADURAS]])</f>
        <v>0</v>
      </c>
      <c r="CJ531" s="3">
        <f>+IF(AVANCE[[#This Row],[REVESTIMIENTO INTERIOR ZONA SECA]]=AW$2,100%,AVANCE[[#This Row],[REVESTIMIENTO INTERIOR ZONA SECA]])</f>
        <v>0</v>
      </c>
      <c r="CK531" s="3">
        <f>+IF(AVANCE[[#This Row],[REVESTIMIENTO INTERIOR ZONAS HUMEDAS]]=AX$2,100%,AVANCE[[#This Row],[REVESTIMIENTO INTERIOR ZONAS HUMEDAS]])</f>
        <v>0</v>
      </c>
      <c r="CL531" s="3">
        <f>+IF(AVANCE[[#This Row],[MEMBRANA CIELO]]=AY$2,100%,AVANCE[[#This Row],[MEMBRANA CIELO]])</f>
        <v>0</v>
      </c>
      <c r="CM531" s="3">
        <f>+IF(AVANCE[[#This Row],[LIMPIEZA FINAL]]=AZ$2,100%,AVANCE[[#This Row],[LIMPIEZA FINAL]])</f>
        <v>0</v>
      </c>
      <c r="CN531" s="3">
        <f>+IF(AVANCE[[#This Row],[PUERTAS DORMITORIO]]=BA$2,100%,AVANCE[[#This Row],[PUERTAS DORMITORIO]])</f>
        <v>0</v>
      </c>
      <c r="CO531" s="3">
        <f>+IF(AVANCE[[#This Row],[REVESTIMIENTO INTERIOR BANO]]=BB$2,100%,AVANCE[[#This Row],[REVESTIMIENTO INTERIOR BANO]])</f>
        <v>0</v>
      </c>
      <c r="CP531" s="3">
        <f>+IF(AVANCE[[#This Row],[MUEBLE LAVAPLATOS]]=BC$2,100%,AVANCE[[#This Row],[MUEBLE LAVAPLATOS]])</f>
        <v>0</v>
      </c>
      <c r="CQ531" s="3">
        <f>+IF(AVANCE[[#This Row],[IMPERMEABILIZACION BANO - COCINA LOGIA]]=BD$2,100%,AVANCE[[#This Row],[IMPERMEABILIZACION BANO - COCINA LOGIA]])</f>
        <v>0</v>
      </c>
      <c r="CR531" s="40">
        <f ca="1">+IF(AVANCE[[#This Row],[ESTADO MODULO]]="PENDIENTE",(TODAY()-AVANCE[[#This Row],[FECHA TERMINO  PLANIFICADO]]),0)</f>
        <v>0</v>
      </c>
      <c r="CS531" s="42" t="str" cm="1">
        <f t="array" ref="CS531">_xlfn.TEXTJOIN(" | ",TRUE,IF(SUMPRODUCT((BF531:CQ531&lt;1)*(PARTIDAS!$I$2:$AT$2="OBRA GRUESA"))&gt;0,"OBRA GRUESA: "&amp;_xlfn.TEXTJOIN(", ",TRUE,IF((BF531:CQ531&lt;1)*(PARTIDAS!$I$2:$AT$2="OBRA GRUESA"),PARTIDAS!$I$1:$AT$1,"")),""),IF(SUMPRODUCT((BF531:CQ531&lt;1)*(PARTIDAS!$I$2:$AT$2="SANITARIOS"))&gt;0,"SANITARIOS: "&amp;_xlfn.TEXTJOIN(", ",TRUE,IF((BF531:CQ531&lt;1)*(PARTIDAS!$I$2:$AT$2="SANITARIOS"),PARTIDAS!$I$1:$AT$1,"")),""),IF(SUMPRODUCT((BF531:CQ531&lt;1)*(PARTIDAS!$I$2:$AT$2="ELÉCTRICO"))&gt;0,"ELÉCTRICO: "&amp;_xlfn.TEXTJOIN(", ",TRUE,IF((BF531:CQ531&lt;1)*(PARTIDAS!$I$2:$AT$2="ELÉCTRICO"),PARTIDAS!$I$1:$AT$1,"")),""),IF(SUMPRODUCT((BF531:CQ531&lt;1)*(PARTIDAS!$I$2:$AT$2="TERMINACIONES"))&gt;0,"TERMINACIONES: "&amp;_xlfn.TEXTJOIN(", ",TRUE,IF((BF531:CQ531&lt;1)*(PARTIDAS!$I$2:$AT$2="TERMINACIONES"),PARTIDAS!$I$1:$AT$1,"")),""))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1" s="45" t="str" cm="1">
        <f t="array" ref="CT531">_xlfn.TEXTJOIN(", ",TRUE,IF(SUMPRODUCT((BF531:CQ531&lt;1)*(PARTIDAS!$I$2:$AT$2="OBRA GRUESA"))&gt;0,"OBRA GRUESA",""),IF(SUMPRODUCT((BF531:CQ531&lt;1)*(PARTIDAS!$I$2:$AT$2="SANITARIOS"))&gt;0,"SANITARIOS",""),IF(SUMPRODUCT((BF531:CQ531&lt;1)*(PARTIDAS!$I$2:$AT$2="ELÉCTRICO"))&gt;0,"ELÉCTRICO",""),IF(SUMPRODUCT((BF531:CQ531&lt;1)*(PARTIDAS!$I$2:$AT$2="TERMINACIONES"))&gt;0,"TERMINACIONES",""))</f>
        <v>OBRA GRUESA, SANITARIOS, ELÉCTRICO, TERMINACIONES</v>
      </c>
      <c r="CU531" s="46" cm="1">
        <f t="array" ref="CU531">SUMPRODUCT(--(BF531:CQ531&lt;1))</f>
        <v>38</v>
      </c>
    </row>
    <row r="532" spans="1:99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46181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 s="3" t="str">
        <f>+IF(AVANCE[[#This Row],[% AVANCE]]=100%,"MODULO TERMINADO",IF(AVANCE[[#This Row],[FECHA INICIO REAL]]="","MODULO NO INICIADO","PENDIENTE"))</f>
        <v>MODULO NO INICIADO</v>
      </c>
      <c r="BF532" s="3">
        <f>+IF(AVANCE[[#This Row],[VENTANAS]]=8.10810810810811%,100%,AVANCE[[#This Row],[VENTANAS]])</f>
        <v>0</v>
      </c>
      <c r="BG532" s="3">
        <f>+IF(AVANCE[[#This Row],[PISO]]=N$2,100%,AVANCE[[#This Row],[PISO]])</f>
        <v>0</v>
      </c>
      <c r="BH532" s="3">
        <f>+IF(AVANCE[[#This Row],[TABIQUES]]=O$2,100%,AVANCE[[#This Row],[TABIQUES]])</f>
        <v>0</v>
      </c>
      <c r="BI532" s="3">
        <f>+IF(AVANCE[[#This Row],[MUROS]]=P$2,100%,AVANCE[[#This Row],[MUROS]])</f>
        <v>0</v>
      </c>
      <c r="BJ532" s="3">
        <f>+IF(AVANCE[[#This Row],[CIELO]]=Q$2,100%,AVANCE[[#This Row],[CIELO]])</f>
        <v>0</v>
      </c>
      <c r="BK532" s="3">
        <f>+IF(AVANCE[[#This Row],[BALCÓN]]=R$2,100%,AVANCE[[#This Row],[BALCÓN]])</f>
        <v>0</v>
      </c>
      <c r="BL532" s="3">
        <f>+IF(AVANCE[[#This Row],[RED ALCANTARILLADO]]=U$2,100%,AVANCE[[#This Row],[RED ALCANTARILLADO]])</f>
        <v>0</v>
      </c>
      <c r="BM532" s="3">
        <f>+IF(AVANCE[[#This Row],[RED DE AGUA]]=V$2,100%,AVANCE[[#This Row],[RED DE AGUA]])</f>
        <v>0</v>
      </c>
      <c r="BN532" s="3">
        <f>+IF(AVANCE[[#This Row],[VENTILACIONES]]=W$2,100%,AVANCE[[#This Row],[VENTILACIONES]])</f>
        <v>0</v>
      </c>
      <c r="BO532" s="3">
        <f>+IF(AVANCE[[#This Row],[TINA]]=X$2,100%,AVANCE[[#This Row],[TINA]])</f>
        <v>0</v>
      </c>
      <c r="BP532" s="3">
        <f>+IF(AVANCE[[#This Row],[WC]]=Y$2,100%,AVANCE[[#This Row],[WC]])</f>
        <v>0</v>
      </c>
      <c r="BQ532" s="3">
        <f>+IF(AVANCE[[#This Row],[LAVAMANOS / LAVAPLATOS / LAVADERO]]=Z$2,100%,AVANCE[[#This Row],[LAVAMANOS / LAVAPLATOS / LAVADERO]])</f>
        <v>0</v>
      </c>
      <c r="BR532" s="3">
        <f>+IF(AVANCE[[#This Row],[CANALIZACIÓN]]=AC$2,100%,AVANCE[[#This Row],[CANALIZACIÓN]])</f>
        <v>0</v>
      </c>
      <c r="BS532" s="3">
        <f>+IF(AVANCE[[#This Row],[CABLEADO]]=AD$2,100%,AVANCE[[#This Row],[CABLEADO]])</f>
        <v>0</v>
      </c>
      <c r="BT532" s="3">
        <f>+IF(AVANCE[[#This Row],[ARTEFACTOS]]=AE$2,100%,AVANCE[[#This Row],[ARTEFACTOS]])</f>
        <v>0</v>
      </c>
      <c r="BU532" s="3">
        <f>+IF(AVANCE[[#This Row],[TABLERO]]=AF$2,100%,AVANCE[[#This Row],[TABLERO]])</f>
        <v>0</v>
      </c>
      <c r="BV532" s="3">
        <f>+IF(AVANCE[[#This Row],[CAJA PAU]]=AG$2,100%,AVANCE[[#This Row],[CAJA PAU]])</f>
        <v>0</v>
      </c>
      <c r="BW532" s="3">
        <f>+IF(AVANCE[[#This Row],[INSTALACION VINILICO]]=AJ$2,100%,AVANCE[[#This Row],[INSTALACION VINILICO]])</f>
        <v>0</v>
      </c>
      <c r="BX532" s="3">
        <f>+IF(AVANCE[[#This Row],[OSB CUBIERTA]]=AK$2,100%,AVANCE[[#This Row],[OSB CUBIERTA]])</f>
        <v>0</v>
      </c>
      <c r="BY532" s="3">
        <f>+IF(AVANCE[[#This Row],[BARANDA BALCON]]=AL$2,100%,AVANCE[[#This Row],[BARANDA BALCON]])</f>
        <v>0</v>
      </c>
      <c r="BZ532" s="3">
        <f>+IF(AVANCE[[#This Row],[OSB EXTERIOR]]=AM$2,100%,AVANCE[[#This Row],[OSB EXTERIOR]])</f>
        <v>0</v>
      </c>
      <c r="CA532" s="3">
        <f>+IF(AVANCE[[#This Row],[SMART PANEL]]=AN$2,100%,AVANCE[[#This Row],[SMART PANEL]])</f>
        <v>0</v>
      </c>
      <c r="CB532" s="3">
        <f>+IF(AVANCE[[#This Row],[PINTURA EXTERIOR]]=AO$2,100%,AVANCE[[#This Row],[PINTURA EXTERIOR]])</f>
        <v>0</v>
      </c>
      <c r="CC532" s="3">
        <f>+IF(AVANCE[[#This Row],[ZOCALOS LOGIA]]=AP$2,100%,AVANCE[[#This Row],[ZOCALOS LOGIA]])</f>
        <v>0</v>
      </c>
      <c r="CD532" s="3">
        <f>+IF(AVANCE[[#This Row],[MOLDURAS]]=AQ$2,100%,AVANCE[[#This Row],[MOLDURAS]])</f>
        <v>0</v>
      </c>
      <c r="CE532" s="3">
        <f>+IF(AVANCE[[#This Row],[PILASTREO]]=AR$2,100%,AVANCE[[#This Row],[PILASTREO]])</f>
        <v>0</v>
      </c>
      <c r="CF532" s="3">
        <f>+IF(AVANCE[[#This Row],[CELOSIAS]]=AS$2,100%,AVANCE[[#This Row],[CELOSIAS]])</f>
        <v>0</v>
      </c>
      <c r="CG532" s="3">
        <f>+IF(AVANCE[[#This Row],[VENTANAS]]=AT$2,100%,AVANCE[[#This Row],[VENTANAS]])</f>
        <v>0</v>
      </c>
      <c r="CH532" s="3">
        <f>+IF(AVANCE[[#This Row],[PUERTAS ACCESO - LOGIA - BANO]]=AU$2,100%,AVANCE[[#This Row],[PUERTAS ACCESO - LOGIA - BANO]])</f>
        <v>0</v>
      </c>
      <c r="CI532" s="3">
        <f>+IF(AVANCE[[#This Row],[CERRADURAS]]=AV$2,100%,AVANCE[[#This Row],[CERRADURAS]])</f>
        <v>0</v>
      </c>
      <c r="CJ532" s="3">
        <f>+IF(AVANCE[[#This Row],[REVESTIMIENTO INTERIOR ZONA SECA]]=AW$2,100%,AVANCE[[#This Row],[REVESTIMIENTO INTERIOR ZONA SECA]])</f>
        <v>0</v>
      </c>
      <c r="CK532" s="3">
        <f>+IF(AVANCE[[#This Row],[REVESTIMIENTO INTERIOR ZONAS HUMEDAS]]=AX$2,100%,AVANCE[[#This Row],[REVESTIMIENTO INTERIOR ZONAS HUMEDAS]])</f>
        <v>0</v>
      </c>
      <c r="CL532" s="3">
        <f>+IF(AVANCE[[#This Row],[MEMBRANA CIELO]]=AY$2,100%,AVANCE[[#This Row],[MEMBRANA CIELO]])</f>
        <v>0</v>
      </c>
      <c r="CM532" s="3">
        <f>+IF(AVANCE[[#This Row],[LIMPIEZA FINAL]]=AZ$2,100%,AVANCE[[#This Row],[LIMPIEZA FINAL]])</f>
        <v>0</v>
      </c>
      <c r="CN532" s="3">
        <f>+IF(AVANCE[[#This Row],[PUERTAS DORMITORIO]]=BA$2,100%,AVANCE[[#This Row],[PUERTAS DORMITORIO]])</f>
        <v>0</v>
      </c>
      <c r="CO532" s="3">
        <f>+IF(AVANCE[[#This Row],[REVESTIMIENTO INTERIOR BANO]]=BB$2,100%,AVANCE[[#This Row],[REVESTIMIENTO INTERIOR BANO]])</f>
        <v>0</v>
      </c>
      <c r="CP532" s="3">
        <f>+IF(AVANCE[[#This Row],[MUEBLE LAVAPLATOS]]=BC$2,100%,AVANCE[[#This Row],[MUEBLE LAVAPLATOS]])</f>
        <v>0</v>
      </c>
      <c r="CQ532" s="3">
        <f>+IF(AVANCE[[#This Row],[IMPERMEABILIZACION BANO - COCINA LOGIA]]=BD$2,100%,AVANCE[[#This Row],[IMPERMEABILIZACION BANO - COCINA LOGIA]])</f>
        <v>0</v>
      </c>
      <c r="CR532" s="40">
        <f ca="1">+IF(AVANCE[[#This Row],[ESTADO MODULO]]="PENDIENTE",(TODAY()-AVANCE[[#This Row],[FECHA TERMINO  PLANIFICADO]]),0)</f>
        <v>0</v>
      </c>
      <c r="CS532" s="42" t="str" cm="1">
        <f t="array" ref="CS532">_xlfn.TEXTJOIN(" | ",TRUE,IF(SUMPRODUCT((BF532:CQ532&lt;1)*(PARTIDAS!$I$2:$AT$2="OBRA GRUESA"))&gt;0,"OBRA GRUESA: "&amp;_xlfn.TEXTJOIN(", ",TRUE,IF((BF532:CQ532&lt;1)*(PARTIDAS!$I$2:$AT$2="OBRA GRUESA"),PARTIDAS!$I$1:$AT$1,"")),""),IF(SUMPRODUCT((BF532:CQ532&lt;1)*(PARTIDAS!$I$2:$AT$2="SANITARIOS"))&gt;0,"SANITARIOS: "&amp;_xlfn.TEXTJOIN(", ",TRUE,IF((BF532:CQ532&lt;1)*(PARTIDAS!$I$2:$AT$2="SANITARIOS"),PARTIDAS!$I$1:$AT$1,"")),""),IF(SUMPRODUCT((BF532:CQ532&lt;1)*(PARTIDAS!$I$2:$AT$2="ELÉCTRICO"))&gt;0,"ELÉCTRICO: "&amp;_xlfn.TEXTJOIN(", ",TRUE,IF((BF532:CQ532&lt;1)*(PARTIDAS!$I$2:$AT$2="ELÉCTRICO"),PARTIDAS!$I$1:$AT$1,"")),""),IF(SUMPRODUCT((BF532:CQ532&lt;1)*(PARTIDAS!$I$2:$AT$2="TERMINACIONES"))&gt;0,"TERMINACIONES: "&amp;_xlfn.TEXTJOIN(", ",TRUE,IF((BF532:CQ532&lt;1)*(PARTIDAS!$I$2:$AT$2="TERMINACIONES"),PARTIDAS!$I$1:$AT$1,"")),""))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2" s="45" t="str" cm="1">
        <f t="array" ref="CT532">_xlfn.TEXTJOIN(", ",TRUE,IF(SUMPRODUCT((BF532:CQ532&lt;1)*(PARTIDAS!$I$2:$AT$2="OBRA GRUESA"))&gt;0,"OBRA GRUESA",""),IF(SUMPRODUCT((BF532:CQ532&lt;1)*(PARTIDAS!$I$2:$AT$2="SANITARIOS"))&gt;0,"SANITARIOS",""),IF(SUMPRODUCT((BF532:CQ532&lt;1)*(PARTIDAS!$I$2:$AT$2="ELÉCTRICO"))&gt;0,"ELÉCTRICO",""),IF(SUMPRODUCT((BF532:CQ532&lt;1)*(PARTIDAS!$I$2:$AT$2="TERMINACIONES"))&gt;0,"TERMINACIONES",""))</f>
        <v>OBRA GRUESA, SANITARIOS, ELÉCTRICO, TERMINACIONES</v>
      </c>
      <c r="CU532" s="46" cm="1">
        <f t="array" ref="CU532">SUMPRODUCT(--(BF532:CQ532&lt;1))</f>
        <v>38</v>
      </c>
    </row>
    <row r="533" spans="1:99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46181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 s="3" t="str">
        <f>+IF(AVANCE[[#This Row],[% AVANCE]]=100%,"MODULO TERMINADO",IF(AVANCE[[#This Row],[FECHA INICIO REAL]]="","MODULO NO INICIADO","PENDIENTE"))</f>
        <v>MODULO NO INICIADO</v>
      </c>
      <c r="BF533" s="3">
        <f>+IF(AVANCE[[#This Row],[VENTANAS]]=8.10810810810811%,100%,AVANCE[[#This Row],[VENTANAS]])</f>
        <v>0</v>
      </c>
      <c r="BG533" s="3">
        <f>+IF(AVANCE[[#This Row],[PISO]]=N$2,100%,AVANCE[[#This Row],[PISO]])</f>
        <v>0</v>
      </c>
      <c r="BH533" s="3">
        <f>+IF(AVANCE[[#This Row],[TABIQUES]]=O$2,100%,AVANCE[[#This Row],[TABIQUES]])</f>
        <v>0</v>
      </c>
      <c r="BI533" s="3">
        <f>+IF(AVANCE[[#This Row],[MUROS]]=P$2,100%,AVANCE[[#This Row],[MUROS]])</f>
        <v>0</v>
      </c>
      <c r="BJ533" s="3">
        <f>+IF(AVANCE[[#This Row],[CIELO]]=Q$2,100%,AVANCE[[#This Row],[CIELO]])</f>
        <v>0</v>
      </c>
      <c r="BK533" s="3">
        <f>+IF(AVANCE[[#This Row],[BALCÓN]]=R$2,100%,AVANCE[[#This Row],[BALCÓN]])</f>
        <v>0</v>
      </c>
      <c r="BL533" s="3">
        <f>+IF(AVANCE[[#This Row],[RED ALCANTARILLADO]]=U$2,100%,AVANCE[[#This Row],[RED ALCANTARILLADO]])</f>
        <v>0</v>
      </c>
      <c r="BM533" s="3">
        <f>+IF(AVANCE[[#This Row],[RED DE AGUA]]=V$2,100%,AVANCE[[#This Row],[RED DE AGUA]])</f>
        <v>0</v>
      </c>
      <c r="BN533" s="3">
        <f>+IF(AVANCE[[#This Row],[VENTILACIONES]]=W$2,100%,AVANCE[[#This Row],[VENTILACIONES]])</f>
        <v>0</v>
      </c>
      <c r="BO533" s="3">
        <f>+IF(AVANCE[[#This Row],[TINA]]=X$2,100%,AVANCE[[#This Row],[TINA]])</f>
        <v>0</v>
      </c>
      <c r="BP533" s="3">
        <f>+IF(AVANCE[[#This Row],[WC]]=Y$2,100%,AVANCE[[#This Row],[WC]])</f>
        <v>0</v>
      </c>
      <c r="BQ533" s="3">
        <f>+IF(AVANCE[[#This Row],[LAVAMANOS / LAVAPLATOS / LAVADERO]]=Z$2,100%,AVANCE[[#This Row],[LAVAMANOS / LAVAPLATOS / LAVADERO]])</f>
        <v>0</v>
      </c>
      <c r="BR533" s="3">
        <f>+IF(AVANCE[[#This Row],[CANALIZACIÓN]]=AC$2,100%,AVANCE[[#This Row],[CANALIZACIÓN]])</f>
        <v>0</v>
      </c>
      <c r="BS533" s="3">
        <f>+IF(AVANCE[[#This Row],[CABLEADO]]=AD$2,100%,AVANCE[[#This Row],[CABLEADO]])</f>
        <v>0</v>
      </c>
      <c r="BT533" s="3">
        <f>+IF(AVANCE[[#This Row],[ARTEFACTOS]]=AE$2,100%,AVANCE[[#This Row],[ARTEFACTOS]])</f>
        <v>0</v>
      </c>
      <c r="BU533" s="3">
        <f>+IF(AVANCE[[#This Row],[TABLERO]]=AF$2,100%,AVANCE[[#This Row],[TABLERO]])</f>
        <v>0</v>
      </c>
      <c r="BV533" s="3">
        <f>+IF(AVANCE[[#This Row],[CAJA PAU]]=AG$2,100%,AVANCE[[#This Row],[CAJA PAU]])</f>
        <v>0</v>
      </c>
      <c r="BW533" s="3">
        <f>+IF(AVANCE[[#This Row],[INSTALACION VINILICO]]=AJ$2,100%,AVANCE[[#This Row],[INSTALACION VINILICO]])</f>
        <v>0</v>
      </c>
      <c r="BX533" s="3">
        <f>+IF(AVANCE[[#This Row],[OSB CUBIERTA]]=AK$2,100%,AVANCE[[#This Row],[OSB CUBIERTA]])</f>
        <v>0</v>
      </c>
      <c r="BY533" s="3">
        <f>+IF(AVANCE[[#This Row],[BARANDA BALCON]]=AL$2,100%,AVANCE[[#This Row],[BARANDA BALCON]])</f>
        <v>0</v>
      </c>
      <c r="BZ533" s="3">
        <f>+IF(AVANCE[[#This Row],[OSB EXTERIOR]]=AM$2,100%,AVANCE[[#This Row],[OSB EXTERIOR]])</f>
        <v>0</v>
      </c>
      <c r="CA533" s="3">
        <f>+IF(AVANCE[[#This Row],[SMART PANEL]]=AN$2,100%,AVANCE[[#This Row],[SMART PANEL]])</f>
        <v>0</v>
      </c>
      <c r="CB533" s="3">
        <f>+IF(AVANCE[[#This Row],[PINTURA EXTERIOR]]=AO$2,100%,AVANCE[[#This Row],[PINTURA EXTERIOR]])</f>
        <v>0</v>
      </c>
      <c r="CC533" s="3">
        <f>+IF(AVANCE[[#This Row],[ZOCALOS LOGIA]]=AP$2,100%,AVANCE[[#This Row],[ZOCALOS LOGIA]])</f>
        <v>0</v>
      </c>
      <c r="CD533" s="3">
        <f>+IF(AVANCE[[#This Row],[MOLDURAS]]=AQ$2,100%,AVANCE[[#This Row],[MOLDURAS]])</f>
        <v>0</v>
      </c>
      <c r="CE533" s="3">
        <f>+IF(AVANCE[[#This Row],[PILASTREO]]=AR$2,100%,AVANCE[[#This Row],[PILASTREO]])</f>
        <v>0</v>
      </c>
      <c r="CF533" s="3">
        <f>+IF(AVANCE[[#This Row],[CELOSIAS]]=AS$2,100%,AVANCE[[#This Row],[CELOSIAS]])</f>
        <v>0</v>
      </c>
      <c r="CG533" s="3">
        <f>+IF(AVANCE[[#This Row],[VENTANAS]]=AT$2,100%,AVANCE[[#This Row],[VENTANAS]])</f>
        <v>0</v>
      </c>
      <c r="CH533" s="3">
        <f>+IF(AVANCE[[#This Row],[PUERTAS ACCESO - LOGIA - BANO]]=AU$2,100%,AVANCE[[#This Row],[PUERTAS ACCESO - LOGIA - BANO]])</f>
        <v>0</v>
      </c>
      <c r="CI533" s="3">
        <f>+IF(AVANCE[[#This Row],[CERRADURAS]]=AV$2,100%,AVANCE[[#This Row],[CERRADURAS]])</f>
        <v>0</v>
      </c>
      <c r="CJ533" s="3">
        <f>+IF(AVANCE[[#This Row],[REVESTIMIENTO INTERIOR ZONA SECA]]=AW$2,100%,AVANCE[[#This Row],[REVESTIMIENTO INTERIOR ZONA SECA]])</f>
        <v>0</v>
      </c>
      <c r="CK533" s="3">
        <f>+IF(AVANCE[[#This Row],[REVESTIMIENTO INTERIOR ZONAS HUMEDAS]]=AX$2,100%,AVANCE[[#This Row],[REVESTIMIENTO INTERIOR ZONAS HUMEDAS]])</f>
        <v>0</v>
      </c>
      <c r="CL533" s="3">
        <f>+IF(AVANCE[[#This Row],[MEMBRANA CIELO]]=AY$2,100%,AVANCE[[#This Row],[MEMBRANA CIELO]])</f>
        <v>0</v>
      </c>
      <c r="CM533" s="3">
        <f>+IF(AVANCE[[#This Row],[LIMPIEZA FINAL]]=AZ$2,100%,AVANCE[[#This Row],[LIMPIEZA FINAL]])</f>
        <v>0</v>
      </c>
      <c r="CN533" s="3">
        <f>+IF(AVANCE[[#This Row],[PUERTAS DORMITORIO]]=BA$2,100%,AVANCE[[#This Row],[PUERTAS DORMITORIO]])</f>
        <v>0</v>
      </c>
      <c r="CO533" s="3">
        <f>+IF(AVANCE[[#This Row],[REVESTIMIENTO INTERIOR BANO]]=BB$2,100%,AVANCE[[#This Row],[REVESTIMIENTO INTERIOR BANO]])</f>
        <v>0</v>
      </c>
      <c r="CP533" s="3">
        <f>+IF(AVANCE[[#This Row],[MUEBLE LAVAPLATOS]]=BC$2,100%,AVANCE[[#This Row],[MUEBLE LAVAPLATOS]])</f>
        <v>0</v>
      </c>
      <c r="CQ533" s="3">
        <f>+IF(AVANCE[[#This Row],[IMPERMEABILIZACION BANO - COCINA LOGIA]]=BD$2,100%,AVANCE[[#This Row],[IMPERMEABILIZACION BANO - COCINA LOGIA]])</f>
        <v>0</v>
      </c>
      <c r="CR533" s="40">
        <f ca="1">+IF(AVANCE[[#This Row],[ESTADO MODULO]]="PENDIENTE",(TODAY()-AVANCE[[#This Row],[FECHA TERMINO  PLANIFICADO]]),0)</f>
        <v>0</v>
      </c>
      <c r="CS533" s="42" t="str" cm="1">
        <f t="array" ref="CS533">_xlfn.TEXTJOIN(" | ",TRUE,IF(SUMPRODUCT((BF533:CQ533&lt;1)*(PARTIDAS!$I$2:$AT$2="OBRA GRUESA"))&gt;0,"OBRA GRUESA: "&amp;_xlfn.TEXTJOIN(", ",TRUE,IF((BF533:CQ533&lt;1)*(PARTIDAS!$I$2:$AT$2="OBRA GRUESA"),PARTIDAS!$I$1:$AT$1,"")),""),IF(SUMPRODUCT((BF533:CQ533&lt;1)*(PARTIDAS!$I$2:$AT$2="SANITARIOS"))&gt;0,"SANITARIOS: "&amp;_xlfn.TEXTJOIN(", ",TRUE,IF((BF533:CQ533&lt;1)*(PARTIDAS!$I$2:$AT$2="SANITARIOS"),PARTIDAS!$I$1:$AT$1,"")),""),IF(SUMPRODUCT((BF533:CQ533&lt;1)*(PARTIDAS!$I$2:$AT$2="ELÉCTRICO"))&gt;0,"ELÉCTRICO: "&amp;_xlfn.TEXTJOIN(", ",TRUE,IF((BF533:CQ533&lt;1)*(PARTIDAS!$I$2:$AT$2="ELÉCTRICO"),PARTIDAS!$I$1:$AT$1,"")),""),IF(SUMPRODUCT((BF533:CQ533&lt;1)*(PARTIDAS!$I$2:$AT$2="TERMINACIONES"))&gt;0,"TERMINACIONES: "&amp;_xlfn.TEXTJOIN(", ",TRUE,IF((BF533:CQ533&lt;1)*(PARTIDAS!$I$2:$AT$2="TERMINACIONES"),PARTIDAS!$I$1:$AT$1,"")),""))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3" s="45" t="str" cm="1">
        <f t="array" ref="CT533">_xlfn.TEXTJOIN(", ",TRUE,IF(SUMPRODUCT((BF533:CQ533&lt;1)*(PARTIDAS!$I$2:$AT$2="OBRA GRUESA"))&gt;0,"OBRA GRUESA",""),IF(SUMPRODUCT((BF533:CQ533&lt;1)*(PARTIDAS!$I$2:$AT$2="SANITARIOS"))&gt;0,"SANITARIOS",""),IF(SUMPRODUCT((BF533:CQ533&lt;1)*(PARTIDAS!$I$2:$AT$2="ELÉCTRICO"))&gt;0,"ELÉCTRICO",""),IF(SUMPRODUCT((BF533:CQ533&lt;1)*(PARTIDAS!$I$2:$AT$2="TERMINACIONES"))&gt;0,"TERMINACIONES",""))</f>
        <v>OBRA GRUESA, SANITARIOS, ELÉCTRICO, TERMINACIONES</v>
      </c>
      <c r="CU533" s="46" cm="1">
        <f t="array" ref="CU533">SUMPRODUCT(--(BF533:CQ533&lt;1))</f>
        <v>38</v>
      </c>
    </row>
    <row r="534" spans="1:99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46181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 s="3" t="str">
        <f>+IF(AVANCE[[#This Row],[% AVANCE]]=100%,"MODULO TERMINADO",IF(AVANCE[[#This Row],[FECHA INICIO REAL]]="","MODULO NO INICIADO","PENDIENTE"))</f>
        <v>MODULO NO INICIADO</v>
      </c>
      <c r="BF534" s="3">
        <f>+IF(AVANCE[[#This Row],[VENTANAS]]=8.10810810810811%,100%,AVANCE[[#This Row],[VENTANAS]])</f>
        <v>0</v>
      </c>
      <c r="BG534" s="3">
        <f>+IF(AVANCE[[#This Row],[PISO]]=N$2,100%,AVANCE[[#This Row],[PISO]])</f>
        <v>0</v>
      </c>
      <c r="BH534" s="3">
        <f>+IF(AVANCE[[#This Row],[TABIQUES]]=O$2,100%,AVANCE[[#This Row],[TABIQUES]])</f>
        <v>0</v>
      </c>
      <c r="BI534" s="3">
        <f>+IF(AVANCE[[#This Row],[MUROS]]=P$2,100%,AVANCE[[#This Row],[MUROS]])</f>
        <v>0</v>
      </c>
      <c r="BJ534" s="3">
        <f>+IF(AVANCE[[#This Row],[CIELO]]=Q$2,100%,AVANCE[[#This Row],[CIELO]])</f>
        <v>0</v>
      </c>
      <c r="BK534" s="3">
        <f>+IF(AVANCE[[#This Row],[BALCÓN]]=R$2,100%,AVANCE[[#This Row],[BALCÓN]])</f>
        <v>0</v>
      </c>
      <c r="BL534" s="3">
        <f>+IF(AVANCE[[#This Row],[RED ALCANTARILLADO]]=U$2,100%,AVANCE[[#This Row],[RED ALCANTARILLADO]])</f>
        <v>0</v>
      </c>
      <c r="BM534" s="3">
        <f>+IF(AVANCE[[#This Row],[RED DE AGUA]]=V$2,100%,AVANCE[[#This Row],[RED DE AGUA]])</f>
        <v>0</v>
      </c>
      <c r="BN534" s="3">
        <f>+IF(AVANCE[[#This Row],[VENTILACIONES]]=W$2,100%,AVANCE[[#This Row],[VENTILACIONES]])</f>
        <v>0</v>
      </c>
      <c r="BO534" s="3">
        <f>+IF(AVANCE[[#This Row],[TINA]]=X$2,100%,AVANCE[[#This Row],[TINA]])</f>
        <v>0</v>
      </c>
      <c r="BP534" s="3">
        <f>+IF(AVANCE[[#This Row],[WC]]=Y$2,100%,AVANCE[[#This Row],[WC]])</f>
        <v>0</v>
      </c>
      <c r="BQ534" s="3">
        <f>+IF(AVANCE[[#This Row],[LAVAMANOS / LAVAPLATOS / LAVADERO]]=Z$2,100%,AVANCE[[#This Row],[LAVAMANOS / LAVAPLATOS / LAVADERO]])</f>
        <v>0</v>
      </c>
      <c r="BR534" s="3">
        <f>+IF(AVANCE[[#This Row],[CANALIZACIÓN]]=AC$2,100%,AVANCE[[#This Row],[CANALIZACIÓN]])</f>
        <v>0</v>
      </c>
      <c r="BS534" s="3">
        <f>+IF(AVANCE[[#This Row],[CABLEADO]]=AD$2,100%,AVANCE[[#This Row],[CABLEADO]])</f>
        <v>0</v>
      </c>
      <c r="BT534" s="3">
        <f>+IF(AVANCE[[#This Row],[ARTEFACTOS]]=AE$2,100%,AVANCE[[#This Row],[ARTEFACTOS]])</f>
        <v>0</v>
      </c>
      <c r="BU534" s="3">
        <f>+IF(AVANCE[[#This Row],[TABLERO]]=AF$2,100%,AVANCE[[#This Row],[TABLERO]])</f>
        <v>0</v>
      </c>
      <c r="BV534" s="3">
        <f>+IF(AVANCE[[#This Row],[CAJA PAU]]=AG$2,100%,AVANCE[[#This Row],[CAJA PAU]])</f>
        <v>0</v>
      </c>
      <c r="BW534" s="3">
        <f>+IF(AVANCE[[#This Row],[INSTALACION VINILICO]]=AJ$2,100%,AVANCE[[#This Row],[INSTALACION VINILICO]])</f>
        <v>0</v>
      </c>
      <c r="BX534" s="3">
        <f>+IF(AVANCE[[#This Row],[OSB CUBIERTA]]=AK$2,100%,AVANCE[[#This Row],[OSB CUBIERTA]])</f>
        <v>0</v>
      </c>
      <c r="BY534" s="3">
        <f>+IF(AVANCE[[#This Row],[BARANDA BALCON]]=AL$2,100%,AVANCE[[#This Row],[BARANDA BALCON]])</f>
        <v>0</v>
      </c>
      <c r="BZ534" s="3">
        <f>+IF(AVANCE[[#This Row],[OSB EXTERIOR]]=AM$2,100%,AVANCE[[#This Row],[OSB EXTERIOR]])</f>
        <v>0</v>
      </c>
      <c r="CA534" s="3">
        <f>+IF(AVANCE[[#This Row],[SMART PANEL]]=AN$2,100%,AVANCE[[#This Row],[SMART PANEL]])</f>
        <v>0</v>
      </c>
      <c r="CB534" s="3">
        <f>+IF(AVANCE[[#This Row],[PINTURA EXTERIOR]]=AO$2,100%,AVANCE[[#This Row],[PINTURA EXTERIOR]])</f>
        <v>0</v>
      </c>
      <c r="CC534" s="3">
        <f>+IF(AVANCE[[#This Row],[ZOCALOS LOGIA]]=AP$2,100%,AVANCE[[#This Row],[ZOCALOS LOGIA]])</f>
        <v>0</v>
      </c>
      <c r="CD534" s="3">
        <f>+IF(AVANCE[[#This Row],[MOLDURAS]]=AQ$2,100%,AVANCE[[#This Row],[MOLDURAS]])</f>
        <v>0</v>
      </c>
      <c r="CE534" s="3">
        <f>+IF(AVANCE[[#This Row],[PILASTREO]]=AR$2,100%,AVANCE[[#This Row],[PILASTREO]])</f>
        <v>0</v>
      </c>
      <c r="CF534" s="3">
        <f>+IF(AVANCE[[#This Row],[CELOSIAS]]=AS$2,100%,AVANCE[[#This Row],[CELOSIAS]])</f>
        <v>0</v>
      </c>
      <c r="CG534" s="3">
        <f>+IF(AVANCE[[#This Row],[VENTANAS]]=AT$2,100%,AVANCE[[#This Row],[VENTANAS]])</f>
        <v>0</v>
      </c>
      <c r="CH534" s="3">
        <f>+IF(AVANCE[[#This Row],[PUERTAS ACCESO - LOGIA - BANO]]=AU$2,100%,AVANCE[[#This Row],[PUERTAS ACCESO - LOGIA - BANO]])</f>
        <v>0</v>
      </c>
      <c r="CI534" s="3">
        <f>+IF(AVANCE[[#This Row],[CERRADURAS]]=AV$2,100%,AVANCE[[#This Row],[CERRADURAS]])</f>
        <v>0</v>
      </c>
      <c r="CJ534" s="3">
        <f>+IF(AVANCE[[#This Row],[REVESTIMIENTO INTERIOR ZONA SECA]]=AW$2,100%,AVANCE[[#This Row],[REVESTIMIENTO INTERIOR ZONA SECA]])</f>
        <v>0</v>
      </c>
      <c r="CK534" s="3">
        <f>+IF(AVANCE[[#This Row],[REVESTIMIENTO INTERIOR ZONAS HUMEDAS]]=AX$2,100%,AVANCE[[#This Row],[REVESTIMIENTO INTERIOR ZONAS HUMEDAS]])</f>
        <v>0</v>
      </c>
      <c r="CL534" s="3">
        <f>+IF(AVANCE[[#This Row],[MEMBRANA CIELO]]=AY$2,100%,AVANCE[[#This Row],[MEMBRANA CIELO]])</f>
        <v>0</v>
      </c>
      <c r="CM534" s="3">
        <f>+IF(AVANCE[[#This Row],[LIMPIEZA FINAL]]=AZ$2,100%,AVANCE[[#This Row],[LIMPIEZA FINAL]])</f>
        <v>0</v>
      </c>
      <c r="CN534" s="3">
        <f>+IF(AVANCE[[#This Row],[PUERTAS DORMITORIO]]=BA$2,100%,AVANCE[[#This Row],[PUERTAS DORMITORIO]])</f>
        <v>0</v>
      </c>
      <c r="CO534" s="3">
        <f>+IF(AVANCE[[#This Row],[REVESTIMIENTO INTERIOR BANO]]=BB$2,100%,AVANCE[[#This Row],[REVESTIMIENTO INTERIOR BANO]])</f>
        <v>0</v>
      </c>
      <c r="CP534" s="3">
        <f>+IF(AVANCE[[#This Row],[MUEBLE LAVAPLATOS]]=BC$2,100%,AVANCE[[#This Row],[MUEBLE LAVAPLATOS]])</f>
        <v>0</v>
      </c>
      <c r="CQ534" s="3">
        <f>+IF(AVANCE[[#This Row],[IMPERMEABILIZACION BANO - COCINA LOGIA]]=BD$2,100%,AVANCE[[#This Row],[IMPERMEABILIZACION BANO - COCINA LOGIA]])</f>
        <v>0</v>
      </c>
      <c r="CR534" s="40">
        <f ca="1">+IF(AVANCE[[#This Row],[ESTADO MODULO]]="PENDIENTE",(TODAY()-AVANCE[[#This Row],[FECHA TERMINO  PLANIFICADO]]),0)</f>
        <v>0</v>
      </c>
      <c r="CS534" s="42" t="str" cm="1">
        <f t="array" ref="CS534">_xlfn.TEXTJOIN(" | ",TRUE,IF(SUMPRODUCT((BF534:CQ534&lt;1)*(PARTIDAS!$I$2:$AT$2="OBRA GRUESA"))&gt;0,"OBRA GRUESA: "&amp;_xlfn.TEXTJOIN(", ",TRUE,IF((BF534:CQ534&lt;1)*(PARTIDAS!$I$2:$AT$2="OBRA GRUESA"),PARTIDAS!$I$1:$AT$1,"")),""),IF(SUMPRODUCT((BF534:CQ534&lt;1)*(PARTIDAS!$I$2:$AT$2="SANITARIOS"))&gt;0,"SANITARIOS: "&amp;_xlfn.TEXTJOIN(", ",TRUE,IF((BF534:CQ534&lt;1)*(PARTIDAS!$I$2:$AT$2="SANITARIOS"),PARTIDAS!$I$1:$AT$1,"")),""),IF(SUMPRODUCT((BF534:CQ534&lt;1)*(PARTIDAS!$I$2:$AT$2="ELÉCTRICO"))&gt;0,"ELÉCTRICO: "&amp;_xlfn.TEXTJOIN(", ",TRUE,IF((BF534:CQ534&lt;1)*(PARTIDAS!$I$2:$AT$2="ELÉCTRICO"),PARTIDAS!$I$1:$AT$1,"")),""),IF(SUMPRODUCT((BF534:CQ534&lt;1)*(PARTIDAS!$I$2:$AT$2="TERMINACIONES"))&gt;0,"TERMINACIONES: "&amp;_xlfn.TEXTJOIN(", ",TRUE,IF((BF534:CQ534&lt;1)*(PARTIDAS!$I$2:$AT$2="TERMINACIONES"),PARTIDAS!$I$1:$AT$1,"")),""))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4" s="45" t="str" cm="1">
        <f t="array" ref="CT534">_xlfn.TEXTJOIN(", ",TRUE,IF(SUMPRODUCT((BF534:CQ534&lt;1)*(PARTIDAS!$I$2:$AT$2="OBRA GRUESA"))&gt;0,"OBRA GRUESA",""),IF(SUMPRODUCT((BF534:CQ534&lt;1)*(PARTIDAS!$I$2:$AT$2="SANITARIOS"))&gt;0,"SANITARIOS",""),IF(SUMPRODUCT((BF534:CQ534&lt;1)*(PARTIDAS!$I$2:$AT$2="ELÉCTRICO"))&gt;0,"ELÉCTRICO",""),IF(SUMPRODUCT((BF534:CQ534&lt;1)*(PARTIDAS!$I$2:$AT$2="TERMINACIONES"))&gt;0,"TERMINACIONES",""))</f>
        <v>OBRA GRUESA, SANITARIOS, ELÉCTRICO, TERMINACIONES</v>
      </c>
      <c r="CU534" s="46" cm="1">
        <f t="array" ref="CU534">SUMPRODUCT(--(BF534:CQ534&lt;1))</f>
        <v>38</v>
      </c>
    </row>
    <row r="535" spans="1:99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46181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 s="3" t="str">
        <f>+IF(AVANCE[[#This Row],[% AVANCE]]=100%,"MODULO TERMINADO",IF(AVANCE[[#This Row],[FECHA INICIO REAL]]="","MODULO NO INICIADO","PENDIENTE"))</f>
        <v>MODULO NO INICIADO</v>
      </c>
      <c r="BF535" s="3">
        <f>+IF(AVANCE[[#This Row],[VENTANAS]]=8.10810810810811%,100%,AVANCE[[#This Row],[VENTANAS]])</f>
        <v>0</v>
      </c>
      <c r="BG535" s="3">
        <f>+IF(AVANCE[[#This Row],[PISO]]=N$2,100%,AVANCE[[#This Row],[PISO]])</f>
        <v>0</v>
      </c>
      <c r="BH535" s="3">
        <f>+IF(AVANCE[[#This Row],[TABIQUES]]=O$2,100%,AVANCE[[#This Row],[TABIQUES]])</f>
        <v>0</v>
      </c>
      <c r="BI535" s="3">
        <f>+IF(AVANCE[[#This Row],[MUROS]]=P$2,100%,AVANCE[[#This Row],[MUROS]])</f>
        <v>0</v>
      </c>
      <c r="BJ535" s="3">
        <f>+IF(AVANCE[[#This Row],[CIELO]]=Q$2,100%,AVANCE[[#This Row],[CIELO]])</f>
        <v>0</v>
      </c>
      <c r="BK535" s="3">
        <f>+IF(AVANCE[[#This Row],[BALCÓN]]=R$2,100%,AVANCE[[#This Row],[BALCÓN]])</f>
        <v>0</v>
      </c>
      <c r="BL535" s="3">
        <f>+IF(AVANCE[[#This Row],[RED ALCANTARILLADO]]=U$2,100%,AVANCE[[#This Row],[RED ALCANTARILLADO]])</f>
        <v>0</v>
      </c>
      <c r="BM535" s="3">
        <f>+IF(AVANCE[[#This Row],[RED DE AGUA]]=V$2,100%,AVANCE[[#This Row],[RED DE AGUA]])</f>
        <v>0</v>
      </c>
      <c r="BN535" s="3">
        <f>+IF(AVANCE[[#This Row],[VENTILACIONES]]=W$2,100%,AVANCE[[#This Row],[VENTILACIONES]])</f>
        <v>0</v>
      </c>
      <c r="BO535" s="3">
        <f>+IF(AVANCE[[#This Row],[TINA]]=X$2,100%,AVANCE[[#This Row],[TINA]])</f>
        <v>0</v>
      </c>
      <c r="BP535" s="3">
        <f>+IF(AVANCE[[#This Row],[WC]]=Y$2,100%,AVANCE[[#This Row],[WC]])</f>
        <v>0</v>
      </c>
      <c r="BQ535" s="3">
        <f>+IF(AVANCE[[#This Row],[LAVAMANOS / LAVAPLATOS / LAVADERO]]=Z$2,100%,AVANCE[[#This Row],[LAVAMANOS / LAVAPLATOS / LAVADERO]])</f>
        <v>0</v>
      </c>
      <c r="BR535" s="3">
        <f>+IF(AVANCE[[#This Row],[CANALIZACIÓN]]=AC$2,100%,AVANCE[[#This Row],[CANALIZACIÓN]])</f>
        <v>0</v>
      </c>
      <c r="BS535" s="3">
        <f>+IF(AVANCE[[#This Row],[CABLEADO]]=AD$2,100%,AVANCE[[#This Row],[CABLEADO]])</f>
        <v>0</v>
      </c>
      <c r="BT535" s="3">
        <f>+IF(AVANCE[[#This Row],[ARTEFACTOS]]=AE$2,100%,AVANCE[[#This Row],[ARTEFACTOS]])</f>
        <v>0</v>
      </c>
      <c r="BU535" s="3">
        <f>+IF(AVANCE[[#This Row],[TABLERO]]=AF$2,100%,AVANCE[[#This Row],[TABLERO]])</f>
        <v>0</v>
      </c>
      <c r="BV535" s="3">
        <f>+IF(AVANCE[[#This Row],[CAJA PAU]]=AG$2,100%,AVANCE[[#This Row],[CAJA PAU]])</f>
        <v>0</v>
      </c>
      <c r="BW535" s="3">
        <f>+IF(AVANCE[[#This Row],[INSTALACION VINILICO]]=AJ$2,100%,AVANCE[[#This Row],[INSTALACION VINILICO]])</f>
        <v>0</v>
      </c>
      <c r="BX535" s="3">
        <f>+IF(AVANCE[[#This Row],[OSB CUBIERTA]]=AK$2,100%,AVANCE[[#This Row],[OSB CUBIERTA]])</f>
        <v>0</v>
      </c>
      <c r="BY535" s="3">
        <f>+IF(AVANCE[[#This Row],[BARANDA BALCON]]=AL$2,100%,AVANCE[[#This Row],[BARANDA BALCON]])</f>
        <v>0</v>
      </c>
      <c r="BZ535" s="3">
        <f>+IF(AVANCE[[#This Row],[OSB EXTERIOR]]=AM$2,100%,AVANCE[[#This Row],[OSB EXTERIOR]])</f>
        <v>0</v>
      </c>
      <c r="CA535" s="3">
        <f>+IF(AVANCE[[#This Row],[SMART PANEL]]=AN$2,100%,AVANCE[[#This Row],[SMART PANEL]])</f>
        <v>0</v>
      </c>
      <c r="CB535" s="3">
        <f>+IF(AVANCE[[#This Row],[PINTURA EXTERIOR]]=AO$2,100%,AVANCE[[#This Row],[PINTURA EXTERIOR]])</f>
        <v>0</v>
      </c>
      <c r="CC535" s="3">
        <f>+IF(AVANCE[[#This Row],[ZOCALOS LOGIA]]=AP$2,100%,AVANCE[[#This Row],[ZOCALOS LOGIA]])</f>
        <v>0</v>
      </c>
      <c r="CD535" s="3">
        <f>+IF(AVANCE[[#This Row],[MOLDURAS]]=AQ$2,100%,AVANCE[[#This Row],[MOLDURAS]])</f>
        <v>0</v>
      </c>
      <c r="CE535" s="3">
        <f>+IF(AVANCE[[#This Row],[PILASTREO]]=AR$2,100%,AVANCE[[#This Row],[PILASTREO]])</f>
        <v>0</v>
      </c>
      <c r="CF535" s="3">
        <f>+IF(AVANCE[[#This Row],[CELOSIAS]]=AS$2,100%,AVANCE[[#This Row],[CELOSIAS]])</f>
        <v>0</v>
      </c>
      <c r="CG535" s="3">
        <f>+IF(AVANCE[[#This Row],[VENTANAS]]=AT$2,100%,AVANCE[[#This Row],[VENTANAS]])</f>
        <v>0</v>
      </c>
      <c r="CH535" s="3">
        <f>+IF(AVANCE[[#This Row],[PUERTAS ACCESO - LOGIA - BANO]]=AU$2,100%,AVANCE[[#This Row],[PUERTAS ACCESO - LOGIA - BANO]])</f>
        <v>0</v>
      </c>
      <c r="CI535" s="3">
        <f>+IF(AVANCE[[#This Row],[CERRADURAS]]=AV$2,100%,AVANCE[[#This Row],[CERRADURAS]])</f>
        <v>0</v>
      </c>
      <c r="CJ535" s="3">
        <f>+IF(AVANCE[[#This Row],[REVESTIMIENTO INTERIOR ZONA SECA]]=AW$2,100%,AVANCE[[#This Row],[REVESTIMIENTO INTERIOR ZONA SECA]])</f>
        <v>0</v>
      </c>
      <c r="CK535" s="3">
        <f>+IF(AVANCE[[#This Row],[REVESTIMIENTO INTERIOR ZONAS HUMEDAS]]=AX$2,100%,AVANCE[[#This Row],[REVESTIMIENTO INTERIOR ZONAS HUMEDAS]])</f>
        <v>0</v>
      </c>
      <c r="CL535" s="3">
        <f>+IF(AVANCE[[#This Row],[MEMBRANA CIELO]]=AY$2,100%,AVANCE[[#This Row],[MEMBRANA CIELO]])</f>
        <v>0</v>
      </c>
      <c r="CM535" s="3">
        <f>+IF(AVANCE[[#This Row],[LIMPIEZA FINAL]]=AZ$2,100%,AVANCE[[#This Row],[LIMPIEZA FINAL]])</f>
        <v>0</v>
      </c>
      <c r="CN535" s="3">
        <f>+IF(AVANCE[[#This Row],[PUERTAS DORMITORIO]]=BA$2,100%,AVANCE[[#This Row],[PUERTAS DORMITORIO]])</f>
        <v>0</v>
      </c>
      <c r="CO535" s="3">
        <f>+IF(AVANCE[[#This Row],[REVESTIMIENTO INTERIOR BANO]]=BB$2,100%,AVANCE[[#This Row],[REVESTIMIENTO INTERIOR BANO]])</f>
        <v>0</v>
      </c>
      <c r="CP535" s="3">
        <f>+IF(AVANCE[[#This Row],[MUEBLE LAVAPLATOS]]=BC$2,100%,AVANCE[[#This Row],[MUEBLE LAVAPLATOS]])</f>
        <v>0</v>
      </c>
      <c r="CQ535" s="3">
        <f>+IF(AVANCE[[#This Row],[IMPERMEABILIZACION BANO - COCINA LOGIA]]=BD$2,100%,AVANCE[[#This Row],[IMPERMEABILIZACION BANO - COCINA LOGIA]])</f>
        <v>0</v>
      </c>
      <c r="CR535" s="40">
        <f ca="1">+IF(AVANCE[[#This Row],[ESTADO MODULO]]="PENDIENTE",(TODAY()-AVANCE[[#This Row],[FECHA TERMINO  PLANIFICADO]]),0)</f>
        <v>0</v>
      </c>
      <c r="CS535" s="42" t="str" cm="1">
        <f t="array" ref="CS535">_xlfn.TEXTJOIN(" | ",TRUE,IF(SUMPRODUCT((BF535:CQ535&lt;1)*(PARTIDAS!$I$2:$AT$2="OBRA GRUESA"))&gt;0,"OBRA GRUESA: "&amp;_xlfn.TEXTJOIN(", ",TRUE,IF((BF535:CQ535&lt;1)*(PARTIDAS!$I$2:$AT$2="OBRA GRUESA"),PARTIDAS!$I$1:$AT$1,"")),""),IF(SUMPRODUCT((BF535:CQ535&lt;1)*(PARTIDAS!$I$2:$AT$2="SANITARIOS"))&gt;0,"SANITARIOS: "&amp;_xlfn.TEXTJOIN(", ",TRUE,IF((BF535:CQ535&lt;1)*(PARTIDAS!$I$2:$AT$2="SANITARIOS"),PARTIDAS!$I$1:$AT$1,"")),""),IF(SUMPRODUCT((BF535:CQ535&lt;1)*(PARTIDAS!$I$2:$AT$2="ELÉCTRICO"))&gt;0,"ELÉCTRICO: "&amp;_xlfn.TEXTJOIN(", ",TRUE,IF((BF535:CQ535&lt;1)*(PARTIDAS!$I$2:$AT$2="ELÉCTRICO"),PARTIDAS!$I$1:$AT$1,"")),""),IF(SUMPRODUCT((BF535:CQ535&lt;1)*(PARTIDAS!$I$2:$AT$2="TERMINACIONES"))&gt;0,"TERMINACIONES: "&amp;_xlfn.TEXTJOIN(", ",TRUE,IF((BF535:CQ535&lt;1)*(PARTIDAS!$I$2:$AT$2="TERMINACIONES"),PARTIDAS!$I$1:$AT$1,"")),""))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5" s="45" t="str" cm="1">
        <f t="array" ref="CT535">_xlfn.TEXTJOIN(", ",TRUE,IF(SUMPRODUCT((BF535:CQ535&lt;1)*(PARTIDAS!$I$2:$AT$2="OBRA GRUESA"))&gt;0,"OBRA GRUESA",""),IF(SUMPRODUCT((BF535:CQ535&lt;1)*(PARTIDAS!$I$2:$AT$2="SANITARIOS"))&gt;0,"SANITARIOS",""),IF(SUMPRODUCT((BF535:CQ535&lt;1)*(PARTIDAS!$I$2:$AT$2="ELÉCTRICO"))&gt;0,"ELÉCTRICO",""),IF(SUMPRODUCT((BF535:CQ535&lt;1)*(PARTIDAS!$I$2:$AT$2="TERMINACIONES"))&gt;0,"TERMINACIONES",""))</f>
        <v>OBRA GRUESA, SANITARIOS, ELÉCTRICO, TERMINACIONES</v>
      </c>
      <c r="CU535" s="46" cm="1">
        <f t="array" ref="CU535">SUMPRODUCT(--(BF535:CQ535&lt;1))</f>
        <v>38</v>
      </c>
    </row>
    <row r="536" spans="1:99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46181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 s="3" t="str">
        <f>+IF(AVANCE[[#This Row],[% AVANCE]]=100%,"MODULO TERMINADO",IF(AVANCE[[#This Row],[FECHA INICIO REAL]]="","MODULO NO INICIADO","PENDIENTE"))</f>
        <v>MODULO NO INICIADO</v>
      </c>
      <c r="BF536" s="3">
        <f>+IF(AVANCE[[#This Row],[VENTANAS]]=8.10810810810811%,100%,AVANCE[[#This Row],[VENTANAS]])</f>
        <v>0</v>
      </c>
      <c r="BG536" s="3">
        <f>+IF(AVANCE[[#This Row],[PISO]]=N$2,100%,AVANCE[[#This Row],[PISO]])</f>
        <v>0</v>
      </c>
      <c r="BH536" s="3">
        <f>+IF(AVANCE[[#This Row],[TABIQUES]]=O$2,100%,AVANCE[[#This Row],[TABIQUES]])</f>
        <v>0</v>
      </c>
      <c r="BI536" s="3">
        <f>+IF(AVANCE[[#This Row],[MUROS]]=P$2,100%,AVANCE[[#This Row],[MUROS]])</f>
        <v>0</v>
      </c>
      <c r="BJ536" s="3">
        <f>+IF(AVANCE[[#This Row],[CIELO]]=Q$2,100%,AVANCE[[#This Row],[CIELO]])</f>
        <v>0</v>
      </c>
      <c r="BK536" s="3">
        <f>+IF(AVANCE[[#This Row],[BALCÓN]]=R$2,100%,AVANCE[[#This Row],[BALCÓN]])</f>
        <v>0</v>
      </c>
      <c r="BL536" s="3">
        <f>+IF(AVANCE[[#This Row],[RED ALCANTARILLADO]]=U$2,100%,AVANCE[[#This Row],[RED ALCANTARILLADO]])</f>
        <v>0</v>
      </c>
      <c r="BM536" s="3">
        <f>+IF(AVANCE[[#This Row],[RED DE AGUA]]=V$2,100%,AVANCE[[#This Row],[RED DE AGUA]])</f>
        <v>0</v>
      </c>
      <c r="BN536" s="3">
        <f>+IF(AVANCE[[#This Row],[VENTILACIONES]]=W$2,100%,AVANCE[[#This Row],[VENTILACIONES]])</f>
        <v>0</v>
      </c>
      <c r="BO536" s="3">
        <f>+IF(AVANCE[[#This Row],[TINA]]=X$2,100%,AVANCE[[#This Row],[TINA]])</f>
        <v>0</v>
      </c>
      <c r="BP536" s="3">
        <f>+IF(AVANCE[[#This Row],[WC]]=Y$2,100%,AVANCE[[#This Row],[WC]])</f>
        <v>0</v>
      </c>
      <c r="BQ536" s="3">
        <f>+IF(AVANCE[[#This Row],[LAVAMANOS / LAVAPLATOS / LAVADERO]]=Z$2,100%,AVANCE[[#This Row],[LAVAMANOS / LAVAPLATOS / LAVADERO]])</f>
        <v>0</v>
      </c>
      <c r="BR536" s="3">
        <f>+IF(AVANCE[[#This Row],[CANALIZACIÓN]]=AC$2,100%,AVANCE[[#This Row],[CANALIZACIÓN]])</f>
        <v>0</v>
      </c>
      <c r="BS536" s="3">
        <f>+IF(AVANCE[[#This Row],[CABLEADO]]=AD$2,100%,AVANCE[[#This Row],[CABLEADO]])</f>
        <v>0</v>
      </c>
      <c r="BT536" s="3">
        <f>+IF(AVANCE[[#This Row],[ARTEFACTOS]]=AE$2,100%,AVANCE[[#This Row],[ARTEFACTOS]])</f>
        <v>0</v>
      </c>
      <c r="BU536" s="3">
        <f>+IF(AVANCE[[#This Row],[TABLERO]]=AF$2,100%,AVANCE[[#This Row],[TABLERO]])</f>
        <v>0</v>
      </c>
      <c r="BV536" s="3">
        <f>+IF(AVANCE[[#This Row],[CAJA PAU]]=AG$2,100%,AVANCE[[#This Row],[CAJA PAU]])</f>
        <v>0</v>
      </c>
      <c r="BW536" s="3">
        <f>+IF(AVANCE[[#This Row],[INSTALACION VINILICO]]=AJ$2,100%,AVANCE[[#This Row],[INSTALACION VINILICO]])</f>
        <v>0</v>
      </c>
      <c r="BX536" s="3">
        <f>+IF(AVANCE[[#This Row],[OSB CUBIERTA]]=AK$2,100%,AVANCE[[#This Row],[OSB CUBIERTA]])</f>
        <v>0</v>
      </c>
      <c r="BY536" s="3">
        <f>+IF(AVANCE[[#This Row],[BARANDA BALCON]]=AL$2,100%,AVANCE[[#This Row],[BARANDA BALCON]])</f>
        <v>0</v>
      </c>
      <c r="BZ536" s="3">
        <f>+IF(AVANCE[[#This Row],[OSB EXTERIOR]]=AM$2,100%,AVANCE[[#This Row],[OSB EXTERIOR]])</f>
        <v>0</v>
      </c>
      <c r="CA536" s="3">
        <f>+IF(AVANCE[[#This Row],[SMART PANEL]]=AN$2,100%,AVANCE[[#This Row],[SMART PANEL]])</f>
        <v>0</v>
      </c>
      <c r="CB536" s="3">
        <f>+IF(AVANCE[[#This Row],[PINTURA EXTERIOR]]=AO$2,100%,AVANCE[[#This Row],[PINTURA EXTERIOR]])</f>
        <v>0</v>
      </c>
      <c r="CC536" s="3">
        <f>+IF(AVANCE[[#This Row],[ZOCALOS LOGIA]]=AP$2,100%,AVANCE[[#This Row],[ZOCALOS LOGIA]])</f>
        <v>0</v>
      </c>
      <c r="CD536" s="3">
        <f>+IF(AVANCE[[#This Row],[MOLDURAS]]=AQ$2,100%,AVANCE[[#This Row],[MOLDURAS]])</f>
        <v>0</v>
      </c>
      <c r="CE536" s="3">
        <f>+IF(AVANCE[[#This Row],[PILASTREO]]=AR$2,100%,AVANCE[[#This Row],[PILASTREO]])</f>
        <v>0</v>
      </c>
      <c r="CF536" s="3">
        <f>+IF(AVANCE[[#This Row],[CELOSIAS]]=AS$2,100%,AVANCE[[#This Row],[CELOSIAS]])</f>
        <v>0</v>
      </c>
      <c r="CG536" s="3">
        <f>+IF(AVANCE[[#This Row],[VENTANAS]]=AT$2,100%,AVANCE[[#This Row],[VENTANAS]])</f>
        <v>0</v>
      </c>
      <c r="CH536" s="3">
        <f>+IF(AVANCE[[#This Row],[PUERTAS ACCESO - LOGIA - BANO]]=AU$2,100%,AVANCE[[#This Row],[PUERTAS ACCESO - LOGIA - BANO]])</f>
        <v>0</v>
      </c>
      <c r="CI536" s="3">
        <f>+IF(AVANCE[[#This Row],[CERRADURAS]]=AV$2,100%,AVANCE[[#This Row],[CERRADURAS]])</f>
        <v>0</v>
      </c>
      <c r="CJ536" s="3">
        <f>+IF(AVANCE[[#This Row],[REVESTIMIENTO INTERIOR ZONA SECA]]=AW$2,100%,AVANCE[[#This Row],[REVESTIMIENTO INTERIOR ZONA SECA]])</f>
        <v>0</v>
      </c>
      <c r="CK536" s="3">
        <f>+IF(AVANCE[[#This Row],[REVESTIMIENTO INTERIOR ZONAS HUMEDAS]]=AX$2,100%,AVANCE[[#This Row],[REVESTIMIENTO INTERIOR ZONAS HUMEDAS]])</f>
        <v>0</v>
      </c>
      <c r="CL536" s="3">
        <f>+IF(AVANCE[[#This Row],[MEMBRANA CIELO]]=AY$2,100%,AVANCE[[#This Row],[MEMBRANA CIELO]])</f>
        <v>0</v>
      </c>
      <c r="CM536" s="3">
        <f>+IF(AVANCE[[#This Row],[LIMPIEZA FINAL]]=AZ$2,100%,AVANCE[[#This Row],[LIMPIEZA FINAL]])</f>
        <v>0</v>
      </c>
      <c r="CN536" s="3">
        <f>+IF(AVANCE[[#This Row],[PUERTAS DORMITORIO]]=BA$2,100%,AVANCE[[#This Row],[PUERTAS DORMITORIO]])</f>
        <v>0</v>
      </c>
      <c r="CO536" s="3">
        <f>+IF(AVANCE[[#This Row],[REVESTIMIENTO INTERIOR BANO]]=BB$2,100%,AVANCE[[#This Row],[REVESTIMIENTO INTERIOR BANO]])</f>
        <v>0</v>
      </c>
      <c r="CP536" s="3">
        <f>+IF(AVANCE[[#This Row],[MUEBLE LAVAPLATOS]]=BC$2,100%,AVANCE[[#This Row],[MUEBLE LAVAPLATOS]])</f>
        <v>0</v>
      </c>
      <c r="CQ536" s="3">
        <f>+IF(AVANCE[[#This Row],[IMPERMEABILIZACION BANO - COCINA LOGIA]]=BD$2,100%,AVANCE[[#This Row],[IMPERMEABILIZACION BANO - COCINA LOGIA]])</f>
        <v>0</v>
      </c>
      <c r="CR536" s="40">
        <f ca="1">+IF(AVANCE[[#This Row],[ESTADO MODULO]]="PENDIENTE",(TODAY()-AVANCE[[#This Row],[FECHA TERMINO  PLANIFICADO]]),0)</f>
        <v>0</v>
      </c>
      <c r="CS536" s="42" t="str" cm="1">
        <f t="array" ref="CS536">_xlfn.TEXTJOIN(" | ",TRUE,IF(SUMPRODUCT((BF536:CQ536&lt;1)*(PARTIDAS!$I$2:$AT$2="OBRA GRUESA"))&gt;0,"OBRA GRUESA: "&amp;_xlfn.TEXTJOIN(", ",TRUE,IF((BF536:CQ536&lt;1)*(PARTIDAS!$I$2:$AT$2="OBRA GRUESA"),PARTIDAS!$I$1:$AT$1,"")),""),IF(SUMPRODUCT((BF536:CQ536&lt;1)*(PARTIDAS!$I$2:$AT$2="SANITARIOS"))&gt;0,"SANITARIOS: "&amp;_xlfn.TEXTJOIN(", ",TRUE,IF((BF536:CQ536&lt;1)*(PARTIDAS!$I$2:$AT$2="SANITARIOS"),PARTIDAS!$I$1:$AT$1,"")),""),IF(SUMPRODUCT((BF536:CQ536&lt;1)*(PARTIDAS!$I$2:$AT$2="ELÉCTRICO"))&gt;0,"ELÉCTRICO: "&amp;_xlfn.TEXTJOIN(", ",TRUE,IF((BF536:CQ536&lt;1)*(PARTIDAS!$I$2:$AT$2="ELÉCTRICO"),PARTIDAS!$I$1:$AT$1,"")),""),IF(SUMPRODUCT((BF536:CQ536&lt;1)*(PARTIDAS!$I$2:$AT$2="TERMINACIONES"))&gt;0,"TERMINACIONES: "&amp;_xlfn.TEXTJOIN(", ",TRUE,IF((BF536:CQ536&lt;1)*(PARTIDAS!$I$2:$AT$2="TERMINACIONES"),PARTIDAS!$I$1:$AT$1,"")),""))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6" s="45" t="str" cm="1">
        <f t="array" ref="CT536">_xlfn.TEXTJOIN(", ",TRUE,IF(SUMPRODUCT((BF536:CQ536&lt;1)*(PARTIDAS!$I$2:$AT$2="OBRA GRUESA"))&gt;0,"OBRA GRUESA",""),IF(SUMPRODUCT((BF536:CQ536&lt;1)*(PARTIDAS!$I$2:$AT$2="SANITARIOS"))&gt;0,"SANITARIOS",""),IF(SUMPRODUCT((BF536:CQ536&lt;1)*(PARTIDAS!$I$2:$AT$2="ELÉCTRICO"))&gt;0,"ELÉCTRICO",""),IF(SUMPRODUCT((BF536:CQ536&lt;1)*(PARTIDAS!$I$2:$AT$2="TERMINACIONES"))&gt;0,"TERMINACIONES",""))</f>
        <v>OBRA GRUESA, SANITARIOS, ELÉCTRICO, TERMINACIONES</v>
      </c>
      <c r="CU536" s="46" cm="1">
        <f t="array" ref="CU536">SUMPRODUCT(--(BF536:CQ536&lt;1))</f>
        <v>38</v>
      </c>
    </row>
    <row r="537" spans="1:99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46181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 s="3" t="str">
        <f>+IF(AVANCE[[#This Row],[% AVANCE]]=100%,"MODULO TERMINADO",IF(AVANCE[[#This Row],[FECHA INICIO REAL]]="","MODULO NO INICIADO","PENDIENTE"))</f>
        <v>MODULO NO INICIADO</v>
      </c>
      <c r="BF537" s="3">
        <f>+IF(AVANCE[[#This Row],[VENTANAS]]=8.10810810810811%,100%,AVANCE[[#This Row],[VENTANAS]])</f>
        <v>0</v>
      </c>
      <c r="BG537" s="3">
        <f>+IF(AVANCE[[#This Row],[PISO]]=N$2,100%,AVANCE[[#This Row],[PISO]])</f>
        <v>0</v>
      </c>
      <c r="BH537" s="3">
        <f>+IF(AVANCE[[#This Row],[TABIQUES]]=O$2,100%,AVANCE[[#This Row],[TABIQUES]])</f>
        <v>0</v>
      </c>
      <c r="BI537" s="3">
        <f>+IF(AVANCE[[#This Row],[MUROS]]=P$2,100%,AVANCE[[#This Row],[MUROS]])</f>
        <v>0</v>
      </c>
      <c r="BJ537" s="3">
        <f>+IF(AVANCE[[#This Row],[CIELO]]=Q$2,100%,AVANCE[[#This Row],[CIELO]])</f>
        <v>0</v>
      </c>
      <c r="BK537" s="3">
        <f>+IF(AVANCE[[#This Row],[BALCÓN]]=R$2,100%,AVANCE[[#This Row],[BALCÓN]])</f>
        <v>0</v>
      </c>
      <c r="BL537" s="3">
        <f>+IF(AVANCE[[#This Row],[RED ALCANTARILLADO]]=U$2,100%,AVANCE[[#This Row],[RED ALCANTARILLADO]])</f>
        <v>0</v>
      </c>
      <c r="BM537" s="3">
        <f>+IF(AVANCE[[#This Row],[RED DE AGUA]]=V$2,100%,AVANCE[[#This Row],[RED DE AGUA]])</f>
        <v>0</v>
      </c>
      <c r="BN537" s="3">
        <f>+IF(AVANCE[[#This Row],[VENTILACIONES]]=W$2,100%,AVANCE[[#This Row],[VENTILACIONES]])</f>
        <v>0</v>
      </c>
      <c r="BO537" s="3">
        <f>+IF(AVANCE[[#This Row],[TINA]]=X$2,100%,AVANCE[[#This Row],[TINA]])</f>
        <v>0</v>
      </c>
      <c r="BP537" s="3">
        <f>+IF(AVANCE[[#This Row],[WC]]=Y$2,100%,AVANCE[[#This Row],[WC]])</f>
        <v>0</v>
      </c>
      <c r="BQ537" s="3">
        <f>+IF(AVANCE[[#This Row],[LAVAMANOS / LAVAPLATOS / LAVADERO]]=Z$2,100%,AVANCE[[#This Row],[LAVAMANOS / LAVAPLATOS / LAVADERO]])</f>
        <v>0</v>
      </c>
      <c r="BR537" s="3">
        <f>+IF(AVANCE[[#This Row],[CANALIZACIÓN]]=AC$2,100%,AVANCE[[#This Row],[CANALIZACIÓN]])</f>
        <v>0</v>
      </c>
      <c r="BS537" s="3">
        <f>+IF(AVANCE[[#This Row],[CABLEADO]]=AD$2,100%,AVANCE[[#This Row],[CABLEADO]])</f>
        <v>0</v>
      </c>
      <c r="BT537" s="3">
        <f>+IF(AVANCE[[#This Row],[ARTEFACTOS]]=AE$2,100%,AVANCE[[#This Row],[ARTEFACTOS]])</f>
        <v>0</v>
      </c>
      <c r="BU537" s="3">
        <f>+IF(AVANCE[[#This Row],[TABLERO]]=AF$2,100%,AVANCE[[#This Row],[TABLERO]])</f>
        <v>0</v>
      </c>
      <c r="BV537" s="3">
        <f>+IF(AVANCE[[#This Row],[CAJA PAU]]=AG$2,100%,AVANCE[[#This Row],[CAJA PAU]])</f>
        <v>0</v>
      </c>
      <c r="BW537" s="3">
        <f>+IF(AVANCE[[#This Row],[INSTALACION VINILICO]]=AJ$2,100%,AVANCE[[#This Row],[INSTALACION VINILICO]])</f>
        <v>0</v>
      </c>
      <c r="BX537" s="3">
        <f>+IF(AVANCE[[#This Row],[OSB CUBIERTA]]=AK$2,100%,AVANCE[[#This Row],[OSB CUBIERTA]])</f>
        <v>0</v>
      </c>
      <c r="BY537" s="3">
        <f>+IF(AVANCE[[#This Row],[BARANDA BALCON]]=AL$2,100%,AVANCE[[#This Row],[BARANDA BALCON]])</f>
        <v>0</v>
      </c>
      <c r="BZ537" s="3">
        <f>+IF(AVANCE[[#This Row],[OSB EXTERIOR]]=AM$2,100%,AVANCE[[#This Row],[OSB EXTERIOR]])</f>
        <v>0</v>
      </c>
      <c r="CA537" s="3">
        <f>+IF(AVANCE[[#This Row],[SMART PANEL]]=AN$2,100%,AVANCE[[#This Row],[SMART PANEL]])</f>
        <v>0</v>
      </c>
      <c r="CB537" s="3">
        <f>+IF(AVANCE[[#This Row],[PINTURA EXTERIOR]]=AO$2,100%,AVANCE[[#This Row],[PINTURA EXTERIOR]])</f>
        <v>0</v>
      </c>
      <c r="CC537" s="3">
        <f>+IF(AVANCE[[#This Row],[ZOCALOS LOGIA]]=AP$2,100%,AVANCE[[#This Row],[ZOCALOS LOGIA]])</f>
        <v>0</v>
      </c>
      <c r="CD537" s="3">
        <f>+IF(AVANCE[[#This Row],[MOLDURAS]]=AQ$2,100%,AVANCE[[#This Row],[MOLDURAS]])</f>
        <v>0</v>
      </c>
      <c r="CE537" s="3">
        <f>+IF(AVANCE[[#This Row],[PILASTREO]]=AR$2,100%,AVANCE[[#This Row],[PILASTREO]])</f>
        <v>0</v>
      </c>
      <c r="CF537" s="3">
        <f>+IF(AVANCE[[#This Row],[CELOSIAS]]=AS$2,100%,AVANCE[[#This Row],[CELOSIAS]])</f>
        <v>0</v>
      </c>
      <c r="CG537" s="3">
        <f>+IF(AVANCE[[#This Row],[VENTANAS]]=AT$2,100%,AVANCE[[#This Row],[VENTANAS]])</f>
        <v>0</v>
      </c>
      <c r="CH537" s="3">
        <f>+IF(AVANCE[[#This Row],[PUERTAS ACCESO - LOGIA - BANO]]=AU$2,100%,AVANCE[[#This Row],[PUERTAS ACCESO - LOGIA - BANO]])</f>
        <v>0</v>
      </c>
      <c r="CI537" s="3">
        <f>+IF(AVANCE[[#This Row],[CERRADURAS]]=AV$2,100%,AVANCE[[#This Row],[CERRADURAS]])</f>
        <v>0</v>
      </c>
      <c r="CJ537" s="3">
        <f>+IF(AVANCE[[#This Row],[REVESTIMIENTO INTERIOR ZONA SECA]]=AW$2,100%,AVANCE[[#This Row],[REVESTIMIENTO INTERIOR ZONA SECA]])</f>
        <v>0</v>
      </c>
      <c r="CK537" s="3">
        <f>+IF(AVANCE[[#This Row],[REVESTIMIENTO INTERIOR ZONAS HUMEDAS]]=AX$2,100%,AVANCE[[#This Row],[REVESTIMIENTO INTERIOR ZONAS HUMEDAS]])</f>
        <v>0</v>
      </c>
      <c r="CL537" s="3">
        <f>+IF(AVANCE[[#This Row],[MEMBRANA CIELO]]=AY$2,100%,AVANCE[[#This Row],[MEMBRANA CIELO]])</f>
        <v>0</v>
      </c>
      <c r="CM537" s="3">
        <f>+IF(AVANCE[[#This Row],[LIMPIEZA FINAL]]=AZ$2,100%,AVANCE[[#This Row],[LIMPIEZA FINAL]])</f>
        <v>0</v>
      </c>
      <c r="CN537" s="3">
        <f>+IF(AVANCE[[#This Row],[PUERTAS DORMITORIO]]=BA$2,100%,AVANCE[[#This Row],[PUERTAS DORMITORIO]])</f>
        <v>0</v>
      </c>
      <c r="CO537" s="3">
        <f>+IF(AVANCE[[#This Row],[REVESTIMIENTO INTERIOR BANO]]=BB$2,100%,AVANCE[[#This Row],[REVESTIMIENTO INTERIOR BANO]])</f>
        <v>0</v>
      </c>
      <c r="CP537" s="3">
        <f>+IF(AVANCE[[#This Row],[MUEBLE LAVAPLATOS]]=BC$2,100%,AVANCE[[#This Row],[MUEBLE LAVAPLATOS]])</f>
        <v>0</v>
      </c>
      <c r="CQ537" s="3">
        <f>+IF(AVANCE[[#This Row],[IMPERMEABILIZACION BANO - COCINA LOGIA]]=BD$2,100%,AVANCE[[#This Row],[IMPERMEABILIZACION BANO - COCINA LOGIA]])</f>
        <v>0</v>
      </c>
      <c r="CR537" s="40">
        <f ca="1">+IF(AVANCE[[#This Row],[ESTADO MODULO]]="PENDIENTE",(TODAY()-AVANCE[[#This Row],[FECHA TERMINO  PLANIFICADO]]),0)</f>
        <v>0</v>
      </c>
      <c r="CS537" s="42" t="str" cm="1">
        <f t="array" ref="CS537">_xlfn.TEXTJOIN(" | ",TRUE,IF(SUMPRODUCT((BF537:CQ537&lt;1)*(PARTIDAS!$I$2:$AT$2="OBRA GRUESA"))&gt;0,"OBRA GRUESA: "&amp;_xlfn.TEXTJOIN(", ",TRUE,IF((BF537:CQ537&lt;1)*(PARTIDAS!$I$2:$AT$2="OBRA GRUESA"),PARTIDAS!$I$1:$AT$1,"")),""),IF(SUMPRODUCT((BF537:CQ537&lt;1)*(PARTIDAS!$I$2:$AT$2="SANITARIOS"))&gt;0,"SANITARIOS: "&amp;_xlfn.TEXTJOIN(", ",TRUE,IF((BF537:CQ537&lt;1)*(PARTIDAS!$I$2:$AT$2="SANITARIOS"),PARTIDAS!$I$1:$AT$1,"")),""),IF(SUMPRODUCT((BF537:CQ537&lt;1)*(PARTIDAS!$I$2:$AT$2="ELÉCTRICO"))&gt;0,"ELÉCTRICO: "&amp;_xlfn.TEXTJOIN(", ",TRUE,IF((BF537:CQ537&lt;1)*(PARTIDAS!$I$2:$AT$2="ELÉCTRICO"),PARTIDAS!$I$1:$AT$1,"")),""),IF(SUMPRODUCT((BF537:CQ537&lt;1)*(PARTIDAS!$I$2:$AT$2="TERMINACIONES"))&gt;0,"TERMINACIONES: "&amp;_xlfn.TEXTJOIN(", ",TRUE,IF((BF537:CQ537&lt;1)*(PARTIDAS!$I$2:$AT$2="TERMINACIONES"),PARTIDAS!$I$1:$AT$1,"")),""))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7" s="45" t="str" cm="1">
        <f t="array" ref="CT537">_xlfn.TEXTJOIN(", ",TRUE,IF(SUMPRODUCT((BF537:CQ537&lt;1)*(PARTIDAS!$I$2:$AT$2="OBRA GRUESA"))&gt;0,"OBRA GRUESA",""),IF(SUMPRODUCT((BF537:CQ537&lt;1)*(PARTIDAS!$I$2:$AT$2="SANITARIOS"))&gt;0,"SANITARIOS",""),IF(SUMPRODUCT((BF537:CQ537&lt;1)*(PARTIDAS!$I$2:$AT$2="ELÉCTRICO"))&gt;0,"ELÉCTRICO",""),IF(SUMPRODUCT((BF537:CQ537&lt;1)*(PARTIDAS!$I$2:$AT$2="TERMINACIONES"))&gt;0,"TERMINACIONES",""))</f>
        <v>OBRA GRUESA, SANITARIOS, ELÉCTRICO, TERMINACIONES</v>
      </c>
      <c r="CU537" s="46" cm="1">
        <f t="array" ref="CU537">SUMPRODUCT(--(BF537:CQ537&lt;1))</f>
        <v>38</v>
      </c>
    </row>
    <row r="538" spans="1:99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46181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 s="3" t="str">
        <f>+IF(AVANCE[[#This Row],[% AVANCE]]=100%,"MODULO TERMINADO",IF(AVANCE[[#This Row],[FECHA INICIO REAL]]="","MODULO NO INICIADO","PENDIENTE"))</f>
        <v>MODULO NO INICIADO</v>
      </c>
      <c r="BF538" s="3">
        <f>+IF(AVANCE[[#This Row],[VENTANAS]]=8.10810810810811%,100%,AVANCE[[#This Row],[VENTANAS]])</f>
        <v>0</v>
      </c>
      <c r="BG538" s="3">
        <f>+IF(AVANCE[[#This Row],[PISO]]=N$2,100%,AVANCE[[#This Row],[PISO]])</f>
        <v>0</v>
      </c>
      <c r="BH538" s="3">
        <f>+IF(AVANCE[[#This Row],[TABIQUES]]=O$2,100%,AVANCE[[#This Row],[TABIQUES]])</f>
        <v>0</v>
      </c>
      <c r="BI538" s="3">
        <f>+IF(AVANCE[[#This Row],[MUROS]]=P$2,100%,AVANCE[[#This Row],[MUROS]])</f>
        <v>0</v>
      </c>
      <c r="BJ538" s="3">
        <f>+IF(AVANCE[[#This Row],[CIELO]]=Q$2,100%,AVANCE[[#This Row],[CIELO]])</f>
        <v>0</v>
      </c>
      <c r="BK538" s="3">
        <f>+IF(AVANCE[[#This Row],[BALCÓN]]=R$2,100%,AVANCE[[#This Row],[BALCÓN]])</f>
        <v>0</v>
      </c>
      <c r="BL538" s="3">
        <f>+IF(AVANCE[[#This Row],[RED ALCANTARILLADO]]=U$2,100%,AVANCE[[#This Row],[RED ALCANTARILLADO]])</f>
        <v>0</v>
      </c>
      <c r="BM538" s="3">
        <f>+IF(AVANCE[[#This Row],[RED DE AGUA]]=V$2,100%,AVANCE[[#This Row],[RED DE AGUA]])</f>
        <v>0</v>
      </c>
      <c r="BN538" s="3">
        <f>+IF(AVANCE[[#This Row],[VENTILACIONES]]=W$2,100%,AVANCE[[#This Row],[VENTILACIONES]])</f>
        <v>0</v>
      </c>
      <c r="BO538" s="3">
        <f>+IF(AVANCE[[#This Row],[TINA]]=X$2,100%,AVANCE[[#This Row],[TINA]])</f>
        <v>0</v>
      </c>
      <c r="BP538" s="3">
        <f>+IF(AVANCE[[#This Row],[WC]]=Y$2,100%,AVANCE[[#This Row],[WC]])</f>
        <v>0</v>
      </c>
      <c r="BQ538" s="3">
        <f>+IF(AVANCE[[#This Row],[LAVAMANOS / LAVAPLATOS / LAVADERO]]=Z$2,100%,AVANCE[[#This Row],[LAVAMANOS / LAVAPLATOS / LAVADERO]])</f>
        <v>0</v>
      </c>
      <c r="BR538" s="3">
        <f>+IF(AVANCE[[#This Row],[CANALIZACIÓN]]=AC$2,100%,AVANCE[[#This Row],[CANALIZACIÓN]])</f>
        <v>0</v>
      </c>
      <c r="BS538" s="3">
        <f>+IF(AVANCE[[#This Row],[CABLEADO]]=AD$2,100%,AVANCE[[#This Row],[CABLEADO]])</f>
        <v>0</v>
      </c>
      <c r="BT538" s="3">
        <f>+IF(AVANCE[[#This Row],[ARTEFACTOS]]=AE$2,100%,AVANCE[[#This Row],[ARTEFACTOS]])</f>
        <v>0</v>
      </c>
      <c r="BU538" s="3">
        <f>+IF(AVANCE[[#This Row],[TABLERO]]=AF$2,100%,AVANCE[[#This Row],[TABLERO]])</f>
        <v>0</v>
      </c>
      <c r="BV538" s="3">
        <f>+IF(AVANCE[[#This Row],[CAJA PAU]]=AG$2,100%,AVANCE[[#This Row],[CAJA PAU]])</f>
        <v>0</v>
      </c>
      <c r="BW538" s="3">
        <f>+IF(AVANCE[[#This Row],[INSTALACION VINILICO]]=AJ$2,100%,AVANCE[[#This Row],[INSTALACION VINILICO]])</f>
        <v>0</v>
      </c>
      <c r="BX538" s="3">
        <f>+IF(AVANCE[[#This Row],[OSB CUBIERTA]]=AK$2,100%,AVANCE[[#This Row],[OSB CUBIERTA]])</f>
        <v>0</v>
      </c>
      <c r="BY538" s="3">
        <f>+IF(AVANCE[[#This Row],[BARANDA BALCON]]=AL$2,100%,AVANCE[[#This Row],[BARANDA BALCON]])</f>
        <v>0</v>
      </c>
      <c r="BZ538" s="3">
        <f>+IF(AVANCE[[#This Row],[OSB EXTERIOR]]=AM$2,100%,AVANCE[[#This Row],[OSB EXTERIOR]])</f>
        <v>0</v>
      </c>
      <c r="CA538" s="3">
        <f>+IF(AVANCE[[#This Row],[SMART PANEL]]=AN$2,100%,AVANCE[[#This Row],[SMART PANEL]])</f>
        <v>0</v>
      </c>
      <c r="CB538" s="3">
        <f>+IF(AVANCE[[#This Row],[PINTURA EXTERIOR]]=AO$2,100%,AVANCE[[#This Row],[PINTURA EXTERIOR]])</f>
        <v>0</v>
      </c>
      <c r="CC538" s="3">
        <f>+IF(AVANCE[[#This Row],[ZOCALOS LOGIA]]=AP$2,100%,AVANCE[[#This Row],[ZOCALOS LOGIA]])</f>
        <v>0</v>
      </c>
      <c r="CD538" s="3">
        <f>+IF(AVANCE[[#This Row],[MOLDURAS]]=AQ$2,100%,AVANCE[[#This Row],[MOLDURAS]])</f>
        <v>0</v>
      </c>
      <c r="CE538" s="3">
        <f>+IF(AVANCE[[#This Row],[PILASTREO]]=AR$2,100%,AVANCE[[#This Row],[PILASTREO]])</f>
        <v>0</v>
      </c>
      <c r="CF538" s="3">
        <f>+IF(AVANCE[[#This Row],[CELOSIAS]]=AS$2,100%,AVANCE[[#This Row],[CELOSIAS]])</f>
        <v>0</v>
      </c>
      <c r="CG538" s="3">
        <f>+IF(AVANCE[[#This Row],[VENTANAS]]=AT$2,100%,AVANCE[[#This Row],[VENTANAS]])</f>
        <v>0</v>
      </c>
      <c r="CH538" s="3">
        <f>+IF(AVANCE[[#This Row],[PUERTAS ACCESO - LOGIA - BANO]]=AU$2,100%,AVANCE[[#This Row],[PUERTAS ACCESO - LOGIA - BANO]])</f>
        <v>0</v>
      </c>
      <c r="CI538" s="3">
        <f>+IF(AVANCE[[#This Row],[CERRADURAS]]=AV$2,100%,AVANCE[[#This Row],[CERRADURAS]])</f>
        <v>0</v>
      </c>
      <c r="CJ538" s="3">
        <f>+IF(AVANCE[[#This Row],[REVESTIMIENTO INTERIOR ZONA SECA]]=AW$2,100%,AVANCE[[#This Row],[REVESTIMIENTO INTERIOR ZONA SECA]])</f>
        <v>0</v>
      </c>
      <c r="CK538" s="3">
        <f>+IF(AVANCE[[#This Row],[REVESTIMIENTO INTERIOR ZONAS HUMEDAS]]=AX$2,100%,AVANCE[[#This Row],[REVESTIMIENTO INTERIOR ZONAS HUMEDAS]])</f>
        <v>0</v>
      </c>
      <c r="CL538" s="3">
        <f>+IF(AVANCE[[#This Row],[MEMBRANA CIELO]]=AY$2,100%,AVANCE[[#This Row],[MEMBRANA CIELO]])</f>
        <v>0</v>
      </c>
      <c r="CM538" s="3">
        <f>+IF(AVANCE[[#This Row],[LIMPIEZA FINAL]]=AZ$2,100%,AVANCE[[#This Row],[LIMPIEZA FINAL]])</f>
        <v>0</v>
      </c>
      <c r="CN538" s="3">
        <f>+IF(AVANCE[[#This Row],[PUERTAS DORMITORIO]]=BA$2,100%,AVANCE[[#This Row],[PUERTAS DORMITORIO]])</f>
        <v>0</v>
      </c>
      <c r="CO538" s="3">
        <f>+IF(AVANCE[[#This Row],[REVESTIMIENTO INTERIOR BANO]]=BB$2,100%,AVANCE[[#This Row],[REVESTIMIENTO INTERIOR BANO]])</f>
        <v>0</v>
      </c>
      <c r="CP538" s="3">
        <f>+IF(AVANCE[[#This Row],[MUEBLE LAVAPLATOS]]=BC$2,100%,AVANCE[[#This Row],[MUEBLE LAVAPLATOS]])</f>
        <v>0</v>
      </c>
      <c r="CQ538" s="3">
        <f>+IF(AVANCE[[#This Row],[IMPERMEABILIZACION BANO - COCINA LOGIA]]=BD$2,100%,AVANCE[[#This Row],[IMPERMEABILIZACION BANO - COCINA LOGIA]])</f>
        <v>0</v>
      </c>
      <c r="CR538" s="40">
        <f ca="1">+IF(AVANCE[[#This Row],[ESTADO MODULO]]="PENDIENTE",(TODAY()-AVANCE[[#This Row],[FECHA TERMINO  PLANIFICADO]]),0)</f>
        <v>0</v>
      </c>
      <c r="CS538" s="42" t="str" cm="1">
        <f t="array" ref="CS538">_xlfn.TEXTJOIN(" | ",TRUE,IF(SUMPRODUCT((BF538:CQ538&lt;1)*(PARTIDAS!$I$2:$AT$2="OBRA GRUESA"))&gt;0,"OBRA GRUESA: "&amp;_xlfn.TEXTJOIN(", ",TRUE,IF((BF538:CQ538&lt;1)*(PARTIDAS!$I$2:$AT$2="OBRA GRUESA"),PARTIDAS!$I$1:$AT$1,"")),""),IF(SUMPRODUCT((BF538:CQ538&lt;1)*(PARTIDAS!$I$2:$AT$2="SANITARIOS"))&gt;0,"SANITARIOS: "&amp;_xlfn.TEXTJOIN(", ",TRUE,IF((BF538:CQ538&lt;1)*(PARTIDAS!$I$2:$AT$2="SANITARIOS"),PARTIDAS!$I$1:$AT$1,"")),""),IF(SUMPRODUCT((BF538:CQ538&lt;1)*(PARTIDAS!$I$2:$AT$2="ELÉCTRICO"))&gt;0,"ELÉCTRICO: "&amp;_xlfn.TEXTJOIN(", ",TRUE,IF((BF538:CQ538&lt;1)*(PARTIDAS!$I$2:$AT$2="ELÉCTRICO"),PARTIDAS!$I$1:$AT$1,"")),""),IF(SUMPRODUCT((BF538:CQ538&lt;1)*(PARTIDAS!$I$2:$AT$2="TERMINACIONES"))&gt;0,"TERMINACIONES: "&amp;_xlfn.TEXTJOIN(", ",TRUE,IF((BF538:CQ538&lt;1)*(PARTIDAS!$I$2:$AT$2="TERMINACIONES"),PARTIDAS!$I$1:$AT$1,"")),""))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8" s="45" t="str" cm="1">
        <f t="array" ref="CT538">_xlfn.TEXTJOIN(", ",TRUE,IF(SUMPRODUCT((BF538:CQ538&lt;1)*(PARTIDAS!$I$2:$AT$2="OBRA GRUESA"))&gt;0,"OBRA GRUESA",""),IF(SUMPRODUCT((BF538:CQ538&lt;1)*(PARTIDAS!$I$2:$AT$2="SANITARIOS"))&gt;0,"SANITARIOS",""),IF(SUMPRODUCT((BF538:CQ538&lt;1)*(PARTIDAS!$I$2:$AT$2="ELÉCTRICO"))&gt;0,"ELÉCTRICO",""),IF(SUMPRODUCT((BF538:CQ538&lt;1)*(PARTIDAS!$I$2:$AT$2="TERMINACIONES"))&gt;0,"TERMINACIONES",""))</f>
        <v>OBRA GRUESA, SANITARIOS, ELÉCTRICO, TERMINACIONES</v>
      </c>
      <c r="CU538" s="46" cm="1">
        <f t="array" ref="CU538">SUMPRODUCT(--(BF538:CQ538&lt;1))</f>
        <v>38</v>
      </c>
    </row>
    <row r="539" spans="1:99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46181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 s="3" t="str">
        <f>+IF(AVANCE[[#This Row],[% AVANCE]]=100%,"MODULO TERMINADO",IF(AVANCE[[#This Row],[FECHA INICIO REAL]]="","MODULO NO INICIADO","PENDIENTE"))</f>
        <v>MODULO NO INICIADO</v>
      </c>
      <c r="BF539" s="3">
        <f>+IF(AVANCE[[#This Row],[VENTANAS]]=8.10810810810811%,100%,AVANCE[[#This Row],[VENTANAS]])</f>
        <v>0</v>
      </c>
      <c r="BG539" s="3">
        <f>+IF(AVANCE[[#This Row],[PISO]]=N$2,100%,AVANCE[[#This Row],[PISO]])</f>
        <v>0</v>
      </c>
      <c r="BH539" s="3">
        <f>+IF(AVANCE[[#This Row],[TABIQUES]]=O$2,100%,AVANCE[[#This Row],[TABIQUES]])</f>
        <v>0</v>
      </c>
      <c r="BI539" s="3">
        <f>+IF(AVANCE[[#This Row],[MUROS]]=P$2,100%,AVANCE[[#This Row],[MUROS]])</f>
        <v>0</v>
      </c>
      <c r="BJ539" s="3">
        <f>+IF(AVANCE[[#This Row],[CIELO]]=Q$2,100%,AVANCE[[#This Row],[CIELO]])</f>
        <v>0</v>
      </c>
      <c r="BK539" s="3">
        <f>+IF(AVANCE[[#This Row],[BALCÓN]]=R$2,100%,AVANCE[[#This Row],[BALCÓN]])</f>
        <v>0</v>
      </c>
      <c r="BL539" s="3">
        <f>+IF(AVANCE[[#This Row],[RED ALCANTARILLADO]]=U$2,100%,AVANCE[[#This Row],[RED ALCANTARILLADO]])</f>
        <v>0</v>
      </c>
      <c r="BM539" s="3">
        <f>+IF(AVANCE[[#This Row],[RED DE AGUA]]=V$2,100%,AVANCE[[#This Row],[RED DE AGUA]])</f>
        <v>0</v>
      </c>
      <c r="BN539" s="3">
        <f>+IF(AVANCE[[#This Row],[VENTILACIONES]]=W$2,100%,AVANCE[[#This Row],[VENTILACIONES]])</f>
        <v>0</v>
      </c>
      <c r="BO539" s="3">
        <f>+IF(AVANCE[[#This Row],[TINA]]=X$2,100%,AVANCE[[#This Row],[TINA]])</f>
        <v>0</v>
      </c>
      <c r="BP539" s="3">
        <f>+IF(AVANCE[[#This Row],[WC]]=Y$2,100%,AVANCE[[#This Row],[WC]])</f>
        <v>0</v>
      </c>
      <c r="BQ539" s="3">
        <f>+IF(AVANCE[[#This Row],[LAVAMANOS / LAVAPLATOS / LAVADERO]]=Z$2,100%,AVANCE[[#This Row],[LAVAMANOS / LAVAPLATOS / LAVADERO]])</f>
        <v>0</v>
      </c>
      <c r="BR539" s="3">
        <f>+IF(AVANCE[[#This Row],[CANALIZACIÓN]]=AC$2,100%,AVANCE[[#This Row],[CANALIZACIÓN]])</f>
        <v>0</v>
      </c>
      <c r="BS539" s="3">
        <f>+IF(AVANCE[[#This Row],[CABLEADO]]=AD$2,100%,AVANCE[[#This Row],[CABLEADO]])</f>
        <v>0</v>
      </c>
      <c r="BT539" s="3">
        <f>+IF(AVANCE[[#This Row],[ARTEFACTOS]]=AE$2,100%,AVANCE[[#This Row],[ARTEFACTOS]])</f>
        <v>0</v>
      </c>
      <c r="BU539" s="3">
        <f>+IF(AVANCE[[#This Row],[TABLERO]]=AF$2,100%,AVANCE[[#This Row],[TABLERO]])</f>
        <v>0</v>
      </c>
      <c r="BV539" s="3">
        <f>+IF(AVANCE[[#This Row],[CAJA PAU]]=AG$2,100%,AVANCE[[#This Row],[CAJA PAU]])</f>
        <v>0</v>
      </c>
      <c r="BW539" s="3">
        <f>+IF(AVANCE[[#This Row],[INSTALACION VINILICO]]=AJ$2,100%,AVANCE[[#This Row],[INSTALACION VINILICO]])</f>
        <v>0</v>
      </c>
      <c r="BX539" s="3">
        <f>+IF(AVANCE[[#This Row],[OSB CUBIERTA]]=AK$2,100%,AVANCE[[#This Row],[OSB CUBIERTA]])</f>
        <v>0</v>
      </c>
      <c r="BY539" s="3">
        <f>+IF(AVANCE[[#This Row],[BARANDA BALCON]]=AL$2,100%,AVANCE[[#This Row],[BARANDA BALCON]])</f>
        <v>0</v>
      </c>
      <c r="BZ539" s="3">
        <f>+IF(AVANCE[[#This Row],[OSB EXTERIOR]]=AM$2,100%,AVANCE[[#This Row],[OSB EXTERIOR]])</f>
        <v>0</v>
      </c>
      <c r="CA539" s="3">
        <f>+IF(AVANCE[[#This Row],[SMART PANEL]]=AN$2,100%,AVANCE[[#This Row],[SMART PANEL]])</f>
        <v>0</v>
      </c>
      <c r="CB539" s="3">
        <f>+IF(AVANCE[[#This Row],[PINTURA EXTERIOR]]=AO$2,100%,AVANCE[[#This Row],[PINTURA EXTERIOR]])</f>
        <v>0</v>
      </c>
      <c r="CC539" s="3">
        <f>+IF(AVANCE[[#This Row],[ZOCALOS LOGIA]]=AP$2,100%,AVANCE[[#This Row],[ZOCALOS LOGIA]])</f>
        <v>0</v>
      </c>
      <c r="CD539" s="3">
        <f>+IF(AVANCE[[#This Row],[MOLDURAS]]=AQ$2,100%,AVANCE[[#This Row],[MOLDURAS]])</f>
        <v>0</v>
      </c>
      <c r="CE539" s="3">
        <f>+IF(AVANCE[[#This Row],[PILASTREO]]=AR$2,100%,AVANCE[[#This Row],[PILASTREO]])</f>
        <v>0</v>
      </c>
      <c r="CF539" s="3">
        <f>+IF(AVANCE[[#This Row],[CELOSIAS]]=AS$2,100%,AVANCE[[#This Row],[CELOSIAS]])</f>
        <v>0</v>
      </c>
      <c r="CG539" s="3">
        <f>+IF(AVANCE[[#This Row],[VENTANAS]]=AT$2,100%,AVANCE[[#This Row],[VENTANAS]])</f>
        <v>0</v>
      </c>
      <c r="CH539" s="3">
        <f>+IF(AVANCE[[#This Row],[PUERTAS ACCESO - LOGIA - BANO]]=AU$2,100%,AVANCE[[#This Row],[PUERTAS ACCESO - LOGIA - BANO]])</f>
        <v>0</v>
      </c>
      <c r="CI539" s="3">
        <f>+IF(AVANCE[[#This Row],[CERRADURAS]]=AV$2,100%,AVANCE[[#This Row],[CERRADURAS]])</f>
        <v>0</v>
      </c>
      <c r="CJ539" s="3">
        <f>+IF(AVANCE[[#This Row],[REVESTIMIENTO INTERIOR ZONA SECA]]=AW$2,100%,AVANCE[[#This Row],[REVESTIMIENTO INTERIOR ZONA SECA]])</f>
        <v>0</v>
      </c>
      <c r="CK539" s="3">
        <f>+IF(AVANCE[[#This Row],[REVESTIMIENTO INTERIOR ZONAS HUMEDAS]]=AX$2,100%,AVANCE[[#This Row],[REVESTIMIENTO INTERIOR ZONAS HUMEDAS]])</f>
        <v>0</v>
      </c>
      <c r="CL539" s="3">
        <f>+IF(AVANCE[[#This Row],[MEMBRANA CIELO]]=AY$2,100%,AVANCE[[#This Row],[MEMBRANA CIELO]])</f>
        <v>0</v>
      </c>
      <c r="CM539" s="3">
        <f>+IF(AVANCE[[#This Row],[LIMPIEZA FINAL]]=AZ$2,100%,AVANCE[[#This Row],[LIMPIEZA FINAL]])</f>
        <v>0</v>
      </c>
      <c r="CN539" s="3">
        <f>+IF(AVANCE[[#This Row],[PUERTAS DORMITORIO]]=BA$2,100%,AVANCE[[#This Row],[PUERTAS DORMITORIO]])</f>
        <v>0</v>
      </c>
      <c r="CO539" s="3">
        <f>+IF(AVANCE[[#This Row],[REVESTIMIENTO INTERIOR BANO]]=BB$2,100%,AVANCE[[#This Row],[REVESTIMIENTO INTERIOR BANO]])</f>
        <v>0</v>
      </c>
      <c r="CP539" s="3">
        <f>+IF(AVANCE[[#This Row],[MUEBLE LAVAPLATOS]]=BC$2,100%,AVANCE[[#This Row],[MUEBLE LAVAPLATOS]])</f>
        <v>0</v>
      </c>
      <c r="CQ539" s="3">
        <f>+IF(AVANCE[[#This Row],[IMPERMEABILIZACION BANO - COCINA LOGIA]]=BD$2,100%,AVANCE[[#This Row],[IMPERMEABILIZACION BANO - COCINA LOGIA]])</f>
        <v>0</v>
      </c>
      <c r="CR539" s="40">
        <f ca="1">+IF(AVANCE[[#This Row],[ESTADO MODULO]]="PENDIENTE",(TODAY()-AVANCE[[#This Row],[FECHA TERMINO  PLANIFICADO]]),0)</f>
        <v>0</v>
      </c>
      <c r="CS539" s="42" t="str" cm="1">
        <f t="array" ref="CS539">_xlfn.TEXTJOIN(" | ",TRUE,IF(SUMPRODUCT((BF539:CQ539&lt;1)*(PARTIDAS!$I$2:$AT$2="OBRA GRUESA"))&gt;0,"OBRA GRUESA: "&amp;_xlfn.TEXTJOIN(", ",TRUE,IF((BF539:CQ539&lt;1)*(PARTIDAS!$I$2:$AT$2="OBRA GRUESA"),PARTIDAS!$I$1:$AT$1,"")),""),IF(SUMPRODUCT((BF539:CQ539&lt;1)*(PARTIDAS!$I$2:$AT$2="SANITARIOS"))&gt;0,"SANITARIOS: "&amp;_xlfn.TEXTJOIN(", ",TRUE,IF((BF539:CQ539&lt;1)*(PARTIDAS!$I$2:$AT$2="SANITARIOS"),PARTIDAS!$I$1:$AT$1,"")),""),IF(SUMPRODUCT((BF539:CQ539&lt;1)*(PARTIDAS!$I$2:$AT$2="ELÉCTRICO"))&gt;0,"ELÉCTRICO: "&amp;_xlfn.TEXTJOIN(", ",TRUE,IF((BF539:CQ539&lt;1)*(PARTIDAS!$I$2:$AT$2="ELÉCTRICO"),PARTIDAS!$I$1:$AT$1,"")),""),IF(SUMPRODUCT((BF539:CQ539&lt;1)*(PARTIDAS!$I$2:$AT$2="TERMINACIONES"))&gt;0,"TERMINACIONES: "&amp;_xlfn.TEXTJOIN(", ",TRUE,IF((BF539:CQ539&lt;1)*(PARTIDAS!$I$2:$AT$2="TERMINACIONES"),PARTIDAS!$I$1:$AT$1,"")),""))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39" s="45" t="str" cm="1">
        <f t="array" ref="CT539">_xlfn.TEXTJOIN(", ",TRUE,IF(SUMPRODUCT((BF539:CQ539&lt;1)*(PARTIDAS!$I$2:$AT$2="OBRA GRUESA"))&gt;0,"OBRA GRUESA",""),IF(SUMPRODUCT((BF539:CQ539&lt;1)*(PARTIDAS!$I$2:$AT$2="SANITARIOS"))&gt;0,"SANITARIOS",""),IF(SUMPRODUCT((BF539:CQ539&lt;1)*(PARTIDAS!$I$2:$AT$2="ELÉCTRICO"))&gt;0,"ELÉCTRICO",""),IF(SUMPRODUCT((BF539:CQ539&lt;1)*(PARTIDAS!$I$2:$AT$2="TERMINACIONES"))&gt;0,"TERMINACIONES",""))</f>
        <v>OBRA GRUESA, SANITARIOS, ELÉCTRICO, TERMINACIONES</v>
      </c>
      <c r="CU539" s="46" cm="1">
        <f t="array" ref="CU539">SUMPRODUCT(--(BF539:CQ539&lt;1))</f>
        <v>38</v>
      </c>
    </row>
    <row r="540" spans="1:99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46181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 s="3" t="str">
        <f>+IF(AVANCE[[#This Row],[% AVANCE]]=100%,"MODULO TERMINADO",IF(AVANCE[[#This Row],[FECHA INICIO REAL]]="","MODULO NO INICIADO","PENDIENTE"))</f>
        <v>MODULO NO INICIADO</v>
      </c>
      <c r="BF540" s="3">
        <f>+IF(AVANCE[[#This Row],[VENTANAS]]=8.10810810810811%,100%,AVANCE[[#This Row],[VENTANAS]])</f>
        <v>0</v>
      </c>
      <c r="BG540" s="3">
        <f>+IF(AVANCE[[#This Row],[PISO]]=N$2,100%,AVANCE[[#This Row],[PISO]])</f>
        <v>0</v>
      </c>
      <c r="BH540" s="3">
        <f>+IF(AVANCE[[#This Row],[TABIQUES]]=O$2,100%,AVANCE[[#This Row],[TABIQUES]])</f>
        <v>0</v>
      </c>
      <c r="BI540" s="3">
        <f>+IF(AVANCE[[#This Row],[MUROS]]=P$2,100%,AVANCE[[#This Row],[MUROS]])</f>
        <v>0</v>
      </c>
      <c r="BJ540" s="3">
        <f>+IF(AVANCE[[#This Row],[CIELO]]=Q$2,100%,AVANCE[[#This Row],[CIELO]])</f>
        <v>0</v>
      </c>
      <c r="BK540" s="3">
        <f>+IF(AVANCE[[#This Row],[BALCÓN]]=R$2,100%,AVANCE[[#This Row],[BALCÓN]])</f>
        <v>0</v>
      </c>
      <c r="BL540" s="3">
        <f>+IF(AVANCE[[#This Row],[RED ALCANTARILLADO]]=U$2,100%,AVANCE[[#This Row],[RED ALCANTARILLADO]])</f>
        <v>0</v>
      </c>
      <c r="BM540" s="3">
        <f>+IF(AVANCE[[#This Row],[RED DE AGUA]]=V$2,100%,AVANCE[[#This Row],[RED DE AGUA]])</f>
        <v>0</v>
      </c>
      <c r="BN540" s="3">
        <f>+IF(AVANCE[[#This Row],[VENTILACIONES]]=W$2,100%,AVANCE[[#This Row],[VENTILACIONES]])</f>
        <v>0</v>
      </c>
      <c r="BO540" s="3">
        <f>+IF(AVANCE[[#This Row],[TINA]]=X$2,100%,AVANCE[[#This Row],[TINA]])</f>
        <v>0</v>
      </c>
      <c r="BP540" s="3">
        <f>+IF(AVANCE[[#This Row],[WC]]=Y$2,100%,AVANCE[[#This Row],[WC]])</f>
        <v>0</v>
      </c>
      <c r="BQ540" s="3">
        <f>+IF(AVANCE[[#This Row],[LAVAMANOS / LAVAPLATOS / LAVADERO]]=Z$2,100%,AVANCE[[#This Row],[LAVAMANOS / LAVAPLATOS / LAVADERO]])</f>
        <v>0</v>
      </c>
      <c r="BR540" s="3">
        <f>+IF(AVANCE[[#This Row],[CANALIZACIÓN]]=AC$2,100%,AVANCE[[#This Row],[CANALIZACIÓN]])</f>
        <v>0</v>
      </c>
      <c r="BS540" s="3">
        <f>+IF(AVANCE[[#This Row],[CABLEADO]]=AD$2,100%,AVANCE[[#This Row],[CABLEADO]])</f>
        <v>0</v>
      </c>
      <c r="BT540" s="3">
        <f>+IF(AVANCE[[#This Row],[ARTEFACTOS]]=AE$2,100%,AVANCE[[#This Row],[ARTEFACTOS]])</f>
        <v>0</v>
      </c>
      <c r="BU540" s="3">
        <f>+IF(AVANCE[[#This Row],[TABLERO]]=AF$2,100%,AVANCE[[#This Row],[TABLERO]])</f>
        <v>0</v>
      </c>
      <c r="BV540" s="3">
        <f>+IF(AVANCE[[#This Row],[CAJA PAU]]=AG$2,100%,AVANCE[[#This Row],[CAJA PAU]])</f>
        <v>0</v>
      </c>
      <c r="BW540" s="3">
        <f>+IF(AVANCE[[#This Row],[INSTALACION VINILICO]]=AJ$2,100%,AVANCE[[#This Row],[INSTALACION VINILICO]])</f>
        <v>0</v>
      </c>
      <c r="BX540" s="3">
        <f>+IF(AVANCE[[#This Row],[OSB CUBIERTA]]=AK$2,100%,AVANCE[[#This Row],[OSB CUBIERTA]])</f>
        <v>0</v>
      </c>
      <c r="BY540" s="3">
        <f>+IF(AVANCE[[#This Row],[BARANDA BALCON]]=AL$2,100%,AVANCE[[#This Row],[BARANDA BALCON]])</f>
        <v>0</v>
      </c>
      <c r="BZ540" s="3">
        <f>+IF(AVANCE[[#This Row],[OSB EXTERIOR]]=AM$2,100%,AVANCE[[#This Row],[OSB EXTERIOR]])</f>
        <v>0</v>
      </c>
      <c r="CA540" s="3">
        <f>+IF(AVANCE[[#This Row],[SMART PANEL]]=AN$2,100%,AVANCE[[#This Row],[SMART PANEL]])</f>
        <v>0</v>
      </c>
      <c r="CB540" s="3">
        <f>+IF(AVANCE[[#This Row],[PINTURA EXTERIOR]]=AO$2,100%,AVANCE[[#This Row],[PINTURA EXTERIOR]])</f>
        <v>0</v>
      </c>
      <c r="CC540" s="3">
        <f>+IF(AVANCE[[#This Row],[ZOCALOS LOGIA]]=AP$2,100%,AVANCE[[#This Row],[ZOCALOS LOGIA]])</f>
        <v>0</v>
      </c>
      <c r="CD540" s="3">
        <f>+IF(AVANCE[[#This Row],[MOLDURAS]]=AQ$2,100%,AVANCE[[#This Row],[MOLDURAS]])</f>
        <v>0</v>
      </c>
      <c r="CE540" s="3">
        <f>+IF(AVANCE[[#This Row],[PILASTREO]]=AR$2,100%,AVANCE[[#This Row],[PILASTREO]])</f>
        <v>0</v>
      </c>
      <c r="CF540" s="3">
        <f>+IF(AVANCE[[#This Row],[CELOSIAS]]=AS$2,100%,AVANCE[[#This Row],[CELOSIAS]])</f>
        <v>0</v>
      </c>
      <c r="CG540" s="3">
        <f>+IF(AVANCE[[#This Row],[VENTANAS]]=AT$2,100%,AVANCE[[#This Row],[VENTANAS]])</f>
        <v>0</v>
      </c>
      <c r="CH540" s="3">
        <f>+IF(AVANCE[[#This Row],[PUERTAS ACCESO - LOGIA - BANO]]=AU$2,100%,AVANCE[[#This Row],[PUERTAS ACCESO - LOGIA - BANO]])</f>
        <v>0</v>
      </c>
      <c r="CI540" s="3">
        <f>+IF(AVANCE[[#This Row],[CERRADURAS]]=AV$2,100%,AVANCE[[#This Row],[CERRADURAS]])</f>
        <v>0</v>
      </c>
      <c r="CJ540" s="3">
        <f>+IF(AVANCE[[#This Row],[REVESTIMIENTO INTERIOR ZONA SECA]]=AW$2,100%,AVANCE[[#This Row],[REVESTIMIENTO INTERIOR ZONA SECA]])</f>
        <v>0</v>
      </c>
      <c r="CK540" s="3">
        <f>+IF(AVANCE[[#This Row],[REVESTIMIENTO INTERIOR ZONAS HUMEDAS]]=AX$2,100%,AVANCE[[#This Row],[REVESTIMIENTO INTERIOR ZONAS HUMEDAS]])</f>
        <v>0</v>
      </c>
      <c r="CL540" s="3">
        <f>+IF(AVANCE[[#This Row],[MEMBRANA CIELO]]=AY$2,100%,AVANCE[[#This Row],[MEMBRANA CIELO]])</f>
        <v>0</v>
      </c>
      <c r="CM540" s="3">
        <f>+IF(AVANCE[[#This Row],[LIMPIEZA FINAL]]=AZ$2,100%,AVANCE[[#This Row],[LIMPIEZA FINAL]])</f>
        <v>0</v>
      </c>
      <c r="CN540" s="3">
        <f>+IF(AVANCE[[#This Row],[PUERTAS DORMITORIO]]=BA$2,100%,AVANCE[[#This Row],[PUERTAS DORMITORIO]])</f>
        <v>0</v>
      </c>
      <c r="CO540" s="3">
        <f>+IF(AVANCE[[#This Row],[REVESTIMIENTO INTERIOR BANO]]=BB$2,100%,AVANCE[[#This Row],[REVESTIMIENTO INTERIOR BANO]])</f>
        <v>0</v>
      </c>
      <c r="CP540" s="3">
        <f>+IF(AVANCE[[#This Row],[MUEBLE LAVAPLATOS]]=BC$2,100%,AVANCE[[#This Row],[MUEBLE LAVAPLATOS]])</f>
        <v>0</v>
      </c>
      <c r="CQ540" s="3">
        <f>+IF(AVANCE[[#This Row],[IMPERMEABILIZACION BANO - COCINA LOGIA]]=BD$2,100%,AVANCE[[#This Row],[IMPERMEABILIZACION BANO - COCINA LOGIA]])</f>
        <v>0</v>
      </c>
      <c r="CR540" s="40">
        <f ca="1">+IF(AVANCE[[#This Row],[ESTADO MODULO]]="PENDIENTE",(TODAY()-AVANCE[[#This Row],[FECHA TERMINO  PLANIFICADO]]),0)</f>
        <v>0</v>
      </c>
      <c r="CS540" s="42" t="str" cm="1">
        <f t="array" ref="CS540">_xlfn.TEXTJOIN(" | ",TRUE,IF(SUMPRODUCT((BF540:CQ540&lt;1)*(PARTIDAS!$I$2:$AT$2="OBRA GRUESA"))&gt;0,"OBRA GRUESA: "&amp;_xlfn.TEXTJOIN(", ",TRUE,IF((BF540:CQ540&lt;1)*(PARTIDAS!$I$2:$AT$2="OBRA GRUESA"),PARTIDAS!$I$1:$AT$1,"")),""),IF(SUMPRODUCT((BF540:CQ540&lt;1)*(PARTIDAS!$I$2:$AT$2="SANITARIOS"))&gt;0,"SANITARIOS: "&amp;_xlfn.TEXTJOIN(", ",TRUE,IF((BF540:CQ540&lt;1)*(PARTIDAS!$I$2:$AT$2="SANITARIOS"),PARTIDAS!$I$1:$AT$1,"")),""),IF(SUMPRODUCT((BF540:CQ540&lt;1)*(PARTIDAS!$I$2:$AT$2="ELÉCTRICO"))&gt;0,"ELÉCTRICO: "&amp;_xlfn.TEXTJOIN(", ",TRUE,IF((BF540:CQ540&lt;1)*(PARTIDAS!$I$2:$AT$2="ELÉCTRICO"),PARTIDAS!$I$1:$AT$1,"")),""),IF(SUMPRODUCT((BF540:CQ540&lt;1)*(PARTIDAS!$I$2:$AT$2="TERMINACIONES"))&gt;0,"TERMINACIONES: "&amp;_xlfn.TEXTJOIN(", ",TRUE,IF((BF540:CQ540&lt;1)*(PARTIDAS!$I$2:$AT$2="TERMINACIONES"),PARTIDAS!$I$1:$AT$1,"")),""))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0" s="45" t="str" cm="1">
        <f t="array" ref="CT540">_xlfn.TEXTJOIN(", ",TRUE,IF(SUMPRODUCT((BF540:CQ540&lt;1)*(PARTIDAS!$I$2:$AT$2="OBRA GRUESA"))&gt;0,"OBRA GRUESA",""),IF(SUMPRODUCT((BF540:CQ540&lt;1)*(PARTIDAS!$I$2:$AT$2="SANITARIOS"))&gt;0,"SANITARIOS",""),IF(SUMPRODUCT((BF540:CQ540&lt;1)*(PARTIDAS!$I$2:$AT$2="ELÉCTRICO"))&gt;0,"ELÉCTRICO",""),IF(SUMPRODUCT((BF540:CQ540&lt;1)*(PARTIDAS!$I$2:$AT$2="TERMINACIONES"))&gt;0,"TERMINACIONES",""))</f>
        <v>OBRA GRUESA, SANITARIOS, ELÉCTRICO, TERMINACIONES</v>
      </c>
      <c r="CU540" s="46" cm="1">
        <f t="array" ref="CU540">SUMPRODUCT(--(BF540:CQ540&lt;1))</f>
        <v>38</v>
      </c>
    </row>
    <row r="541" spans="1:99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46181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 s="3" t="str">
        <f>+IF(AVANCE[[#This Row],[% AVANCE]]=100%,"MODULO TERMINADO",IF(AVANCE[[#This Row],[FECHA INICIO REAL]]="","MODULO NO INICIADO","PENDIENTE"))</f>
        <v>MODULO NO INICIADO</v>
      </c>
      <c r="BF541" s="3">
        <f>+IF(AVANCE[[#This Row],[VENTANAS]]=8.10810810810811%,100%,AVANCE[[#This Row],[VENTANAS]])</f>
        <v>0</v>
      </c>
      <c r="BG541" s="3">
        <f>+IF(AVANCE[[#This Row],[PISO]]=N$2,100%,AVANCE[[#This Row],[PISO]])</f>
        <v>0</v>
      </c>
      <c r="BH541" s="3">
        <f>+IF(AVANCE[[#This Row],[TABIQUES]]=O$2,100%,AVANCE[[#This Row],[TABIQUES]])</f>
        <v>0</v>
      </c>
      <c r="BI541" s="3">
        <f>+IF(AVANCE[[#This Row],[MUROS]]=P$2,100%,AVANCE[[#This Row],[MUROS]])</f>
        <v>0</v>
      </c>
      <c r="BJ541" s="3">
        <f>+IF(AVANCE[[#This Row],[CIELO]]=Q$2,100%,AVANCE[[#This Row],[CIELO]])</f>
        <v>0</v>
      </c>
      <c r="BK541" s="3">
        <f>+IF(AVANCE[[#This Row],[BALCÓN]]=R$2,100%,AVANCE[[#This Row],[BALCÓN]])</f>
        <v>0</v>
      </c>
      <c r="BL541" s="3">
        <f>+IF(AVANCE[[#This Row],[RED ALCANTARILLADO]]=U$2,100%,AVANCE[[#This Row],[RED ALCANTARILLADO]])</f>
        <v>0</v>
      </c>
      <c r="BM541" s="3">
        <f>+IF(AVANCE[[#This Row],[RED DE AGUA]]=V$2,100%,AVANCE[[#This Row],[RED DE AGUA]])</f>
        <v>0</v>
      </c>
      <c r="BN541" s="3">
        <f>+IF(AVANCE[[#This Row],[VENTILACIONES]]=W$2,100%,AVANCE[[#This Row],[VENTILACIONES]])</f>
        <v>0</v>
      </c>
      <c r="BO541" s="3">
        <f>+IF(AVANCE[[#This Row],[TINA]]=X$2,100%,AVANCE[[#This Row],[TINA]])</f>
        <v>0</v>
      </c>
      <c r="BP541" s="3">
        <f>+IF(AVANCE[[#This Row],[WC]]=Y$2,100%,AVANCE[[#This Row],[WC]])</f>
        <v>0</v>
      </c>
      <c r="BQ541" s="3">
        <f>+IF(AVANCE[[#This Row],[LAVAMANOS / LAVAPLATOS / LAVADERO]]=Z$2,100%,AVANCE[[#This Row],[LAVAMANOS / LAVAPLATOS / LAVADERO]])</f>
        <v>0</v>
      </c>
      <c r="BR541" s="3">
        <f>+IF(AVANCE[[#This Row],[CANALIZACIÓN]]=AC$2,100%,AVANCE[[#This Row],[CANALIZACIÓN]])</f>
        <v>0</v>
      </c>
      <c r="BS541" s="3">
        <f>+IF(AVANCE[[#This Row],[CABLEADO]]=AD$2,100%,AVANCE[[#This Row],[CABLEADO]])</f>
        <v>0</v>
      </c>
      <c r="BT541" s="3">
        <f>+IF(AVANCE[[#This Row],[ARTEFACTOS]]=AE$2,100%,AVANCE[[#This Row],[ARTEFACTOS]])</f>
        <v>0</v>
      </c>
      <c r="BU541" s="3">
        <f>+IF(AVANCE[[#This Row],[TABLERO]]=AF$2,100%,AVANCE[[#This Row],[TABLERO]])</f>
        <v>0</v>
      </c>
      <c r="BV541" s="3">
        <f>+IF(AVANCE[[#This Row],[CAJA PAU]]=AG$2,100%,AVANCE[[#This Row],[CAJA PAU]])</f>
        <v>0</v>
      </c>
      <c r="BW541" s="3">
        <f>+IF(AVANCE[[#This Row],[INSTALACION VINILICO]]=AJ$2,100%,AVANCE[[#This Row],[INSTALACION VINILICO]])</f>
        <v>0</v>
      </c>
      <c r="BX541" s="3">
        <f>+IF(AVANCE[[#This Row],[OSB CUBIERTA]]=AK$2,100%,AVANCE[[#This Row],[OSB CUBIERTA]])</f>
        <v>0</v>
      </c>
      <c r="BY541" s="3">
        <f>+IF(AVANCE[[#This Row],[BARANDA BALCON]]=AL$2,100%,AVANCE[[#This Row],[BARANDA BALCON]])</f>
        <v>0</v>
      </c>
      <c r="BZ541" s="3">
        <f>+IF(AVANCE[[#This Row],[OSB EXTERIOR]]=AM$2,100%,AVANCE[[#This Row],[OSB EXTERIOR]])</f>
        <v>0</v>
      </c>
      <c r="CA541" s="3">
        <f>+IF(AVANCE[[#This Row],[SMART PANEL]]=AN$2,100%,AVANCE[[#This Row],[SMART PANEL]])</f>
        <v>0</v>
      </c>
      <c r="CB541" s="3">
        <f>+IF(AVANCE[[#This Row],[PINTURA EXTERIOR]]=AO$2,100%,AVANCE[[#This Row],[PINTURA EXTERIOR]])</f>
        <v>0</v>
      </c>
      <c r="CC541" s="3">
        <f>+IF(AVANCE[[#This Row],[ZOCALOS LOGIA]]=AP$2,100%,AVANCE[[#This Row],[ZOCALOS LOGIA]])</f>
        <v>0</v>
      </c>
      <c r="CD541" s="3">
        <f>+IF(AVANCE[[#This Row],[MOLDURAS]]=AQ$2,100%,AVANCE[[#This Row],[MOLDURAS]])</f>
        <v>0</v>
      </c>
      <c r="CE541" s="3">
        <f>+IF(AVANCE[[#This Row],[PILASTREO]]=AR$2,100%,AVANCE[[#This Row],[PILASTREO]])</f>
        <v>0</v>
      </c>
      <c r="CF541" s="3">
        <f>+IF(AVANCE[[#This Row],[CELOSIAS]]=AS$2,100%,AVANCE[[#This Row],[CELOSIAS]])</f>
        <v>0</v>
      </c>
      <c r="CG541" s="3">
        <f>+IF(AVANCE[[#This Row],[VENTANAS]]=AT$2,100%,AVANCE[[#This Row],[VENTANAS]])</f>
        <v>0</v>
      </c>
      <c r="CH541" s="3">
        <f>+IF(AVANCE[[#This Row],[PUERTAS ACCESO - LOGIA - BANO]]=AU$2,100%,AVANCE[[#This Row],[PUERTAS ACCESO - LOGIA - BANO]])</f>
        <v>0</v>
      </c>
      <c r="CI541" s="3">
        <f>+IF(AVANCE[[#This Row],[CERRADURAS]]=AV$2,100%,AVANCE[[#This Row],[CERRADURAS]])</f>
        <v>0</v>
      </c>
      <c r="CJ541" s="3">
        <f>+IF(AVANCE[[#This Row],[REVESTIMIENTO INTERIOR ZONA SECA]]=AW$2,100%,AVANCE[[#This Row],[REVESTIMIENTO INTERIOR ZONA SECA]])</f>
        <v>0</v>
      </c>
      <c r="CK541" s="3">
        <f>+IF(AVANCE[[#This Row],[REVESTIMIENTO INTERIOR ZONAS HUMEDAS]]=AX$2,100%,AVANCE[[#This Row],[REVESTIMIENTO INTERIOR ZONAS HUMEDAS]])</f>
        <v>0</v>
      </c>
      <c r="CL541" s="3">
        <f>+IF(AVANCE[[#This Row],[MEMBRANA CIELO]]=AY$2,100%,AVANCE[[#This Row],[MEMBRANA CIELO]])</f>
        <v>0</v>
      </c>
      <c r="CM541" s="3">
        <f>+IF(AVANCE[[#This Row],[LIMPIEZA FINAL]]=AZ$2,100%,AVANCE[[#This Row],[LIMPIEZA FINAL]])</f>
        <v>0</v>
      </c>
      <c r="CN541" s="3">
        <f>+IF(AVANCE[[#This Row],[PUERTAS DORMITORIO]]=BA$2,100%,AVANCE[[#This Row],[PUERTAS DORMITORIO]])</f>
        <v>0</v>
      </c>
      <c r="CO541" s="3">
        <f>+IF(AVANCE[[#This Row],[REVESTIMIENTO INTERIOR BANO]]=BB$2,100%,AVANCE[[#This Row],[REVESTIMIENTO INTERIOR BANO]])</f>
        <v>0</v>
      </c>
      <c r="CP541" s="3">
        <f>+IF(AVANCE[[#This Row],[MUEBLE LAVAPLATOS]]=BC$2,100%,AVANCE[[#This Row],[MUEBLE LAVAPLATOS]])</f>
        <v>0</v>
      </c>
      <c r="CQ541" s="3">
        <f>+IF(AVANCE[[#This Row],[IMPERMEABILIZACION BANO - COCINA LOGIA]]=BD$2,100%,AVANCE[[#This Row],[IMPERMEABILIZACION BANO - COCINA LOGIA]])</f>
        <v>0</v>
      </c>
      <c r="CR541" s="40">
        <f ca="1">+IF(AVANCE[[#This Row],[ESTADO MODULO]]="PENDIENTE",(TODAY()-AVANCE[[#This Row],[FECHA TERMINO  PLANIFICADO]]),0)</f>
        <v>0</v>
      </c>
      <c r="CS541" s="42" t="str" cm="1">
        <f t="array" ref="CS541">_xlfn.TEXTJOIN(" | ",TRUE,IF(SUMPRODUCT((BF541:CQ541&lt;1)*(PARTIDAS!$I$2:$AT$2="OBRA GRUESA"))&gt;0,"OBRA GRUESA: "&amp;_xlfn.TEXTJOIN(", ",TRUE,IF((BF541:CQ541&lt;1)*(PARTIDAS!$I$2:$AT$2="OBRA GRUESA"),PARTIDAS!$I$1:$AT$1,"")),""),IF(SUMPRODUCT((BF541:CQ541&lt;1)*(PARTIDAS!$I$2:$AT$2="SANITARIOS"))&gt;0,"SANITARIOS: "&amp;_xlfn.TEXTJOIN(", ",TRUE,IF((BF541:CQ541&lt;1)*(PARTIDAS!$I$2:$AT$2="SANITARIOS"),PARTIDAS!$I$1:$AT$1,"")),""),IF(SUMPRODUCT((BF541:CQ541&lt;1)*(PARTIDAS!$I$2:$AT$2="ELÉCTRICO"))&gt;0,"ELÉCTRICO: "&amp;_xlfn.TEXTJOIN(", ",TRUE,IF((BF541:CQ541&lt;1)*(PARTIDAS!$I$2:$AT$2="ELÉCTRICO"),PARTIDAS!$I$1:$AT$1,"")),""),IF(SUMPRODUCT((BF541:CQ541&lt;1)*(PARTIDAS!$I$2:$AT$2="TERMINACIONES"))&gt;0,"TERMINACIONES: "&amp;_xlfn.TEXTJOIN(", ",TRUE,IF((BF541:CQ541&lt;1)*(PARTIDAS!$I$2:$AT$2="TERMINACIONES"),PARTIDAS!$I$1:$AT$1,"")),""))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1" s="45" t="str" cm="1">
        <f t="array" ref="CT541">_xlfn.TEXTJOIN(", ",TRUE,IF(SUMPRODUCT((BF541:CQ541&lt;1)*(PARTIDAS!$I$2:$AT$2="OBRA GRUESA"))&gt;0,"OBRA GRUESA",""),IF(SUMPRODUCT((BF541:CQ541&lt;1)*(PARTIDAS!$I$2:$AT$2="SANITARIOS"))&gt;0,"SANITARIOS",""),IF(SUMPRODUCT((BF541:CQ541&lt;1)*(PARTIDAS!$I$2:$AT$2="ELÉCTRICO"))&gt;0,"ELÉCTRICO",""),IF(SUMPRODUCT((BF541:CQ541&lt;1)*(PARTIDAS!$I$2:$AT$2="TERMINACIONES"))&gt;0,"TERMINACIONES",""))</f>
        <v>OBRA GRUESA, SANITARIOS, ELÉCTRICO, TERMINACIONES</v>
      </c>
      <c r="CU541" s="46" cm="1">
        <f t="array" ref="CU541">SUMPRODUCT(--(BF541:CQ541&lt;1))</f>
        <v>38</v>
      </c>
    </row>
    <row r="542" spans="1:99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46181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 s="3" t="str">
        <f>+IF(AVANCE[[#This Row],[% AVANCE]]=100%,"MODULO TERMINADO",IF(AVANCE[[#This Row],[FECHA INICIO REAL]]="","MODULO NO INICIADO","PENDIENTE"))</f>
        <v>MODULO NO INICIADO</v>
      </c>
      <c r="BF542" s="3">
        <f>+IF(AVANCE[[#This Row],[VENTANAS]]=8.10810810810811%,100%,AVANCE[[#This Row],[VENTANAS]])</f>
        <v>0</v>
      </c>
      <c r="BG542" s="3">
        <f>+IF(AVANCE[[#This Row],[PISO]]=N$2,100%,AVANCE[[#This Row],[PISO]])</f>
        <v>0</v>
      </c>
      <c r="BH542" s="3">
        <f>+IF(AVANCE[[#This Row],[TABIQUES]]=O$2,100%,AVANCE[[#This Row],[TABIQUES]])</f>
        <v>0</v>
      </c>
      <c r="BI542" s="3">
        <f>+IF(AVANCE[[#This Row],[MUROS]]=P$2,100%,AVANCE[[#This Row],[MUROS]])</f>
        <v>0</v>
      </c>
      <c r="BJ542" s="3">
        <f>+IF(AVANCE[[#This Row],[CIELO]]=Q$2,100%,AVANCE[[#This Row],[CIELO]])</f>
        <v>0</v>
      </c>
      <c r="BK542" s="3">
        <f>+IF(AVANCE[[#This Row],[BALCÓN]]=R$2,100%,AVANCE[[#This Row],[BALCÓN]])</f>
        <v>0</v>
      </c>
      <c r="BL542" s="3">
        <f>+IF(AVANCE[[#This Row],[RED ALCANTARILLADO]]=U$2,100%,AVANCE[[#This Row],[RED ALCANTARILLADO]])</f>
        <v>0</v>
      </c>
      <c r="BM542" s="3">
        <f>+IF(AVANCE[[#This Row],[RED DE AGUA]]=V$2,100%,AVANCE[[#This Row],[RED DE AGUA]])</f>
        <v>0</v>
      </c>
      <c r="BN542" s="3">
        <f>+IF(AVANCE[[#This Row],[VENTILACIONES]]=W$2,100%,AVANCE[[#This Row],[VENTILACIONES]])</f>
        <v>0</v>
      </c>
      <c r="BO542" s="3">
        <f>+IF(AVANCE[[#This Row],[TINA]]=X$2,100%,AVANCE[[#This Row],[TINA]])</f>
        <v>0</v>
      </c>
      <c r="BP542" s="3">
        <f>+IF(AVANCE[[#This Row],[WC]]=Y$2,100%,AVANCE[[#This Row],[WC]])</f>
        <v>0</v>
      </c>
      <c r="BQ542" s="3">
        <f>+IF(AVANCE[[#This Row],[LAVAMANOS / LAVAPLATOS / LAVADERO]]=Z$2,100%,AVANCE[[#This Row],[LAVAMANOS / LAVAPLATOS / LAVADERO]])</f>
        <v>0</v>
      </c>
      <c r="BR542" s="3">
        <f>+IF(AVANCE[[#This Row],[CANALIZACIÓN]]=AC$2,100%,AVANCE[[#This Row],[CANALIZACIÓN]])</f>
        <v>0</v>
      </c>
      <c r="BS542" s="3">
        <f>+IF(AVANCE[[#This Row],[CABLEADO]]=AD$2,100%,AVANCE[[#This Row],[CABLEADO]])</f>
        <v>0</v>
      </c>
      <c r="BT542" s="3">
        <f>+IF(AVANCE[[#This Row],[ARTEFACTOS]]=AE$2,100%,AVANCE[[#This Row],[ARTEFACTOS]])</f>
        <v>0</v>
      </c>
      <c r="BU542" s="3">
        <f>+IF(AVANCE[[#This Row],[TABLERO]]=AF$2,100%,AVANCE[[#This Row],[TABLERO]])</f>
        <v>0</v>
      </c>
      <c r="BV542" s="3">
        <f>+IF(AVANCE[[#This Row],[CAJA PAU]]=AG$2,100%,AVANCE[[#This Row],[CAJA PAU]])</f>
        <v>0</v>
      </c>
      <c r="BW542" s="3">
        <f>+IF(AVANCE[[#This Row],[INSTALACION VINILICO]]=AJ$2,100%,AVANCE[[#This Row],[INSTALACION VINILICO]])</f>
        <v>0</v>
      </c>
      <c r="BX542" s="3">
        <f>+IF(AVANCE[[#This Row],[OSB CUBIERTA]]=AK$2,100%,AVANCE[[#This Row],[OSB CUBIERTA]])</f>
        <v>0</v>
      </c>
      <c r="BY542" s="3">
        <f>+IF(AVANCE[[#This Row],[BARANDA BALCON]]=AL$2,100%,AVANCE[[#This Row],[BARANDA BALCON]])</f>
        <v>0</v>
      </c>
      <c r="BZ542" s="3">
        <f>+IF(AVANCE[[#This Row],[OSB EXTERIOR]]=AM$2,100%,AVANCE[[#This Row],[OSB EXTERIOR]])</f>
        <v>0</v>
      </c>
      <c r="CA542" s="3">
        <f>+IF(AVANCE[[#This Row],[SMART PANEL]]=AN$2,100%,AVANCE[[#This Row],[SMART PANEL]])</f>
        <v>0</v>
      </c>
      <c r="CB542" s="3">
        <f>+IF(AVANCE[[#This Row],[PINTURA EXTERIOR]]=AO$2,100%,AVANCE[[#This Row],[PINTURA EXTERIOR]])</f>
        <v>0</v>
      </c>
      <c r="CC542" s="3">
        <f>+IF(AVANCE[[#This Row],[ZOCALOS LOGIA]]=AP$2,100%,AVANCE[[#This Row],[ZOCALOS LOGIA]])</f>
        <v>0</v>
      </c>
      <c r="CD542" s="3">
        <f>+IF(AVANCE[[#This Row],[MOLDURAS]]=AQ$2,100%,AVANCE[[#This Row],[MOLDURAS]])</f>
        <v>0</v>
      </c>
      <c r="CE542" s="3">
        <f>+IF(AVANCE[[#This Row],[PILASTREO]]=AR$2,100%,AVANCE[[#This Row],[PILASTREO]])</f>
        <v>0</v>
      </c>
      <c r="CF542" s="3">
        <f>+IF(AVANCE[[#This Row],[CELOSIAS]]=AS$2,100%,AVANCE[[#This Row],[CELOSIAS]])</f>
        <v>0</v>
      </c>
      <c r="CG542" s="3">
        <f>+IF(AVANCE[[#This Row],[VENTANAS]]=AT$2,100%,AVANCE[[#This Row],[VENTANAS]])</f>
        <v>0</v>
      </c>
      <c r="CH542" s="3">
        <f>+IF(AVANCE[[#This Row],[PUERTAS ACCESO - LOGIA - BANO]]=AU$2,100%,AVANCE[[#This Row],[PUERTAS ACCESO - LOGIA - BANO]])</f>
        <v>0</v>
      </c>
      <c r="CI542" s="3">
        <f>+IF(AVANCE[[#This Row],[CERRADURAS]]=AV$2,100%,AVANCE[[#This Row],[CERRADURAS]])</f>
        <v>0</v>
      </c>
      <c r="CJ542" s="3">
        <f>+IF(AVANCE[[#This Row],[REVESTIMIENTO INTERIOR ZONA SECA]]=AW$2,100%,AVANCE[[#This Row],[REVESTIMIENTO INTERIOR ZONA SECA]])</f>
        <v>0</v>
      </c>
      <c r="CK542" s="3">
        <f>+IF(AVANCE[[#This Row],[REVESTIMIENTO INTERIOR ZONAS HUMEDAS]]=AX$2,100%,AVANCE[[#This Row],[REVESTIMIENTO INTERIOR ZONAS HUMEDAS]])</f>
        <v>0</v>
      </c>
      <c r="CL542" s="3">
        <f>+IF(AVANCE[[#This Row],[MEMBRANA CIELO]]=AY$2,100%,AVANCE[[#This Row],[MEMBRANA CIELO]])</f>
        <v>0</v>
      </c>
      <c r="CM542" s="3">
        <f>+IF(AVANCE[[#This Row],[LIMPIEZA FINAL]]=AZ$2,100%,AVANCE[[#This Row],[LIMPIEZA FINAL]])</f>
        <v>0</v>
      </c>
      <c r="CN542" s="3">
        <f>+IF(AVANCE[[#This Row],[PUERTAS DORMITORIO]]=BA$2,100%,AVANCE[[#This Row],[PUERTAS DORMITORIO]])</f>
        <v>0</v>
      </c>
      <c r="CO542" s="3">
        <f>+IF(AVANCE[[#This Row],[REVESTIMIENTO INTERIOR BANO]]=BB$2,100%,AVANCE[[#This Row],[REVESTIMIENTO INTERIOR BANO]])</f>
        <v>0</v>
      </c>
      <c r="CP542" s="3">
        <f>+IF(AVANCE[[#This Row],[MUEBLE LAVAPLATOS]]=BC$2,100%,AVANCE[[#This Row],[MUEBLE LAVAPLATOS]])</f>
        <v>0</v>
      </c>
      <c r="CQ542" s="3">
        <f>+IF(AVANCE[[#This Row],[IMPERMEABILIZACION BANO - COCINA LOGIA]]=BD$2,100%,AVANCE[[#This Row],[IMPERMEABILIZACION BANO - COCINA LOGIA]])</f>
        <v>0</v>
      </c>
      <c r="CR542" s="40">
        <f ca="1">+IF(AVANCE[[#This Row],[ESTADO MODULO]]="PENDIENTE",(TODAY()-AVANCE[[#This Row],[FECHA TERMINO  PLANIFICADO]]),0)</f>
        <v>0</v>
      </c>
      <c r="CS542" s="42" t="str" cm="1">
        <f t="array" ref="CS542">_xlfn.TEXTJOIN(" | ",TRUE,IF(SUMPRODUCT((BF542:CQ542&lt;1)*(PARTIDAS!$I$2:$AT$2="OBRA GRUESA"))&gt;0,"OBRA GRUESA: "&amp;_xlfn.TEXTJOIN(", ",TRUE,IF((BF542:CQ542&lt;1)*(PARTIDAS!$I$2:$AT$2="OBRA GRUESA"),PARTIDAS!$I$1:$AT$1,"")),""),IF(SUMPRODUCT((BF542:CQ542&lt;1)*(PARTIDAS!$I$2:$AT$2="SANITARIOS"))&gt;0,"SANITARIOS: "&amp;_xlfn.TEXTJOIN(", ",TRUE,IF((BF542:CQ542&lt;1)*(PARTIDAS!$I$2:$AT$2="SANITARIOS"),PARTIDAS!$I$1:$AT$1,"")),""),IF(SUMPRODUCT((BF542:CQ542&lt;1)*(PARTIDAS!$I$2:$AT$2="ELÉCTRICO"))&gt;0,"ELÉCTRICO: "&amp;_xlfn.TEXTJOIN(", ",TRUE,IF((BF542:CQ542&lt;1)*(PARTIDAS!$I$2:$AT$2="ELÉCTRICO"),PARTIDAS!$I$1:$AT$1,"")),""),IF(SUMPRODUCT((BF542:CQ542&lt;1)*(PARTIDAS!$I$2:$AT$2="TERMINACIONES"))&gt;0,"TERMINACIONES: "&amp;_xlfn.TEXTJOIN(", ",TRUE,IF((BF542:CQ542&lt;1)*(PARTIDAS!$I$2:$AT$2="TERMINACIONES"),PARTIDAS!$I$1:$AT$1,"")),""))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2" s="45" t="str" cm="1">
        <f t="array" ref="CT542">_xlfn.TEXTJOIN(", ",TRUE,IF(SUMPRODUCT((BF542:CQ542&lt;1)*(PARTIDAS!$I$2:$AT$2="OBRA GRUESA"))&gt;0,"OBRA GRUESA",""),IF(SUMPRODUCT((BF542:CQ542&lt;1)*(PARTIDAS!$I$2:$AT$2="SANITARIOS"))&gt;0,"SANITARIOS",""),IF(SUMPRODUCT((BF542:CQ542&lt;1)*(PARTIDAS!$I$2:$AT$2="ELÉCTRICO"))&gt;0,"ELÉCTRICO",""),IF(SUMPRODUCT((BF542:CQ542&lt;1)*(PARTIDAS!$I$2:$AT$2="TERMINACIONES"))&gt;0,"TERMINACIONES",""))</f>
        <v>OBRA GRUESA, SANITARIOS, ELÉCTRICO, TERMINACIONES</v>
      </c>
      <c r="CU542" s="46" cm="1">
        <f t="array" ref="CU542">SUMPRODUCT(--(BF542:CQ542&lt;1))</f>
        <v>38</v>
      </c>
    </row>
    <row r="543" spans="1:99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46181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 s="3" t="str">
        <f>+IF(AVANCE[[#This Row],[% AVANCE]]=100%,"MODULO TERMINADO",IF(AVANCE[[#This Row],[FECHA INICIO REAL]]="","MODULO NO INICIADO","PENDIENTE"))</f>
        <v>MODULO NO INICIADO</v>
      </c>
      <c r="BF543" s="3">
        <f>+IF(AVANCE[[#This Row],[VENTANAS]]=8.10810810810811%,100%,AVANCE[[#This Row],[VENTANAS]])</f>
        <v>0</v>
      </c>
      <c r="BG543" s="3">
        <f>+IF(AVANCE[[#This Row],[PISO]]=N$2,100%,AVANCE[[#This Row],[PISO]])</f>
        <v>0</v>
      </c>
      <c r="BH543" s="3">
        <f>+IF(AVANCE[[#This Row],[TABIQUES]]=O$2,100%,AVANCE[[#This Row],[TABIQUES]])</f>
        <v>0</v>
      </c>
      <c r="BI543" s="3">
        <f>+IF(AVANCE[[#This Row],[MUROS]]=P$2,100%,AVANCE[[#This Row],[MUROS]])</f>
        <v>0</v>
      </c>
      <c r="BJ543" s="3">
        <f>+IF(AVANCE[[#This Row],[CIELO]]=Q$2,100%,AVANCE[[#This Row],[CIELO]])</f>
        <v>0</v>
      </c>
      <c r="BK543" s="3">
        <f>+IF(AVANCE[[#This Row],[BALCÓN]]=R$2,100%,AVANCE[[#This Row],[BALCÓN]])</f>
        <v>0</v>
      </c>
      <c r="BL543" s="3">
        <f>+IF(AVANCE[[#This Row],[RED ALCANTARILLADO]]=U$2,100%,AVANCE[[#This Row],[RED ALCANTARILLADO]])</f>
        <v>0</v>
      </c>
      <c r="BM543" s="3">
        <f>+IF(AVANCE[[#This Row],[RED DE AGUA]]=V$2,100%,AVANCE[[#This Row],[RED DE AGUA]])</f>
        <v>0</v>
      </c>
      <c r="BN543" s="3">
        <f>+IF(AVANCE[[#This Row],[VENTILACIONES]]=W$2,100%,AVANCE[[#This Row],[VENTILACIONES]])</f>
        <v>0</v>
      </c>
      <c r="BO543" s="3">
        <f>+IF(AVANCE[[#This Row],[TINA]]=X$2,100%,AVANCE[[#This Row],[TINA]])</f>
        <v>0</v>
      </c>
      <c r="BP543" s="3">
        <f>+IF(AVANCE[[#This Row],[WC]]=Y$2,100%,AVANCE[[#This Row],[WC]])</f>
        <v>0</v>
      </c>
      <c r="BQ543" s="3">
        <f>+IF(AVANCE[[#This Row],[LAVAMANOS / LAVAPLATOS / LAVADERO]]=Z$2,100%,AVANCE[[#This Row],[LAVAMANOS / LAVAPLATOS / LAVADERO]])</f>
        <v>0</v>
      </c>
      <c r="BR543" s="3">
        <f>+IF(AVANCE[[#This Row],[CANALIZACIÓN]]=AC$2,100%,AVANCE[[#This Row],[CANALIZACIÓN]])</f>
        <v>0</v>
      </c>
      <c r="BS543" s="3">
        <f>+IF(AVANCE[[#This Row],[CABLEADO]]=AD$2,100%,AVANCE[[#This Row],[CABLEADO]])</f>
        <v>0</v>
      </c>
      <c r="BT543" s="3">
        <f>+IF(AVANCE[[#This Row],[ARTEFACTOS]]=AE$2,100%,AVANCE[[#This Row],[ARTEFACTOS]])</f>
        <v>0</v>
      </c>
      <c r="BU543" s="3">
        <f>+IF(AVANCE[[#This Row],[TABLERO]]=AF$2,100%,AVANCE[[#This Row],[TABLERO]])</f>
        <v>0</v>
      </c>
      <c r="BV543" s="3">
        <f>+IF(AVANCE[[#This Row],[CAJA PAU]]=AG$2,100%,AVANCE[[#This Row],[CAJA PAU]])</f>
        <v>0</v>
      </c>
      <c r="BW543" s="3">
        <f>+IF(AVANCE[[#This Row],[INSTALACION VINILICO]]=AJ$2,100%,AVANCE[[#This Row],[INSTALACION VINILICO]])</f>
        <v>0</v>
      </c>
      <c r="BX543" s="3">
        <f>+IF(AVANCE[[#This Row],[OSB CUBIERTA]]=AK$2,100%,AVANCE[[#This Row],[OSB CUBIERTA]])</f>
        <v>0</v>
      </c>
      <c r="BY543" s="3">
        <f>+IF(AVANCE[[#This Row],[BARANDA BALCON]]=AL$2,100%,AVANCE[[#This Row],[BARANDA BALCON]])</f>
        <v>0</v>
      </c>
      <c r="BZ543" s="3">
        <f>+IF(AVANCE[[#This Row],[OSB EXTERIOR]]=AM$2,100%,AVANCE[[#This Row],[OSB EXTERIOR]])</f>
        <v>0</v>
      </c>
      <c r="CA543" s="3">
        <f>+IF(AVANCE[[#This Row],[SMART PANEL]]=AN$2,100%,AVANCE[[#This Row],[SMART PANEL]])</f>
        <v>0</v>
      </c>
      <c r="CB543" s="3">
        <f>+IF(AVANCE[[#This Row],[PINTURA EXTERIOR]]=AO$2,100%,AVANCE[[#This Row],[PINTURA EXTERIOR]])</f>
        <v>0</v>
      </c>
      <c r="CC543" s="3">
        <f>+IF(AVANCE[[#This Row],[ZOCALOS LOGIA]]=AP$2,100%,AVANCE[[#This Row],[ZOCALOS LOGIA]])</f>
        <v>0</v>
      </c>
      <c r="CD543" s="3">
        <f>+IF(AVANCE[[#This Row],[MOLDURAS]]=AQ$2,100%,AVANCE[[#This Row],[MOLDURAS]])</f>
        <v>0</v>
      </c>
      <c r="CE543" s="3">
        <f>+IF(AVANCE[[#This Row],[PILASTREO]]=AR$2,100%,AVANCE[[#This Row],[PILASTREO]])</f>
        <v>0</v>
      </c>
      <c r="CF543" s="3">
        <f>+IF(AVANCE[[#This Row],[CELOSIAS]]=AS$2,100%,AVANCE[[#This Row],[CELOSIAS]])</f>
        <v>0</v>
      </c>
      <c r="CG543" s="3">
        <f>+IF(AVANCE[[#This Row],[VENTANAS]]=AT$2,100%,AVANCE[[#This Row],[VENTANAS]])</f>
        <v>0</v>
      </c>
      <c r="CH543" s="3">
        <f>+IF(AVANCE[[#This Row],[PUERTAS ACCESO - LOGIA - BANO]]=AU$2,100%,AVANCE[[#This Row],[PUERTAS ACCESO - LOGIA - BANO]])</f>
        <v>0</v>
      </c>
      <c r="CI543" s="3">
        <f>+IF(AVANCE[[#This Row],[CERRADURAS]]=AV$2,100%,AVANCE[[#This Row],[CERRADURAS]])</f>
        <v>0</v>
      </c>
      <c r="CJ543" s="3">
        <f>+IF(AVANCE[[#This Row],[REVESTIMIENTO INTERIOR ZONA SECA]]=AW$2,100%,AVANCE[[#This Row],[REVESTIMIENTO INTERIOR ZONA SECA]])</f>
        <v>0</v>
      </c>
      <c r="CK543" s="3">
        <f>+IF(AVANCE[[#This Row],[REVESTIMIENTO INTERIOR ZONAS HUMEDAS]]=AX$2,100%,AVANCE[[#This Row],[REVESTIMIENTO INTERIOR ZONAS HUMEDAS]])</f>
        <v>0</v>
      </c>
      <c r="CL543" s="3">
        <f>+IF(AVANCE[[#This Row],[MEMBRANA CIELO]]=AY$2,100%,AVANCE[[#This Row],[MEMBRANA CIELO]])</f>
        <v>0</v>
      </c>
      <c r="CM543" s="3">
        <f>+IF(AVANCE[[#This Row],[LIMPIEZA FINAL]]=AZ$2,100%,AVANCE[[#This Row],[LIMPIEZA FINAL]])</f>
        <v>0</v>
      </c>
      <c r="CN543" s="3">
        <f>+IF(AVANCE[[#This Row],[PUERTAS DORMITORIO]]=BA$2,100%,AVANCE[[#This Row],[PUERTAS DORMITORIO]])</f>
        <v>0</v>
      </c>
      <c r="CO543" s="3">
        <f>+IF(AVANCE[[#This Row],[REVESTIMIENTO INTERIOR BANO]]=BB$2,100%,AVANCE[[#This Row],[REVESTIMIENTO INTERIOR BANO]])</f>
        <v>0</v>
      </c>
      <c r="CP543" s="3">
        <f>+IF(AVANCE[[#This Row],[MUEBLE LAVAPLATOS]]=BC$2,100%,AVANCE[[#This Row],[MUEBLE LAVAPLATOS]])</f>
        <v>0</v>
      </c>
      <c r="CQ543" s="3">
        <f>+IF(AVANCE[[#This Row],[IMPERMEABILIZACION BANO - COCINA LOGIA]]=BD$2,100%,AVANCE[[#This Row],[IMPERMEABILIZACION BANO - COCINA LOGIA]])</f>
        <v>0</v>
      </c>
      <c r="CR543" s="40">
        <f ca="1">+IF(AVANCE[[#This Row],[ESTADO MODULO]]="PENDIENTE",(TODAY()-AVANCE[[#This Row],[FECHA TERMINO  PLANIFICADO]]),0)</f>
        <v>0</v>
      </c>
      <c r="CS543" s="42" t="str" cm="1">
        <f t="array" ref="CS543">_xlfn.TEXTJOIN(" | ",TRUE,IF(SUMPRODUCT((BF543:CQ543&lt;1)*(PARTIDAS!$I$2:$AT$2="OBRA GRUESA"))&gt;0,"OBRA GRUESA: "&amp;_xlfn.TEXTJOIN(", ",TRUE,IF((BF543:CQ543&lt;1)*(PARTIDAS!$I$2:$AT$2="OBRA GRUESA"),PARTIDAS!$I$1:$AT$1,"")),""),IF(SUMPRODUCT((BF543:CQ543&lt;1)*(PARTIDAS!$I$2:$AT$2="SANITARIOS"))&gt;0,"SANITARIOS: "&amp;_xlfn.TEXTJOIN(", ",TRUE,IF((BF543:CQ543&lt;1)*(PARTIDAS!$I$2:$AT$2="SANITARIOS"),PARTIDAS!$I$1:$AT$1,"")),""),IF(SUMPRODUCT((BF543:CQ543&lt;1)*(PARTIDAS!$I$2:$AT$2="ELÉCTRICO"))&gt;0,"ELÉCTRICO: "&amp;_xlfn.TEXTJOIN(", ",TRUE,IF((BF543:CQ543&lt;1)*(PARTIDAS!$I$2:$AT$2="ELÉCTRICO"),PARTIDAS!$I$1:$AT$1,"")),""),IF(SUMPRODUCT((BF543:CQ543&lt;1)*(PARTIDAS!$I$2:$AT$2="TERMINACIONES"))&gt;0,"TERMINACIONES: "&amp;_xlfn.TEXTJOIN(", ",TRUE,IF((BF543:CQ543&lt;1)*(PARTIDAS!$I$2:$AT$2="TERMINACIONES"),PARTIDAS!$I$1:$AT$1,"")),""))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3" s="45" t="str" cm="1">
        <f t="array" ref="CT543">_xlfn.TEXTJOIN(", ",TRUE,IF(SUMPRODUCT((BF543:CQ543&lt;1)*(PARTIDAS!$I$2:$AT$2="OBRA GRUESA"))&gt;0,"OBRA GRUESA",""),IF(SUMPRODUCT((BF543:CQ543&lt;1)*(PARTIDAS!$I$2:$AT$2="SANITARIOS"))&gt;0,"SANITARIOS",""),IF(SUMPRODUCT((BF543:CQ543&lt;1)*(PARTIDAS!$I$2:$AT$2="ELÉCTRICO"))&gt;0,"ELÉCTRICO",""),IF(SUMPRODUCT((BF543:CQ543&lt;1)*(PARTIDAS!$I$2:$AT$2="TERMINACIONES"))&gt;0,"TERMINACIONES",""))</f>
        <v>OBRA GRUESA, SANITARIOS, ELÉCTRICO, TERMINACIONES</v>
      </c>
      <c r="CU543" s="46" cm="1">
        <f t="array" ref="CU543">SUMPRODUCT(--(BF543:CQ543&lt;1))</f>
        <v>38</v>
      </c>
    </row>
    <row r="544" spans="1:99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46181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 s="3" t="str">
        <f>+IF(AVANCE[[#This Row],[% AVANCE]]=100%,"MODULO TERMINADO",IF(AVANCE[[#This Row],[FECHA INICIO REAL]]="","MODULO NO INICIADO","PENDIENTE"))</f>
        <v>MODULO NO INICIADO</v>
      </c>
      <c r="BF544" s="3">
        <f>+IF(AVANCE[[#This Row],[VENTANAS]]=8.10810810810811%,100%,AVANCE[[#This Row],[VENTANAS]])</f>
        <v>0</v>
      </c>
      <c r="BG544" s="3">
        <f>+IF(AVANCE[[#This Row],[PISO]]=N$2,100%,AVANCE[[#This Row],[PISO]])</f>
        <v>0</v>
      </c>
      <c r="BH544" s="3">
        <f>+IF(AVANCE[[#This Row],[TABIQUES]]=O$2,100%,AVANCE[[#This Row],[TABIQUES]])</f>
        <v>0</v>
      </c>
      <c r="BI544" s="3">
        <f>+IF(AVANCE[[#This Row],[MUROS]]=P$2,100%,AVANCE[[#This Row],[MUROS]])</f>
        <v>0</v>
      </c>
      <c r="BJ544" s="3">
        <f>+IF(AVANCE[[#This Row],[CIELO]]=Q$2,100%,AVANCE[[#This Row],[CIELO]])</f>
        <v>0</v>
      </c>
      <c r="BK544" s="3">
        <f>+IF(AVANCE[[#This Row],[BALCÓN]]=R$2,100%,AVANCE[[#This Row],[BALCÓN]])</f>
        <v>0</v>
      </c>
      <c r="BL544" s="3">
        <f>+IF(AVANCE[[#This Row],[RED ALCANTARILLADO]]=U$2,100%,AVANCE[[#This Row],[RED ALCANTARILLADO]])</f>
        <v>0</v>
      </c>
      <c r="BM544" s="3">
        <f>+IF(AVANCE[[#This Row],[RED DE AGUA]]=V$2,100%,AVANCE[[#This Row],[RED DE AGUA]])</f>
        <v>0</v>
      </c>
      <c r="BN544" s="3">
        <f>+IF(AVANCE[[#This Row],[VENTILACIONES]]=W$2,100%,AVANCE[[#This Row],[VENTILACIONES]])</f>
        <v>0</v>
      </c>
      <c r="BO544" s="3">
        <f>+IF(AVANCE[[#This Row],[TINA]]=X$2,100%,AVANCE[[#This Row],[TINA]])</f>
        <v>0</v>
      </c>
      <c r="BP544" s="3">
        <f>+IF(AVANCE[[#This Row],[WC]]=Y$2,100%,AVANCE[[#This Row],[WC]])</f>
        <v>0</v>
      </c>
      <c r="BQ544" s="3">
        <f>+IF(AVANCE[[#This Row],[LAVAMANOS / LAVAPLATOS / LAVADERO]]=Z$2,100%,AVANCE[[#This Row],[LAVAMANOS / LAVAPLATOS / LAVADERO]])</f>
        <v>0</v>
      </c>
      <c r="BR544" s="3">
        <f>+IF(AVANCE[[#This Row],[CANALIZACIÓN]]=AC$2,100%,AVANCE[[#This Row],[CANALIZACIÓN]])</f>
        <v>0</v>
      </c>
      <c r="BS544" s="3">
        <f>+IF(AVANCE[[#This Row],[CABLEADO]]=AD$2,100%,AVANCE[[#This Row],[CABLEADO]])</f>
        <v>0</v>
      </c>
      <c r="BT544" s="3">
        <f>+IF(AVANCE[[#This Row],[ARTEFACTOS]]=AE$2,100%,AVANCE[[#This Row],[ARTEFACTOS]])</f>
        <v>0</v>
      </c>
      <c r="BU544" s="3">
        <f>+IF(AVANCE[[#This Row],[TABLERO]]=AF$2,100%,AVANCE[[#This Row],[TABLERO]])</f>
        <v>0</v>
      </c>
      <c r="BV544" s="3">
        <f>+IF(AVANCE[[#This Row],[CAJA PAU]]=AG$2,100%,AVANCE[[#This Row],[CAJA PAU]])</f>
        <v>0</v>
      </c>
      <c r="BW544" s="3">
        <f>+IF(AVANCE[[#This Row],[INSTALACION VINILICO]]=AJ$2,100%,AVANCE[[#This Row],[INSTALACION VINILICO]])</f>
        <v>0</v>
      </c>
      <c r="BX544" s="3">
        <f>+IF(AVANCE[[#This Row],[OSB CUBIERTA]]=AK$2,100%,AVANCE[[#This Row],[OSB CUBIERTA]])</f>
        <v>0</v>
      </c>
      <c r="BY544" s="3">
        <f>+IF(AVANCE[[#This Row],[BARANDA BALCON]]=AL$2,100%,AVANCE[[#This Row],[BARANDA BALCON]])</f>
        <v>0</v>
      </c>
      <c r="BZ544" s="3">
        <f>+IF(AVANCE[[#This Row],[OSB EXTERIOR]]=AM$2,100%,AVANCE[[#This Row],[OSB EXTERIOR]])</f>
        <v>0</v>
      </c>
      <c r="CA544" s="3">
        <f>+IF(AVANCE[[#This Row],[SMART PANEL]]=AN$2,100%,AVANCE[[#This Row],[SMART PANEL]])</f>
        <v>0</v>
      </c>
      <c r="CB544" s="3">
        <f>+IF(AVANCE[[#This Row],[PINTURA EXTERIOR]]=AO$2,100%,AVANCE[[#This Row],[PINTURA EXTERIOR]])</f>
        <v>0</v>
      </c>
      <c r="CC544" s="3">
        <f>+IF(AVANCE[[#This Row],[ZOCALOS LOGIA]]=AP$2,100%,AVANCE[[#This Row],[ZOCALOS LOGIA]])</f>
        <v>0</v>
      </c>
      <c r="CD544" s="3">
        <f>+IF(AVANCE[[#This Row],[MOLDURAS]]=AQ$2,100%,AVANCE[[#This Row],[MOLDURAS]])</f>
        <v>0</v>
      </c>
      <c r="CE544" s="3">
        <f>+IF(AVANCE[[#This Row],[PILASTREO]]=AR$2,100%,AVANCE[[#This Row],[PILASTREO]])</f>
        <v>0</v>
      </c>
      <c r="CF544" s="3">
        <f>+IF(AVANCE[[#This Row],[CELOSIAS]]=AS$2,100%,AVANCE[[#This Row],[CELOSIAS]])</f>
        <v>0</v>
      </c>
      <c r="CG544" s="3">
        <f>+IF(AVANCE[[#This Row],[VENTANAS]]=AT$2,100%,AVANCE[[#This Row],[VENTANAS]])</f>
        <v>0</v>
      </c>
      <c r="CH544" s="3">
        <f>+IF(AVANCE[[#This Row],[PUERTAS ACCESO - LOGIA - BANO]]=AU$2,100%,AVANCE[[#This Row],[PUERTAS ACCESO - LOGIA - BANO]])</f>
        <v>0</v>
      </c>
      <c r="CI544" s="3">
        <f>+IF(AVANCE[[#This Row],[CERRADURAS]]=AV$2,100%,AVANCE[[#This Row],[CERRADURAS]])</f>
        <v>0</v>
      </c>
      <c r="CJ544" s="3">
        <f>+IF(AVANCE[[#This Row],[REVESTIMIENTO INTERIOR ZONA SECA]]=AW$2,100%,AVANCE[[#This Row],[REVESTIMIENTO INTERIOR ZONA SECA]])</f>
        <v>0</v>
      </c>
      <c r="CK544" s="3">
        <f>+IF(AVANCE[[#This Row],[REVESTIMIENTO INTERIOR ZONAS HUMEDAS]]=AX$2,100%,AVANCE[[#This Row],[REVESTIMIENTO INTERIOR ZONAS HUMEDAS]])</f>
        <v>0</v>
      </c>
      <c r="CL544" s="3">
        <f>+IF(AVANCE[[#This Row],[MEMBRANA CIELO]]=AY$2,100%,AVANCE[[#This Row],[MEMBRANA CIELO]])</f>
        <v>0</v>
      </c>
      <c r="CM544" s="3">
        <f>+IF(AVANCE[[#This Row],[LIMPIEZA FINAL]]=AZ$2,100%,AVANCE[[#This Row],[LIMPIEZA FINAL]])</f>
        <v>0</v>
      </c>
      <c r="CN544" s="3">
        <f>+IF(AVANCE[[#This Row],[PUERTAS DORMITORIO]]=BA$2,100%,AVANCE[[#This Row],[PUERTAS DORMITORIO]])</f>
        <v>0</v>
      </c>
      <c r="CO544" s="3">
        <f>+IF(AVANCE[[#This Row],[REVESTIMIENTO INTERIOR BANO]]=BB$2,100%,AVANCE[[#This Row],[REVESTIMIENTO INTERIOR BANO]])</f>
        <v>0</v>
      </c>
      <c r="CP544" s="3">
        <f>+IF(AVANCE[[#This Row],[MUEBLE LAVAPLATOS]]=BC$2,100%,AVANCE[[#This Row],[MUEBLE LAVAPLATOS]])</f>
        <v>0</v>
      </c>
      <c r="CQ544" s="3">
        <f>+IF(AVANCE[[#This Row],[IMPERMEABILIZACION BANO - COCINA LOGIA]]=BD$2,100%,AVANCE[[#This Row],[IMPERMEABILIZACION BANO - COCINA LOGIA]])</f>
        <v>0</v>
      </c>
      <c r="CR544" s="40">
        <f ca="1">+IF(AVANCE[[#This Row],[ESTADO MODULO]]="PENDIENTE",(TODAY()-AVANCE[[#This Row],[FECHA TERMINO  PLANIFICADO]]),0)</f>
        <v>0</v>
      </c>
      <c r="CS544" s="42" t="str" cm="1">
        <f t="array" ref="CS544">_xlfn.TEXTJOIN(" | ",TRUE,IF(SUMPRODUCT((BF544:CQ544&lt;1)*(PARTIDAS!$I$2:$AT$2="OBRA GRUESA"))&gt;0,"OBRA GRUESA: "&amp;_xlfn.TEXTJOIN(", ",TRUE,IF((BF544:CQ544&lt;1)*(PARTIDAS!$I$2:$AT$2="OBRA GRUESA"),PARTIDAS!$I$1:$AT$1,"")),""),IF(SUMPRODUCT((BF544:CQ544&lt;1)*(PARTIDAS!$I$2:$AT$2="SANITARIOS"))&gt;0,"SANITARIOS: "&amp;_xlfn.TEXTJOIN(", ",TRUE,IF((BF544:CQ544&lt;1)*(PARTIDAS!$I$2:$AT$2="SANITARIOS"),PARTIDAS!$I$1:$AT$1,"")),""),IF(SUMPRODUCT((BF544:CQ544&lt;1)*(PARTIDAS!$I$2:$AT$2="ELÉCTRICO"))&gt;0,"ELÉCTRICO: "&amp;_xlfn.TEXTJOIN(", ",TRUE,IF((BF544:CQ544&lt;1)*(PARTIDAS!$I$2:$AT$2="ELÉCTRICO"),PARTIDAS!$I$1:$AT$1,"")),""),IF(SUMPRODUCT((BF544:CQ544&lt;1)*(PARTIDAS!$I$2:$AT$2="TERMINACIONES"))&gt;0,"TERMINACIONES: "&amp;_xlfn.TEXTJOIN(", ",TRUE,IF((BF544:CQ544&lt;1)*(PARTIDAS!$I$2:$AT$2="TERMINACIONES"),PARTIDAS!$I$1:$AT$1,"")),""))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4" s="45" t="str" cm="1">
        <f t="array" ref="CT544">_xlfn.TEXTJOIN(", ",TRUE,IF(SUMPRODUCT((BF544:CQ544&lt;1)*(PARTIDAS!$I$2:$AT$2="OBRA GRUESA"))&gt;0,"OBRA GRUESA",""),IF(SUMPRODUCT((BF544:CQ544&lt;1)*(PARTIDAS!$I$2:$AT$2="SANITARIOS"))&gt;0,"SANITARIOS",""),IF(SUMPRODUCT((BF544:CQ544&lt;1)*(PARTIDAS!$I$2:$AT$2="ELÉCTRICO"))&gt;0,"ELÉCTRICO",""),IF(SUMPRODUCT((BF544:CQ544&lt;1)*(PARTIDAS!$I$2:$AT$2="TERMINACIONES"))&gt;0,"TERMINACIONES",""))</f>
        <v>OBRA GRUESA, SANITARIOS, ELÉCTRICO, TERMINACIONES</v>
      </c>
      <c r="CU544" s="46" cm="1">
        <f t="array" ref="CU544">SUMPRODUCT(--(BF544:CQ544&lt;1))</f>
        <v>38</v>
      </c>
    </row>
    <row r="545" spans="1:99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46181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 s="3" t="str">
        <f>+IF(AVANCE[[#This Row],[% AVANCE]]=100%,"MODULO TERMINADO",IF(AVANCE[[#This Row],[FECHA INICIO REAL]]="","MODULO NO INICIADO","PENDIENTE"))</f>
        <v>MODULO NO INICIADO</v>
      </c>
      <c r="BF545" s="3">
        <f>+IF(AVANCE[[#This Row],[VENTANAS]]=8.10810810810811%,100%,AVANCE[[#This Row],[VENTANAS]])</f>
        <v>0</v>
      </c>
      <c r="BG545" s="3">
        <f>+IF(AVANCE[[#This Row],[PISO]]=N$2,100%,AVANCE[[#This Row],[PISO]])</f>
        <v>0</v>
      </c>
      <c r="BH545" s="3">
        <f>+IF(AVANCE[[#This Row],[TABIQUES]]=O$2,100%,AVANCE[[#This Row],[TABIQUES]])</f>
        <v>0</v>
      </c>
      <c r="BI545" s="3">
        <f>+IF(AVANCE[[#This Row],[MUROS]]=P$2,100%,AVANCE[[#This Row],[MUROS]])</f>
        <v>0</v>
      </c>
      <c r="BJ545" s="3">
        <f>+IF(AVANCE[[#This Row],[CIELO]]=Q$2,100%,AVANCE[[#This Row],[CIELO]])</f>
        <v>0</v>
      </c>
      <c r="BK545" s="3">
        <f>+IF(AVANCE[[#This Row],[BALCÓN]]=R$2,100%,AVANCE[[#This Row],[BALCÓN]])</f>
        <v>0</v>
      </c>
      <c r="BL545" s="3">
        <f>+IF(AVANCE[[#This Row],[RED ALCANTARILLADO]]=U$2,100%,AVANCE[[#This Row],[RED ALCANTARILLADO]])</f>
        <v>0</v>
      </c>
      <c r="BM545" s="3">
        <f>+IF(AVANCE[[#This Row],[RED DE AGUA]]=V$2,100%,AVANCE[[#This Row],[RED DE AGUA]])</f>
        <v>0</v>
      </c>
      <c r="BN545" s="3">
        <f>+IF(AVANCE[[#This Row],[VENTILACIONES]]=W$2,100%,AVANCE[[#This Row],[VENTILACIONES]])</f>
        <v>0</v>
      </c>
      <c r="BO545" s="3">
        <f>+IF(AVANCE[[#This Row],[TINA]]=X$2,100%,AVANCE[[#This Row],[TINA]])</f>
        <v>0</v>
      </c>
      <c r="BP545" s="3">
        <f>+IF(AVANCE[[#This Row],[WC]]=Y$2,100%,AVANCE[[#This Row],[WC]])</f>
        <v>0</v>
      </c>
      <c r="BQ545" s="3">
        <f>+IF(AVANCE[[#This Row],[LAVAMANOS / LAVAPLATOS / LAVADERO]]=Z$2,100%,AVANCE[[#This Row],[LAVAMANOS / LAVAPLATOS / LAVADERO]])</f>
        <v>0</v>
      </c>
      <c r="BR545" s="3">
        <f>+IF(AVANCE[[#This Row],[CANALIZACIÓN]]=AC$2,100%,AVANCE[[#This Row],[CANALIZACIÓN]])</f>
        <v>0</v>
      </c>
      <c r="BS545" s="3">
        <f>+IF(AVANCE[[#This Row],[CABLEADO]]=AD$2,100%,AVANCE[[#This Row],[CABLEADO]])</f>
        <v>0</v>
      </c>
      <c r="BT545" s="3">
        <f>+IF(AVANCE[[#This Row],[ARTEFACTOS]]=AE$2,100%,AVANCE[[#This Row],[ARTEFACTOS]])</f>
        <v>0</v>
      </c>
      <c r="BU545" s="3">
        <f>+IF(AVANCE[[#This Row],[TABLERO]]=AF$2,100%,AVANCE[[#This Row],[TABLERO]])</f>
        <v>0</v>
      </c>
      <c r="BV545" s="3">
        <f>+IF(AVANCE[[#This Row],[CAJA PAU]]=AG$2,100%,AVANCE[[#This Row],[CAJA PAU]])</f>
        <v>0</v>
      </c>
      <c r="BW545" s="3">
        <f>+IF(AVANCE[[#This Row],[INSTALACION VINILICO]]=AJ$2,100%,AVANCE[[#This Row],[INSTALACION VINILICO]])</f>
        <v>0</v>
      </c>
      <c r="BX545" s="3">
        <f>+IF(AVANCE[[#This Row],[OSB CUBIERTA]]=AK$2,100%,AVANCE[[#This Row],[OSB CUBIERTA]])</f>
        <v>0</v>
      </c>
      <c r="BY545" s="3">
        <f>+IF(AVANCE[[#This Row],[BARANDA BALCON]]=AL$2,100%,AVANCE[[#This Row],[BARANDA BALCON]])</f>
        <v>0</v>
      </c>
      <c r="BZ545" s="3">
        <f>+IF(AVANCE[[#This Row],[OSB EXTERIOR]]=AM$2,100%,AVANCE[[#This Row],[OSB EXTERIOR]])</f>
        <v>0</v>
      </c>
      <c r="CA545" s="3">
        <f>+IF(AVANCE[[#This Row],[SMART PANEL]]=AN$2,100%,AVANCE[[#This Row],[SMART PANEL]])</f>
        <v>0</v>
      </c>
      <c r="CB545" s="3">
        <f>+IF(AVANCE[[#This Row],[PINTURA EXTERIOR]]=AO$2,100%,AVANCE[[#This Row],[PINTURA EXTERIOR]])</f>
        <v>0</v>
      </c>
      <c r="CC545" s="3">
        <f>+IF(AVANCE[[#This Row],[ZOCALOS LOGIA]]=AP$2,100%,AVANCE[[#This Row],[ZOCALOS LOGIA]])</f>
        <v>0</v>
      </c>
      <c r="CD545" s="3">
        <f>+IF(AVANCE[[#This Row],[MOLDURAS]]=AQ$2,100%,AVANCE[[#This Row],[MOLDURAS]])</f>
        <v>0</v>
      </c>
      <c r="CE545" s="3">
        <f>+IF(AVANCE[[#This Row],[PILASTREO]]=AR$2,100%,AVANCE[[#This Row],[PILASTREO]])</f>
        <v>0</v>
      </c>
      <c r="CF545" s="3">
        <f>+IF(AVANCE[[#This Row],[CELOSIAS]]=AS$2,100%,AVANCE[[#This Row],[CELOSIAS]])</f>
        <v>0</v>
      </c>
      <c r="CG545" s="3">
        <f>+IF(AVANCE[[#This Row],[VENTANAS]]=AT$2,100%,AVANCE[[#This Row],[VENTANAS]])</f>
        <v>0</v>
      </c>
      <c r="CH545" s="3">
        <f>+IF(AVANCE[[#This Row],[PUERTAS ACCESO - LOGIA - BANO]]=AU$2,100%,AVANCE[[#This Row],[PUERTAS ACCESO - LOGIA - BANO]])</f>
        <v>0</v>
      </c>
      <c r="CI545" s="3">
        <f>+IF(AVANCE[[#This Row],[CERRADURAS]]=AV$2,100%,AVANCE[[#This Row],[CERRADURAS]])</f>
        <v>0</v>
      </c>
      <c r="CJ545" s="3">
        <f>+IF(AVANCE[[#This Row],[REVESTIMIENTO INTERIOR ZONA SECA]]=AW$2,100%,AVANCE[[#This Row],[REVESTIMIENTO INTERIOR ZONA SECA]])</f>
        <v>0</v>
      </c>
      <c r="CK545" s="3">
        <f>+IF(AVANCE[[#This Row],[REVESTIMIENTO INTERIOR ZONAS HUMEDAS]]=AX$2,100%,AVANCE[[#This Row],[REVESTIMIENTO INTERIOR ZONAS HUMEDAS]])</f>
        <v>0</v>
      </c>
      <c r="CL545" s="3">
        <f>+IF(AVANCE[[#This Row],[MEMBRANA CIELO]]=AY$2,100%,AVANCE[[#This Row],[MEMBRANA CIELO]])</f>
        <v>0</v>
      </c>
      <c r="CM545" s="3">
        <f>+IF(AVANCE[[#This Row],[LIMPIEZA FINAL]]=AZ$2,100%,AVANCE[[#This Row],[LIMPIEZA FINAL]])</f>
        <v>0</v>
      </c>
      <c r="CN545" s="3">
        <f>+IF(AVANCE[[#This Row],[PUERTAS DORMITORIO]]=BA$2,100%,AVANCE[[#This Row],[PUERTAS DORMITORIO]])</f>
        <v>0</v>
      </c>
      <c r="CO545" s="3">
        <f>+IF(AVANCE[[#This Row],[REVESTIMIENTO INTERIOR BANO]]=BB$2,100%,AVANCE[[#This Row],[REVESTIMIENTO INTERIOR BANO]])</f>
        <v>0</v>
      </c>
      <c r="CP545" s="3">
        <f>+IF(AVANCE[[#This Row],[MUEBLE LAVAPLATOS]]=BC$2,100%,AVANCE[[#This Row],[MUEBLE LAVAPLATOS]])</f>
        <v>0</v>
      </c>
      <c r="CQ545" s="3">
        <f>+IF(AVANCE[[#This Row],[IMPERMEABILIZACION BANO - COCINA LOGIA]]=BD$2,100%,AVANCE[[#This Row],[IMPERMEABILIZACION BANO - COCINA LOGIA]])</f>
        <v>0</v>
      </c>
      <c r="CR545" s="40">
        <f ca="1">+IF(AVANCE[[#This Row],[ESTADO MODULO]]="PENDIENTE",(TODAY()-AVANCE[[#This Row],[FECHA TERMINO  PLANIFICADO]]),0)</f>
        <v>0</v>
      </c>
      <c r="CS545" s="42" t="str" cm="1">
        <f t="array" ref="CS545">_xlfn.TEXTJOIN(" | ",TRUE,IF(SUMPRODUCT((BF545:CQ545&lt;1)*(PARTIDAS!$I$2:$AT$2="OBRA GRUESA"))&gt;0,"OBRA GRUESA: "&amp;_xlfn.TEXTJOIN(", ",TRUE,IF((BF545:CQ545&lt;1)*(PARTIDAS!$I$2:$AT$2="OBRA GRUESA"),PARTIDAS!$I$1:$AT$1,"")),""),IF(SUMPRODUCT((BF545:CQ545&lt;1)*(PARTIDAS!$I$2:$AT$2="SANITARIOS"))&gt;0,"SANITARIOS: "&amp;_xlfn.TEXTJOIN(", ",TRUE,IF((BF545:CQ545&lt;1)*(PARTIDAS!$I$2:$AT$2="SANITARIOS"),PARTIDAS!$I$1:$AT$1,"")),""),IF(SUMPRODUCT((BF545:CQ545&lt;1)*(PARTIDAS!$I$2:$AT$2="ELÉCTRICO"))&gt;0,"ELÉCTRICO: "&amp;_xlfn.TEXTJOIN(", ",TRUE,IF((BF545:CQ545&lt;1)*(PARTIDAS!$I$2:$AT$2="ELÉCTRICO"),PARTIDAS!$I$1:$AT$1,"")),""),IF(SUMPRODUCT((BF545:CQ545&lt;1)*(PARTIDAS!$I$2:$AT$2="TERMINACIONES"))&gt;0,"TERMINACIONES: "&amp;_xlfn.TEXTJOIN(", ",TRUE,IF((BF545:CQ545&lt;1)*(PARTIDAS!$I$2:$AT$2="TERMINACIONES"),PARTIDAS!$I$1:$AT$1,"")),""))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5" s="45" t="str" cm="1">
        <f t="array" ref="CT545">_xlfn.TEXTJOIN(", ",TRUE,IF(SUMPRODUCT((BF545:CQ545&lt;1)*(PARTIDAS!$I$2:$AT$2="OBRA GRUESA"))&gt;0,"OBRA GRUESA",""),IF(SUMPRODUCT((BF545:CQ545&lt;1)*(PARTIDAS!$I$2:$AT$2="SANITARIOS"))&gt;0,"SANITARIOS",""),IF(SUMPRODUCT((BF545:CQ545&lt;1)*(PARTIDAS!$I$2:$AT$2="ELÉCTRICO"))&gt;0,"ELÉCTRICO",""),IF(SUMPRODUCT((BF545:CQ545&lt;1)*(PARTIDAS!$I$2:$AT$2="TERMINACIONES"))&gt;0,"TERMINACIONES",""))</f>
        <v>OBRA GRUESA, SANITARIOS, ELÉCTRICO, TERMINACIONES</v>
      </c>
      <c r="CU545" s="46" cm="1">
        <f t="array" ref="CU545">SUMPRODUCT(--(BF545:CQ545&lt;1))</f>
        <v>38</v>
      </c>
    </row>
    <row r="546" spans="1:99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46181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 s="3" t="str">
        <f>+IF(AVANCE[[#This Row],[% AVANCE]]=100%,"MODULO TERMINADO",IF(AVANCE[[#This Row],[FECHA INICIO REAL]]="","MODULO NO INICIADO","PENDIENTE"))</f>
        <v>MODULO NO INICIADO</v>
      </c>
      <c r="BF546" s="3">
        <f>+IF(AVANCE[[#This Row],[VENTANAS]]=8.10810810810811%,100%,AVANCE[[#This Row],[VENTANAS]])</f>
        <v>0</v>
      </c>
      <c r="BG546" s="3">
        <f>+IF(AVANCE[[#This Row],[PISO]]=N$2,100%,AVANCE[[#This Row],[PISO]])</f>
        <v>0</v>
      </c>
      <c r="BH546" s="3">
        <f>+IF(AVANCE[[#This Row],[TABIQUES]]=O$2,100%,AVANCE[[#This Row],[TABIQUES]])</f>
        <v>0</v>
      </c>
      <c r="BI546" s="3">
        <f>+IF(AVANCE[[#This Row],[MUROS]]=P$2,100%,AVANCE[[#This Row],[MUROS]])</f>
        <v>0</v>
      </c>
      <c r="BJ546" s="3">
        <f>+IF(AVANCE[[#This Row],[CIELO]]=Q$2,100%,AVANCE[[#This Row],[CIELO]])</f>
        <v>0</v>
      </c>
      <c r="BK546" s="3">
        <f>+IF(AVANCE[[#This Row],[BALCÓN]]=R$2,100%,AVANCE[[#This Row],[BALCÓN]])</f>
        <v>0</v>
      </c>
      <c r="BL546" s="3">
        <f>+IF(AVANCE[[#This Row],[RED ALCANTARILLADO]]=U$2,100%,AVANCE[[#This Row],[RED ALCANTARILLADO]])</f>
        <v>0</v>
      </c>
      <c r="BM546" s="3">
        <f>+IF(AVANCE[[#This Row],[RED DE AGUA]]=V$2,100%,AVANCE[[#This Row],[RED DE AGUA]])</f>
        <v>0</v>
      </c>
      <c r="BN546" s="3">
        <f>+IF(AVANCE[[#This Row],[VENTILACIONES]]=W$2,100%,AVANCE[[#This Row],[VENTILACIONES]])</f>
        <v>0</v>
      </c>
      <c r="BO546" s="3">
        <f>+IF(AVANCE[[#This Row],[TINA]]=X$2,100%,AVANCE[[#This Row],[TINA]])</f>
        <v>0</v>
      </c>
      <c r="BP546" s="3">
        <f>+IF(AVANCE[[#This Row],[WC]]=Y$2,100%,AVANCE[[#This Row],[WC]])</f>
        <v>0</v>
      </c>
      <c r="BQ546" s="3">
        <f>+IF(AVANCE[[#This Row],[LAVAMANOS / LAVAPLATOS / LAVADERO]]=Z$2,100%,AVANCE[[#This Row],[LAVAMANOS / LAVAPLATOS / LAVADERO]])</f>
        <v>0</v>
      </c>
      <c r="BR546" s="3">
        <f>+IF(AVANCE[[#This Row],[CANALIZACIÓN]]=AC$2,100%,AVANCE[[#This Row],[CANALIZACIÓN]])</f>
        <v>0</v>
      </c>
      <c r="BS546" s="3">
        <f>+IF(AVANCE[[#This Row],[CABLEADO]]=AD$2,100%,AVANCE[[#This Row],[CABLEADO]])</f>
        <v>0</v>
      </c>
      <c r="BT546" s="3">
        <f>+IF(AVANCE[[#This Row],[ARTEFACTOS]]=AE$2,100%,AVANCE[[#This Row],[ARTEFACTOS]])</f>
        <v>0</v>
      </c>
      <c r="BU546" s="3">
        <f>+IF(AVANCE[[#This Row],[TABLERO]]=AF$2,100%,AVANCE[[#This Row],[TABLERO]])</f>
        <v>0</v>
      </c>
      <c r="BV546" s="3">
        <f>+IF(AVANCE[[#This Row],[CAJA PAU]]=AG$2,100%,AVANCE[[#This Row],[CAJA PAU]])</f>
        <v>0</v>
      </c>
      <c r="BW546" s="3">
        <f>+IF(AVANCE[[#This Row],[INSTALACION VINILICO]]=AJ$2,100%,AVANCE[[#This Row],[INSTALACION VINILICO]])</f>
        <v>0</v>
      </c>
      <c r="BX546" s="3">
        <f>+IF(AVANCE[[#This Row],[OSB CUBIERTA]]=AK$2,100%,AVANCE[[#This Row],[OSB CUBIERTA]])</f>
        <v>0</v>
      </c>
      <c r="BY546" s="3">
        <f>+IF(AVANCE[[#This Row],[BARANDA BALCON]]=AL$2,100%,AVANCE[[#This Row],[BARANDA BALCON]])</f>
        <v>0</v>
      </c>
      <c r="BZ546" s="3">
        <f>+IF(AVANCE[[#This Row],[OSB EXTERIOR]]=AM$2,100%,AVANCE[[#This Row],[OSB EXTERIOR]])</f>
        <v>0</v>
      </c>
      <c r="CA546" s="3">
        <f>+IF(AVANCE[[#This Row],[SMART PANEL]]=AN$2,100%,AVANCE[[#This Row],[SMART PANEL]])</f>
        <v>0</v>
      </c>
      <c r="CB546" s="3">
        <f>+IF(AVANCE[[#This Row],[PINTURA EXTERIOR]]=AO$2,100%,AVANCE[[#This Row],[PINTURA EXTERIOR]])</f>
        <v>0</v>
      </c>
      <c r="CC546" s="3">
        <f>+IF(AVANCE[[#This Row],[ZOCALOS LOGIA]]=AP$2,100%,AVANCE[[#This Row],[ZOCALOS LOGIA]])</f>
        <v>0</v>
      </c>
      <c r="CD546" s="3">
        <f>+IF(AVANCE[[#This Row],[MOLDURAS]]=AQ$2,100%,AVANCE[[#This Row],[MOLDURAS]])</f>
        <v>0</v>
      </c>
      <c r="CE546" s="3">
        <f>+IF(AVANCE[[#This Row],[PILASTREO]]=AR$2,100%,AVANCE[[#This Row],[PILASTREO]])</f>
        <v>0</v>
      </c>
      <c r="CF546" s="3">
        <f>+IF(AVANCE[[#This Row],[CELOSIAS]]=AS$2,100%,AVANCE[[#This Row],[CELOSIAS]])</f>
        <v>0</v>
      </c>
      <c r="CG546" s="3">
        <f>+IF(AVANCE[[#This Row],[VENTANAS]]=AT$2,100%,AVANCE[[#This Row],[VENTANAS]])</f>
        <v>0</v>
      </c>
      <c r="CH546" s="3">
        <f>+IF(AVANCE[[#This Row],[PUERTAS ACCESO - LOGIA - BANO]]=AU$2,100%,AVANCE[[#This Row],[PUERTAS ACCESO - LOGIA - BANO]])</f>
        <v>0</v>
      </c>
      <c r="CI546" s="3">
        <f>+IF(AVANCE[[#This Row],[CERRADURAS]]=AV$2,100%,AVANCE[[#This Row],[CERRADURAS]])</f>
        <v>0</v>
      </c>
      <c r="CJ546" s="3">
        <f>+IF(AVANCE[[#This Row],[REVESTIMIENTO INTERIOR ZONA SECA]]=AW$2,100%,AVANCE[[#This Row],[REVESTIMIENTO INTERIOR ZONA SECA]])</f>
        <v>0</v>
      </c>
      <c r="CK546" s="3">
        <f>+IF(AVANCE[[#This Row],[REVESTIMIENTO INTERIOR ZONAS HUMEDAS]]=AX$2,100%,AVANCE[[#This Row],[REVESTIMIENTO INTERIOR ZONAS HUMEDAS]])</f>
        <v>0</v>
      </c>
      <c r="CL546" s="3">
        <f>+IF(AVANCE[[#This Row],[MEMBRANA CIELO]]=AY$2,100%,AVANCE[[#This Row],[MEMBRANA CIELO]])</f>
        <v>0</v>
      </c>
      <c r="CM546" s="3">
        <f>+IF(AVANCE[[#This Row],[LIMPIEZA FINAL]]=AZ$2,100%,AVANCE[[#This Row],[LIMPIEZA FINAL]])</f>
        <v>0</v>
      </c>
      <c r="CN546" s="3">
        <f>+IF(AVANCE[[#This Row],[PUERTAS DORMITORIO]]=BA$2,100%,AVANCE[[#This Row],[PUERTAS DORMITORIO]])</f>
        <v>0</v>
      </c>
      <c r="CO546" s="3">
        <f>+IF(AVANCE[[#This Row],[REVESTIMIENTO INTERIOR BANO]]=BB$2,100%,AVANCE[[#This Row],[REVESTIMIENTO INTERIOR BANO]])</f>
        <v>0</v>
      </c>
      <c r="CP546" s="3">
        <f>+IF(AVANCE[[#This Row],[MUEBLE LAVAPLATOS]]=BC$2,100%,AVANCE[[#This Row],[MUEBLE LAVAPLATOS]])</f>
        <v>0</v>
      </c>
      <c r="CQ546" s="3">
        <f>+IF(AVANCE[[#This Row],[IMPERMEABILIZACION BANO - COCINA LOGIA]]=BD$2,100%,AVANCE[[#This Row],[IMPERMEABILIZACION BANO - COCINA LOGIA]])</f>
        <v>0</v>
      </c>
      <c r="CR546" s="40">
        <f ca="1">+IF(AVANCE[[#This Row],[ESTADO MODULO]]="PENDIENTE",(TODAY()-AVANCE[[#This Row],[FECHA TERMINO  PLANIFICADO]]),0)</f>
        <v>0</v>
      </c>
      <c r="CS546" s="42" t="str" cm="1">
        <f t="array" ref="CS546">_xlfn.TEXTJOIN(" | ",TRUE,IF(SUMPRODUCT((BF546:CQ546&lt;1)*(PARTIDAS!$I$2:$AT$2="OBRA GRUESA"))&gt;0,"OBRA GRUESA: "&amp;_xlfn.TEXTJOIN(", ",TRUE,IF((BF546:CQ546&lt;1)*(PARTIDAS!$I$2:$AT$2="OBRA GRUESA"),PARTIDAS!$I$1:$AT$1,"")),""),IF(SUMPRODUCT((BF546:CQ546&lt;1)*(PARTIDAS!$I$2:$AT$2="SANITARIOS"))&gt;0,"SANITARIOS: "&amp;_xlfn.TEXTJOIN(", ",TRUE,IF((BF546:CQ546&lt;1)*(PARTIDAS!$I$2:$AT$2="SANITARIOS"),PARTIDAS!$I$1:$AT$1,"")),""),IF(SUMPRODUCT((BF546:CQ546&lt;1)*(PARTIDAS!$I$2:$AT$2="ELÉCTRICO"))&gt;0,"ELÉCTRICO: "&amp;_xlfn.TEXTJOIN(", ",TRUE,IF((BF546:CQ546&lt;1)*(PARTIDAS!$I$2:$AT$2="ELÉCTRICO"),PARTIDAS!$I$1:$AT$1,"")),""),IF(SUMPRODUCT((BF546:CQ546&lt;1)*(PARTIDAS!$I$2:$AT$2="TERMINACIONES"))&gt;0,"TERMINACIONES: "&amp;_xlfn.TEXTJOIN(", ",TRUE,IF((BF546:CQ546&lt;1)*(PARTIDAS!$I$2:$AT$2="TERMINACIONES"),PARTIDAS!$I$1:$AT$1,"")),""))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6" s="45" t="str" cm="1">
        <f t="array" ref="CT546">_xlfn.TEXTJOIN(", ",TRUE,IF(SUMPRODUCT((BF546:CQ546&lt;1)*(PARTIDAS!$I$2:$AT$2="OBRA GRUESA"))&gt;0,"OBRA GRUESA",""),IF(SUMPRODUCT((BF546:CQ546&lt;1)*(PARTIDAS!$I$2:$AT$2="SANITARIOS"))&gt;0,"SANITARIOS",""),IF(SUMPRODUCT((BF546:CQ546&lt;1)*(PARTIDAS!$I$2:$AT$2="ELÉCTRICO"))&gt;0,"ELÉCTRICO",""),IF(SUMPRODUCT((BF546:CQ546&lt;1)*(PARTIDAS!$I$2:$AT$2="TERMINACIONES"))&gt;0,"TERMINACIONES",""))</f>
        <v>OBRA GRUESA, SANITARIOS, ELÉCTRICO, TERMINACIONES</v>
      </c>
      <c r="CU546" s="46" cm="1">
        <f t="array" ref="CU546">SUMPRODUCT(--(BF546:CQ546&lt;1))</f>
        <v>38</v>
      </c>
    </row>
    <row r="547" spans="1:99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46181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 s="3" t="str">
        <f>+IF(AVANCE[[#This Row],[% AVANCE]]=100%,"MODULO TERMINADO",IF(AVANCE[[#This Row],[FECHA INICIO REAL]]="","MODULO NO INICIADO","PENDIENTE"))</f>
        <v>MODULO NO INICIADO</v>
      </c>
      <c r="BF547" s="3">
        <f>+IF(AVANCE[[#This Row],[VENTANAS]]=8.10810810810811%,100%,AVANCE[[#This Row],[VENTANAS]])</f>
        <v>0</v>
      </c>
      <c r="BG547" s="3">
        <f>+IF(AVANCE[[#This Row],[PISO]]=N$2,100%,AVANCE[[#This Row],[PISO]])</f>
        <v>0</v>
      </c>
      <c r="BH547" s="3">
        <f>+IF(AVANCE[[#This Row],[TABIQUES]]=O$2,100%,AVANCE[[#This Row],[TABIQUES]])</f>
        <v>0</v>
      </c>
      <c r="BI547" s="3">
        <f>+IF(AVANCE[[#This Row],[MUROS]]=P$2,100%,AVANCE[[#This Row],[MUROS]])</f>
        <v>0</v>
      </c>
      <c r="BJ547" s="3">
        <f>+IF(AVANCE[[#This Row],[CIELO]]=Q$2,100%,AVANCE[[#This Row],[CIELO]])</f>
        <v>0</v>
      </c>
      <c r="BK547" s="3">
        <f>+IF(AVANCE[[#This Row],[BALCÓN]]=R$2,100%,AVANCE[[#This Row],[BALCÓN]])</f>
        <v>0</v>
      </c>
      <c r="BL547" s="3">
        <f>+IF(AVANCE[[#This Row],[RED ALCANTARILLADO]]=U$2,100%,AVANCE[[#This Row],[RED ALCANTARILLADO]])</f>
        <v>0</v>
      </c>
      <c r="BM547" s="3">
        <f>+IF(AVANCE[[#This Row],[RED DE AGUA]]=V$2,100%,AVANCE[[#This Row],[RED DE AGUA]])</f>
        <v>0</v>
      </c>
      <c r="BN547" s="3">
        <f>+IF(AVANCE[[#This Row],[VENTILACIONES]]=W$2,100%,AVANCE[[#This Row],[VENTILACIONES]])</f>
        <v>0</v>
      </c>
      <c r="BO547" s="3">
        <f>+IF(AVANCE[[#This Row],[TINA]]=X$2,100%,AVANCE[[#This Row],[TINA]])</f>
        <v>0</v>
      </c>
      <c r="BP547" s="3">
        <f>+IF(AVANCE[[#This Row],[WC]]=Y$2,100%,AVANCE[[#This Row],[WC]])</f>
        <v>0</v>
      </c>
      <c r="BQ547" s="3">
        <f>+IF(AVANCE[[#This Row],[LAVAMANOS / LAVAPLATOS / LAVADERO]]=Z$2,100%,AVANCE[[#This Row],[LAVAMANOS / LAVAPLATOS / LAVADERO]])</f>
        <v>0</v>
      </c>
      <c r="BR547" s="3">
        <f>+IF(AVANCE[[#This Row],[CANALIZACIÓN]]=AC$2,100%,AVANCE[[#This Row],[CANALIZACIÓN]])</f>
        <v>0</v>
      </c>
      <c r="BS547" s="3">
        <f>+IF(AVANCE[[#This Row],[CABLEADO]]=AD$2,100%,AVANCE[[#This Row],[CABLEADO]])</f>
        <v>0</v>
      </c>
      <c r="BT547" s="3">
        <f>+IF(AVANCE[[#This Row],[ARTEFACTOS]]=AE$2,100%,AVANCE[[#This Row],[ARTEFACTOS]])</f>
        <v>0</v>
      </c>
      <c r="BU547" s="3">
        <f>+IF(AVANCE[[#This Row],[TABLERO]]=AF$2,100%,AVANCE[[#This Row],[TABLERO]])</f>
        <v>0</v>
      </c>
      <c r="BV547" s="3">
        <f>+IF(AVANCE[[#This Row],[CAJA PAU]]=AG$2,100%,AVANCE[[#This Row],[CAJA PAU]])</f>
        <v>0</v>
      </c>
      <c r="BW547" s="3">
        <f>+IF(AVANCE[[#This Row],[INSTALACION VINILICO]]=AJ$2,100%,AVANCE[[#This Row],[INSTALACION VINILICO]])</f>
        <v>0</v>
      </c>
      <c r="BX547" s="3">
        <f>+IF(AVANCE[[#This Row],[OSB CUBIERTA]]=AK$2,100%,AVANCE[[#This Row],[OSB CUBIERTA]])</f>
        <v>0</v>
      </c>
      <c r="BY547" s="3">
        <f>+IF(AVANCE[[#This Row],[BARANDA BALCON]]=AL$2,100%,AVANCE[[#This Row],[BARANDA BALCON]])</f>
        <v>0</v>
      </c>
      <c r="BZ547" s="3">
        <f>+IF(AVANCE[[#This Row],[OSB EXTERIOR]]=AM$2,100%,AVANCE[[#This Row],[OSB EXTERIOR]])</f>
        <v>0</v>
      </c>
      <c r="CA547" s="3">
        <f>+IF(AVANCE[[#This Row],[SMART PANEL]]=AN$2,100%,AVANCE[[#This Row],[SMART PANEL]])</f>
        <v>0</v>
      </c>
      <c r="CB547" s="3">
        <f>+IF(AVANCE[[#This Row],[PINTURA EXTERIOR]]=AO$2,100%,AVANCE[[#This Row],[PINTURA EXTERIOR]])</f>
        <v>0</v>
      </c>
      <c r="CC547" s="3">
        <f>+IF(AVANCE[[#This Row],[ZOCALOS LOGIA]]=AP$2,100%,AVANCE[[#This Row],[ZOCALOS LOGIA]])</f>
        <v>0</v>
      </c>
      <c r="CD547" s="3">
        <f>+IF(AVANCE[[#This Row],[MOLDURAS]]=AQ$2,100%,AVANCE[[#This Row],[MOLDURAS]])</f>
        <v>0</v>
      </c>
      <c r="CE547" s="3">
        <f>+IF(AVANCE[[#This Row],[PILASTREO]]=AR$2,100%,AVANCE[[#This Row],[PILASTREO]])</f>
        <v>0</v>
      </c>
      <c r="CF547" s="3">
        <f>+IF(AVANCE[[#This Row],[CELOSIAS]]=AS$2,100%,AVANCE[[#This Row],[CELOSIAS]])</f>
        <v>0</v>
      </c>
      <c r="CG547" s="3">
        <f>+IF(AVANCE[[#This Row],[VENTANAS]]=AT$2,100%,AVANCE[[#This Row],[VENTANAS]])</f>
        <v>0</v>
      </c>
      <c r="CH547" s="3">
        <f>+IF(AVANCE[[#This Row],[PUERTAS ACCESO - LOGIA - BANO]]=AU$2,100%,AVANCE[[#This Row],[PUERTAS ACCESO - LOGIA - BANO]])</f>
        <v>0</v>
      </c>
      <c r="CI547" s="3">
        <f>+IF(AVANCE[[#This Row],[CERRADURAS]]=AV$2,100%,AVANCE[[#This Row],[CERRADURAS]])</f>
        <v>0</v>
      </c>
      <c r="CJ547" s="3">
        <f>+IF(AVANCE[[#This Row],[REVESTIMIENTO INTERIOR ZONA SECA]]=AW$2,100%,AVANCE[[#This Row],[REVESTIMIENTO INTERIOR ZONA SECA]])</f>
        <v>0</v>
      </c>
      <c r="CK547" s="3">
        <f>+IF(AVANCE[[#This Row],[REVESTIMIENTO INTERIOR ZONAS HUMEDAS]]=AX$2,100%,AVANCE[[#This Row],[REVESTIMIENTO INTERIOR ZONAS HUMEDAS]])</f>
        <v>0</v>
      </c>
      <c r="CL547" s="3">
        <f>+IF(AVANCE[[#This Row],[MEMBRANA CIELO]]=AY$2,100%,AVANCE[[#This Row],[MEMBRANA CIELO]])</f>
        <v>0</v>
      </c>
      <c r="CM547" s="3">
        <f>+IF(AVANCE[[#This Row],[LIMPIEZA FINAL]]=AZ$2,100%,AVANCE[[#This Row],[LIMPIEZA FINAL]])</f>
        <v>0</v>
      </c>
      <c r="CN547" s="3">
        <f>+IF(AVANCE[[#This Row],[PUERTAS DORMITORIO]]=BA$2,100%,AVANCE[[#This Row],[PUERTAS DORMITORIO]])</f>
        <v>0</v>
      </c>
      <c r="CO547" s="3">
        <f>+IF(AVANCE[[#This Row],[REVESTIMIENTO INTERIOR BANO]]=BB$2,100%,AVANCE[[#This Row],[REVESTIMIENTO INTERIOR BANO]])</f>
        <v>0</v>
      </c>
      <c r="CP547" s="3">
        <f>+IF(AVANCE[[#This Row],[MUEBLE LAVAPLATOS]]=BC$2,100%,AVANCE[[#This Row],[MUEBLE LAVAPLATOS]])</f>
        <v>0</v>
      </c>
      <c r="CQ547" s="3">
        <f>+IF(AVANCE[[#This Row],[IMPERMEABILIZACION BANO - COCINA LOGIA]]=BD$2,100%,AVANCE[[#This Row],[IMPERMEABILIZACION BANO - COCINA LOGIA]])</f>
        <v>0</v>
      </c>
      <c r="CR547" s="40">
        <f ca="1">+IF(AVANCE[[#This Row],[ESTADO MODULO]]="PENDIENTE",(TODAY()-AVANCE[[#This Row],[FECHA TERMINO  PLANIFICADO]]),0)</f>
        <v>0</v>
      </c>
      <c r="CS547" s="42" t="str" cm="1">
        <f t="array" ref="CS547">_xlfn.TEXTJOIN(" | ",TRUE,IF(SUMPRODUCT((BF547:CQ547&lt;1)*(PARTIDAS!$I$2:$AT$2="OBRA GRUESA"))&gt;0,"OBRA GRUESA: "&amp;_xlfn.TEXTJOIN(", ",TRUE,IF((BF547:CQ547&lt;1)*(PARTIDAS!$I$2:$AT$2="OBRA GRUESA"),PARTIDAS!$I$1:$AT$1,"")),""),IF(SUMPRODUCT((BF547:CQ547&lt;1)*(PARTIDAS!$I$2:$AT$2="SANITARIOS"))&gt;0,"SANITARIOS: "&amp;_xlfn.TEXTJOIN(", ",TRUE,IF((BF547:CQ547&lt;1)*(PARTIDAS!$I$2:$AT$2="SANITARIOS"),PARTIDAS!$I$1:$AT$1,"")),""),IF(SUMPRODUCT((BF547:CQ547&lt;1)*(PARTIDAS!$I$2:$AT$2="ELÉCTRICO"))&gt;0,"ELÉCTRICO: "&amp;_xlfn.TEXTJOIN(", ",TRUE,IF((BF547:CQ547&lt;1)*(PARTIDAS!$I$2:$AT$2="ELÉCTRICO"),PARTIDAS!$I$1:$AT$1,"")),""),IF(SUMPRODUCT((BF547:CQ547&lt;1)*(PARTIDAS!$I$2:$AT$2="TERMINACIONES"))&gt;0,"TERMINACIONES: "&amp;_xlfn.TEXTJOIN(", ",TRUE,IF((BF547:CQ547&lt;1)*(PARTIDAS!$I$2:$AT$2="TERMINACIONES"),PARTIDAS!$I$1:$AT$1,"")),""))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7" s="45" t="str" cm="1">
        <f t="array" ref="CT547">_xlfn.TEXTJOIN(", ",TRUE,IF(SUMPRODUCT((BF547:CQ547&lt;1)*(PARTIDAS!$I$2:$AT$2="OBRA GRUESA"))&gt;0,"OBRA GRUESA",""),IF(SUMPRODUCT((BF547:CQ547&lt;1)*(PARTIDAS!$I$2:$AT$2="SANITARIOS"))&gt;0,"SANITARIOS",""),IF(SUMPRODUCT((BF547:CQ547&lt;1)*(PARTIDAS!$I$2:$AT$2="ELÉCTRICO"))&gt;0,"ELÉCTRICO",""),IF(SUMPRODUCT((BF547:CQ547&lt;1)*(PARTIDAS!$I$2:$AT$2="TERMINACIONES"))&gt;0,"TERMINACIONES",""))</f>
        <v>OBRA GRUESA, SANITARIOS, ELÉCTRICO, TERMINACIONES</v>
      </c>
      <c r="CU547" s="46" cm="1">
        <f t="array" ref="CU547">SUMPRODUCT(--(BF547:CQ547&lt;1))</f>
        <v>38</v>
      </c>
    </row>
    <row r="548" spans="1:99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46181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 s="3" t="str">
        <f>+IF(AVANCE[[#This Row],[% AVANCE]]=100%,"MODULO TERMINADO",IF(AVANCE[[#This Row],[FECHA INICIO REAL]]="","MODULO NO INICIADO","PENDIENTE"))</f>
        <v>MODULO NO INICIADO</v>
      </c>
      <c r="BF548" s="3">
        <f>+IF(AVANCE[[#This Row],[VENTANAS]]=8.10810810810811%,100%,AVANCE[[#This Row],[VENTANAS]])</f>
        <v>0</v>
      </c>
      <c r="BG548" s="3">
        <f>+IF(AVANCE[[#This Row],[PISO]]=N$2,100%,AVANCE[[#This Row],[PISO]])</f>
        <v>0</v>
      </c>
      <c r="BH548" s="3">
        <f>+IF(AVANCE[[#This Row],[TABIQUES]]=O$2,100%,AVANCE[[#This Row],[TABIQUES]])</f>
        <v>0</v>
      </c>
      <c r="BI548" s="3">
        <f>+IF(AVANCE[[#This Row],[MUROS]]=P$2,100%,AVANCE[[#This Row],[MUROS]])</f>
        <v>0</v>
      </c>
      <c r="BJ548" s="3">
        <f>+IF(AVANCE[[#This Row],[CIELO]]=Q$2,100%,AVANCE[[#This Row],[CIELO]])</f>
        <v>0</v>
      </c>
      <c r="BK548" s="3">
        <f>+IF(AVANCE[[#This Row],[BALCÓN]]=R$2,100%,AVANCE[[#This Row],[BALCÓN]])</f>
        <v>0</v>
      </c>
      <c r="BL548" s="3">
        <f>+IF(AVANCE[[#This Row],[RED ALCANTARILLADO]]=U$2,100%,AVANCE[[#This Row],[RED ALCANTARILLADO]])</f>
        <v>0</v>
      </c>
      <c r="BM548" s="3">
        <f>+IF(AVANCE[[#This Row],[RED DE AGUA]]=V$2,100%,AVANCE[[#This Row],[RED DE AGUA]])</f>
        <v>0</v>
      </c>
      <c r="BN548" s="3">
        <f>+IF(AVANCE[[#This Row],[VENTILACIONES]]=W$2,100%,AVANCE[[#This Row],[VENTILACIONES]])</f>
        <v>0</v>
      </c>
      <c r="BO548" s="3">
        <f>+IF(AVANCE[[#This Row],[TINA]]=X$2,100%,AVANCE[[#This Row],[TINA]])</f>
        <v>0</v>
      </c>
      <c r="BP548" s="3">
        <f>+IF(AVANCE[[#This Row],[WC]]=Y$2,100%,AVANCE[[#This Row],[WC]])</f>
        <v>0</v>
      </c>
      <c r="BQ548" s="3">
        <f>+IF(AVANCE[[#This Row],[LAVAMANOS / LAVAPLATOS / LAVADERO]]=Z$2,100%,AVANCE[[#This Row],[LAVAMANOS / LAVAPLATOS / LAVADERO]])</f>
        <v>0</v>
      </c>
      <c r="BR548" s="3">
        <f>+IF(AVANCE[[#This Row],[CANALIZACIÓN]]=AC$2,100%,AVANCE[[#This Row],[CANALIZACIÓN]])</f>
        <v>0</v>
      </c>
      <c r="BS548" s="3">
        <f>+IF(AVANCE[[#This Row],[CABLEADO]]=AD$2,100%,AVANCE[[#This Row],[CABLEADO]])</f>
        <v>0</v>
      </c>
      <c r="BT548" s="3">
        <f>+IF(AVANCE[[#This Row],[ARTEFACTOS]]=AE$2,100%,AVANCE[[#This Row],[ARTEFACTOS]])</f>
        <v>0</v>
      </c>
      <c r="BU548" s="3">
        <f>+IF(AVANCE[[#This Row],[TABLERO]]=AF$2,100%,AVANCE[[#This Row],[TABLERO]])</f>
        <v>0</v>
      </c>
      <c r="BV548" s="3">
        <f>+IF(AVANCE[[#This Row],[CAJA PAU]]=AG$2,100%,AVANCE[[#This Row],[CAJA PAU]])</f>
        <v>0</v>
      </c>
      <c r="BW548" s="3">
        <f>+IF(AVANCE[[#This Row],[INSTALACION VINILICO]]=AJ$2,100%,AVANCE[[#This Row],[INSTALACION VINILICO]])</f>
        <v>0</v>
      </c>
      <c r="BX548" s="3">
        <f>+IF(AVANCE[[#This Row],[OSB CUBIERTA]]=AK$2,100%,AVANCE[[#This Row],[OSB CUBIERTA]])</f>
        <v>0</v>
      </c>
      <c r="BY548" s="3">
        <f>+IF(AVANCE[[#This Row],[BARANDA BALCON]]=AL$2,100%,AVANCE[[#This Row],[BARANDA BALCON]])</f>
        <v>0</v>
      </c>
      <c r="BZ548" s="3">
        <f>+IF(AVANCE[[#This Row],[OSB EXTERIOR]]=AM$2,100%,AVANCE[[#This Row],[OSB EXTERIOR]])</f>
        <v>0</v>
      </c>
      <c r="CA548" s="3">
        <f>+IF(AVANCE[[#This Row],[SMART PANEL]]=AN$2,100%,AVANCE[[#This Row],[SMART PANEL]])</f>
        <v>0</v>
      </c>
      <c r="CB548" s="3">
        <f>+IF(AVANCE[[#This Row],[PINTURA EXTERIOR]]=AO$2,100%,AVANCE[[#This Row],[PINTURA EXTERIOR]])</f>
        <v>0</v>
      </c>
      <c r="CC548" s="3">
        <f>+IF(AVANCE[[#This Row],[ZOCALOS LOGIA]]=AP$2,100%,AVANCE[[#This Row],[ZOCALOS LOGIA]])</f>
        <v>0</v>
      </c>
      <c r="CD548" s="3">
        <f>+IF(AVANCE[[#This Row],[MOLDURAS]]=AQ$2,100%,AVANCE[[#This Row],[MOLDURAS]])</f>
        <v>0</v>
      </c>
      <c r="CE548" s="3">
        <f>+IF(AVANCE[[#This Row],[PILASTREO]]=AR$2,100%,AVANCE[[#This Row],[PILASTREO]])</f>
        <v>0</v>
      </c>
      <c r="CF548" s="3">
        <f>+IF(AVANCE[[#This Row],[CELOSIAS]]=AS$2,100%,AVANCE[[#This Row],[CELOSIAS]])</f>
        <v>0</v>
      </c>
      <c r="CG548" s="3">
        <f>+IF(AVANCE[[#This Row],[VENTANAS]]=AT$2,100%,AVANCE[[#This Row],[VENTANAS]])</f>
        <v>0</v>
      </c>
      <c r="CH548" s="3">
        <f>+IF(AVANCE[[#This Row],[PUERTAS ACCESO - LOGIA - BANO]]=AU$2,100%,AVANCE[[#This Row],[PUERTAS ACCESO - LOGIA - BANO]])</f>
        <v>0</v>
      </c>
      <c r="CI548" s="3">
        <f>+IF(AVANCE[[#This Row],[CERRADURAS]]=AV$2,100%,AVANCE[[#This Row],[CERRADURAS]])</f>
        <v>0</v>
      </c>
      <c r="CJ548" s="3">
        <f>+IF(AVANCE[[#This Row],[REVESTIMIENTO INTERIOR ZONA SECA]]=AW$2,100%,AVANCE[[#This Row],[REVESTIMIENTO INTERIOR ZONA SECA]])</f>
        <v>0</v>
      </c>
      <c r="CK548" s="3">
        <f>+IF(AVANCE[[#This Row],[REVESTIMIENTO INTERIOR ZONAS HUMEDAS]]=AX$2,100%,AVANCE[[#This Row],[REVESTIMIENTO INTERIOR ZONAS HUMEDAS]])</f>
        <v>0</v>
      </c>
      <c r="CL548" s="3">
        <f>+IF(AVANCE[[#This Row],[MEMBRANA CIELO]]=AY$2,100%,AVANCE[[#This Row],[MEMBRANA CIELO]])</f>
        <v>0</v>
      </c>
      <c r="CM548" s="3">
        <f>+IF(AVANCE[[#This Row],[LIMPIEZA FINAL]]=AZ$2,100%,AVANCE[[#This Row],[LIMPIEZA FINAL]])</f>
        <v>0</v>
      </c>
      <c r="CN548" s="3">
        <f>+IF(AVANCE[[#This Row],[PUERTAS DORMITORIO]]=BA$2,100%,AVANCE[[#This Row],[PUERTAS DORMITORIO]])</f>
        <v>0</v>
      </c>
      <c r="CO548" s="3">
        <f>+IF(AVANCE[[#This Row],[REVESTIMIENTO INTERIOR BANO]]=BB$2,100%,AVANCE[[#This Row],[REVESTIMIENTO INTERIOR BANO]])</f>
        <v>0</v>
      </c>
      <c r="CP548" s="3">
        <f>+IF(AVANCE[[#This Row],[MUEBLE LAVAPLATOS]]=BC$2,100%,AVANCE[[#This Row],[MUEBLE LAVAPLATOS]])</f>
        <v>0</v>
      </c>
      <c r="CQ548" s="3">
        <f>+IF(AVANCE[[#This Row],[IMPERMEABILIZACION BANO - COCINA LOGIA]]=BD$2,100%,AVANCE[[#This Row],[IMPERMEABILIZACION BANO - COCINA LOGIA]])</f>
        <v>0</v>
      </c>
      <c r="CR548" s="40">
        <f ca="1">+IF(AVANCE[[#This Row],[ESTADO MODULO]]="PENDIENTE",(TODAY()-AVANCE[[#This Row],[FECHA TERMINO  PLANIFICADO]]),0)</f>
        <v>0</v>
      </c>
      <c r="CS548" s="42" t="str" cm="1">
        <f t="array" ref="CS548">_xlfn.TEXTJOIN(" | ",TRUE,IF(SUMPRODUCT((BF548:CQ548&lt;1)*(PARTIDAS!$I$2:$AT$2="OBRA GRUESA"))&gt;0,"OBRA GRUESA: "&amp;_xlfn.TEXTJOIN(", ",TRUE,IF((BF548:CQ548&lt;1)*(PARTIDAS!$I$2:$AT$2="OBRA GRUESA"),PARTIDAS!$I$1:$AT$1,"")),""),IF(SUMPRODUCT((BF548:CQ548&lt;1)*(PARTIDAS!$I$2:$AT$2="SANITARIOS"))&gt;0,"SANITARIOS: "&amp;_xlfn.TEXTJOIN(", ",TRUE,IF((BF548:CQ548&lt;1)*(PARTIDAS!$I$2:$AT$2="SANITARIOS"),PARTIDAS!$I$1:$AT$1,"")),""),IF(SUMPRODUCT((BF548:CQ548&lt;1)*(PARTIDAS!$I$2:$AT$2="ELÉCTRICO"))&gt;0,"ELÉCTRICO: "&amp;_xlfn.TEXTJOIN(", ",TRUE,IF((BF548:CQ548&lt;1)*(PARTIDAS!$I$2:$AT$2="ELÉCTRICO"),PARTIDAS!$I$1:$AT$1,"")),""),IF(SUMPRODUCT((BF548:CQ548&lt;1)*(PARTIDAS!$I$2:$AT$2="TERMINACIONES"))&gt;0,"TERMINACIONES: "&amp;_xlfn.TEXTJOIN(", ",TRUE,IF((BF548:CQ548&lt;1)*(PARTIDAS!$I$2:$AT$2="TERMINACIONES"),PARTIDAS!$I$1:$AT$1,"")),""))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8" s="45" t="str" cm="1">
        <f t="array" ref="CT548">_xlfn.TEXTJOIN(", ",TRUE,IF(SUMPRODUCT((BF548:CQ548&lt;1)*(PARTIDAS!$I$2:$AT$2="OBRA GRUESA"))&gt;0,"OBRA GRUESA",""),IF(SUMPRODUCT((BF548:CQ548&lt;1)*(PARTIDAS!$I$2:$AT$2="SANITARIOS"))&gt;0,"SANITARIOS",""),IF(SUMPRODUCT((BF548:CQ548&lt;1)*(PARTIDAS!$I$2:$AT$2="ELÉCTRICO"))&gt;0,"ELÉCTRICO",""),IF(SUMPRODUCT((BF548:CQ548&lt;1)*(PARTIDAS!$I$2:$AT$2="TERMINACIONES"))&gt;0,"TERMINACIONES",""))</f>
        <v>OBRA GRUESA, SANITARIOS, ELÉCTRICO, TERMINACIONES</v>
      </c>
      <c r="CU548" s="46" cm="1">
        <f t="array" ref="CU548">SUMPRODUCT(--(BF548:CQ548&lt;1))</f>
        <v>38</v>
      </c>
    </row>
    <row r="549" spans="1:99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46181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 s="3" t="str">
        <f>+IF(AVANCE[[#This Row],[% AVANCE]]=100%,"MODULO TERMINADO",IF(AVANCE[[#This Row],[FECHA INICIO REAL]]="","MODULO NO INICIADO","PENDIENTE"))</f>
        <v>MODULO NO INICIADO</v>
      </c>
      <c r="BF549" s="3">
        <f>+IF(AVANCE[[#This Row],[VENTANAS]]=8.10810810810811%,100%,AVANCE[[#This Row],[VENTANAS]])</f>
        <v>0</v>
      </c>
      <c r="BG549" s="3">
        <f>+IF(AVANCE[[#This Row],[PISO]]=N$2,100%,AVANCE[[#This Row],[PISO]])</f>
        <v>0</v>
      </c>
      <c r="BH549" s="3">
        <f>+IF(AVANCE[[#This Row],[TABIQUES]]=O$2,100%,AVANCE[[#This Row],[TABIQUES]])</f>
        <v>0</v>
      </c>
      <c r="BI549" s="3">
        <f>+IF(AVANCE[[#This Row],[MUROS]]=P$2,100%,AVANCE[[#This Row],[MUROS]])</f>
        <v>0</v>
      </c>
      <c r="BJ549" s="3">
        <f>+IF(AVANCE[[#This Row],[CIELO]]=Q$2,100%,AVANCE[[#This Row],[CIELO]])</f>
        <v>0</v>
      </c>
      <c r="BK549" s="3">
        <f>+IF(AVANCE[[#This Row],[BALCÓN]]=R$2,100%,AVANCE[[#This Row],[BALCÓN]])</f>
        <v>0</v>
      </c>
      <c r="BL549" s="3">
        <f>+IF(AVANCE[[#This Row],[RED ALCANTARILLADO]]=U$2,100%,AVANCE[[#This Row],[RED ALCANTARILLADO]])</f>
        <v>0</v>
      </c>
      <c r="BM549" s="3">
        <f>+IF(AVANCE[[#This Row],[RED DE AGUA]]=V$2,100%,AVANCE[[#This Row],[RED DE AGUA]])</f>
        <v>0</v>
      </c>
      <c r="BN549" s="3">
        <f>+IF(AVANCE[[#This Row],[VENTILACIONES]]=W$2,100%,AVANCE[[#This Row],[VENTILACIONES]])</f>
        <v>0</v>
      </c>
      <c r="BO549" s="3">
        <f>+IF(AVANCE[[#This Row],[TINA]]=X$2,100%,AVANCE[[#This Row],[TINA]])</f>
        <v>0</v>
      </c>
      <c r="BP549" s="3">
        <f>+IF(AVANCE[[#This Row],[WC]]=Y$2,100%,AVANCE[[#This Row],[WC]])</f>
        <v>0</v>
      </c>
      <c r="BQ549" s="3">
        <f>+IF(AVANCE[[#This Row],[LAVAMANOS / LAVAPLATOS / LAVADERO]]=Z$2,100%,AVANCE[[#This Row],[LAVAMANOS / LAVAPLATOS / LAVADERO]])</f>
        <v>0</v>
      </c>
      <c r="BR549" s="3">
        <f>+IF(AVANCE[[#This Row],[CANALIZACIÓN]]=AC$2,100%,AVANCE[[#This Row],[CANALIZACIÓN]])</f>
        <v>0</v>
      </c>
      <c r="BS549" s="3">
        <f>+IF(AVANCE[[#This Row],[CABLEADO]]=AD$2,100%,AVANCE[[#This Row],[CABLEADO]])</f>
        <v>0</v>
      </c>
      <c r="BT549" s="3">
        <f>+IF(AVANCE[[#This Row],[ARTEFACTOS]]=AE$2,100%,AVANCE[[#This Row],[ARTEFACTOS]])</f>
        <v>0</v>
      </c>
      <c r="BU549" s="3">
        <f>+IF(AVANCE[[#This Row],[TABLERO]]=AF$2,100%,AVANCE[[#This Row],[TABLERO]])</f>
        <v>0</v>
      </c>
      <c r="BV549" s="3">
        <f>+IF(AVANCE[[#This Row],[CAJA PAU]]=AG$2,100%,AVANCE[[#This Row],[CAJA PAU]])</f>
        <v>0</v>
      </c>
      <c r="BW549" s="3">
        <f>+IF(AVANCE[[#This Row],[INSTALACION VINILICO]]=AJ$2,100%,AVANCE[[#This Row],[INSTALACION VINILICO]])</f>
        <v>0</v>
      </c>
      <c r="BX549" s="3">
        <f>+IF(AVANCE[[#This Row],[OSB CUBIERTA]]=AK$2,100%,AVANCE[[#This Row],[OSB CUBIERTA]])</f>
        <v>0</v>
      </c>
      <c r="BY549" s="3">
        <f>+IF(AVANCE[[#This Row],[BARANDA BALCON]]=AL$2,100%,AVANCE[[#This Row],[BARANDA BALCON]])</f>
        <v>0</v>
      </c>
      <c r="BZ549" s="3">
        <f>+IF(AVANCE[[#This Row],[OSB EXTERIOR]]=AM$2,100%,AVANCE[[#This Row],[OSB EXTERIOR]])</f>
        <v>0</v>
      </c>
      <c r="CA549" s="3">
        <f>+IF(AVANCE[[#This Row],[SMART PANEL]]=AN$2,100%,AVANCE[[#This Row],[SMART PANEL]])</f>
        <v>0</v>
      </c>
      <c r="CB549" s="3">
        <f>+IF(AVANCE[[#This Row],[PINTURA EXTERIOR]]=AO$2,100%,AVANCE[[#This Row],[PINTURA EXTERIOR]])</f>
        <v>0</v>
      </c>
      <c r="CC549" s="3">
        <f>+IF(AVANCE[[#This Row],[ZOCALOS LOGIA]]=AP$2,100%,AVANCE[[#This Row],[ZOCALOS LOGIA]])</f>
        <v>0</v>
      </c>
      <c r="CD549" s="3">
        <f>+IF(AVANCE[[#This Row],[MOLDURAS]]=AQ$2,100%,AVANCE[[#This Row],[MOLDURAS]])</f>
        <v>0</v>
      </c>
      <c r="CE549" s="3">
        <f>+IF(AVANCE[[#This Row],[PILASTREO]]=AR$2,100%,AVANCE[[#This Row],[PILASTREO]])</f>
        <v>0</v>
      </c>
      <c r="CF549" s="3">
        <f>+IF(AVANCE[[#This Row],[CELOSIAS]]=AS$2,100%,AVANCE[[#This Row],[CELOSIAS]])</f>
        <v>0</v>
      </c>
      <c r="CG549" s="3">
        <f>+IF(AVANCE[[#This Row],[VENTANAS]]=AT$2,100%,AVANCE[[#This Row],[VENTANAS]])</f>
        <v>0</v>
      </c>
      <c r="CH549" s="3">
        <f>+IF(AVANCE[[#This Row],[PUERTAS ACCESO - LOGIA - BANO]]=AU$2,100%,AVANCE[[#This Row],[PUERTAS ACCESO - LOGIA - BANO]])</f>
        <v>0</v>
      </c>
      <c r="CI549" s="3">
        <f>+IF(AVANCE[[#This Row],[CERRADURAS]]=AV$2,100%,AVANCE[[#This Row],[CERRADURAS]])</f>
        <v>0</v>
      </c>
      <c r="CJ549" s="3">
        <f>+IF(AVANCE[[#This Row],[REVESTIMIENTO INTERIOR ZONA SECA]]=AW$2,100%,AVANCE[[#This Row],[REVESTIMIENTO INTERIOR ZONA SECA]])</f>
        <v>0</v>
      </c>
      <c r="CK549" s="3">
        <f>+IF(AVANCE[[#This Row],[REVESTIMIENTO INTERIOR ZONAS HUMEDAS]]=AX$2,100%,AVANCE[[#This Row],[REVESTIMIENTO INTERIOR ZONAS HUMEDAS]])</f>
        <v>0</v>
      </c>
      <c r="CL549" s="3">
        <f>+IF(AVANCE[[#This Row],[MEMBRANA CIELO]]=AY$2,100%,AVANCE[[#This Row],[MEMBRANA CIELO]])</f>
        <v>0</v>
      </c>
      <c r="CM549" s="3">
        <f>+IF(AVANCE[[#This Row],[LIMPIEZA FINAL]]=AZ$2,100%,AVANCE[[#This Row],[LIMPIEZA FINAL]])</f>
        <v>0</v>
      </c>
      <c r="CN549" s="3">
        <f>+IF(AVANCE[[#This Row],[PUERTAS DORMITORIO]]=BA$2,100%,AVANCE[[#This Row],[PUERTAS DORMITORIO]])</f>
        <v>0</v>
      </c>
      <c r="CO549" s="3">
        <f>+IF(AVANCE[[#This Row],[REVESTIMIENTO INTERIOR BANO]]=BB$2,100%,AVANCE[[#This Row],[REVESTIMIENTO INTERIOR BANO]])</f>
        <v>0</v>
      </c>
      <c r="CP549" s="3">
        <f>+IF(AVANCE[[#This Row],[MUEBLE LAVAPLATOS]]=BC$2,100%,AVANCE[[#This Row],[MUEBLE LAVAPLATOS]])</f>
        <v>0</v>
      </c>
      <c r="CQ549" s="3">
        <f>+IF(AVANCE[[#This Row],[IMPERMEABILIZACION BANO - COCINA LOGIA]]=BD$2,100%,AVANCE[[#This Row],[IMPERMEABILIZACION BANO - COCINA LOGIA]])</f>
        <v>0</v>
      </c>
      <c r="CR549" s="40">
        <f ca="1">+IF(AVANCE[[#This Row],[ESTADO MODULO]]="PENDIENTE",(TODAY()-AVANCE[[#This Row],[FECHA TERMINO  PLANIFICADO]]),0)</f>
        <v>0</v>
      </c>
      <c r="CS549" s="42" t="str" cm="1">
        <f t="array" ref="CS549">_xlfn.TEXTJOIN(" | ",TRUE,IF(SUMPRODUCT((BF549:CQ549&lt;1)*(PARTIDAS!$I$2:$AT$2="OBRA GRUESA"))&gt;0,"OBRA GRUESA: "&amp;_xlfn.TEXTJOIN(", ",TRUE,IF((BF549:CQ549&lt;1)*(PARTIDAS!$I$2:$AT$2="OBRA GRUESA"),PARTIDAS!$I$1:$AT$1,"")),""),IF(SUMPRODUCT((BF549:CQ549&lt;1)*(PARTIDAS!$I$2:$AT$2="SANITARIOS"))&gt;0,"SANITARIOS: "&amp;_xlfn.TEXTJOIN(", ",TRUE,IF((BF549:CQ549&lt;1)*(PARTIDAS!$I$2:$AT$2="SANITARIOS"),PARTIDAS!$I$1:$AT$1,"")),""),IF(SUMPRODUCT((BF549:CQ549&lt;1)*(PARTIDAS!$I$2:$AT$2="ELÉCTRICO"))&gt;0,"ELÉCTRICO: "&amp;_xlfn.TEXTJOIN(", ",TRUE,IF((BF549:CQ549&lt;1)*(PARTIDAS!$I$2:$AT$2="ELÉCTRICO"),PARTIDAS!$I$1:$AT$1,"")),""),IF(SUMPRODUCT((BF549:CQ549&lt;1)*(PARTIDAS!$I$2:$AT$2="TERMINACIONES"))&gt;0,"TERMINACIONES: "&amp;_xlfn.TEXTJOIN(", ",TRUE,IF((BF549:CQ549&lt;1)*(PARTIDAS!$I$2:$AT$2="TERMINACIONES"),PARTIDAS!$I$1:$AT$1,"")),""))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49" s="45" t="str" cm="1">
        <f t="array" ref="CT549">_xlfn.TEXTJOIN(", ",TRUE,IF(SUMPRODUCT((BF549:CQ549&lt;1)*(PARTIDAS!$I$2:$AT$2="OBRA GRUESA"))&gt;0,"OBRA GRUESA",""),IF(SUMPRODUCT((BF549:CQ549&lt;1)*(PARTIDAS!$I$2:$AT$2="SANITARIOS"))&gt;0,"SANITARIOS",""),IF(SUMPRODUCT((BF549:CQ549&lt;1)*(PARTIDAS!$I$2:$AT$2="ELÉCTRICO"))&gt;0,"ELÉCTRICO",""),IF(SUMPRODUCT((BF549:CQ549&lt;1)*(PARTIDAS!$I$2:$AT$2="TERMINACIONES"))&gt;0,"TERMINACIONES",""))</f>
        <v>OBRA GRUESA, SANITARIOS, ELÉCTRICO, TERMINACIONES</v>
      </c>
      <c r="CU549" s="46" cm="1">
        <f t="array" ref="CU549">SUMPRODUCT(--(BF549:CQ549&lt;1))</f>
        <v>38</v>
      </c>
    </row>
    <row r="550" spans="1:99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46181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 s="3" t="str">
        <f>+IF(AVANCE[[#This Row],[% AVANCE]]=100%,"MODULO TERMINADO",IF(AVANCE[[#This Row],[FECHA INICIO REAL]]="","MODULO NO INICIADO","PENDIENTE"))</f>
        <v>MODULO NO INICIADO</v>
      </c>
      <c r="BF550" s="3">
        <f>+IF(AVANCE[[#This Row],[VENTANAS]]=8.10810810810811%,100%,AVANCE[[#This Row],[VENTANAS]])</f>
        <v>0</v>
      </c>
      <c r="BG550" s="3">
        <f>+IF(AVANCE[[#This Row],[PISO]]=N$2,100%,AVANCE[[#This Row],[PISO]])</f>
        <v>0</v>
      </c>
      <c r="BH550" s="3">
        <f>+IF(AVANCE[[#This Row],[TABIQUES]]=O$2,100%,AVANCE[[#This Row],[TABIQUES]])</f>
        <v>0</v>
      </c>
      <c r="BI550" s="3">
        <f>+IF(AVANCE[[#This Row],[MUROS]]=P$2,100%,AVANCE[[#This Row],[MUROS]])</f>
        <v>0</v>
      </c>
      <c r="BJ550" s="3">
        <f>+IF(AVANCE[[#This Row],[CIELO]]=Q$2,100%,AVANCE[[#This Row],[CIELO]])</f>
        <v>0</v>
      </c>
      <c r="BK550" s="3">
        <f>+IF(AVANCE[[#This Row],[BALCÓN]]=R$2,100%,AVANCE[[#This Row],[BALCÓN]])</f>
        <v>0</v>
      </c>
      <c r="BL550" s="3">
        <f>+IF(AVANCE[[#This Row],[RED ALCANTARILLADO]]=U$2,100%,AVANCE[[#This Row],[RED ALCANTARILLADO]])</f>
        <v>0</v>
      </c>
      <c r="BM550" s="3">
        <f>+IF(AVANCE[[#This Row],[RED DE AGUA]]=V$2,100%,AVANCE[[#This Row],[RED DE AGUA]])</f>
        <v>0</v>
      </c>
      <c r="BN550" s="3">
        <f>+IF(AVANCE[[#This Row],[VENTILACIONES]]=W$2,100%,AVANCE[[#This Row],[VENTILACIONES]])</f>
        <v>0</v>
      </c>
      <c r="BO550" s="3">
        <f>+IF(AVANCE[[#This Row],[TINA]]=X$2,100%,AVANCE[[#This Row],[TINA]])</f>
        <v>0</v>
      </c>
      <c r="BP550" s="3">
        <f>+IF(AVANCE[[#This Row],[WC]]=Y$2,100%,AVANCE[[#This Row],[WC]])</f>
        <v>0</v>
      </c>
      <c r="BQ550" s="3">
        <f>+IF(AVANCE[[#This Row],[LAVAMANOS / LAVAPLATOS / LAVADERO]]=Z$2,100%,AVANCE[[#This Row],[LAVAMANOS / LAVAPLATOS / LAVADERO]])</f>
        <v>0</v>
      </c>
      <c r="BR550" s="3">
        <f>+IF(AVANCE[[#This Row],[CANALIZACIÓN]]=AC$2,100%,AVANCE[[#This Row],[CANALIZACIÓN]])</f>
        <v>0</v>
      </c>
      <c r="BS550" s="3">
        <f>+IF(AVANCE[[#This Row],[CABLEADO]]=AD$2,100%,AVANCE[[#This Row],[CABLEADO]])</f>
        <v>0</v>
      </c>
      <c r="BT550" s="3">
        <f>+IF(AVANCE[[#This Row],[ARTEFACTOS]]=AE$2,100%,AVANCE[[#This Row],[ARTEFACTOS]])</f>
        <v>0</v>
      </c>
      <c r="BU550" s="3">
        <f>+IF(AVANCE[[#This Row],[TABLERO]]=AF$2,100%,AVANCE[[#This Row],[TABLERO]])</f>
        <v>0</v>
      </c>
      <c r="BV550" s="3">
        <f>+IF(AVANCE[[#This Row],[CAJA PAU]]=AG$2,100%,AVANCE[[#This Row],[CAJA PAU]])</f>
        <v>0</v>
      </c>
      <c r="BW550" s="3">
        <f>+IF(AVANCE[[#This Row],[INSTALACION VINILICO]]=AJ$2,100%,AVANCE[[#This Row],[INSTALACION VINILICO]])</f>
        <v>0</v>
      </c>
      <c r="BX550" s="3">
        <f>+IF(AVANCE[[#This Row],[OSB CUBIERTA]]=AK$2,100%,AVANCE[[#This Row],[OSB CUBIERTA]])</f>
        <v>0</v>
      </c>
      <c r="BY550" s="3">
        <f>+IF(AVANCE[[#This Row],[BARANDA BALCON]]=AL$2,100%,AVANCE[[#This Row],[BARANDA BALCON]])</f>
        <v>0</v>
      </c>
      <c r="BZ550" s="3">
        <f>+IF(AVANCE[[#This Row],[OSB EXTERIOR]]=AM$2,100%,AVANCE[[#This Row],[OSB EXTERIOR]])</f>
        <v>0</v>
      </c>
      <c r="CA550" s="3">
        <f>+IF(AVANCE[[#This Row],[SMART PANEL]]=AN$2,100%,AVANCE[[#This Row],[SMART PANEL]])</f>
        <v>0</v>
      </c>
      <c r="CB550" s="3">
        <f>+IF(AVANCE[[#This Row],[PINTURA EXTERIOR]]=AO$2,100%,AVANCE[[#This Row],[PINTURA EXTERIOR]])</f>
        <v>0</v>
      </c>
      <c r="CC550" s="3">
        <f>+IF(AVANCE[[#This Row],[ZOCALOS LOGIA]]=AP$2,100%,AVANCE[[#This Row],[ZOCALOS LOGIA]])</f>
        <v>0</v>
      </c>
      <c r="CD550" s="3">
        <f>+IF(AVANCE[[#This Row],[MOLDURAS]]=AQ$2,100%,AVANCE[[#This Row],[MOLDURAS]])</f>
        <v>0</v>
      </c>
      <c r="CE550" s="3">
        <f>+IF(AVANCE[[#This Row],[PILASTREO]]=AR$2,100%,AVANCE[[#This Row],[PILASTREO]])</f>
        <v>0</v>
      </c>
      <c r="CF550" s="3">
        <f>+IF(AVANCE[[#This Row],[CELOSIAS]]=AS$2,100%,AVANCE[[#This Row],[CELOSIAS]])</f>
        <v>0</v>
      </c>
      <c r="CG550" s="3">
        <f>+IF(AVANCE[[#This Row],[VENTANAS]]=AT$2,100%,AVANCE[[#This Row],[VENTANAS]])</f>
        <v>0</v>
      </c>
      <c r="CH550" s="3">
        <f>+IF(AVANCE[[#This Row],[PUERTAS ACCESO - LOGIA - BANO]]=AU$2,100%,AVANCE[[#This Row],[PUERTAS ACCESO - LOGIA - BANO]])</f>
        <v>0</v>
      </c>
      <c r="CI550" s="3">
        <f>+IF(AVANCE[[#This Row],[CERRADURAS]]=AV$2,100%,AVANCE[[#This Row],[CERRADURAS]])</f>
        <v>0</v>
      </c>
      <c r="CJ550" s="3">
        <f>+IF(AVANCE[[#This Row],[REVESTIMIENTO INTERIOR ZONA SECA]]=AW$2,100%,AVANCE[[#This Row],[REVESTIMIENTO INTERIOR ZONA SECA]])</f>
        <v>0</v>
      </c>
      <c r="CK550" s="3">
        <f>+IF(AVANCE[[#This Row],[REVESTIMIENTO INTERIOR ZONAS HUMEDAS]]=AX$2,100%,AVANCE[[#This Row],[REVESTIMIENTO INTERIOR ZONAS HUMEDAS]])</f>
        <v>0</v>
      </c>
      <c r="CL550" s="3">
        <f>+IF(AVANCE[[#This Row],[MEMBRANA CIELO]]=AY$2,100%,AVANCE[[#This Row],[MEMBRANA CIELO]])</f>
        <v>0</v>
      </c>
      <c r="CM550" s="3">
        <f>+IF(AVANCE[[#This Row],[LIMPIEZA FINAL]]=AZ$2,100%,AVANCE[[#This Row],[LIMPIEZA FINAL]])</f>
        <v>0</v>
      </c>
      <c r="CN550" s="3">
        <f>+IF(AVANCE[[#This Row],[PUERTAS DORMITORIO]]=BA$2,100%,AVANCE[[#This Row],[PUERTAS DORMITORIO]])</f>
        <v>0</v>
      </c>
      <c r="CO550" s="3">
        <f>+IF(AVANCE[[#This Row],[REVESTIMIENTO INTERIOR BANO]]=BB$2,100%,AVANCE[[#This Row],[REVESTIMIENTO INTERIOR BANO]])</f>
        <v>0</v>
      </c>
      <c r="CP550" s="3">
        <f>+IF(AVANCE[[#This Row],[MUEBLE LAVAPLATOS]]=BC$2,100%,AVANCE[[#This Row],[MUEBLE LAVAPLATOS]])</f>
        <v>0</v>
      </c>
      <c r="CQ550" s="3">
        <f>+IF(AVANCE[[#This Row],[IMPERMEABILIZACION BANO - COCINA LOGIA]]=BD$2,100%,AVANCE[[#This Row],[IMPERMEABILIZACION BANO - COCINA LOGIA]])</f>
        <v>0</v>
      </c>
      <c r="CR550" s="40">
        <f ca="1">+IF(AVANCE[[#This Row],[ESTADO MODULO]]="PENDIENTE",(TODAY()-AVANCE[[#This Row],[FECHA TERMINO  PLANIFICADO]]),0)</f>
        <v>0</v>
      </c>
      <c r="CS550" s="42" t="str" cm="1">
        <f t="array" ref="CS550">_xlfn.TEXTJOIN(" | ",TRUE,IF(SUMPRODUCT((BF550:CQ550&lt;1)*(PARTIDAS!$I$2:$AT$2="OBRA GRUESA"))&gt;0,"OBRA GRUESA: "&amp;_xlfn.TEXTJOIN(", ",TRUE,IF((BF550:CQ550&lt;1)*(PARTIDAS!$I$2:$AT$2="OBRA GRUESA"),PARTIDAS!$I$1:$AT$1,"")),""),IF(SUMPRODUCT((BF550:CQ550&lt;1)*(PARTIDAS!$I$2:$AT$2="SANITARIOS"))&gt;0,"SANITARIOS: "&amp;_xlfn.TEXTJOIN(", ",TRUE,IF((BF550:CQ550&lt;1)*(PARTIDAS!$I$2:$AT$2="SANITARIOS"),PARTIDAS!$I$1:$AT$1,"")),""),IF(SUMPRODUCT((BF550:CQ550&lt;1)*(PARTIDAS!$I$2:$AT$2="ELÉCTRICO"))&gt;0,"ELÉCTRICO: "&amp;_xlfn.TEXTJOIN(", ",TRUE,IF((BF550:CQ550&lt;1)*(PARTIDAS!$I$2:$AT$2="ELÉCTRICO"),PARTIDAS!$I$1:$AT$1,"")),""),IF(SUMPRODUCT((BF550:CQ550&lt;1)*(PARTIDAS!$I$2:$AT$2="TERMINACIONES"))&gt;0,"TERMINACIONES: "&amp;_xlfn.TEXTJOIN(", ",TRUE,IF((BF550:CQ550&lt;1)*(PARTIDAS!$I$2:$AT$2="TERMINACIONES"),PARTIDAS!$I$1:$AT$1,"")),""))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0" s="45" t="str" cm="1">
        <f t="array" ref="CT550">_xlfn.TEXTJOIN(", ",TRUE,IF(SUMPRODUCT((BF550:CQ550&lt;1)*(PARTIDAS!$I$2:$AT$2="OBRA GRUESA"))&gt;0,"OBRA GRUESA",""),IF(SUMPRODUCT((BF550:CQ550&lt;1)*(PARTIDAS!$I$2:$AT$2="SANITARIOS"))&gt;0,"SANITARIOS",""),IF(SUMPRODUCT((BF550:CQ550&lt;1)*(PARTIDAS!$I$2:$AT$2="ELÉCTRICO"))&gt;0,"ELÉCTRICO",""),IF(SUMPRODUCT((BF550:CQ550&lt;1)*(PARTIDAS!$I$2:$AT$2="TERMINACIONES"))&gt;0,"TERMINACIONES",""))</f>
        <v>OBRA GRUESA, SANITARIOS, ELÉCTRICO, TERMINACIONES</v>
      </c>
      <c r="CU550" s="46" cm="1">
        <f t="array" ref="CU550">SUMPRODUCT(--(BF550:CQ550&lt;1))</f>
        <v>38</v>
      </c>
    </row>
    <row r="551" spans="1:99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46181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 s="3" t="str">
        <f>+IF(AVANCE[[#This Row],[% AVANCE]]=100%,"MODULO TERMINADO",IF(AVANCE[[#This Row],[FECHA INICIO REAL]]="","MODULO NO INICIADO","PENDIENTE"))</f>
        <v>MODULO NO INICIADO</v>
      </c>
      <c r="BF551" s="3">
        <f>+IF(AVANCE[[#This Row],[VENTANAS]]=8.10810810810811%,100%,AVANCE[[#This Row],[VENTANAS]])</f>
        <v>0</v>
      </c>
      <c r="BG551" s="3">
        <f>+IF(AVANCE[[#This Row],[PISO]]=N$2,100%,AVANCE[[#This Row],[PISO]])</f>
        <v>0</v>
      </c>
      <c r="BH551" s="3">
        <f>+IF(AVANCE[[#This Row],[TABIQUES]]=O$2,100%,AVANCE[[#This Row],[TABIQUES]])</f>
        <v>0</v>
      </c>
      <c r="BI551" s="3">
        <f>+IF(AVANCE[[#This Row],[MUROS]]=P$2,100%,AVANCE[[#This Row],[MUROS]])</f>
        <v>0</v>
      </c>
      <c r="BJ551" s="3">
        <f>+IF(AVANCE[[#This Row],[CIELO]]=Q$2,100%,AVANCE[[#This Row],[CIELO]])</f>
        <v>0</v>
      </c>
      <c r="BK551" s="3">
        <f>+IF(AVANCE[[#This Row],[BALCÓN]]=R$2,100%,AVANCE[[#This Row],[BALCÓN]])</f>
        <v>0</v>
      </c>
      <c r="BL551" s="3">
        <f>+IF(AVANCE[[#This Row],[RED ALCANTARILLADO]]=U$2,100%,AVANCE[[#This Row],[RED ALCANTARILLADO]])</f>
        <v>0</v>
      </c>
      <c r="BM551" s="3">
        <f>+IF(AVANCE[[#This Row],[RED DE AGUA]]=V$2,100%,AVANCE[[#This Row],[RED DE AGUA]])</f>
        <v>0</v>
      </c>
      <c r="BN551" s="3">
        <f>+IF(AVANCE[[#This Row],[VENTILACIONES]]=W$2,100%,AVANCE[[#This Row],[VENTILACIONES]])</f>
        <v>0</v>
      </c>
      <c r="BO551" s="3">
        <f>+IF(AVANCE[[#This Row],[TINA]]=X$2,100%,AVANCE[[#This Row],[TINA]])</f>
        <v>0</v>
      </c>
      <c r="BP551" s="3">
        <f>+IF(AVANCE[[#This Row],[WC]]=Y$2,100%,AVANCE[[#This Row],[WC]])</f>
        <v>0</v>
      </c>
      <c r="BQ551" s="3">
        <f>+IF(AVANCE[[#This Row],[LAVAMANOS / LAVAPLATOS / LAVADERO]]=Z$2,100%,AVANCE[[#This Row],[LAVAMANOS / LAVAPLATOS / LAVADERO]])</f>
        <v>0</v>
      </c>
      <c r="BR551" s="3">
        <f>+IF(AVANCE[[#This Row],[CANALIZACIÓN]]=AC$2,100%,AVANCE[[#This Row],[CANALIZACIÓN]])</f>
        <v>0</v>
      </c>
      <c r="BS551" s="3">
        <f>+IF(AVANCE[[#This Row],[CABLEADO]]=AD$2,100%,AVANCE[[#This Row],[CABLEADO]])</f>
        <v>0</v>
      </c>
      <c r="BT551" s="3">
        <f>+IF(AVANCE[[#This Row],[ARTEFACTOS]]=AE$2,100%,AVANCE[[#This Row],[ARTEFACTOS]])</f>
        <v>0</v>
      </c>
      <c r="BU551" s="3">
        <f>+IF(AVANCE[[#This Row],[TABLERO]]=AF$2,100%,AVANCE[[#This Row],[TABLERO]])</f>
        <v>0</v>
      </c>
      <c r="BV551" s="3">
        <f>+IF(AVANCE[[#This Row],[CAJA PAU]]=AG$2,100%,AVANCE[[#This Row],[CAJA PAU]])</f>
        <v>0</v>
      </c>
      <c r="BW551" s="3">
        <f>+IF(AVANCE[[#This Row],[INSTALACION VINILICO]]=AJ$2,100%,AVANCE[[#This Row],[INSTALACION VINILICO]])</f>
        <v>0</v>
      </c>
      <c r="BX551" s="3">
        <f>+IF(AVANCE[[#This Row],[OSB CUBIERTA]]=AK$2,100%,AVANCE[[#This Row],[OSB CUBIERTA]])</f>
        <v>0</v>
      </c>
      <c r="BY551" s="3">
        <f>+IF(AVANCE[[#This Row],[BARANDA BALCON]]=AL$2,100%,AVANCE[[#This Row],[BARANDA BALCON]])</f>
        <v>0</v>
      </c>
      <c r="BZ551" s="3">
        <f>+IF(AVANCE[[#This Row],[OSB EXTERIOR]]=AM$2,100%,AVANCE[[#This Row],[OSB EXTERIOR]])</f>
        <v>0</v>
      </c>
      <c r="CA551" s="3">
        <f>+IF(AVANCE[[#This Row],[SMART PANEL]]=AN$2,100%,AVANCE[[#This Row],[SMART PANEL]])</f>
        <v>0</v>
      </c>
      <c r="CB551" s="3">
        <f>+IF(AVANCE[[#This Row],[PINTURA EXTERIOR]]=AO$2,100%,AVANCE[[#This Row],[PINTURA EXTERIOR]])</f>
        <v>0</v>
      </c>
      <c r="CC551" s="3">
        <f>+IF(AVANCE[[#This Row],[ZOCALOS LOGIA]]=AP$2,100%,AVANCE[[#This Row],[ZOCALOS LOGIA]])</f>
        <v>0</v>
      </c>
      <c r="CD551" s="3">
        <f>+IF(AVANCE[[#This Row],[MOLDURAS]]=AQ$2,100%,AVANCE[[#This Row],[MOLDURAS]])</f>
        <v>0</v>
      </c>
      <c r="CE551" s="3">
        <f>+IF(AVANCE[[#This Row],[PILASTREO]]=AR$2,100%,AVANCE[[#This Row],[PILASTREO]])</f>
        <v>0</v>
      </c>
      <c r="CF551" s="3">
        <f>+IF(AVANCE[[#This Row],[CELOSIAS]]=AS$2,100%,AVANCE[[#This Row],[CELOSIAS]])</f>
        <v>0</v>
      </c>
      <c r="CG551" s="3">
        <f>+IF(AVANCE[[#This Row],[VENTANAS]]=AT$2,100%,AVANCE[[#This Row],[VENTANAS]])</f>
        <v>0</v>
      </c>
      <c r="CH551" s="3">
        <f>+IF(AVANCE[[#This Row],[PUERTAS ACCESO - LOGIA - BANO]]=AU$2,100%,AVANCE[[#This Row],[PUERTAS ACCESO - LOGIA - BANO]])</f>
        <v>0</v>
      </c>
      <c r="CI551" s="3">
        <f>+IF(AVANCE[[#This Row],[CERRADURAS]]=AV$2,100%,AVANCE[[#This Row],[CERRADURAS]])</f>
        <v>0</v>
      </c>
      <c r="CJ551" s="3">
        <f>+IF(AVANCE[[#This Row],[REVESTIMIENTO INTERIOR ZONA SECA]]=AW$2,100%,AVANCE[[#This Row],[REVESTIMIENTO INTERIOR ZONA SECA]])</f>
        <v>0</v>
      </c>
      <c r="CK551" s="3">
        <f>+IF(AVANCE[[#This Row],[REVESTIMIENTO INTERIOR ZONAS HUMEDAS]]=AX$2,100%,AVANCE[[#This Row],[REVESTIMIENTO INTERIOR ZONAS HUMEDAS]])</f>
        <v>0</v>
      </c>
      <c r="CL551" s="3">
        <f>+IF(AVANCE[[#This Row],[MEMBRANA CIELO]]=AY$2,100%,AVANCE[[#This Row],[MEMBRANA CIELO]])</f>
        <v>0</v>
      </c>
      <c r="CM551" s="3">
        <f>+IF(AVANCE[[#This Row],[LIMPIEZA FINAL]]=AZ$2,100%,AVANCE[[#This Row],[LIMPIEZA FINAL]])</f>
        <v>0</v>
      </c>
      <c r="CN551" s="3">
        <f>+IF(AVANCE[[#This Row],[PUERTAS DORMITORIO]]=BA$2,100%,AVANCE[[#This Row],[PUERTAS DORMITORIO]])</f>
        <v>0</v>
      </c>
      <c r="CO551" s="3">
        <f>+IF(AVANCE[[#This Row],[REVESTIMIENTO INTERIOR BANO]]=BB$2,100%,AVANCE[[#This Row],[REVESTIMIENTO INTERIOR BANO]])</f>
        <v>0</v>
      </c>
      <c r="CP551" s="3">
        <f>+IF(AVANCE[[#This Row],[MUEBLE LAVAPLATOS]]=BC$2,100%,AVANCE[[#This Row],[MUEBLE LAVAPLATOS]])</f>
        <v>0</v>
      </c>
      <c r="CQ551" s="3">
        <f>+IF(AVANCE[[#This Row],[IMPERMEABILIZACION BANO - COCINA LOGIA]]=BD$2,100%,AVANCE[[#This Row],[IMPERMEABILIZACION BANO - COCINA LOGIA]])</f>
        <v>0</v>
      </c>
      <c r="CR551" s="40">
        <f ca="1">+IF(AVANCE[[#This Row],[ESTADO MODULO]]="PENDIENTE",(TODAY()-AVANCE[[#This Row],[FECHA TERMINO  PLANIFICADO]]),0)</f>
        <v>0</v>
      </c>
      <c r="CS551" s="42" t="str" cm="1">
        <f t="array" ref="CS551">_xlfn.TEXTJOIN(" | ",TRUE,IF(SUMPRODUCT((BF551:CQ551&lt;1)*(PARTIDAS!$I$2:$AT$2="OBRA GRUESA"))&gt;0,"OBRA GRUESA: "&amp;_xlfn.TEXTJOIN(", ",TRUE,IF((BF551:CQ551&lt;1)*(PARTIDAS!$I$2:$AT$2="OBRA GRUESA"),PARTIDAS!$I$1:$AT$1,"")),""),IF(SUMPRODUCT((BF551:CQ551&lt;1)*(PARTIDAS!$I$2:$AT$2="SANITARIOS"))&gt;0,"SANITARIOS: "&amp;_xlfn.TEXTJOIN(", ",TRUE,IF((BF551:CQ551&lt;1)*(PARTIDAS!$I$2:$AT$2="SANITARIOS"),PARTIDAS!$I$1:$AT$1,"")),""),IF(SUMPRODUCT((BF551:CQ551&lt;1)*(PARTIDAS!$I$2:$AT$2="ELÉCTRICO"))&gt;0,"ELÉCTRICO: "&amp;_xlfn.TEXTJOIN(", ",TRUE,IF((BF551:CQ551&lt;1)*(PARTIDAS!$I$2:$AT$2="ELÉCTRICO"),PARTIDAS!$I$1:$AT$1,"")),""),IF(SUMPRODUCT((BF551:CQ551&lt;1)*(PARTIDAS!$I$2:$AT$2="TERMINACIONES"))&gt;0,"TERMINACIONES: "&amp;_xlfn.TEXTJOIN(", ",TRUE,IF((BF551:CQ551&lt;1)*(PARTIDAS!$I$2:$AT$2="TERMINACIONES"),PARTIDAS!$I$1:$AT$1,"")),""))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1" s="45" t="str" cm="1">
        <f t="array" ref="CT551">_xlfn.TEXTJOIN(", ",TRUE,IF(SUMPRODUCT((BF551:CQ551&lt;1)*(PARTIDAS!$I$2:$AT$2="OBRA GRUESA"))&gt;0,"OBRA GRUESA",""),IF(SUMPRODUCT((BF551:CQ551&lt;1)*(PARTIDAS!$I$2:$AT$2="SANITARIOS"))&gt;0,"SANITARIOS",""),IF(SUMPRODUCT((BF551:CQ551&lt;1)*(PARTIDAS!$I$2:$AT$2="ELÉCTRICO"))&gt;0,"ELÉCTRICO",""),IF(SUMPRODUCT((BF551:CQ551&lt;1)*(PARTIDAS!$I$2:$AT$2="TERMINACIONES"))&gt;0,"TERMINACIONES",""))</f>
        <v>OBRA GRUESA, SANITARIOS, ELÉCTRICO, TERMINACIONES</v>
      </c>
      <c r="CU551" s="46" cm="1">
        <f t="array" ref="CU551">SUMPRODUCT(--(BF551:CQ551&lt;1))</f>
        <v>38</v>
      </c>
    </row>
    <row r="552" spans="1:99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46181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 s="3" t="str">
        <f>+IF(AVANCE[[#This Row],[% AVANCE]]=100%,"MODULO TERMINADO",IF(AVANCE[[#This Row],[FECHA INICIO REAL]]="","MODULO NO INICIADO","PENDIENTE"))</f>
        <v>MODULO NO INICIADO</v>
      </c>
      <c r="BF552" s="3">
        <f>+IF(AVANCE[[#This Row],[VENTANAS]]=8.10810810810811%,100%,AVANCE[[#This Row],[VENTANAS]])</f>
        <v>0</v>
      </c>
      <c r="BG552" s="3">
        <f>+IF(AVANCE[[#This Row],[PISO]]=N$2,100%,AVANCE[[#This Row],[PISO]])</f>
        <v>0</v>
      </c>
      <c r="BH552" s="3">
        <f>+IF(AVANCE[[#This Row],[TABIQUES]]=O$2,100%,AVANCE[[#This Row],[TABIQUES]])</f>
        <v>0</v>
      </c>
      <c r="BI552" s="3">
        <f>+IF(AVANCE[[#This Row],[MUROS]]=P$2,100%,AVANCE[[#This Row],[MUROS]])</f>
        <v>0</v>
      </c>
      <c r="BJ552" s="3">
        <f>+IF(AVANCE[[#This Row],[CIELO]]=Q$2,100%,AVANCE[[#This Row],[CIELO]])</f>
        <v>0</v>
      </c>
      <c r="BK552" s="3">
        <f>+IF(AVANCE[[#This Row],[BALCÓN]]=R$2,100%,AVANCE[[#This Row],[BALCÓN]])</f>
        <v>0</v>
      </c>
      <c r="BL552" s="3">
        <f>+IF(AVANCE[[#This Row],[RED ALCANTARILLADO]]=U$2,100%,AVANCE[[#This Row],[RED ALCANTARILLADO]])</f>
        <v>0</v>
      </c>
      <c r="BM552" s="3">
        <f>+IF(AVANCE[[#This Row],[RED DE AGUA]]=V$2,100%,AVANCE[[#This Row],[RED DE AGUA]])</f>
        <v>0</v>
      </c>
      <c r="BN552" s="3">
        <f>+IF(AVANCE[[#This Row],[VENTILACIONES]]=W$2,100%,AVANCE[[#This Row],[VENTILACIONES]])</f>
        <v>0</v>
      </c>
      <c r="BO552" s="3">
        <f>+IF(AVANCE[[#This Row],[TINA]]=X$2,100%,AVANCE[[#This Row],[TINA]])</f>
        <v>0</v>
      </c>
      <c r="BP552" s="3">
        <f>+IF(AVANCE[[#This Row],[WC]]=Y$2,100%,AVANCE[[#This Row],[WC]])</f>
        <v>0</v>
      </c>
      <c r="BQ552" s="3">
        <f>+IF(AVANCE[[#This Row],[LAVAMANOS / LAVAPLATOS / LAVADERO]]=Z$2,100%,AVANCE[[#This Row],[LAVAMANOS / LAVAPLATOS / LAVADERO]])</f>
        <v>0</v>
      </c>
      <c r="BR552" s="3">
        <f>+IF(AVANCE[[#This Row],[CANALIZACIÓN]]=AC$2,100%,AVANCE[[#This Row],[CANALIZACIÓN]])</f>
        <v>0</v>
      </c>
      <c r="BS552" s="3">
        <f>+IF(AVANCE[[#This Row],[CABLEADO]]=AD$2,100%,AVANCE[[#This Row],[CABLEADO]])</f>
        <v>0</v>
      </c>
      <c r="BT552" s="3">
        <f>+IF(AVANCE[[#This Row],[ARTEFACTOS]]=AE$2,100%,AVANCE[[#This Row],[ARTEFACTOS]])</f>
        <v>0</v>
      </c>
      <c r="BU552" s="3">
        <f>+IF(AVANCE[[#This Row],[TABLERO]]=AF$2,100%,AVANCE[[#This Row],[TABLERO]])</f>
        <v>0</v>
      </c>
      <c r="BV552" s="3">
        <f>+IF(AVANCE[[#This Row],[CAJA PAU]]=AG$2,100%,AVANCE[[#This Row],[CAJA PAU]])</f>
        <v>0</v>
      </c>
      <c r="BW552" s="3">
        <f>+IF(AVANCE[[#This Row],[INSTALACION VINILICO]]=AJ$2,100%,AVANCE[[#This Row],[INSTALACION VINILICO]])</f>
        <v>0</v>
      </c>
      <c r="BX552" s="3">
        <f>+IF(AVANCE[[#This Row],[OSB CUBIERTA]]=AK$2,100%,AVANCE[[#This Row],[OSB CUBIERTA]])</f>
        <v>0</v>
      </c>
      <c r="BY552" s="3">
        <f>+IF(AVANCE[[#This Row],[BARANDA BALCON]]=AL$2,100%,AVANCE[[#This Row],[BARANDA BALCON]])</f>
        <v>0</v>
      </c>
      <c r="BZ552" s="3">
        <f>+IF(AVANCE[[#This Row],[OSB EXTERIOR]]=AM$2,100%,AVANCE[[#This Row],[OSB EXTERIOR]])</f>
        <v>0</v>
      </c>
      <c r="CA552" s="3">
        <f>+IF(AVANCE[[#This Row],[SMART PANEL]]=AN$2,100%,AVANCE[[#This Row],[SMART PANEL]])</f>
        <v>0</v>
      </c>
      <c r="CB552" s="3">
        <f>+IF(AVANCE[[#This Row],[PINTURA EXTERIOR]]=AO$2,100%,AVANCE[[#This Row],[PINTURA EXTERIOR]])</f>
        <v>0</v>
      </c>
      <c r="CC552" s="3">
        <f>+IF(AVANCE[[#This Row],[ZOCALOS LOGIA]]=AP$2,100%,AVANCE[[#This Row],[ZOCALOS LOGIA]])</f>
        <v>0</v>
      </c>
      <c r="CD552" s="3">
        <f>+IF(AVANCE[[#This Row],[MOLDURAS]]=AQ$2,100%,AVANCE[[#This Row],[MOLDURAS]])</f>
        <v>0</v>
      </c>
      <c r="CE552" s="3">
        <f>+IF(AVANCE[[#This Row],[PILASTREO]]=AR$2,100%,AVANCE[[#This Row],[PILASTREO]])</f>
        <v>0</v>
      </c>
      <c r="CF552" s="3">
        <f>+IF(AVANCE[[#This Row],[CELOSIAS]]=AS$2,100%,AVANCE[[#This Row],[CELOSIAS]])</f>
        <v>0</v>
      </c>
      <c r="CG552" s="3">
        <f>+IF(AVANCE[[#This Row],[VENTANAS]]=AT$2,100%,AVANCE[[#This Row],[VENTANAS]])</f>
        <v>0</v>
      </c>
      <c r="CH552" s="3">
        <f>+IF(AVANCE[[#This Row],[PUERTAS ACCESO - LOGIA - BANO]]=AU$2,100%,AVANCE[[#This Row],[PUERTAS ACCESO - LOGIA - BANO]])</f>
        <v>0</v>
      </c>
      <c r="CI552" s="3">
        <f>+IF(AVANCE[[#This Row],[CERRADURAS]]=AV$2,100%,AVANCE[[#This Row],[CERRADURAS]])</f>
        <v>0</v>
      </c>
      <c r="CJ552" s="3">
        <f>+IF(AVANCE[[#This Row],[REVESTIMIENTO INTERIOR ZONA SECA]]=AW$2,100%,AVANCE[[#This Row],[REVESTIMIENTO INTERIOR ZONA SECA]])</f>
        <v>0</v>
      </c>
      <c r="CK552" s="3">
        <f>+IF(AVANCE[[#This Row],[REVESTIMIENTO INTERIOR ZONAS HUMEDAS]]=AX$2,100%,AVANCE[[#This Row],[REVESTIMIENTO INTERIOR ZONAS HUMEDAS]])</f>
        <v>0</v>
      </c>
      <c r="CL552" s="3">
        <f>+IF(AVANCE[[#This Row],[MEMBRANA CIELO]]=AY$2,100%,AVANCE[[#This Row],[MEMBRANA CIELO]])</f>
        <v>0</v>
      </c>
      <c r="CM552" s="3">
        <f>+IF(AVANCE[[#This Row],[LIMPIEZA FINAL]]=AZ$2,100%,AVANCE[[#This Row],[LIMPIEZA FINAL]])</f>
        <v>0</v>
      </c>
      <c r="CN552" s="3">
        <f>+IF(AVANCE[[#This Row],[PUERTAS DORMITORIO]]=BA$2,100%,AVANCE[[#This Row],[PUERTAS DORMITORIO]])</f>
        <v>0</v>
      </c>
      <c r="CO552" s="3">
        <f>+IF(AVANCE[[#This Row],[REVESTIMIENTO INTERIOR BANO]]=BB$2,100%,AVANCE[[#This Row],[REVESTIMIENTO INTERIOR BANO]])</f>
        <v>0</v>
      </c>
      <c r="CP552" s="3">
        <f>+IF(AVANCE[[#This Row],[MUEBLE LAVAPLATOS]]=BC$2,100%,AVANCE[[#This Row],[MUEBLE LAVAPLATOS]])</f>
        <v>0</v>
      </c>
      <c r="CQ552" s="3">
        <f>+IF(AVANCE[[#This Row],[IMPERMEABILIZACION BANO - COCINA LOGIA]]=BD$2,100%,AVANCE[[#This Row],[IMPERMEABILIZACION BANO - COCINA LOGIA]])</f>
        <v>0</v>
      </c>
      <c r="CR552" s="40">
        <f ca="1">+IF(AVANCE[[#This Row],[ESTADO MODULO]]="PENDIENTE",(TODAY()-AVANCE[[#This Row],[FECHA TERMINO  PLANIFICADO]]),0)</f>
        <v>0</v>
      </c>
      <c r="CS552" s="42" t="str" cm="1">
        <f t="array" ref="CS552">_xlfn.TEXTJOIN(" | ",TRUE,IF(SUMPRODUCT((BF552:CQ552&lt;1)*(PARTIDAS!$I$2:$AT$2="OBRA GRUESA"))&gt;0,"OBRA GRUESA: "&amp;_xlfn.TEXTJOIN(", ",TRUE,IF((BF552:CQ552&lt;1)*(PARTIDAS!$I$2:$AT$2="OBRA GRUESA"),PARTIDAS!$I$1:$AT$1,"")),""),IF(SUMPRODUCT((BF552:CQ552&lt;1)*(PARTIDAS!$I$2:$AT$2="SANITARIOS"))&gt;0,"SANITARIOS: "&amp;_xlfn.TEXTJOIN(", ",TRUE,IF((BF552:CQ552&lt;1)*(PARTIDAS!$I$2:$AT$2="SANITARIOS"),PARTIDAS!$I$1:$AT$1,"")),""),IF(SUMPRODUCT((BF552:CQ552&lt;1)*(PARTIDAS!$I$2:$AT$2="ELÉCTRICO"))&gt;0,"ELÉCTRICO: "&amp;_xlfn.TEXTJOIN(", ",TRUE,IF((BF552:CQ552&lt;1)*(PARTIDAS!$I$2:$AT$2="ELÉCTRICO"),PARTIDAS!$I$1:$AT$1,"")),""),IF(SUMPRODUCT((BF552:CQ552&lt;1)*(PARTIDAS!$I$2:$AT$2="TERMINACIONES"))&gt;0,"TERMINACIONES: "&amp;_xlfn.TEXTJOIN(", ",TRUE,IF((BF552:CQ552&lt;1)*(PARTIDAS!$I$2:$AT$2="TERMINACIONES"),PARTIDAS!$I$1:$AT$1,"")),""))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2" s="45" t="str" cm="1">
        <f t="array" ref="CT552">_xlfn.TEXTJOIN(", ",TRUE,IF(SUMPRODUCT((BF552:CQ552&lt;1)*(PARTIDAS!$I$2:$AT$2="OBRA GRUESA"))&gt;0,"OBRA GRUESA",""),IF(SUMPRODUCT((BF552:CQ552&lt;1)*(PARTIDAS!$I$2:$AT$2="SANITARIOS"))&gt;0,"SANITARIOS",""),IF(SUMPRODUCT((BF552:CQ552&lt;1)*(PARTIDAS!$I$2:$AT$2="ELÉCTRICO"))&gt;0,"ELÉCTRICO",""),IF(SUMPRODUCT((BF552:CQ552&lt;1)*(PARTIDAS!$I$2:$AT$2="TERMINACIONES"))&gt;0,"TERMINACIONES",""))</f>
        <v>OBRA GRUESA, SANITARIOS, ELÉCTRICO, TERMINACIONES</v>
      </c>
      <c r="CU552" s="46" cm="1">
        <f t="array" ref="CU552">SUMPRODUCT(--(BF552:CQ552&lt;1))</f>
        <v>38</v>
      </c>
    </row>
    <row r="553" spans="1:99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46181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 s="3" t="str">
        <f>+IF(AVANCE[[#This Row],[% AVANCE]]=100%,"MODULO TERMINADO",IF(AVANCE[[#This Row],[FECHA INICIO REAL]]="","MODULO NO INICIADO","PENDIENTE"))</f>
        <v>MODULO NO INICIADO</v>
      </c>
      <c r="BF553" s="3">
        <f>+IF(AVANCE[[#This Row],[VENTANAS]]=8.10810810810811%,100%,AVANCE[[#This Row],[VENTANAS]])</f>
        <v>0</v>
      </c>
      <c r="BG553" s="3">
        <f>+IF(AVANCE[[#This Row],[PISO]]=N$2,100%,AVANCE[[#This Row],[PISO]])</f>
        <v>0</v>
      </c>
      <c r="BH553" s="3">
        <f>+IF(AVANCE[[#This Row],[TABIQUES]]=O$2,100%,AVANCE[[#This Row],[TABIQUES]])</f>
        <v>0</v>
      </c>
      <c r="BI553" s="3">
        <f>+IF(AVANCE[[#This Row],[MUROS]]=P$2,100%,AVANCE[[#This Row],[MUROS]])</f>
        <v>0</v>
      </c>
      <c r="BJ553" s="3">
        <f>+IF(AVANCE[[#This Row],[CIELO]]=Q$2,100%,AVANCE[[#This Row],[CIELO]])</f>
        <v>0</v>
      </c>
      <c r="BK553" s="3">
        <f>+IF(AVANCE[[#This Row],[BALCÓN]]=R$2,100%,AVANCE[[#This Row],[BALCÓN]])</f>
        <v>0</v>
      </c>
      <c r="BL553" s="3">
        <f>+IF(AVANCE[[#This Row],[RED ALCANTARILLADO]]=U$2,100%,AVANCE[[#This Row],[RED ALCANTARILLADO]])</f>
        <v>0</v>
      </c>
      <c r="BM553" s="3">
        <f>+IF(AVANCE[[#This Row],[RED DE AGUA]]=V$2,100%,AVANCE[[#This Row],[RED DE AGUA]])</f>
        <v>0</v>
      </c>
      <c r="BN553" s="3">
        <f>+IF(AVANCE[[#This Row],[VENTILACIONES]]=W$2,100%,AVANCE[[#This Row],[VENTILACIONES]])</f>
        <v>0</v>
      </c>
      <c r="BO553" s="3">
        <f>+IF(AVANCE[[#This Row],[TINA]]=X$2,100%,AVANCE[[#This Row],[TINA]])</f>
        <v>0</v>
      </c>
      <c r="BP553" s="3">
        <f>+IF(AVANCE[[#This Row],[WC]]=Y$2,100%,AVANCE[[#This Row],[WC]])</f>
        <v>0</v>
      </c>
      <c r="BQ553" s="3">
        <f>+IF(AVANCE[[#This Row],[LAVAMANOS / LAVAPLATOS / LAVADERO]]=Z$2,100%,AVANCE[[#This Row],[LAVAMANOS / LAVAPLATOS / LAVADERO]])</f>
        <v>0</v>
      </c>
      <c r="BR553" s="3">
        <f>+IF(AVANCE[[#This Row],[CANALIZACIÓN]]=AC$2,100%,AVANCE[[#This Row],[CANALIZACIÓN]])</f>
        <v>0</v>
      </c>
      <c r="BS553" s="3">
        <f>+IF(AVANCE[[#This Row],[CABLEADO]]=AD$2,100%,AVANCE[[#This Row],[CABLEADO]])</f>
        <v>0</v>
      </c>
      <c r="BT553" s="3">
        <f>+IF(AVANCE[[#This Row],[ARTEFACTOS]]=AE$2,100%,AVANCE[[#This Row],[ARTEFACTOS]])</f>
        <v>0</v>
      </c>
      <c r="BU553" s="3">
        <f>+IF(AVANCE[[#This Row],[TABLERO]]=AF$2,100%,AVANCE[[#This Row],[TABLERO]])</f>
        <v>0</v>
      </c>
      <c r="BV553" s="3">
        <f>+IF(AVANCE[[#This Row],[CAJA PAU]]=AG$2,100%,AVANCE[[#This Row],[CAJA PAU]])</f>
        <v>0</v>
      </c>
      <c r="BW553" s="3">
        <f>+IF(AVANCE[[#This Row],[INSTALACION VINILICO]]=AJ$2,100%,AVANCE[[#This Row],[INSTALACION VINILICO]])</f>
        <v>0</v>
      </c>
      <c r="BX553" s="3">
        <f>+IF(AVANCE[[#This Row],[OSB CUBIERTA]]=AK$2,100%,AVANCE[[#This Row],[OSB CUBIERTA]])</f>
        <v>0</v>
      </c>
      <c r="BY553" s="3">
        <f>+IF(AVANCE[[#This Row],[BARANDA BALCON]]=AL$2,100%,AVANCE[[#This Row],[BARANDA BALCON]])</f>
        <v>0</v>
      </c>
      <c r="BZ553" s="3">
        <f>+IF(AVANCE[[#This Row],[OSB EXTERIOR]]=AM$2,100%,AVANCE[[#This Row],[OSB EXTERIOR]])</f>
        <v>0</v>
      </c>
      <c r="CA553" s="3">
        <f>+IF(AVANCE[[#This Row],[SMART PANEL]]=AN$2,100%,AVANCE[[#This Row],[SMART PANEL]])</f>
        <v>0</v>
      </c>
      <c r="CB553" s="3">
        <f>+IF(AVANCE[[#This Row],[PINTURA EXTERIOR]]=AO$2,100%,AVANCE[[#This Row],[PINTURA EXTERIOR]])</f>
        <v>0</v>
      </c>
      <c r="CC553" s="3">
        <f>+IF(AVANCE[[#This Row],[ZOCALOS LOGIA]]=AP$2,100%,AVANCE[[#This Row],[ZOCALOS LOGIA]])</f>
        <v>0</v>
      </c>
      <c r="CD553" s="3">
        <f>+IF(AVANCE[[#This Row],[MOLDURAS]]=AQ$2,100%,AVANCE[[#This Row],[MOLDURAS]])</f>
        <v>0</v>
      </c>
      <c r="CE553" s="3">
        <f>+IF(AVANCE[[#This Row],[PILASTREO]]=AR$2,100%,AVANCE[[#This Row],[PILASTREO]])</f>
        <v>0</v>
      </c>
      <c r="CF553" s="3">
        <f>+IF(AVANCE[[#This Row],[CELOSIAS]]=AS$2,100%,AVANCE[[#This Row],[CELOSIAS]])</f>
        <v>0</v>
      </c>
      <c r="CG553" s="3">
        <f>+IF(AVANCE[[#This Row],[VENTANAS]]=AT$2,100%,AVANCE[[#This Row],[VENTANAS]])</f>
        <v>0</v>
      </c>
      <c r="CH553" s="3">
        <f>+IF(AVANCE[[#This Row],[PUERTAS ACCESO - LOGIA - BANO]]=AU$2,100%,AVANCE[[#This Row],[PUERTAS ACCESO - LOGIA - BANO]])</f>
        <v>0</v>
      </c>
      <c r="CI553" s="3">
        <f>+IF(AVANCE[[#This Row],[CERRADURAS]]=AV$2,100%,AVANCE[[#This Row],[CERRADURAS]])</f>
        <v>0</v>
      </c>
      <c r="CJ553" s="3">
        <f>+IF(AVANCE[[#This Row],[REVESTIMIENTO INTERIOR ZONA SECA]]=AW$2,100%,AVANCE[[#This Row],[REVESTIMIENTO INTERIOR ZONA SECA]])</f>
        <v>0</v>
      </c>
      <c r="CK553" s="3">
        <f>+IF(AVANCE[[#This Row],[REVESTIMIENTO INTERIOR ZONAS HUMEDAS]]=AX$2,100%,AVANCE[[#This Row],[REVESTIMIENTO INTERIOR ZONAS HUMEDAS]])</f>
        <v>0</v>
      </c>
      <c r="CL553" s="3">
        <f>+IF(AVANCE[[#This Row],[MEMBRANA CIELO]]=AY$2,100%,AVANCE[[#This Row],[MEMBRANA CIELO]])</f>
        <v>0</v>
      </c>
      <c r="CM553" s="3">
        <f>+IF(AVANCE[[#This Row],[LIMPIEZA FINAL]]=AZ$2,100%,AVANCE[[#This Row],[LIMPIEZA FINAL]])</f>
        <v>0</v>
      </c>
      <c r="CN553" s="3">
        <f>+IF(AVANCE[[#This Row],[PUERTAS DORMITORIO]]=BA$2,100%,AVANCE[[#This Row],[PUERTAS DORMITORIO]])</f>
        <v>0</v>
      </c>
      <c r="CO553" s="3">
        <f>+IF(AVANCE[[#This Row],[REVESTIMIENTO INTERIOR BANO]]=BB$2,100%,AVANCE[[#This Row],[REVESTIMIENTO INTERIOR BANO]])</f>
        <v>0</v>
      </c>
      <c r="CP553" s="3">
        <f>+IF(AVANCE[[#This Row],[MUEBLE LAVAPLATOS]]=BC$2,100%,AVANCE[[#This Row],[MUEBLE LAVAPLATOS]])</f>
        <v>0</v>
      </c>
      <c r="CQ553" s="3">
        <f>+IF(AVANCE[[#This Row],[IMPERMEABILIZACION BANO - COCINA LOGIA]]=BD$2,100%,AVANCE[[#This Row],[IMPERMEABILIZACION BANO - COCINA LOGIA]])</f>
        <v>0</v>
      </c>
      <c r="CR553" s="40">
        <f ca="1">+IF(AVANCE[[#This Row],[ESTADO MODULO]]="PENDIENTE",(TODAY()-AVANCE[[#This Row],[FECHA TERMINO  PLANIFICADO]]),0)</f>
        <v>0</v>
      </c>
      <c r="CS553" s="42" t="str" cm="1">
        <f t="array" ref="CS553">_xlfn.TEXTJOIN(" | ",TRUE,IF(SUMPRODUCT((BF553:CQ553&lt;1)*(PARTIDAS!$I$2:$AT$2="OBRA GRUESA"))&gt;0,"OBRA GRUESA: "&amp;_xlfn.TEXTJOIN(", ",TRUE,IF((BF553:CQ553&lt;1)*(PARTIDAS!$I$2:$AT$2="OBRA GRUESA"),PARTIDAS!$I$1:$AT$1,"")),""),IF(SUMPRODUCT((BF553:CQ553&lt;1)*(PARTIDAS!$I$2:$AT$2="SANITARIOS"))&gt;0,"SANITARIOS: "&amp;_xlfn.TEXTJOIN(", ",TRUE,IF((BF553:CQ553&lt;1)*(PARTIDAS!$I$2:$AT$2="SANITARIOS"),PARTIDAS!$I$1:$AT$1,"")),""),IF(SUMPRODUCT((BF553:CQ553&lt;1)*(PARTIDAS!$I$2:$AT$2="ELÉCTRICO"))&gt;0,"ELÉCTRICO: "&amp;_xlfn.TEXTJOIN(", ",TRUE,IF((BF553:CQ553&lt;1)*(PARTIDAS!$I$2:$AT$2="ELÉCTRICO"),PARTIDAS!$I$1:$AT$1,"")),""),IF(SUMPRODUCT((BF553:CQ553&lt;1)*(PARTIDAS!$I$2:$AT$2="TERMINACIONES"))&gt;0,"TERMINACIONES: "&amp;_xlfn.TEXTJOIN(", ",TRUE,IF((BF553:CQ553&lt;1)*(PARTIDAS!$I$2:$AT$2="TERMINACIONES"),PARTIDAS!$I$1:$AT$1,"")),""))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3" s="45" t="str" cm="1">
        <f t="array" ref="CT553">_xlfn.TEXTJOIN(", ",TRUE,IF(SUMPRODUCT((BF553:CQ553&lt;1)*(PARTIDAS!$I$2:$AT$2="OBRA GRUESA"))&gt;0,"OBRA GRUESA",""),IF(SUMPRODUCT((BF553:CQ553&lt;1)*(PARTIDAS!$I$2:$AT$2="SANITARIOS"))&gt;0,"SANITARIOS",""),IF(SUMPRODUCT((BF553:CQ553&lt;1)*(PARTIDAS!$I$2:$AT$2="ELÉCTRICO"))&gt;0,"ELÉCTRICO",""),IF(SUMPRODUCT((BF553:CQ553&lt;1)*(PARTIDAS!$I$2:$AT$2="TERMINACIONES"))&gt;0,"TERMINACIONES",""))</f>
        <v>OBRA GRUESA, SANITARIOS, ELÉCTRICO, TERMINACIONES</v>
      </c>
      <c r="CU553" s="46" cm="1">
        <f t="array" ref="CU553">SUMPRODUCT(--(BF553:CQ553&lt;1))</f>
        <v>38</v>
      </c>
    </row>
    <row r="554" spans="1:99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46181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 s="3" t="str">
        <f>+IF(AVANCE[[#This Row],[% AVANCE]]=100%,"MODULO TERMINADO",IF(AVANCE[[#This Row],[FECHA INICIO REAL]]="","MODULO NO INICIADO","PENDIENTE"))</f>
        <v>MODULO NO INICIADO</v>
      </c>
      <c r="BF554" s="3">
        <f>+IF(AVANCE[[#This Row],[VENTANAS]]=8.10810810810811%,100%,AVANCE[[#This Row],[VENTANAS]])</f>
        <v>0</v>
      </c>
      <c r="BG554" s="3">
        <f>+IF(AVANCE[[#This Row],[PISO]]=N$2,100%,AVANCE[[#This Row],[PISO]])</f>
        <v>0</v>
      </c>
      <c r="BH554" s="3">
        <f>+IF(AVANCE[[#This Row],[TABIQUES]]=O$2,100%,AVANCE[[#This Row],[TABIQUES]])</f>
        <v>0</v>
      </c>
      <c r="BI554" s="3">
        <f>+IF(AVANCE[[#This Row],[MUROS]]=P$2,100%,AVANCE[[#This Row],[MUROS]])</f>
        <v>0</v>
      </c>
      <c r="BJ554" s="3">
        <f>+IF(AVANCE[[#This Row],[CIELO]]=Q$2,100%,AVANCE[[#This Row],[CIELO]])</f>
        <v>0</v>
      </c>
      <c r="BK554" s="3">
        <f>+IF(AVANCE[[#This Row],[BALCÓN]]=R$2,100%,AVANCE[[#This Row],[BALCÓN]])</f>
        <v>0</v>
      </c>
      <c r="BL554" s="3">
        <f>+IF(AVANCE[[#This Row],[RED ALCANTARILLADO]]=U$2,100%,AVANCE[[#This Row],[RED ALCANTARILLADO]])</f>
        <v>0</v>
      </c>
      <c r="BM554" s="3">
        <f>+IF(AVANCE[[#This Row],[RED DE AGUA]]=V$2,100%,AVANCE[[#This Row],[RED DE AGUA]])</f>
        <v>0</v>
      </c>
      <c r="BN554" s="3">
        <f>+IF(AVANCE[[#This Row],[VENTILACIONES]]=W$2,100%,AVANCE[[#This Row],[VENTILACIONES]])</f>
        <v>0</v>
      </c>
      <c r="BO554" s="3">
        <f>+IF(AVANCE[[#This Row],[TINA]]=X$2,100%,AVANCE[[#This Row],[TINA]])</f>
        <v>0</v>
      </c>
      <c r="BP554" s="3">
        <f>+IF(AVANCE[[#This Row],[WC]]=Y$2,100%,AVANCE[[#This Row],[WC]])</f>
        <v>0</v>
      </c>
      <c r="BQ554" s="3">
        <f>+IF(AVANCE[[#This Row],[LAVAMANOS / LAVAPLATOS / LAVADERO]]=Z$2,100%,AVANCE[[#This Row],[LAVAMANOS / LAVAPLATOS / LAVADERO]])</f>
        <v>0</v>
      </c>
      <c r="BR554" s="3">
        <f>+IF(AVANCE[[#This Row],[CANALIZACIÓN]]=AC$2,100%,AVANCE[[#This Row],[CANALIZACIÓN]])</f>
        <v>0</v>
      </c>
      <c r="BS554" s="3">
        <f>+IF(AVANCE[[#This Row],[CABLEADO]]=AD$2,100%,AVANCE[[#This Row],[CABLEADO]])</f>
        <v>0</v>
      </c>
      <c r="BT554" s="3">
        <f>+IF(AVANCE[[#This Row],[ARTEFACTOS]]=AE$2,100%,AVANCE[[#This Row],[ARTEFACTOS]])</f>
        <v>0</v>
      </c>
      <c r="BU554" s="3">
        <f>+IF(AVANCE[[#This Row],[TABLERO]]=AF$2,100%,AVANCE[[#This Row],[TABLERO]])</f>
        <v>0</v>
      </c>
      <c r="BV554" s="3">
        <f>+IF(AVANCE[[#This Row],[CAJA PAU]]=AG$2,100%,AVANCE[[#This Row],[CAJA PAU]])</f>
        <v>0</v>
      </c>
      <c r="BW554" s="3">
        <f>+IF(AVANCE[[#This Row],[INSTALACION VINILICO]]=AJ$2,100%,AVANCE[[#This Row],[INSTALACION VINILICO]])</f>
        <v>0</v>
      </c>
      <c r="BX554" s="3">
        <f>+IF(AVANCE[[#This Row],[OSB CUBIERTA]]=AK$2,100%,AVANCE[[#This Row],[OSB CUBIERTA]])</f>
        <v>0</v>
      </c>
      <c r="BY554" s="3">
        <f>+IF(AVANCE[[#This Row],[BARANDA BALCON]]=AL$2,100%,AVANCE[[#This Row],[BARANDA BALCON]])</f>
        <v>0</v>
      </c>
      <c r="BZ554" s="3">
        <f>+IF(AVANCE[[#This Row],[OSB EXTERIOR]]=AM$2,100%,AVANCE[[#This Row],[OSB EXTERIOR]])</f>
        <v>0</v>
      </c>
      <c r="CA554" s="3">
        <f>+IF(AVANCE[[#This Row],[SMART PANEL]]=AN$2,100%,AVANCE[[#This Row],[SMART PANEL]])</f>
        <v>0</v>
      </c>
      <c r="CB554" s="3">
        <f>+IF(AVANCE[[#This Row],[PINTURA EXTERIOR]]=AO$2,100%,AVANCE[[#This Row],[PINTURA EXTERIOR]])</f>
        <v>0</v>
      </c>
      <c r="CC554" s="3">
        <f>+IF(AVANCE[[#This Row],[ZOCALOS LOGIA]]=AP$2,100%,AVANCE[[#This Row],[ZOCALOS LOGIA]])</f>
        <v>0</v>
      </c>
      <c r="CD554" s="3">
        <f>+IF(AVANCE[[#This Row],[MOLDURAS]]=AQ$2,100%,AVANCE[[#This Row],[MOLDURAS]])</f>
        <v>0</v>
      </c>
      <c r="CE554" s="3">
        <f>+IF(AVANCE[[#This Row],[PILASTREO]]=AR$2,100%,AVANCE[[#This Row],[PILASTREO]])</f>
        <v>0</v>
      </c>
      <c r="CF554" s="3">
        <f>+IF(AVANCE[[#This Row],[CELOSIAS]]=AS$2,100%,AVANCE[[#This Row],[CELOSIAS]])</f>
        <v>0</v>
      </c>
      <c r="CG554" s="3">
        <f>+IF(AVANCE[[#This Row],[VENTANAS]]=AT$2,100%,AVANCE[[#This Row],[VENTANAS]])</f>
        <v>0</v>
      </c>
      <c r="CH554" s="3">
        <f>+IF(AVANCE[[#This Row],[PUERTAS ACCESO - LOGIA - BANO]]=AU$2,100%,AVANCE[[#This Row],[PUERTAS ACCESO - LOGIA - BANO]])</f>
        <v>0</v>
      </c>
      <c r="CI554" s="3">
        <f>+IF(AVANCE[[#This Row],[CERRADURAS]]=AV$2,100%,AVANCE[[#This Row],[CERRADURAS]])</f>
        <v>0</v>
      </c>
      <c r="CJ554" s="3">
        <f>+IF(AVANCE[[#This Row],[REVESTIMIENTO INTERIOR ZONA SECA]]=AW$2,100%,AVANCE[[#This Row],[REVESTIMIENTO INTERIOR ZONA SECA]])</f>
        <v>0</v>
      </c>
      <c r="CK554" s="3">
        <f>+IF(AVANCE[[#This Row],[REVESTIMIENTO INTERIOR ZONAS HUMEDAS]]=AX$2,100%,AVANCE[[#This Row],[REVESTIMIENTO INTERIOR ZONAS HUMEDAS]])</f>
        <v>0</v>
      </c>
      <c r="CL554" s="3">
        <f>+IF(AVANCE[[#This Row],[MEMBRANA CIELO]]=AY$2,100%,AVANCE[[#This Row],[MEMBRANA CIELO]])</f>
        <v>0</v>
      </c>
      <c r="CM554" s="3">
        <f>+IF(AVANCE[[#This Row],[LIMPIEZA FINAL]]=AZ$2,100%,AVANCE[[#This Row],[LIMPIEZA FINAL]])</f>
        <v>0</v>
      </c>
      <c r="CN554" s="3">
        <f>+IF(AVANCE[[#This Row],[PUERTAS DORMITORIO]]=BA$2,100%,AVANCE[[#This Row],[PUERTAS DORMITORIO]])</f>
        <v>0</v>
      </c>
      <c r="CO554" s="3">
        <f>+IF(AVANCE[[#This Row],[REVESTIMIENTO INTERIOR BANO]]=BB$2,100%,AVANCE[[#This Row],[REVESTIMIENTO INTERIOR BANO]])</f>
        <v>0</v>
      </c>
      <c r="CP554" s="3">
        <f>+IF(AVANCE[[#This Row],[MUEBLE LAVAPLATOS]]=BC$2,100%,AVANCE[[#This Row],[MUEBLE LAVAPLATOS]])</f>
        <v>0</v>
      </c>
      <c r="CQ554" s="3">
        <f>+IF(AVANCE[[#This Row],[IMPERMEABILIZACION BANO - COCINA LOGIA]]=BD$2,100%,AVANCE[[#This Row],[IMPERMEABILIZACION BANO - COCINA LOGIA]])</f>
        <v>0</v>
      </c>
      <c r="CR554" s="40">
        <f ca="1">+IF(AVANCE[[#This Row],[ESTADO MODULO]]="PENDIENTE",(TODAY()-AVANCE[[#This Row],[FECHA TERMINO  PLANIFICADO]]),0)</f>
        <v>0</v>
      </c>
      <c r="CS554" s="42" t="str" cm="1">
        <f t="array" ref="CS554">_xlfn.TEXTJOIN(" | ",TRUE,IF(SUMPRODUCT((BF554:CQ554&lt;1)*(PARTIDAS!$I$2:$AT$2="OBRA GRUESA"))&gt;0,"OBRA GRUESA: "&amp;_xlfn.TEXTJOIN(", ",TRUE,IF((BF554:CQ554&lt;1)*(PARTIDAS!$I$2:$AT$2="OBRA GRUESA"),PARTIDAS!$I$1:$AT$1,"")),""),IF(SUMPRODUCT((BF554:CQ554&lt;1)*(PARTIDAS!$I$2:$AT$2="SANITARIOS"))&gt;0,"SANITARIOS: "&amp;_xlfn.TEXTJOIN(", ",TRUE,IF((BF554:CQ554&lt;1)*(PARTIDAS!$I$2:$AT$2="SANITARIOS"),PARTIDAS!$I$1:$AT$1,"")),""),IF(SUMPRODUCT((BF554:CQ554&lt;1)*(PARTIDAS!$I$2:$AT$2="ELÉCTRICO"))&gt;0,"ELÉCTRICO: "&amp;_xlfn.TEXTJOIN(", ",TRUE,IF((BF554:CQ554&lt;1)*(PARTIDAS!$I$2:$AT$2="ELÉCTRICO"),PARTIDAS!$I$1:$AT$1,"")),""),IF(SUMPRODUCT((BF554:CQ554&lt;1)*(PARTIDAS!$I$2:$AT$2="TERMINACIONES"))&gt;0,"TERMINACIONES: "&amp;_xlfn.TEXTJOIN(", ",TRUE,IF((BF554:CQ554&lt;1)*(PARTIDAS!$I$2:$AT$2="TERMINACIONES"),PARTIDAS!$I$1:$AT$1,"")),""))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4" s="45" t="str" cm="1">
        <f t="array" ref="CT554">_xlfn.TEXTJOIN(", ",TRUE,IF(SUMPRODUCT((BF554:CQ554&lt;1)*(PARTIDAS!$I$2:$AT$2="OBRA GRUESA"))&gt;0,"OBRA GRUESA",""),IF(SUMPRODUCT((BF554:CQ554&lt;1)*(PARTIDAS!$I$2:$AT$2="SANITARIOS"))&gt;0,"SANITARIOS",""),IF(SUMPRODUCT((BF554:CQ554&lt;1)*(PARTIDAS!$I$2:$AT$2="ELÉCTRICO"))&gt;0,"ELÉCTRICO",""),IF(SUMPRODUCT((BF554:CQ554&lt;1)*(PARTIDAS!$I$2:$AT$2="TERMINACIONES"))&gt;0,"TERMINACIONES",""))</f>
        <v>OBRA GRUESA, SANITARIOS, ELÉCTRICO, TERMINACIONES</v>
      </c>
      <c r="CU554" s="46" cm="1">
        <f t="array" ref="CU554">SUMPRODUCT(--(BF554:CQ554&lt;1))</f>
        <v>38</v>
      </c>
    </row>
    <row r="555" spans="1:99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46181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 s="3" t="str">
        <f>+IF(AVANCE[[#This Row],[% AVANCE]]=100%,"MODULO TERMINADO",IF(AVANCE[[#This Row],[FECHA INICIO REAL]]="","MODULO NO INICIADO","PENDIENTE"))</f>
        <v>MODULO NO INICIADO</v>
      </c>
      <c r="BF555" s="3">
        <f>+IF(AVANCE[[#This Row],[VENTANAS]]=8.10810810810811%,100%,AVANCE[[#This Row],[VENTANAS]])</f>
        <v>0</v>
      </c>
      <c r="BG555" s="3">
        <f>+IF(AVANCE[[#This Row],[PISO]]=N$2,100%,AVANCE[[#This Row],[PISO]])</f>
        <v>0</v>
      </c>
      <c r="BH555" s="3">
        <f>+IF(AVANCE[[#This Row],[TABIQUES]]=O$2,100%,AVANCE[[#This Row],[TABIQUES]])</f>
        <v>0</v>
      </c>
      <c r="BI555" s="3">
        <f>+IF(AVANCE[[#This Row],[MUROS]]=P$2,100%,AVANCE[[#This Row],[MUROS]])</f>
        <v>0</v>
      </c>
      <c r="BJ555" s="3">
        <f>+IF(AVANCE[[#This Row],[CIELO]]=Q$2,100%,AVANCE[[#This Row],[CIELO]])</f>
        <v>0</v>
      </c>
      <c r="BK555" s="3">
        <f>+IF(AVANCE[[#This Row],[BALCÓN]]=R$2,100%,AVANCE[[#This Row],[BALCÓN]])</f>
        <v>0</v>
      </c>
      <c r="BL555" s="3">
        <f>+IF(AVANCE[[#This Row],[RED ALCANTARILLADO]]=U$2,100%,AVANCE[[#This Row],[RED ALCANTARILLADO]])</f>
        <v>0</v>
      </c>
      <c r="BM555" s="3">
        <f>+IF(AVANCE[[#This Row],[RED DE AGUA]]=V$2,100%,AVANCE[[#This Row],[RED DE AGUA]])</f>
        <v>0</v>
      </c>
      <c r="BN555" s="3">
        <f>+IF(AVANCE[[#This Row],[VENTILACIONES]]=W$2,100%,AVANCE[[#This Row],[VENTILACIONES]])</f>
        <v>0</v>
      </c>
      <c r="BO555" s="3">
        <f>+IF(AVANCE[[#This Row],[TINA]]=X$2,100%,AVANCE[[#This Row],[TINA]])</f>
        <v>0</v>
      </c>
      <c r="BP555" s="3">
        <f>+IF(AVANCE[[#This Row],[WC]]=Y$2,100%,AVANCE[[#This Row],[WC]])</f>
        <v>0</v>
      </c>
      <c r="BQ555" s="3">
        <f>+IF(AVANCE[[#This Row],[LAVAMANOS / LAVAPLATOS / LAVADERO]]=Z$2,100%,AVANCE[[#This Row],[LAVAMANOS / LAVAPLATOS / LAVADERO]])</f>
        <v>0</v>
      </c>
      <c r="BR555" s="3">
        <f>+IF(AVANCE[[#This Row],[CANALIZACIÓN]]=AC$2,100%,AVANCE[[#This Row],[CANALIZACIÓN]])</f>
        <v>0</v>
      </c>
      <c r="BS555" s="3">
        <f>+IF(AVANCE[[#This Row],[CABLEADO]]=AD$2,100%,AVANCE[[#This Row],[CABLEADO]])</f>
        <v>0</v>
      </c>
      <c r="BT555" s="3">
        <f>+IF(AVANCE[[#This Row],[ARTEFACTOS]]=AE$2,100%,AVANCE[[#This Row],[ARTEFACTOS]])</f>
        <v>0</v>
      </c>
      <c r="BU555" s="3">
        <f>+IF(AVANCE[[#This Row],[TABLERO]]=AF$2,100%,AVANCE[[#This Row],[TABLERO]])</f>
        <v>0</v>
      </c>
      <c r="BV555" s="3">
        <f>+IF(AVANCE[[#This Row],[CAJA PAU]]=AG$2,100%,AVANCE[[#This Row],[CAJA PAU]])</f>
        <v>0</v>
      </c>
      <c r="BW555" s="3">
        <f>+IF(AVANCE[[#This Row],[INSTALACION VINILICO]]=AJ$2,100%,AVANCE[[#This Row],[INSTALACION VINILICO]])</f>
        <v>0</v>
      </c>
      <c r="BX555" s="3">
        <f>+IF(AVANCE[[#This Row],[OSB CUBIERTA]]=AK$2,100%,AVANCE[[#This Row],[OSB CUBIERTA]])</f>
        <v>0</v>
      </c>
      <c r="BY555" s="3">
        <f>+IF(AVANCE[[#This Row],[BARANDA BALCON]]=AL$2,100%,AVANCE[[#This Row],[BARANDA BALCON]])</f>
        <v>0</v>
      </c>
      <c r="BZ555" s="3">
        <f>+IF(AVANCE[[#This Row],[OSB EXTERIOR]]=AM$2,100%,AVANCE[[#This Row],[OSB EXTERIOR]])</f>
        <v>0</v>
      </c>
      <c r="CA555" s="3">
        <f>+IF(AVANCE[[#This Row],[SMART PANEL]]=AN$2,100%,AVANCE[[#This Row],[SMART PANEL]])</f>
        <v>0</v>
      </c>
      <c r="CB555" s="3">
        <f>+IF(AVANCE[[#This Row],[PINTURA EXTERIOR]]=AO$2,100%,AVANCE[[#This Row],[PINTURA EXTERIOR]])</f>
        <v>0</v>
      </c>
      <c r="CC555" s="3">
        <f>+IF(AVANCE[[#This Row],[ZOCALOS LOGIA]]=AP$2,100%,AVANCE[[#This Row],[ZOCALOS LOGIA]])</f>
        <v>0</v>
      </c>
      <c r="CD555" s="3">
        <f>+IF(AVANCE[[#This Row],[MOLDURAS]]=AQ$2,100%,AVANCE[[#This Row],[MOLDURAS]])</f>
        <v>0</v>
      </c>
      <c r="CE555" s="3">
        <f>+IF(AVANCE[[#This Row],[PILASTREO]]=AR$2,100%,AVANCE[[#This Row],[PILASTREO]])</f>
        <v>0</v>
      </c>
      <c r="CF555" s="3">
        <f>+IF(AVANCE[[#This Row],[CELOSIAS]]=AS$2,100%,AVANCE[[#This Row],[CELOSIAS]])</f>
        <v>0</v>
      </c>
      <c r="CG555" s="3">
        <f>+IF(AVANCE[[#This Row],[VENTANAS]]=AT$2,100%,AVANCE[[#This Row],[VENTANAS]])</f>
        <v>0</v>
      </c>
      <c r="CH555" s="3">
        <f>+IF(AVANCE[[#This Row],[PUERTAS ACCESO - LOGIA - BANO]]=AU$2,100%,AVANCE[[#This Row],[PUERTAS ACCESO - LOGIA - BANO]])</f>
        <v>0</v>
      </c>
      <c r="CI555" s="3">
        <f>+IF(AVANCE[[#This Row],[CERRADURAS]]=AV$2,100%,AVANCE[[#This Row],[CERRADURAS]])</f>
        <v>0</v>
      </c>
      <c r="CJ555" s="3">
        <f>+IF(AVANCE[[#This Row],[REVESTIMIENTO INTERIOR ZONA SECA]]=AW$2,100%,AVANCE[[#This Row],[REVESTIMIENTO INTERIOR ZONA SECA]])</f>
        <v>0</v>
      </c>
      <c r="CK555" s="3">
        <f>+IF(AVANCE[[#This Row],[REVESTIMIENTO INTERIOR ZONAS HUMEDAS]]=AX$2,100%,AVANCE[[#This Row],[REVESTIMIENTO INTERIOR ZONAS HUMEDAS]])</f>
        <v>0</v>
      </c>
      <c r="CL555" s="3">
        <f>+IF(AVANCE[[#This Row],[MEMBRANA CIELO]]=AY$2,100%,AVANCE[[#This Row],[MEMBRANA CIELO]])</f>
        <v>0</v>
      </c>
      <c r="CM555" s="3">
        <f>+IF(AVANCE[[#This Row],[LIMPIEZA FINAL]]=AZ$2,100%,AVANCE[[#This Row],[LIMPIEZA FINAL]])</f>
        <v>0</v>
      </c>
      <c r="CN555" s="3">
        <f>+IF(AVANCE[[#This Row],[PUERTAS DORMITORIO]]=BA$2,100%,AVANCE[[#This Row],[PUERTAS DORMITORIO]])</f>
        <v>0</v>
      </c>
      <c r="CO555" s="3">
        <f>+IF(AVANCE[[#This Row],[REVESTIMIENTO INTERIOR BANO]]=BB$2,100%,AVANCE[[#This Row],[REVESTIMIENTO INTERIOR BANO]])</f>
        <v>0</v>
      </c>
      <c r="CP555" s="3">
        <f>+IF(AVANCE[[#This Row],[MUEBLE LAVAPLATOS]]=BC$2,100%,AVANCE[[#This Row],[MUEBLE LAVAPLATOS]])</f>
        <v>0</v>
      </c>
      <c r="CQ555" s="3">
        <f>+IF(AVANCE[[#This Row],[IMPERMEABILIZACION BANO - COCINA LOGIA]]=BD$2,100%,AVANCE[[#This Row],[IMPERMEABILIZACION BANO - COCINA LOGIA]])</f>
        <v>0</v>
      </c>
      <c r="CR555" s="40">
        <f ca="1">+IF(AVANCE[[#This Row],[ESTADO MODULO]]="PENDIENTE",(TODAY()-AVANCE[[#This Row],[FECHA TERMINO  PLANIFICADO]]),0)</f>
        <v>0</v>
      </c>
      <c r="CS555" s="42" t="str" cm="1">
        <f t="array" ref="CS555">_xlfn.TEXTJOIN(" | ",TRUE,IF(SUMPRODUCT((BF555:CQ555&lt;1)*(PARTIDAS!$I$2:$AT$2="OBRA GRUESA"))&gt;0,"OBRA GRUESA: "&amp;_xlfn.TEXTJOIN(", ",TRUE,IF((BF555:CQ555&lt;1)*(PARTIDAS!$I$2:$AT$2="OBRA GRUESA"),PARTIDAS!$I$1:$AT$1,"")),""),IF(SUMPRODUCT((BF555:CQ555&lt;1)*(PARTIDAS!$I$2:$AT$2="SANITARIOS"))&gt;0,"SANITARIOS: "&amp;_xlfn.TEXTJOIN(", ",TRUE,IF((BF555:CQ555&lt;1)*(PARTIDAS!$I$2:$AT$2="SANITARIOS"),PARTIDAS!$I$1:$AT$1,"")),""),IF(SUMPRODUCT((BF555:CQ555&lt;1)*(PARTIDAS!$I$2:$AT$2="ELÉCTRICO"))&gt;0,"ELÉCTRICO: "&amp;_xlfn.TEXTJOIN(", ",TRUE,IF((BF555:CQ555&lt;1)*(PARTIDAS!$I$2:$AT$2="ELÉCTRICO"),PARTIDAS!$I$1:$AT$1,"")),""),IF(SUMPRODUCT((BF555:CQ555&lt;1)*(PARTIDAS!$I$2:$AT$2="TERMINACIONES"))&gt;0,"TERMINACIONES: "&amp;_xlfn.TEXTJOIN(", ",TRUE,IF((BF555:CQ555&lt;1)*(PARTIDAS!$I$2:$AT$2="TERMINACIONES"),PARTIDAS!$I$1:$AT$1,"")),""))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5" s="45" t="str" cm="1">
        <f t="array" ref="CT555">_xlfn.TEXTJOIN(", ",TRUE,IF(SUMPRODUCT((BF555:CQ555&lt;1)*(PARTIDAS!$I$2:$AT$2="OBRA GRUESA"))&gt;0,"OBRA GRUESA",""),IF(SUMPRODUCT((BF555:CQ555&lt;1)*(PARTIDAS!$I$2:$AT$2="SANITARIOS"))&gt;0,"SANITARIOS",""),IF(SUMPRODUCT((BF555:CQ555&lt;1)*(PARTIDAS!$I$2:$AT$2="ELÉCTRICO"))&gt;0,"ELÉCTRICO",""),IF(SUMPRODUCT((BF555:CQ555&lt;1)*(PARTIDAS!$I$2:$AT$2="TERMINACIONES"))&gt;0,"TERMINACIONES",""))</f>
        <v>OBRA GRUESA, SANITARIOS, ELÉCTRICO, TERMINACIONES</v>
      </c>
      <c r="CU555" s="46" cm="1">
        <f t="array" ref="CU555">SUMPRODUCT(--(BF555:CQ555&lt;1))</f>
        <v>38</v>
      </c>
    </row>
    <row r="556" spans="1:99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46181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 s="3" t="str">
        <f>+IF(AVANCE[[#This Row],[% AVANCE]]=100%,"MODULO TERMINADO",IF(AVANCE[[#This Row],[FECHA INICIO REAL]]="","MODULO NO INICIADO","PENDIENTE"))</f>
        <v>MODULO NO INICIADO</v>
      </c>
      <c r="BF556" s="3">
        <f>+IF(AVANCE[[#This Row],[VENTANAS]]=8.10810810810811%,100%,AVANCE[[#This Row],[VENTANAS]])</f>
        <v>0</v>
      </c>
      <c r="BG556" s="3">
        <f>+IF(AVANCE[[#This Row],[PISO]]=N$2,100%,AVANCE[[#This Row],[PISO]])</f>
        <v>0</v>
      </c>
      <c r="BH556" s="3">
        <f>+IF(AVANCE[[#This Row],[TABIQUES]]=O$2,100%,AVANCE[[#This Row],[TABIQUES]])</f>
        <v>0</v>
      </c>
      <c r="BI556" s="3">
        <f>+IF(AVANCE[[#This Row],[MUROS]]=P$2,100%,AVANCE[[#This Row],[MUROS]])</f>
        <v>0</v>
      </c>
      <c r="BJ556" s="3">
        <f>+IF(AVANCE[[#This Row],[CIELO]]=Q$2,100%,AVANCE[[#This Row],[CIELO]])</f>
        <v>0</v>
      </c>
      <c r="BK556" s="3">
        <f>+IF(AVANCE[[#This Row],[BALCÓN]]=R$2,100%,AVANCE[[#This Row],[BALCÓN]])</f>
        <v>0</v>
      </c>
      <c r="BL556" s="3">
        <f>+IF(AVANCE[[#This Row],[RED ALCANTARILLADO]]=U$2,100%,AVANCE[[#This Row],[RED ALCANTARILLADO]])</f>
        <v>0</v>
      </c>
      <c r="BM556" s="3">
        <f>+IF(AVANCE[[#This Row],[RED DE AGUA]]=V$2,100%,AVANCE[[#This Row],[RED DE AGUA]])</f>
        <v>0</v>
      </c>
      <c r="BN556" s="3">
        <f>+IF(AVANCE[[#This Row],[VENTILACIONES]]=W$2,100%,AVANCE[[#This Row],[VENTILACIONES]])</f>
        <v>0</v>
      </c>
      <c r="BO556" s="3">
        <f>+IF(AVANCE[[#This Row],[TINA]]=X$2,100%,AVANCE[[#This Row],[TINA]])</f>
        <v>0</v>
      </c>
      <c r="BP556" s="3">
        <f>+IF(AVANCE[[#This Row],[WC]]=Y$2,100%,AVANCE[[#This Row],[WC]])</f>
        <v>0</v>
      </c>
      <c r="BQ556" s="3">
        <f>+IF(AVANCE[[#This Row],[LAVAMANOS / LAVAPLATOS / LAVADERO]]=Z$2,100%,AVANCE[[#This Row],[LAVAMANOS / LAVAPLATOS / LAVADERO]])</f>
        <v>0</v>
      </c>
      <c r="BR556" s="3">
        <f>+IF(AVANCE[[#This Row],[CANALIZACIÓN]]=AC$2,100%,AVANCE[[#This Row],[CANALIZACIÓN]])</f>
        <v>0</v>
      </c>
      <c r="BS556" s="3">
        <f>+IF(AVANCE[[#This Row],[CABLEADO]]=AD$2,100%,AVANCE[[#This Row],[CABLEADO]])</f>
        <v>0</v>
      </c>
      <c r="BT556" s="3">
        <f>+IF(AVANCE[[#This Row],[ARTEFACTOS]]=AE$2,100%,AVANCE[[#This Row],[ARTEFACTOS]])</f>
        <v>0</v>
      </c>
      <c r="BU556" s="3">
        <f>+IF(AVANCE[[#This Row],[TABLERO]]=AF$2,100%,AVANCE[[#This Row],[TABLERO]])</f>
        <v>0</v>
      </c>
      <c r="BV556" s="3">
        <f>+IF(AVANCE[[#This Row],[CAJA PAU]]=AG$2,100%,AVANCE[[#This Row],[CAJA PAU]])</f>
        <v>0</v>
      </c>
      <c r="BW556" s="3">
        <f>+IF(AVANCE[[#This Row],[INSTALACION VINILICO]]=AJ$2,100%,AVANCE[[#This Row],[INSTALACION VINILICO]])</f>
        <v>0</v>
      </c>
      <c r="BX556" s="3">
        <f>+IF(AVANCE[[#This Row],[OSB CUBIERTA]]=AK$2,100%,AVANCE[[#This Row],[OSB CUBIERTA]])</f>
        <v>0</v>
      </c>
      <c r="BY556" s="3">
        <f>+IF(AVANCE[[#This Row],[BARANDA BALCON]]=AL$2,100%,AVANCE[[#This Row],[BARANDA BALCON]])</f>
        <v>0</v>
      </c>
      <c r="BZ556" s="3">
        <f>+IF(AVANCE[[#This Row],[OSB EXTERIOR]]=AM$2,100%,AVANCE[[#This Row],[OSB EXTERIOR]])</f>
        <v>0</v>
      </c>
      <c r="CA556" s="3">
        <f>+IF(AVANCE[[#This Row],[SMART PANEL]]=AN$2,100%,AVANCE[[#This Row],[SMART PANEL]])</f>
        <v>0</v>
      </c>
      <c r="CB556" s="3">
        <f>+IF(AVANCE[[#This Row],[PINTURA EXTERIOR]]=AO$2,100%,AVANCE[[#This Row],[PINTURA EXTERIOR]])</f>
        <v>0</v>
      </c>
      <c r="CC556" s="3">
        <f>+IF(AVANCE[[#This Row],[ZOCALOS LOGIA]]=AP$2,100%,AVANCE[[#This Row],[ZOCALOS LOGIA]])</f>
        <v>0</v>
      </c>
      <c r="CD556" s="3">
        <f>+IF(AVANCE[[#This Row],[MOLDURAS]]=AQ$2,100%,AVANCE[[#This Row],[MOLDURAS]])</f>
        <v>0</v>
      </c>
      <c r="CE556" s="3">
        <f>+IF(AVANCE[[#This Row],[PILASTREO]]=AR$2,100%,AVANCE[[#This Row],[PILASTREO]])</f>
        <v>0</v>
      </c>
      <c r="CF556" s="3">
        <f>+IF(AVANCE[[#This Row],[CELOSIAS]]=AS$2,100%,AVANCE[[#This Row],[CELOSIAS]])</f>
        <v>0</v>
      </c>
      <c r="CG556" s="3">
        <f>+IF(AVANCE[[#This Row],[VENTANAS]]=AT$2,100%,AVANCE[[#This Row],[VENTANAS]])</f>
        <v>0</v>
      </c>
      <c r="CH556" s="3">
        <f>+IF(AVANCE[[#This Row],[PUERTAS ACCESO - LOGIA - BANO]]=AU$2,100%,AVANCE[[#This Row],[PUERTAS ACCESO - LOGIA - BANO]])</f>
        <v>0</v>
      </c>
      <c r="CI556" s="3">
        <f>+IF(AVANCE[[#This Row],[CERRADURAS]]=AV$2,100%,AVANCE[[#This Row],[CERRADURAS]])</f>
        <v>0</v>
      </c>
      <c r="CJ556" s="3">
        <f>+IF(AVANCE[[#This Row],[REVESTIMIENTO INTERIOR ZONA SECA]]=AW$2,100%,AVANCE[[#This Row],[REVESTIMIENTO INTERIOR ZONA SECA]])</f>
        <v>0</v>
      </c>
      <c r="CK556" s="3">
        <f>+IF(AVANCE[[#This Row],[REVESTIMIENTO INTERIOR ZONAS HUMEDAS]]=AX$2,100%,AVANCE[[#This Row],[REVESTIMIENTO INTERIOR ZONAS HUMEDAS]])</f>
        <v>0</v>
      </c>
      <c r="CL556" s="3">
        <f>+IF(AVANCE[[#This Row],[MEMBRANA CIELO]]=AY$2,100%,AVANCE[[#This Row],[MEMBRANA CIELO]])</f>
        <v>0</v>
      </c>
      <c r="CM556" s="3">
        <f>+IF(AVANCE[[#This Row],[LIMPIEZA FINAL]]=AZ$2,100%,AVANCE[[#This Row],[LIMPIEZA FINAL]])</f>
        <v>0</v>
      </c>
      <c r="CN556" s="3">
        <f>+IF(AVANCE[[#This Row],[PUERTAS DORMITORIO]]=BA$2,100%,AVANCE[[#This Row],[PUERTAS DORMITORIO]])</f>
        <v>0</v>
      </c>
      <c r="CO556" s="3">
        <f>+IF(AVANCE[[#This Row],[REVESTIMIENTO INTERIOR BANO]]=BB$2,100%,AVANCE[[#This Row],[REVESTIMIENTO INTERIOR BANO]])</f>
        <v>0</v>
      </c>
      <c r="CP556" s="3">
        <f>+IF(AVANCE[[#This Row],[MUEBLE LAVAPLATOS]]=BC$2,100%,AVANCE[[#This Row],[MUEBLE LAVAPLATOS]])</f>
        <v>0</v>
      </c>
      <c r="CQ556" s="3">
        <f>+IF(AVANCE[[#This Row],[IMPERMEABILIZACION BANO - COCINA LOGIA]]=BD$2,100%,AVANCE[[#This Row],[IMPERMEABILIZACION BANO - COCINA LOGIA]])</f>
        <v>0</v>
      </c>
      <c r="CR556" s="40">
        <f ca="1">+IF(AVANCE[[#This Row],[ESTADO MODULO]]="PENDIENTE",(TODAY()-AVANCE[[#This Row],[FECHA TERMINO  PLANIFICADO]]),0)</f>
        <v>0</v>
      </c>
      <c r="CS556" s="42" t="str" cm="1">
        <f t="array" ref="CS556">_xlfn.TEXTJOIN(" | ",TRUE,IF(SUMPRODUCT((BF556:CQ556&lt;1)*(PARTIDAS!$I$2:$AT$2="OBRA GRUESA"))&gt;0,"OBRA GRUESA: "&amp;_xlfn.TEXTJOIN(", ",TRUE,IF((BF556:CQ556&lt;1)*(PARTIDAS!$I$2:$AT$2="OBRA GRUESA"),PARTIDAS!$I$1:$AT$1,"")),""),IF(SUMPRODUCT((BF556:CQ556&lt;1)*(PARTIDAS!$I$2:$AT$2="SANITARIOS"))&gt;0,"SANITARIOS: "&amp;_xlfn.TEXTJOIN(", ",TRUE,IF((BF556:CQ556&lt;1)*(PARTIDAS!$I$2:$AT$2="SANITARIOS"),PARTIDAS!$I$1:$AT$1,"")),""),IF(SUMPRODUCT((BF556:CQ556&lt;1)*(PARTIDAS!$I$2:$AT$2="ELÉCTRICO"))&gt;0,"ELÉCTRICO: "&amp;_xlfn.TEXTJOIN(", ",TRUE,IF((BF556:CQ556&lt;1)*(PARTIDAS!$I$2:$AT$2="ELÉCTRICO"),PARTIDAS!$I$1:$AT$1,"")),""),IF(SUMPRODUCT((BF556:CQ556&lt;1)*(PARTIDAS!$I$2:$AT$2="TERMINACIONES"))&gt;0,"TERMINACIONES: "&amp;_xlfn.TEXTJOIN(", ",TRUE,IF((BF556:CQ556&lt;1)*(PARTIDAS!$I$2:$AT$2="TERMINACIONES"),PARTIDAS!$I$1:$AT$1,"")),""))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6" s="45" t="str" cm="1">
        <f t="array" ref="CT556">_xlfn.TEXTJOIN(", ",TRUE,IF(SUMPRODUCT((BF556:CQ556&lt;1)*(PARTIDAS!$I$2:$AT$2="OBRA GRUESA"))&gt;0,"OBRA GRUESA",""),IF(SUMPRODUCT((BF556:CQ556&lt;1)*(PARTIDAS!$I$2:$AT$2="SANITARIOS"))&gt;0,"SANITARIOS",""),IF(SUMPRODUCT((BF556:CQ556&lt;1)*(PARTIDAS!$I$2:$AT$2="ELÉCTRICO"))&gt;0,"ELÉCTRICO",""),IF(SUMPRODUCT((BF556:CQ556&lt;1)*(PARTIDAS!$I$2:$AT$2="TERMINACIONES"))&gt;0,"TERMINACIONES",""))</f>
        <v>OBRA GRUESA, SANITARIOS, ELÉCTRICO, TERMINACIONES</v>
      </c>
      <c r="CU556" s="46" cm="1">
        <f t="array" ref="CU556">SUMPRODUCT(--(BF556:CQ556&lt;1))</f>
        <v>38</v>
      </c>
    </row>
    <row r="557" spans="1:99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46181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 s="3" t="str">
        <f>+IF(AVANCE[[#This Row],[% AVANCE]]=100%,"MODULO TERMINADO",IF(AVANCE[[#This Row],[FECHA INICIO REAL]]="","MODULO NO INICIADO","PENDIENTE"))</f>
        <v>MODULO NO INICIADO</v>
      </c>
      <c r="BF557" s="3">
        <f>+IF(AVANCE[[#This Row],[VENTANAS]]=8.10810810810811%,100%,AVANCE[[#This Row],[VENTANAS]])</f>
        <v>0</v>
      </c>
      <c r="BG557" s="3">
        <f>+IF(AVANCE[[#This Row],[PISO]]=N$2,100%,AVANCE[[#This Row],[PISO]])</f>
        <v>0</v>
      </c>
      <c r="BH557" s="3">
        <f>+IF(AVANCE[[#This Row],[TABIQUES]]=O$2,100%,AVANCE[[#This Row],[TABIQUES]])</f>
        <v>0</v>
      </c>
      <c r="BI557" s="3">
        <f>+IF(AVANCE[[#This Row],[MUROS]]=P$2,100%,AVANCE[[#This Row],[MUROS]])</f>
        <v>0</v>
      </c>
      <c r="BJ557" s="3">
        <f>+IF(AVANCE[[#This Row],[CIELO]]=Q$2,100%,AVANCE[[#This Row],[CIELO]])</f>
        <v>0</v>
      </c>
      <c r="BK557" s="3">
        <f>+IF(AVANCE[[#This Row],[BALCÓN]]=R$2,100%,AVANCE[[#This Row],[BALCÓN]])</f>
        <v>0</v>
      </c>
      <c r="BL557" s="3">
        <f>+IF(AVANCE[[#This Row],[RED ALCANTARILLADO]]=U$2,100%,AVANCE[[#This Row],[RED ALCANTARILLADO]])</f>
        <v>0</v>
      </c>
      <c r="BM557" s="3">
        <f>+IF(AVANCE[[#This Row],[RED DE AGUA]]=V$2,100%,AVANCE[[#This Row],[RED DE AGUA]])</f>
        <v>0</v>
      </c>
      <c r="BN557" s="3">
        <f>+IF(AVANCE[[#This Row],[VENTILACIONES]]=W$2,100%,AVANCE[[#This Row],[VENTILACIONES]])</f>
        <v>0</v>
      </c>
      <c r="BO557" s="3">
        <f>+IF(AVANCE[[#This Row],[TINA]]=X$2,100%,AVANCE[[#This Row],[TINA]])</f>
        <v>0</v>
      </c>
      <c r="BP557" s="3">
        <f>+IF(AVANCE[[#This Row],[WC]]=Y$2,100%,AVANCE[[#This Row],[WC]])</f>
        <v>0</v>
      </c>
      <c r="BQ557" s="3">
        <f>+IF(AVANCE[[#This Row],[LAVAMANOS / LAVAPLATOS / LAVADERO]]=Z$2,100%,AVANCE[[#This Row],[LAVAMANOS / LAVAPLATOS / LAVADERO]])</f>
        <v>0</v>
      </c>
      <c r="BR557" s="3">
        <f>+IF(AVANCE[[#This Row],[CANALIZACIÓN]]=AC$2,100%,AVANCE[[#This Row],[CANALIZACIÓN]])</f>
        <v>0</v>
      </c>
      <c r="BS557" s="3">
        <f>+IF(AVANCE[[#This Row],[CABLEADO]]=AD$2,100%,AVANCE[[#This Row],[CABLEADO]])</f>
        <v>0</v>
      </c>
      <c r="BT557" s="3">
        <f>+IF(AVANCE[[#This Row],[ARTEFACTOS]]=AE$2,100%,AVANCE[[#This Row],[ARTEFACTOS]])</f>
        <v>0</v>
      </c>
      <c r="BU557" s="3">
        <f>+IF(AVANCE[[#This Row],[TABLERO]]=AF$2,100%,AVANCE[[#This Row],[TABLERO]])</f>
        <v>0</v>
      </c>
      <c r="BV557" s="3">
        <f>+IF(AVANCE[[#This Row],[CAJA PAU]]=AG$2,100%,AVANCE[[#This Row],[CAJA PAU]])</f>
        <v>0</v>
      </c>
      <c r="BW557" s="3">
        <f>+IF(AVANCE[[#This Row],[INSTALACION VINILICO]]=AJ$2,100%,AVANCE[[#This Row],[INSTALACION VINILICO]])</f>
        <v>0</v>
      </c>
      <c r="BX557" s="3">
        <f>+IF(AVANCE[[#This Row],[OSB CUBIERTA]]=AK$2,100%,AVANCE[[#This Row],[OSB CUBIERTA]])</f>
        <v>0</v>
      </c>
      <c r="BY557" s="3">
        <f>+IF(AVANCE[[#This Row],[BARANDA BALCON]]=AL$2,100%,AVANCE[[#This Row],[BARANDA BALCON]])</f>
        <v>0</v>
      </c>
      <c r="BZ557" s="3">
        <f>+IF(AVANCE[[#This Row],[OSB EXTERIOR]]=AM$2,100%,AVANCE[[#This Row],[OSB EXTERIOR]])</f>
        <v>0</v>
      </c>
      <c r="CA557" s="3">
        <f>+IF(AVANCE[[#This Row],[SMART PANEL]]=AN$2,100%,AVANCE[[#This Row],[SMART PANEL]])</f>
        <v>0</v>
      </c>
      <c r="CB557" s="3">
        <f>+IF(AVANCE[[#This Row],[PINTURA EXTERIOR]]=AO$2,100%,AVANCE[[#This Row],[PINTURA EXTERIOR]])</f>
        <v>0</v>
      </c>
      <c r="CC557" s="3">
        <f>+IF(AVANCE[[#This Row],[ZOCALOS LOGIA]]=AP$2,100%,AVANCE[[#This Row],[ZOCALOS LOGIA]])</f>
        <v>0</v>
      </c>
      <c r="CD557" s="3">
        <f>+IF(AVANCE[[#This Row],[MOLDURAS]]=AQ$2,100%,AVANCE[[#This Row],[MOLDURAS]])</f>
        <v>0</v>
      </c>
      <c r="CE557" s="3">
        <f>+IF(AVANCE[[#This Row],[PILASTREO]]=AR$2,100%,AVANCE[[#This Row],[PILASTREO]])</f>
        <v>0</v>
      </c>
      <c r="CF557" s="3">
        <f>+IF(AVANCE[[#This Row],[CELOSIAS]]=AS$2,100%,AVANCE[[#This Row],[CELOSIAS]])</f>
        <v>0</v>
      </c>
      <c r="CG557" s="3">
        <f>+IF(AVANCE[[#This Row],[VENTANAS]]=AT$2,100%,AVANCE[[#This Row],[VENTANAS]])</f>
        <v>0</v>
      </c>
      <c r="CH557" s="3">
        <f>+IF(AVANCE[[#This Row],[PUERTAS ACCESO - LOGIA - BANO]]=AU$2,100%,AVANCE[[#This Row],[PUERTAS ACCESO - LOGIA - BANO]])</f>
        <v>0</v>
      </c>
      <c r="CI557" s="3">
        <f>+IF(AVANCE[[#This Row],[CERRADURAS]]=AV$2,100%,AVANCE[[#This Row],[CERRADURAS]])</f>
        <v>0</v>
      </c>
      <c r="CJ557" s="3">
        <f>+IF(AVANCE[[#This Row],[REVESTIMIENTO INTERIOR ZONA SECA]]=AW$2,100%,AVANCE[[#This Row],[REVESTIMIENTO INTERIOR ZONA SECA]])</f>
        <v>0</v>
      </c>
      <c r="CK557" s="3">
        <f>+IF(AVANCE[[#This Row],[REVESTIMIENTO INTERIOR ZONAS HUMEDAS]]=AX$2,100%,AVANCE[[#This Row],[REVESTIMIENTO INTERIOR ZONAS HUMEDAS]])</f>
        <v>0</v>
      </c>
      <c r="CL557" s="3">
        <f>+IF(AVANCE[[#This Row],[MEMBRANA CIELO]]=AY$2,100%,AVANCE[[#This Row],[MEMBRANA CIELO]])</f>
        <v>0</v>
      </c>
      <c r="CM557" s="3">
        <f>+IF(AVANCE[[#This Row],[LIMPIEZA FINAL]]=AZ$2,100%,AVANCE[[#This Row],[LIMPIEZA FINAL]])</f>
        <v>0</v>
      </c>
      <c r="CN557" s="3">
        <f>+IF(AVANCE[[#This Row],[PUERTAS DORMITORIO]]=BA$2,100%,AVANCE[[#This Row],[PUERTAS DORMITORIO]])</f>
        <v>0</v>
      </c>
      <c r="CO557" s="3">
        <f>+IF(AVANCE[[#This Row],[REVESTIMIENTO INTERIOR BANO]]=BB$2,100%,AVANCE[[#This Row],[REVESTIMIENTO INTERIOR BANO]])</f>
        <v>0</v>
      </c>
      <c r="CP557" s="3">
        <f>+IF(AVANCE[[#This Row],[MUEBLE LAVAPLATOS]]=BC$2,100%,AVANCE[[#This Row],[MUEBLE LAVAPLATOS]])</f>
        <v>0</v>
      </c>
      <c r="CQ557" s="3">
        <f>+IF(AVANCE[[#This Row],[IMPERMEABILIZACION BANO - COCINA LOGIA]]=BD$2,100%,AVANCE[[#This Row],[IMPERMEABILIZACION BANO - COCINA LOGIA]])</f>
        <v>0</v>
      </c>
      <c r="CR557" s="40">
        <f ca="1">+IF(AVANCE[[#This Row],[ESTADO MODULO]]="PENDIENTE",(TODAY()-AVANCE[[#This Row],[FECHA TERMINO  PLANIFICADO]]),0)</f>
        <v>0</v>
      </c>
      <c r="CS557" s="42" t="str" cm="1">
        <f t="array" ref="CS557">_xlfn.TEXTJOIN(" | ",TRUE,IF(SUMPRODUCT((BF557:CQ557&lt;1)*(PARTIDAS!$I$2:$AT$2="OBRA GRUESA"))&gt;0,"OBRA GRUESA: "&amp;_xlfn.TEXTJOIN(", ",TRUE,IF((BF557:CQ557&lt;1)*(PARTIDAS!$I$2:$AT$2="OBRA GRUESA"),PARTIDAS!$I$1:$AT$1,"")),""),IF(SUMPRODUCT((BF557:CQ557&lt;1)*(PARTIDAS!$I$2:$AT$2="SANITARIOS"))&gt;0,"SANITARIOS: "&amp;_xlfn.TEXTJOIN(", ",TRUE,IF((BF557:CQ557&lt;1)*(PARTIDAS!$I$2:$AT$2="SANITARIOS"),PARTIDAS!$I$1:$AT$1,"")),""),IF(SUMPRODUCT((BF557:CQ557&lt;1)*(PARTIDAS!$I$2:$AT$2="ELÉCTRICO"))&gt;0,"ELÉCTRICO: "&amp;_xlfn.TEXTJOIN(", ",TRUE,IF((BF557:CQ557&lt;1)*(PARTIDAS!$I$2:$AT$2="ELÉCTRICO"),PARTIDAS!$I$1:$AT$1,"")),""),IF(SUMPRODUCT((BF557:CQ557&lt;1)*(PARTIDAS!$I$2:$AT$2="TERMINACIONES"))&gt;0,"TERMINACIONES: "&amp;_xlfn.TEXTJOIN(", ",TRUE,IF((BF557:CQ557&lt;1)*(PARTIDAS!$I$2:$AT$2="TERMINACIONES"),PARTIDAS!$I$1:$AT$1,"")),""))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7" s="45" t="str" cm="1">
        <f t="array" ref="CT557">_xlfn.TEXTJOIN(", ",TRUE,IF(SUMPRODUCT((BF557:CQ557&lt;1)*(PARTIDAS!$I$2:$AT$2="OBRA GRUESA"))&gt;0,"OBRA GRUESA",""),IF(SUMPRODUCT((BF557:CQ557&lt;1)*(PARTIDAS!$I$2:$AT$2="SANITARIOS"))&gt;0,"SANITARIOS",""),IF(SUMPRODUCT((BF557:CQ557&lt;1)*(PARTIDAS!$I$2:$AT$2="ELÉCTRICO"))&gt;0,"ELÉCTRICO",""),IF(SUMPRODUCT((BF557:CQ557&lt;1)*(PARTIDAS!$I$2:$AT$2="TERMINACIONES"))&gt;0,"TERMINACIONES",""))</f>
        <v>OBRA GRUESA, SANITARIOS, ELÉCTRICO, TERMINACIONES</v>
      </c>
      <c r="CU557" s="46" cm="1">
        <f t="array" ref="CU557">SUMPRODUCT(--(BF557:CQ557&lt;1))</f>
        <v>38</v>
      </c>
    </row>
    <row r="558" spans="1:99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46181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 s="3" t="str">
        <f>+IF(AVANCE[[#This Row],[% AVANCE]]=100%,"MODULO TERMINADO",IF(AVANCE[[#This Row],[FECHA INICIO REAL]]="","MODULO NO INICIADO","PENDIENTE"))</f>
        <v>MODULO NO INICIADO</v>
      </c>
      <c r="BF558" s="3">
        <f>+IF(AVANCE[[#This Row],[VENTANAS]]=8.10810810810811%,100%,AVANCE[[#This Row],[VENTANAS]])</f>
        <v>0</v>
      </c>
      <c r="BG558" s="3">
        <f>+IF(AVANCE[[#This Row],[PISO]]=N$2,100%,AVANCE[[#This Row],[PISO]])</f>
        <v>0</v>
      </c>
      <c r="BH558" s="3">
        <f>+IF(AVANCE[[#This Row],[TABIQUES]]=O$2,100%,AVANCE[[#This Row],[TABIQUES]])</f>
        <v>0</v>
      </c>
      <c r="BI558" s="3">
        <f>+IF(AVANCE[[#This Row],[MUROS]]=P$2,100%,AVANCE[[#This Row],[MUROS]])</f>
        <v>0</v>
      </c>
      <c r="BJ558" s="3">
        <f>+IF(AVANCE[[#This Row],[CIELO]]=Q$2,100%,AVANCE[[#This Row],[CIELO]])</f>
        <v>0</v>
      </c>
      <c r="BK558" s="3">
        <f>+IF(AVANCE[[#This Row],[BALCÓN]]=R$2,100%,AVANCE[[#This Row],[BALCÓN]])</f>
        <v>0</v>
      </c>
      <c r="BL558" s="3">
        <f>+IF(AVANCE[[#This Row],[RED ALCANTARILLADO]]=U$2,100%,AVANCE[[#This Row],[RED ALCANTARILLADO]])</f>
        <v>0</v>
      </c>
      <c r="BM558" s="3">
        <f>+IF(AVANCE[[#This Row],[RED DE AGUA]]=V$2,100%,AVANCE[[#This Row],[RED DE AGUA]])</f>
        <v>0</v>
      </c>
      <c r="BN558" s="3">
        <f>+IF(AVANCE[[#This Row],[VENTILACIONES]]=W$2,100%,AVANCE[[#This Row],[VENTILACIONES]])</f>
        <v>0</v>
      </c>
      <c r="BO558" s="3">
        <f>+IF(AVANCE[[#This Row],[TINA]]=X$2,100%,AVANCE[[#This Row],[TINA]])</f>
        <v>0</v>
      </c>
      <c r="BP558" s="3">
        <f>+IF(AVANCE[[#This Row],[WC]]=Y$2,100%,AVANCE[[#This Row],[WC]])</f>
        <v>0</v>
      </c>
      <c r="BQ558" s="3">
        <f>+IF(AVANCE[[#This Row],[LAVAMANOS / LAVAPLATOS / LAVADERO]]=Z$2,100%,AVANCE[[#This Row],[LAVAMANOS / LAVAPLATOS / LAVADERO]])</f>
        <v>0</v>
      </c>
      <c r="BR558" s="3">
        <f>+IF(AVANCE[[#This Row],[CANALIZACIÓN]]=AC$2,100%,AVANCE[[#This Row],[CANALIZACIÓN]])</f>
        <v>0</v>
      </c>
      <c r="BS558" s="3">
        <f>+IF(AVANCE[[#This Row],[CABLEADO]]=AD$2,100%,AVANCE[[#This Row],[CABLEADO]])</f>
        <v>0</v>
      </c>
      <c r="BT558" s="3">
        <f>+IF(AVANCE[[#This Row],[ARTEFACTOS]]=AE$2,100%,AVANCE[[#This Row],[ARTEFACTOS]])</f>
        <v>0</v>
      </c>
      <c r="BU558" s="3">
        <f>+IF(AVANCE[[#This Row],[TABLERO]]=AF$2,100%,AVANCE[[#This Row],[TABLERO]])</f>
        <v>0</v>
      </c>
      <c r="BV558" s="3">
        <f>+IF(AVANCE[[#This Row],[CAJA PAU]]=AG$2,100%,AVANCE[[#This Row],[CAJA PAU]])</f>
        <v>0</v>
      </c>
      <c r="BW558" s="3">
        <f>+IF(AVANCE[[#This Row],[INSTALACION VINILICO]]=AJ$2,100%,AVANCE[[#This Row],[INSTALACION VINILICO]])</f>
        <v>0</v>
      </c>
      <c r="BX558" s="3">
        <f>+IF(AVANCE[[#This Row],[OSB CUBIERTA]]=AK$2,100%,AVANCE[[#This Row],[OSB CUBIERTA]])</f>
        <v>0</v>
      </c>
      <c r="BY558" s="3">
        <f>+IF(AVANCE[[#This Row],[BARANDA BALCON]]=AL$2,100%,AVANCE[[#This Row],[BARANDA BALCON]])</f>
        <v>0</v>
      </c>
      <c r="BZ558" s="3">
        <f>+IF(AVANCE[[#This Row],[OSB EXTERIOR]]=AM$2,100%,AVANCE[[#This Row],[OSB EXTERIOR]])</f>
        <v>0</v>
      </c>
      <c r="CA558" s="3">
        <f>+IF(AVANCE[[#This Row],[SMART PANEL]]=AN$2,100%,AVANCE[[#This Row],[SMART PANEL]])</f>
        <v>0</v>
      </c>
      <c r="CB558" s="3">
        <f>+IF(AVANCE[[#This Row],[PINTURA EXTERIOR]]=AO$2,100%,AVANCE[[#This Row],[PINTURA EXTERIOR]])</f>
        <v>0</v>
      </c>
      <c r="CC558" s="3">
        <f>+IF(AVANCE[[#This Row],[ZOCALOS LOGIA]]=AP$2,100%,AVANCE[[#This Row],[ZOCALOS LOGIA]])</f>
        <v>0</v>
      </c>
      <c r="CD558" s="3">
        <f>+IF(AVANCE[[#This Row],[MOLDURAS]]=AQ$2,100%,AVANCE[[#This Row],[MOLDURAS]])</f>
        <v>0</v>
      </c>
      <c r="CE558" s="3">
        <f>+IF(AVANCE[[#This Row],[PILASTREO]]=AR$2,100%,AVANCE[[#This Row],[PILASTREO]])</f>
        <v>0</v>
      </c>
      <c r="CF558" s="3">
        <f>+IF(AVANCE[[#This Row],[CELOSIAS]]=AS$2,100%,AVANCE[[#This Row],[CELOSIAS]])</f>
        <v>0</v>
      </c>
      <c r="CG558" s="3">
        <f>+IF(AVANCE[[#This Row],[VENTANAS]]=AT$2,100%,AVANCE[[#This Row],[VENTANAS]])</f>
        <v>0</v>
      </c>
      <c r="CH558" s="3">
        <f>+IF(AVANCE[[#This Row],[PUERTAS ACCESO - LOGIA - BANO]]=AU$2,100%,AVANCE[[#This Row],[PUERTAS ACCESO - LOGIA - BANO]])</f>
        <v>0</v>
      </c>
      <c r="CI558" s="3">
        <f>+IF(AVANCE[[#This Row],[CERRADURAS]]=AV$2,100%,AVANCE[[#This Row],[CERRADURAS]])</f>
        <v>0</v>
      </c>
      <c r="CJ558" s="3">
        <f>+IF(AVANCE[[#This Row],[REVESTIMIENTO INTERIOR ZONA SECA]]=AW$2,100%,AVANCE[[#This Row],[REVESTIMIENTO INTERIOR ZONA SECA]])</f>
        <v>0</v>
      </c>
      <c r="CK558" s="3">
        <f>+IF(AVANCE[[#This Row],[REVESTIMIENTO INTERIOR ZONAS HUMEDAS]]=AX$2,100%,AVANCE[[#This Row],[REVESTIMIENTO INTERIOR ZONAS HUMEDAS]])</f>
        <v>0</v>
      </c>
      <c r="CL558" s="3">
        <f>+IF(AVANCE[[#This Row],[MEMBRANA CIELO]]=AY$2,100%,AVANCE[[#This Row],[MEMBRANA CIELO]])</f>
        <v>0</v>
      </c>
      <c r="CM558" s="3">
        <f>+IF(AVANCE[[#This Row],[LIMPIEZA FINAL]]=AZ$2,100%,AVANCE[[#This Row],[LIMPIEZA FINAL]])</f>
        <v>0</v>
      </c>
      <c r="CN558" s="3">
        <f>+IF(AVANCE[[#This Row],[PUERTAS DORMITORIO]]=BA$2,100%,AVANCE[[#This Row],[PUERTAS DORMITORIO]])</f>
        <v>0</v>
      </c>
      <c r="CO558" s="3">
        <f>+IF(AVANCE[[#This Row],[REVESTIMIENTO INTERIOR BANO]]=BB$2,100%,AVANCE[[#This Row],[REVESTIMIENTO INTERIOR BANO]])</f>
        <v>0</v>
      </c>
      <c r="CP558" s="3">
        <f>+IF(AVANCE[[#This Row],[MUEBLE LAVAPLATOS]]=BC$2,100%,AVANCE[[#This Row],[MUEBLE LAVAPLATOS]])</f>
        <v>0</v>
      </c>
      <c r="CQ558" s="3">
        <f>+IF(AVANCE[[#This Row],[IMPERMEABILIZACION BANO - COCINA LOGIA]]=BD$2,100%,AVANCE[[#This Row],[IMPERMEABILIZACION BANO - COCINA LOGIA]])</f>
        <v>0</v>
      </c>
      <c r="CR558" s="40">
        <f ca="1">+IF(AVANCE[[#This Row],[ESTADO MODULO]]="PENDIENTE",(TODAY()-AVANCE[[#This Row],[FECHA TERMINO  PLANIFICADO]]),0)</f>
        <v>0</v>
      </c>
      <c r="CS558" s="42" t="str" cm="1">
        <f t="array" ref="CS558">_xlfn.TEXTJOIN(" | ",TRUE,IF(SUMPRODUCT((BF558:CQ558&lt;1)*(PARTIDAS!$I$2:$AT$2="OBRA GRUESA"))&gt;0,"OBRA GRUESA: "&amp;_xlfn.TEXTJOIN(", ",TRUE,IF((BF558:CQ558&lt;1)*(PARTIDAS!$I$2:$AT$2="OBRA GRUESA"),PARTIDAS!$I$1:$AT$1,"")),""),IF(SUMPRODUCT((BF558:CQ558&lt;1)*(PARTIDAS!$I$2:$AT$2="SANITARIOS"))&gt;0,"SANITARIOS: "&amp;_xlfn.TEXTJOIN(", ",TRUE,IF((BF558:CQ558&lt;1)*(PARTIDAS!$I$2:$AT$2="SANITARIOS"),PARTIDAS!$I$1:$AT$1,"")),""),IF(SUMPRODUCT((BF558:CQ558&lt;1)*(PARTIDAS!$I$2:$AT$2="ELÉCTRICO"))&gt;0,"ELÉCTRICO: "&amp;_xlfn.TEXTJOIN(", ",TRUE,IF((BF558:CQ558&lt;1)*(PARTIDAS!$I$2:$AT$2="ELÉCTRICO"),PARTIDAS!$I$1:$AT$1,"")),""),IF(SUMPRODUCT((BF558:CQ558&lt;1)*(PARTIDAS!$I$2:$AT$2="TERMINACIONES"))&gt;0,"TERMINACIONES: "&amp;_xlfn.TEXTJOIN(", ",TRUE,IF((BF558:CQ558&lt;1)*(PARTIDAS!$I$2:$AT$2="TERMINACIONES"),PARTIDAS!$I$1:$AT$1,"")),""))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8" s="45" t="str" cm="1">
        <f t="array" ref="CT558">_xlfn.TEXTJOIN(", ",TRUE,IF(SUMPRODUCT((BF558:CQ558&lt;1)*(PARTIDAS!$I$2:$AT$2="OBRA GRUESA"))&gt;0,"OBRA GRUESA",""),IF(SUMPRODUCT((BF558:CQ558&lt;1)*(PARTIDAS!$I$2:$AT$2="SANITARIOS"))&gt;0,"SANITARIOS",""),IF(SUMPRODUCT((BF558:CQ558&lt;1)*(PARTIDAS!$I$2:$AT$2="ELÉCTRICO"))&gt;0,"ELÉCTRICO",""),IF(SUMPRODUCT((BF558:CQ558&lt;1)*(PARTIDAS!$I$2:$AT$2="TERMINACIONES"))&gt;0,"TERMINACIONES",""))</f>
        <v>OBRA GRUESA, SANITARIOS, ELÉCTRICO, TERMINACIONES</v>
      </c>
      <c r="CU558" s="46" cm="1">
        <f t="array" ref="CU558">SUMPRODUCT(--(BF558:CQ558&lt;1))</f>
        <v>38</v>
      </c>
    </row>
    <row r="559" spans="1:99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46181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 s="3" t="str">
        <f>+IF(AVANCE[[#This Row],[% AVANCE]]=100%,"MODULO TERMINADO",IF(AVANCE[[#This Row],[FECHA INICIO REAL]]="","MODULO NO INICIADO","PENDIENTE"))</f>
        <v>MODULO NO INICIADO</v>
      </c>
      <c r="BF559" s="3">
        <f>+IF(AVANCE[[#This Row],[VENTANAS]]=8.10810810810811%,100%,AVANCE[[#This Row],[VENTANAS]])</f>
        <v>0</v>
      </c>
      <c r="BG559" s="3">
        <f>+IF(AVANCE[[#This Row],[PISO]]=N$2,100%,AVANCE[[#This Row],[PISO]])</f>
        <v>0</v>
      </c>
      <c r="BH559" s="3">
        <f>+IF(AVANCE[[#This Row],[TABIQUES]]=O$2,100%,AVANCE[[#This Row],[TABIQUES]])</f>
        <v>0</v>
      </c>
      <c r="BI559" s="3">
        <f>+IF(AVANCE[[#This Row],[MUROS]]=P$2,100%,AVANCE[[#This Row],[MUROS]])</f>
        <v>0</v>
      </c>
      <c r="BJ559" s="3">
        <f>+IF(AVANCE[[#This Row],[CIELO]]=Q$2,100%,AVANCE[[#This Row],[CIELO]])</f>
        <v>0</v>
      </c>
      <c r="BK559" s="3">
        <f>+IF(AVANCE[[#This Row],[BALCÓN]]=R$2,100%,AVANCE[[#This Row],[BALCÓN]])</f>
        <v>0</v>
      </c>
      <c r="BL559" s="3">
        <f>+IF(AVANCE[[#This Row],[RED ALCANTARILLADO]]=U$2,100%,AVANCE[[#This Row],[RED ALCANTARILLADO]])</f>
        <v>0</v>
      </c>
      <c r="BM559" s="3">
        <f>+IF(AVANCE[[#This Row],[RED DE AGUA]]=V$2,100%,AVANCE[[#This Row],[RED DE AGUA]])</f>
        <v>0</v>
      </c>
      <c r="BN559" s="3">
        <f>+IF(AVANCE[[#This Row],[VENTILACIONES]]=W$2,100%,AVANCE[[#This Row],[VENTILACIONES]])</f>
        <v>0</v>
      </c>
      <c r="BO559" s="3">
        <f>+IF(AVANCE[[#This Row],[TINA]]=X$2,100%,AVANCE[[#This Row],[TINA]])</f>
        <v>0</v>
      </c>
      <c r="BP559" s="3">
        <f>+IF(AVANCE[[#This Row],[WC]]=Y$2,100%,AVANCE[[#This Row],[WC]])</f>
        <v>0</v>
      </c>
      <c r="BQ559" s="3">
        <f>+IF(AVANCE[[#This Row],[LAVAMANOS / LAVAPLATOS / LAVADERO]]=Z$2,100%,AVANCE[[#This Row],[LAVAMANOS / LAVAPLATOS / LAVADERO]])</f>
        <v>0</v>
      </c>
      <c r="BR559" s="3">
        <f>+IF(AVANCE[[#This Row],[CANALIZACIÓN]]=AC$2,100%,AVANCE[[#This Row],[CANALIZACIÓN]])</f>
        <v>0</v>
      </c>
      <c r="BS559" s="3">
        <f>+IF(AVANCE[[#This Row],[CABLEADO]]=AD$2,100%,AVANCE[[#This Row],[CABLEADO]])</f>
        <v>0</v>
      </c>
      <c r="BT559" s="3">
        <f>+IF(AVANCE[[#This Row],[ARTEFACTOS]]=AE$2,100%,AVANCE[[#This Row],[ARTEFACTOS]])</f>
        <v>0</v>
      </c>
      <c r="BU559" s="3">
        <f>+IF(AVANCE[[#This Row],[TABLERO]]=AF$2,100%,AVANCE[[#This Row],[TABLERO]])</f>
        <v>0</v>
      </c>
      <c r="BV559" s="3">
        <f>+IF(AVANCE[[#This Row],[CAJA PAU]]=AG$2,100%,AVANCE[[#This Row],[CAJA PAU]])</f>
        <v>0</v>
      </c>
      <c r="BW559" s="3">
        <f>+IF(AVANCE[[#This Row],[INSTALACION VINILICO]]=AJ$2,100%,AVANCE[[#This Row],[INSTALACION VINILICO]])</f>
        <v>0</v>
      </c>
      <c r="BX559" s="3">
        <f>+IF(AVANCE[[#This Row],[OSB CUBIERTA]]=AK$2,100%,AVANCE[[#This Row],[OSB CUBIERTA]])</f>
        <v>0</v>
      </c>
      <c r="BY559" s="3">
        <f>+IF(AVANCE[[#This Row],[BARANDA BALCON]]=AL$2,100%,AVANCE[[#This Row],[BARANDA BALCON]])</f>
        <v>0</v>
      </c>
      <c r="BZ559" s="3">
        <f>+IF(AVANCE[[#This Row],[OSB EXTERIOR]]=AM$2,100%,AVANCE[[#This Row],[OSB EXTERIOR]])</f>
        <v>0</v>
      </c>
      <c r="CA559" s="3">
        <f>+IF(AVANCE[[#This Row],[SMART PANEL]]=AN$2,100%,AVANCE[[#This Row],[SMART PANEL]])</f>
        <v>0</v>
      </c>
      <c r="CB559" s="3">
        <f>+IF(AVANCE[[#This Row],[PINTURA EXTERIOR]]=AO$2,100%,AVANCE[[#This Row],[PINTURA EXTERIOR]])</f>
        <v>0</v>
      </c>
      <c r="CC559" s="3">
        <f>+IF(AVANCE[[#This Row],[ZOCALOS LOGIA]]=AP$2,100%,AVANCE[[#This Row],[ZOCALOS LOGIA]])</f>
        <v>0</v>
      </c>
      <c r="CD559" s="3">
        <f>+IF(AVANCE[[#This Row],[MOLDURAS]]=AQ$2,100%,AVANCE[[#This Row],[MOLDURAS]])</f>
        <v>0</v>
      </c>
      <c r="CE559" s="3">
        <f>+IF(AVANCE[[#This Row],[PILASTREO]]=AR$2,100%,AVANCE[[#This Row],[PILASTREO]])</f>
        <v>0</v>
      </c>
      <c r="CF559" s="3">
        <f>+IF(AVANCE[[#This Row],[CELOSIAS]]=AS$2,100%,AVANCE[[#This Row],[CELOSIAS]])</f>
        <v>0</v>
      </c>
      <c r="CG559" s="3">
        <f>+IF(AVANCE[[#This Row],[VENTANAS]]=AT$2,100%,AVANCE[[#This Row],[VENTANAS]])</f>
        <v>0</v>
      </c>
      <c r="CH559" s="3">
        <f>+IF(AVANCE[[#This Row],[PUERTAS ACCESO - LOGIA - BANO]]=AU$2,100%,AVANCE[[#This Row],[PUERTAS ACCESO - LOGIA - BANO]])</f>
        <v>0</v>
      </c>
      <c r="CI559" s="3">
        <f>+IF(AVANCE[[#This Row],[CERRADURAS]]=AV$2,100%,AVANCE[[#This Row],[CERRADURAS]])</f>
        <v>0</v>
      </c>
      <c r="CJ559" s="3">
        <f>+IF(AVANCE[[#This Row],[REVESTIMIENTO INTERIOR ZONA SECA]]=AW$2,100%,AVANCE[[#This Row],[REVESTIMIENTO INTERIOR ZONA SECA]])</f>
        <v>0</v>
      </c>
      <c r="CK559" s="3">
        <f>+IF(AVANCE[[#This Row],[REVESTIMIENTO INTERIOR ZONAS HUMEDAS]]=AX$2,100%,AVANCE[[#This Row],[REVESTIMIENTO INTERIOR ZONAS HUMEDAS]])</f>
        <v>0</v>
      </c>
      <c r="CL559" s="3">
        <f>+IF(AVANCE[[#This Row],[MEMBRANA CIELO]]=AY$2,100%,AVANCE[[#This Row],[MEMBRANA CIELO]])</f>
        <v>0</v>
      </c>
      <c r="CM559" s="3">
        <f>+IF(AVANCE[[#This Row],[LIMPIEZA FINAL]]=AZ$2,100%,AVANCE[[#This Row],[LIMPIEZA FINAL]])</f>
        <v>0</v>
      </c>
      <c r="CN559" s="3">
        <f>+IF(AVANCE[[#This Row],[PUERTAS DORMITORIO]]=BA$2,100%,AVANCE[[#This Row],[PUERTAS DORMITORIO]])</f>
        <v>0</v>
      </c>
      <c r="CO559" s="3">
        <f>+IF(AVANCE[[#This Row],[REVESTIMIENTO INTERIOR BANO]]=BB$2,100%,AVANCE[[#This Row],[REVESTIMIENTO INTERIOR BANO]])</f>
        <v>0</v>
      </c>
      <c r="CP559" s="3">
        <f>+IF(AVANCE[[#This Row],[MUEBLE LAVAPLATOS]]=BC$2,100%,AVANCE[[#This Row],[MUEBLE LAVAPLATOS]])</f>
        <v>0</v>
      </c>
      <c r="CQ559" s="3">
        <f>+IF(AVANCE[[#This Row],[IMPERMEABILIZACION BANO - COCINA LOGIA]]=BD$2,100%,AVANCE[[#This Row],[IMPERMEABILIZACION BANO - COCINA LOGIA]])</f>
        <v>0</v>
      </c>
      <c r="CR559" s="40">
        <f ca="1">+IF(AVANCE[[#This Row],[ESTADO MODULO]]="PENDIENTE",(TODAY()-AVANCE[[#This Row],[FECHA TERMINO  PLANIFICADO]]),0)</f>
        <v>0</v>
      </c>
      <c r="CS559" s="42" t="str" cm="1">
        <f t="array" ref="CS559">_xlfn.TEXTJOIN(" | ",TRUE,IF(SUMPRODUCT((BF559:CQ559&lt;1)*(PARTIDAS!$I$2:$AT$2="OBRA GRUESA"))&gt;0,"OBRA GRUESA: "&amp;_xlfn.TEXTJOIN(", ",TRUE,IF((BF559:CQ559&lt;1)*(PARTIDAS!$I$2:$AT$2="OBRA GRUESA"),PARTIDAS!$I$1:$AT$1,"")),""),IF(SUMPRODUCT((BF559:CQ559&lt;1)*(PARTIDAS!$I$2:$AT$2="SANITARIOS"))&gt;0,"SANITARIOS: "&amp;_xlfn.TEXTJOIN(", ",TRUE,IF((BF559:CQ559&lt;1)*(PARTIDAS!$I$2:$AT$2="SANITARIOS"),PARTIDAS!$I$1:$AT$1,"")),""),IF(SUMPRODUCT((BF559:CQ559&lt;1)*(PARTIDAS!$I$2:$AT$2="ELÉCTRICO"))&gt;0,"ELÉCTRICO: "&amp;_xlfn.TEXTJOIN(", ",TRUE,IF((BF559:CQ559&lt;1)*(PARTIDAS!$I$2:$AT$2="ELÉCTRICO"),PARTIDAS!$I$1:$AT$1,"")),""),IF(SUMPRODUCT((BF559:CQ559&lt;1)*(PARTIDAS!$I$2:$AT$2="TERMINACIONES"))&gt;0,"TERMINACIONES: "&amp;_xlfn.TEXTJOIN(", ",TRUE,IF((BF559:CQ559&lt;1)*(PARTIDAS!$I$2:$AT$2="TERMINACIONES"),PARTIDAS!$I$1:$AT$1,"")),""))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59" s="45" t="str" cm="1">
        <f t="array" ref="CT559">_xlfn.TEXTJOIN(", ",TRUE,IF(SUMPRODUCT((BF559:CQ559&lt;1)*(PARTIDAS!$I$2:$AT$2="OBRA GRUESA"))&gt;0,"OBRA GRUESA",""),IF(SUMPRODUCT((BF559:CQ559&lt;1)*(PARTIDAS!$I$2:$AT$2="SANITARIOS"))&gt;0,"SANITARIOS",""),IF(SUMPRODUCT((BF559:CQ559&lt;1)*(PARTIDAS!$I$2:$AT$2="ELÉCTRICO"))&gt;0,"ELÉCTRICO",""),IF(SUMPRODUCT((BF559:CQ559&lt;1)*(PARTIDAS!$I$2:$AT$2="TERMINACIONES"))&gt;0,"TERMINACIONES",""))</f>
        <v>OBRA GRUESA, SANITARIOS, ELÉCTRICO, TERMINACIONES</v>
      </c>
      <c r="CU559" s="46" cm="1">
        <f t="array" ref="CU559">SUMPRODUCT(--(BF559:CQ559&lt;1))</f>
        <v>38</v>
      </c>
    </row>
    <row r="560" spans="1:99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46181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 s="3" t="str">
        <f>+IF(AVANCE[[#This Row],[% AVANCE]]=100%,"MODULO TERMINADO",IF(AVANCE[[#This Row],[FECHA INICIO REAL]]="","MODULO NO INICIADO","PENDIENTE"))</f>
        <v>MODULO NO INICIADO</v>
      </c>
      <c r="BF560" s="3">
        <f>+IF(AVANCE[[#This Row],[VENTANAS]]=8.10810810810811%,100%,AVANCE[[#This Row],[VENTANAS]])</f>
        <v>0</v>
      </c>
      <c r="BG560" s="3">
        <f>+IF(AVANCE[[#This Row],[PISO]]=N$2,100%,AVANCE[[#This Row],[PISO]])</f>
        <v>0</v>
      </c>
      <c r="BH560" s="3">
        <f>+IF(AVANCE[[#This Row],[TABIQUES]]=O$2,100%,AVANCE[[#This Row],[TABIQUES]])</f>
        <v>0</v>
      </c>
      <c r="BI560" s="3">
        <f>+IF(AVANCE[[#This Row],[MUROS]]=P$2,100%,AVANCE[[#This Row],[MUROS]])</f>
        <v>0</v>
      </c>
      <c r="BJ560" s="3">
        <f>+IF(AVANCE[[#This Row],[CIELO]]=Q$2,100%,AVANCE[[#This Row],[CIELO]])</f>
        <v>0</v>
      </c>
      <c r="BK560" s="3">
        <f>+IF(AVANCE[[#This Row],[BALCÓN]]=R$2,100%,AVANCE[[#This Row],[BALCÓN]])</f>
        <v>0</v>
      </c>
      <c r="BL560" s="3">
        <f>+IF(AVANCE[[#This Row],[RED ALCANTARILLADO]]=U$2,100%,AVANCE[[#This Row],[RED ALCANTARILLADO]])</f>
        <v>0</v>
      </c>
      <c r="BM560" s="3">
        <f>+IF(AVANCE[[#This Row],[RED DE AGUA]]=V$2,100%,AVANCE[[#This Row],[RED DE AGUA]])</f>
        <v>0</v>
      </c>
      <c r="BN560" s="3">
        <f>+IF(AVANCE[[#This Row],[VENTILACIONES]]=W$2,100%,AVANCE[[#This Row],[VENTILACIONES]])</f>
        <v>0</v>
      </c>
      <c r="BO560" s="3">
        <f>+IF(AVANCE[[#This Row],[TINA]]=X$2,100%,AVANCE[[#This Row],[TINA]])</f>
        <v>0</v>
      </c>
      <c r="BP560" s="3">
        <f>+IF(AVANCE[[#This Row],[WC]]=Y$2,100%,AVANCE[[#This Row],[WC]])</f>
        <v>0</v>
      </c>
      <c r="BQ560" s="3">
        <f>+IF(AVANCE[[#This Row],[LAVAMANOS / LAVAPLATOS / LAVADERO]]=Z$2,100%,AVANCE[[#This Row],[LAVAMANOS / LAVAPLATOS / LAVADERO]])</f>
        <v>0</v>
      </c>
      <c r="BR560" s="3">
        <f>+IF(AVANCE[[#This Row],[CANALIZACIÓN]]=AC$2,100%,AVANCE[[#This Row],[CANALIZACIÓN]])</f>
        <v>0</v>
      </c>
      <c r="BS560" s="3">
        <f>+IF(AVANCE[[#This Row],[CABLEADO]]=AD$2,100%,AVANCE[[#This Row],[CABLEADO]])</f>
        <v>0</v>
      </c>
      <c r="BT560" s="3">
        <f>+IF(AVANCE[[#This Row],[ARTEFACTOS]]=AE$2,100%,AVANCE[[#This Row],[ARTEFACTOS]])</f>
        <v>0</v>
      </c>
      <c r="BU560" s="3">
        <f>+IF(AVANCE[[#This Row],[TABLERO]]=AF$2,100%,AVANCE[[#This Row],[TABLERO]])</f>
        <v>0</v>
      </c>
      <c r="BV560" s="3">
        <f>+IF(AVANCE[[#This Row],[CAJA PAU]]=AG$2,100%,AVANCE[[#This Row],[CAJA PAU]])</f>
        <v>0</v>
      </c>
      <c r="BW560" s="3">
        <f>+IF(AVANCE[[#This Row],[INSTALACION VINILICO]]=AJ$2,100%,AVANCE[[#This Row],[INSTALACION VINILICO]])</f>
        <v>0</v>
      </c>
      <c r="BX560" s="3">
        <f>+IF(AVANCE[[#This Row],[OSB CUBIERTA]]=AK$2,100%,AVANCE[[#This Row],[OSB CUBIERTA]])</f>
        <v>0</v>
      </c>
      <c r="BY560" s="3">
        <f>+IF(AVANCE[[#This Row],[BARANDA BALCON]]=AL$2,100%,AVANCE[[#This Row],[BARANDA BALCON]])</f>
        <v>0</v>
      </c>
      <c r="BZ560" s="3">
        <f>+IF(AVANCE[[#This Row],[OSB EXTERIOR]]=AM$2,100%,AVANCE[[#This Row],[OSB EXTERIOR]])</f>
        <v>0</v>
      </c>
      <c r="CA560" s="3">
        <f>+IF(AVANCE[[#This Row],[SMART PANEL]]=AN$2,100%,AVANCE[[#This Row],[SMART PANEL]])</f>
        <v>0</v>
      </c>
      <c r="CB560" s="3">
        <f>+IF(AVANCE[[#This Row],[PINTURA EXTERIOR]]=AO$2,100%,AVANCE[[#This Row],[PINTURA EXTERIOR]])</f>
        <v>0</v>
      </c>
      <c r="CC560" s="3">
        <f>+IF(AVANCE[[#This Row],[ZOCALOS LOGIA]]=AP$2,100%,AVANCE[[#This Row],[ZOCALOS LOGIA]])</f>
        <v>0</v>
      </c>
      <c r="CD560" s="3">
        <f>+IF(AVANCE[[#This Row],[MOLDURAS]]=AQ$2,100%,AVANCE[[#This Row],[MOLDURAS]])</f>
        <v>0</v>
      </c>
      <c r="CE560" s="3">
        <f>+IF(AVANCE[[#This Row],[PILASTREO]]=AR$2,100%,AVANCE[[#This Row],[PILASTREO]])</f>
        <v>0</v>
      </c>
      <c r="CF560" s="3">
        <f>+IF(AVANCE[[#This Row],[CELOSIAS]]=AS$2,100%,AVANCE[[#This Row],[CELOSIAS]])</f>
        <v>0</v>
      </c>
      <c r="CG560" s="3">
        <f>+IF(AVANCE[[#This Row],[VENTANAS]]=AT$2,100%,AVANCE[[#This Row],[VENTANAS]])</f>
        <v>0</v>
      </c>
      <c r="CH560" s="3">
        <f>+IF(AVANCE[[#This Row],[PUERTAS ACCESO - LOGIA - BANO]]=AU$2,100%,AVANCE[[#This Row],[PUERTAS ACCESO - LOGIA - BANO]])</f>
        <v>0</v>
      </c>
      <c r="CI560" s="3">
        <f>+IF(AVANCE[[#This Row],[CERRADURAS]]=AV$2,100%,AVANCE[[#This Row],[CERRADURAS]])</f>
        <v>0</v>
      </c>
      <c r="CJ560" s="3">
        <f>+IF(AVANCE[[#This Row],[REVESTIMIENTO INTERIOR ZONA SECA]]=AW$2,100%,AVANCE[[#This Row],[REVESTIMIENTO INTERIOR ZONA SECA]])</f>
        <v>0</v>
      </c>
      <c r="CK560" s="3">
        <f>+IF(AVANCE[[#This Row],[REVESTIMIENTO INTERIOR ZONAS HUMEDAS]]=AX$2,100%,AVANCE[[#This Row],[REVESTIMIENTO INTERIOR ZONAS HUMEDAS]])</f>
        <v>0</v>
      </c>
      <c r="CL560" s="3">
        <f>+IF(AVANCE[[#This Row],[MEMBRANA CIELO]]=AY$2,100%,AVANCE[[#This Row],[MEMBRANA CIELO]])</f>
        <v>0</v>
      </c>
      <c r="CM560" s="3">
        <f>+IF(AVANCE[[#This Row],[LIMPIEZA FINAL]]=AZ$2,100%,AVANCE[[#This Row],[LIMPIEZA FINAL]])</f>
        <v>0</v>
      </c>
      <c r="CN560" s="3">
        <f>+IF(AVANCE[[#This Row],[PUERTAS DORMITORIO]]=BA$2,100%,AVANCE[[#This Row],[PUERTAS DORMITORIO]])</f>
        <v>0</v>
      </c>
      <c r="CO560" s="3">
        <f>+IF(AVANCE[[#This Row],[REVESTIMIENTO INTERIOR BANO]]=BB$2,100%,AVANCE[[#This Row],[REVESTIMIENTO INTERIOR BANO]])</f>
        <v>0</v>
      </c>
      <c r="CP560" s="3">
        <f>+IF(AVANCE[[#This Row],[MUEBLE LAVAPLATOS]]=BC$2,100%,AVANCE[[#This Row],[MUEBLE LAVAPLATOS]])</f>
        <v>0</v>
      </c>
      <c r="CQ560" s="3">
        <f>+IF(AVANCE[[#This Row],[IMPERMEABILIZACION BANO - COCINA LOGIA]]=BD$2,100%,AVANCE[[#This Row],[IMPERMEABILIZACION BANO - COCINA LOGIA]])</f>
        <v>0</v>
      </c>
      <c r="CR560" s="40">
        <f ca="1">+IF(AVANCE[[#This Row],[ESTADO MODULO]]="PENDIENTE",(TODAY()-AVANCE[[#This Row],[FECHA TERMINO  PLANIFICADO]]),0)</f>
        <v>0</v>
      </c>
      <c r="CS560" s="42" t="str" cm="1">
        <f t="array" ref="CS560">_xlfn.TEXTJOIN(" | ",TRUE,IF(SUMPRODUCT((BF560:CQ560&lt;1)*(PARTIDAS!$I$2:$AT$2="OBRA GRUESA"))&gt;0,"OBRA GRUESA: "&amp;_xlfn.TEXTJOIN(", ",TRUE,IF((BF560:CQ560&lt;1)*(PARTIDAS!$I$2:$AT$2="OBRA GRUESA"),PARTIDAS!$I$1:$AT$1,"")),""),IF(SUMPRODUCT((BF560:CQ560&lt;1)*(PARTIDAS!$I$2:$AT$2="SANITARIOS"))&gt;0,"SANITARIOS: "&amp;_xlfn.TEXTJOIN(", ",TRUE,IF((BF560:CQ560&lt;1)*(PARTIDAS!$I$2:$AT$2="SANITARIOS"),PARTIDAS!$I$1:$AT$1,"")),""),IF(SUMPRODUCT((BF560:CQ560&lt;1)*(PARTIDAS!$I$2:$AT$2="ELÉCTRICO"))&gt;0,"ELÉCTRICO: "&amp;_xlfn.TEXTJOIN(", ",TRUE,IF((BF560:CQ560&lt;1)*(PARTIDAS!$I$2:$AT$2="ELÉCTRICO"),PARTIDAS!$I$1:$AT$1,"")),""),IF(SUMPRODUCT((BF560:CQ560&lt;1)*(PARTIDAS!$I$2:$AT$2="TERMINACIONES"))&gt;0,"TERMINACIONES: "&amp;_xlfn.TEXTJOIN(", ",TRUE,IF((BF560:CQ560&lt;1)*(PARTIDAS!$I$2:$AT$2="TERMINACIONES"),PARTIDAS!$I$1:$AT$1,"")),""))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0" s="45" t="str" cm="1">
        <f t="array" ref="CT560">_xlfn.TEXTJOIN(", ",TRUE,IF(SUMPRODUCT((BF560:CQ560&lt;1)*(PARTIDAS!$I$2:$AT$2="OBRA GRUESA"))&gt;0,"OBRA GRUESA",""),IF(SUMPRODUCT((BF560:CQ560&lt;1)*(PARTIDAS!$I$2:$AT$2="SANITARIOS"))&gt;0,"SANITARIOS",""),IF(SUMPRODUCT((BF560:CQ560&lt;1)*(PARTIDAS!$I$2:$AT$2="ELÉCTRICO"))&gt;0,"ELÉCTRICO",""),IF(SUMPRODUCT((BF560:CQ560&lt;1)*(PARTIDAS!$I$2:$AT$2="TERMINACIONES"))&gt;0,"TERMINACIONES",""))</f>
        <v>OBRA GRUESA, SANITARIOS, ELÉCTRICO, TERMINACIONES</v>
      </c>
      <c r="CU560" s="46" cm="1">
        <f t="array" ref="CU560">SUMPRODUCT(--(BF560:CQ560&lt;1))</f>
        <v>38</v>
      </c>
    </row>
    <row r="561" spans="1:99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46181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 s="3" t="str">
        <f>+IF(AVANCE[[#This Row],[% AVANCE]]=100%,"MODULO TERMINADO",IF(AVANCE[[#This Row],[FECHA INICIO REAL]]="","MODULO NO INICIADO","PENDIENTE"))</f>
        <v>MODULO NO INICIADO</v>
      </c>
      <c r="BF561" s="3">
        <f>+IF(AVANCE[[#This Row],[VENTANAS]]=8.10810810810811%,100%,AVANCE[[#This Row],[VENTANAS]])</f>
        <v>0</v>
      </c>
      <c r="BG561" s="3">
        <f>+IF(AVANCE[[#This Row],[PISO]]=N$2,100%,AVANCE[[#This Row],[PISO]])</f>
        <v>0</v>
      </c>
      <c r="BH561" s="3">
        <f>+IF(AVANCE[[#This Row],[TABIQUES]]=O$2,100%,AVANCE[[#This Row],[TABIQUES]])</f>
        <v>0</v>
      </c>
      <c r="BI561" s="3">
        <f>+IF(AVANCE[[#This Row],[MUROS]]=P$2,100%,AVANCE[[#This Row],[MUROS]])</f>
        <v>0</v>
      </c>
      <c r="BJ561" s="3">
        <f>+IF(AVANCE[[#This Row],[CIELO]]=Q$2,100%,AVANCE[[#This Row],[CIELO]])</f>
        <v>0</v>
      </c>
      <c r="BK561" s="3">
        <f>+IF(AVANCE[[#This Row],[BALCÓN]]=R$2,100%,AVANCE[[#This Row],[BALCÓN]])</f>
        <v>0</v>
      </c>
      <c r="BL561" s="3">
        <f>+IF(AVANCE[[#This Row],[RED ALCANTARILLADO]]=U$2,100%,AVANCE[[#This Row],[RED ALCANTARILLADO]])</f>
        <v>0</v>
      </c>
      <c r="BM561" s="3">
        <f>+IF(AVANCE[[#This Row],[RED DE AGUA]]=V$2,100%,AVANCE[[#This Row],[RED DE AGUA]])</f>
        <v>0</v>
      </c>
      <c r="BN561" s="3">
        <f>+IF(AVANCE[[#This Row],[VENTILACIONES]]=W$2,100%,AVANCE[[#This Row],[VENTILACIONES]])</f>
        <v>0</v>
      </c>
      <c r="BO561" s="3">
        <f>+IF(AVANCE[[#This Row],[TINA]]=X$2,100%,AVANCE[[#This Row],[TINA]])</f>
        <v>0</v>
      </c>
      <c r="BP561" s="3">
        <f>+IF(AVANCE[[#This Row],[WC]]=Y$2,100%,AVANCE[[#This Row],[WC]])</f>
        <v>0</v>
      </c>
      <c r="BQ561" s="3">
        <f>+IF(AVANCE[[#This Row],[LAVAMANOS / LAVAPLATOS / LAVADERO]]=Z$2,100%,AVANCE[[#This Row],[LAVAMANOS / LAVAPLATOS / LAVADERO]])</f>
        <v>0</v>
      </c>
      <c r="BR561" s="3">
        <f>+IF(AVANCE[[#This Row],[CANALIZACIÓN]]=AC$2,100%,AVANCE[[#This Row],[CANALIZACIÓN]])</f>
        <v>0</v>
      </c>
      <c r="BS561" s="3">
        <f>+IF(AVANCE[[#This Row],[CABLEADO]]=AD$2,100%,AVANCE[[#This Row],[CABLEADO]])</f>
        <v>0</v>
      </c>
      <c r="BT561" s="3">
        <f>+IF(AVANCE[[#This Row],[ARTEFACTOS]]=AE$2,100%,AVANCE[[#This Row],[ARTEFACTOS]])</f>
        <v>0</v>
      </c>
      <c r="BU561" s="3">
        <f>+IF(AVANCE[[#This Row],[TABLERO]]=AF$2,100%,AVANCE[[#This Row],[TABLERO]])</f>
        <v>0</v>
      </c>
      <c r="BV561" s="3">
        <f>+IF(AVANCE[[#This Row],[CAJA PAU]]=AG$2,100%,AVANCE[[#This Row],[CAJA PAU]])</f>
        <v>0</v>
      </c>
      <c r="BW561" s="3">
        <f>+IF(AVANCE[[#This Row],[INSTALACION VINILICO]]=AJ$2,100%,AVANCE[[#This Row],[INSTALACION VINILICO]])</f>
        <v>0</v>
      </c>
      <c r="BX561" s="3">
        <f>+IF(AVANCE[[#This Row],[OSB CUBIERTA]]=AK$2,100%,AVANCE[[#This Row],[OSB CUBIERTA]])</f>
        <v>0</v>
      </c>
      <c r="BY561" s="3">
        <f>+IF(AVANCE[[#This Row],[BARANDA BALCON]]=AL$2,100%,AVANCE[[#This Row],[BARANDA BALCON]])</f>
        <v>0</v>
      </c>
      <c r="BZ561" s="3">
        <f>+IF(AVANCE[[#This Row],[OSB EXTERIOR]]=AM$2,100%,AVANCE[[#This Row],[OSB EXTERIOR]])</f>
        <v>0</v>
      </c>
      <c r="CA561" s="3">
        <f>+IF(AVANCE[[#This Row],[SMART PANEL]]=AN$2,100%,AVANCE[[#This Row],[SMART PANEL]])</f>
        <v>0</v>
      </c>
      <c r="CB561" s="3">
        <f>+IF(AVANCE[[#This Row],[PINTURA EXTERIOR]]=AO$2,100%,AVANCE[[#This Row],[PINTURA EXTERIOR]])</f>
        <v>0</v>
      </c>
      <c r="CC561" s="3">
        <f>+IF(AVANCE[[#This Row],[ZOCALOS LOGIA]]=AP$2,100%,AVANCE[[#This Row],[ZOCALOS LOGIA]])</f>
        <v>0</v>
      </c>
      <c r="CD561" s="3">
        <f>+IF(AVANCE[[#This Row],[MOLDURAS]]=AQ$2,100%,AVANCE[[#This Row],[MOLDURAS]])</f>
        <v>0</v>
      </c>
      <c r="CE561" s="3">
        <f>+IF(AVANCE[[#This Row],[PILASTREO]]=AR$2,100%,AVANCE[[#This Row],[PILASTREO]])</f>
        <v>0</v>
      </c>
      <c r="CF561" s="3">
        <f>+IF(AVANCE[[#This Row],[CELOSIAS]]=AS$2,100%,AVANCE[[#This Row],[CELOSIAS]])</f>
        <v>0</v>
      </c>
      <c r="CG561" s="3">
        <f>+IF(AVANCE[[#This Row],[VENTANAS]]=AT$2,100%,AVANCE[[#This Row],[VENTANAS]])</f>
        <v>0</v>
      </c>
      <c r="CH561" s="3">
        <f>+IF(AVANCE[[#This Row],[PUERTAS ACCESO - LOGIA - BANO]]=AU$2,100%,AVANCE[[#This Row],[PUERTAS ACCESO - LOGIA - BANO]])</f>
        <v>0</v>
      </c>
      <c r="CI561" s="3">
        <f>+IF(AVANCE[[#This Row],[CERRADURAS]]=AV$2,100%,AVANCE[[#This Row],[CERRADURAS]])</f>
        <v>0</v>
      </c>
      <c r="CJ561" s="3">
        <f>+IF(AVANCE[[#This Row],[REVESTIMIENTO INTERIOR ZONA SECA]]=AW$2,100%,AVANCE[[#This Row],[REVESTIMIENTO INTERIOR ZONA SECA]])</f>
        <v>0</v>
      </c>
      <c r="CK561" s="3">
        <f>+IF(AVANCE[[#This Row],[REVESTIMIENTO INTERIOR ZONAS HUMEDAS]]=AX$2,100%,AVANCE[[#This Row],[REVESTIMIENTO INTERIOR ZONAS HUMEDAS]])</f>
        <v>0</v>
      </c>
      <c r="CL561" s="3">
        <f>+IF(AVANCE[[#This Row],[MEMBRANA CIELO]]=AY$2,100%,AVANCE[[#This Row],[MEMBRANA CIELO]])</f>
        <v>0</v>
      </c>
      <c r="CM561" s="3">
        <f>+IF(AVANCE[[#This Row],[LIMPIEZA FINAL]]=AZ$2,100%,AVANCE[[#This Row],[LIMPIEZA FINAL]])</f>
        <v>0</v>
      </c>
      <c r="CN561" s="3">
        <f>+IF(AVANCE[[#This Row],[PUERTAS DORMITORIO]]=BA$2,100%,AVANCE[[#This Row],[PUERTAS DORMITORIO]])</f>
        <v>0</v>
      </c>
      <c r="CO561" s="3">
        <f>+IF(AVANCE[[#This Row],[REVESTIMIENTO INTERIOR BANO]]=BB$2,100%,AVANCE[[#This Row],[REVESTIMIENTO INTERIOR BANO]])</f>
        <v>0</v>
      </c>
      <c r="CP561" s="3">
        <f>+IF(AVANCE[[#This Row],[MUEBLE LAVAPLATOS]]=BC$2,100%,AVANCE[[#This Row],[MUEBLE LAVAPLATOS]])</f>
        <v>0</v>
      </c>
      <c r="CQ561" s="3">
        <f>+IF(AVANCE[[#This Row],[IMPERMEABILIZACION BANO - COCINA LOGIA]]=BD$2,100%,AVANCE[[#This Row],[IMPERMEABILIZACION BANO - COCINA LOGIA]])</f>
        <v>0</v>
      </c>
      <c r="CR561" s="40">
        <f ca="1">+IF(AVANCE[[#This Row],[ESTADO MODULO]]="PENDIENTE",(TODAY()-AVANCE[[#This Row],[FECHA TERMINO  PLANIFICADO]]),0)</f>
        <v>0</v>
      </c>
      <c r="CS561" s="42" t="str" cm="1">
        <f t="array" ref="CS561">_xlfn.TEXTJOIN(" | ",TRUE,IF(SUMPRODUCT((BF561:CQ561&lt;1)*(PARTIDAS!$I$2:$AT$2="OBRA GRUESA"))&gt;0,"OBRA GRUESA: "&amp;_xlfn.TEXTJOIN(", ",TRUE,IF((BF561:CQ561&lt;1)*(PARTIDAS!$I$2:$AT$2="OBRA GRUESA"),PARTIDAS!$I$1:$AT$1,"")),""),IF(SUMPRODUCT((BF561:CQ561&lt;1)*(PARTIDAS!$I$2:$AT$2="SANITARIOS"))&gt;0,"SANITARIOS: "&amp;_xlfn.TEXTJOIN(", ",TRUE,IF((BF561:CQ561&lt;1)*(PARTIDAS!$I$2:$AT$2="SANITARIOS"),PARTIDAS!$I$1:$AT$1,"")),""),IF(SUMPRODUCT((BF561:CQ561&lt;1)*(PARTIDAS!$I$2:$AT$2="ELÉCTRICO"))&gt;0,"ELÉCTRICO: "&amp;_xlfn.TEXTJOIN(", ",TRUE,IF((BF561:CQ561&lt;1)*(PARTIDAS!$I$2:$AT$2="ELÉCTRICO"),PARTIDAS!$I$1:$AT$1,"")),""),IF(SUMPRODUCT((BF561:CQ561&lt;1)*(PARTIDAS!$I$2:$AT$2="TERMINACIONES"))&gt;0,"TERMINACIONES: "&amp;_xlfn.TEXTJOIN(", ",TRUE,IF((BF561:CQ561&lt;1)*(PARTIDAS!$I$2:$AT$2="TERMINACIONES"),PARTIDAS!$I$1:$AT$1,"")),""))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1" s="45" t="str" cm="1">
        <f t="array" ref="CT561">_xlfn.TEXTJOIN(", ",TRUE,IF(SUMPRODUCT((BF561:CQ561&lt;1)*(PARTIDAS!$I$2:$AT$2="OBRA GRUESA"))&gt;0,"OBRA GRUESA",""),IF(SUMPRODUCT((BF561:CQ561&lt;1)*(PARTIDAS!$I$2:$AT$2="SANITARIOS"))&gt;0,"SANITARIOS",""),IF(SUMPRODUCT((BF561:CQ561&lt;1)*(PARTIDAS!$I$2:$AT$2="ELÉCTRICO"))&gt;0,"ELÉCTRICO",""),IF(SUMPRODUCT((BF561:CQ561&lt;1)*(PARTIDAS!$I$2:$AT$2="TERMINACIONES"))&gt;0,"TERMINACIONES",""))</f>
        <v>OBRA GRUESA, SANITARIOS, ELÉCTRICO, TERMINACIONES</v>
      </c>
      <c r="CU561" s="46" cm="1">
        <f t="array" ref="CU561">SUMPRODUCT(--(BF561:CQ561&lt;1))</f>
        <v>38</v>
      </c>
    </row>
    <row r="562" spans="1:99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46181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 s="3" t="str">
        <f>+IF(AVANCE[[#This Row],[% AVANCE]]=100%,"MODULO TERMINADO",IF(AVANCE[[#This Row],[FECHA INICIO REAL]]="","MODULO NO INICIADO","PENDIENTE"))</f>
        <v>MODULO NO INICIADO</v>
      </c>
      <c r="BF562" s="3">
        <f>+IF(AVANCE[[#This Row],[VENTANAS]]=8.10810810810811%,100%,AVANCE[[#This Row],[VENTANAS]])</f>
        <v>0</v>
      </c>
      <c r="BG562" s="3">
        <f>+IF(AVANCE[[#This Row],[PISO]]=N$2,100%,AVANCE[[#This Row],[PISO]])</f>
        <v>0</v>
      </c>
      <c r="BH562" s="3">
        <f>+IF(AVANCE[[#This Row],[TABIQUES]]=O$2,100%,AVANCE[[#This Row],[TABIQUES]])</f>
        <v>0</v>
      </c>
      <c r="BI562" s="3">
        <f>+IF(AVANCE[[#This Row],[MUROS]]=P$2,100%,AVANCE[[#This Row],[MUROS]])</f>
        <v>0</v>
      </c>
      <c r="BJ562" s="3">
        <f>+IF(AVANCE[[#This Row],[CIELO]]=Q$2,100%,AVANCE[[#This Row],[CIELO]])</f>
        <v>0</v>
      </c>
      <c r="BK562" s="3">
        <f>+IF(AVANCE[[#This Row],[BALCÓN]]=R$2,100%,AVANCE[[#This Row],[BALCÓN]])</f>
        <v>0</v>
      </c>
      <c r="BL562" s="3">
        <f>+IF(AVANCE[[#This Row],[RED ALCANTARILLADO]]=U$2,100%,AVANCE[[#This Row],[RED ALCANTARILLADO]])</f>
        <v>0</v>
      </c>
      <c r="BM562" s="3">
        <f>+IF(AVANCE[[#This Row],[RED DE AGUA]]=V$2,100%,AVANCE[[#This Row],[RED DE AGUA]])</f>
        <v>0</v>
      </c>
      <c r="BN562" s="3">
        <f>+IF(AVANCE[[#This Row],[VENTILACIONES]]=W$2,100%,AVANCE[[#This Row],[VENTILACIONES]])</f>
        <v>0</v>
      </c>
      <c r="BO562" s="3">
        <f>+IF(AVANCE[[#This Row],[TINA]]=X$2,100%,AVANCE[[#This Row],[TINA]])</f>
        <v>0</v>
      </c>
      <c r="BP562" s="3">
        <f>+IF(AVANCE[[#This Row],[WC]]=Y$2,100%,AVANCE[[#This Row],[WC]])</f>
        <v>0</v>
      </c>
      <c r="BQ562" s="3">
        <f>+IF(AVANCE[[#This Row],[LAVAMANOS / LAVAPLATOS / LAVADERO]]=Z$2,100%,AVANCE[[#This Row],[LAVAMANOS / LAVAPLATOS / LAVADERO]])</f>
        <v>0</v>
      </c>
      <c r="BR562" s="3">
        <f>+IF(AVANCE[[#This Row],[CANALIZACIÓN]]=AC$2,100%,AVANCE[[#This Row],[CANALIZACIÓN]])</f>
        <v>0</v>
      </c>
      <c r="BS562" s="3">
        <f>+IF(AVANCE[[#This Row],[CABLEADO]]=AD$2,100%,AVANCE[[#This Row],[CABLEADO]])</f>
        <v>0</v>
      </c>
      <c r="BT562" s="3">
        <f>+IF(AVANCE[[#This Row],[ARTEFACTOS]]=AE$2,100%,AVANCE[[#This Row],[ARTEFACTOS]])</f>
        <v>0</v>
      </c>
      <c r="BU562" s="3">
        <f>+IF(AVANCE[[#This Row],[TABLERO]]=AF$2,100%,AVANCE[[#This Row],[TABLERO]])</f>
        <v>0</v>
      </c>
      <c r="BV562" s="3">
        <f>+IF(AVANCE[[#This Row],[CAJA PAU]]=AG$2,100%,AVANCE[[#This Row],[CAJA PAU]])</f>
        <v>0</v>
      </c>
      <c r="BW562" s="3">
        <f>+IF(AVANCE[[#This Row],[INSTALACION VINILICO]]=AJ$2,100%,AVANCE[[#This Row],[INSTALACION VINILICO]])</f>
        <v>0</v>
      </c>
      <c r="BX562" s="3">
        <f>+IF(AVANCE[[#This Row],[OSB CUBIERTA]]=AK$2,100%,AVANCE[[#This Row],[OSB CUBIERTA]])</f>
        <v>0</v>
      </c>
      <c r="BY562" s="3">
        <f>+IF(AVANCE[[#This Row],[BARANDA BALCON]]=AL$2,100%,AVANCE[[#This Row],[BARANDA BALCON]])</f>
        <v>0</v>
      </c>
      <c r="BZ562" s="3">
        <f>+IF(AVANCE[[#This Row],[OSB EXTERIOR]]=AM$2,100%,AVANCE[[#This Row],[OSB EXTERIOR]])</f>
        <v>0</v>
      </c>
      <c r="CA562" s="3">
        <f>+IF(AVANCE[[#This Row],[SMART PANEL]]=AN$2,100%,AVANCE[[#This Row],[SMART PANEL]])</f>
        <v>0</v>
      </c>
      <c r="CB562" s="3">
        <f>+IF(AVANCE[[#This Row],[PINTURA EXTERIOR]]=AO$2,100%,AVANCE[[#This Row],[PINTURA EXTERIOR]])</f>
        <v>0</v>
      </c>
      <c r="CC562" s="3">
        <f>+IF(AVANCE[[#This Row],[ZOCALOS LOGIA]]=AP$2,100%,AVANCE[[#This Row],[ZOCALOS LOGIA]])</f>
        <v>0</v>
      </c>
      <c r="CD562" s="3">
        <f>+IF(AVANCE[[#This Row],[MOLDURAS]]=AQ$2,100%,AVANCE[[#This Row],[MOLDURAS]])</f>
        <v>0</v>
      </c>
      <c r="CE562" s="3">
        <f>+IF(AVANCE[[#This Row],[PILASTREO]]=AR$2,100%,AVANCE[[#This Row],[PILASTREO]])</f>
        <v>0</v>
      </c>
      <c r="CF562" s="3">
        <f>+IF(AVANCE[[#This Row],[CELOSIAS]]=AS$2,100%,AVANCE[[#This Row],[CELOSIAS]])</f>
        <v>0</v>
      </c>
      <c r="CG562" s="3">
        <f>+IF(AVANCE[[#This Row],[VENTANAS]]=AT$2,100%,AVANCE[[#This Row],[VENTANAS]])</f>
        <v>0</v>
      </c>
      <c r="CH562" s="3">
        <f>+IF(AVANCE[[#This Row],[PUERTAS ACCESO - LOGIA - BANO]]=AU$2,100%,AVANCE[[#This Row],[PUERTAS ACCESO - LOGIA - BANO]])</f>
        <v>0</v>
      </c>
      <c r="CI562" s="3">
        <f>+IF(AVANCE[[#This Row],[CERRADURAS]]=AV$2,100%,AVANCE[[#This Row],[CERRADURAS]])</f>
        <v>0</v>
      </c>
      <c r="CJ562" s="3">
        <f>+IF(AVANCE[[#This Row],[REVESTIMIENTO INTERIOR ZONA SECA]]=AW$2,100%,AVANCE[[#This Row],[REVESTIMIENTO INTERIOR ZONA SECA]])</f>
        <v>0</v>
      </c>
      <c r="CK562" s="3">
        <f>+IF(AVANCE[[#This Row],[REVESTIMIENTO INTERIOR ZONAS HUMEDAS]]=AX$2,100%,AVANCE[[#This Row],[REVESTIMIENTO INTERIOR ZONAS HUMEDAS]])</f>
        <v>0</v>
      </c>
      <c r="CL562" s="3">
        <f>+IF(AVANCE[[#This Row],[MEMBRANA CIELO]]=AY$2,100%,AVANCE[[#This Row],[MEMBRANA CIELO]])</f>
        <v>0</v>
      </c>
      <c r="CM562" s="3">
        <f>+IF(AVANCE[[#This Row],[LIMPIEZA FINAL]]=AZ$2,100%,AVANCE[[#This Row],[LIMPIEZA FINAL]])</f>
        <v>0</v>
      </c>
      <c r="CN562" s="3">
        <f>+IF(AVANCE[[#This Row],[PUERTAS DORMITORIO]]=BA$2,100%,AVANCE[[#This Row],[PUERTAS DORMITORIO]])</f>
        <v>0</v>
      </c>
      <c r="CO562" s="3">
        <f>+IF(AVANCE[[#This Row],[REVESTIMIENTO INTERIOR BANO]]=BB$2,100%,AVANCE[[#This Row],[REVESTIMIENTO INTERIOR BANO]])</f>
        <v>0</v>
      </c>
      <c r="CP562" s="3">
        <f>+IF(AVANCE[[#This Row],[MUEBLE LAVAPLATOS]]=BC$2,100%,AVANCE[[#This Row],[MUEBLE LAVAPLATOS]])</f>
        <v>0</v>
      </c>
      <c r="CQ562" s="3">
        <f>+IF(AVANCE[[#This Row],[IMPERMEABILIZACION BANO - COCINA LOGIA]]=BD$2,100%,AVANCE[[#This Row],[IMPERMEABILIZACION BANO - COCINA LOGIA]])</f>
        <v>0</v>
      </c>
      <c r="CR562" s="40">
        <f ca="1">+IF(AVANCE[[#This Row],[ESTADO MODULO]]="PENDIENTE",(TODAY()-AVANCE[[#This Row],[FECHA TERMINO  PLANIFICADO]]),0)</f>
        <v>0</v>
      </c>
      <c r="CS562" s="42" t="str" cm="1">
        <f t="array" ref="CS562">_xlfn.TEXTJOIN(" | ",TRUE,IF(SUMPRODUCT((BF562:CQ562&lt;1)*(PARTIDAS!$I$2:$AT$2="OBRA GRUESA"))&gt;0,"OBRA GRUESA: "&amp;_xlfn.TEXTJOIN(", ",TRUE,IF((BF562:CQ562&lt;1)*(PARTIDAS!$I$2:$AT$2="OBRA GRUESA"),PARTIDAS!$I$1:$AT$1,"")),""),IF(SUMPRODUCT((BF562:CQ562&lt;1)*(PARTIDAS!$I$2:$AT$2="SANITARIOS"))&gt;0,"SANITARIOS: "&amp;_xlfn.TEXTJOIN(", ",TRUE,IF((BF562:CQ562&lt;1)*(PARTIDAS!$I$2:$AT$2="SANITARIOS"),PARTIDAS!$I$1:$AT$1,"")),""),IF(SUMPRODUCT((BF562:CQ562&lt;1)*(PARTIDAS!$I$2:$AT$2="ELÉCTRICO"))&gt;0,"ELÉCTRICO: "&amp;_xlfn.TEXTJOIN(", ",TRUE,IF((BF562:CQ562&lt;1)*(PARTIDAS!$I$2:$AT$2="ELÉCTRICO"),PARTIDAS!$I$1:$AT$1,"")),""),IF(SUMPRODUCT((BF562:CQ562&lt;1)*(PARTIDAS!$I$2:$AT$2="TERMINACIONES"))&gt;0,"TERMINACIONES: "&amp;_xlfn.TEXTJOIN(", ",TRUE,IF((BF562:CQ562&lt;1)*(PARTIDAS!$I$2:$AT$2="TERMINACIONES"),PARTIDAS!$I$1:$AT$1,"")),""))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2" s="45" t="str" cm="1">
        <f t="array" ref="CT562">_xlfn.TEXTJOIN(", ",TRUE,IF(SUMPRODUCT((BF562:CQ562&lt;1)*(PARTIDAS!$I$2:$AT$2="OBRA GRUESA"))&gt;0,"OBRA GRUESA",""),IF(SUMPRODUCT((BF562:CQ562&lt;1)*(PARTIDAS!$I$2:$AT$2="SANITARIOS"))&gt;0,"SANITARIOS",""),IF(SUMPRODUCT((BF562:CQ562&lt;1)*(PARTIDAS!$I$2:$AT$2="ELÉCTRICO"))&gt;0,"ELÉCTRICO",""),IF(SUMPRODUCT((BF562:CQ562&lt;1)*(PARTIDAS!$I$2:$AT$2="TERMINACIONES"))&gt;0,"TERMINACIONES",""))</f>
        <v>OBRA GRUESA, SANITARIOS, ELÉCTRICO, TERMINACIONES</v>
      </c>
      <c r="CU562" s="46" cm="1">
        <f t="array" ref="CU562">SUMPRODUCT(--(BF562:CQ562&lt;1))</f>
        <v>38</v>
      </c>
    </row>
    <row r="563" spans="1:99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46181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 s="3" t="str">
        <f>+IF(AVANCE[[#This Row],[% AVANCE]]=100%,"MODULO TERMINADO",IF(AVANCE[[#This Row],[FECHA INICIO REAL]]="","MODULO NO INICIADO","PENDIENTE"))</f>
        <v>MODULO NO INICIADO</v>
      </c>
      <c r="BF563" s="3">
        <f>+IF(AVANCE[[#This Row],[VENTANAS]]=8.10810810810811%,100%,AVANCE[[#This Row],[VENTANAS]])</f>
        <v>0</v>
      </c>
      <c r="BG563" s="3">
        <f>+IF(AVANCE[[#This Row],[PISO]]=N$2,100%,AVANCE[[#This Row],[PISO]])</f>
        <v>0</v>
      </c>
      <c r="BH563" s="3">
        <f>+IF(AVANCE[[#This Row],[TABIQUES]]=O$2,100%,AVANCE[[#This Row],[TABIQUES]])</f>
        <v>0</v>
      </c>
      <c r="BI563" s="3">
        <f>+IF(AVANCE[[#This Row],[MUROS]]=P$2,100%,AVANCE[[#This Row],[MUROS]])</f>
        <v>0</v>
      </c>
      <c r="BJ563" s="3">
        <f>+IF(AVANCE[[#This Row],[CIELO]]=Q$2,100%,AVANCE[[#This Row],[CIELO]])</f>
        <v>0</v>
      </c>
      <c r="BK563" s="3">
        <f>+IF(AVANCE[[#This Row],[BALCÓN]]=R$2,100%,AVANCE[[#This Row],[BALCÓN]])</f>
        <v>0</v>
      </c>
      <c r="BL563" s="3">
        <f>+IF(AVANCE[[#This Row],[RED ALCANTARILLADO]]=U$2,100%,AVANCE[[#This Row],[RED ALCANTARILLADO]])</f>
        <v>0</v>
      </c>
      <c r="BM563" s="3">
        <f>+IF(AVANCE[[#This Row],[RED DE AGUA]]=V$2,100%,AVANCE[[#This Row],[RED DE AGUA]])</f>
        <v>0</v>
      </c>
      <c r="BN563" s="3">
        <f>+IF(AVANCE[[#This Row],[VENTILACIONES]]=W$2,100%,AVANCE[[#This Row],[VENTILACIONES]])</f>
        <v>0</v>
      </c>
      <c r="BO563" s="3">
        <f>+IF(AVANCE[[#This Row],[TINA]]=X$2,100%,AVANCE[[#This Row],[TINA]])</f>
        <v>0</v>
      </c>
      <c r="BP563" s="3">
        <f>+IF(AVANCE[[#This Row],[WC]]=Y$2,100%,AVANCE[[#This Row],[WC]])</f>
        <v>0</v>
      </c>
      <c r="BQ563" s="3">
        <f>+IF(AVANCE[[#This Row],[LAVAMANOS / LAVAPLATOS / LAVADERO]]=Z$2,100%,AVANCE[[#This Row],[LAVAMANOS / LAVAPLATOS / LAVADERO]])</f>
        <v>0</v>
      </c>
      <c r="BR563" s="3">
        <f>+IF(AVANCE[[#This Row],[CANALIZACIÓN]]=AC$2,100%,AVANCE[[#This Row],[CANALIZACIÓN]])</f>
        <v>0</v>
      </c>
      <c r="BS563" s="3">
        <f>+IF(AVANCE[[#This Row],[CABLEADO]]=AD$2,100%,AVANCE[[#This Row],[CABLEADO]])</f>
        <v>0</v>
      </c>
      <c r="BT563" s="3">
        <f>+IF(AVANCE[[#This Row],[ARTEFACTOS]]=AE$2,100%,AVANCE[[#This Row],[ARTEFACTOS]])</f>
        <v>0</v>
      </c>
      <c r="BU563" s="3">
        <f>+IF(AVANCE[[#This Row],[TABLERO]]=AF$2,100%,AVANCE[[#This Row],[TABLERO]])</f>
        <v>0</v>
      </c>
      <c r="BV563" s="3">
        <f>+IF(AVANCE[[#This Row],[CAJA PAU]]=AG$2,100%,AVANCE[[#This Row],[CAJA PAU]])</f>
        <v>0</v>
      </c>
      <c r="BW563" s="3">
        <f>+IF(AVANCE[[#This Row],[INSTALACION VINILICO]]=AJ$2,100%,AVANCE[[#This Row],[INSTALACION VINILICO]])</f>
        <v>0</v>
      </c>
      <c r="BX563" s="3">
        <f>+IF(AVANCE[[#This Row],[OSB CUBIERTA]]=AK$2,100%,AVANCE[[#This Row],[OSB CUBIERTA]])</f>
        <v>0</v>
      </c>
      <c r="BY563" s="3">
        <f>+IF(AVANCE[[#This Row],[BARANDA BALCON]]=AL$2,100%,AVANCE[[#This Row],[BARANDA BALCON]])</f>
        <v>0</v>
      </c>
      <c r="BZ563" s="3">
        <f>+IF(AVANCE[[#This Row],[OSB EXTERIOR]]=AM$2,100%,AVANCE[[#This Row],[OSB EXTERIOR]])</f>
        <v>0</v>
      </c>
      <c r="CA563" s="3">
        <f>+IF(AVANCE[[#This Row],[SMART PANEL]]=AN$2,100%,AVANCE[[#This Row],[SMART PANEL]])</f>
        <v>0</v>
      </c>
      <c r="CB563" s="3">
        <f>+IF(AVANCE[[#This Row],[PINTURA EXTERIOR]]=AO$2,100%,AVANCE[[#This Row],[PINTURA EXTERIOR]])</f>
        <v>0</v>
      </c>
      <c r="CC563" s="3">
        <f>+IF(AVANCE[[#This Row],[ZOCALOS LOGIA]]=AP$2,100%,AVANCE[[#This Row],[ZOCALOS LOGIA]])</f>
        <v>0</v>
      </c>
      <c r="CD563" s="3">
        <f>+IF(AVANCE[[#This Row],[MOLDURAS]]=AQ$2,100%,AVANCE[[#This Row],[MOLDURAS]])</f>
        <v>0</v>
      </c>
      <c r="CE563" s="3">
        <f>+IF(AVANCE[[#This Row],[PILASTREO]]=AR$2,100%,AVANCE[[#This Row],[PILASTREO]])</f>
        <v>0</v>
      </c>
      <c r="CF563" s="3">
        <f>+IF(AVANCE[[#This Row],[CELOSIAS]]=AS$2,100%,AVANCE[[#This Row],[CELOSIAS]])</f>
        <v>0</v>
      </c>
      <c r="CG563" s="3">
        <f>+IF(AVANCE[[#This Row],[VENTANAS]]=AT$2,100%,AVANCE[[#This Row],[VENTANAS]])</f>
        <v>0</v>
      </c>
      <c r="CH563" s="3">
        <f>+IF(AVANCE[[#This Row],[PUERTAS ACCESO - LOGIA - BANO]]=AU$2,100%,AVANCE[[#This Row],[PUERTAS ACCESO - LOGIA - BANO]])</f>
        <v>0</v>
      </c>
      <c r="CI563" s="3">
        <f>+IF(AVANCE[[#This Row],[CERRADURAS]]=AV$2,100%,AVANCE[[#This Row],[CERRADURAS]])</f>
        <v>0</v>
      </c>
      <c r="CJ563" s="3">
        <f>+IF(AVANCE[[#This Row],[REVESTIMIENTO INTERIOR ZONA SECA]]=AW$2,100%,AVANCE[[#This Row],[REVESTIMIENTO INTERIOR ZONA SECA]])</f>
        <v>0</v>
      </c>
      <c r="CK563" s="3">
        <f>+IF(AVANCE[[#This Row],[REVESTIMIENTO INTERIOR ZONAS HUMEDAS]]=AX$2,100%,AVANCE[[#This Row],[REVESTIMIENTO INTERIOR ZONAS HUMEDAS]])</f>
        <v>0</v>
      </c>
      <c r="CL563" s="3">
        <f>+IF(AVANCE[[#This Row],[MEMBRANA CIELO]]=AY$2,100%,AVANCE[[#This Row],[MEMBRANA CIELO]])</f>
        <v>0</v>
      </c>
      <c r="CM563" s="3">
        <f>+IF(AVANCE[[#This Row],[LIMPIEZA FINAL]]=AZ$2,100%,AVANCE[[#This Row],[LIMPIEZA FINAL]])</f>
        <v>0</v>
      </c>
      <c r="CN563" s="3">
        <f>+IF(AVANCE[[#This Row],[PUERTAS DORMITORIO]]=BA$2,100%,AVANCE[[#This Row],[PUERTAS DORMITORIO]])</f>
        <v>0</v>
      </c>
      <c r="CO563" s="3">
        <f>+IF(AVANCE[[#This Row],[REVESTIMIENTO INTERIOR BANO]]=BB$2,100%,AVANCE[[#This Row],[REVESTIMIENTO INTERIOR BANO]])</f>
        <v>0</v>
      </c>
      <c r="CP563" s="3">
        <f>+IF(AVANCE[[#This Row],[MUEBLE LAVAPLATOS]]=BC$2,100%,AVANCE[[#This Row],[MUEBLE LAVAPLATOS]])</f>
        <v>0</v>
      </c>
      <c r="CQ563" s="3">
        <f>+IF(AVANCE[[#This Row],[IMPERMEABILIZACION BANO - COCINA LOGIA]]=BD$2,100%,AVANCE[[#This Row],[IMPERMEABILIZACION BANO - COCINA LOGIA]])</f>
        <v>0</v>
      </c>
      <c r="CR563" s="40">
        <f ca="1">+IF(AVANCE[[#This Row],[ESTADO MODULO]]="PENDIENTE",(TODAY()-AVANCE[[#This Row],[FECHA TERMINO  PLANIFICADO]]),0)</f>
        <v>0</v>
      </c>
      <c r="CS563" s="42" t="str" cm="1">
        <f t="array" ref="CS563">_xlfn.TEXTJOIN(" | ",TRUE,IF(SUMPRODUCT((BF563:CQ563&lt;1)*(PARTIDAS!$I$2:$AT$2="OBRA GRUESA"))&gt;0,"OBRA GRUESA: "&amp;_xlfn.TEXTJOIN(", ",TRUE,IF((BF563:CQ563&lt;1)*(PARTIDAS!$I$2:$AT$2="OBRA GRUESA"),PARTIDAS!$I$1:$AT$1,"")),""),IF(SUMPRODUCT((BF563:CQ563&lt;1)*(PARTIDAS!$I$2:$AT$2="SANITARIOS"))&gt;0,"SANITARIOS: "&amp;_xlfn.TEXTJOIN(", ",TRUE,IF((BF563:CQ563&lt;1)*(PARTIDAS!$I$2:$AT$2="SANITARIOS"),PARTIDAS!$I$1:$AT$1,"")),""),IF(SUMPRODUCT((BF563:CQ563&lt;1)*(PARTIDAS!$I$2:$AT$2="ELÉCTRICO"))&gt;0,"ELÉCTRICO: "&amp;_xlfn.TEXTJOIN(", ",TRUE,IF((BF563:CQ563&lt;1)*(PARTIDAS!$I$2:$AT$2="ELÉCTRICO"),PARTIDAS!$I$1:$AT$1,"")),""),IF(SUMPRODUCT((BF563:CQ563&lt;1)*(PARTIDAS!$I$2:$AT$2="TERMINACIONES"))&gt;0,"TERMINACIONES: "&amp;_xlfn.TEXTJOIN(", ",TRUE,IF((BF563:CQ563&lt;1)*(PARTIDAS!$I$2:$AT$2="TERMINACIONES"),PARTIDAS!$I$1:$AT$1,"")),""))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3" s="45" t="str" cm="1">
        <f t="array" ref="CT563">_xlfn.TEXTJOIN(", ",TRUE,IF(SUMPRODUCT((BF563:CQ563&lt;1)*(PARTIDAS!$I$2:$AT$2="OBRA GRUESA"))&gt;0,"OBRA GRUESA",""),IF(SUMPRODUCT((BF563:CQ563&lt;1)*(PARTIDAS!$I$2:$AT$2="SANITARIOS"))&gt;0,"SANITARIOS",""),IF(SUMPRODUCT((BF563:CQ563&lt;1)*(PARTIDAS!$I$2:$AT$2="ELÉCTRICO"))&gt;0,"ELÉCTRICO",""),IF(SUMPRODUCT((BF563:CQ563&lt;1)*(PARTIDAS!$I$2:$AT$2="TERMINACIONES"))&gt;0,"TERMINACIONES",""))</f>
        <v>OBRA GRUESA, SANITARIOS, ELÉCTRICO, TERMINACIONES</v>
      </c>
      <c r="CU563" s="46" cm="1">
        <f t="array" ref="CU563">SUMPRODUCT(--(BF563:CQ563&lt;1))</f>
        <v>38</v>
      </c>
    </row>
    <row r="564" spans="1:99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46181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 s="3" t="str">
        <f>+IF(AVANCE[[#This Row],[% AVANCE]]=100%,"MODULO TERMINADO",IF(AVANCE[[#This Row],[FECHA INICIO REAL]]="","MODULO NO INICIADO","PENDIENTE"))</f>
        <v>MODULO NO INICIADO</v>
      </c>
      <c r="BF564" s="3">
        <f>+IF(AVANCE[[#This Row],[VENTANAS]]=8.10810810810811%,100%,AVANCE[[#This Row],[VENTANAS]])</f>
        <v>0</v>
      </c>
      <c r="BG564" s="3">
        <f>+IF(AVANCE[[#This Row],[PISO]]=N$2,100%,AVANCE[[#This Row],[PISO]])</f>
        <v>0</v>
      </c>
      <c r="BH564" s="3">
        <f>+IF(AVANCE[[#This Row],[TABIQUES]]=O$2,100%,AVANCE[[#This Row],[TABIQUES]])</f>
        <v>0</v>
      </c>
      <c r="BI564" s="3">
        <f>+IF(AVANCE[[#This Row],[MUROS]]=P$2,100%,AVANCE[[#This Row],[MUROS]])</f>
        <v>0</v>
      </c>
      <c r="BJ564" s="3">
        <f>+IF(AVANCE[[#This Row],[CIELO]]=Q$2,100%,AVANCE[[#This Row],[CIELO]])</f>
        <v>0</v>
      </c>
      <c r="BK564" s="3">
        <f>+IF(AVANCE[[#This Row],[BALCÓN]]=R$2,100%,AVANCE[[#This Row],[BALCÓN]])</f>
        <v>0</v>
      </c>
      <c r="BL564" s="3">
        <f>+IF(AVANCE[[#This Row],[RED ALCANTARILLADO]]=U$2,100%,AVANCE[[#This Row],[RED ALCANTARILLADO]])</f>
        <v>0</v>
      </c>
      <c r="BM564" s="3">
        <f>+IF(AVANCE[[#This Row],[RED DE AGUA]]=V$2,100%,AVANCE[[#This Row],[RED DE AGUA]])</f>
        <v>0</v>
      </c>
      <c r="BN564" s="3">
        <f>+IF(AVANCE[[#This Row],[VENTILACIONES]]=W$2,100%,AVANCE[[#This Row],[VENTILACIONES]])</f>
        <v>0</v>
      </c>
      <c r="BO564" s="3">
        <f>+IF(AVANCE[[#This Row],[TINA]]=X$2,100%,AVANCE[[#This Row],[TINA]])</f>
        <v>0</v>
      </c>
      <c r="BP564" s="3">
        <f>+IF(AVANCE[[#This Row],[WC]]=Y$2,100%,AVANCE[[#This Row],[WC]])</f>
        <v>0</v>
      </c>
      <c r="BQ564" s="3">
        <f>+IF(AVANCE[[#This Row],[LAVAMANOS / LAVAPLATOS / LAVADERO]]=Z$2,100%,AVANCE[[#This Row],[LAVAMANOS / LAVAPLATOS / LAVADERO]])</f>
        <v>0</v>
      </c>
      <c r="BR564" s="3">
        <f>+IF(AVANCE[[#This Row],[CANALIZACIÓN]]=AC$2,100%,AVANCE[[#This Row],[CANALIZACIÓN]])</f>
        <v>0</v>
      </c>
      <c r="BS564" s="3">
        <f>+IF(AVANCE[[#This Row],[CABLEADO]]=AD$2,100%,AVANCE[[#This Row],[CABLEADO]])</f>
        <v>0</v>
      </c>
      <c r="BT564" s="3">
        <f>+IF(AVANCE[[#This Row],[ARTEFACTOS]]=AE$2,100%,AVANCE[[#This Row],[ARTEFACTOS]])</f>
        <v>0</v>
      </c>
      <c r="BU564" s="3">
        <f>+IF(AVANCE[[#This Row],[TABLERO]]=AF$2,100%,AVANCE[[#This Row],[TABLERO]])</f>
        <v>0</v>
      </c>
      <c r="BV564" s="3">
        <f>+IF(AVANCE[[#This Row],[CAJA PAU]]=AG$2,100%,AVANCE[[#This Row],[CAJA PAU]])</f>
        <v>0</v>
      </c>
      <c r="BW564" s="3">
        <f>+IF(AVANCE[[#This Row],[INSTALACION VINILICO]]=AJ$2,100%,AVANCE[[#This Row],[INSTALACION VINILICO]])</f>
        <v>0</v>
      </c>
      <c r="BX564" s="3">
        <f>+IF(AVANCE[[#This Row],[OSB CUBIERTA]]=AK$2,100%,AVANCE[[#This Row],[OSB CUBIERTA]])</f>
        <v>0</v>
      </c>
      <c r="BY564" s="3">
        <f>+IF(AVANCE[[#This Row],[BARANDA BALCON]]=AL$2,100%,AVANCE[[#This Row],[BARANDA BALCON]])</f>
        <v>0</v>
      </c>
      <c r="BZ564" s="3">
        <f>+IF(AVANCE[[#This Row],[OSB EXTERIOR]]=AM$2,100%,AVANCE[[#This Row],[OSB EXTERIOR]])</f>
        <v>0</v>
      </c>
      <c r="CA564" s="3">
        <f>+IF(AVANCE[[#This Row],[SMART PANEL]]=AN$2,100%,AVANCE[[#This Row],[SMART PANEL]])</f>
        <v>0</v>
      </c>
      <c r="CB564" s="3">
        <f>+IF(AVANCE[[#This Row],[PINTURA EXTERIOR]]=AO$2,100%,AVANCE[[#This Row],[PINTURA EXTERIOR]])</f>
        <v>0</v>
      </c>
      <c r="CC564" s="3">
        <f>+IF(AVANCE[[#This Row],[ZOCALOS LOGIA]]=AP$2,100%,AVANCE[[#This Row],[ZOCALOS LOGIA]])</f>
        <v>0</v>
      </c>
      <c r="CD564" s="3">
        <f>+IF(AVANCE[[#This Row],[MOLDURAS]]=AQ$2,100%,AVANCE[[#This Row],[MOLDURAS]])</f>
        <v>0</v>
      </c>
      <c r="CE564" s="3">
        <f>+IF(AVANCE[[#This Row],[PILASTREO]]=AR$2,100%,AVANCE[[#This Row],[PILASTREO]])</f>
        <v>0</v>
      </c>
      <c r="CF564" s="3">
        <f>+IF(AVANCE[[#This Row],[CELOSIAS]]=AS$2,100%,AVANCE[[#This Row],[CELOSIAS]])</f>
        <v>0</v>
      </c>
      <c r="CG564" s="3">
        <f>+IF(AVANCE[[#This Row],[VENTANAS]]=AT$2,100%,AVANCE[[#This Row],[VENTANAS]])</f>
        <v>0</v>
      </c>
      <c r="CH564" s="3">
        <f>+IF(AVANCE[[#This Row],[PUERTAS ACCESO - LOGIA - BANO]]=AU$2,100%,AVANCE[[#This Row],[PUERTAS ACCESO - LOGIA - BANO]])</f>
        <v>0</v>
      </c>
      <c r="CI564" s="3">
        <f>+IF(AVANCE[[#This Row],[CERRADURAS]]=AV$2,100%,AVANCE[[#This Row],[CERRADURAS]])</f>
        <v>0</v>
      </c>
      <c r="CJ564" s="3">
        <f>+IF(AVANCE[[#This Row],[REVESTIMIENTO INTERIOR ZONA SECA]]=AW$2,100%,AVANCE[[#This Row],[REVESTIMIENTO INTERIOR ZONA SECA]])</f>
        <v>0</v>
      </c>
      <c r="CK564" s="3">
        <f>+IF(AVANCE[[#This Row],[REVESTIMIENTO INTERIOR ZONAS HUMEDAS]]=AX$2,100%,AVANCE[[#This Row],[REVESTIMIENTO INTERIOR ZONAS HUMEDAS]])</f>
        <v>0</v>
      </c>
      <c r="CL564" s="3">
        <f>+IF(AVANCE[[#This Row],[MEMBRANA CIELO]]=AY$2,100%,AVANCE[[#This Row],[MEMBRANA CIELO]])</f>
        <v>0</v>
      </c>
      <c r="CM564" s="3">
        <f>+IF(AVANCE[[#This Row],[LIMPIEZA FINAL]]=AZ$2,100%,AVANCE[[#This Row],[LIMPIEZA FINAL]])</f>
        <v>0</v>
      </c>
      <c r="CN564" s="3">
        <f>+IF(AVANCE[[#This Row],[PUERTAS DORMITORIO]]=BA$2,100%,AVANCE[[#This Row],[PUERTAS DORMITORIO]])</f>
        <v>0</v>
      </c>
      <c r="CO564" s="3">
        <f>+IF(AVANCE[[#This Row],[REVESTIMIENTO INTERIOR BANO]]=BB$2,100%,AVANCE[[#This Row],[REVESTIMIENTO INTERIOR BANO]])</f>
        <v>0</v>
      </c>
      <c r="CP564" s="3">
        <f>+IF(AVANCE[[#This Row],[MUEBLE LAVAPLATOS]]=BC$2,100%,AVANCE[[#This Row],[MUEBLE LAVAPLATOS]])</f>
        <v>0</v>
      </c>
      <c r="CQ564" s="3">
        <f>+IF(AVANCE[[#This Row],[IMPERMEABILIZACION BANO - COCINA LOGIA]]=BD$2,100%,AVANCE[[#This Row],[IMPERMEABILIZACION BANO - COCINA LOGIA]])</f>
        <v>0</v>
      </c>
      <c r="CR564" s="40">
        <f ca="1">+IF(AVANCE[[#This Row],[ESTADO MODULO]]="PENDIENTE",(TODAY()-AVANCE[[#This Row],[FECHA TERMINO  PLANIFICADO]]),0)</f>
        <v>0</v>
      </c>
      <c r="CS564" s="42" t="str" cm="1">
        <f t="array" ref="CS564">_xlfn.TEXTJOIN(" | ",TRUE,IF(SUMPRODUCT((BF564:CQ564&lt;1)*(PARTIDAS!$I$2:$AT$2="OBRA GRUESA"))&gt;0,"OBRA GRUESA: "&amp;_xlfn.TEXTJOIN(", ",TRUE,IF((BF564:CQ564&lt;1)*(PARTIDAS!$I$2:$AT$2="OBRA GRUESA"),PARTIDAS!$I$1:$AT$1,"")),""),IF(SUMPRODUCT((BF564:CQ564&lt;1)*(PARTIDAS!$I$2:$AT$2="SANITARIOS"))&gt;0,"SANITARIOS: "&amp;_xlfn.TEXTJOIN(", ",TRUE,IF((BF564:CQ564&lt;1)*(PARTIDAS!$I$2:$AT$2="SANITARIOS"),PARTIDAS!$I$1:$AT$1,"")),""),IF(SUMPRODUCT((BF564:CQ564&lt;1)*(PARTIDAS!$I$2:$AT$2="ELÉCTRICO"))&gt;0,"ELÉCTRICO: "&amp;_xlfn.TEXTJOIN(", ",TRUE,IF((BF564:CQ564&lt;1)*(PARTIDAS!$I$2:$AT$2="ELÉCTRICO"),PARTIDAS!$I$1:$AT$1,"")),""),IF(SUMPRODUCT((BF564:CQ564&lt;1)*(PARTIDAS!$I$2:$AT$2="TERMINACIONES"))&gt;0,"TERMINACIONES: "&amp;_xlfn.TEXTJOIN(", ",TRUE,IF((BF564:CQ564&lt;1)*(PARTIDAS!$I$2:$AT$2="TERMINACIONES"),PARTIDAS!$I$1:$AT$1,"")),""))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4" s="45" t="str" cm="1">
        <f t="array" ref="CT564">_xlfn.TEXTJOIN(", ",TRUE,IF(SUMPRODUCT((BF564:CQ564&lt;1)*(PARTIDAS!$I$2:$AT$2="OBRA GRUESA"))&gt;0,"OBRA GRUESA",""),IF(SUMPRODUCT((BF564:CQ564&lt;1)*(PARTIDAS!$I$2:$AT$2="SANITARIOS"))&gt;0,"SANITARIOS",""),IF(SUMPRODUCT((BF564:CQ564&lt;1)*(PARTIDAS!$I$2:$AT$2="ELÉCTRICO"))&gt;0,"ELÉCTRICO",""),IF(SUMPRODUCT((BF564:CQ564&lt;1)*(PARTIDAS!$I$2:$AT$2="TERMINACIONES"))&gt;0,"TERMINACIONES",""))</f>
        <v>OBRA GRUESA, SANITARIOS, ELÉCTRICO, TERMINACIONES</v>
      </c>
      <c r="CU564" s="46" cm="1">
        <f t="array" ref="CU564">SUMPRODUCT(--(BF564:CQ564&lt;1))</f>
        <v>38</v>
      </c>
    </row>
    <row r="565" spans="1:99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46181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 s="3" t="str">
        <f>+IF(AVANCE[[#This Row],[% AVANCE]]=100%,"MODULO TERMINADO",IF(AVANCE[[#This Row],[FECHA INICIO REAL]]="","MODULO NO INICIADO","PENDIENTE"))</f>
        <v>MODULO NO INICIADO</v>
      </c>
      <c r="BF565" s="3">
        <f>+IF(AVANCE[[#This Row],[VENTANAS]]=8.10810810810811%,100%,AVANCE[[#This Row],[VENTANAS]])</f>
        <v>0</v>
      </c>
      <c r="BG565" s="3">
        <f>+IF(AVANCE[[#This Row],[PISO]]=N$2,100%,AVANCE[[#This Row],[PISO]])</f>
        <v>0</v>
      </c>
      <c r="BH565" s="3">
        <f>+IF(AVANCE[[#This Row],[TABIQUES]]=O$2,100%,AVANCE[[#This Row],[TABIQUES]])</f>
        <v>0</v>
      </c>
      <c r="BI565" s="3">
        <f>+IF(AVANCE[[#This Row],[MUROS]]=P$2,100%,AVANCE[[#This Row],[MUROS]])</f>
        <v>0</v>
      </c>
      <c r="BJ565" s="3">
        <f>+IF(AVANCE[[#This Row],[CIELO]]=Q$2,100%,AVANCE[[#This Row],[CIELO]])</f>
        <v>0</v>
      </c>
      <c r="BK565" s="3">
        <f>+IF(AVANCE[[#This Row],[BALCÓN]]=R$2,100%,AVANCE[[#This Row],[BALCÓN]])</f>
        <v>0</v>
      </c>
      <c r="BL565" s="3">
        <f>+IF(AVANCE[[#This Row],[RED ALCANTARILLADO]]=U$2,100%,AVANCE[[#This Row],[RED ALCANTARILLADO]])</f>
        <v>0</v>
      </c>
      <c r="BM565" s="3">
        <f>+IF(AVANCE[[#This Row],[RED DE AGUA]]=V$2,100%,AVANCE[[#This Row],[RED DE AGUA]])</f>
        <v>0</v>
      </c>
      <c r="BN565" s="3">
        <f>+IF(AVANCE[[#This Row],[VENTILACIONES]]=W$2,100%,AVANCE[[#This Row],[VENTILACIONES]])</f>
        <v>0</v>
      </c>
      <c r="BO565" s="3">
        <f>+IF(AVANCE[[#This Row],[TINA]]=X$2,100%,AVANCE[[#This Row],[TINA]])</f>
        <v>0</v>
      </c>
      <c r="BP565" s="3">
        <f>+IF(AVANCE[[#This Row],[WC]]=Y$2,100%,AVANCE[[#This Row],[WC]])</f>
        <v>0</v>
      </c>
      <c r="BQ565" s="3">
        <f>+IF(AVANCE[[#This Row],[LAVAMANOS / LAVAPLATOS / LAVADERO]]=Z$2,100%,AVANCE[[#This Row],[LAVAMANOS / LAVAPLATOS / LAVADERO]])</f>
        <v>0</v>
      </c>
      <c r="BR565" s="3">
        <f>+IF(AVANCE[[#This Row],[CANALIZACIÓN]]=AC$2,100%,AVANCE[[#This Row],[CANALIZACIÓN]])</f>
        <v>0</v>
      </c>
      <c r="BS565" s="3">
        <f>+IF(AVANCE[[#This Row],[CABLEADO]]=AD$2,100%,AVANCE[[#This Row],[CABLEADO]])</f>
        <v>0</v>
      </c>
      <c r="BT565" s="3">
        <f>+IF(AVANCE[[#This Row],[ARTEFACTOS]]=AE$2,100%,AVANCE[[#This Row],[ARTEFACTOS]])</f>
        <v>0</v>
      </c>
      <c r="BU565" s="3">
        <f>+IF(AVANCE[[#This Row],[TABLERO]]=AF$2,100%,AVANCE[[#This Row],[TABLERO]])</f>
        <v>0</v>
      </c>
      <c r="BV565" s="3">
        <f>+IF(AVANCE[[#This Row],[CAJA PAU]]=AG$2,100%,AVANCE[[#This Row],[CAJA PAU]])</f>
        <v>0</v>
      </c>
      <c r="BW565" s="3">
        <f>+IF(AVANCE[[#This Row],[INSTALACION VINILICO]]=AJ$2,100%,AVANCE[[#This Row],[INSTALACION VINILICO]])</f>
        <v>0</v>
      </c>
      <c r="BX565" s="3">
        <f>+IF(AVANCE[[#This Row],[OSB CUBIERTA]]=AK$2,100%,AVANCE[[#This Row],[OSB CUBIERTA]])</f>
        <v>0</v>
      </c>
      <c r="BY565" s="3">
        <f>+IF(AVANCE[[#This Row],[BARANDA BALCON]]=AL$2,100%,AVANCE[[#This Row],[BARANDA BALCON]])</f>
        <v>0</v>
      </c>
      <c r="BZ565" s="3">
        <f>+IF(AVANCE[[#This Row],[OSB EXTERIOR]]=AM$2,100%,AVANCE[[#This Row],[OSB EXTERIOR]])</f>
        <v>0</v>
      </c>
      <c r="CA565" s="3">
        <f>+IF(AVANCE[[#This Row],[SMART PANEL]]=AN$2,100%,AVANCE[[#This Row],[SMART PANEL]])</f>
        <v>0</v>
      </c>
      <c r="CB565" s="3">
        <f>+IF(AVANCE[[#This Row],[PINTURA EXTERIOR]]=AO$2,100%,AVANCE[[#This Row],[PINTURA EXTERIOR]])</f>
        <v>0</v>
      </c>
      <c r="CC565" s="3">
        <f>+IF(AVANCE[[#This Row],[ZOCALOS LOGIA]]=AP$2,100%,AVANCE[[#This Row],[ZOCALOS LOGIA]])</f>
        <v>0</v>
      </c>
      <c r="CD565" s="3">
        <f>+IF(AVANCE[[#This Row],[MOLDURAS]]=AQ$2,100%,AVANCE[[#This Row],[MOLDURAS]])</f>
        <v>0</v>
      </c>
      <c r="CE565" s="3">
        <f>+IF(AVANCE[[#This Row],[PILASTREO]]=AR$2,100%,AVANCE[[#This Row],[PILASTREO]])</f>
        <v>0</v>
      </c>
      <c r="CF565" s="3">
        <f>+IF(AVANCE[[#This Row],[CELOSIAS]]=AS$2,100%,AVANCE[[#This Row],[CELOSIAS]])</f>
        <v>0</v>
      </c>
      <c r="CG565" s="3">
        <f>+IF(AVANCE[[#This Row],[VENTANAS]]=AT$2,100%,AVANCE[[#This Row],[VENTANAS]])</f>
        <v>0</v>
      </c>
      <c r="CH565" s="3">
        <f>+IF(AVANCE[[#This Row],[PUERTAS ACCESO - LOGIA - BANO]]=AU$2,100%,AVANCE[[#This Row],[PUERTAS ACCESO - LOGIA - BANO]])</f>
        <v>0</v>
      </c>
      <c r="CI565" s="3">
        <f>+IF(AVANCE[[#This Row],[CERRADURAS]]=AV$2,100%,AVANCE[[#This Row],[CERRADURAS]])</f>
        <v>0</v>
      </c>
      <c r="CJ565" s="3">
        <f>+IF(AVANCE[[#This Row],[REVESTIMIENTO INTERIOR ZONA SECA]]=AW$2,100%,AVANCE[[#This Row],[REVESTIMIENTO INTERIOR ZONA SECA]])</f>
        <v>0</v>
      </c>
      <c r="CK565" s="3">
        <f>+IF(AVANCE[[#This Row],[REVESTIMIENTO INTERIOR ZONAS HUMEDAS]]=AX$2,100%,AVANCE[[#This Row],[REVESTIMIENTO INTERIOR ZONAS HUMEDAS]])</f>
        <v>0</v>
      </c>
      <c r="CL565" s="3">
        <f>+IF(AVANCE[[#This Row],[MEMBRANA CIELO]]=AY$2,100%,AVANCE[[#This Row],[MEMBRANA CIELO]])</f>
        <v>0</v>
      </c>
      <c r="CM565" s="3">
        <f>+IF(AVANCE[[#This Row],[LIMPIEZA FINAL]]=AZ$2,100%,AVANCE[[#This Row],[LIMPIEZA FINAL]])</f>
        <v>0</v>
      </c>
      <c r="CN565" s="3">
        <f>+IF(AVANCE[[#This Row],[PUERTAS DORMITORIO]]=BA$2,100%,AVANCE[[#This Row],[PUERTAS DORMITORIO]])</f>
        <v>0</v>
      </c>
      <c r="CO565" s="3">
        <f>+IF(AVANCE[[#This Row],[REVESTIMIENTO INTERIOR BANO]]=BB$2,100%,AVANCE[[#This Row],[REVESTIMIENTO INTERIOR BANO]])</f>
        <v>0</v>
      </c>
      <c r="CP565" s="3">
        <f>+IF(AVANCE[[#This Row],[MUEBLE LAVAPLATOS]]=BC$2,100%,AVANCE[[#This Row],[MUEBLE LAVAPLATOS]])</f>
        <v>0</v>
      </c>
      <c r="CQ565" s="3">
        <f>+IF(AVANCE[[#This Row],[IMPERMEABILIZACION BANO - COCINA LOGIA]]=BD$2,100%,AVANCE[[#This Row],[IMPERMEABILIZACION BANO - COCINA LOGIA]])</f>
        <v>0</v>
      </c>
      <c r="CR565" s="40">
        <f ca="1">+IF(AVANCE[[#This Row],[ESTADO MODULO]]="PENDIENTE",(TODAY()-AVANCE[[#This Row],[FECHA TERMINO  PLANIFICADO]]),0)</f>
        <v>0</v>
      </c>
      <c r="CS565" s="42" t="str" cm="1">
        <f t="array" ref="CS565">_xlfn.TEXTJOIN(" | ",TRUE,IF(SUMPRODUCT((BF565:CQ565&lt;1)*(PARTIDAS!$I$2:$AT$2="OBRA GRUESA"))&gt;0,"OBRA GRUESA: "&amp;_xlfn.TEXTJOIN(", ",TRUE,IF((BF565:CQ565&lt;1)*(PARTIDAS!$I$2:$AT$2="OBRA GRUESA"),PARTIDAS!$I$1:$AT$1,"")),""),IF(SUMPRODUCT((BF565:CQ565&lt;1)*(PARTIDAS!$I$2:$AT$2="SANITARIOS"))&gt;0,"SANITARIOS: "&amp;_xlfn.TEXTJOIN(", ",TRUE,IF((BF565:CQ565&lt;1)*(PARTIDAS!$I$2:$AT$2="SANITARIOS"),PARTIDAS!$I$1:$AT$1,"")),""),IF(SUMPRODUCT((BF565:CQ565&lt;1)*(PARTIDAS!$I$2:$AT$2="ELÉCTRICO"))&gt;0,"ELÉCTRICO: "&amp;_xlfn.TEXTJOIN(", ",TRUE,IF((BF565:CQ565&lt;1)*(PARTIDAS!$I$2:$AT$2="ELÉCTRICO"),PARTIDAS!$I$1:$AT$1,"")),""),IF(SUMPRODUCT((BF565:CQ565&lt;1)*(PARTIDAS!$I$2:$AT$2="TERMINACIONES"))&gt;0,"TERMINACIONES: "&amp;_xlfn.TEXTJOIN(", ",TRUE,IF((BF565:CQ565&lt;1)*(PARTIDAS!$I$2:$AT$2="TERMINACIONES"),PARTIDAS!$I$1:$AT$1,"")),""))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5" s="45" t="str" cm="1">
        <f t="array" ref="CT565">_xlfn.TEXTJOIN(", ",TRUE,IF(SUMPRODUCT((BF565:CQ565&lt;1)*(PARTIDAS!$I$2:$AT$2="OBRA GRUESA"))&gt;0,"OBRA GRUESA",""),IF(SUMPRODUCT((BF565:CQ565&lt;1)*(PARTIDAS!$I$2:$AT$2="SANITARIOS"))&gt;0,"SANITARIOS",""),IF(SUMPRODUCT((BF565:CQ565&lt;1)*(PARTIDAS!$I$2:$AT$2="ELÉCTRICO"))&gt;0,"ELÉCTRICO",""),IF(SUMPRODUCT((BF565:CQ565&lt;1)*(PARTIDAS!$I$2:$AT$2="TERMINACIONES"))&gt;0,"TERMINACIONES",""))</f>
        <v>OBRA GRUESA, SANITARIOS, ELÉCTRICO, TERMINACIONES</v>
      </c>
      <c r="CU565" s="46" cm="1">
        <f t="array" ref="CU565">SUMPRODUCT(--(BF565:CQ565&lt;1))</f>
        <v>38</v>
      </c>
    </row>
    <row r="566" spans="1:99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46181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 s="3" t="str">
        <f>+IF(AVANCE[[#This Row],[% AVANCE]]=100%,"MODULO TERMINADO",IF(AVANCE[[#This Row],[FECHA INICIO REAL]]="","MODULO NO INICIADO","PENDIENTE"))</f>
        <v>MODULO NO INICIADO</v>
      </c>
      <c r="BF566" s="3">
        <f>+IF(AVANCE[[#This Row],[VENTANAS]]=8.10810810810811%,100%,AVANCE[[#This Row],[VENTANAS]])</f>
        <v>0</v>
      </c>
      <c r="BG566" s="3">
        <f>+IF(AVANCE[[#This Row],[PISO]]=N$2,100%,AVANCE[[#This Row],[PISO]])</f>
        <v>0</v>
      </c>
      <c r="BH566" s="3">
        <f>+IF(AVANCE[[#This Row],[TABIQUES]]=O$2,100%,AVANCE[[#This Row],[TABIQUES]])</f>
        <v>0</v>
      </c>
      <c r="BI566" s="3">
        <f>+IF(AVANCE[[#This Row],[MUROS]]=P$2,100%,AVANCE[[#This Row],[MUROS]])</f>
        <v>0</v>
      </c>
      <c r="BJ566" s="3">
        <f>+IF(AVANCE[[#This Row],[CIELO]]=Q$2,100%,AVANCE[[#This Row],[CIELO]])</f>
        <v>0</v>
      </c>
      <c r="BK566" s="3">
        <f>+IF(AVANCE[[#This Row],[BALCÓN]]=R$2,100%,AVANCE[[#This Row],[BALCÓN]])</f>
        <v>0</v>
      </c>
      <c r="BL566" s="3">
        <f>+IF(AVANCE[[#This Row],[RED ALCANTARILLADO]]=U$2,100%,AVANCE[[#This Row],[RED ALCANTARILLADO]])</f>
        <v>0</v>
      </c>
      <c r="BM566" s="3">
        <f>+IF(AVANCE[[#This Row],[RED DE AGUA]]=V$2,100%,AVANCE[[#This Row],[RED DE AGUA]])</f>
        <v>0</v>
      </c>
      <c r="BN566" s="3">
        <f>+IF(AVANCE[[#This Row],[VENTILACIONES]]=W$2,100%,AVANCE[[#This Row],[VENTILACIONES]])</f>
        <v>0</v>
      </c>
      <c r="BO566" s="3">
        <f>+IF(AVANCE[[#This Row],[TINA]]=X$2,100%,AVANCE[[#This Row],[TINA]])</f>
        <v>0</v>
      </c>
      <c r="BP566" s="3">
        <f>+IF(AVANCE[[#This Row],[WC]]=Y$2,100%,AVANCE[[#This Row],[WC]])</f>
        <v>0</v>
      </c>
      <c r="BQ566" s="3">
        <f>+IF(AVANCE[[#This Row],[LAVAMANOS / LAVAPLATOS / LAVADERO]]=Z$2,100%,AVANCE[[#This Row],[LAVAMANOS / LAVAPLATOS / LAVADERO]])</f>
        <v>0</v>
      </c>
      <c r="BR566" s="3">
        <f>+IF(AVANCE[[#This Row],[CANALIZACIÓN]]=AC$2,100%,AVANCE[[#This Row],[CANALIZACIÓN]])</f>
        <v>0</v>
      </c>
      <c r="BS566" s="3">
        <f>+IF(AVANCE[[#This Row],[CABLEADO]]=AD$2,100%,AVANCE[[#This Row],[CABLEADO]])</f>
        <v>0</v>
      </c>
      <c r="BT566" s="3">
        <f>+IF(AVANCE[[#This Row],[ARTEFACTOS]]=AE$2,100%,AVANCE[[#This Row],[ARTEFACTOS]])</f>
        <v>0</v>
      </c>
      <c r="BU566" s="3">
        <f>+IF(AVANCE[[#This Row],[TABLERO]]=AF$2,100%,AVANCE[[#This Row],[TABLERO]])</f>
        <v>0</v>
      </c>
      <c r="BV566" s="3">
        <f>+IF(AVANCE[[#This Row],[CAJA PAU]]=AG$2,100%,AVANCE[[#This Row],[CAJA PAU]])</f>
        <v>0</v>
      </c>
      <c r="BW566" s="3">
        <f>+IF(AVANCE[[#This Row],[INSTALACION VINILICO]]=AJ$2,100%,AVANCE[[#This Row],[INSTALACION VINILICO]])</f>
        <v>0</v>
      </c>
      <c r="BX566" s="3">
        <f>+IF(AVANCE[[#This Row],[OSB CUBIERTA]]=AK$2,100%,AVANCE[[#This Row],[OSB CUBIERTA]])</f>
        <v>0</v>
      </c>
      <c r="BY566" s="3">
        <f>+IF(AVANCE[[#This Row],[BARANDA BALCON]]=AL$2,100%,AVANCE[[#This Row],[BARANDA BALCON]])</f>
        <v>0</v>
      </c>
      <c r="BZ566" s="3">
        <f>+IF(AVANCE[[#This Row],[OSB EXTERIOR]]=AM$2,100%,AVANCE[[#This Row],[OSB EXTERIOR]])</f>
        <v>0</v>
      </c>
      <c r="CA566" s="3">
        <f>+IF(AVANCE[[#This Row],[SMART PANEL]]=AN$2,100%,AVANCE[[#This Row],[SMART PANEL]])</f>
        <v>0</v>
      </c>
      <c r="CB566" s="3">
        <f>+IF(AVANCE[[#This Row],[PINTURA EXTERIOR]]=AO$2,100%,AVANCE[[#This Row],[PINTURA EXTERIOR]])</f>
        <v>0</v>
      </c>
      <c r="CC566" s="3">
        <f>+IF(AVANCE[[#This Row],[ZOCALOS LOGIA]]=AP$2,100%,AVANCE[[#This Row],[ZOCALOS LOGIA]])</f>
        <v>0</v>
      </c>
      <c r="CD566" s="3">
        <f>+IF(AVANCE[[#This Row],[MOLDURAS]]=AQ$2,100%,AVANCE[[#This Row],[MOLDURAS]])</f>
        <v>0</v>
      </c>
      <c r="CE566" s="3">
        <f>+IF(AVANCE[[#This Row],[PILASTREO]]=AR$2,100%,AVANCE[[#This Row],[PILASTREO]])</f>
        <v>0</v>
      </c>
      <c r="CF566" s="3">
        <f>+IF(AVANCE[[#This Row],[CELOSIAS]]=AS$2,100%,AVANCE[[#This Row],[CELOSIAS]])</f>
        <v>0</v>
      </c>
      <c r="CG566" s="3">
        <f>+IF(AVANCE[[#This Row],[VENTANAS]]=AT$2,100%,AVANCE[[#This Row],[VENTANAS]])</f>
        <v>0</v>
      </c>
      <c r="CH566" s="3">
        <f>+IF(AVANCE[[#This Row],[PUERTAS ACCESO - LOGIA - BANO]]=AU$2,100%,AVANCE[[#This Row],[PUERTAS ACCESO - LOGIA - BANO]])</f>
        <v>0</v>
      </c>
      <c r="CI566" s="3">
        <f>+IF(AVANCE[[#This Row],[CERRADURAS]]=AV$2,100%,AVANCE[[#This Row],[CERRADURAS]])</f>
        <v>0</v>
      </c>
      <c r="CJ566" s="3">
        <f>+IF(AVANCE[[#This Row],[REVESTIMIENTO INTERIOR ZONA SECA]]=AW$2,100%,AVANCE[[#This Row],[REVESTIMIENTO INTERIOR ZONA SECA]])</f>
        <v>0</v>
      </c>
      <c r="CK566" s="3">
        <f>+IF(AVANCE[[#This Row],[REVESTIMIENTO INTERIOR ZONAS HUMEDAS]]=AX$2,100%,AVANCE[[#This Row],[REVESTIMIENTO INTERIOR ZONAS HUMEDAS]])</f>
        <v>0</v>
      </c>
      <c r="CL566" s="3">
        <f>+IF(AVANCE[[#This Row],[MEMBRANA CIELO]]=AY$2,100%,AVANCE[[#This Row],[MEMBRANA CIELO]])</f>
        <v>0</v>
      </c>
      <c r="CM566" s="3">
        <f>+IF(AVANCE[[#This Row],[LIMPIEZA FINAL]]=AZ$2,100%,AVANCE[[#This Row],[LIMPIEZA FINAL]])</f>
        <v>0</v>
      </c>
      <c r="CN566" s="3">
        <f>+IF(AVANCE[[#This Row],[PUERTAS DORMITORIO]]=BA$2,100%,AVANCE[[#This Row],[PUERTAS DORMITORIO]])</f>
        <v>0</v>
      </c>
      <c r="CO566" s="3">
        <f>+IF(AVANCE[[#This Row],[REVESTIMIENTO INTERIOR BANO]]=BB$2,100%,AVANCE[[#This Row],[REVESTIMIENTO INTERIOR BANO]])</f>
        <v>0</v>
      </c>
      <c r="CP566" s="3">
        <f>+IF(AVANCE[[#This Row],[MUEBLE LAVAPLATOS]]=BC$2,100%,AVANCE[[#This Row],[MUEBLE LAVAPLATOS]])</f>
        <v>0</v>
      </c>
      <c r="CQ566" s="3">
        <f>+IF(AVANCE[[#This Row],[IMPERMEABILIZACION BANO - COCINA LOGIA]]=BD$2,100%,AVANCE[[#This Row],[IMPERMEABILIZACION BANO - COCINA LOGIA]])</f>
        <v>0</v>
      </c>
      <c r="CR566" s="40">
        <f ca="1">+IF(AVANCE[[#This Row],[ESTADO MODULO]]="PENDIENTE",(TODAY()-AVANCE[[#This Row],[FECHA TERMINO  PLANIFICADO]]),0)</f>
        <v>0</v>
      </c>
      <c r="CS566" s="42" t="str" cm="1">
        <f t="array" ref="CS566">_xlfn.TEXTJOIN(" | ",TRUE,IF(SUMPRODUCT((BF566:CQ566&lt;1)*(PARTIDAS!$I$2:$AT$2="OBRA GRUESA"))&gt;0,"OBRA GRUESA: "&amp;_xlfn.TEXTJOIN(", ",TRUE,IF((BF566:CQ566&lt;1)*(PARTIDAS!$I$2:$AT$2="OBRA GRUESA"),PARTIDAS!$I$1:$AT$1,"")),""),IF(SUMPRODUCT((BF566:CQ566&lt;1)*(PARTIDAS!$I$2:$AT$2="SANITARIOS"))&gt;0,"SANITARIOS: "&amp;_xlfn.TEXTJOIN(", ",TRUE,IF((BF566:CQ566&lt;1)*(PARTIDAS!$I$2:$AT$2="SANITARIOS"),PARTIDAS!$I$1:$AT$1,"")),""),IF(SUMPRODUCT((BF566:CQ566&lt;1)*(PARTIDAS!$I$2:$AT$2="ELÉCTRICO"))&gt;0,"ELÉCTRICO: "&amp;_xlfn.TEXTJOIN(", ",TRUE,IF((BF566:CQ566&lt;1)*(PARTIDAS!$I$2:$AT$2="ELÉCTRICO"),PARTIDAS!$I$1:$AT$1,"")),""),IF(SUMPRODUCT((BF566:CQ566&lt;1)*(PARTIDAS!$I$2:$AT$2="TERMINACIONES"))&gt;0,"TERMINACIONES: "&amp;_xlfn.TEXTJOIN(", ",TRUE,IF((BF566:CQ566&lt;1)*(PARTIDAS!$I$2:$AT$2="TERMINACIONES"),PARTIDAS!$I$1:$AT$1,"")),""))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6" s="45" t="str" cm="1">
        <f t="array" ref="CT566">_xlfn.TEXTJOIN(", ",TRUE,IF(SUMPRODUCT((BF566:CQ566&lt;1)*(PARTIDAS!$I$2:$AT$2="OBRA GRUESA"))&gt;0,"OBRA GRUESA",""),IF(SUMPRODUCT((BF566:CQ566&lt;1)*(PARTIDAS!$I$2:$AT$2="SANITARIOS"))&gt;0,"SANITARIOS",""),IF(SUMPRODUCT((BF566:CQ566&lt;1)*(PARTIDAS!$I$2:$AT$2="ELÉCTRICO"))&gt;0,"ELÉCTRICO",""),IF(SUMPRODUCT((BF566:CQ566&lt;1)*(PARTIDAS!$I$2:$AT$2="TERMINACIONES"))&gt;0,"TERMINACIONES",""))</f>
        <v>OBRA GRUESA, SANITARIOS, ELÉCTRICO, TERMINACIONES</v>
      </c>
      <c r="CU566" s="46" cm="1">
        <f t="array" ref="CU566">SUMPRODUCT(--(BF566:CQ566&lt;1))</f>
        <v>38</v>
      </c>
    </row>
    <row r="567" spans="1:99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46181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 s="3" t="str">
        <f>+IF(AVANCE[[#This Row],[% AVANCE]]=100%,"MODULO TERMINADO",IF(AVANCE[[#This Row],[FECHA INICIO REAL]]="","MODULO NO INICIADO","PENDIENTE"))</f>
        <v>MODULO NO INICIADO</v>
      </c>
      <c r="BF567" s="3">
        <f>+IF(AVANCE[[#This Row],[VENTANAS]]=8.10810810810811%,100%,AVANCE[[#This Row],[VENTANAS]])</f>
        <v>0</v>
      </c>
      <c r="BG567" s="3">
        <f>+IF(AVANCE[[#This Row],[PISO]]=N$2,100%,AVANCE[[#This Row],[PISO]])</f>
        <v>0</v>
      </c>
      <c r="BH567" s="3">
        <f>+IF(AVANCE[[#This Row],[TABIQUES]]=O$2,100%,AVANCE[[#This Row],[TABIQUES]])</f>
        <v>0</v>
      </c>
      <c r="BI567" s="3">
        <f>+IF(AVANCE[[#This Row],[MUROS]]=P$2,100%,AVANCE[[#This Row],[MUROS]])</f>
        <v>0</v>
      </c>
      <c r="BJ567" s="3">
        <f>+IF(AVANCE[[#This Row],[CIELO]]=Q$2,100%,AVANCE[[#This Row],[CIELO]])</f>
        <v>0</v>
      </c>
      <c r="BK567" s="3">
        <f>+IF(AVANCE[[#This Row],[BALCÓN]]=R$2,100%,AVANCE[[#This Row],[BALCÓN]])</f>
        <v>0</v>
      </c>
      <c r="BL567" s="3">
        <f>+IF(AVANCE[[#This Row],[RED ALCANTARILLADO]]=U$2,100%,AVANCE[[#This Row],[RED ALCANTARILLADO]])</f>
        <v>0</v>
      </c>
      <c r="BM567" s="3">
        <f>+IF(AVANCE[[#This Row],[RED DE AGUA]]=V$2,100%,AVANCE[[#This Row],[RED DE AGUA]])</f>
        <v>0</v>
      </c>
      <c r="BN567" s="3">
        <f>+IF(AVANCE[[#This Row],[VENTILACIONES]]=W$2,100%,AVANCE[[#This Row],[VENTILACIONES]])</f>
        <v>0</v>
      </c>
      <c r="BO567" s="3">
        <f>+IF(AVANCE[[#This Row],[TINA]]=X$2,100%,AVANCE[[#This Row],[TINA]])</f>
        <v>0</v>
      </c>
      <c r="BP567" s="3">
        <f>+IF(AVANCE[[#This Row],[WC]]=Y$2,100%,AVANCE[[#This Row],[WC]])</f>
        <v>0</v>
      </c>
      <c r="BQ567" s="3">
        <f>+IF(AVANCE[[#This Row],[LAVAMANOS / LAVAPLATOS / LAVADERO]]=Z$2,100%,AVANCE[[#This Row],[LAVAMANOS / LAVAPLATOS / LAVADERO]])</f>
        <v>0</v>
      </c>
      <c r="BR567" s="3">
        <f>+IF(AVANCE[[#This Row],[CANALIZACIÓN]]=AC$2,100%,AVANCE[[#This Row],[CANALIZACIÓN]])</f>
        <v>0</v>
      </c>
      <c r="BS567" s="3">
        <f>+IF(AVANCE[[#This Row],[CABLEADO]]=AD$2,100%,AVANCE[[#This Row],[CABLEADO]])</f>
        <v>0</v>
      </c>
      <c r="BT567" s="3">
        <f>+IF(AVANCE[[#This Row],[ARTEFACTOS]]=AE$2,100%,AVANCE[[#This Row],[ARTEFACTOS]])</f>
        <v>0</v>
      </c>
      <c r="BU567" s="3">
        <f>+IF(AVANCE[[#This Row],[TABLERO]]=AF$2,100%,AVANCE[[#This Row],[TABLERO]])</f>
        <v>0</v>
      </c>
      <c r="BV567" s="3">
        <f>+IF(AVANCE[[#This Row],[CAJA PAU]]=AG$2,100%,AVANCE[[#This Row],[CAJA PAU]])</f>
        <v>0</v>
      </c>
      <c r="BW567" s="3">
        <f>+IF(AVANCE[[#This Row],[INSTALACION VINILICO]]=AJ$2,100%,AVANCE[[#This Row],[INSTALACION VINILICO]])</f>
        <v>0</v>
      </c>
      <c r="BX567" s="3">
        <f>+IF(AVANCE[[#This Row],[OSB CUBIERTA]]=AK$2,100%,AVANCE[[#This Row],[OSB CUBIERTA]])</f>
        <v>0</v>
      </c>
      <c r="BY567" s="3">
        <f>+IF(AVANCE[[#This Row],[BARANDA BALCON]]=AL$2,100%,AVANCE[[#This Row],[BARANDA BALCON]])</f>
        <v>0</v>
      </c>
      <c r="BZ567" s="3">
        <f>+IF(AVANCE[[#This Row],[OSB EXTERIOR]]=AM$2,100%,AVANCE[[#This Row],[OSB EXTERIOR]])</f>
        <v>0</v>
      </c>
      <c r="CA567" s="3">
        <f>+IF(AVANCE[[#This Row],[SMART PANEL]]=AN$2,100%,AVANCE[[#This Row],[SMART PANEL]])</f>
        <v>0</v>
      </c>
      <c r="CB567" s="3">
        <f>+IF(AVANCE[[#This Row],[PINTURA EXTERIOR]]=AO$2,100%,AVANCE[[#This Row],[PINTURA EXTERIOR]])</f>
        <v>0</v>
      </c>
      <c r="CC567" s="3">
        <f>+IF(AVANCE[[#This Row],[ZOCALOS LOGIA]]=AP$2,100%,AVANCE[[#This Row],[ZOCALOS LOGIA]])</f>
        <v>0</v>
      </c>
      <c r="CD567" s="3">
        <f>+IF(AVANCE[[#This Row],[MOLDURAS]]=AQ$2,100%,AVANCE[[#This Row],[MOLDURAS]])</f>
        <v>0</v>
      </c>
      <c r="CE567" s="3">
        <f>+IF(AVANCE[[#This Row],[PILASTREO]]=AR$2,100%,AVANCE[[#This Row],[PILASTREO]])</f>
        <v>0</v>
      </c>
      <c r="CF567" s="3">
        <f>+IF(AVANCE[[#This Row],[CELOSIAS]]=AS$2,100%,AVANCE[[#This Row],[CELOSIAS]])</f>
        <v>0</v>
      </c>
      <c r="CG567" s="3">
        <f>+IF(AVANCE[[#This Row],[VENTANAS]]=AT$2,100%,AVANCE[[#This Row],[VENTANAS]])</f>
        <v>0</v>
      </c>
      <c r="CH567" s="3">
        <f>+IF(AVANCE[[#This Row],[PUERTAS ACCESO - LOGIA - BANO]]=AU$2,100%,AVANCE[[#This Row],[PUERTAS ACCESO - LOGIA - BANO]])</f>
        <v>0</v>
      </c>
      <c r="CI567" s="3">
        <f>+IF(AVANCE[[#This Row],[CERRADURAS]]=AV$2,100%,AVANCE[[#This Row],[CERRADURAS]])</f>
        <v>0</v>
      </c>
      <c r="CJ567" s="3">
        <f>+IF(AVANCE[[#This Row],[REVESTIMIENTO INTERIOR ZONA SECA]]=AW$2,100%,AVANCE[[#This Row],[REVESTIMIENTO INTERIOR ZONA SECA]])</f>
        <v>0</v>
      </c>
      <c r="CK567" s="3">
        <f>+IF(AVANCE[[#This Row],[REVESTIMIENTO INTERIOR ZONAS HUMEDAS]]=AX$2,100%,AVANCE[[#This Row],[REVESTIMIENTO INTERIOR ZONAS HUMEDAS]])</f>
        <v>0</v>
      </c>
      <c r="CL567" s="3">
        <f>+IF(AVANCE[[#This Row],[MEMBRANA CIELO]]=AY$2,100%,AVANCE[[#This Row],[MEMBRANA CIELO]])</f>
        <v>0</v>
      </c>
      <c r="CM567" s="3">
        <f>+IF(AVANCE[[#This Row],[LIMPIEZA FINAL]]=AZ$2,100%,AVANCE[[#This Row],[LIMPIEZA FINAL]])</f>
        <v>0</v>
      </c>
      <c r="CN567" s="3">
        <f>+IF(AVANCE[[#This Row],[PUERTAS DORMITORIO]]=BA$2,100%,AVANCE[[#This Row],[PUERTAS DORMITORIO]])</f>
        <v>0</v>
      </c>
      <c r="CO567" s="3">
        <f>+IF(AVANCE[[#This Row],[REVESTIMIENTO INTERIOR BANO]]=BB$2,100%,AVANCE[[#This Row],[REVESTIMIENTO INTERIOR BANO]])</f>
        <v>0</v>
      </c>
      <c r="CP567" s="3">
        <f>+IF(AVANCE[[#This Row],[MUEBLE LAVAPLATOS]]=BC$2,100%,AVANCE[[#This Row],[MUEBLE LAVAPLATOS]])</f>
        <v>0</v>
      </c>
      <c r="CQ567" s="3">
        <f>+IF(AVANCE[[#This Row],[IMPERMEABILIZACION BANO - COCINA LOGIA]]=BD$2,100%,AVANCE[[#This Row],[IMPERMEABILIZACION BANO - COCINA LOGIA]])</f>
        <v>0</v>
      </c>
      <c r="CR567" s="40">
        <f ca="1">+IF(AVANCE[[#This Row],[ESTADO MODULO]]="PENDIENTE",(TODAY()-AVANCE[[#This Row],[FECHA TERMINO  PLANIFICADO]]),0)</f>
        <v>0</v>
      </c>
      <c r="CS567" s="42" t="str" cm="1">
        <f t="array" ref="CS567">_xlfn.TEXTJOIN(" | ",TRUE,IF(SUMPRODUCT((BF567:CQ567&lt;1)*(PARTIDAS!$I$2:$AT$2="OBRA GRUESA"))&gt;0,"OBRA GRUESA: "&amp;_xlfn.TEXTJOIN(", ",TRUE,IF((BF567:CQ567&lt;1)*(PARTIDAS!$I$2:$AT$2="OBRA GRUESA"),PARTIDAS!$I$1:$AT$1,"")),""),IF(SUMPRODUCT((BF567:CQ567&lt;1)*(PARTIDAS!$I$2:$AT$2="SANITARIOS"))&gt;0,"SANITARIOS: "&amp;_xlfn.TEXTJOIN(", ",TRUE,IF((BF567:CQ567&lt;1)*(PARTIDAS!$I$2:$AT$2="SANITARIOS"),PARTIDAS!$I$1:$AT$1,"")),""),IF(SUMPRODUCT((BF567:CQ567&lt;1)*(PARTIDAS!$I$2:$AT$2="ELÉCTRICO"))&gt;0,"ELÉCTRICO: "&amp;_xlfn.TEXTJOIN(", ",TRUE,IF((BF567:CQ567&lt;1)*(PARTIDAS!$I$2:$AT$2="ELÉCTRICO"),PARTIDAS!$I$1:$AT$1,"")),""),IF(SUMPRODUCT((BF567:CQ567&lt;1)*(PARTIDAS!$I$2:$AT$2="TERMINACIONES"))&gt;0,"TERMINACIONES: "&amp;_xlfn.TEXTJOIN(", ",TRUE,IF((BF567:CQ567&lt;1)*(PARTIDAS!$I$2:$AT$2="TERMINACIONES"),PARTIDAS!$I$1:$AT$1,"")),""))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7" s="45" t="str" cm="1">
        <f t="array" ref="CT567">_xlfn.TEXTJOIN(", ",TRUE,IF(SUMPRODUCT((BF567:CQ567&lt;1)*(PARTIDAS!$I$2:$AT$2="OBRA GRUESA"))&gt;0,"OBRA GRUESA",""),IF(SUMPRODUCT((BF567:CQ567&lt;1)*(PARTIDAS!$I$2:$AT$2="SANITARIOS"))&gt;0,"SANITARIOS",""),IF(SUMPRODUCT((BF567:CQ567&lt;1)*(PARTIDAS!$I$2:$AT$2="ELÉCTRICO"))&gt;0,"ELÉCTRICO",""),IF(SUMPRODUCT((BF567:CQ567&lt;1)*(PARTIDAS!$I$2:$AT$2="TERMINACIONES"))&gt;0,"TERMINACIONES",""))</f>
        <v>OBRA GRUESA, SANITARIOS, ELÉCTRICO, TERMINACIONES</v>
      </c>
      <c r="CU567" s="46" cm="1">
        <f t="array" ref="CU567">SUMPRODUCT(--(BF567:CQ567&lt;1))</f>
        <v>38</v>
      </c>
    </row>
    <row r="568" spans="1:99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46181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 s="3" t="str">
        <f>+IF(AVANCE[[#This Row],[% AVANCE]]=100%,"MODULO TERMINADO",IF(AVANCE[[#This Row],[FECHA INICIO REAL]]="","MODULO NO INICIADO","PENDIENTE"))</f>
        <v>MODULO NO INICIADO</v>
      </c>
      <c r="BF568" s="3">
        <f>+IF(AVANCE[[#This Row],[VENTANAS]]=8.10810810810811%,100%,AVANCE[[#This Row],[VENTANAS]])</f>
        <v>0</v>
      </c>
      <c r="BG568" s="3">
        <f>+IF(AVANCE[[#This Row],[PISO]]=N$2,100%,AVANCE[[#This Row],[PISO]])</f>
        <v>0</v>
      </c>
      <c r="BH568" s="3">
        <f>+IF(AVANCE[[#This Row],[TABIQUES]]=O$2,100%,AVANCE[[#This Row],[TABIQUES]])</f>
        <v>0</v>
      </c>
      <c r="BI568" s="3">
        <f>+IF(AVANCE[[#This Row],[MUROS]]=P$2,100%,AVANCE[[#This Row],[MUROS]])</f>
        <v>0</v>
      </c>
      <c r="BJ568" s="3">
        <f>+IF(AVANCE[[#This Row],[CIELO]]=Q$2,100%,AVANCE[[#This Row],[CIELO]])</f>
        <v>0</v>
      </c>
      <c r="BK568" s="3">
        <f>+IF(AVANCE[[#This Row],[BALCÓN]]=R$2,100%,AVANCE[[#This Row],[BALCÓN]])</f>
        <v>0</v>
      </c>
      <c r="BL568" s="3">
        <f>+IF(AVANCE[[#This Row],[RED ALCANTARILLADO]]=U$2,100%,AVANCE[[#This Row],[RED ALCANTARILLADO]])</f>
        <v>0</v>
      </c>
      <c r="BM568" s="3">
        <f>+IF(AVANCE[[#This Row],[RED DE AGUA]]=V$2,100%,AVANCE[[#This Row],[RED DE AGUA]])</f>
        <v>0</v>
      </c>
      <c r="BN568" s="3">
        <f>+IF(AVANCE[[#This Row],[VENTILACIONES]]=W$2,100%,AVANCE[[#This Row],[VENTILACIONES]])</f>
        <v>0</v>
      </c>
      <c r="BO568" s="3">
        <f>+IF(AVANCE[[#This Row],[TINA]]=X$2,100%,AVANCE[[#This Row],[TINA]])</f>
        <v>0</v>
      </c>
      <c r="BP568" s="3">
        <f>+IF(AVANCE[[#This Row],[WC]]=Y$2,100%,AVANCE[[#This Row],[WC]])</f>
        <v>0</v>
      </c>
      <c r="BQ568" s="3">
        <f>+IF(AVANCE[[#This Row],[LAVAMANOS / LAVAPLATOS / LAVADERO]]=Z$2,100%,AVANCE[[#This Row],[LAVAMANOS / LAVAPLATOS / LAVADERO]])</f>
        <v>0</v>
      </c>
      <c r="BR568" s="3">
        <f>+IF(AVANCE[[#This Row],[CANALIZACIÓN]]=AC$2,100%,AVANCE[[#This Row],[CANALIZACIÓN]])</f>
        <v>0</v>
      </c>
      <c r="BS568" s="3">
        <f>+IF(AVANCE[[#This Row],[CABLEADO]]=AD$2,100%,AVANCE[[#This Row],[CABLEADO]])</f>
        <v>0</v>
      </c>
      <c r="BT568" s="3">
        <f>+IF(AVANCE[[#This Row],[ARTEFACTOS]]=AE$2,100%,AVANCE[[#This Row],[ARTEFACTOS]])</f>
        <v>0</v>
      </c>
      <c r="BU568" s="3">
        <f>+IF(AVANCE[[#This Row],[TABLERO]]=AF$2,100%,AVANCE[[#This Row],[TABLERO]])</f>
        <v>0</v>
      </c>
      <c r="BV568" s="3">
        <f>+IF(AVANCE[[#This Row],[CAJA PAU]]=AG$2,100%,AVANCE[[#This Row],[CAJA PAU]])</f>
        <v>0</v>
      </c>
      <c r="BW568" s="3">
        <f>+IF(AVANCE[[#This Row],[INSTALACION VINILICO]]=AJ$2,100%,AVANCE[[#This Row],[INSTALACION VINILICO]])</f>
        <v>0</v>
      </c>
      <c r="BX568" s="3">
        <f>+IF(AVANCE[[#This Row],[OSB CUBIERTA]]=AK$2,100%,AVANCE[[#This Row],[OSB CUBIERTA]])</f>
        <v>0</v>
      </c>
      <c r="BY568" s="3">
        <f>+IF(AVANCE[[#This Row],[BARANDA BALCON]]=AL$2,100%,AVANCE[[#This Row],[BARANDA BALCON]])</f>
        <v>0</v>
      </c>
      <c r="BZ568" s="3">
        <f>+IF(AVANCE[[#This Row],[OSB EXTERIOR]]=AM$2,100%,AVANCE[[#This Row],[OSB EXTERIOR]])</f>
        <v>0</v>
      </c>
      <c r="CA568" s="3">
        <f>+IF(AVANCE[[#This Row],[SMART PANEL]]=AN$2,100%,AVANCE[[#This Row],[SMART PANEL]])</f>
        <v>0</v>
      </c>
      <c r="CB568" s="3">
        <f>+IF(AVANCE[[#This Row],[PINTURA EXTERIOR]]=AO$2,100%,AVANCE[[#This Row],[PINTURA EXTERIOR]])</f>
        <v>0</v>
      </c>
      <c r="CC568" s="3">
        <f>+IF(AVANCE[[#This Row],[ZOCALOS LOGIA]]=AP$2,100%,AVANCE[[#This Row],[ZOCALOS LOGIA]])</f>
        <v>0</v>
      </c>
      <c r="CD568" s="3">
        <f>+IF(AVANCE[[#This Row],[MOLDURAS]]=AQ$2,100%,AVANCE[[#This Row],[MOLDURAS]])</f>
        <v>0</v>
      </c>
      <c r="CE568" s="3">
        <f>+IF(AVANCE[[#This Row],[PILASTREO]]=AR$2,100%,AVANCE[[#This Row],[PILASTREO]])</f>
        <v>0</v>
      </c>
      <c r="CF568" s="3">
        <f>+IF(AVANCE[[#This Row],[CELOSIAS]]=AS$2,100%,AVANCE[[#This Row],[CELOSIAS]])</f>
        <v>0</v>
      </c>
      <c r="CG568" s="3">
        <f>+IF(AVANCE[[#This Row],[VENTANAS]]=AT$2,100%,AVANCE[[#This Row],[VENTANAS]])</f>
        <v>0</v>
      </c>
      <c r="CH568" s="3">
        <f>+IF(AVANCE[[#This Row],[PUERTAS ACCESO - LOGIA - BANO]]=AU$2,100%,AVANCE[[#This Row],[PUERTAS ACCESO - LOGIA - BANO]])</f>
        <v>0</v>
      </c>
      <c r="CI568" s="3">
        <f>+IF(AVANCE[[#This Row],[CERRADURAS]]=AV$2,100%,AVANCE[[#This Row],[CERRADURAS]])</f>
        <v>0</v>
      </c>
      <c r="CJ568" s="3">
        <f>+IF(AVANCE[[#This Row],[REVESTIMIENTO INTERIOR ZONA SECA]]=AW$2,100%,AVANCE[[#This Row],[REVESTIMIENTO INTERIOR ZONA SECA]])</f>
        <v>0</v>
      </c>
      <c r="CK568" s="3">
        <f>+IF(AVANCE[[#This Row],[REVESTIMIENTO INTERIOR ZONAS HUMEDAS]]=AX$2,100%,AVANCE[[#This Row],[REVESTIMIENTO INTERIOR ZONAS HUMEDAS]])</f>
        <v>0</v>
      </c>
      <c r="CL568" s="3">
        <f>+IF(AVANCE[[#This Row],[MEMBRANA CIELO]]=AY$2,100%,AVANCE[[#This Row],[MEMBRANA CIELO]])</f>
        <v>0</v>
      </c>
      <c r="CM568" s="3">
        <f>+IF(AVANCE[[#This Row],[LIMPIEZA FINAL]]=AZ$2,100%,AVANCE[[#This Row],[LIMPIEZA FINAL]])</f>
        <v>0</v>
      </c>
      <c r="CN568" s="3">
        <f>+IF(AVANCE[[#This Row],[PUERTAS DORMITORIO]]=BA$2,100%,AVANCE[[#This Row],[PUERTAS DORMITORIO]])</f>
        <v>0</v>
      </c>
      <c r="CO568" s="3">
        <f>+IF(AVANCE[[#This Row],[REVESTIMIENTO INTERIOR BANO]]=BB$2,100%,AVANCE[[#This Row],[REVESTIMIENTO INTERIOR BANO]])</f>
        <v>0</v>
      </c>
      <c r="CP568" s="3">
        <f>+IF(AVANCE[[#This Row],[MUEBLE LAVAPLATOS]]=BC$2,100%,AVANCE[[#This Row],[MUEBLE LAVAPLATOS]])</f>
        <v>0</v>
      </c>
      <c r="CQ568" s="3">
        <f>+IF(AVANCE[[#This Row],[IMPERMEABILIZACION BANO - COCINA LOGIA]]=BD$2,100%,AVANCE[[#This Row],[IMPERMEABILIZACION BANO - COCINA LOGIA]])</f>
        <v>0</v>
      </c>
      <c r="CR568" s="40">
        <f ca="1">+IF(AVANCE[[#This Row],[ESTADO MODULO]]="PENDIENTE",(TODAY()-AVANCE[[#This Row],[FECHA TERMINO  PLANIFICADO]]),0)</f>
        <v>0</v>
      </c>
      <c r="CS568" s="42" t="str" cm="1">
        <f t="array" ref="CS568">_xlfn.TEXTJOIN(" | ",TRUE,IF(SUMPRODUCT((BF568:CQ568&lt;1)*(PARTIDAS!$I$2:$AT$2="OBRA GRUESA"))&gt;0,"OBRA GRUESA: "&amp;_xlfn.TEXTJOIN(", ",TRUE,IF((BF568:CQ568&lt;1)*(PARTIDAS!$I$2:$AT$2="OBRA GRUESA"),PARTIDAS!$I$1:$AT$1,"")),""),IF(SUMPRODUCT((BF568:CQ568&lt;1)*(PARTIDAS!$I$2:$AT$2="SANITARIOS"))&gt;0,"SANITARIOS: "&amp;_xlfn.TEXTJOIN(", ",TRUE,IF((BF568:CQ568&lt;1)*(PARTIDAS!$I$2:$AT$2="SANITARIOS"),PARTIDAS!$I$1:$AT$1,"")),""),IF(SUMPRODUCT((BF568:CQ568&lt;1)*(PARTIDAS!$I$2:$AT$2="ELÉCTRICO"))&gt;0,"ELÉCTRICO: "&amp;_xlfn.TEXTJOIN(", ",TRUE,IF((BF568:CQ568&lt;1)*(PARTIDAS!$I$2:$AT$2="ELÉCTRICO"),PARTIDAS!$I$1:$AT$1,"")),""),IF(SUMPRODUCT((BF568:CQ568&lt;1)*(PARTIDAS!$I$2:$AT$2="TERMINACIONES"))&gt;0,"TERMINACIONES: "&amp;_xlfn.TEXTJOIN(", ",TRUE,IF((BF568:CQ568&lt;1)*(PARTIDAS!$I$2:$AT$2="TERMINACIONES"),PARTIDAS!$I$1:$AT$1,"")),""))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8" s="45" t="str" cm="1">
        <f t="array" ref="CT568">_xlfn.TEXTJOIN(", ",TRUE,IF(SUMPRODUCT((BF568:CQ568&lt;1)*(PARTIDAS!$I$2:$AT$2="OBRA GRUESA"))&gt;0,"OBRA GRUESA",""),IF(SUMPRODUCT((BF568:CQ568&lt;1)*(PARTIDAS!$I$2:$AT$2="SANITARIOS"))&gt;0,"SANITARIOS",""),IF(SUMPRODUCT((BF568:CQ568&lt;1)*(PARTIDAS!$I$2:$AT$2="ELÉCTRICO"))&gt;0,"ELÉCTRICO",""),IF(SUMPRODUCT((BF568:CQ568&lt;1)*(PARTIDAS!$I$2:$AT$2="TERMINACIONES"))&gt;0,"TERMINACIONES",""))</f>
        <v>OBRA GRUESA, SANITARIOS, ELÉCTRICO, TERMINACIONES</v>
      </c>
      <c r="CU568" s="46" cm="1">
        <f t="array" ref="CU568">SUMPRODUCT(--(BF568:CQ568&lt;1))</f>
        <v>38</v>
      </c>
    </row>
    <row r="569" spans="1:99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46181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 s="3" t="str">
        <f>+IF(AVANCE[[#This Row],[% AVANCE]]=100%,"MODULO TERMINADO",IF(AVANCE[[#This Row],[FECHA INICIO REAL]]="","MODULO NO INICIADO","PENDIENTE"))</f>
        <v>MODULO NO INICIADO</v>
      </c>
      <c r="BF569" s="3">
        <f>+IF(AVANCE[[#This Row],[VENTANAS]]=8.10810810810811%,100%,AVANCE[[#This Row],[VENTANAS]])</f>
        <v>0</v>
      </c>
      <c r="BG569" s="3">
        <f>+IF(AVANCE[[#This Row],[PISO]]=N$2,100%,AVANCE[[#This Row],[PISO]])</f>
        <v>0</v>
      </c>
      <c r="BH569" s="3">
        <f>+IF(AVANCE[[#This Row],[TABIQUES]]=O$2,100%,AVANCE[[#This Row],[TABIQUES]])</f>
        <v>0</v>
      </c>
      <c r="BI569" s="3">
        <f>+IF(AVANCE[[#This Row],[MUROS]]=P$2,100%,AVANCE[[#This Row],[MUROS]])</f>
        <v>0</v>
      </c>
      <c r="BJ569" s="3">
        <f>+IF(AVANCE[[#This Row],[CIELO]]=Q$2,100%,AVANCE[[#This Row],[CIELO]])</f>
        <v>0</v>
      </c>
      <c r="BK569" s="3">
        <f>+IF(AVANCE[[#This Row],[BALCÓN]]=R$2,100%,AVANCE[[#This Row],[BALCÓN]])</f>
        <v>0</v>
      </c>
      <c r="BL569" s="3">
        <f>+IF(AVANCE[[#This Row],[RED ALCANTARILLADO]]=U$2,100%,AVANCE[[#This Row],[RED ALCANTARILLADO]])</f>
        <v>0</v>
      </c>
      <c r="BM569" s="3">
        <f>+IF(AVANCE[[#This Row],[RED DE AGUA]]=V$2,100%,AVANCE[[#This Row],[RED DE AGUA]])</f>
        <v>0</v>
      </c>
      <c r="BN569" s="3">
        <f>+IF(AVANCE[[#This Row],[VENTILACIONES]]=W$2,100%,AVANCE[[#This Row],[VENTILACIONES]])</f>
        <v>0</v>
      </c>
      <c r="BO569" s="3">
        <f>+IF(AVANCE[[#This Row],[TINA]]=X$2,100%,AVANCE[[#This Row],[TINA]])</f>
        <v>0</v>
      </c>
      <c r="BP569" s="3">
        <f>+IF(AVANCE[[#This Row],[WC]]=Y$2,100%,AVANCE[[#This Row],[WC]])</f>
        <v>0</v>
      </c>
      <c r="BQ569" s="3">
        <f>+IF(AVANCE[[#This Row],[LAVAMANOS / LAVAPLATOS / LAVADERO]]=Z$2,100%,AVANCE[[#This Row],[LAVAMANOS / LAVAPLATOS / LAVADERO]])</f>
        <v>0</v>
      </c>
      <c r="BR569" s="3">
        <f>+IF(AVANCE[[#This Row],[CANALIZACIÓN]]=AC$2,100%,AVANCE[[#This Row],[CANALIZACIÓN]])</f>
        <v>0</v>
      </c>
      <c r="BS569" s="3">
        <f>+IF(AVANCE[[#This Row],[CABLEADO]]=AD$2,100%,AVANCE[[#This Row],[CABLEADO]])</f>
        <v>0</v>
      </c>
      <c r="BT569" s="3">
        <f>+IF(AVANCE[[#This Row],[ARTEFACTOS]]=AE$2,100%,AVANCE[[#This Row],[ARTEFACTOS]])</f>
        <v>0</v>
      </c>
      <c r="BU569" s="3">
        <f>+IF(AVANCE[[#This Row],[TABLERO]]=AF$2,100%,AVANCE[[#This Row],[TABLERO]])</f>
        <v>0</v>
      </c>
      <c r="BV569" s="3">
        <f>+IF(AVANCE[[#This Row],[CAJA PAU]]=AG$2,100%,AVANCE[[#This Row],[CAJA PAU]])</f>
        <v>0</v>
      </c>
      <c r="BW569" s="3">
        <f>+IF(AVANCE[[#This Row],[INSTALACION VINILICO]]=AJ$2,100%,AVANCE[[#This Row],[INSTALACION VINILICO]])</f>
        <v>0</v>
      </c>
      <c r="BX569" s="3">
        <f>+IF(AVANCE[[#This Row],[OSB CUBIERTA]]=AK$2,100%,AVANCE[[#This Row],[OSB CUBIERTA]])</f>
        <v>0</v>
      </c>
      <c r="BY569" s="3">
        <f>+IF(AVANCE[[#This Row],[BARANDA BALCON]]=AL$2,100%,AVANCE[[#This Row],[BARANDA BALCON]])</f>
        <v>0</v>
      </c>
      <c r="BZ569" s="3">
        <f>+IF(AVANCE[[#This Row],[OSB EXTERIOR]]=AM$2,100%,AVANCE[[#This Row],[OSB EXTERIOR]])</f>
        <v>0</v>
      </c>
      <c r="CA569" s="3">
        <f>+IF(AVANCE[[#This Row],[SMART PANEL]]=AN$2,100%,AVANCE[[#This Row],[SMART PANEL]])</f>
        <v>0</v>
      </c>
      <c r="CB569" s="3">
        <f>+IF(AVANCE[[#This Row],[PINTURA EXTERIOR]]=AO$2,100%,AVANCE[[#This Row],[PINTURA EXTERIOR]])</f>
        <v>0</v>
      </c>
      <c r="CC569" s="3">
        <f>+IF(AVANCE[[#This Row],[ZOCALOS LOGIA]]=AP$2,100%,AVANCE[[#This Row],[ZOCALOS LOGIA]])</f>
        <v>0</v>
      </c>
      <c r="CD569" s="3">
        <f>+IF(AVANCE[[#This Row],[MOLDURAS]]=AQ$2,100%,AVANCE[[#This Row],[MOLDURAS]])</f>
        <v>0</v>
      </c>
      <c r="CE569" s="3">
        <f>+IF(AVANCE[[#This Row],[PILASTREO]]=AR$2,100%,AVANCE[[#This Row],[PILASTREO]])</f>
        <v>0</v>
      </c>
      <c r="CF569" s="3">
        <f>+IF(AVANCE[[#This Row],[CELOSIAS]]=AS$2,100%,AVANCE[[#This Row],[CELOSIAS]])</f>
        <v>0</v>
      </c>
      <c r="CG569" s="3">
        <f>+IF(AVANCE[[#This Row],[VENTANAS]]=AT$2,100%,AVANCE[[#This Row],[VENTANAS]])</f>
        <v>0</v>
      </c>
      <c r="CH569" s="3">
        <f>+IF(AVANCE[[#This Row],[PUERTAS ACCESO - LOGIA - BANO]]=AU$2,100%,AVANCE[[#This Row],[PUERTAS ACCESO - LOGIA - BANO]])</f>
        <v>0</v>
      </c>
      <c r="CI569" s="3">
        <f>+IF(AVANCE[[#This Row],[CERRADURAS]]=AV$2,100%,AVANCE[[#This Row],[CERRADURAS]])</f>
        <v>0</v>
      </c>
      <c r="CJ569" s="3">
        <f>+IF(AVANCE[[#This Row],[REVESTIMIENTO INTERIOR ZONA SECA]]=AW$2,100%,AVANCE[[#This Row],[REVESTIMIENTO INTERIOR ZONA SECA]])</f>
        <v>0</v>
      </c>
      <c r="CK569" s="3">
        <f>+IF(AVANCE[[#This Row],[REVESTIMIENTO INTERIOR ZONAS HUMEDAS]]=AX$2,100%,AVANCE[[#This Row],[REVESTIMIENTO INTERIOR ZONAS HUMEDAS]])</f>
        <v>0</v>
      </c>
      <c r="CL569" s="3">
        <f>+IF(AVANCE[[#This Row],[MEMBRANA CIELO]]=AY$2,100%,AVANCE[[#This Row],[MEMBRANA CIELO]])</f>
        <v>0</v>
      </c>
      <c r="CM569" s="3">
        <f>+IF(AVANCE[[#This Row],[LIMPIEZA FINAL]]=AZ$2,100%,AVANCE[[#This Row],[LIMPIEZA FINAL]])</f>
        <v>0</v>
      </c>
      <c r="CN569" s="3">
        <f>+IF(AVANCE[[#This Row],[PUERTAS DORMITORIO]]=BA$2,100%,AVANCE[[#This Row],[PUERTAS DORMITORIO]])</f>
        <v>0</v>
      </c>
      <c r="CO569" s="3">
        <f>+IF(AVANCE[[#This Row],[REVESTIMIENTO INTERIOR BANO]]=BB$2,100%,AVANCE[[#This Row],[REVESTIMIENTO INTERIOR BANO]])</f>
        <v>0</v>
      </c>
      <c r="CP569" s="3">
        <f>+IF(AVANCE[[#This Row],[MUEBLE LAVAPLATOS]]=BC$2,100%,AVANCE[[#This Row],[MUEBLE LAVAPLATOS]])</f>
        <v>0</v>
      </c>
      <c r="CQ569" s="3">
        <f>+IF(AVANCE[[#This Row],[IMPERMEABILIZACION BANO - COCINA LOGIA]]=BD$2,100%,AVANCE[[#This Row],[IMPERMEABILIZACION BANO - COCINA LOGIA]])</f>
        <v>0</v>
      </c>
      <c r="CR569" s="40">
        <f ca="1">+IF(AVANCE[[#This Row],[ESTADO MODULO]]="PENDIENTE",(TODAY()-AVANCE[[#This Row],[FECHA TERMINO  PLANIFICADO]]),0)</f>
        <v>0</v>
      </c>
      <c r="CS569" s="42" t="str" cm="1">
        <f t="array" ref="CS569">_xlfn.TEXTJOIN(" | ",TRUE,IF(SUMPRODUCT((BF569:CQ569&lt;1)*(PARTIDAS!$I$2:$AT$2="OBRA GRUESA"))&gt;0,"OBRA GRUESA: "&amp;_xlfn.TEXTJOIN(", ",TRUE,IF((BF569:CQ569&lt;1)*(PARTIDAS!$I$2:$AT$2="OBRA GRUESA"),PARTIDAS!$I$1:$AT$1,"")),""),IF(SUMPRODUCT((BF569:CQ569&lt;1)*(PARTIDAS!$I$2:$AT$2="SANITARIOS"))&gt;0,"SANITARIOS: "&amp;_xlfn.TEXTJOIN(", ",TRUE,IF((BF569:CQ569&lt;1)*(PARTIDAS!$I$2:$AT$2="SANITARIOS"),PARTIDAS!$I$1:$AT$1,"")),""),IF(SUMPRODUCT((BF569:CQ569&lt;1)*(PARTIDAS!$I$2:$AT$2="ELÉCTRICO"))&gt;0,"ELÉCTRICO: "&amp;_xlfn.TEXTJOIN(", ",TRUE,IF((BF569:CQ569&lt;1)*(PARTIDAS!$I$2:$AT$2="ELÉCTRICO"),PARTIDAS!$I$1:$AT$1,"")),""),IF(SUMPRODUCT((BF569:CQ569&lt;1)*(PARTIDAS!$I$2:$AT$2="TERMINACIONES"))&gt;0,"TERMINACIONES: "&amp;_xlfn.TEXTJOIN(", ",TRUE,IF((BF569:CQ569&lt;1)*(PARTIDAS!$I$2:$AT$2="TERMINACIONES"),PARTIDAS!$I$1:$AT$1,"")),""))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69" s="45" t="str" cm="1">
        <f t="array" ref="CT569">_xlfn.TEXTJOIN(", ",TRUE,IF(SUMPRODUCT((BF569:CQ569&lt;1)*(PARTIDAS!$I$2:$AT$2="OBRA GRUESA"))&gt;0,"OBRA GRUESA",""),IF(SUMPRODUCT((BF569:CQ569&lt;1)*(PARTIDAS!$I$2:$AT$2="SANITARIOS"))&gt;0,"SANITARIOS",""),IF(SUMPRODUCT((BF569:CQ569&lt;1)*(PARTIDAS!$I$2:$AT$2="ELÉCTRICO"))&gt;0,"ELÉCTRICO",""),IF(SUMPRODUCT((BF569:CQ569&lt;1)*(PARTIDAS!$I$2:$AT$2="TERMINACIONES"))&gt;0,"TERMINACIONES",""))</f>
        <v>OBRA GRUESA, SANITARIOS, ELÉCTRICO, TERMINACIONES</v>
      </c>
      <c r="CU569" s="46" cm="1">
        <f t="array" ref="CU569">SUMPRODUCT(--(BF569:CQ569&lt;1))</f>
        <v>38</v>
      </c>
    </row>
    <row r="570" spans="1:99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46181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 s="3" t="str">
        <f>+IF(AVANCE[[#This Row],[% AVANCE]]=100%,"MODULO TERMINADO",IF(AVANCE[[#This Row],[FECHA INICIO REAL]]="","MODULO NO INICIADO","PENDIENTE"))</f>
        <v>MODULO NO INICIADO</v>
      </c>
      <c r="BF570" s="3">
        <f>+IF(AVANCE[[#This Row],[VENTANAS]]=8.10810810810811%,100%,AVANCE[[#This Row],[VENTANAS]])</f>
        <v>0</v>
      </c>
      <c r="BG570" s="3">
        <f>+IF(AVANCE[[#This Row],[PISO]]=N$2,100%,AVANCE[[#This Row],[PISO]])</f>
        <v>0</v>
      </c>
      <c r="BH570" s="3">
        <f>+IF(AVANCE[[#This Row],[TABIQUES]]=O$2,100%,AVANCE[[#This Row],[TABIQUES]])</f>
        <v>0</v>
      </c>
      <c r="BI570" s="3">
        <f>+IF(AVANCE[[#This Row],[MUROS]]=P$2,100%,AVANCE[[#This Row],[MUROS]])</f>
        <v>0</v>
      </c>
      <c r="BJ570" s="3">
        <f>+IF(AVANCE[[#This Row],[CIELO]]=Q$2,100%,AVANCE[[#This Row],[CIELO]])</f>
        <v>0</v>
      </c>
      <c r="BK570" s="3">
        <f>+IF(AVANCE[[#This Row],[BALCÓN]]=R$2,100%,AVANCE[[#This Row],[BALCÓN]])</f>
        <v>0</v>
      </c>
      <c r="BL570" s="3">
        <f>+IF(AVANCE[[#This Row],[RED ALCANTARILLADO]]=U$2,100%,AVANCE[[#This Row],[RED ALCANTARILLADO]])</f>
        <v>0</v>
      </c>
      <c r="BM570" s="3">
        <f>+IF(AVANCE[[#This Row],[RED DE AGUA]]=V$2,100%,AVANCE[[#This Row],[RED DE AGUA]])</f>
        <v>0</v>
      </c>
      <c r="BN570" s="3">
        <f>+IF(AVANCE[[#This Row],[VENTILACIONES]]=W$2,100%,AVANCE[[#This Row],[VENTILACIONES]])</f>
        <v>0</v>
      </c>
      <c r="BO570" s="3">
        <f>+IF(AVANCE[[#This Row],[TINA]]=X$2,100%,AVANCE[[#This Row],[TINA]])</f>
        <v>0</v>
      </c>
      <c r="BP570" s="3">
        <f>+IF(AVANCE[[#This Row],[WC]]=Y$2,100%,AVANCE[[#This Row],[WC]])</f>
        <v>0</v>
      </c>
      <c r="BQ570" s="3">
        <f>+IF(AVANCE[[#This Row],[LAVAMANOS / LAVAPLATOS / LAVADERO]]=Z$2,100%,AVANCE[[#This Row],[LAVAMANOS / LAVAPLATOS / LAVADERO]])</f>
        <v>0</v>
      </c>
      <c r="BR570" s="3">
        <f>+IF(AVANCE[[#This Row],[CANALIZACIÓN]]=AC$2,100%,AVANCE[[#This Row],[CANALIZACIÓN]])</f>
        <v>0</v>
      </c>
      <c r="BS570" s="3">
        <f>+IF(AVANCE[[#This Row],[CABLEADO]]=AD$2,100%,AVANCE[[#This Row],[CABLEADO]])</f>
        <v>0</v>
      </c>
      <c r="BT570" s="3">
        <f>+IF(AVANCE[[#This Row],[ARTEFACTOS]]=AE$2,100%,AVANCE[[#This Row],[ARTEFACTOS]])</f>
        <v>0</v>
      </c>
      <c r="BU570" s="3">
        <f>+IF(AVANCE[[#This Row],[TABLERO]]=AF$2,100%,AVANCE[[#This Row],[TABLERO]])</f>
        <v>0</v>
      </c>
      <c r="BV570" s="3">
        <f>+IF(AVANCE[[#This Row],[CAJA PAU]]=AG$2,100%,AVANCE[[#This Row],[CAJA PAU]])</f>
        <v>0</v>
      </c>
      <c r="BW570" s="3">
        <f>+IF(AVANCE[[#This Row],[INSTALACION VINILICO]]=AJ$2,100%,AVANCE[[#This Row],[INSTALACION VINILICO]])</f>
        <v>0</v>
      </c>
      <c r="BX570" s="3">
        <f>+IF(AVANCE[[#This Row],[OSB CUBIERTA]]=AK$2,100%,AVANCE[[#This Row],[OSB CUBIERTA]])</f>
        <v>0</v>
      </c>
      <c r="BY570" s="3">
        <f>+IF(AVANCE[[#This Row],[BARANDA BALCON]]=AL$2,100%,AVANCE[[#This Row],[BARANDA BALCON]])</f>
        <v>0</v>
      </c>
      <c r="BZ570" s="3">
        <f>+IF(AVANCE[[#This Row],[OSB EXTERIOR]]=AM$2,100%,AVANCE[[#This Row],[OSB EXTERIOR]])</f>
        <v>0</v>
      </c>
      <c r="CA570" s="3">
        <f>+IF(AVANCE[[#This Row],[SMART PANEL]]=AN$2,100%,AVANCE[[#This Row],[SMART PANEL]])</f>
        <v>0</v>
      </c>
      <c r="CB570" s="3">
        <f>+IF(AVANCE[[#This Row],[PINTURA EXTERIOR]]=AO$2,100%,AVANCE[[#This Row],[PINTURA EXTERIOR]])</f>
        <v>0</v>
      </c>
      <c r="CC570" s="3">
        <f>+IF(AVANCE[[#This Row],[ZOCALOS LOGIA]]=AP$2,100%,AVANCE[[#This Row],[ZOCALOS LOGIA]])</f>
        <v>0</v>
      </c>
      <c r="CD570" s="3">
        <f>+IF(AVANCE[[#This Row],[MOLDURAS]]=AQ$2,100%,AVANCE[[#This Row],[MOLDURAS]])</f>
        <v>0</v>
      </c>
      <c r="CE570" s="3">
        <f>+IF(AVANCE[[#This Row],[PILASTREO]]=AR$2,100%,AVANCE[[#This Row],[PILASTREO]])</f>
        <v>0</v>
      </c>
      <c r="CF570" s="3">
        <f>+IF(AVANCE[[#This Row],[CELOSIAS]]=AS$2,100%,AVANCE[[#This Row],[CELOSIAS]])</f>
        <v>0</v>
      </c>
      <c r="CG570" s="3">
        <f>+IF(AVANCE[[#This Row],[VENTANAS]]=AT$2,100%,AVANCE[[#This Row],[VENTANAS]])</f>
        <v>0</v>
      </c>
      <c r="CH570" s="3">
        <f>+IF(AVANCE[[#This Row],[PUERTAS ACCESO - LOGIA - BANO]]=AU$2,100%,AVANCE[[#This Row],[PUERTAS ACCESO - LOGIA - BANO]])</f>
        <v>0</v>
      </c>
      <c r="CI570" s="3">
        <f>+IF(AVANCE[[#This Row],[CERRADURAS]]=AV$2,100%,AVANCE[[#This Row],[CERRADURAS]])</f>
        <v>0</v>
      </c>
      <c r="CJ570" s="3">
        <f>+IF(AVANCE[[#This Row],[REVESTIMIENTO INTERIOR ZONA SECA]]=AW$2,100%,AVANCE[[#This Row],[REVESTIMIENTO INTERIOR ZONA SECA]])</f>
        <v>0</v>
      </c>
      <c r="CK570" s="3">
        <f>+IF(AVANCE[[#This Row],[REVESTIMIENTO INTERIOR ZONAS HUMEDAS]]=AX$2,100%,AVANCE[[#This Row],[REVESTIMIENTO INTERIOR ZONAS HUMEDAS]])</f>
        <v>0</v>
      </c>
      <c r="CL570" s="3">
        <f>+IF(AVANCE[[#This Row],[MEMBRANA CIELO]]=AY$2,100%,AVANCE[[#This Row],[MEMBRANA CIELO]])</f>
        <v>0</v>
      </c>
      <c r="CM570" s="3">
        <f>+IF(AVANCE[[#This Row],[LIMPIEZA FINAL]]=AZ$2,100%,AVANCE[[#This Row],[LIMPIEZA FINAL]])</f>
        <v>0</v>
      </c>
      <c r="CN570" s="3">
        <f>+IF(AVANCE[[#This Row],[PUERTAS DORMITORIO]]=BA$2,100%,AVANCE[[#This Row],[PUERTAS DORMITORIO]])</f>
        <v>0</v>
      </c>
      <c r="CO570" s="3">
        <f>+IF(AVANCE[[#This Row],[REVESTIMIENTO INTERIOR BANO]]=BB$2,100%,AVANCE[[#This Row],[REVESTIMIENTO INTERIOR BANO]])</f>
        <v>0</v>
      </c>
      <c r="CP570" s="3">
        <f>+IF(AVANCE[[#This Row],[MUEBLE LAVAPLATOS]]=BC$2,100%,AVANCE[[#This Row],[MUEBLE LAVAPLATOS]])</f>
        <v>0</v>
      </c>
      <c r="CQ570" s="3">
        <f>+IF(AVANCE[[#This Row],[IMPERMEABILIZACION BANO - COCINA LOGIA]]=BD$2,100%,AVANCE[[#This Row],[IMPERMEABILIZACION BANO - COCINA LOGIA]])</f>
        <v>0</v>
      </c>
      <c r="CR570" s="40">
        <f ca="1">+IF(AVANCE[[#This Row],[ESTADO MODULO]]="PENDIENTE",(TODAY()-AVANCE[[#This Row],[FECHA TERMINO  PLANIFICADO]]),0)</f>
        <v>0</v>
      </c>
      <c r="CS570" s="42" t="str" cm="1">
        <f t="array" ref="CS570">_xlfn.TEXTJOIN(" | ",TRUE,IF(SUMPRODUCT((BF570:CQ570&lt;1)*(PARTIDAS!$I$2:$AT$2="OBRA GRUESA"))&gt;0,"OBRA GRUESA: "&amp;_xlfn.TEXTJOIN(", ",TRUE,IF((BF570:CQ570&lt;1)*(PARTIDAS!$I$2:$AT$2="OBRA GRUESA"),PARTIDAS!$I$1:$AT$1,"")),""),IF(SUMPRODUCT((BF570:CQ570&lt;1)*(PARTIDAS!$I$2:$AT$2="SANITARIOS"))&gt;0,"SANITARIOS: "&amp;_xlfn.TEXTJOIN(", ",TRUE,IF((BF570:CQ570&lt;1)*(PARTIDAS!$I$2:$AT$2="SANITARIOS"),PARTIDAS!$I$1:$AT$1,"")),""),IF(SUMPRODUCT((BF570:CQ570&lt;1)*(PARTIDAS!$I$2:$AT$2="ELÉCTRICO"))&gt;0,"ELÉCTRICO: "&amp;_xlfn.TEXTJOIN(", ",TRUE,IF((BF570:CQ570&lt;1)*(PARTIDAS!$I$2:$AT$2="ELÉCTRICO"),PARTIDAS!$I$1:$AT$1,"")),""),IF(SUMPRODUCT((BF570:CQ570&lt;1)*(PARTIDAS!$I$2:$AT$2="TERMINACIONES"))&gt;0,"TERMINACIONES: "&amp;_xlfn.TEXTJOIN(", ",TRUE,IF((BF570:CQ570&lt;1)*(PARTIDAS!$I$2:$AT$2="TERMINACIONES"),PARTIDAS!$I$1:$AT$1,"")),""))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0" s="45" t="str" cm="1">
        <f t="array" ref="CT570">_xlfn.TEXTJOIN(", ",TRUE,IF(SUMPRODUCT((BF570:CQ570&lt;1)*(PARTIDAS!$I$2:$AT$2="OBRA GRUESA"))&gt;0,"OBRA GRUESA",""),IF(SUMPRODUCT((BF570:CQ570&lt;1)*(PARTIDAS!$I$2:$AT$2="SANITARIOS"))&gt;0,"SANITARIOS",""),IF(SUMPRODUCT((BF570:CQ570&lt;1)*(PARTIDAS!$I$2:$AT$2="ELÉCTRICO"))&gt;0,"ELÉCTRICO",""),IF(SUMPRODUCT((BF570:CQ570&lt;1)*(PARTIDAS!$I$2:$AT$2="TERMINACIONES"))&gt;0,"TERMINACIONES",""))</f>
        <v>OBRA GRUESA, SANITARIOS, ELÉCTRICO, TERMINACIONES</v>
      </c>
      <c r="CU570" s="46" cm="1">
        <f t="array" ref="CU570">SUMPRODUCT(--(BF570:CQ570&lt;1))</f>
        <v>38</v>
      </c>
    </row>
    <row r="571" spans="1:99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46181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 s="3" t="str">
        <f>+IF(AVANCE[[#This Row],[% AVANCE]]=100%,"MODULO TERMINADO",IF(AVANCE[[#This Row],[FECHA INICIO REAL]]="","MODULO NO INICIADO","PENDIENTE"))</f>
        <v>MODULO NO INICIADO</v>
      </c>
      <c r="BF571" s="3">
        <f>+IF(AVANCE[[#This Row],[VENTANAS]]=8.10810810810811%,100%,AVANCE[[#This Row],[VENTANAS]])</f>
        <v>0</v>
      </c>
      <c r="BG571" s="3">
        <f>+IF(AVANCE[[#This Row],[PISO]]=N$2,100%,AVANCE[[#This Row],[PISO]])</f>
        <v>0</v>
      </c>
      <c r="BH571" s="3">
        <f>+IF(AVANCE[[#This Row],[TABIQUES]]=O$2,100%,AVANCE[[#This Row],[TABIQUES]])</f>
        <v>0</v>
      </c>
      <c r="BI571" s="3">
        <f>+IF(AVANCE[[#This Row],[MUROS]]=P$2,100%,AVANCE[[#This Row],[MUROS]])</f>
        <v>0</v>
      </c>
      <c r="BJ571" s="3">
        <f>+IF(AVANCE[[#This Row],[CIELO]]=Q$2,100%,AVANCE[[#This Row],[CIELO]])</f>
        <v>0</v>
      </c>
      <c r="BK571" s="3">
        <f>+IF(AVANCE[[#This Row],[BALCÓN]]=R$2,100%,AVANCE[[#This Row],[BALCÓN]])</f>
        <v>0</v>
      </c>
      <c r="BL571" s="3">
        <f>+IF(AVANCE[[#This Row],[RED ALCANTARILLADO]]=U$2,100%,AVANCE[[#This Row],[RED ALCANTARILLADO]])</f>
        <v>0</v>
      </c>
      <c r="BM571" s="3">
        <f>+IF(AVANCE[[#This Row],[RED DE AGUA]]=V$2,100%,AVANCE[[#This Row],[RED DE AGUA]])</f>
        <v>0</v>
      </c>
      <c r="BN571" s="3">
        <f>+IF(AVANCE[[#This Row],[VENTILACIONES]]=W$2,100%,AVANCE[[#This Row],[VENTILACIONES]])</f>
        <v>0</v>
      </c>
      <c r="BO571" s="3">
        <f>+IF(AVANCE[[#This Row],[TINA]]=X$2,100%,AVANCE[[#This Row],[TINA]])</f>
        <v>0</v>
      </c>
      <c r="BP571" s="3">
        <f>+IF(AVANCE[[#This Row],[WC]]=Y$2,100%,AVANCE[[#This Row],[WC]])</f>
        <v>0</v>
      </c>
      <c r="BQ571" s="3">
        <f>+IF(AVANCE[[#This Row],[LAVAMANOS / LAVAPLATOS / LAVADERO]]=Z$2,100%,AVANCE[[#This Row],[LAVAMANOS / LAVAPLATOS / LAVADERO]])</f>
        <v>0</v>
      </c>
      <c r="BR571" s="3">
        <f>+IF(AVANCE[[#This Row],[CANALIZACIÓN]]=AC$2,100%,AVANCE[[#This Row],[CANALIZACIÓN]])</f>
        <v>0</v>
      </c>
      <c r="BS571" s="3">
        <f>+IF(AVANCE[[#This Row],[CABLEADO]]=AD$2,100%,AVANCE[[#This Row],[CABLEADO]])</f>
        <v>0</v>
      </c>
      <c r="BT571" s="3">
        <f>+IF(AVANCE[[#This Row],[ARTEFACTOS]]=AE$2,100%,AVANCE[[#This Row],[ARTEFACTOS]])</f>
        <v>0</v>
      </c>
      <c r="BU571" s="3">
        <f>+IF(AVANCE[[#This Row],[TABLERO]]=AF$2,100%,AVANCE[[#This Row],[TABLERO]])</f>
        <v>0</v>
      </c>
      <c r="BV571" s="3">
        <f>+IF(AVANCE[[#This Row],[CAJA PAU]]=AG$2,100%,AVANCE[[#This Row],[CAJA PAU]])</f>
        <v>0</v>
      </c>
      <c r="BW571" s="3">
        <f>+IF(AVANCE[[#This Row],[INSTALACION VINILICO]]=AJ$2,100%,AVANCE[[#This Row],[INSTALACION VINILICO]])</f>
        <v>0</v>
      </c>
      <c r="BX571" s="3">
        <f>+IF(AVANCE[[#This Row],[OSB CUBIERTA]]=AK$2,100%,AVANCE[[#This Row],[OSB CUBIERTA]])</f>
        <v>0</v>
      </c>
      <c r="BY571" s="3">
        <f>+IF(AVANCE[[#This Row],[BARANDA BALCON]]=AL$2,100%,AVANCE[[#This Row],[BARANDA BALCON]])</f>
        <v>0</v>
      </c>
      <c r="BZ571" s="3">
        <f>+IF(AVANCE[[#This Row],[OSB EXTERIOR]]=AM$2,100%,AVANCE[[#This Row],[OSB EXTERIOR]])</f>
        <v>0</v>
      </c>
      <c r="CA571" s="3">
        <f>+IF(AVANCE[[#This Row],[SMART PANEL]]=AN$2,100%,AVANCE[[#This Row],[SMART PANEL]])</f>
        <v>0</v>
      </c>
      <c r="CB571" s="3">
        <f>+IF(AVANCE[[#This Row],[PINTURA EXTERIOR]]=AO$2,100%,AVANCE[[#This Row],[PINTURA EXTERIOR]])</f>
        <v>0</v>
      </c>
      <c r="CC571" s="3">
        <f>+IF(AVANCE[[#This Row],[ZOCALOS LOGIA]]=AP$2,100%,AVANCE[[#This Row],[ZOCALOS LOGIA]])</f>
        <v>0</v>
      </c>
      <c r="CD571" s="3">
        <f>+IF(AVANCE[[#This Row],[MOLDURAS]]=AQ$2,100%,AVANCE[[#This Row],[MOLDURAS]])</f>
        <v>0</v>
      </c>
      <c r="CE571" s="3">
        <f>+IF(AVANCE[[#This Row],[PILASTREO]]=AR$2,100%,AVANCE[[#This Row],[PILASTREO]])</f>
        <v>0</v>
      </c>
      <c r="CF571" s="3">
        <f>+IF(AVANCE[[#This Row],[CELOSIAS]]=AS$2,100%,AVANCE[[#This Row],[CELOSIAS]])</f>
        <v>0</v>
      </c>
      <c r="CG571" s="3">
        <f>+IF(AVANCE[[#This Row],[VENTANAS]]=AT$2,100%,AVANCE[[#This Row],[VENTANAS]])</f>
        <v>0</v>
      </c>
      <c r="CH571" s="3">
        <f>+IF(AVANCE[[#This Row],[PUERTAS ACCESO - LOGIA - BANO]]=AU$2,100%,AVANCE[[#This Row],[PUERTAS ACCESO - LOGIA - BANO]])</f>
        <v>0</v>
      </c>
      <c r="CI571" s="3">
        <f>+IF(AVANCE[[#This Row],[CERRADURAS]]=AV$2,100%,AVANCE[[#This Row],[CERRADURAS]])</f>
        <v>0</v>
      </c>
      <c r="CJ571" s="3">
        <f>+IF(AVANCE[[#This Row],[REVESTIMIENTO INTERIOR ZONA SECA]]=AW$2,100%,AVANCE[[#This Row],[REVESTIMIENTO INTERIOR ZONA SECA]])</f>
        <v>0</v>
      </c>
      <c r="CK571" s="3">
        <f>+IF(AVANCE[[#This Row],[REVESTIMIENTO INTERIOR ZONAS HUMEDAS]]=AX$2,100%,AVANCE[[#This Row],[REVESTIMIENTO INTERIOR ZONAS HUMEDAS]])</f>
        <v>0</v>
      </c>
      <c r="CL571" s="3">
        <f>+IF(AVANCE[[#This Row],[MEMBRANA CIELO]]=AY$2,100%,AVANCE[[#This Row],[MEMBRANA CIELO]])</f>
        <v>0</v>
      </c>
      <c r="CM571" s="3">
        <f>+IF(AVANCE[[#This Row],[LIMPIEZA FINAL]]=AZ$2,100%,AVANCE[[#This Row],[LIMPIEZA FINAL]])</f>
        <v>0</v>
      </c>
      <c r="CN571" s="3">
        <f>+IF(AVANCE[[#This Row],[PUERTAS DORMITORIO]]=BA$2,100%,AVANCE[[#This Row],[PUERTAS DORMITORIO]])</f>
        <v>0</v>
      </c>
      <c r="CO571" s="3">
        <f>+IF(AVANCE[[#This Row],[REVESTIMIENTO INTERIOR BANO]]=BB$2,100%,AVANCE[[#This Row],[REVESTIMIENTO INTERIOR BANO]])</f>
        <v>0</v>
      </c>
      <c r="CP571" s="3">
        <f>+IF(AVANCE[[#This Row],[MUEBLE LAVAPLATOS]]=BC$2,100%,AVANCE[[#This Row],[MUEBLE LAVAPLATOS]])</f>
        <v>0</v>
      </c>
      <c r="CQ571" s="3">
        <f>+IF(AVANCE[[#This Row],[IMPERMEABILIZACION BANO - COCINA LOGIA]]=BD$2,100%,AVANCE[[#This Row],[IMPERMEABILIZACION BANO - COCINA LOGIA]])</f>
        <v>0</v>
      </c>
      <c r="CR571" s="40">
        <f ca="1">+IF(AVANCE[[#This Row],[ESTADO MODULO]]="PENDIENTE",(TODAY()-AVANCE[[#This Row],[FECHA TERMINO  PLANIFICADO]]),0)</f>
        <v>0</v>
      </c>
      <c r="CS571" s="42" t="str" cm="1">
        <f t="array" ref="CS571">_xlfn.TEXTJOIN(" | ",TRUE,IF(SUMPRODUCT((BF571:CQ571&lt;1)*(PARTIDAS!$I$2:$AT$2="OBRA GRUESA"))&gt;0,"OBRA GRUESA: "&amp;_xlfn.TEXTJOIN(", ",TRUE,IF((BF571:CQ571&lt;1)*(PARTIDAS!$I$2:$AT$2="OBRA GRUESA"),PARTIDAS!$I$1:$AT$1,"")),""),IF(SUMPRODUCT((BF571:CQ571&lt;1)*(PARTIDAS!$I$2:$AT$2="SANITARIOS"))&gt;0,"SANITARIOS: "&amp;_xlfn.TEXTJOIN(", ",TRUE,IF((BF571:CQ571&lt;1)*(PARTIDAS!$I$2:$AT$2="SANITARIOS"),PARTIDAS!$I$1:$AT$1,"")),""),IF(SUMPRODUCT((BF571:CQ571&lt;1)*(PARTIDAS!$I$2:$AT$2="ELÉCTRICO"))&gt;0,"ELÉCTRICO: "&amp;_xlfn.TEXTJOIN(", ",TRUE,IF((BF571:CQ571&lt;1)*(PARTIDAS!$I$2:$AT$2="ELÉCTRICO"),PARTIDAS!$I$1:$AT$1,"")),""),IF(SUMPRODUCT((BF571:CQ571&lt;1)*(PARTIDAS!$I$2:$AT$2="TERMINACIONES"))&gt;0,"TERMINACIONES: "&amp;_xlfn.TEXTJOIN(", ",TRUE,IF((BF571:CQ571&lt;1)*(PARTIDAS!$I$2:$AT$2="TERMINACIONES"),PARTIDAS!$I$1:$AT$1,"")),""))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1" s="45" t="str" cm="1">
        <f t="array" ref="CT571">_xlfn.TEXTJOIN(", ",TRUE,IF(SUMPRODUCT((BF571:CQ571&lt;1)*(PARTIDAS!$I$2:$AT$2="OBRA GRUESA"))&gt;0,"OBRA GRUESA",""),IF(SUMPRODUCT((BF571:CQ571&lt;1)*(PARTIDAS!$I$2:$AT$2="SANITARIOS"))&gt;0,"SANITARIOS",""),IF(SUMPRODUCT((BF571:CQ571&lt;1)*(PARTIDAS!$I$2:$AT$2="ELÉCTRICO"))&gt;0,"ELÉCTRICO",""),IF(SUMPRODUCT((BF571:CQ571&lt;1)*(PARTIDAS!$I$2:$AT$2="TERMINACIONES"))&gt;0,"TERMINACIONES",""))</f>
        <v>OBRA GRUESA, SANITARIOS, ELÉCTRICO, TERMINACIONES</v>
      </c>
      <c r="CU571" s="46" cm="1">
        <f t="array" ref="CU571">SUMPRODUCT(--(BF571:CQ571&lt;1))</f>
        <v>38</v>
      </c>
    </row>
    <row r="572" spans="1:99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46181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 s="3" t="str">
        <f>+IF(AVANCE[[#This Row],[% AVANCE]]=100%,"MODULO TERMINADO",IF(AVANCE[[#This Row],[FECHA INICIO REAL]]="","MODULO NO INICIADO","PENDIENTE"))</f>
        <v>MODULO NO INICIADO</v>
      </c>
      <c r="BF572" s="3">
        <f>+IF(AVANCE[[#This Row],[VENTANAS]]=8.10810810810811%,100%,AVANCE[[#This Row],[VENTANAS]])</f>
        <v>0</v>
      </c>
      <c r="BG572" s="3">
        <f>+IF(AVANCE[[#This Row],[PISO]]=N$2,100%,AVANCE[[#This Row],[PISO]])</f>
        <v>0</v>
      </c>
      <c r="BH572" s="3">
        <f>+IF(AVANCE[[#This Row],[TABIQUES]]=O$2,100%,AVANCE[[#This Row],[TABIQUES]])</f>
        <v>0</v>
      </c>
      <c r="BI572" s="3">
        <f>+IF(AVANCE[[#This Row],[MUROS]]=P$2,100%,AVANCE[[#This Row],[MUROS]])</f>
        <v>0</v>
      </c>
      <c r="BJ572" s="3">
        <f>+IF(AVANCE[[#This Row],[CIELO]]=Q$2,100%,AVANCE[[#This Row],[CIELO]])</f>
        <v>0</v>
      </c>
      <c r="BK572" s="3">
        <f>+IF(AVANCE[[#This Row],[BALCÓN]]=R$2,100%,AVANCE[[#This Row],[BALCÓN]])</f>
        <v>0</v>
      </c>
      <c r="BL572" s="3">
        <f>+IF(AVANCE[[#This Row],[RED ALCANTARILLADO]]=U$2,100%,AVANCE[[#This Row],[RED ALCANTARILLADO]])</f>
        <v>0</v>
      </c>
      <c r="BM572" s="3">
        <f>+IF(AVANCE[[#This Row],[RED DE AGUA]]=V$2,100%,AVANCE[[#This Row],[RED DE AGUA]])</f>
        <v>0</v>
      </c>
      <c r="BN572" s="3">
        <f>+IF(AVANCE[[#This Row],[VENTILACIONES]]=W$2,100%,AVANCE[[#This Row],[VENTILACIONES]])</f>
        <v>0</v>
      </c>
      <c r="BO572" s="3">
        <f>+IF(AVANCE[[#This Row],[TINA]]=X$2,100%,AVANCE[[#This Row],[TINA]])</f>
        <v>0</v>
      </c>
      <c r="BP572" s="3">
        <f>+IF(AVANCE[[#This Row],[WC]]=Y$2,100%,AVANCE[[#This Row],[WC]])</f>
        <v>0</v>
      </c>
      <c r="BQ572" s="3">
        <f>+IF(AVANCE[[#This Row],[LAVAMANOS / LAVAPLATOS / LAVADERO]]=Z$2,100%,AVANCE[[#This Row],[LAVAMANOS / LAVAPLATOS / LAVADERO]])</f>
        <v>0</v>
      </c>
      <c r="BR572" s="3">
        <f>+IF(AVANCE[[#This Row],[CANALIZACIÓN]]=AC$2,100%,AVANCE[[#This Row],[CANALIZACIÓN]])</f>
        <v>0</v>
      </c>
      <c r="BS572" s="3">
        <f>+IF(AVANCE[[#This Row],[CABLEADO]]=AD$2,100%,AVANCE[[#This Row],[CABLEADO]])</f>
        <v>0</v>
      </c>
      <c r="BT572" s="3">
        <f>+IF(AVANCE[[#This Row],[ARTEFACTOS]]=AE$2,100%,AVANCE[[#This Row],[ARTEFACTOS]])</f>
        <v>0</v>
      </c>
      <c r="BU572" s="3">
        <f>+IF(AVANCE[[#This Row],[TABLERO]]=AF$2,100%,AVANCE[[#This Row],[TABLERO]])</f>
        <v>0</v>
      </c>
      <c r="BV572" s="3">
        <f>+IF(AVANCE[[#This Row],[CAJA PAU]]=AG$2,100%,AVANCE[[#This Row],[CAJA PAU]])</f>
        <v>0</v>
      </c>
      <c r="BW572" s="3">
        <f>+IF(AVANCE[[#This Row],[INSTALACION VINILICO]]=AJ$2,100%,AVANCE[[#This Row],[INSTALACION VINILICO]])</f>
        <v>0</v>
      </c>
      <c r="BX572" s="3">
        <f>+IF(AVANCE[[#This Row],[OSB CUBIERTA]]=AK$2,100%,AVANCE[[#This Row],[OSB CUBIERTA]])</f>
        <v>0</v>
      </c>
      <c r="BY572" s="3">
        <f>+IF(AVANCE[[#This Row],[BARANDA BALCON]]=AL$2,100%,AVANCE[[#This Row],[BARANDA BALCON]])</f>
        <v>0</v>
      </c>
      <c r="BZ572" s="3">
        <f>+IF(AVANCE[[#This Row],[OSB EXTERIOR]]=AM$2,100%,AVANCE[[#This Row],[OSB EXTERIOR]])</f>
        <v>0</v>
      </c>
      <c r="CA572" s="3">
        <f>+IF(AVANCE[[#This Row],[SMART PANEL]]=AN$2,100%,AVANCE[[#This Row],[SMART PANEL]])</f>
        <v>0</v>
      </c>
      <c r="CB572" s="3">
        <f>+IF(AVANCE[[#This Row],[PINTURA EXTERIOR]]=AO$2,100%,AVANCE[[#This Row],[PINTURA EXTERIOR]])</f>
        <v>0</v>
      </c>
      <c r="CC572" s="3">
        <f>+IF(AVANCE[[#This Row],[ZOCALOS LOGIA]]=AP$2,100%,AVANCE[[#This Row],[ZOCALOS LOGIA]])</f>
        <v>0</v>
      </c>
      <c r="CD572" s="3">
        <f>+IF(AVANCE[[#This Row],[MOLDURAS]]=AQ$2,100%,AVANCE[[#This Row],[MOLDURAS]])</f>
        <v>0</v>
      </c>
      <c r="CE572" s="3">
        <f>+IF(AVANCE[[#This Row],[PILASTREO]]=AR$2,100%,AVANCE[[#This Row],[PILASTREO]])</f>
        <v>0</v>
      </c>
      <c r="CF572" s="3">
        <f>+IF(AVANCE[[#This Row],[CELOSIAS]]=AS$2,100%,AVANCE[[#This Row],[CELOSIAS]])</f>
        <v>0</v>
      </c>
      <c r="CG572" s="3">
        <f>+IF(AVANCE[[#This Row],[VENTANAS]]=AT$2,100%,AVANCE[[#This Row],[VENTANAS]])</f>
        <v>0</v>
      </c>
      <c r="CH572" s="3">
        <f>+IF(AVANCE[[#This Row],[PUERTAS ACCESO - LOGIA - BANO]]=AU$2,100%,AVANCE[[#This Row],[PUERTAS ACCESO - LOGIA - BANO]])</f>
        <v>0</v>
      </c>
      <c r="CI572" s="3">
        <f>+IF(AVANCE[[#This Row],[CERRADURAS]]=AV$2,100%,AVANCE[[#This Row],[CERRADURAS]])</f>
        <v>0</v>
      </c>
      <c r="CJ572" s="3">
        <f>+IF(AVANCE[[#This Row],[REVESTIMIENTO INTERIOR ZONA SECA]]=AW$2,100%,AVANCE[[#This Row],[REVESTIMIENTO INTERIOR ZONA SECA]])</f>
        <v>0</v>
      </c>
      <c r="CK572" s="3">
        <f>+IF(AVANCE[[#This Row],[REVESTIMIENTO INTERIOR ZONAS HUMEDAS]]=AX$2,100%,AVANCE[[#This Row],[REVESTIMIENTO INTERIOR ZONAS HUMEDAS]])</f>
        <v>0</v>
      </c>
      <c r="CL572" s="3">
        <f>+IF(AVANCE[[#This Row],[MEMBRANA CIELO]]=AY$2,100%,AVANCE[[#This Row],[MEMBRANA CIELO]])</f>
        <v>0</v>
      </c>
      <c r="CM572" s="3">
        <f>+IF(AVANCE[[#This Row],[LIMPIEZA FINAL]]=AZ$2,100%,AVANCE[[#This Row],[LIMPIEZA FINAL]])</f>
        <v>0</v>
      </c>
      <c r="CN572" s="3">
        <f>+IF(AVANCE[[#This Row],[PUERTAS DORMITORIO]]=BA$2,100%,AVANCE[[#This Row],[PUERTAS DORMITORIO]])</f>
        <v>0</v>
      </c>
      <c r="CO572" s="3">
        <f>+IF(AVANCE[[#This Row],[REVESTIMIENTO INTERIOR BANO]]=BB$2,100%,AVANCE[[#This Row],[REVESTIMIENTO INTERIOR BANO]])</f>
        <v>0</v>
      </c>
      <c r="CP572" s="3">
        <f>+IF(AVANCE[[#This Row],[MUEBLE LAVAPLATOS]]=BC$2,100%,AVANCE[[#This Row],[MUEBLE LAVAPLATOS]])</f>
        <v>0</v>
      </c>
      <c r="CQ572" s="3">
        <f>+IF(AVANCE[[#This Row],[IMPERMEABILIZACION BANO - COCINA LOGIA]]=BD$2,100%,AVANCE[[#This Row],[IMPERMEABILIZACION BANO - COCINA LOGIA]])</f>
        <v>0</v>
      </c>
      <c r="CR572" s="40">
        <f ca="1">+IF(AVANCE[[#This Row],[ESTADO MODULO]]="PENDIENTE",(TODAY()-AVANCE[[#This Row],[FECHA TERMINO  PLANIFICADO]]),0)</f>
        <v>0</v>
      </c>
      <c r="CS572" s="42" t="str" cm="1">
        <f t="array" ref="CS572">_xlfn.TEXTJOIN(" | ",TRUE,IF(SUMPRODUCT((BF572:CQ572&lt;1)*(PARTIDAS!$I$2:$AT$2="OBRA GRUESA"))&gt;0,"OBRA GRUESA: "&amp;_xlfn.TEXTJOIN(", ",TRUE,IF((BF572:CQ572&lt;1)*(PARTIDAS!$I$2:$AT$2="OBRA GRUESA"),PARTIDAS!$I$1:$AT$1,"")),""),IF(SUMPRODUCT((BF572:CQ572&lt;1)*(PARTIDAS!$I$2:$AT$2="SANITARIOS"))&gt;0,"SANITARIOS: "&amp;_xlfn.TEXTJOIN(", ",TRUE,IF((BF572:CQ572&lt;1)*(PARTIDAS!$I$2:$AT$2="SANITARIOS"),PARTIDAS!$I$1:$AT$1,"")),""),IF(SUMPRODUCT((BF572:CQ572&lt;1)*(PARTIDAS!$I$2:$AT$2="ELÉCTRICO"))&gt;0,"ELÉCTRICO: "&amp;_xlfn.TEXTJOIN(", ",TRUE,IF((BF572:CQ572&lt;1)*(PARTIDAS!$I$2:$AT$2="ELÉCTRICO"),PARTIDAS!$I$1:$AT$1,"")),""),IF(SUMPRODUCT((BF572:CQ572&lt;1)*(PARTIDAS!$I$2:$AT$2="TERMINACIONES"))&gt;0,"TERMINACIONES: "&amp;_xlfn.TEXTJOIN(", ",TRUE,IF((BF572:CQ572&lt;1)*(PARTIDAS!$I$2:$AT$2="TERMINACIONES"),PARTIDAS!$I$1:$AT$1,"")),""))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2" s="45" t="str" cm="1">
        <f t="array" ref="CT572">_xlfn.TEXTJOIN(", ",TRUE,IF(SUMPRODUCT((BF572:CQ572&lt;1)*(PARTIDAS!$I$2:$AT$2="OBRA GRUESA"))&gt;0,"OBRA GRUESA",""),IF(SUMPRODUCT((BF572:CQ572&lt;1)*(PARTIDAS!$I$2:$AT$2="SANITARIOS"))&gt;0,"SANITARIOS",""),IF(SUMPRODUCT((BF572:CQ572&lt;1)*(PARTIDAS!$I$2:$AT$2="ELÉCTRICO"))&gt;0,"ELÉCTRICO",""),IF(SUMPRODUCT((BF572:CQ572&lt;1)*(PARTIDAS!$I$2:$AT$2="TERMINACIONES"))&gt;0,"TERMINACIONES",""))</f>
        <v>OBRA GRUESA, SANITARIOS, ELÉCTRICO, TERMINACIONES</v>
      </c>
      <c r="CU572" s="46" cm="1">
        <f t="array" ref="CU572">SUMPRODUCT(--(BF572:CQ572&lt;1))</f>
        <v>38</v>
      </c>
    </row>
    <row r="573" spans="1:99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46181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 s="3" t="str">
        <f>+IF(AVANCE[[#This Row],[% AVANCE]]=100%,"MODULO TERMINADO",IF(AVANCE[[#This Row],[FECHA INICIO REAL]]="","MODULO NO INICIADO","PENDIENTE"))</f>
        <v>MODULO NO INICIADO</v>
      </c>
      <c r="BF573" s="3">
        <f>+IF(AVANCE[[#This Row],[VENTANAS]]=8.10810810810811%,100%,AVANCE[[#This Row],[VENTANAS]])</f>
        <v>0</v>
      </c>
      <c r="BG573" s="3">
        <f>+IF(AVANCE[[#This Row],[PISO]]=N$2,100%,AVANCE[[#This Row],[PISO]])</f>
        <v>0</v>
      </c>
      <c r="BH573" s="3">
        <f>+IF(AVANCE[[#This Row],[TABIQUES]]=O$2,100%,AVANCE[[#This Row],[TABIQUES]])</f>
        <v>0</v>
      </c>
      <c r="BI573" s="3">
        <f>+IF(AVANCE[[#This Row],[MUROS]]=P$2,100%,AVANCE[[#This Row],[MUROS]])</f>
        <v>0</v>
      </c>
      <c r="BJ573" s="3">
        <f>+IF(AVANCE[[#This Row],[CIELO]]=Q$2,100%,AVANCE[[#This Row],[CIELO]])</f>
        <v>0</v>
      </c>
      <c r="BK573" s="3">
        <f>+IF(AVANCE[[#This Row],[BALCÓN]]=R$2,100%,AVANCE[[#This Row],[BALCÓN]])</f>
        <v>0</v>
      </c>
      <c r="BL573" s="3">
        <f>+IF(AVANCE[[#This Row],[RED ALCANTARILLADO]]=U$2,100%,AVANCE[[#This Row],[RED ALCANTARILLADO]])</f>
        <v>0</v>
      </c>
      <c r="BM573" s="3">
        <f>+IF(AVANCE[[#This Row],[RED DE AGUA]]=V$2,100%,AVANCE[[#This Row],[RED DE AGUA]])</f>
        <v>0</v>
      </c>
      <c r="BN573" s="3">
        <f>+IF(AVANCE[[#This Row],[VENTILACIONES]]=W$2,100%,AVANCE[[#This Row],[VENTILACIONES]])</f>
        <v>0</v>
      </c>
      <c r="BO573" s="3">
        <f>+IF(AVANCE[[#This Row],[TINA]]=X$2,100%,AVANCE[[#This Row],[TINA]])</f>
        <v>0</v>
      </c>
      <c r="BP573" s="3">
        <f>+IF(AVANCE[[#This Row],[WC]]=Y$2,100%,AVANCE[[#This Row],[WC]])</f>
        <v>0</v>
      </c>
      <c r="BQ573" s="3">
        <f>+IF(AVANCE[[#This Row],[LAVAMANOS / LAVAPLATOS / LAVADERO]]=Z$2,100%,AVANCE[[#This Row],[LAVAMANOS / LAVAPLATOS / LAVADERO]])</f>
        <v>0</v>
      </c>
      <c r="BR573" s="3">
        <f>+IF(AVANCE[[#This Row],[CANALIZACIÓN]]=AC$2,100%,AVANCE[[#This Row],[CANALIZACIÓN]])</f>
        <v>0</v>
      </c>
      <c r="BS573" s="3">
        <f>+IF(AVANCE[[#This Row],[CABLEADO]]=AD$2,100%,AVANCE[[#This Row],[CABLEADO]])</f>
        <v>0</v>
      </c>
      <c r="BT573" s="3">
        <f>+IF(AVANCE[[#This Row],[ARTEFACTOS]]=AE$2,100%,AVANCE[[#This Row],[ARTEFACTOS]])</f>
        <v>0</v>
      </c>
      <c r="BU573" s="3">
        <f>+IF(AVANCE[[#This Row],[TABLERO]]=AF$2,100%,AVANCE[[#This Row],[TABLERO]])</f>
        <v>0</v>
      </c>
      <c r="BV573" s="3">
        <f>+IF(AVANCE[[#This Row],[CAJA PAU]]=AG$2,100%,AVANCE[[#This Row],[CAJA PAU]])</f>
        <v>0</v>
      </c>
      <c r="BW573" s="3">
        <f>+IF(AVANCE[[#This Row],[INSTALACION VINILICO]]=AJ$2,100%,AVANCE[[#This Row],[INSTALACION VINILICO]])</f>
        <v>0</v>
      </c>
      <c r="BX573" s="3">
        <f>+IF(AVANCE[[#This Row],[OSB CUBIERTA]]=AK$2,100%,AVANCE[[#This Row],[OSB CUBIERTA]])</f>
        <v>0</v>
      </c>
      <c r="BY573" s="3">
        <f>+IF(AVANCE[[#This Row],[BARANDA BALCON]]=AL$2,100%,AVANCE[[#This Row],[BARANDA BALCON]])</f>
        <v>0</v>
      </c>
      <c r="BZ573" s="3">
        <f>+IF(AVANCE[[#This Row],[OSB EXTERIOR]]=AM$2,100%,AVANCE[[#This Row],[OSB EXTERIOR]])</f>
        <v>0</v>
      </c>
      <c r="CA573" s="3">
        <f>+IF(AVANCE[[#This Row],[SMART PANEL]]=AN$2,100%,AVANCE[[#This Row],[SMART PANEL]])</f>
        <v>0</v>
      </c>
      <c r="CB573" s="3">
        <f>+IF(AVANCE[[#This Row],[PINTURA EXTERIOR]]=AO$2,100%,AVANCE[[#This Row],[PINTURA EXTERIOR]])</f>
        <v>0</v>
      </c>
      <c r="CC573" s="3">
        <f>+IF(AVANCE[[#This Row],[ZOCALOS LOGIA]]=AP$2,100%,AVANCE[[#This Row],[ZOCALOS LOGIA]])</f>
        <v>0</v>
      </c>
      <c r="CD573" s="3">
        <f>+IF(AVANCE[[#This Row],[MOLDURAS]]=AQ$2,100%,AVANCE[[#This Row],[MOLDURAS]])</f>
        <v>0</v>
      </c>
      <c r="CE573" s="3">
        <f>+IF(AVANCE[[#This Row],[PILASTREO]]=AR$2,100%,AVANCE[[#This Row],[PILASTREO]])</f>
        <v>0</v>
      </c>
      <c r="CF573" s="3">
        <f>+IF(AVANCE[[#This Row],[CELOSIAS]]=AS$2,100%,AVANCE[[#This Row],[CELOSIAS]])</f>
        <v>0</v>
      </c>
      <c r="CG573" s="3">
        <f>+IF(AVANCE[[#This Row],[VENTANAS]]=AT$2,100%,AVANCE[[#This Row],[VENTANAS]])</f>
        <v>0</v>
      </c>
      <c r="CH573" s="3">
        <f>+IF(AVANCE[[#This Row],[PUERTAS ACCESO - LOGIA - BANO]]=AU$2,100%,AVANCE[[#This Row],[PUERTAS ACCESO - LOGIA - BANO]])</f>
        <v>0</v>
      </c>
      <c r="CI573" s="3">
        <f>+IF(AVANCE[[#This Row],[CERRADURAS]]=AV$2,100%,AVANCE[[#This Row],[CERRADURAS]])</f>
        <v>0</v>
      </c>
      <c r="CJ573" s="3">
        <f>+IF(AVANCE[[#This Row],[REVESTIMIENTO INTERIOR ZONA SECA]]=AW$2,100%,AVANCE[[#This Row],[REVESTIMIENTO INTERIOR ZONA SECA]])</f>
        <v>0</v>
      </c>
      <c r="CK573" s="3">
        <f>+IF(AVANCE[[#This Row],[REVESTIMIENTO INTERIOR ZONAS HUMEDAS]]=AX$2,100%,AVANCE[[#This Row],[REVESTIMIENTO INTERIOR ZONAS HUMEDAS]])</f>
        <v>0</v>
      </c>
      <c r="CL573" s="3">
        <f>+IF(AVANCE[[#This Row],[MEMBRANA CIELO]]=AY$2,100%,AVANCE[[#This Row],[MEMBRANA CIELO]])</f>
        <v>0</v>
      </c>
      <c r="CM573" s="3">
        <f>+IF(AVANCE[[#This Row],[LIMPIEZA FINAL]]=AZ$2,100%,AVANCE[[#This Row],[LIMPIEZA FINAL]])</f>
        <v>0</v>
      </c>
      <c r="CN573" s="3">
        <f>+IF(AVANCE[[#This Row],[PUERTAS DORMITORIO]]=BA$2,100%,AVANCE[[#This Row],[PUERTAS DORMITORIO]])</f>
        <v>0</v>
      </c>
      <c r="CO573" s="3">
        <f>+IF(AVANCE[[#This Row],[REVESTIMIENTO INTERIOR BANO]]=BB$2,100%,AVANCE[[#This Row],[REVESTIMIENTO INTERIOR BANO]])</f>
        <v>0</v>
      </c>
      <c r="CP573" s="3">
        <f>+IF(AVANCE[[#This Row],[MUEBLE LAVAPLATOS]]=BC$2,100%,AVANCE[[#This Row],[MUEBLE LAVAPLATOS]])</f>
        <v>0</v>
      </c>
      <c r="CQ573" s="3">
        <f>+IF(AVANCE[[#This Row],[IMPERMEABILIZACION BANO - COCINA LOGIA]]=BD$2,100%,AVANCE[[#This Row],[IMPERMEABILIZACION BANO - COCINA LOGIA]])</f>
        <v>0</v>
      </c>
      <c r="CR573" s="40">
        <f ca="1">+IF(AVANCE[[#This Row],[ESTADO MODULO]]="PENDIENTE",(TODAY()-AVANCE[[#This Row],[FECHA TERMINO  PLANIFICADO]]),0)</f>
        <v>0</v>
      </c>
      <c r="CS573" s="42" t="str" cm="1">
        <f t="array" ref="CS573">_xlfn.TEXTJOIN(" | ",TRUE,IF(SUMPRODUCT((BF573:CQ573&lt;1)*(PARTIDAS!$I$2:$AT$2="OBRA GRUESA"))&gt;0,"OBRA GRUESA: "&amp;_xlfn.TEXTJOIN(", ",TRUE,IF((BF573:CQ573&lt;1)*(PARTIDAS!$I$2:$AT$2="OBRA GRUESA"),PARTIDAS!$I$1:$AT$1,"")),""),IF(SUMPRODUCT((BF573:CQ573&lt;1)*(PARTIDAS!$I$2:$AT$2="SANITARIOS"))&gt;0,"SANITARIOS: "&amp;_xlfn.TEXTJOIN(", ",TRUE,IF((BF573:CQ573&lt;1)*(PARTIDAS!$I$2:$AT$2="SANITARIOS"),PARTIDAS!$I$1:$AT$1,"")),""),IF(SUMPRODUCT((BF573:CQ573&lt;1)*(PARTIDAS!$I$2:$AT$2="ELÉCTRICO"))&gt;0,"ELÉCTRICO: "&amp;_xlfn.TEXTJOIN(", ",TRUE,IF((BF573:CQ573&lt;1)*(PARTIDAS!$I$2:$AT$2="ELÉCTRICO"),PARTIDAS!$I$1:$AT$1,"")),""),IF(SUMPRODUCT((BF573:CQ573&lt;1)*(PARTIDAS!$I$2:$AT$2="TERMINACIONES"))&gt;0,"TERMINACIONES: "&amp;_xlfn.TEXTJOIN(", ",TRUE,IF((BF573:CQ573&lt;1)*(PARTIDAS!$I$2:$AT$2="TERMINACIONES"),PARTIDAS!$I$1:$AT$1,"")),""))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3" s="45" t="str" cm="1">
        <f t="array" ref="CT573">_xlfn.TEXTJOIN(", ",TRUE,IF(SUMPRODUCT((BF573:CQ573&lt;1)*(PARTIDAS!$I$2:$AT$2="OBRA GRUESA"))&gt;0,"OBRA GRUESA",""),IF(SUMPRODUCT((BF573:CQ573&lt;1)*(PARTIDAS!$I$2:$AT$2="SANITARIOS"))&gt;0,"SANITARIOS",""),IF(SUMPRODUCT((BF573:CQ573&lt;1)*(PARTIDAS!$I$2:$AT$2="ELÉCTRICO"))&gt;0,"ELÉCTRICO",""),IF(SUMPRODUCT((BF573:CQ573&lt;1)*(PARTIDAS!$I$2:$AT$2="TERMINACIONES"))&gt;0,"TERMINACIONES",""))</f>
        <v>OBRA GRUESA, SANITARIOS, ELÉCTRICO, TERMINACIONES</v>
      </c>
      <c r="CU573" s="46" cm="1">
        <f t="array" ref="CU573">SUMPRODUCT(--(BF573:CQ573&lt;1))</f>
        <v>38</v>
      </c>
    </row>
    <row r="574" spans="1:99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46181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 s="3" t="str">
        <f>+IF(AVANCE[[#This Row],[% AVANCE]]=100%,"MODULO TERMINADO",IF(AVANCE[[#This Row],[FECHA INICIO REAL]]="","MODULO NO INICIADO","PENDIENTE"))</f>
        <v>MODULO NO INICIADO</v>
      </c>
      <c r="BF574" s="3">
        <f>+IF(AVANCE[[#This Row],[VENTANAS]]=8.10810810810811%,100%,AVANCE[[#This Row],[VENTANAS]])</f>
        <v>0</v>
      </c>
      <c r="BG574" s="3">
        <f>+IF(AVANCE[[#This Row],[PISO]]=N$2,100%,AVANCE[[#This Row],[PISO]])</f>
        <v>0</v>
      </c>
      <c r="BH574" s="3">
        <f>+IF(AVANCE[[#This Row],[TABIQUES]]=O$2,100%,AVANCE[[#This Row],[TABIQUES]])</f>
        <v>0</v>
      </c>
      <c r="BI574" s="3">
        <f>+IF(AVANCE[[#This Row],[MUROS]]=P$2,100%,AVANCE[[#This Row],[MUROS]])</f>
        <v>0</v>
      </c>
      <c r="BJ574" s="3">
        <f>+IF(AVANCE[[#This Row],[CIELO]]=Q$2,100%,AVANCE[[#This Row],[CIELO]])</f>
        <v>0</v>
      </c>
      <c r="BK574" s="3">
        <f>+IF(AVANCE[[#This Row],[BALCÓN]]=R$2,100%,AVANCE[[#This Row],[BALCÓN]])</f>
        <v>0</v>
      </c>
      <c r="BL574" s="3">
        <f>+IF(AVANCE[[#This Row],[RED ALCANTARILLADO]]=U$2,100%,AVANCE[[#This Row],[RED ALCANTARILLADO]])</f>
        <v>0</v>
      </c>
      <c r="BM574" s="3">
        <f>+IF(AVANCE[[#This Row],[RED DE AGUA]]=V$2,100%,AVANCE[[#This Row],[RED DE AGUA]])</f>
        <v>0</v>
      </c>
      <c r="BN574" s="3">
        <f>+IF(AVANCE[[#This Row],[VENTILACIONES]]=W$2,100%,AVANCE[[#This Row],[VENTILACIONES]])</f>
        <v>0</v>
      </c>
      <c r="BO574" s="3">
        <f>+IF(AVANCE[[#This Row],[TINA]]=X$2,100%,AVANCE[[#This Row],[TINA]])</f>
        <v>0</v>
      </c>
      <c r="BP574" s="3">
        <f>+IF(AVANCE[[#This Row],[WC]]=Y$2,100%,AVANCE[[#This Row],[WC]])</f>
        <v>0</v>
      </c>
      <c r="BQ574" s="3">
        <f>+IF(AVANCE[[#This Row],[LAVAMANOS / LAVAPLATOS / LAVADERO]]=Z$2,100%,AVANCE[[#This Row],[LAVAMANOS / LAVAPLATOS / LAVADERO]])</f>
        <v>0</v>
      </c>
      <c r="BR574" s="3">
        <f>+IF(AVANCE[[#This Row],[CANALIZACIÓN]]=AC$2,100%,AVANCE[[#This Row],[CANALIZACIÓN]])</f>
        <v>0</v>
      </c>
      <c r="BS574" s="3">
        <f>+IF(AVANCE[[#This Row],[CABLEADO]]=AD$2,100%,AVANCE[[#This Row],[CABLEADO]])</f>
        <v>0</v>
      </c>
      <c r="BT574" s="3">
        <f>+IF(AVANCE[[#This Row],[ARTEFACTOS]]=AE$2,100%,AVANCE[[#This Row],[ARTEFACTOS]])</f>
        <v>0</v>
      </c>
      <c r="BU574" s="3">
        <f>+IF(AVANCE[[#This Row],[TABLERO]]=AF$2,100%,AVANCE[[#This Row],[TABLERO]])</f>
        <v>0</v>
      </c>
      <c r="BV574" s="3">
        <f>+IF(AVANCE[[#This Row],[CAJA PAU]]=AG$2,100%,AVANCE[[#This Row],[CAJA PAU]])</f>
        <v>0</v>
      </c>
      <c r="BW574" s="3">
        <f>+IF(AVANCE[[#This Row],[INSTALACION VINILICO]]=AJ$2,100%,AVANCE[[#This Row],[INSTALACION VINILICO]])</f>
        <v>0</v>
      </c>
      <c r="BX574" s="3">
        <f>+IF(AVANCE[[#This Row],[OSB CUBIERTA]]=AK$2,100%,AVANCE[[#This Row],[OSB CUBIERTA]])</f>
        <v>0</v>
      </c>
      <c r="BY574" s="3">
        <f>+IF(AVANCE[[#This Row],[BARANDA BALCON]]=AL$2,100%,AVANCE[[#This Row],[BARANDA BALCON]])</f>
        <v>0</v>
      </c>
      <c r="BZ574" s="3">
        <f>+IF(AVANCE[[#This Row],[OSB EXTERIOR]]=AM$2,100%,AVANCE[[#This Row],[OSB EXTERIOR]])</f>
        <v>0</v>
      </c>
      <c r="CA574" s="3">
        <f>+IF(AVANCE[[#This Row],[SMART PANEL]]=AN$2,100%,AVANCE[[#This Row],[SMART PANEL]])</f>
        <v>0</v>
      </c>
      <c r="CB574" s="3">
        <f>+IF(AVANCE[[#This Row],[PINTURA EXTERIOR]]=AO$2,100%,AVANCE[[#This Row],[PINTURA EXTERIOR]])</f>
        <v>0</v>
      </c>
      <c r="CC574" s="3">
        <f>+IF(AVANCE[[#This Row],[ZOCALOS LOGIA]]=AP$2,100%,AVANCE[[#This Row],[ZOCALOS LOGIA]])</f>
        <v>0</v>
      </c>
      <c r="CD574" s="3">
        <f>+IF(AVANCE[[#This Row],[MOLDURAS]]=AQ$2,100%,AVANCE[[#This Row],[MOLDURAS]])</f>
        <v>0</v>
      </c>
      <c r="CE574" s="3">
        <f>+IF(AVANCE[[#This Row],[PILASTREO]]=AR$2,100%,AVANCE[[#This Row],[PILASTREO]])</f>
        <v>0</v>
      </c>
      <c r="CF574" s="3">
        <f>+IF(AVANCE[[#This Row],[CELOSIAS]]=AS$2,100%,AVANCE[[#This Row],[CELOSIAS]])</f>
        <v>0</v>
      </c>
      <c r="CG574" s="3">
        <f>+IF(AVANCE[[#This Row],[VENTANAS]]=AT$2,100%,AVANCE[[#This Row],[VENTANAS]])</f>
        <v>0</v>
      </c>
      <c r="CH574" s="3">
        <f>+IF(AVANCE[[#This Row],[PUERTAS ACCESO - LOGIA - BANO]]=AU$2,100%,AVANCE[[#This Row],[PUERTAS ACCESO - LOGIA - BANO]])</f>
        <v>0</v>
      </c>
      <c r="CI574" s="3">
        <f>+IF(AVANCE[[#This Row],[CERRADURAS]]=AV$2,100%,AVANCE[[#This Row],[CERRADURAS]])</f>
        <v>0</v>
      </c>
      <c r="CJ574" s="3">
        <f>+IF(AVANCE[[#This Row],[REVESTIMIENTO INTERIOR ZONA SECA]]=AW$2,100%,AVANCE[[#This Row],[REVESTIMIENTO INTERIOR ZONA SECA]])</f>
        <v>0</v>
      </c>
      <c r="CK574" s="3">
        <f>+IF(AVANCE[[#This Row],[REVESTIMIENTO INTERIOR ZONAS HUMEDAS]]=AX$2,100%,AVANCE[[#This Row],[REVESTIMIENTO INTERIOR ZONAS HUMEDAS]])</f>
        <v>0</v>
      </c>
      <c r="CL574" s="3">
        <f>+IF(AVANCE[[#This Row],[MEMBRANA CIELO]]=AY$2,100%,AVANCE[[#This Row],[MEMBRANA CIELO]])</f>
        <v>0</v>
      </c>
      <c r="CM574" s="3">
        <f>+IF(AVANCE[[#This Row],[LIMPIEZA FINAL]]=AZ$2,100%,AVANCE[[#This Row],[LIMPIEZA FINAL]])</f>
        <v>0</v>
      </c>
      <c r="CN574" s="3">
        <f>+IF(AVANCE[[#This Row],[PUERTAS DORMITORIO]]=BA$2,100%,AVANCE[[#This Row],[PUERTAS DORMITORIO]])</f>
        <v>0</v>
      </c>
      <c r="CO574" s="3">
        <f>+IF(AVANCE[[#This Row],[REVESTIMIENTO INTERIOR BANO]]=BB$2,100%,AVANCE[[#This Row],[REVESTIMIENTO INTERIOR BANO]])</f>
        <v>0</v>
      </c>
      <c r="CP574" s="3">
        <f>+IF(AVANCE[[#This Row],[MUEBLE LAVAPLATOS]]=BC$2,100%,AVANCE[[#This Row],[MUEBLE LAVAPLATOS]])</f>
        <v>0</v>
      </c>
      <c r="CQ574" s="3">
        <f>+IF(AVANCE[[#This Row],[IMPERMEABILIZACION BANO - COCINA LOGIA]]=BD$2,100%,AVANCE[[#This Row],[IMPERMEABILIZACION BANO - COCINA LOGIA]])</f>
        <v>0</v>
      </c>
      <c r="CR574" s="40">
        <f ca="1">+IF(AVANCE[[#This Row],[ESTADO MODULO]]="PENDIENTE",(TODAY()-AVANCE[[#This Row],[FECHA TERMINO  PLANIFICADO]]),0)</f>
        <v>0</v>
      </c>
      <c r="CS574" s="42" t="str" cm="1">
        <f t="array" ref="CS574">_xlfn.TEXTJOIN(" | ",TRUE,IF(SUMPRODUCT((BF574:CQ574&lt;1)*(PARTIDAS!$I$2:$AT$2="OBRA GRUESA"))&gt;0,"OBRA GRUESA: "&amp;_xlfn.TEXTJOIN(", ",TRUE,IF((BF574:CQ574&lt;1)*(PARTIDAS!$I$2:$AT$2="OBRA GRUESA"),PARTIDAS!$I$1:$AT$1,"")),""),IF(SUMPRODUCT((BF574:CQ574&lt;1)*(PARTIDAS!$I$2:$AT$2="SANITARIOS"))&gt;0,"SANITARIOS: "&amp;_xlfn.TEXTJOIN(", ",TRUE,IF((BF574:CQ574&lt;1)*(PARTIDAS!$I$2:$AT$2="SANITARIOS"),PARTIDAS!$I$1:$AT$1,"")),""),IF(SUMPRODUCT((BF574:CQ574&lt;1)*(PARTIDAS!$I$2:$AT$2="ELÉCTRICO"))&gt;0,"ELÉCTRICO: "&amp;_xlfn.TEXTJOIN(", ",TRUE,IF((BF574:CQ574&lt;1)*(PARTIDAS!$I$2:$AT$2="ELÉCTRICO"),PARTIDAS!$I$1:$AT$1,"")),""),IF(SUMPRODUCT((BF574:CQ574&lt;1)*(PARTIDAS!$I$2:$AT$2="TERMINACIONES"))&gt;0,"TERMINACIONES: "&amp;_xlfn.TEXTJOIN(", ",TRUE,IF((BF574:CQ574&lt;1)*(PARTIDAS!$I$2:$AT$2="TERMINACIONES"),PARTIDAS!$I$1:$AT$1,"")),""))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4" s="45" t="str" cm="1">
        <f t="array" ref="CT574">_xlfn.TEXTJOIN(", ",TRUE,IF(SUMPRODUCT((BF574:CQ574&lt;1)*(PARTIDAS!$I$2:$AT$2="OBRA GRUESA"))&gt;0,"OBRA GRUESA",""),IF(SUMPRODUCT((BF574:CQ574&lt;1)*(PARTIDAS!$I$2:$AT$2="SANITARIOS"))&gt;0,"SANITARIOS",""),IF(SUMPRODUCT((BF574:CQ574&lt;1)*(PARTIDAS!$I$2:$AT$2="ELÉCTRICO"))&gt;0,"ELÉCTRICO",""),IF(SUMPRODUCT((BF574:CQ574&lt;1)*(PARTIDAS!$I$2:$AT$2="TERMINACIONES"))&gt;0,"TERMINACIONES",""))</f>
        <v>OBRA GRUESA, SANITARIOS, ELÉCTRICO, TERMINACIONES</v>
      </c>
      <c r="CU574" s="46" cm="1">
        <f t="array" ref="CU574">SUMPRODUCT(--(BF574:CQ574&lt;1))</f>
        <v>38</v>
      </c>
    </row>
    <row r="575" spans="1:99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46181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 s="3" t="str">
        <f>+IF(AVANCE[[#This Row],[% AVANCE]]=100%,"MODULO TERMINADO",IF(AVANCE[[#This Row],[FECHA INICIO REAL]]="","MODULO NO INICIADO","PENDIENTE"))</f>
        <v>MODULO NO INICIADO</v>
      </c>
      <c r="BF575" s="3">
        <f>+IF(AVANCE[[#This Row],[VENTANAS]]=8.10810810810811%,100%,AVANCE[[#This Row],[VENTANAS]])</f>
        <v>0</v>
      </c>
      <c r="BG575" s="3">
        <f>+IF(AVANCE[[#This Row],[PISO]]=N$2,100%,AVANCE[[#This Row],[PISO]])</f>
        <v>0</v>
      </c>
      <c r="BH575" s="3">
        <f>+IF(AVANCE[[#This Row],[TABIQUES]]=O$2,100%,AVANCE[[#This Row],[TABIQUES]])</f>
        <v>0</v>
      </c>
      <c r="BI575" s="3">
        <f>+IF(AVANCE[[#This Row],[MUROS]]=P$2,100%,AVANCE[[#This Row],[MUROS]])</f>
        <v>0</v>
      </c>
      <c r="BJ575" s="3">
        <f>+IF(AVANCE[[#This Row],[CIELO]]=Q$2,100%,AVANCE[[#This Row],[CIELO]])</f>
        <v>0</v>
      </c>
      <c r="BK575" s="3">
        <f>+IF(AVANCE[[#This Row],[BALCÓN]]=R$2,100%,AVANCE[[#This Row],[BALCÓN]])</f>
        <v>0</v>
      </c>
      <c r="BL575" s="3">
        <f>+IF(AVANCE[[#This Row],[RED ALCANTARILLADO]]=U$2,100%,AVANCE[[#This Row],[RED ALCANTARILLADO]])</f>
        <v>0</v>
      </c>
      <c r="BM575" s="3">
        <f>+IF(AVANCE[[#This Row],[RED DE AGUA]]=V$2,100%,AVANCE[[#This Row],[RED DE AGUA]])</f>
        <v>0</v>
      </c>
      <c r="BN575" s="3">
        <f>+IF(AVANCE[[#This Row],[VENTILACIONES]]=W$2,100%,AVANCE[[#This Row],[VENTILACIONES]])</f>
        <v>0</v>
      </c>
      <c r="BO575" s="3">
        <f>+IF(AVANCE[[#This Row],[TINA]]=X$2,100%,AVANCE[[#This Row],[TINA]])</f>
        <v>0</v>
      </c>
      <c r="BP575" s="3">
        <f>+IF(AVANCE[[#This Row],[WC]]=Y$2,100%,AVANCE[[#This Row],[WC]])</f>
        <v>0</v>
      </c>
      <c r="BQ575" s="3">
        <f>+IF(AVANCE[[#This Row],[LAVAMANOS / LAVAPLATOS / LAVADERO]]=Z$2,100%,AVANCE[[#This Row],[LAVAMANOS / LAVAPLATOS / LAVADERO]])</f>
        <v>0</v>
      </c>
      <c r="BR575" s="3">
        <f>+IF(AVANCE[[#This Row],[CANALIZACIÓN]]=AC$2,100%,AVANCE[[#This Row],[CANALIZACIÓN]])</f>
        <v>0</v>
      </c>
      <c r="BS575" s="3">
        <f>+IF(AVANCE[[#This Row],[CABLEADO]]=AD$2,100%,AVANCE[[#This Row],[CABLEADO]])</f>
        <v>0</v>
      </c>
      <c r="BT575" s="3">
        <f>+IF(AVANCE[[#This Row],[ARTEFACTOS]]=AE$2,100%,AVANCE[[#This Row],[ARTEFACTOS]])</f>
        <v>0</v>
      </c>
      <c r="BU575" s="3">
        <f>+IF(AVANCE[[#This Row],[TABLERO]]=AF$2,100%,AVANCE[[#This Row],[TABLERO]])</f>
        <v>0</v>
      </c>
      <c r="BV575" s="3">
        <f>+IF(AVANCE[[#This Row],[CAJA PAU]]=AG$2,100%,AVANCE[[#This Row],[CAJA PAU]])</f>
        <v>0</v>
      </c>
      <c r="BW575" s="3">
        <f>+IF(AVANCE[[#This Row],[INSTALACION VINILICO]]=AJ$2,100%,AVANCE[[#This Row],[INSTALACION VINILICO]])</f>
        <v>0</v>
      </c>
      <c r="BX575" s="3">
        <f>+IF(AVANCE[[#This Row],[OSB CUBIERTA]]=AK$2,100%,AVANCE[[#This Row],[OSB CUBIERTA]])</f>
        <v>0</v>
      </c>
      <c r="BY575" s="3">
        <f>+IF(AVANCE[[#This Row],[BARANDA BALCON]]=AL$2,100%,AVANCE[[#This Row],[BARANDA BALCON]])</f>
        <v>0</v>
      </c>
      <c r="BZ575" s="3">
        <f>+IF(AVANCE[[#This Row],[OSB EXTERIOR]]=AM$2,100%,AVANCE[[#This Row],[OSB EXTERIOR]])</f>
        <v>0</v>
      </c>
      <c r="CA575" s="3">
        <f>+IF(AVANCE[[#This Row],[SMART PANEL]]=AN$2,100%,AVANCE[[#This Row],[SMART PANEL]])</f>
        <v>0</v>
      </c>
      <c r="CB575" s="3">
        <f>+IF(AVANCE[[#This Row],[PINTURA EXTERIOR]]=AO$2,100%,AVANCE[[#This Row],[PINTURA EXTERIOR]])</f>
        <v>0</v>
      </c>
      <c r="CC575" s="3">
        <f>+IF(AVANCE[[#This Row],[ZOCALOS LOGIA]]=AP$2,100%,AVANCE[[#This Row],[ZOCALOS LOGIA]])</f>
        <v>0</v>
      </c>
      <c r="CD575" s="3">
        <f>+IF(AVANCE[[#This Row],[MOLDURAS]]=AQ$2,100%,AVANCE[[#This Row],[MOLDURAS]])</f>
        <v>0</v>
      </c>
      <c r="CE575" s="3">
        <f>+IF(AVANCE[[#This Row],[PILASTREO]]=AR$2,100%,AVANCE[[#This Row],[PILASTREO]])</f>
        <v>0</v>
      </c>
      <c r="CF575" s="3">
        <f>+IF(AVANCE[[#This Row],[CELOSIAS]]=AS$2,100%,AVANCE[[#This Row],[CELOSIAS]])</f>
        <v>0</v>
      </c>
      <c r="CG575" s="3">
        <f>+IF(AVANCE[[#This Row],[VENTANAS]]=AT$2,100%,AVANCE[[#This Row],[VENTANAS]])</f>
        <v>0</v>
      </c>
      <c r="CH575" s="3">
        <f>+IF(AVANCE[[#This Row],[PUERTAS ACCESO - LOGIA - BANO]]=AU$2,100%,AVANCE[[#This Row],[PUERTAS ACCESO - LOGIA - BANO]])</f>
        <v>0</v>
      </c>
      <c r="CI575" s="3">
        <f>+IF(AVANCE[[#This Row],[CERRADURAS]]=AV$2,100%,AVANCE[[#This Row],[CERRADURAS]])</f>
        <v>0</v>
      </c>
      <c r="CJ575" s="3">
        <f>+IF(AVANCE[[#This Row],[REVESTIMIENTO INTERIOR ZONA SECA]]=AW$2,100%,AVANCE[[#This Row],[REVESTIMIENTO INTERIOR ZONA SECA]])</f>
        <v>0</v>
      </c>
      <c r="CK575" s="3">
        <f>+IF(AVANCE[[#This Row],[REVESTIMIENTO INTERIOR ZONAS HUMEDAS]]=AX$2,100%,AVANCE[[#This Row],[REVESTIMIENTO INTERIOR ZONAS HUMEDAS]])</f>
        <v>0</v>
      </c>
      <c r="CL575" s="3">
        <f>+IF(AVANCE[[#This Row],[MEMBRANA CIELO]]=AY$2,100%,AVANCE[[#This Row],[MEMBRANA CIELO]])</f>
        <v>0</v>
      </c>
      <c r="CM575" s="3">
        <f>+IF(AVANCE[[#This Row],[LIMPIEZA FINAL]]=AZ$2,100%,AVANCE[[#This Row],[LIMPIEZA FINAL]])</f>
        <v>0</v>
      </c>
      <c r="CN575" s="3">
        <f>+IF(AVANCE[[#This Row],[PUERTAS DORMITORIO]]=BA$2,100%,AVANCE[[#This Row],[PUERTAS DORMITORIO]])</f>
        <v>0</v>
      </c>
      <c r="CO575" s="3">
        <f>+IF(AVANCE[[#This Row],[REVESTIMIENTO INTERIOR BANO]]=BB$2,100%,AVANCE[[#This Row],[REVESTIMIENTO INTERIOR BANO]])</f>
        <v>0</v>
      </c>
      <c r="CP575" s="3">
        <f>+IF(AVANCE[[#This Row],[MUEBLE LAVAPLATOS]]=BC$2,100%,AVANCE[[#This Row],[MUEBLE LAVAPLATOS]])</f>
        <v>0</v>
      </c>
      <c r="CQ575" s="3">
        <f>+IF(AVANCE[[#This Row],[IMPERMEABILIZACION BANO - COCINA LOGIA]]=BD$2,100%,AVANCE[[#This Row],[IMPERMEABILIZACION BANO - COCINA LOGIA]])</f>
        <v>0</v>
      </c>
      <c r="CR575" s="40">
        <f ca="1">+IF(AVANCE[[#This Row],[ESTADO MODULO]]="PENDIENTE",(TODAY()-AVANCE[[#This Row],[FECHA TERMINO  PLANIFICADO]]),0)</f>
        <v>0</v>
      </c>
      <c r="CS575" s="42" t="str" cm="1">
        <f t="array" ref="CS575">_xlfn.TEXTJOIN(" | ",TRUE,IF(SUMPRODUCT((BF575:CQ575&lt;1)*(PARTIDAS!$I$2:$AT$2="OBRA GRUESA"))&gt;0,"OBRA GRUESA: "&amp;_xlfn.TEXTJOIN(", ",TRUE,IF((BF575:CQ575&lt;1)*(PARTIDAS!$I$2:$AT$2="OBRA GRUESA"),PARTIDAS!$I$1:$AT$1,"")),""),IF(SUMPRODUCT((BF575:CQ575&lt;1)*(PARTIDAS!$I$2:$AT$2="SANITARIOS"))&gt;0,"SANITARIOS: "&amp;_xlfn.TEXTJOIN(", ",TRUE,IF((BF575:CQ575&lt;1)*(PARTIDAS!$I$2:$AT$2="SANITARIOS"),PARTIDAS!$I$1:$AT$1,"")),""),IF(SUMPRODUCT((BF575:CQ575&lt;1)*(PARTIDAS!$I$2:$AT$2="ELÉCTRICO"))&gt;0,"ELÉCTRICO: "&amp;_xlfn.TEXTJOIN(", ",TRUE,IF((BF575:CQ575&lt;1)*(PARTIDAS!$I$2:$AT$2="ELÉCTRICO"),PARTIDAS!$I$1:$AT$1,"")),""),IF(SUMPRODUCT((BF575:CQ575&lt;1)*(PARTIDAS!$I$2:$AT$2="TERMINACIONES"))&gt;0,"TERMINACIONES: "&amp;_xlfn.TEXTJOIN(", ",TRUE,IF((BF575:CQ575&lt;1)*(PARTIDAS!$I$2:$AT$2="TERMINACIONES"),PARTIDAS!$I$1:$AT$1,"")),""))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5" s="45" t="str" cm="1">
        <f t="array" ref="CT575">_xlfn.TEXTJOIN(", ",TRUE,IF(SUMPRODUCT((BF575:CQ575&lt;1)*(PARTIDAS!$I$2:$AT$2="OBRA GRUESA"))&gt;0,"OBRA GRUESA",""),IF(SUMPRODUCT((BF575:CQ575&lt;1)*(PARTIDAS!$I$2:$AT$2="SANITARIOS"))&gt;0,"SANITARIOS",""),IF(SUMPRODUCT((BF575:CQ575&lt;1)*(PARTIDAS!$I$2:$AT$2="ELÉCTRICO"))&gt;0,"ELÉCTRICO",""),IF(SUMPRODUCT((BF575:CQ575&lt;1)*(PARTIDAS!$I$2:$AT$2="TERMINACIONES"))&gt;0,"TERMINACIONES",""))</f>
        <v>OBRA GRUESA, SANITARIOS, ELÉCTRICO, TERMINACIONES</v>
      </c>
      <c r="CU575" s="46" cm="1">
        <f t="array" ref="CU575">SUMPRODUCT(--(BF575:CQ575&lt;1))</f>
        <v>38</v>
      </c>
    </row>
    <row r="576" spans="1:99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46181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 s="3" t="str">
        <f>+IF(AVANCE[[#This Row],[% AVANCE]]=100%,"MODULO TERMINADO",IF(AVANCE[[#This Row],[FECHA INICIO REAL]]="","MODULO NO INICIADO","PENDIENTE"))</f>
        <v>MODULO NO INICIADO</v>
      </c>
      <c r="BF576" s="3">
        <f>+IF(AVANCE[[#This Row],[VENTANAS]]=8.10810810810811%,100%,AVANCE[[#This Row],[VENTANAS]])</f>
        <v>0</v>
      </c>
      <c r="BG576" s="3">
        <f>+IF(AVANCE[[#This Row],[PISO]]=N$2,100%,AVANCE[[#This Row],[PISO]])</f>
        <v>0</v>
      </c>
      <c r="BH576" s="3">
        <f>+IF(AVANCE[[#This Row],[TABIQUES]]=O$2,100%,AVANCE[[#This Row],[TABIQUES]])</f>
        <v>0</v>
      </c>
      <c r="BI576" s="3">
        <f>+IF(AVANCE[[#This Row],[MUROS]]=P$2,100%,AVANCE[[#This Row],[MUROS]])</f>
        <v>0</v>
      </c>
      <c r="BJ576" s="3">
        <f>+IF(AVANCE[[#This Row],[CIELO]]=Q$2,100%,AVANCE[[#This Row],[CIELO]])</f>
        <v>0</v>
      </c>
      <c r="BK576" s="3">
        <f>+IF(AVANCE[[#This Row],[BALCÓN]]=R$2,100%,AVANCE[[#This Row],[BALCÓN]])</f>
        <v>0</v>
      </c>
      <c r="BL576" s="3">
        <f>+IF(AVANCE[[#This Row],[RED ALCANTARILLADO]]=U$2,100%,AVANCE[[#This Row],[RED ALCANTARILLADO]])</f>
        <v>0</v>
      </c>
      <c r="BM576" s="3">
        <f>+IF(AVANCE[[#This Row],[RED DE AGUA]]=V$2,100%,AVANCE[[#This Row],[RED DE AGUA]])</f>
        <v>0</v>
      </c>
      <c r="BN576" s="3">
        <f>+IF(AVANCE[[#This Row],[VENTILACIONES]]=W$2,100%,AVANCE[[#This Row],[VENTILACIONES]])</f>
        <v>0</v>
      </c>
      <c r="BO576" s="3">
        <f>+IF(AVANCE[[#This Row],[TINA]]=X$2,100%,AVANCE[[#This Row],[TINA]])</f>
        <v>0</v>
      </c>
      <c r="BP576" s="3">
        <f>+IF(AVANCE[[#This Row],[WC]]=Y$2,100%,AVANCE[[#This Row],[WC]])</f>
        <v>0</v>
      </c>
      <c r="BQ576" s="3">
        <f>+IF(AVANCE[[#This Row],[LAVAMANOS / LAVAPLATOS / LAVADERO]]=Z$2,100%,AVANCE[[#This Row],[LAVAMANOS / LAVAPLATOS / LAVADERO]])</f>
        <v>0</v>
      </c>
      <c r="BR576" s="3">
        <f>+IF(AVANCE[[#This Row],[CANALIZACIÓN]]=AC$2,100%,AVANCE[[#This Row],[CANALIZACIÓN]])</f>
        <v>0</v>
      </c>
      <c r="BS576" s="3">
        <f>+IF(AVANCE[[#This Row],[CABLEADO]]=AD$2,100%,AVANCE[[#This Row],[CABLEADO]])</f>
        <v>0</v>
      </c>
      <c r="BT576" s="3">
        <f>+IF(AVANCE[[#This Row],[ARTEFACTOS]]=AE$2,100%,AVANCE[[#This Row],[ARTEFACTOS]])</f>
        <v>0</v>
      </c>
      <c r="BU576" s="3">
        <f>+IF(AVANCE[[#This Row],[TABLERO]]=AF$2,100%,AVANCE[[#This Row],[TABLERO]])</f>
        <v>0</v>
      </c>
      <c r="BV576" s="3">
        <f>+IF(AVANCE[[#This Row],[CAJA PAU]]=AG$2,100%,AVANCE[[#This Row],[CAJA PAU]])</f>
        <v>0</v>
      </c>
      <c r="BW576" s="3">
        <f>+IF(AVANCE[[#This Row],[INSTALACION VINILICO]]=AJ$2,100%,AVANCE[[#This Row],[INSTALACION VINILICO]])</f>
        <v>0</v>
      </c>
      <c r="BX576" s="3">
        <f>+IF(AVANCE[[#This Row],[OSB CUBIERTA]]=AK$2,100%,AVANCE[[#This Row],[OSB CUBIERTA]])</f>
        <v>0</v>
      </c>
      <c r="BY576" s="3">
        <f>+IF(AVANCE[[#This Row],[BARANDA BALCON]]=AL$2,100%,AVANCE[[#This Row],[BARANDA BALCON]])</f>
        <v>0</v>
      </c>
      <c r="BZ576" s="3">
        <f>+IF(AVANCE[[#This Row],[OSB EXTERIOR]]=AM$2,100%,AVANCE[[#This Row],[OSB EXTERIOR]])</f>
        <v>0</v>
      </c>
      <c r="CA576" s="3">
        <f>+IF(AVANCE[[#This Row],[SMART PANEL]]=AN$2,100%,AVANCE[[#This Row],[SMART PANEL]])</f>
        <v>0</v>
      </c>
      <c r="CB576" s="3">
        <f>+IF(AVANCE[[#This Row],[PINTURA EXTERIOR]]=AO$2,100%,AVANCE[[#This Row],[PINTURA EXTERIOR]])</f>
        <v>0</v>
      </c>
      <c r="CC576" s="3">
        <f>+IF(AVANCE[[#This Row],[ZOCALOS LOGIA]]=AP$2,100%,AVANCE[[#This Row],[ZOCALOS LOGIA]])</f>
        <v>0</v>
      </c>
      <c r="CD576" s="3">
        <f>+IF(AVANCE[[#This Row],[MOLDURAS]]=AQ$2,100%,AVANCE[[#This Row],[MOLDURAS]])</f>
        <v>0</v>
      </c>
      <c r="CE576" s="3">
        <f>+IF(AVANCE[[#This Row],[PILASTREO]]=AR$2,100%,AVANCE[[#This Row],[PILASTREO]])</f>
        <v>0</v>
      </c>
      <c r="CF576" s="3">
        <f>+IF(AVANCE[[#This Row],[CELOSIAS]]=AS$2,100%,AVANCE[[#This Row],[CELOSIAS]])</f>
        <v>0</v>
      </c>
      <c r="CG576" s="3">
        <f>+IF(AVANCE[[#This Row],[VENTANAS]]=AT$2,100%,AVANCE[[#This Row],[VENTANAS]])</f>
        <v>0</v>
      </c>
      <c r="CH576" s="3">
        <f>+IF(AVANCE[[#This Row],[PUERTAS ACCESO - LOGIA - BANO]]=AU$2,100%,AVANCE[[#This Row],[PUERTAS ACCESO - LOGIA - BANO]])</f>
        <v>0</v>
      </c>
      <c r="CI576" s="3">
        <f>+IF(AVANCE[[#This Row],[CERRADURAS]]=AV$2,100%,AVANCE[[#This Row],[CERRADURAS]])</f>
        <v>0</v>
      </c>
      <c r="CJ576" s="3">
        <f>+IF(AVANCE[[#This Row],[REVESTIMIENTO INTERIOR ZONA SECA]]=AW$2,100%,AVANCE[[#This Row],[REVESTIMIENTO INTERIOR ZONA SECA]])</f>
        <v>0</v>
      </c>
      <c r="CK576" s="3">
        <f>+IF(AVANCE[[#This Row],[REVESTIMIENTO INTERIOR ZONAS HUMEDAS]]=AX$2,100%,AVANCE[[#This Row],[REVESTIMIENTO INTERIOR ZONAS HUMEDAS]])</f>
        <v>0</v>
      </c>
      <c r="CL576" s="3">
        <f>+IF(AVANCE[[#This Row],[MEMBRANA CIELO]]=AY$2,100%,AVANCE[[#This Row],[MEMBRANA CIELO]])</f>
        <v>0</v>
      </c>
      <c r="CM576" s="3">
        <f>+IF(AVANCE[[#This Row],[LIMPIEZA FINAL]]=AZ$2,100%,AVANCE[[#This Row],[LIMPIEZA FINAL]])</f>
        <v>0</v>
      </c>
      <c r="CN576" s="3">
        <f>+IF(AVANCE[[#This Row],[PUERTAS DORMITORIO]]=BA$2,100%,AVANCE[[#This Row],[PUERTAS DORMITORIO]])</f>
        <v>0</v>
      </c>
      <c r="CO576" s="3">
        <f>+IF(AVANCE[[#This Row],[REVESTIMIENTO INTERIOR BANO]]=BB$2,100%,AVANCE[[#This Row],[REVESTIMIENTO INTERIOR BANO]])</f>
        <v>0</v>
      </c>
      <c r="CP576" s="3">
        <f>+IF(AVANCE[[#This Row],[MUEBLE LAVAPLATOS]]=BC$2,100%,AVANCE[[#This Row],[MUEBLE LAVAPLATOS]])</f>
        <v>0</v>
      </c>
      <c r="CQ576" s="3">
        <f>+IF(AVANCE[[#This Row],[IMPERMEABILIZACION BANO - COCINA LOGIA]]=BD$2,100%,AVANCE[[#This Row],[IMPERMEABILIZACION BANO - COCINA LOGIA]])</f>
        <v>0</v>
      </c>
      <c r="CR576" s="40">
        <f ca="1">+IF(AVANCE[[#This Row],[ESTADO MODULO]]="PENDIENTE",(TODAY()-AVANCE[[#This Row],[FECHA TERMINO  PLANIFICADO]]),0)</f>
        <v>0</v>
      </c>
      <c r="CS576" s="42" t="str" cm="1">
        <f t="array" ref="CS576">_xlfn.TEXTJOIN(" | ",TRUE,IF(SUMPRODUCT((BF576:CQ576&lt;1)*(PARTIDAS!$I$2:$AT$2="OBRA GRUESA"))&gt;0,"OBRA GRUESA: "&amp;_xlfn.TEXTJOIN(", ",TRUE,IF((BF576:CQ576&lt;1)*(PARTIDAS!$I$2:$AT$2="OBRA GRUESA"),PARTIDAS!$I$1:$AT$1,"")),""),IF(SUMPRODUCT((BF576:CQ576&lt;1)*(PARTIDAS!$I$2:$AT$2="SANITARIOS"))&gt;0,"SANITARIOS: "&amp;_xlfn.TEXTJOIN(", ",TRUE,IF((BF576:CQ576&lt;1)*(PARTIDAS!$I$2:$AT$2="SANITARIOS"),PARTIDAS!$I$1:$AT$1,"")),""),IF(SUMPRODUCT((BF576:CQ576&lt;1)*(PARTIDAS!$I$2:$AT$2="ELÉCTRICO"))&gt;0,"ELÉCTRICO: "&amp;_xlfn.TEXTJOIN(", ",TRUE,IF((BF576:CQ576&lt;1)*(PARTIDAS!$I$2:$AT$2="ELÉCTRICO"),PARTIDAS!$I$1:$AT$1,"")),""),IF(SUMPRODUCT((BF576:CQ576&lt;1)*(PARTIDAS!$I$2:$AT$2="TERMINACIONES"))&gt;0,"TERMINACIONES: "&amp;_xlfn.TEXTJOIN(", ",TRUE,IF((BF576:CQ576&lt;1)*(PARTIDAS!$I$2:$AT$2="TERMINACIONES"),PARTIDAS!$I$1:$AT$1,"")),""))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6" s="45" t="str" cm="1">
        <f t="array" ref="CT576">_xlfn.TEXTJOIN(", ",TRUE,IF(SUMPRODUCT((BF576:CQ576&lt;1)*(PARTIDAS!$I$2:$AT$2="OBRA GRUESA"))&gt;0,"OBRA GRUESA",""),IF(SUMPRODUCT((BF576:CQ576&lt;1)*(PARTIDAS!$I$2:$AT$2="SANITARIOS"))&gt;0,"SANITARIOS",""),IF(SUMPRODUCT((BF576:CQ576&lt;1)*(PARTIDAS!$I$2:$AT$2="ELÉCTRICO"))&gt;0,"ELÉCTRICO",""),IF(SUMPRODUCT((BF576:CQ576&lt;1)*(PARTIDAS!$I$2:$AT$2="TERMINACIONES"))&gt;0,"TERMINACIONES",""))</f>
        <v>OBRA GRUESA, SANITARIOS, ELÉCTRICO, TERMINACIONES</v>
      </c>
      <c r="CU576" s="46" cm="1">
        <f t="array" ref="CU576">SUMPRODUCT(--(BF576:CQ576&lt;1))</f>
        <v>38</v>
      </c>
    </row>
    <row r="577" spans="1:99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46181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 s="3" t="str">
        <f>+IF(AVANCE[[#This Row],[% AVANCE]]=100%,"MODULO TERMINADO",IF(AVANCE[[#This Row],[FECHA INICIO REAL]]="","MODULO NO INICIADO","PENDIENTE"))</f>
        <v>MODULO NO INICIADO</v>
      </c>
      <c r="BF577" s="3">
        <f>+IF(AVANCE[[#This Row],[VENTANAS]]=8.10810810810811%,100%,AVANCE[[#This Row],[VENTANAS]])</f>
        <v>0</v>
      </c>
      <c r="BG577" s="3">
        <f>+IF(AVANCE[[#This Row],[PISO]]=N$2,100%,AVANCE[[#This Row],[PISO]])</f>
        <v>0</v>
      </c>
      <c r="BH577" s="3">
        <f>+IF(AVANCE[[#This Row],[TABIQUES]]=O$2,100%,AVANCE[[#This Row],[TABIQUES]])</f>
        <v>0</v>
      </c>
      <c r="BI577" s="3">
        <f>+IF(AVANCE[[#This Row],[MUROS]]=P$2,100%,AVANCE[[#This Row],[MUROS]])</f>
        <v>0</v>
      </c>
      <c r="BJ577" s="3">
        <f>+IF(AVANCE[[#This Row],[CIELO]]=Q$2,100%,AVANCE[[#This Row],[CIELO]])</f>
        <v>0</v>
      </c>
      <c r="BK577" s="3">
        <f>+IF(AVANCE[[#This Row],[BALCÓN]]=R$2,100%,AVANCE[[#This Row],[BALCÓN]])</f>
        <v>0</v>
      </c>
      <c r="BL577" s="3">
        <f>+IF(AVANCE[[#This Row],[RED ALCANTARILLADO]]=U$2,100%,AVANCE[[#This Row],[RED ALCANTARILLADO]])</f>
        <v>0</v>
      </c>
      <c r="BM577" s="3">
        <f>+IF(AVANCE[[#This Row],[RED DE AGUA]]=V$2,100%,AVANCE[[#This Row],[RED DE AGUA]])</f>
        <v>0</v>
      </c>
      <c r="BN577" s="3">
        <f>+IF(AVANCE[[#This Row],[VENTILACIONES]]=W$2,100%,AVANCE[[#This Row],[VENTILACIONES]])</f>
        <v>0</v>
      </c>
      <c r="BO577" s="3">
        <f>+IF(AVANCE[[#This Row],[TINA]]=X$2,100%,AVANCE[[#This Row],[TINA]])</f>
        <v>0</v>
      </c>
      <c r="BP577" s="3">
        <f>+IF(AVANCE[[#This Row],[WC]]=Y$2,100%,AVANCE[[#This Row],[WC]])</f>
        <v>0</v>
      </c>
      <c r="BQ577" s="3">
        <f>+IF(AVANCE[[#This Row],[LAVAMANOS / LAVAPLATOS / LAVADERO]]=Z$2,100%,AVANCE[[#This Row],[LAVAMANOS / LAVAPLATOS / LAVADERO]])</f>
        <v>0</v>
      </c>
      <c r="BR577" s="3">
        <f>+IF(AVANCE[[#This Row],[CANALIZACIÓN]]=AC$2,100%,AVANCE[[#This Row],[CANALIZACIÓN]])</f>
        <v>0</v>
      </c>
      <c r="BS577" s="3">
        <f>+IF(AVANCE[[#This Row],[CABLEADO]]=AD$2,100%,AVANCE[[#This Row],[CABLEADO]])</f>
        <v>0</v>
      </c>
      <c r="BT577" s="3">
        <f>+IF(AVANCE[[#This Row],[ARTEFACTOS]]=AE$2,100%,AVANCE[[#This Row],[ARTEFACTOS]])</f>
        <v>0</v>
      </c>
      <c r="BU577" s="3">
        <f>+IF(AVANCE[[#This Row],[TABLERO]]=AF$2,100%,AVANCE[[#This Row],[TABLERO]])</f>
        <v>0</v>
      </c>
      <c r="BV577" s="3">
        <f>+IF(AVANCE[[#This Row],[CAJA PAU]]=AG$2,100%,AVANCE[[#This Row],[CAJA PAU]])</f>
        <v>0</v>
      </c>
      <c r="BW577" s="3">
        <f>+IF(AVANCE[[#This Row],[INSTALACION VINILICO]]=AJ$2,100%,AVANCE[[#This Row],[INSTALACION VINILICO]])</f>
        <v>0</v>
      </c>
      <c r="BX577" s="3">
        <f>+IF(AVANCE[[#This Row],[OSB CUBIERTA]]=AK$2,100%,AVANCE[[#This Row],[OSB CUBIERTA]])</f>
        <v>0</v>
      </c>
      <c r="BY577" s="3">
        <f>+IF(AVANCE[[#This Row],[BARANDA BALCON]]=AL$2,100%,AVANCE[[#This Row],[BARANDA BALCON]])</f>
        <v>0</v>
      </c>
      <c r="BZ577" s="3">
        <f>+IF(AVANCE[[#This Row],[OSB EXTERIOR]]=AM$2,100%,AVANCE[[#This Row],[OSB EXTERIOR]])</f>
        <v>0</v>
      </c>
      <c r="CA577" s="3">
        <f>+IF(AVANCE[[#This Row],[SMART PANEL]]=AN$2,100%,AVANCE[[#This Row],[SMART PANEL]])</f>
        <v>0</v>
      </c>
      <c r="CB577" s="3">
        <f>+IF(AVANCE[[#This Row],[PINTURA EXTERIOR]]=AO$2,100%,AVANCE[[#This Row],[PINTURA EXTERIOR]])</f>
        <v>0</v>
      </c>
      <c r="CC577" s="3">
        <f>+IF(AVANCE[[#This Row],[ZOCALOS LOGIA]]=AP$2,100%,AVANCE[[#This Row],[ZOCALOS LOGIA]])</f>
        <v>0</v>
      </c>
      <c r="CD577" s="3">
        <f>+IF(AVANCE[[#This Row],[MOLDURAS]]=AQ$2,100%,AVANCE[[#This Row],[MOLDURAS]])</f>
        <v>0</v>
      </c>
      <c r="CE577" s="3">
        <f>+IF(AVANCE[[#This Row],[PILASTREO]]=AR$2,100%,AVANCE[[#This Row],[PILASTREO]])</f>
        <v>0</v>
      </c>
      <c r="CF577" s="3">
        <f>+IF(AVANCE[[#This Row],[CELOSIAS]]=AS$2,100%,AVANCE[[#This Row],[CELOSIAS]])</f>
        <v>0</v>
      </c>
      <c r="CG577" s="3">
        <f>+IF(AVANCE[[#This Row],[VENTANAS]]=AT$2,100%,AVANCE[[#This Row],[VENTANAS]])</f>
        <v>0</v>
      </c>
      <c r="CH577" s="3">
        <f>+IF(AVANCE[[#This Row],[PUERTAS ACCESO - LOGIA - BANO]]=AU$2,100%,AVANCE[[#This Row],[PUERTAS ACCESO - LOGIA - BANO]])</f>
        <v>0</v>
      </c>
      <c r="CI577" s="3">
        <f>+IF(AVANCE[[#This Row],[CERRADURAS]]=AV$2,100%,AVANCE[[#This Row],[CERRADURAS]])</f>
        <v>0</v>
      </c>
      <c r="CJ577" s="3">
        <f>+IF(AVANCE[[#This Row],[REVESTIMIENTO INTERIOR ZONA SECA]]=AW$2,100%,AVANCE[[#This Row],[REVESTIMIENTO INTERIOR ZONA SECA]])</f>
        <v>0</v>
      </c>
      <c r="CK577" s="3">
        <f>+IF(AVANCE[[#This Row],[REVESTIMIENTO INTERIOR ZONAS HUMEDAS]]=AX$2,100%,AVANCE[[#This Row],[REVESTIMIENTO INTERIOR ZONAS HUMEDAS]])</f>
        <v>0</v>
      </c>
      <c r="CL577" s="3">
        <f>+IF(AVANCE[[#This Row],[MEMBRANA CIELO]]=AY$2,100%,AVANCE[[#This Row],[MEMBRANA CIELO]])</f>
        <v>0</v>
      </c>
      <c r="CM577" s="3">
        <f>+IF(AVANCE[[#This Row],[LIMPIEZA FINAL]]=AZ$2,100%,AVANCE[[#This Row],[LIMPIEZA FINAL]])</f>
        <v>0</v>
      </c>
      <c r="CN577" s="3">
        <f>+IF(AVANCE[[#This Row],[PUERTAS DORMITORIO]]=BA$2,100%,AVANCE[[#This Row],[PUERTAS DORMITORIO]])</f>
        <v>0</v>
      </c>
      <c r="CO577" s="3">
        <f>+IF(AVANCE[[#This Row],[REVESTIMIENTO INTERIOR BANO]]=BB$2,100%,AVANCE[[#This Row],[REVESTIMIENTO INTERIOR BANO]])</f>
        <v>0</v>
      </c>
      <c r="CP577" s="3">
        <f>+IF(AVANCE[[#This Row],[MUEBLE LAVAPLATOS]]=BC$2,100%,AVANCE[[#This Row],[MUEBLE LAVAPLATOS]])</f>
        <v>0</v>
      </c>
      <c r="CQ577" s="3">
        <f>+IF(AVANCE[[#This Row],[IMPERMEABILIZACION BANO - COCINA LOGIA]]=BD$2,100%,AVANCE[[#This Row],[IMPERMEABILIZACION BANO - COCINA LOGIA]])</f>
        <v>0</v>
      </c>
      <c r="CR577" s="40">
        <f ca="1">+IF(AVANCE[[#This Row],[ESTADO MODULO]]="PENDIENTE",(TODAY()-AVANCE[[#This Row],[FECHA TERMINO  PLANIFICADO]]),0)</f>
        <v>0</v>
      </c>
      <c r="CS577" s="42" t="str" cm="1">
        <f t="array" ref="CS577">_xlfn.TEXTJOIN(" | ",TRUE,IF(SUMPRODUCT((BF577:CQ577&lt;1)*(PARTIDAS!$I$2:$AT$2="OBRA GRUESA"))&gt;0,"OBRA GRUESA: "&amp;_xlfn.TEXTJOIN(", ",TRUE,IF((BF577:CQ577&lt;1)*(PARTIDAS!$I$2:$AT$2="OBRA GRUESA"),PARTIDAS!$I$1:$AT$1,"")),""),IF(SUMPRODUCT((BF577:CQ577&lt;1)*(PARTIDAS!$I$2:$AT$2="SANITARIOS"))&gt;0,"SANITARIOS: "&amp;_xlfn.TEXTJOIN(", ",TRUE,IF((BF577:CQ577&lt;1)*(PARTIDAS!$I$2:$AT$2="SANITARIOS"),PARTIDAS!$I$1:$AT$1,"")),""),IF(SUMPRODUCT((BF577:CQ577&lt;1)*(PARTIDAS!$I$2:$AT$2="ELÉCTRICO"))&gt;0,"ELÉCTRICO: "&amp;_xlfn.TEXTJOIN(", ",TRUE,IF((BF577:CQ577&lt;1)*(PARTIDAS!$I$2:$AT$2="ELÉCTRICO"),PARTIDAS!$I$1:$AT$1,"")),""),IF(SUMPRODUCT((BF577:CQ577&lt;1)*(PARTIDAS!$I$2:$AT$2="TERMINACIONES"))&gt;0,"TERMINACIONES: "&amp;_xlfn.TEXTJOIN(", ",TRUE,IF((BF577:CQ577&lt;1)*(PARTIDAS!$I$2:$AT$2="TERMINACIONES"),PARTIDAS!$I$1:$AT$1,"")),""))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7" s="45" t="str" cm="1">
        <f t="array" ref="CT577">_xlfn.TEXTJOIN(", ",TRUE,IF(SUMPRODUCT((BF577:CQ577&lt;1)*(PARTIDAS!$I$2:$AT$2="OBRA GRUESA"))&gt;0,"OBRA GRUESA",""),IF(SUMPRODUCT((BF577:CQ577&lt;1)*(PARTIDAS!$I$2:$AT$2="SANITARIOS"))&gt;0,"SANITARIOS",""),IF(SUMPRODUCT((BF577:CQ577&lt;1)*(PARTIDAS!$I$2:$AT$2="ELÉCTRICO"))&gt;0,"ELÉCTRICO",""),IF(SUMPRODUCT((BF577:CQ577&lt;1)*(PARTIDAS!$I$2:$AT$2="TERMINACIONES"))&gt;0,"TERMINACIONES",""))</f>
        <v>OBRA GRUESA, SANITARIOS, ELÉCTRICO, TERMINACIONES</v>
      </c>
      <c r="CU577" s="46" cm="1">
        <f t="array" ref="CU577">SUMPRODUCT(--(BF577:CQ577&lt;1))</f>
        <v>38</v>
      </c>
    </row>
    <row r="578" spans="1:99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46181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 s="3" t="str">
        <f>+IF(AVANCE[[#This Row],[% AVANCE]]=100%,"MODULO TERMINADO",IF(AVANCE[[#This Row],[FECHA INICIO REAL]]="","MODULO NO INICIADO","PENDIENTE"))</f>
        <v>MODULO NO INICIADO</v>
      </c>
      <c r="BF578" s="3">
        <f>+IF(AVANCE[[#This Row],[VENTANAS]]=8.10810810810811%,100%,AVANCE[[#This Row],[VENTANAS]])</f>
        <v>0</v>
      </c>
      <c r="BG578" s="3">
        <f>+IF(AVANCE[[#This Row],[PISO]]=N$2,100%,AVANCE[[#This Row],[PISO]])</f>
        <v>0</v>
      </c>
      <c r="BH578" s="3">
        <f>+IF(AVANCE[[#This Row],[TABIQUES]]=O$2,100%,AVANCE[[#This Row],[TABIQUES]])</f>
        <v>0</v>
      </c>
      <c r="BI578" s="3">
        <f>+IF(AVANCE[[#This Row],[MUROS]]=P$2,100%,AVANCE[[#This Row],[MUROS]])</f>
        <v>0</v>
      </c>
      <c r="BJ578" s="3">
        <f>+IF(AVANCE[[#This Row],[CIELO]]=Q$2,100%,AVANCE[[#This Row],[CIELO]])</f>
        <v>0</v>
      </c>
      <c r="BK578" s="3">
        <f>+IF(AVANCE[[#This Row],[BALCÓN]]=R$2,100%,AVANCE[[#This Row],[BALCÓN]])</f>
        <v>0</v>
      </c>
      <c r="BL578" s="3">
        <f>+IF(AVANCE[[#This Row],[RED ALCANTARILLADO]]=U$2,100%,AVANCE[[#This Row],[RED ALCANTARILLADO]])</f>
        <v>0</v>
      </c>
      <c r="BM578" s="3">
        <f>+IF(AVANCE[[#This Row],[RED DE AGUA]]=V$2,100%,AVANCE[[#This Row],[RED DE AGUA]])</f>
        <v>0</v>
      </c>
      <c r="BN578" s="3">
        <f>+IF(AVANCE[[#This Row],[VENTILACIONES]]=W$2,100%,AVANCE[[#This Row],[VENTILACIONES]])</f>
        <v>0</v>
      </c>
      <c r="BO578" s="3">
        <f>+IF(AVANCE[[#This Row],[TINA]]=X$2,100%,AVANCE[[#This Row],[TINA]])</f>
        <v>0</v>
      </c>
      <c r="BP578" s="3">
        <f>+IF(AVANCE[[#This Row],[WC]]=Y$2,100%,AVANCE[[#This Row],[WC]])</f>
        <v>0</v>
      </c>
      <c r="BQ578" s="3">
        <f>+IF(AVANCE[[#This Row],[LAVAMANOS / LAVAPLATOS / LAVADERO]]=Z$2,100%,AVANCE[[#This Row],[LAVAMANOS / LAVAPLATOS / LAVADERO]])</f>
        <v>0</v>
      </c>
      <c r="BR578" s="3">
        <f>+IF(AVANCE[[#This Row],[CANALIZACIÓN]]=AC$2,100%,AVANCE[[#This Row],[CANALIZACIÓN]])</f>
        <v>0</v>
      </c>
      <c r="BS578" s="3">
        <f>+IF(AVANCE[[#This Row],[CABLEADO]]=AD$2,100%,AVANCE[[#This Row],[CABLEADO]])</f>
        <v>0</v>
      </c>
      <c r="BT578" s="3">
        <f>+IF(AVANCE[[#This Row],[ARTEFACTOS]]=AE$2,100%,AVANCE[[#This Row],[ARTEFACTOS]])</f>
        <v>0</v>
      </c>
      <c r="BU578" s="3">
        <f>+IF(AVANCE[[#This Row],[TABLERO]]=AF$2,100%,AVANCE[[#This Row],[TABLERO]])</f>
        <v>0</v>
      </c>
      <c r="BV578" s="3">
        <f>+IF(AVANCE[[#This Row],[CAJA PAU]]=AG$2,100%,AVANCE[[#This Row],[CAJA PAU]])</f>
        <v>0</v>
      </c>
      <c r="BW578" s="3">
        <f>+IF(AVANCE[[#This Row],[INSTALACION VINILICO]]=AJ$2,100%,AVANCE[[#This Row],[INSTALACION VINILICO]])</f>
        <v>0</v>
      </c>
      <c r="BX578" s="3">
        <f>+IF(AVANCE[[#This Row],[OSB CUBIERTA]]=AK$2,100%,AVANCE[[#This Row],[OSB CUBIERTA]])</f>
        <v>0</v>
      </c>
      <c r="BY578" s="3">
        <f>+IF(AVANCE[[#This Row],[BARANDA BALCON]]=AL$2,100%,AVANCE[[#This Row],[BARANDA BALCON]])</f>
        <v>0</v>
      </c>
      <c r="BZ578" s="3">
        <f>+IF(AVANCE[[#This Row],[OSB EXTERIOR]]=AM$2,100%,AVANCE[[#This Row],[OSB EXTERIOR]])</f>
        <v>0</v>
      </c>
      <c r="CA578" s="3">
        <f>+IF(AVANCE[[#This Row],[SMART PANEL]]=AN$2,100%,AVANCE[[#This Row],[SMART PANEL]])</f>
        <v>0</v>
      </c>
      <c r="CB578" s="3">
        <f>+IF(AVANCE[[#This Row],[PINTURA EXTERIOR]]=AO$2,100%,AVANCE[[#This Row],[PINTURA EXTERIOR]])</f>
        <v>0</v>
      </c>
      <c r="CC578" s="3">
        <f>+IF(AVANCE[[#This Row],[ZOCALOS LOGIA]]=AP$2,100%,AVANCE[[#This Row],[ZOCALOS LOGIA]])</f>
        <v>0</v>
      </c>
      <c r="CD578" s="3">
        <f>+IF(AVANCE[[#This Row],[MOLDURAS]]=AQ$2,100%,AVANCE[[#This Row],[MOLDURAS]])</f>
        <v>0</v>
      </c>
      <c r="CE578" s="3">
        <f>+IF(AVANCE[[#This Row],[PILASTREO]]=AR$2,100%,AVANCE[[#This Row],[PILASTREO]])</f>
        <v>0</v>
      </c>
      <c r="CF578" s="3">
        <f>+IF(AVANCE[[#This Row],[CELOSIAS]]=AS$2,100%,AVANCE[[#This Row],[CELOSIAS]])</f>
        <v>0</v>
      </c>
      <c r="CG578" s="3">
        <f>+IF(AVANCE[[#This Row],[VENTANAS]]=AT$2,100%,AVANCE[[#This Row],[VENTANAS]])</f>
        <v>0</v>
      </c>
      <c r="CH578" s="3">
        <f>+IF(AVANCE[[#This Row],[PUERTAS ACCESO - LOGIA - BANO]]=AU$2,100%,AVANCE[[#This Row],[PUERTAS ACCESO - LOGIA - BANO]])</f>
        <v>0</v>
      </c>
      <c r="CI578" s="3">
        <f>+IF(AVANCE[[#This Row],[CERRADURAS]]=AV$2,100%,AVANCE[[#This Row],[CERRADURAS]])</f>
        <v>0</v>
      </c>
      <c r="CJ578" s="3">
        <f>+IF(AVANCE[[#This Row],[REVESTIMIENTO INTERIOR ZONA SECA]]=AW$2,100%,AVANCE[[#This Row],[REVESTIMIENTO INTERIOR ZONA SECA]])</f>
        <v>0</v>
      </c>
      <c r="CK578" s="3">
        <f>+IF(AVANCE[[#This Row],[REVESTIMIENTO INTERIOR ZONAS HUMEDAS]]=AX$2,100%,AVANCE[[#This Row],[REVESTIMIENTO INTERIOR ZONAS HUMEDAS]])</f>
        <v>0</v>
      </c>
      <c r="CL578" s="3">
        <f>+IF(AVANCE[[#This Row],[MEMBRANA CIELO]]=AY$2,100%,AVANCE[[#This Row],[MEMBRANA CIELO]])</f>
        <v>0</v>
      </c>
      <c r="CM578" s="3">
        <f>+IF(AVANCE[[#This Row],[LIMPIEZA FINAL]]=AZ$2,100%,AVANCE[[#This Row],[LIMPIEZA FINAL]])</f>
        <v>0</v>
      </c>
      <c r="CN578" s="3">
        <f>+IF(AVANCE[[#This Row],[PUERTAS DORMITORIO]]=BA$2,100%,AVANCE[[#This Row],[PUERTAS DORMITORIO]])</f>
        <v>0</v>
      </c>
      <c r="CO578" s="3">
        <f>+IF(AVANCE[[#This Row],[REVESTIMIENTO INTERIOR BANO]]=BB$2,100%,AVANCE[[#This Row],[REVESTIMIENTO INTERIOR BANO]])</f>
        <v>0</v>
      </c>
      <c r="CP578" s="3">
        <f>+IF(AVANCE[[#This Row],[MUEBLE LAVAPLATOS]]=BC$2,100%,AVANCE[[#This Row],[MUEBLE LAVAPLATOS]])</f>
        <v>0</v>
      </c>
      <c r="CQ578" s="3">
        <f>+IF(AVANCE[[#This Row],[IMPERMEABILIZACION BANO - COCINA LOGIA]]=BD$2,100%,AVANCE[[#This Row],[IMPERMEABILIZACION BANO - COCINA LOGIA]])</f>
        <v>0</v>
      </c>
      <c r="CR578" s="40">
        <f ca="1">+IF(AVANCE[[#This Row],[ESTADO MODULO]]="PENDIENTE",(TODAY()-AVANCE[[#This Row],[FECHA TERMINO  PLANIFICADO]]),0)</f>
        <v>0</v>
      </c>
      <c r="CS578" s="42" t="str" cm="1">
        <f t="array" ref="CS578">_xlfn.TEXTJOIN(" | ",TRUE,IF(SUMPRODUCT((BF578:CQ578&lt;1)*(PARTIDAS!$I$2:$AT$2="OBRA GRUESA"))&gt;0,"OBRA GRUESA: "&amp;_xlfn.TEXTJOIN(", ",TRUE,IF((BF578:CQ578&lt;1)*(PARTIDAS!$I$2:$AT$2="OBRA GRUESA"),PARTIDAS!$I$1:$AT$1,"")),""),IF(SUMPRODUCT((BF578:CQ578&lt;1)*(PARTIDAS!$I$2:$AT$2="SANITARIOS"))&gt;0,"SANITARIOS: "&amp;_xlfn.TEXTJOIN(", ",TRUE,IF((BF578:CQ578&lt;1)*(PARTIDAS!$I$2:$AT$2="SANITARIOS"),PARTIDAS!$I$1:$AT$1,"")),""),IF(SUMPRODUCT((BF578:CQ578&lt;1)*(PARTIDAS!$I$2:$AT$2="ELÉCTRICO"))&gt;0,"ELÉCTRICO: "&amp;_xlfn.TEXTJOIN(", ",TRUE,IF((BF578:CQ578&lt;1)*(PARTIDAS!$I$2:$AT$2="ELÉCTRICO"),PARTIDAS!$I$1:$AT$1,"")),""),IF(SUMPRODUCT((BF578:CQ578&lt;1)*(PARTIDAS!$I$2:$AT$2="TERMINACIONES"))&gt;0,"TERMINACIONES: "&amp;_xlfn.TEXTJOIN(", ",TRUE,IF((BF578:CQ578&lt;1)*(PARTIDAS!$I$2:$AT$2="TERMINACIONES"),PARTIDAS!$I$1:$AT$1,"")),""))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8" s="45" t="str" cm="1">
        <f t="array" ref="CT578">_xlfn.TEXTJOIN(", ",TRUE,IF(SUMPRODUCT((BF578:CQ578&lt;1)*(PARTIDAS!$I$2:$AT$2="OBRA GRUESA"))&gt;0,"OBRA GRUESA",""),IF(SUMPRODUCT((BF578:CQ578&lt;1)*(PARTIDAS!$I$2:$AT$2="SANITARIOS"))&gt;0,"SANITARIOS",""),IF(SUMPRODUCT((BF578:CQ578&lt;1)*(PARTIDAS!$I$2:$AT$2="ELÉCTRICO"))&gt;0,"ELÉCTRICO",""),IF(SUMPRODUCT((BF578:CQ578&lt;1)*(PARTIDAS!$I$2:$AT$2="TERMINACIONES"))&gt;0,"TERMINACIONES",""))</f>
        <v>OBRA GRUESA, SANITARIOS, ELÉCTRICO, TERMINACIONES</v>
      </c>
      <c r="CU578" s="46" cm="1">
        <f t="array" ref="CU578">SUMPRODUCT(--(BF578:CQ578&lt;1))</f>
        <v>38</v>
      </c>
    </row>
    <row r="579" spans="1:99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46181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 s="3" t="str">
        <f>+IF(AVANCE[[#This Row],[% AVANCE]]=100%,"MODULO TERMINADO",IF(AVANCE[[#This Row],[FECHA INICIO REAL]]="","MODULO NO INICIADO","PENDIENTE"))</f>
        <v>MODULO NO INICIADO</v>
      </c>
      <c r="BF579" s="3">
        <f>+IF(AVANCE[[#This Row],[VENTANAS]]=8.10810810810811%,100%,AVANCE[[#This Row],[VENTANAS]])</f>
        <v>0</v>
      </c>
      <c r="BG579" s="3">
        <f>+IF(AVANCE[[#This Row],[PISO]]=N$2,100%,AVANCE[[#This Row],[PISO]])</f>
        <v>0</v>
      </c>
      <c r="BH579" s="3">
        <f>+IF(AVANCE[[#This Row],[TABIQUES]]=O$2,100%,AVANCE[[#This Row],[TABIQUES]])</f>
        <v>0</v>
      </c>
      <c r="BI579" s="3">
        <f>+IF(AVANCE[[#This Row],[MUROS]]=P$2,100%,AVANCE[[#This Row],[MUROS]])</f>
        <v>0</v>
      </c>
      <c r="BJ579" s="3">
        <f>+IF(AVANCE[[#This Row],[CIELO]]=Q$2,100%,AVANCE[[#This Row],[CIELO]])</f>
        <v>0</v>
      </c>
      <c r="BK579" s="3">
        <f>+IF(AVANCE[[#This Row],[BALCÓN]]=R$2,100%,AVANCE[[#This Row],[BALCÓN]])</f>
        <v>0</v>
      </c>
      <c r="BL579" s="3">
        <f>+IF(AVANCE[[#This Row],[RED ALCANTARILLADO]]=U$2,100%,AVANCE[[#This Row],[RED ALCANTARILLADO]])</f>
        <v>0</v>
      </c>
      <c r="BM579" s="3">
        <f>+IF(AVANCE[[#This Row],[RED DE AGUA]]=V$2,100%,AVANCE[[#This Row],[RED DE AGUA]])</f>
        <v>0</v>
      </c>
      <c r="BN579" s="3">
        <f>+IF(AVANCE[[#This Row],[VENTILACIONES]]=W$2,100%,AVANCE[[#This Row],[VENTILACIONES]])</f>
        <v>0</v>
      </c>
      <c r="BO579" s="3">
        <f>+IF(AVANCE[[#This Row],[TINA]]=X$2,100%,AVANCE[[#This Row],[TINA]])</f>
        <v>0</v>
      </c>
      <c r="BP579" s="3">
        <f>+IF(AVANCE[[#This Row],[WC]]=Y$2,100%,AVANCE[[#This Row],[WC]])</f>
        <v>0</v>
      </c>
      <c r="BQ579" s="3">
        <f>+IF(AVANCE[[#This Row],[LAVAMANOS / LAVAPLATOS / LAVADERO]]=Z$2,100%,AVANCE[[#This Row],[LAVAMANOS / LAVAPLATOS / LAVADERO]])</f>
        <v>0</v>
      </c>
      <c r="BR579" s="3">
        <f>+IF(AVANCE[[#This Row],[CANALIZACIÓN]]=AC$2,100%,AVANCE[[#This Row],[CANALIZACIÓN]])</f>
        <v>0</v>
      </c>
      <c r="BS579" s="3">
        <f>+IF(AVANCE[[#This Row],[CABLEADO]]=AD$2,100%,AVANCE[[#This Row],[CABLEADO]])</f>
        <v>0</v>
      </c>
      <c r="BT579" s="3">
        <f>+IF(AVANCE[[#This Row],[ARTEFACTOS]]=AE$2,100%,AVANCE[[#This Row],[ARTEFACTOS]])</f>
        <v>0</v>
      </c>
      <c r="BU579" s="3">
        <f>+IF(AVANCE[[#This Row],[TABLERO]]=AF$2,100%,AVANCE[[#This Row],[TABLERO]])</f>
        <v>0</v>
      </c>
      <c r="BV579" s="3">
        <f>+IF(AVANCE[[#This Row],[CAJA PAU]]=AG$2,100%,AVANCE[[#This Row],[CAJA PAU]])</f>
        <v>0</v>
      </c>
      <c r="BW579" s="3">
        <f>+IF(AVANCE[[#This Row],[INSTALACION VINILICO]]=AJ$2,100%,AVANCE[[#This Row],[INSTALACION VINILICO]])</f>
        <v>0</v>
      </c>
      <c r="BX579" s="3">
        <f>+IF(AVANCE[[#This Row],[OSB CUBIERTA]]=AK$2,100%,AVANCE[[#This Row],[OSB CUBIERTA]])</f>
        <v>0</v>
      </c>
      <c r="BY579" s="3">
        <f>+IF(AVANCE[[#This Row],[BARANDA BALCON]]=AL$2,100%,AVANCE[[#This Row],[BARANDA BALCON]])</f>
        <v>0</v>
      </c>
      <c r="BZ579" s="3">
        <f>+IF(AVANCE[[#This Row],[OSB EXTERIOR]]=AM$2,100%,AVANCE[[#This Row],[OSB EXTERIOR]])</f>
        <v>0</v>
      </c>
      <c r="CA579" s="3">
        <f>+IF(AVANCE[[#This Row],[SMART PANEL]]=AN$2,100%,AVANCE[[#This Row],[SMART PANEL]])</f>
        <v>0</v>
      </c>
      <c r="CB579" s="3">
        <f>+IF(AVANCE[[#This Row],[PINTURA EXTERIOR]]=AO$2,100%,AVANCE[[#This Row],[PINTURA EXTERIOR]])</f>
        <v>0</v>
      </c>
      <c r="CC579" s="3">
        <f>+IF(AVANCE[[#This Row],[ZOCALOS LOGIA]]=AP$2,100%,AVANCE[[#This Row],[ZOCALOS LOGIA]])</f>
        <v>0</v>
      </c>
      <c r="CD579" s="3">
        <f>+IF(AVANCE[[#This Row],[MOLDURAS]]=AQ$2,100%,AVANCE[[#This Row],[MOLDURAS]])</f>
        <v>0</v>
      </c>
      <c r="CE579" s="3">
        <f>+IF(AVANCE[[#This Row],[PILASTREO]]=AR$2,100%,AVANCE[[#This Row],[PILASTREO]])</f>
        <v>0</v>
      </c>
      <c r="CF579" s="3">
        <f>+IF(AVANCE[[#This Row],[CELOSIAS]]=AS$2,100%,AVANCE[[#This Row],[CELOSIAS]])</f>
        <v>0</v>
      </c>
      <c r="CG579" s="3">
        <f>+IF(AVANCE[[#This Row],[VENTANAS]]=AT$2,100%,AVANCE[[#This Row],[VENTANAS]])</f>
        <v>0</v>
      </c>
      <c r="CH579" s="3">
        <f>+IF(AVANCE[[#This Row],[PUERTAS ACCESO - LOGIA - BANO]]=AU$2,100%,AVANCE[[#This Row],[PUERTAS ACCESO - LOGIA - BANO]])</f>
        <v>0</v>
      </c>
      <c r="CI579" s="3">
        <f>+IF(AVANCE[[#This Row],[CERRADURAS]]=AV$2,100%,AVANCE[[#This Row],[CERRADURAS]])</f>
        <v>0</v>
      </c>
      <c r="CJ579" s="3">
        <f>+IF(AVANCE[[#This Row],[REVESTIMIENTO INTERIOR ZONA SECA]]=AW$2,100%,AVANCE[[#This Row],[REVESTIMIENTO INTERIOR ZONA SECA]])</f>
        <v>0</v>
      </c>
      <c r="CK579" s="3">
        <f>+IF(AVANCE[[#This Row],[REVESTIMIENTO INTERIOR ZONAS HUMEDAS]]=AX$2,100%,AVANCE[[#This Row],[REVESTIMIENTO INTERIOR ZONAS HUMEDAS]])</f>
        <v>0</v>
      </c>
      <c r="CL579" s="3">
        <f>+IF(AVANCE[[#This Row],[MEMBRANA CIELO]]=AY$2,100%,AVANCE[[#This Row],[MEMBRANA CIELO]])</f>
        <v>0</v>
      </c>
      <c r="CM579" s="3">
        <f>+IF(AVANCE[[#This Row],[LIMPIEZA FINAL]]=AZ$2,100%,AVANCE[[#This Row],[LIMPIEZA FINAL]])</f>
        <v>0</v>
      </c>
      <c r="CN579" s="3">
        <f>+IF(AVANCE[[#This Row],[PUERTAS DORMITORIO]]=BA$2,100%,AVANCE[[#This Row],[PUERTAS DORMITORIO]])</f>
        <v>0</v>
      </c>
      <c r="CO579" s="3">
        <f>+IF(AVANCE[[#This Row],[REVESTIMIENTO INTERIOR BANO]]=BB$2,100%,AVANCE[[#This Row],[REVESTIMIENTO INTERIOR BANO]])</f>
        <v>0</v>
      </c>
      <c r="CP579" s="3">
        <f>+IF(AVANCE[[#This Row],[MUEBLE LAVAPLATOS]]=BC$2,100%,AVANCE[[#This Row],[MUEBLE LAVAPLATOS]])</f>
        <v>0</v>
      </c>
      <c r="CQ579" s="3">
        <f>+IF(AVANCE[[#This Row],[IMPERMEABILIZACION BANO - COCINA LOGIA]]=BD$2,100%,AVANCE[[#This Row],[IMPERMEABILIZACION BANO - COCINA LOGIA]])</f>
        <v>0</v>
      </c>
      <c r="CR579" s="40">
        <f ca="1">+IF(AVANCE[[#This Row],[ESTADO MODULO]]="PENDIENTE",(TODAY()-AVANCE[[#This Row],[FECHA TERMINO  PLANIFICADO]]),0)</f>
        <v>0</v>
      </c>
      <c r="CS579" s="42" t="str" cm="1">
        <f t="array" ref="CS579">_xlfn.TEXTJOIN(" | ",TRUE,IF(SUMPRODUCT((BF579:CQ579&lt;1)*(PARTIDAS!$I$2:$AT$2="OBRA GRUESA"))&gt;0,"OBRA GRUESA: "&amp;_xlfn.TEXTJOIN(", ",TRUE,IF((BF579:CQ579&lt;1)*(PARTIDAS!$I$2:$AT$2="OBRA GRUESA"),PARTIDAS!$I$1:$AT$1,"")),""),IF(SUMPRODUCT((BF579:CQ579&lt;1)*(PARTIDAS!$I$2:$AT$2="SANITARIOS"))&gt;0,"SANITARIOS: "&amp;_xlfn.TEXTJOIN(", ",TRUE,IF((BF579:CQ579&lt;1)*(PARTIDAS!$I$2:$AT$2="SANITARIOS"),PARTIDAS!$I$1:$AT$1,"")),""),IF(SUMPRODUCT((BF579:CQ579&lt;1)*(PARTIDAS!$I$2:$AT$2="ELÉCTRICO"))&gt;0,"ELÉCTRICO: "&amp;_xlfn.TEXTJOIN(", ",TRUE,IF((BF579:CQ579&lt;1)*(PARTIDAS!$I$2:$AT$2="ELÉCTRICO"),PARTIDAS!$I$1:$AT$1,"")),""),IF(SUMPRODUCT((BF579:CQ579&lt;1)*(PARTIDAS!$I$2:$AT$2="TERMINACIONES"))&gt;0,"TERMINACIONES: "&amp;_xlfn.TEXTJOIN(", ",TRUE,IF((BF579:CQ579&lt;1)*(PARTIDAS!$I$2:$AT$2="TERMINACIONES"),PARTIDAS!$I$1:$AT$1,"")),""))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79" s="45" t="str" cm="1">
        <f t="array" ref="CT579">_xlfn.TEXTJOIN(", ",TRUE,IF(SUMPRODUCT((BF579:CQ579&lt;1)*(PARTIDAS!$I$2:$AT$2="OBRA GRUESA"))&gt;0,"OBRA GRUESA",""),IF(SUMPRODUCT((BF579:CQ579&lt;1)*(PARTIDAS!$I$2:$AT$2="SANITARIOS"))&gt;0,"SANITARIOS",""),IF(SUMPRODUCT((BF579:CQ579&lt;1)*(PARTIDAS!$I$2:$AT$2="ELÉCTRICO"))&gt;0,"ELÉCTRICO",""),IF(SUMPRODUCT((BF579:CQ579&lt;1)*(PARTIDAS!$I$2:$AT$2="TERMINACIONES"))&gt;0,"TERMINACIONES",""))</f>
        <v>OBRA GRUESA, SANITARIOS, ELÉCTRICO, TERMINACIONES</v>
      </c>
      <c r="CU579" s="46" cm="1">
        <f t="array" ref="CU579">SUMPRODUCT(--(BF579:CQ579&lt;1))</f>
        <v>38</v>
      </c>
    </row>
    <row r="580" spans="1:99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46181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 s="3" t="str">
        <f>+IF(AVANCE[[#This Row],[% AVANCE]]=100%,"MODULO TERMINADO",IF(AVANCE[[#This Row],[FECHA INICIO REAL]]="","MODULO NO INICIADO","PENDIENTE"))</f>
        <v>MODULO NO INICIADO</v>
      </c>
      <c r="BF580" s="3">
        <f>+IF(AVANCE[[#This Row],[VENTANAS]]=8.10810810810811%,100%,AVANCE[[#This Row],[VENTANAS]])</f>
        <v>0</v>
      </c>
      <c r="BG580" s="3">
        <f>+IF(AVANCE[[#This Row],[PISO]]=N$2,100%,AVANCE[[#This Row],[PISO]])</f>
        <v>0</v>
      </c>
      <c r="BH580" s="3">
        <f>+IF(AVANCE[[#This Row],[TABIQUES]]=O$2,100%,AVANCE[[#This Row],[TABIQUES]])</f>
        <v>0</v>
      </c>
      <c r="BI580" s="3">
        <f>+IF(AVANCE[[#This Row],[MUROS]]=P$2,100%,AVANCE[[#This Row],[MUROS]])</f>
        <v>0</v>
      </c>
      <c r="BJ580" s="3">
        <f>+IF(AVANCE[[#This Row],[CIELO]]=Q$2,100%,AVANCE[[#This Row],[CIELO]])</f>
        <v>0</v>
      </c>
      <c r="BK580" s="3">
        <f>+IF(AVANCE[[#This Row],[BALCÓN]]=R$2,100%,AVANCE[[#This Row],[BALCÓN]])</f>
        <v>0</v>
      </c>
      <c r="BL580" s="3">
        <f>+IF(AVANCE[[#This Row],[RED ALCANTARILLADO]]=U$2,100%,AVANCE[[#This Row],[RED ALCANTARILLADO]])</f>
        <v>0</v>
      </c>
      <c r="BM580" s="3">
        <f>+IF(AVANCE[[#This Row],[RED DE AGUA]]=V$2,100%,AVANCE[[#This Row],[RED DE AGUA]])</f>
        <v>0</v>
      </c>
      <c r="BN580" s="3">
        <f>+IF(AVANCE[[#This Row],[VENTILACIONES]]=W$2,100%,AVANCE[[#This Row],[VENTILACIONES]])</f>
        <v>0</v>
      </c>
      <c r="BO580" s="3">
        <f>+IF(AVANCE[[#This Row],[TINA]]=X$2,100%,AVANCE[[#This Row],[TINA]])</f>
        <v>0</v>
      </c>
      <c r="BP580" s="3">
        <f>+IF(AVANCE[[#This Row],[WC]]=Y$2,100%,AVANCE[[#This Row],[WC]])</f>
        <v>0</v>
      </c>
      <c r="BQ580" s="3">
        <f>+IF(AVANCE[[#This Row],[LAVAMANOS / LAVAPLATOS / LAVADERO]]=Z$2,100%,AVANCE[[#This Row],[LAVAMANOS / LAVAPLATOS / LAVADERO]])</f>
        <v>0</v>
      </c>
      <c r="BR580" s="3">
        <f>+IF(AVANCE[[#This Row],[CANALIZACIÓN]]=AC$2,100%,AVANCE[[#This Row],[CANALIZACIÓN]])</f>
        <v>0</v>
      </c>
      <c r="BS580" s="3">
        <f>+IF(AVANCE[[#This Row],[CABLEADO]]=AD$2,100%,AVANCE[[#This Row],[CABLEADO]])</f>
        <v>0</v>
      </c>
      <c r="BT580" s="3">
        <f>+IF(AVANCE[[#This Row],[ARTEFACTOS]]=AE$2,100%,AVANCE[[#This Row],[ARTEFACTOS]])</f>
        <v>0</v>
      </c>
      <c r="BU580" s="3">
        <f>+IF(AVANCE[[#This Row],[TABLERO]]=AF$2,100%,AVANCE[[#This Row],[TABLERO]])</f>
        <v>0</v>
      </c>
      <c r="BV580" s="3">
        <f>+IF(AVANCE[[#This Row],[CAJA PAU]]=AG$2,100%,AVANCE[[#This Row],[CAJA PAU]])</f>
        <v>0</v>
      </c>
      <c r="BW580" s="3">
        <f>+IF(AVANCE[[#This Row],[INSTALACION VINILICO]]=AJ$2,100%,AVANCE[[#This Row],[INSTALACION VINILICO]])</f>
        <v>0</v>
      </c>
      <c r="BX580" s="3">
        <f>+IF(AVANCE[[#This Row],[OSB CUBIERTA]]=AK$2,100%,AVANCE[[#This Row],[OSB CUBIERTA]])</f>
        <v>0</v>
      </c>
      <c r="BY580" s="3">
        <f>+IF(AVANCE[[#This Row],[BARANDA BALCON]]=AL$2,100%,AVANCE[[#This Row],[BARANDA BALCON]])</f>
        <v>0</v>
      </c>
      <c r="BZ580" s="3">
        <f>+IF(AVANCE[[#This Row],[OSB EXTERIOR]]=AM$2,100%,AVANCE[[#This Row],[OSB EXTERIOR]])</f>
        <v>0</v>
      </c>
      <c r="CA580" s="3">
        <f>+IF(AVANCE[[#This Row],[SMART PANEL]]=AN$2,100%,AVANCE[[#This Row],[SMART PANEL]])</f>
        <v>0</v>
      </c>
      <c r="CB580" s="3">
        <f>+IF(AVANCE[[#This Row],[PINTURA EXTERIOR]]=AO$2,100%,AVANCE[[#This Row],[PINTURA EXTERIOR]])</f>
        <v>0</v>
      </c>
      <c r="CC580" s="3">
        <f>+IF(AVANCE[[#This Row],[ZOCALOS LOGIA]]=AP$2,100%,AVANCE[[#This Row],[ZOCALOS LOGIA]])</f>
        <v>0</v>
      </c>
      <c r="CD580" s="3">
        <f>+IF(AVANCE[[#This Row],[MOLDURAS]]=AQ$2,100%,AVANCE[[#This Row],[MOLDURAS]])</f>
        <v>0</v>
      </c>
      <c r="CE580" s="3">
        <f>+IF(AVANCE[[#This Row],[PILASTREO]]=AR$2,100%,AVANCE[[#This Row],[PILASTREO]])</f>
        <v>0</v>
      </c>
      <c r="CF580" s="3">
        <f>+IF(AVANCE[[#This Row],[CELOSIAS]]=AS$2,100%,AVANCE[[#This Row],[CELOSIAS]])</f>
        <v>0</v>
      </c>
      <c r="CG580" s="3">
        <f>+IF(AVANCE[[#This Row],[VENTANAS]]=AT$2,100%,AVANCE[[#This Row],[VENTANAS]])</f>
        <v>0</v>
      </c>
      <c r="CH580" s="3">
        <f>+IF(AVANCE[[#This Row],[PUERTAS ACCESO - LOGIA - BANO]]=AU$2,100%,AVANCE[[#This Row],[PUERTAS ACCESO - LOGIA - BANO]])</f>
        <v>0</v>
      </c>
      <c r="CI580" s="3">
        <f>+IF(AVANCE[[#This Row],[CERRADURAS]]=AV$2,100%,AVANCE[[#This Row],[CERRADURAS]])</f>
        <v>0</v>
      </c>
      <c r="CJ580" s="3">
        <f>+IF(AVANCE[[#This Row],[REVESTIMIENTO INTERIOR ZONA SECA]]=AW$2,100%,AVANCE[[#This Row],[REVESTIMIENTO INTERIOR ZONA SECA]])</f>
        <v>0</v>
      </c>
      <c r="CK580" s="3">
        <f>+IF(AVANCE[[#This Row],[REVESTIMIENTO INTERIOR ZONAS HUMEDAS]]=AX$2,100%,AVANCE[[#This Row],[REVESTIMIENTO INTERIOR ZONAS HUMEDAS]])</f>
        <v>0</v>
      </c>
      <c r="CL580" s="3">
        <f>+IF(AVANCE[[#This Row],[MEMBRANA CIELO]]=AY$2,100%,AVANCE[[#This Row],[MEMBRANA CIELO]])</f>
        <v>0</v>
      </c>
      <c r="CM580" s="3">
        <f>+IF(AVANCE[[#This Row],[LIMPIEZA FINAL]]=AZ$2,100%,AVANCE[[#This Row],[LIMPIEZA FINAL]])</f>
        <v>0</v>
      </c>
      <c r="CN580" s="3">
        <f>+IF(AVANCE[[#This Row],[PUERTAS DORMITORIO]]=BA$2,100%,AVANCE[[#This Row],[PUERTAS DORMITORIO]])</f>
        <v>0</v>
      </c>
      <c r="CO580" s="3">
        <f>+IF(AVANCE[[#This Row],[REVESTIMIENTO INTERIOR BANO]]=BB$2,100%,AVANCE[[#This Row],[REVESTIMIENTO INTERIOR BANO]])</f>
        <v>0</v>
      </c>
      <c r="CP580" s="3">
        <f>+IF(AVANCE[[#This Row],[MUEBLE LAVAPLATOS]]=BC$2,100%,AVANCE[[#This Row],[MUEBLE LAVAPLATOS]])</f>
        <v>0</v>
      </c>
      <c r="CQ580" s="3">
        <f>+IF(AVANCE[[#This Row],[IMPERMEABILIZACION BANO - COCINA LOGIA]]=BD$2,100%,AVANCE[[#This Row],[IMPERMEABILIZACION BANO - COCINA LOGIA]])</f>
        <v>0</v>
      </c>
      <c r="CR580" s="40">
        <f ca="1">+IF(AVANCE[[#This Row],[ESTADO MODULO]]="PENDIENTE",(TODAY()-AVANCE[[#This Row],[FECHA TERMINO  PLANIFICADO]]),0)</f>
        <v>0</v>
      </c>
      <c r="CS580" s="42" t="str" cm="1">
        <f t="array" ref="CS580">_xlfn.TEXTJOIN(" | ",TRUE,IF(SUMPRODUCT((BF580:CQ580&lt;1)*(PARTIDAS!$I$2:$AT$2="OBRA GRUESA"))&gt;0,"OBRA GRUESA: "&amp;_xlfn.TEXTJOIN(", ",TRUE,IF((BF580:CQ580&lt;1)*(PARTIDAS!$I$2:$AT$2="OBRA GRUESA"),PARTIDAS!$I$1:$AT$1,"")),""),IF(SUMPRODUCT((BF580:CQ580&lt;1)*(PARTIDAS!$I$2:$AT$2="SANITARIOS"))&gt;0,"SANITARIOS: "&amp;_xlfn.TEXTJOIN(", ",TRUE,IF((BF580:CQ580&lt;1)*(PARTIDAS!$I$2:$AT$2="SANITARIOS"),PARTIDAS!$I$1:$AT$1,"")),""),IF(SUMPRODUCT((BF580:CQ580&lt;1)*(PARTIDAS!$I$2:$AT$2="ELÉCTRICO"))&gt;0,"ELÉCTRICO: "&amp;_xlfn.TEXTJOIN(", ",TRUE,IF((BF580:CQ580&lt;1)*(PARTIDAS!$I$2:$AT$2="ELÉCTRICO"),PARTIDAS!$I$1:$AT$1,"")),""),IF(SUMPRODUCT((BF580:CQ580&lt;1)*(PARTIDAS!$I$2:$AT$2="TERMINACIONES"))&gt;0,"TERMINACIONES: "&amp;_xlfn.TEXTJOIN(", ",TRUE,IF((BF580:CQ580&lt;1)*(PARTIDAS!$I$2:$AT$2="TERMINACIONES"),PARTIDAS!$I$1:$AT$1,"")),""))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0" s="45" t="str" cm="1">
        <f t="array" ref="CT580">_xlfn.TEXTJOIN(", ",TRUE,IF(SUMPRODUCT((BF580:CQ580&lt;1)*(PARTIDAS!$I$2:$AT$2="OBRA GRUESA"))&gt;0,"OBRA GRUESA",""),IF(SUMPRODUCT((BF580:CQ580&lt;1)*(PARTIDAS!$I$2:$AT$2="SANITARIOS"))&gt;0,"SANITARIOS",""),IF(SUMPRODUCT((BF580:CQ580&lt;1)*(PARTIDAS!$I$2:$AT$2="ELÉCTRICO"))&gt;0,"ELÉCTRICO",""),IF(SUMPRODUCT((BF580:CQ580&lt;1)*(PARTIDAS!$I$2:$AT$2="TERMINACIONES"))&gt;0,"TERMINACIONES",""))</f>
        <v>OBRA GRUESA, SANITARIOS, ELÉCTRICO, TERMINACIONES</v>
      </c>
      <c r="CU580" s="46" cm="1">
        <f t="array" ref="CU580">SUMPRODUCT(--(BF580:CQ580&lt;1))</f>
        <v>38</v>
      </c>
    </row>
    <row r="581" spans="1:99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46181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 s="3" t="str">
        <f>+IF(AVANCE[[#This Row],[% AVANCE]]=100%,"MODULO TERMINADO",IF(AVANCE[[#This Row],[FECHA INICIO REAL]]="","MODULO NO INICIADO","PENDIENTE"))</f>
        <v>MODULO NO INICIADO</v>
      </c>
      <c r="BF581" s="3">
        <f>+IF(AVANCE[[#This Row],[VENTANAS]]=8.10810810810811%,100%,AVANCE[[#This Row],[VENTANAS]])</f>
        <v>0</v>
      </c>
      <c r="BG581" s="3">
        <f>+IF(AVANCE[[#This Row],[PISO]]=N$2,100%,AVANCE[[#This Row],[PISO]])</f>
        <v>0</v>
      </c>
      <c r="BH581" s="3">
        <f>+IF(AVANCE[[#This Row],[TABIQUES]]=O$2,100%,AVANCE[[#This Row],[TABIQUES]])</f>
        <v>0</v>
      </c>
      <c r="BI581" s="3">
        <f>+IF(AVANCE[[#This Row],[MUROS]]=P$2,100%,AVANCE[[#This Row],[MUROS]])</f>
        <v>0</v>
      </c>
      <c r="BJ581" s="3">
        <f>+IF(AVANCE[[#This Row],[CIELO]]=Q$2,100%,AVANCE[[#This Row],[CIELO]])</f>
        <v>0</v>
      </c>
      <c r="BK581" s="3">
        <f>+IF(AVANCE[[#This Row],[BALCÓN]]=R$2,100%,AVANCE[[#This Row],[BALCÓN]])</f>
        <v>0</v>
      </c>
      <c r="BL581" s="3">
        <f>+IF(AVANCE[[#This Row],[RED ALCANTARILLADO]]=U$2,100%,AVANCE[[#This Row],[RED ALCANTARILLADO]])</f>
        <v>0</v>
      </c>
      <c r="BM581" s="3">
        <f>+IF(AVANCE[[#This Row],[RED DE AGUA]]=V$2,100%,AVANCE[[#This Row],[RED DE AGUA]])</f>
        <v>0</v>
      </c>
      <c r="BN581" s="3">
        <f>+IF(AVANCE[[#This Row],[VENTILACIONES]]=W$2,100%,AVANCE[[#This Row],[VENTILACIONES]])</f>
        <v>0</v>
      </c>
      <c r="BO581" s="3">
        <f>+IF(AVANCE[[#This Row],[TINA]]=X$2,100%,AVANCE[[#This Row],[TINA]])</f>
        <v>0</v>
      </c>
      <c r="BP581" s="3">
        <f>+IF(AVANCE[[#This Row],[WC]]=Y$2,100%,AVANCE[[#This Row],[WC]])</f>
        <v>0</v>
      </c>
      <c r="BQ581" s="3">
        <f>+IF(AVANCE[[#This Row],[LAVAMANOS / LAVAPLATOS / LAVADERO]]=Z$2,100%,AVANCE[[#This Row],[LAVAMANOS / LAVAPLATOS / LAVADERO]])</f>
        <v>0</v>
      </c>
      <c r="BR581" s="3">
        <f>+IF(AVANCE[[#This Row],[CANALIZACIÓN]]=AC$2,100%,AVANCE[[#This Row],[CANALIZACIÓN]])</f>
        <v>0</v>
      </c>
      <c r="BS581" s="3">
        <f>+IF(AVANCE[[#This Row],[CABLEADO]]=AD$2,100%,AVANCE[[#This Row],[CABLEADO]])</f>
        <v>0</v>
      </c>
      <c r="BT581" s="3">
        <f>+IF(AVANCE[[#This Row],[ARTEFACTOS]]=AE$2,100%,AVANCE[[#This Row],[ARTEFACTOS]])</f>
        <v>0</v>
      </c>
      <c r="BU581" s="3">
        <f>+IF(AVANCE[[#This Row],[TABLERO]]=AF$2,100%,AVANCE[[#This Row],[TABLERO]])</f>
        <v>0</v>
      </c>
      <c r="BV581" s="3">
        <f>+IF(AVANCE[[#This Row],[CAJA PAU]]=AG$2,100%,AVANCE[[#This Row],[CAJA PAU]])</f>
        <v>0</v>
      </c>
      <c r="BW581" s="3">
        <f>+IF(AVANCE[[#This Row],[INSTALACION VINILICO]]=AJ$2,100%,AVANCE[[#This Row],[INSTALACION VINILICO]])</f>
        <v>0</v>
      </c>
      <c r="BX581" s="3">
        <f>+IF(AVANCE[[#This Row],[OSB CUBIERTA]]=AK$2,100%,AVANCE[[#This Row],[OSB CUBIERTA]])</f>
        <v>0</v>
      </c>
      <c r="BY581" s="3">
        <f>+IF(AVANCE[[#This Row],[BARANDA BALCON]]=AL$2,100%,AVANCE[[#This Row],[BARANDA BALCON]])</f>
        <v>0</v>
      </c>
      <c r="BZ581" s="3">
        <f>+IF(AVANCE[[#This Row],[OSB EXTERIOR]]=AM$2,100%,AVANCE[[#This Row],[OSB EXTERIOR]])</f>
        <v>0</v>
      </c>
      <c r="CA581" s="3">
        <f>+IF(AVANCE[[#This Row],[SMART PANEL]]=AN$2,100%,AVANCE[[#This Row],[SMART PANEL]])</f>
        <v>0</v>
      </c>
      <c r="CB581" s="3">
        <f>+IF(AVANCE[[#This Row],[PINTURA EXTERIOR]]=AO$2,100%,AVANCE[[#This Row],[PINTURA EXTERIOR]])</f>
        <v>0</v>
      </c>
      <c r="CC581" s="3">
        <f>+IF(AVANCE[[#This Row],[ZOCALOS LOGIA]]=AP$2,100%,AVANCE[[#This Row],[ZOCALOS LOGIA]])</f>
        <v>0</v>
      </c>
      <c r="CD581" s="3">
        <f>+IF(AVANCE[[#This Row],[MOLDURAS]]=AQ$2,100%,AVANCE[[#This Row],[MOLDURAS]])</f>
        <v>0</v>
      </c>
      <c r="CE581" s="3">
        <f>+IF(AVANCE[[#This Row],[PILASTREO]]=AR$2,100%,AVANCE[[#This Row],[PILASTREO]])</f>
        <v>0</v>
      </c>
      <c r="CF581" s="3">
        <f>+IF(AVANCE[[#This Row],[CELOSIAS]]=AS$2,100%,AVANCE[[#This Row],[CELOSIAS]])</f>
        <v>0</v>
      </c>
      <c r="CG581" s="3">
        <f>+IF(AVANCE[[#This Row],[VENTANAS]]=AT$2,100%,AVANCE[[#This Row],[VENTANAS]])</f>
        <v>0</v>
      </c>
      <c r="CH581" s="3">
        <f>+IF(AVANCE[[#This Row],[PUERTAS ACCESO - LOGIA - BANO]]=AU$2,100%,AVANCE[[#This Row],[PUERTAS ACCESO - LOGIA - BANO]])</f>
        <v>0</v>
      </c>
      <c r="CI581" s="3">
        <f>+IF(AVANCE[[#This Row],[CERRADURAS]]=AV$2,100%,AVANCE[[#This Row],[CERRADURAS]])</f>
        <v>0</v>
      </c>
      <c r="CJ581" s="3">
        <f>+IF(AVANCE[[#This Row],[REVESTIMIENTO INTERIOR ZONA SECA]]=AW$2,100%,AVANCE[[#This Row],[REVESTIMIENTO INTERIOR ZONA SECA]])</f>
        <v>0</v>
      </c>
      <c r="CK581" s="3">
        <f>+IF(AVANCE[[#This Row],[REVESTIMIENTO INTERIOR ZONAS HUMEDAS]]=AX$2,100%,AVANCE[[#This Row],[REVESTIMIENTO INTERIOR ZONAS HUMEDAS]])</f>
        <v>0</v>
      </c>
      <c r="CL581" s="3">
        <f>+IF(AVANCE[[#This Row],[MEMBRANA CIELO]]=AY$2,100%,AVANCE[[#This Row],[MEMBRANA CIELO]])</f>
        <v>0</v>
      </c>
      <c r="CM581" s="3">
        <f>+IF(AVANCE[[#This Row],[LIMPIEZA FINAL]]=AZ$2,100%,AVANCE[[#This Row],[LIMPIEZA FINAL]])</f>
        <v>0</v>
      </c>
      <c r="CN581" s="3">
        <f>+IF(AVANCE[[#This Row],[PUERTAS DORMITORIO]]=BA$2,100%,AVANCE[[#This Row],[PUERTAS DORMITORIO]])</f>
        <v>0</v>
      </c>
      <c r="CO581" s="3">
        <f>+IF(AVANCE[[#This Row],[REVESTIMIENTO INTERIOR BANO]]=BB$2,100%,AVANCE[[#This Row],[REVESTIMIENTO INTERIOR BANO]])</f>
        <v>0</v>
      </c>
      <c r="CP581" s="3">
        <f>+IF(AVANCE[[#This Row],[MUEBLE LAVAPLATOS]]=BC$2,100%,AVANCE[[#This Row],[MUEBLE LAVAPLATOS]])</f>
        <v>0</v>
      </c>
      <c r="CQ581" s="3">
        <f>+IF(AVANCE[[#This Row],[IMPERMEABILIZACION BANO - COCINA LOGIA]]=BD$2,100%,AVANCE[[#This Row],[IMPERMEABILIZACION BANO - COCINA LOGIA]])</f>
        <v>0</v>
      </c>
      <c r="CR581" s="40">
        <f ca="1">+IF(AVANCE[[#This Row],[ESTADO MODULO]]="PENDIENTE",(TODAY()-AVANCE[[#This Row],[FECHA TERMINO  PLANIFICADO]]),0)</f>
        <v>0</v>
      </c>
      <c r="CS581" s="42" t="str" cm="1">
        <f t="array" ref="CS581">_xlfn.TEXTJOIN(" | ",TRUE,IF(SUMPRODUCT((BF581:CQ581&lt;1)*(PARTIDAS!$I$2:$AT$2="OBRA GRUESA"))&gt;0,"OBRA GRUESA: "&amp;_xlfn.TEXTJOIN(", ",TRUE,IF((BF581:CQ581&lt;1)*(PARTIDAS!$I$2:$AT$2="OBRA GRUESA"),PARTIDAS!$I$1:$AT$1,"")),""),IF(SUMPRODUCT((BF581:CQ581&lt;1)*(PARTIDAS!$I$2:$AT$2="SANITARIOS"))&gt;0,"SANITARIOS: "&amp;_xlfn.TEXTJOIN(", ",TRUE,IF((BF581:CQ581&lt;1)*(PARTIDAS!$I$2:$AT$2="SANITARIOS"),PARTIDAS!$I$1:$AT$1,"")),""),IF(SUMPRODUCT((BF581:CQ581&lt;1)*(PARTIDAS!$I$2:$AT$2="ELÉCTRICO"))&gt;0,"ELÉCTRICO: "&amp;_xlfn.TEXTJOIN(", ",TRUE,IF((BF581:CQ581&lt;1)*(PARTIDAS!$I$2:$AT$2="ELÉCTRICO"),PARTIDAS!$I$1:$AT$1,"")),""),IF(SUMPRODUCT((BF581:CQ581&lt;1)*(PARTIDAS!$I$2:$AT$2="TERMINACIONES"))&gt;0,"TERMINACIONES: "&amp;_xlfn.TEXTJOIN(", ",TRUE,IF((BF581:CQ581&lt;1)*(PARTIDAS!$I$2:$AT$2="TERMINACIONES"),PARTIDAS!$I$1:$AT$1,"")),""))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1" s="45" t="str" cm="1">
        <f t="array" ref="CT581">_xlfn.TEXTJOIN(", ",TRUE,IF(SUMPRODUCT((BF581:CQ581&lt;1)*(PARTIDAS!$I$2:$AT$2="OBRA GRUESA"))&gt;0,"OBRA GRUESA",""),IF(SUMPRODUCT((BF581:CQ581&lt;1)*(PARTIDAS!$I$2:$AT$2="SANITARIOS"))&gt;0,"SANITARIOS",""),IF(SUMPRODUCT((BF581:CQ581&lt;1)*(PARTIDAS!$I$2:$AT$2="ELÉCTRICO"))&gt;0,"ELÉCTRICO",""),IF(SUMPRODUCT((BF581:CQ581&lt;1)*(PARTIDAS!$I$2:$AT$2="TERMINACIONES"))&gt;0,"TERMINACIONES",""))</f>
        <v>OBRA GRUESA, SANITARIOS, ELÉCTRICO, TERMINACIONES</v>
      </c>
      <c r="CU581" s="46" cm="1">
        <f t="array" ref="CU581">SUMPRODUCT(--(BF581:CQ581&lt;1))</f>
        <v>38</v>
      </c>
    </row>
    <row r="582" spans="1:99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46181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 s="3" t="str">
        <f>+IF(AVANCE[[#This Row],[% AVANCE]]=100%,"MODULO TERMINADO",IF(AVANCE[[#This Row],[FECHA INICIO REAL]]="","MODULO NO INICIADO","PENDIENTE"))</f>
        <v>MODULO NO INICIADO</v>
      </c>
      <c r="BF582" s="3">
        <f>+IF(AVANCE[[#This Row],[VENTANAS]]=8.10810810810811%,100%,AVANCE[[#This Row],[VENTANAS]])</f>
        <v>0</v>
      </c>
      <c r="BG582" s="3">
        <f>+IF(AVANCE[[#This Row],[PISO]]=N$2,100%,AVANCE[[#This Row],[PISO]])</f>
        <v>0</v>
      </c>
      <c r="BH582" s="3">
        <f>+IF(AVANCE[[#This Row],[TABIQUES]]=O$2,100%,AVANCE[[#This Row],[TABIQUES]])</f>
        <v>0</v>
      </c>
      <c r="BI582" s="3">
        <f>+IF(AVANCE[[#This Row],[MUROS]]=P$2,100%,AVANCE[[#This Row],[MUROS]])</f>
        <v>0</v>
      </c>
      <c r="BJ582" s="3">
        <f>+IF(AVANCE[[#This Row],[CIELO]]=Q$2,100%,AVANCE[[#This Row],[CIELO]])</f>
        <v>0</v>
      </c>
      <c r="BK582" s="3">
        <f>+IF(AVANCE[[#This Row],[BALCÓN]]=R$2,100%,AVANCE[[#This Row],[BALCÓN]])</f>
        <v>0</v>
      </c>
      <c r="BL582" s="3">
        <f>+IF(AVANCE[[#This Row],[RED ALCANTARILLADO]]=U$2,100%,AVANCE[[#This Row],[RED ALCANTARILLADO]])</f>
        <v>0</v>
      </c>
      <c r="BM582" s="3">
        <f>+IF(AVANCE[[#This Row],[RED DE AGUA]]=V$2,100%,AVANCE[[#This Row],[RED DE AGUA]])</f>
        <v>0</v>
      </c>
      <c r="BN582" s="3">
        <f>+IF(AVANCE[[#This Row],[VENTILACIONES]]=W$2,100%,AVANCE[[#This Row],[VENTILACIONES]])</f>
        <v>0</v>
      </c>
      <c r="BO582" s="3">
        <f>+IF(AVANCE[[#This Row],[TINA]]=X$2,100%,AVANCE[[#This Row],[TINA]])</f>
        <v>0</v>
      </c>
      <c r="BP582" s="3">
        <f>+IF(AVANCE[[#This Row],[WC]]=Y$2,100%,AVANCE[[#This Row],[WC]])</f>
        <v>0</v>
      </c>
      <c r="BQ582" s="3">
        <f>+IF(AVANCE[[#This Row],[LAVAMANOS / LAVAPLATOS / LAVADERO]]=Z$2,100%,AVANCE[[#This Row],[LAVAMANOS / LAVAPLATOS / LAVADERO]])</f>
        <v>0</v>
      </c>
      <c r="BR582" s="3">
        <f>+IF(AVANCE[[#This Row],[CANALIZACIÓN]]=AC$2,100%,AVANCE[[#This Row],[CANALIZACIÓN]])</f>
        <v>0</v>
      </c>
      <c r="BS582" s="3">
        <f>+IF(AVANCE[[#This Row],[CABLEADO]]=AD$2,100%,AVANCE[[#This Row],[CABLEADO]])</f>
        <v>0</v>
      </c>
      <c r="BT582" s="3">
        <f>+IF(AVANCE[[#This Row],[ARTEFACTOS]]=AE$2,100%,AVANCE[[#This Row],[ARTEFACTOS]])</f>
        <v>0</v>
      </c>
      <c r="BU582" s="3">
        <f>+IF(AVANCE[[#This Row],[TABLERO]]=AF$2,100%,AVANCE[[#This Row],[TABLERO]])</f>
        <v>0</v>
      </c>
      <c r="BV582" s="3">
        <f>+IF(AVANCE[[#This Row],[CAJA PAU]]=AG$2,100%,AVANCE[[#This Row],[CAJA PAU]])</f>
        <v>0</v>
      </c>
      <c r="BW582" s="3">
        <f>+IF(AVANCE[[#This Row],[INSTALACION VINILICO]]=AJ$2,100%,AVANCE[[#This Row],[INSTALACION VINILICO]])</f>
        <v>0</v>
      </c>
      <c r="BX582" s="3">
        <f>+IF(AVANCE[[#This Row],[OSB CUBIERTA]]=AK$2,100%,AVANCE[[#This Row],[OSB CUBIERTA]])</f>
        <v>0</v>
      </c>
      <c r="BY582" s="3">
        <f>+IF(AVANCE[[#This Row],[BARANDA BALCON]]=AL$2,100%,AVANCE[[#This Row],[BARANDA BALCON]])</f>
        <v>0</v>
      </c>
      <c r="BZ582" s="3">
        <f>+IF(AVANCE[[#This Row],[OSB EXTERIOR]]=AM$2,100%,AVANCE[[#This Row],[OSB EXTERIOR]])</f>
        <v>0</v>
      </c>
      <c r="CA582" s="3">
        <f>+IF(AVANCE[[#This Row],[SMART PANEL]]=AN$2,100%,AVANCE[[#This Row],[SMART PANEL]])</f>
        <v>0</v>
      </c>
      <c r="CB582" s="3">
        <f>+IF(AVANCE[[#This Row],[PINTURA EXTERIOR]]=AO$2,100%,AVANCE[[#This Row],[PINTURA EXTERIOR]])</f>
        <v>0</v>
      </c>
      <c r="CC582" s="3">
        <f>+IF(AVANCE[[#This Row],[ZOCALOS LOGIA]]=AP$2,100%,AVANCE[[#This Row],[ZOCALOS LOGIA]])</f>
        <v>0</v>
      </c>
      <c r="CD582" s="3">
        <f>+IF(AVANCE[[#This Row],[MOLDURAS]]=AQ$2,100%,AVANCE[[#This Row],[MOLDURAS]])</f>
        <v>0</v>
      </c>
      <c r="CE582" s="3">
        <f>+IF(AVANCE[[#This Row],[PILASTREO]]=AR$2,100%,AVANCE[[#This Row],[PILASTREO]])</f>
        <v>0</v>
      </c>
      <c r="CF582" s="3">
        <f>+IF(AVANCE[[#This Row],[CELOSIAS]]=AS$2,100%,AVANCE[[#This Row],[CELOSIAS]])</f>
        <v>0</v>
      </c>
      <c r="CG582" s="3">
        <f>+IF(AVANCE[[#This Row],[VENTANAS]]=AT$2,100%,AVANCE[[#This Row],[VENTANAS]])</f>
        <v>0</v>
      </c>
      <c r="CH582" s="3">
        <f>+IF(AVANCE[[#This Row],[PUERTAS ACCESO - LOGIA - BANO]]=AU$2,100%,AVANCE[[#This Row],[PUERTAS ACCESO - LOGIA - BANO]])</f>
        <v>0</v>
      </c>
      <c r="CI582" s="3">
        <f>+IF(AVANCE[[#This Row],[CERRADURAS]]=AV$2,100%,AVANCE[[#This Row],[CERRADURAS]])</f>
        <v>0</v>
      </c>
      <c r="CJ582" s="3">
        <f>+IF(AVANCE[[#This Row],[REVESTIMIENTO INTERIOR ZONA SECA]]=AW$2,100%,AVANCE[[#This Row],[REVESTIMIENTO INTERIOR ZONA SECA]])</f>
        <v>0</v>
      </c>
      <c r="CK582" s="3">
        <f>+IF(AVANCE[[#This Row],[REVESTIMIENTO INTERIOR ZONAS HUMEDAS]]=AX$2,100%,AVANCE[[#This Row],[REVESTIMIENTO INTERIOR ZONAS HUMEDAS]])</f>
        <v>0</v>
      </c>
      <c r="CL582" s="3">
        <f>+IF(AVANCE[[#This Row],[MEMBRANA CIELO]]=AY$2,100%,AVANCE[[#This Row],[MEMBRANA CIELO]])</f>
        <v>0</v>
      </c>
      <c r="CM582" s="3">
        <f>+IF(AVANCE[[#This Row],[LIMPIEZA FINAL]]=AZ$2,100%,AVANCE[[#This Row],[LIMPIEZA FINAL]])</f>
        <v>0</v>
      </c>
      <c r="CN582" s="3">
        <f>+IF(AVANCE[[#This Row],[PUERTAS DORMITORIO]]=BA$2,100%,AVANCE[[#This Row],[PUERTAS DORMITORIO]])</f>
        <v>0</v>
      </c>
      <c r="CO582" s="3">
        <f>+IF(AVANCE[[#This Row],[REVESTIMIENTO INTERIOR BANO]]=BB$2,100%,AVANCE[[#This Row],[REVESTIMIENTO INTERIOR BANO]])</f>
        <v>0</v>
      </c>
      <c r="CP582" s="3">
        <f>+IF(AVANCE[[#This Row],[MUEBLE LAVAPLATOS]]=BC$2,100%,AVANCE[[#This Row],[MUEBLE LAVAPLATOS]])</f>
        <v>0</v>
      </c>
      <c r="CQ582" s="3">
        <f>+IF(AVANCE[[#This Row],[IMPERMEABILIZACION BANO - COCINA LOGIA]]=BD$2,100%,AVANCE[[#This Row],[IMPERMEABILIZACION BANO - COCINA LOGIA]])</f>
        <v>0</v>
      </c>
      <c r="CR582" s="40">
        <f ca="1">+IF(AVANCE[[#This Row],[ESTADO MODULO]]="PENDIENTE",(TODAY()-AVANCE[[#This Row],[FECHA TERMINO  PLANIFICADO]]),0)</f>
        <v>0</v>
      </c>
      <c r="CS582" s="42" t="str" cm="1">
        <f t="array" ref="CS582">_xlfn.TEXTJOIN(" | ",TRUE,IF(SUMPRODUCT((BF582:CQ582&lt;1)*(PARTIDAS!$I$2:$AT$2="OBRA GRUESA"))&gt;0,"OBRA GRUESA: "&amp;_xlfn.TEXTJOIN(", ",TRUE,IF((BF582:CQ582&lt;1)*(PARTIDAS!$I$2:$AT$2="OBRA GRUESA"),PARTIDAS!$I$1:$AT$1,"")),""),IF(SUMPRODUCT((BF582:CQ582&lt;1)*(PARTIDAS!$I$2:$AT$2="SANITARIOS"))&gt;0,"SANITARIOS: "&amp;_xlfn.TEXTJOIN(", ",TRUE,IF((BF582:CQ582&lt;1)*(PARTIDAS!$I$2:$AT$2="SANITARIOS"),PARTIDAS!$I$1:$AT$1,"")),""),IF(SUMPRODUCT((BF582:CQ582&lt;1)*(PARTIDAS!$I$2:$AT$2="ELÉCTRICO"))&gt;0,"ELÉCTRICO: "&amp;_xlfn.TEXTJOIN(", ",TRUE,IF((BF582:CQ582&lt;1)*(PARTIDAS!$I$2:$AT$2="ELÉCTRICO"),PARTIDAS!$I$1:$AT$1,"")),""),IF(SUMPRODUCT((BF582:CQ582&lt;1)*(PARTIDAS!$I$2:$AT$2="TERMINACIONES"))&gt;0,"TERMINACIONES: "&amp;_xlfn.TEXTJOIN(", ",TRUE,IF((BF582:CQ582&lt;1)*(PARTIDAS!$I$2:$AT$2="TERMINACIONES"),PARTIDAS!$I$1:$AT$1,"")),""))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2" s="45" t="str" cm="1">
        <f t="array" ref="CT582">_xlfn.TEXTJOIN(", ",TRUE,IF(SUMPRODUCT((BF582:CQ582&lt;1)*(PARTIDAS!$I$2:$AT$2="OBRA GRUESA"))&gt;0,"OBRA GRUESA",""),IF(SUMPRODUCT((BF582:CQ582&lt;1)*(PARTIDAS!$I$2:$AT$2="SANITARIOS"))&gt;0,"SANITARIOS",""),IF(SUMPRODUCT((BF582:CQ582&lt;1)*(PARTIDAS!$I$2:$AT$2="ELÉCTRICO"))&gt;0,"ELÉCTRICO",""),IF(SUMPRODUCT((BF582:CQ582&lt;1)*(PARTIDAS!$I$2:$AT$2="TERMINACIONES"))&gt;0,"TERMINACIONES",""))</f>
        <v>OBRA GRUESA, SANITARIOS, ELÉCTRICO, TERMINACIONES</v>
      </c>
      <c r="CU582" s="46" cm="1">
        <f t="array" ref="CU582">SUMPRODUCT(--(BF582:CQ582&lt;1))</f>
        <v>38</v>
      </c>
    </row>
    <row r="583" spans="1:99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46181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 s="3" t="str">
        <f>+IF(AVANCE[[#This Row],[% AVANCE]]=100%,"MODULO TERMINADO",IF(AVANCE[[#This Row],[FECHA INICIO REAL]]="","MODULO NO INICIADO","PENDIENTE"))</f>
        <v>MODULO NO INICIADO</v>
      </c>
      <c r="BF583" s="3">
        <f>+IF(AVANCE[[#This Row],[VENTANAS]]=8.10810810810811%,100%,AVANCE[[#This Row],[VENTANAS]])</f>
        <v>0</v>
      </c>
      <c r="BG583" s="3">
        <f>+IF(AVANCE[[#This Row],[PISO]]=N$2,100%,AVANCE[[#This Row],[PISO]])</f>
        <v>0</v>
      </c>
      <c r="BH583" s="3">
        <f>+IF(AVANCE[[#This Row],[TABIQUES]]=O$2,100%,AVANCE[[#This Row],[TABIQUES]])</f>
        <v>0</v>
      </c>
      <c r="BI583" s="3">
        <f>+IF(AVANCE[[#This Row],[MUROS]]=P$2,100%,AVANCE[[#This Row],[MUROS]])</f>
        <v>0</v>
      </c>
      <c r="BJ583" s="3">
        <f>+IF(AVANCE[[#This Row],[CIELO]]=Q$2,100%,AVANCE[[#This Row],[CIELO]])</f>
        <v>0</v>
      </c>
      <c r="BK583" s="3">
        <f>+IF(AVANCE[[#This Row],[BALCÓN]]=R$2,100%,AVANCE[[#This Row],[BALCÓN]])</f>
        <v>0</v>
      </c>
      <c r="BL583" s="3">
        <f>+IF(AVANCE[[#This Row],[RED ALCANTARILLADO]]=U$2,100%,AVANCE[[#This Row],[RED ALCANTARILLADO]])</f>
        <v>0</v>
      </c>
      <c r="BM583" s="3">
        <f>+IF(AVANCE[[#This Row],[RED DE AGUA]]=V$2,100%,AVANCE[[#This Row],[RED DE AGUA]])</f>
        <v>0</v>
      </c>
      <c r="BN583" s="3">
        <f>+IF(AVANCE[[#This Row],[VENTILACIONES]]=W$2,100%,AVANCE[[#This Row],[VENTILACIONES]])</f>
        <v>0</v>
      </c>
      <c r="BO583" s="3">
        <f>+IF(AVANCE[[#This Row],[TINA]]=X$2,100%,AVANCE[[#This Row],[TINA]])</f>
        <v>0</v>
      </c>
      <c r="BP583" s="3">
        <f>+IF(AVANCE[[#This Row],[WC]]=Y$2,100%,AVANCE[[#This Row],[WC]])</f>
        <v>0</v>
      </c>
      <c r="BQ583" s="3">
        <f>+IF(AVANCE[[#This Row],[LAVAMANOS / LAVAPLATOS / LAVADERO]]=Z$2,100%,AVANCE[[#This Row],[LAVAMANOS / LAVAPLATOS / LAVADERO]])</f>
        <v>0</v>
      </c>
      <c r="BR583" s="3">
        <f>+IF(AVANCE[[#This Row],[CANALIZACIÓN]]=AC$2,100%,AVANCE[[#This Row],[CANALIZACIÓN]])</f>
        <v>0</v>
      </c>
      <c r="BS583" s="3">
        <f>+IF(AVANCE[[#This Row],[CABLEADO]]=AD$2,100%,AVANCE[[#This Row],[CABLEADO]])</f>
        <v>0</v>
      </c>
      <c r="BT583" s="3">
        <f>+IF(AVANCE[[#This Row],[ARTEFACTOS]]=AE$2,100%,AVANCE[[#This Row],[ARTEFACTOS]])</f>
        <v>0</v>
      </c>
      <c r="BU583" s="3">
        <f>+IF(AVANCE[[#This Row],[TABLERO]]=AF$2,100%,AVANCE[[#This Row],[TABLERO]])</f>
        <v>0</v>
      </c>
      <c r="BV583" s="3">
        <f>+IF(AVANCE[[#This Row],[CAJA PAU]]=AG$2,100%,AVANCE[[#This Row],[CAJA PAU]])</f>
        <v>0</v>
      </c>
      <c r="BW583" s="3">
        <f>+IF(AVANCE[[#This Row],[INSTALACION VINILICO]]=AJ$2,100%,AVANCE[[#This Row],[INSTALACION VINILICO]])</f>
        <v>0</v>
      </c>
      <c r="BX583" s="3">
        <f>+IF(AVANCE[[#This Row],[OSB CUBIERTA]]=AK$2,100%,AVANCE[[#This Row],[OSB CUBIERTA]])</f>
        <v>0</v>
      </c>
      <c r="BY583" s="3">
        <f>+IF(AVANCE[[#This Row],[BARANDA BALCON]]=AL$2,100%,AVANCE[[#This Row],[BARANDA BALCON]])</f>
        <v>0</v>
      </c>
      <c r="BZ583" s="3">
        <f>+IF(AVANCE[[#This Row],[OSB EXTERIOR]]=AM$2,100%,AVANCE[[#This Row],[OSB EXTERIOR]])</f>
        <v>0</v>
      </c>
      <c r="CA583" s="3">
        <f>+IF(AVANCE[[#This Row],[SMART PANEL]]=AN$2,100%,AVANCE[[#This Row],[SMART PANEL]])</f>
        <v>0</v>
      </c>
      <c r="CB583" s="3">
        <f>+IF(AVANCE[[#This Row],[PINTURA EXTERIOR]]=AO$2,100%,AVANCE[[#This Row],[PINTURA EXTERIOR]])</f>
        <v>0</v>
      </c>
      <c r="CC583" s="3">
        <f>+IF(AVANCE[[#This Row],[ZOCALOS LOGIA]]=AP$2,100%,AVANCE[[#This Row],[ZOCALOS LOGIA]])</f>
        <v>0</v>
      </c>
      <c r="CD583" s="3">
        <f>+IF(AVANCE[[#This Row],[MOLDURAS]]=AQ$2,100%,AVANCE[[#This Row],[MOLDURAS]])</f>
        <v>0</v>
      </c>
      <c r="CE583" s="3">
        <f>+IF(AVANCE[[#This Row],[PILASTREO]]=AR$2,100%,AVANCE[[#This Row],[PILASTREO]])</f>
        <v>0</v>
      </c>
      <c r="CF583" s="3">
        <f>+IF(AVANCE[[#This Row],[CELOSIAS]]=AS$2,100%,AVANCE[[#This Row],[CELOSIAS]])</f>
        <v>0</v>
      </c>
      <c r="CG583" s="3">
        <f>+IF(AVANCE[[#This Row],[VENTANAS]]=AT$2,100%,AVANCE[[#This Row],[VENTANAS]])</f>
        <v>0</v>
      </c>
      <c r="CH583" s="3">
        <f>+IF(AVANCE[[#This Row],[PUERTAS ACCESO - LOGIA - BANO]]=AU$2,100%,AVANCE[[#This Row],[PUERTAS ACCESO - LOGIA - BANO]])</f>
        <v>0</v>
      </c>
      <c r="CI583" s="3">
        <f>+IF(AVANCE[[#This Row],[CERRADURAS]]=AV$2,100%,AVANCE[[#This Row],[CERRADURAS]])</f>
        <v>0</v>
      </c>
      <c r="CJ583" s="3">
        <f>+IF(AVANCE[[#This Row],[REVESTIMIENTO INTERIOR ZONA SECA]]=AW$2,100%,AVANCE[[#This Row],[REVESTIMIENTO INTERIOR ZONA SECA]])</f>
        <v>0</v>
      </c>
      <c r="CK583" s="3">
        <f>+IF(AVANCE[[#This Row],[REVESTIMIENTO INTERIOR ZONAS HUMEDAS]]=AX$2,100%,AVANCE[[#This Row],[REVESTIMIENTO INTERIOR ZONAS HUMEDAS]])</f>
        <v>0</v>
      </c>
      <c r="CL583" s="3">
        <f>+IF(AVANCE[[#This Row],[MEMBRANA CIELO]]=AY$2,100%,AVANCE[[#This Row],[MEMBRANA CIELO]])</f>
        <v>0</v>
      </c>
      <c r="CM583" s="3">
        <f>+IF(AVANCE[[#This Row],[LIMPIEZA FINAL]]=AZ$2,100%,AVANCE[[#This Row],[LIMPIEZA FINAL]])</f>
        <v>0</v>
      </c>
      <c r="CN583" s="3">
        <f>+IF(AVANCE[[#This Row],[PUERTAS DORMITORIO]]=BA$2,100%,AVANCE[[#This Row],[PUERTAS DORMITORIO]])</f>
        <v>0</v>
      </c>
      <c r="CO583" s="3">
        <f>+IF(AVANCE[[#This Row],[REVESTIMIENTO INTERIOR BANO]]=BB$2,100%,AVANCE[[#This Row],[REVESTIMIENTO INTERIOR BANO]])</f>
        <v>0</v>
      </c>
      <c r="CP583" s="3">
        <f>+IF(AVANCE[[#This Row],[MUEBLE LAVAPLATOS]]=BC$2,100%,AVANCE[[#This Row],[MUEBLE LAVAPLATOS]])</f>
        <v>0</v>
      </c>
      <c r="CQ583" s="3">
        <f>+IF(AVANCE[[#This Row],[IMPERMEABILIZACION BANO - COCINA LOGIA]]=BD$2,100%,AVANCE[[#This Row],[IMPERMEABILIZACION BANO - COCINA LOGIA]])</f>
        <v>0</v>
      </c>
      <c r="CR583" s="40">
        <f ca="1">+IF(AVANCE[[#This Row],[ESTADO MODULO]]="PENDIENTE",(TODAY()-AVANCE[[#This Row],[FECHA TERMINO  PLANIFICADO]]),0)</f>
        <v>0</v>
      </c>
      <c r="CS583" s="42" t="str" cm="1">
        <f t="array" ref="CS583">_xlfn.TEXTJOIN(" | ",TRUE,IF(SUMPRODUCT((BF583:CQ583&lt;1)*(PARTIDAS!$I$2:$AT$2="OBRA GRUESA"))&gt;0,"OBRA GRUESA: "&amp;_xlfn.TEXTJOIN(", ",TRUE,IF((BF583:CQ583&lt;1)*(PARTIDAS!$I$2:$AT$2="OBRA GRUESA"),PARTIDAS!$I$1:$AT$1,"")),""),IF(SUMPRODUCT((BF583:CQ583&lt;1)*(PARTIDAS!$I$2:$AT$2="SANITARIOS"))&gt;0,"SANITARIOS: "&amp;_xlfn.TEXTJOIN(", ",TRUE,IF((BF583:CQ583&lt;1)*(PARTIDAS!$I$2:$AT$2="SANITARIOS"),PARTIDAS!$I$1:$AT$1,"")),""),IF(SUMPRODUCT((BF583:CQ583&lt;1)*(PARTIDAS!$I$2:$AT$2="ELÉCTRICO"))&gt;0,"ELÉCTRICO: "&amp;_xlfn.TEXTJOIN(", ",TRUE,IF((BF583:CQ583&lt;1)*(PARTIDAS!$I$2:$AT$2="ELÉCTRICO"),PARTIDAS!$I$1:$AT$1,"")),""),IF(SUMPRODUCT((BF583:CQ583&lt;1)*(PARTIDAS!$I$2:$AT$2="TERMINACIONES"))&gt;0,"TERMINACIONES: "&amp;_xlfn.TEXTJOIN(", ",TRUE,IF((BF583:CQ583&lt;1)*(PARTIDAS!$I$2:$AT$2="TERMINACIONES"),PARTIDAS!$I$1:$AT$1,"")),""))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3" s="45" t="str" cm="1">
        <f t="array" ref="CT583">_xlfn.TEXTJOIN(", ",TRUE,IF(SUMPRODUCT((BF583:CQ583&lt;1)*(PARTIDAS!$I$2:$AT$2="OBRA GRUESA"))&gt;0,"OBRA GRUESA",""),IF(SUMPRODUCT((BF583:CQ583&lt;1)*(PARTIDAS!$I$2:$AT$2="SANITARIOS"))&gt;0,"SANITARIOS",""),IF(SUMPRODUCT((BF583:CQ583&lt;1)*(PARTIDAS!$I$2:$AT$2="ELÉCTRICO"))&gt;0,"ELÉCTRICO",""),IF(SUMPRODUCT((BF583:CQ583&lt;1)*(PARTIDAS!$I$2:$AT$2="TERMINACIONES"))&gt;0,"TERMINACIONES",""))</f>
        <v>OBRA GRUESA, SANITARIOS, ELÉCTRICO, TERMINACIONES</v>
      </c>
      <c r="CU583" s="46" cm="1">
        <f t="array" ref="CU583">SUMPRODUCT(--(BF583:CQ583&lt;1))</f>
        <v>38</v>
      </c>
    </row>
    <row r="584" spans="1:99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46181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 s="3" t="str">
        <f>+IF(AVANCE[[#This Row],[% AVANCE]]=100%,"MODULO TERMINADO",IF(AVANCE[[#This Row],[FECHA INICIO REAL]]="","MODULO NO INICIADO","PENDIENTE"))</f>
        <v>MODULO NO INICIADO</v>
      </c>
      <c r="BF584" s="3">
        <f>+IF(AVANCE[[#This Row],[VENTANAS]]=8.10810810810811%,100%,AVANCE[[#This Row],[VENTANAS]])</f>
        <v>0</v>
      </c>
      <c r="BG584" s="3">
        <f>+IF(AVANCE[[#This Row],[PISO]]=N$2,100%,AVANCE[[#This Row],[PISO]])</f>
        <v>0</v>
      </c>
      <c r="BH584" s="3">
        <f>+IF(AVANCE[[#This Row],[TABIQUES]]=O$2,100%,AVANCE[[#This Row],[TABIQUES]])</f>
        <v>0</v>
      </c>
      <c r="BI584" s="3">
        <f>+IF(AVANCE[[#This Row],[MUROS]]=P$2,100%,AVANCE[[#This Row],[MUROS]])</f>
        <v>0</v>
      </c>
      <c r="BJ584" s="3">
        <f>+IF(AVANCE[[#This Row],[CIELO]]=Q$2,100%,AVANCE[[#This Row],[CIELO]])</f>
        <v>0</v>
      </c>
      <c r="BK584" s="3">
        <f>+IF(AVANCE[[#This Row],[BALCÓN]]=R$2,100%,AVANCE[[#This Row],[BALCÓN]])</f>
        <v>0</v>
      </c>
      <c r="BL584" s="3">
        <f>+IF(AVANCE[[#This Row],[RED ALCANTARILLADO]]=U$2,100%,AVANCE[[#This Row],[RED ALCANTARILLADO]])</f>
        <v>0</v>
      </c>
      <c r="BM584" s="3">
        <f>+IF(AVANCE[[#This Row],[RED DE AGUA]]=V$2,100%,AVANCE[[#This Row],[RED DE AGUA]])</f>
        <v>0</v>
      </c>
      <c r="BN584" s="3">
        <f>+IF(AVANCE[[#This Row],[VENTILACIONES]]=W$2,100%,AVANCE[[#This Row],[VENTILACIONES]])</f>
        <v>0</v>
      </c>
      <c r="BO584" s="3">
        <f>+IF(AVANCE[[#This Row],[TINA]]=X$2,100%,AVANCE[[#This Row],[TINA]])</f>
        <v>0</v>
      </c>
      <c r="BP584" s="3">
        <f>+IF(AVANCE[[#This Row],[WC]]=Y$2,100%,AVANCE[[#This Row],[WC]])</f>
        <v>0</v>
      </c>
      <c r="BQ584" s="3">
        <f>+IF(AVANCE[[#This Row],[LAVAMANOS / LAVAPLATOS / LAVADERO]]=Z$2,100%,AVANCE[[#This Row],[LAVAMANOS / LAVAPLATOS / LAVADERO]])</f>
        <v>0</v>
      </c>
      <c r="BR584" s="3">
        <f>+IF(AVANCE[[#This Row],[CANALIZACIÓN]]=AC$2,100%,AVANCE[[#This Row],[CANALIZACIÓN]])</f>
        <v>0</v>
      </c>
      <c r="BS584" s="3">
        <f>+IF(AVANCE[[#This Row],[CABLEADO]]=AD$2,100%,AVANCE[[#This Row],[CABLEADO]])</f>
        <v>0</v>
      </c>
      <c r="BT584" s="3">
        <f>+IF(AVANCE[[#This Row],[ARTEFACTOS]]=AE$2,100%,AVANCE[[#This Row],[ARTEFACTOS]])</f>
        <v>0</v>
      </c>
      <c r="BU584" s="3">
        <f>+IF(AVANCE[[#This Row],[TABLERO]]=AF$2,100%,AVANCE[[#This Row],[TABLERO]])</f>
        <v>0</v>
      </c>
      <c r="BV584" s="3">
        <f>+IF(AVANCE[[#This Row],[CAJA PAU]]=AG$2,100%,AVANCE[[#This Row],[CAJA PAU]])</f>
        <v>0</v>
      </c>
      <c r="BW584" s="3">
        <f>+IF(AVANCE[[#This Row],[INSTALACION VINILICO]]=AJ$2,100%,AVANCE[[#This Row],[INSTALACION VINILICO]])</f>
        <v>0</v>
      </c>
      <c r="BX584" s="3">
        <f>+IF(AVANCE[[#This Row],[OSB CUBIERTA]]=AK$2,100%,AVANCE[[#This Row],[OSB CUBIERTA]])</f>
        <v>0</v>
      </c>
      <c r="BY584" s="3">
        <f>+IF(AVANCE[[#This Row],[BARANDA BALCON]]=AL$2,100%,AVANCE[[#This Row],[BARANDA BALCON]])</f>
        <v>0</v>
      </c>
      <c r="BZ584" s="3">
        <f>+IF(AVANCE[[#This Row],[OSB EXTERIOR]]=AM$2,100%,AVANCE[[#This Row],[OSB EXTERIOR]])</f>
        <v>0</v>
      </c>
      <c r="CA584" s="3">
        <f>+IF(AVANCE[[#This Row],[SMART PANEL]]=AN$2,100%,AVANCE[[#This Row],[SMART PANEL]])</f>
        <v>0</v>
      </c>
      <c r="CB584" s="3">
        <f>+IF(AVANCE[[#This Row],[PINTURA EXTERIOR]]=AO$2,100%,AVANCE[[#This Row],[PINTURA EXTERIOR]])</f>
        <v>0</v>
      </c>
      <c r="CC584" s="3">
        <f>+IF(AVANCE[[#This Row],[ZOCALOS LOGIA]]=AP$2,100%,AVANCE[[#This Row],[ZOCALOS LOGIA]])</f>
        <v>0</v>
      </c>
      <c r="CD584" s="3">
        <f>+IF(AVANCE[[#This Row],[MOLDURAS]]=AQ$2,100%,AVANCE[[#This Row],[MOLDURAS]])</f>
        <v>0</v>
      </c>
      <c r="CE584" s="3">
        <f>+IF(AVANCE[[#This Row],[PILASTREO]]=AR$2,100%,AVANCE[[#This Row],[PILASTREO]])</f>
        <v>0</v>
      </c>
      <c r="CF584" s="3">
        <f>+IF(AVANCE[[#This Row],[CELOSIAS]]=AS$2,100%,AVANCE[[#This Row],[CELOSIAS]])</f>
        <v>0</v>
      </c>
      <c r="CG584" s="3">
        <f>+IF(AVANCE[[#This Row],[VENTANAS]]=AT$2,100%,AVANCE[[#This Row],[VENTANAS]])</f>
        <v>0</v>
      </c>
      <c r="CH584" s="3">
        <f>+IF(AVANCE[[#This Row],[PUERTAS ACCESO - LOGIA - BANO]]=AU$2,100%,AVANCE[[#This Row],[PUERTAS ACCESO - LOGIA - BANO]])</f>
        <v>0</v>
      </c>
      <c r="CI584" s="3">
        <f>+IF(AVANCE[[#This Row],[CERRADURAS]]=AV$2,100%,AVANCE[[#This Row],[CERRADURAS]])</f>
        <v>0</v>
      </c>
      <c r="CJ584" s="3">
        <f>+IF(AVANCE[[#This Row],[REVESTIMIENTO INTERIOR ZONA SECA]]=AW$2,100%,AVANCE[[#This Row],[REVESTIMIENTO INTERIOR ZONA SECA]])</f>
        <v>0</v>
      </c>
      <c r="CK584" s="3">
        <f>+IF(AVANCE[[#This Row],[REVESTIMIENTO INTERIOR ZONAS HUMEDAS]]=AX$2,100%,AVANCE[[#This Row],[REVESTIMIENTO INTERIOR ZONAS HUMEDAS]])</f>
        <v>0</v>
      </c>
      <c r="CL584" s="3">
        <f>+IF(AVANCE[[#This Row],[MEMBRANA CIELO]]=AY$2,100%,AVANCE[[#This Row],[MEMBRANA CIELO]])</f>
        <v>0</v>
      </c>
      <c r="CM584" s="3">
        <f>+IF(AVANCE[[#This Row],[LIMPIEZA FINAL]]=AZ$2,100%,AVANCE[[#This Row],[LIMPIEZA FINAL]])</f>
        <v>0</v>
      </c>
      <c r="CN584" s="3">
        <f>+IF(AVANCE[[#This Row],[PUERTAS DORMITORIO]]=BA$2,100%,AVANCE[[#This Row],[PUERTAS DORMITORIO]])</f>
        <v>0</v>
      </c>
      <c r="CO584" s="3">
        <f>+IF(AVANCE[[#This Row],[REVESTIMIENTO INTERIOR BANO]]=BB$2,100%,AVANCE[[#This Row],[REVESTIMIENTO INTERIOR BANO]])</f>
        <v>0</v>
      </c>
      <c r="CP584" s="3">
        <f>+IF(AVANCE[[#This Row],[MUEBLE LAVAPLATOS]]=BC$2,100%,AVANCE[[#This Row],[MUEBLE LAVAPLATOS]])</f>
        <v>0</v>
      </c>
      <c r="CQ584" s="3">
        <f>+IF(AVANCE[[#This Row],[IMPERMEABILIZACION BANO - COCINA LOGIA]]=BD$2,100%,AVANCE[[#This Row],[IMPERMEABILIZACION BANO - COCINA LOGIA]])</f>
        <v>0</v>
      </c>
      <c r="CR584" s="40">
        <f ca="1">+IF(AVANCE[[#This Row],[ESTADO MODULO]]="PENDIENTE",(TODAY()-AVANCE[[#This Row],[FECHA TERMINO  PLANIFICADO]]),0)</f>
        <v>0</v>
      </c>
      <c r="CS584" s="42" t="str" cm="1">
        <f t="array" ref="CS584">_xlfn.TEXTJOIN(" | ",TRUE,IF(SUMPRODUCT((BF584:CQ584&lt;1)*(PARTIDAS!$I$2:$AT$2="OBRA GRUESA"))&gt;0,"OBRA GRUESA: "&amp;_xlfn.TEXTJOIN(", ",TRUE,IF((BF584:CQ584&lt;1)*(PARTIDAS!$I$2:$AT$2="OBRA GRUESA"),PARTIDAS!$I$1:$AT$1,"")),""),IF(SUMPRODUCT((BF584:CQ584&lt;1)*(PARTIDAS!$I$2:$AT$2="SANITARIOS"))&gt;0,"SANITARIOS: "&amp;_xlfn.TEXTJOIN(", ",TRUE,IF((BF584:CQ584&lt;1)*(PARTIDAS!$I$2:$AT$2="SANITARIOS"),PARTIDAS!$I$1:$AT$1,"")),""),IF(SUMPRODUCT((BF584:CQ584&lt;1)*(PARTIDAS!$I$2:$AT$2="ELÉCTRICO"))&gt;0,"ELÉCTRICO: "&amp;_xlfn.TEXTJOIN(", ",TRUE,IF((BF584:CQ584&lt;1)*(PARTIDAS!$I$2:$AT$2="ELÉCTRICO"),PARTIDAS!$I$1:$AT$1,"")),""),IF(SUMPRODUCT((BF584:CQ584&lt;1)*(PARTIDAS!$I$2:$AT$2="TERMINACIONES"))&gt;0,"TERMINACIONES: "&amp;_xlfn.TEXTJOIN(", ",TRUE,IF((BF584:CQ584&lt;1)*(PARTIDAS!$I$2:$AT$2="TERMINACIONES"),PARTIDAS!$I$1:$AT$1,"")),""))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4" s="45" t="str" cm="1">
        <f t="array" ref="CT584">_xlfn.TEXTJOIN(", ",TRUE,IF(SUMPRODUCT((BF584:CQ584&lt;1)*(PARTIDAS!$I$2:$AT$2="OBRA GRUESA"))&gt;0,"OBRA GRUESA",""),IF(SUMPRODUCT((BF584:CQ584&lt;1)*(PARTIDAS!$I$2:$AT$2="SANITARIOS"))&gt;0,"SANITARIOS",""),IF(SUMPRODUCT((BF584:CQ584&lt;1)*(PARTIDAS!$I$2:$AT$2="ELÉCTRICO"))&gt;0,"ELÉCTRICO",""),IF(SUMPRODUCT((BF584:CQ584&lt;1)*(PARTIDAS!$I$2:$AT$2="TERMINACIONES"))&gt;0,"TERMINACIONES",""))</f>
        <v>OBRA GRUESA, SANITARIOS, ELÉCTRICO, TERMINACIONES</v>
      </c>
      <c r="CU584" s="46" cm="1">
        <f t="array" ref="CU584">SUMPRODUCT(--(BF584:CQ584&lt;1))</f>
        <v>38</v>
      </c>
    </row>
    <row r="585" spans="1:99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46181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 s="3" t="str">
        <f>+IF(AVANCE[[#This Row],[% AVANCE]]=100%,"MODULO TERMINADO",IF(AVANCE[[#This Row],[FECHA INICIO REAL]]="","MODULO NO INICIADO","PENDIENTE"))</f>
        <v>MODULO NO INICIADO</v>
      </c>
      <c r="BF585" s="3">
        <f>+IF(AVANCE[[#This Row],[VENTANAS]]=8.10810810810811%,100%,AVANCE[[#This Row],[VENTANAS]])</f>
        <v>0</v>
      </c>
      <c r="BG585" s="3">
        <f>+IF(AVANCE[[#This Row],[PISO]]=N$2,100%,AVANCE[[#This Row],[PISO]])</f>
        <v>0</v>
      </c>
      <c r="BH585" s="3">
        <f>+IF(AVANCE[[#This Row],[TABIQUES]]=O$2,100%,AVANCE[[#This Row],[TABIQUES]])</f>
        <v>0</v>
      </c>
      <c r="BI585" s="3">
        <f>+IF(AVANCE[[#This Row],[MUROS]]=P$2,100%,AVANCE[[#This Row],[MUROS]])</f>
        <v>0</v>
      </c>
      <c r="BJ585" s="3">
        <f>+IF(AVANCE[[#This Row],[CIELO]]=Q$2,100%,AVANCE[[#This Row],[CIELO]])</f>
        <v>0</v>
      </c>
      <c r="BK585" s="3">
        <f>+IF(AVANCE[[#This Row],[BALCÓN]]=R$2,100%,AVANCE[[#This Row],[BALCÓN]])</f>
        <v>0</v>
      </c>
      <c r="BL585" s="3">
        <f>+IF(AVANCE[[#This Row],[RED ALCANTARILLADO]]=U$2,100%,AVANCE[[#This Row],[RED ALCANTARILLADO]])</f>
        <v>0</v>
      </c>
      <c r="BM585" s="3">
        <f>+IF(AVANCE[[#This Row],[RED DE AGUA]]=V$2,100%,AVANCE[[#This Row],[RED DE AGUA]])</f>
        <v>0</v>
      </c>
      <c r="BN585" s="3">
        <f>+IF(AVANCE[[#This Row],[VENTILACIONES]]=W$2,100%,AVANCE[[#This Row],[VENTILACIONES]])</f>
        <v>0</v>
      </c>
      <c r="BO585" s="3">
        <f>+IF(AVANCE[[#This Row],[TINA]]=X$2,100%,AVANCE[[#This Row],[TINA]])</f>
        <v>0</v>
      </c>
      <c r="BP585" s="3">
        <f>+IF(AVANCE[[#This Row],[WC]]=Y$2,100%,AVANCE[[#This Row],[WC]])</f>
        <v>0</v>
      </c>
      <c r="BQ585" s="3">
        <f>+IF(AVANCE[[#This Row],[LAVAMANOS / LAVAPLATOS / LAVADERO]]=Z$2,100%,AVANCE[[#This Row],[LAVAMANOS / LAVAPLATOS / LAVADERO]])</f>
        <v>0</v>
      </c>
      <c r="BR585" s="3">
        <f>+IF(AVANCE[[#This Row],[CANALIZACIÓN]]=AC$2,100%,AVANCE[[#This Row],[CANALIZACIÓN]])</f>
        <v>0</v>
      </c>
      <c r="BS585" s="3">
        <f>+IF(AVANCE[[#This Row],[CABLEADO]]=AD$2,100%,AVANCE[[#This Row],[CABLEADO]])</f>
        <v>0</v>
      </c>
      <c r="BT585" s="3">
        <f>+IF(AVANCE[[#This Row],[ARTEFACTOS]]=AE$2,100%,AVANCE[[#This Row],[ARTEFACTOS]])</f>
        <v>0</v>
      </c>
      <c r="BU585" s="3">
        <f>+IF(AVANCE[[#This Row],[TABLERO]]=AF$2,100%,AVANCE[[#This Row],[TABLERO]])</f>
        <v>0</v>
      </c>
      <c r="BV585" s="3">
        <f>+IF(AVANCE[[#This Row],[CAJA PAU]]=AG$2,100%,AVANCE[[#This Row],[CAJA PAU]])</f>
        <v>0</v>
      </c>
      <c r="BW585" s="3">
        <f>+IF(AVANCE[[#This Row],[INSTALACION VINILICO]]=AJ$2,100%,AVANCE[[#This Row],[INSTALACION VINILICO]])</f>
        <v>0</v>
      </c>
      <c r="BX585" s="3">
        <f>+IF(AVANCE[[#This Row],[OSB CUBIERTA]]=AK$2,100%,AVANCE[[#This Row],[OSB CUBIERTA]])</f>
        <v>0</v>
      </c>
      <c r="BY585" s="3">
        <f>+IF(AVANCE[[#This Row],[BARANDA BALCON]]=AL$2,100%,AVANCE[[#This Row],[BARANDA BALCON]])</f>
        <v>0</v>
      </c>
      <c r="BZ585" s="3">
        <f>+IF(AVANCE[[#This Row],[OSB EXTERIOR]]=AM$2,100%,AVANCE[[#This Row],[OSB EXTERIOR]])</f>
        <v>0</v>
      </c>
      <c r="CA585" s="3">
        <f>+IF(AVANCE[[#This Row],[SMART PANEL]]=AN$2,100%,AVANCE[[#This Row],[SMART PANEL]])</f>
        <v>0</v>
      </c>
      <c r="CB585" s="3">
        <f>+IF(AVANCE[[#This Row],[PINTURA EXTERIOR]]=AO$2,100%,AVANCE[[#This Row],[PINTURA EXTERIOR]])</f>
        <v>0</v>
      </c>
      <c r="CC585" s="3">
        <f>+IF(AVANCE[[#This Row],[ZOCALOS LOGIA]]=AP$2,100%,AVANCE[[#This Row],[ZOCALOS LOGIA]])</f>
        <v>0</v>
      </c>
      <c r="CD585" s="3">
        <f>+IF(AVANCE[[#This Row],[MOLDURAS]]=AQ$2,100%,AVANCE[[#This Row],[MOLDURAS]])</f>
        <v>0</v>
      </c>
      <c r="CE585" s="3">
        <f>+IF(AVANCE[[#This Row],[PILASTREO]]=AR$2,100%,AVANCE[[#This Row],[PILASTREO]])</f>
        <v>0</v>
      </c>
      <c r="CF585" s="3">
        <f>+IF(AVANCE[[#This Row],[CELOSIAS]]=AS$2,100%,AVANCE[[#This Row],[CELOSIAS]])</f>
        <v>0</v>
      </c>
      <c r="CG585" s="3">
        <f>+IF(AVANCE[[#This Row],[VENTANAS]]=AT$2,100%,AVANCE[[#This Row],[VENTANAS]])</f>
        <v>0</v>
      </c>
      <c r="CH585" s="3">
        <f>+IF(AVANCE[[#This Row],[PUERTAS ACCESO - LOGIA - BANO]]=AU$2,100%,AVANCE[[#This Row],[PUERTAS ACCESO - LOGIA - BANO]])</f>
        <v>0</v>
      </c>
      <c r="CI585" s="3">
        <f>+IF(AVANCE[[#This Row],[CERRADURAS]]=AV$2,100%,AVANCE[[#This Row],[CERRADURAS]])</f>
        <v>0</v>
      </c>
      <c r="CJ585" s="3">
        <f>+IF(AVANCE[[#This Row],[REVESTIMIENTO INTERIOR ZONA SECA]]=AW$2,100%,AVANCE[[#This Row],[REVESTIMIENTO INTERIOR ZONA SECA]])</f>
        <v>0</v>
      </c>
      <c r="CK585" s="3">
        <f>+IF(AVANCE[[#This Row],[REVESTIMIENTO INTERIOR ZONAS HUMEDAS]]=AX$2,100%,AVANCE[[#This Row],[REVESTIMIENTO INTERIOR ZONAS HUMEDAS]])</f>
        <v>0</v>
      </c>
      <c r="CL585" s="3">
        <f>+IF(AVANCE[[#This Row],[MEMBRANA CIELO]]=AY$2,100%,AVANCE[[#This Row],[MEMBRANA CIELO]])</f>
        <v>0</v>
      </c>
      <c r="CM585" s="3">
        <f>+IF(AVANCE[[#This Row],[LIMPIEZA FINAL]]=AZ$2,100%,AVANCE[[#This Row],[LIMPIEZA FINAL]])</f>
        <v>0</v>
      </c>
      <c r="CN585" s="3">
        <f>+IF(AVANCE[[#This Row],[PUERTAS DORMITORIO]]=BA$2,100%,AVANCE[[#This Row],[PUERTAS DORMITORIO]])</f>
        <v>0</v>
      </c>
      <c r="CO585" s="3">
        <f>+IF(AVANCE[[#This Row],[REVESTIMIENTO INTERIOR BANO]]=BB$2,100%,AVANCE[[#This Row],[REVESTIMIENTO INTERIOR BANO]])</f>
        <v>0</v>
      </c>
      <c r="CP585" s="3">
        <f>+IF(AVANCE[[#This Row],[MUEBLE LAVAPLATOS]]=BC$2,100%,AVANCE[[#This Row],[MUEBLE LAVAPLATOS]])</f>
        <v>0</v>
      </c>
      <c r="CQ585" s="3">
        <f>+IF(AVANCE[[#This Row],[IMPERMEABILIZACION BANO - COCINA LOGIA]]=BD$2,100%,AVANCE[[#This Row],[IMPERMEABILIZACION BANO - COCINA LOGIA]])</f>
        <v>0</v>
      </c>
      <c r="CR585" s="40">
        <f ca="1">+IF(AVANCE[[#This Row],[ESTADO MODULO]]="PENDIENTE",(TODAY()-AVANCE[[#This Row],[FECHA TERMINO  PLANIFICADO]]),0)</f>
        <v>0</v>
      </c>
      <c r="CS585" s="42" t="str" cm="1">
        <f t="array" ref="CS585">_xlfn.TEXTJOIN(" | ",TRUE,IF(SUMPRODUCT((BF585:CQ585&lt;1)*(PARTIDAS!$I$2:$AT$2="OBRA GRUESA"))&gt;0,"OBRA GRUESA: "&amp;_xlfn.TEXTJOIN(", ",TRUE,IF((BF585:CQ585&lt;1)*(PARTIDAS!$I$2:$AT$2="OBRA GRUESA"),PARTIDAS!$I$1:$AT$1,"")),""),IF(SUMPRODUCT((BF585:CQ585&lt;1)*(PARTIDAS!$I$2:$AT$2="SANITARIOS"))&gt;0,"SANITARIOS: "&amp;_xlfn.TEXTJOIN(", ",TRUE,IF((BF585:CQ585&lt;1)*(PARTIDAS!$I$2:$AT$2="SANITARIOS"),PARTIDAS!$I$1:$AT$1,"")),""),IF(SUMPRODUCT((BF585:CQ585&lt;1)*(PARTIDAS!$I$2:$AT$2="ELÉCTRICO"))&gt;0,"ELÉCTRICO: "&amp;_xlfn.TEXTJOIN(", ",TRUE,IF((BF585:CQ585&lt;1)*(PARTIDAS!$I$2:$AT$2="ELÉCTRICO"),PARTIDAS!$I$1:$AT$1,"")),""),IF(SUMPRODUCT((BF585:CQ585&lt;1)*(PARTIDAS!$I$2:$AT$2="TERMINACIONES"))&gt;0,"TERMINACIONES: "&amp;_xlfn.TEXTJOIN(", ",TRUE,IF((BF585:CQ585&lt;1)*(PARTIDAS!$I$2:$AT$2="TERMINACIONES"),PARTIDAS!$I$1:$AT$1,"")),""))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5" s="45" t="str" cm="1">
        <f t="array" ref="CT585">_xlfn.TEXTJOIN(", ",TRUE,IF(SUMPRODUCT((BF585:CQ585&lt;1)*(PARTIDAS!$I$2:$AT$2="OBRA GRUESA"))&gt;0,"OBRA GRUESA",""),IF(SUMPRODUCT((BF585:CQ585&lt;1)*(PARTIDAS!$I$2:$AT$2="SANITARIOS"))&gt;0,"SANITARIOS",""),IF(SUMPRODUCT((BF585:CQ585&lt;1)*(PARTIDAS!$I$2:$AT$2="ELÉCTRICO"))&gt;0,"ELÉCTRICO",""),IF(SUMPRODUCT((BF585:CQ585&lt;1)*(PARTIDAS!$I$2:$AT$2="TERMINACIONES"))&gt;0,"TERMINACIONES",""))</f>
        <v>OBRA GRUESA, SANITARIOS, ELÉCTRICO, TERMINACIONES</v>
      </c>
      <c r="CU585" s="46" cm="1">
        <f t="array" ref="CU585">SUMPRODUCT(--(BF585:CQ585&lt;1))</f>
        <v>38</v>
      </c>
    </row>
    <row r="586" spans="1:99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46181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 s="3" t="str">
        <f>+IF(AVANCE[[#This Row],[% AVANCE]]=100%,"MODULO TERMINADO",IF(AVANCE[[#This Row],[FECHA INICIO REAL]]="","MODULO NO INICIADO","PENDIENTE"))</f>
        <v>MODULO NO INICIADO</v>
      </c>
      <c r="BF586" s="3">
        <f>+IF(AVANCE[[#This Row],[VENTANAS]]=8.10810810810811%,100%,AVANCE[[#This Row],[VENTANAS]])</f>
        <v>0</v>
      </c>
      <c r="BG586" s="3">
        <f>+IF(AVANCE[[#This Row],[PISO]]=N$2,100%,AVANCE[[#This Row],[PISO]])</f>
        <v>0</v>
      </c>
      <c r="BH586" s="3">
        <f>+IF(AVANCE[[#This Row],[TABIQUES]]=O$2,100%,AVANCE[[#This Row],[TABIQUES]])</f>
        <v>0</v>
      </c>
      <c r="BI586" s="3">
        <f>+IF(AVANCE[[#This Row],[MUROS]]=P$2,100%,AVANCE[[#This Row],[MUROS]])</f>
        <v>0</v>
      </c>
      <c r="BJ586" s="3">
        <f>+IF(AVANCE[[#This Row],[CIELO]]=Q$2,100%,AVANCE[[#This Row],[CIELO]])</f>
        <v>0</v>
      </c>
      <c r="BK586" s="3">
        <f>+IF(AVANCE[[#This Row],[BALCÓN]]=R$2,100%,AVANCE[[#This Row],[BALCÓN]])</f>
        <v>0</v>
      </c>
      <c r="BL586" s="3">
        <f>+IF(AVANCE[[#This Row],[RED ALCANTARILLADO]]=U$2,100%,AVANCE[[#This Row],[RED ALCANTARILLADO]])</f>
        <v>0</v>
      </c>
      <c r="BM586" s="3">
        <f>+IF(AVANCE[[#This Row],[RED DE AGUA]]=V$2,100%,AVANCE[[#This Row],[RED DE AGUA]])</f>
        <v>0</v>
      </c>
      <c r="BN586" s="3">
        <f>+IF(AVANCE[[#This Row],[VENTILACIONES]]=W$2,100%,AVANCE[[#This Row],[VENTILACIONES]])</f>
        <v>0</v>
      </c>
      <c r="BO586" s="3">
        <f>+IF(AVANCE[[#This Row],[TINA]]=X$2,100%,AVANCE[[#This Row],[TINA]])</f>
        <v>0</v>
      </c>
      <c r="BP586" s="3">
        <f>+IF(AVANCE[[#This Row],[WC]]=Y$2,100%,AVANCE[[#This Row],[WC]])</f>
        <v>0</v>
      </c>
      <c r="BQ586" s="3">
        <f>+IF(AVANCE[[#This Row],[LAVAMANOS / LAVAPLATOS / LAVADERO]]=Z$2,100%,AVANCE[[#This Row],[LAVAMANOS / LAVAPLATOS / LAVADERO]])</f>
        <v>0</v>
      </c>
      <c r="BR586" s="3">
        <f>+IF(AVANCE[[#This Row],[CANALIZACIÓN]]=AC$2,100%,AVANCE[[#This Row],[CANALIZACIÓN]])</f>
        <v>0</v>
      </c>
      <c r="BS586" s="3">
        <f>+IF(AVANCE[[#This Row],[CABLEADO]]=AD$2,100%,AVANCE[[#This Row],[CABLEADO]])</f>
        <v>0</v>
      </c>
      <c r="BT586" s="3">
        <f>+IF(AVANCE[[#This Row],[ARTEFACTOS]]=AE$2,100%,AVANCE[[#This Row],[ARTEFACTOS]])</f>
        <v>0</v>
      </c>
      <c r="BU586" s="3">
        <f>+IF(AVANCE[[#This Row],[TABLERO]]=AF$2,100%,AVANCE[[#This Row],[TABLERO]])</f>
        <v>0</v>
      </c>
      <c r="BV586" s="3">
        <f>+IF(AVANCE[[#This Row],[CAJA PAU]]=AG$2,100%,AVANCE[[#This Row],[CAJA PAU]])</f>
        <v>0</v>
      </c>
      <c r="BW586" s="3">
        <f>+IF(AVANCE[[#This Row],[INSTALACION VINILICO]]=AJ$2,100%,AVANCE[[#This Row],[INSTALACION VINILICO]])</f>
        <v>0</v>
      </c>
      <c r="BX586" s="3">
        <f>+IF(AVANCE[[#This Row],[OSB CUBIERTA]]=AK$2,100%,AVANCE[[#This Row],[OSB CUBIERTA]])</f>
        <v>0</v>
      </c>
      <c r="BY586" s="3">
        <f>+IF(AVANCE[[#This Row],[BARANDA BALCON]]=AL$2,100%,AVANCE[[#This Row],[BARANDA BALCON]])</f>
        <v>0</v>
      </c>
      <c r="BZ586" s="3">
        <f>+IF(AVANCE[[#This Row],[OSB EXTERIOR]]=AM$2,100%,AVANCE[[#This Row],[OSB EXTERIOR]])</f>
        <v>0</v>
      </c>
      <c r="CA586" s="3">
        <f>+IF(AVANCE[[#This Row],[SMART PANEL]]=AN$2,100%,AVANCE[[#This Row],[SMART PANEL]])</f>
        <v>0</v>
      </c>
      <c r="CB586" s="3">
        <f>+IF(AVANCE[[#This Row],[PINTURA EXTERIOR]]=AO$2,100%,AVANCE[[#This Row],[PINTURA EXTERIOR]])</f>
        <v>0</v>
      </c>
      <c r="CC586" s="3">
        <f>+IF(AVANCE[[#This Row],[ZOCALOS LOGIA]]=AP$2,100%,AVANCE[[#This Row],[ZOCALOS LOGIA]])</f>
        <v>0</v>
      </c>
      <c r="CD586" s="3">
        <f>+IF(AVANCE[[#This Row],[MOLDURAS]]=AQ$2,100%,AVANCE[[#This Row],[MOLDURAS]])</f>
        <v>0</v>
      </c>
      <c r="CE586" s="3">
        <f>+IF(AVANCE[[#This Row],[PILASTREO]]=AR$2,100%,AVANCE[[#This Row],[PILASTREO]])</f>
        <v>0</v>
      </c>
      <c r="CF586" s="3">
        <f>+IF(AVANCE[[#This Row],[CELOSIAS]]=AS$2,100%,AVANCE[[#This Row],[CELOSIAS]])</f>
        <v>0</v>
      </c>
      <c r="CG586" s="3">
        <f>+IF(AVANCE[[#This Row],[VENTANAS]]=AT$2,100%,AVANCE[[#This Row],[VENTANAS]])</f>
        <v>0</v>
      </c>
      <c r="CH586" s="3">
        <f>+IF(AVANCE[[#This Row],[PUERTAS ACCESO - LOGIA - BANO]]=AU$2,100%,AVANCE[[#This Row],[PUERTAS ACCESO - LOGIA - BANO]])</f>
        <v>0</v>
      </c>
      <c r="CI586" s="3">
        <f>+IF(AVANCE[[#This Row],[CERRADURAS]]=AV$2,100%,AVANCE[[#This Row],[CERRADURAS]])</f>
        <v>0</v>
      </c>
      <c r="CJ586" s="3">
        <f>+IF(AVANCE[[#This Row],[REVESTIMIENTO INTERIOR ZONA SECA]]=AW$2,100%,AVANCE[[#This Row],[REVESTIMIENTO INTERIOR ZONA SECA]])</f>
        <v>0</v>
      </c>
      <c r="CK586" s="3">
        <f>+IF(AVANCE[[#This Row],[REVESTIMIENTO INTERIOR ZONAS HUMEDAS]]=AX$2,100%,AVANCE[[#This Row],[REVESTIMIENTO INTERIOR ZONAS HUMEDAS]])</f>
        <v>0</v>
      </c>
      <c r="CL586" s="3">
        <f>+IF(AVANCE[[#This Row],[MEMBRANA CIELO]]=AY$2,100%,AVANCE[[#This Row],[MEMBRANA CIELO]])</f>
        <v>0</v>
      </c>
      <c r="CM586" s="3">
        <f>+IF(AVANCE[[#This Row],[LIMPIEZA FINAL]]=AZ$2,100%,AVANCE[[#This Row],[LIMPIEZA FINAL]])</f>
        <v>0</v>
      </c>
      <c r="CN586" s="3">
        <f>+IF(AVANCE[[#This Row],[PUERTAS DORMITORIO]]=BA$2,100%,AVANCE[[#This Row],[PUERTAS DORMITORIO]])</f>
        <v>0</v>
      </c>
      <c r="CO586" s="3">
        <f>+IF(AVANCE[[#This Row],[REVESTIMIENTO INTERIOR BANO]]=BB$2,100%,AVANCE[[#This Row],[REVESTIMIENTO INTERIOR BANO]])</f>
        <v>0</v>
      </c>
      <c r="CP586" s="3">
        <f>+IF(AVANCE[[#This Row],[MUEBLE LAVAPLATOS]]=BC$2,100%,AVANCE[[#This Row],[MUEBLE LAVAPLATOS]])</f>
        <v>0</v>
      </c>
      <c r="CQ586" s="3">
        <f>+IF(AVANCE[[#This Row],[IMPERMEABILIZACION BANO - COCINA LOGIA]]=BD$2,100%,AVANCE[[#This Row],[IMPERMEABILIZACION BANO - COCINA LOGIA]])</f>
        <v>0</v>
      </c>
      <c r="CR586" s="40">
        <f ca="1">+IF(AVANCE[[#This Row],[ESTADO MODULO]]="PENDIENTE",(TODAY()-AVANCE[[#This Row],[FECHA TERMINO  PLANIFICADO]]),0)</f>
        <v>0</v>
      </c>
      <c r="CS586" s="42" t="str" cm="1">
        <f t="array" ref="CS586">_xlfn.TEXTJOIN(" | ",TRUE,IF(SUMPRODUCT((BF586:CQ586&lt;1)*(PARTIDAS!$I$2:$AT$2="OBRA GRUESA"))&gt;0,"OBRA GRUESA: "&amp;_xlfn.TEXTJOIN(", ",TRUE,IF((BF586:CQ586&lt;1)*(PARTIDAS!$I$2:$AT$2="OBRA GRUESA"),PARTIDAS!$I$1:$AT$1,"")),""),IF(SUMPRODUCT((BF586:CQ586&lt;1)*(PARTIDAS!$I$2:$AT$2="SANITARIOS"))&gt;0,"SANITARIOS: "&amp;_xlfn.TEXTJOIN(", ",TRUE,IF((BF586:CQ586&lt;1)*(PARTIDAS!$I$2:$AT$2="SANITARIOS"),PARTIDAS!$I$1:$AT$1,"")),""),IF(SUMPRODUCT((BF586:CQ586&lt;1)*(PARTIDAS!$I$2:$AT$2="ELÉCTRICO"))&gt;0,"ELÉCTRICO: "&amp;_xlfn.TEXTJOIN(", ",TRUE,IF((BF586:CQ586&lt;1)*(PARTIDAS!$I$2:$AT$2="ELÉCTRICO"),PARTIDAS!$I$1:$AT$1,"")),""),IF(SUMPRODUCT((BF586:CQ586&lt;1)*(PARTIDAS!$I$2:$AT$2="TERMINACIONES"))&gt;0,"TERMINACIONES: "&amp;_xlfn.TEXTJOIN(", ",TRUE,IF((BF586:CQ586&lt;1)*(PARTIDAS!$I$2:$AT$2="TERMINACIONES"),PARTIDAS!$I$1:$AT$1,"")),""))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6" s="45" t="str" cm="1">
        <f t="array" ref="CT586">_xlfn.TEXTJOIN(", ",TRUE,IF(SUMPRODUCT((BF586:CQ586&lt;1)*(PARTIDAS!$I$2:$AT$2="OBRA GRUESA"))&gt;0,"OBRA GRUESA",""),IF(SUMPRODUCT((BF586:CQ586&lt;1)*(PARTIDAS!$I$2:$AT$2="SANITARIOS"))&gt;0,"SANITARIOS",""),IF(SUMPRODUCT((BF586:CQ586&lt;1)*(PARTIDAS!$I$2:$AT$2="ELÉCTRICO"))&gt;0,"ELÉCTRICO",""),IF(SUMPRODUCT((BF586:CQ586&lt;1)*(PARTIDAS!$I$2:$AT$2="TERMINACIONES"))&gt;0,"TERMINACIONES",""))</f>
        <v>OBRA GRUESA, SANITARIOS, ELÉCTRICO, TERMINACIONES</v>
      </c>
      <c r="CU586" s="46" cm="1">
        <f t="array" ref="CU586">SUMPRODUCT(--(BF586:CQ586&lt;1))</f>
        <v>38</v>
      </c>
    </row>
    <row r="587" spans="1:99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46181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 s="3" t="str">
        <f>+IF(AVANCE[[#This Row],[% AVANCE]]=100%,"MODULO TERMINADO",IF(AVANCE[[#This Row],[FECHA INICIO REAL]]="","MODULO NO INICIADO","PENDIENTE"))</f>
        <v>MODULO NO INICIADO</v>
      </c>
      <c r="BF587" s="3">
        <f>+IF(AVANCE[[#This Row],[VENTANAS]]=8.10810810810811%,100%,AVANCE[[#This Row],[VENTANAS]])</f>
        <v>0</v>
      </c>
      <c r="BG587" s="3">
        <f>+IF(AVANCE[[#This Row],[PISO]]=N$2,100%,AVANCE[[#This Row],[PISO]])</f>
        <v>0</v>
      </c>
      <c r="BH587" s="3">
        <f>+IF(AVANCE[[#This Row],[TABIQUES]]=O$2,100%,AVANCE[[#This Row],[TABIQUES]])</f>
        <v>0</v>
      </c>
      <c r="BI587" s="3">
        <f>+IF(AVANCE[[#This Row],[MUROS]]=P$2,100%,AVANCE[[#This Row],[MUROS]])</f>
        <v>0</v>
      </c>
      <c r="BJ587" s="3">
        <f>+IF(AVANCE[[#This Row],[CIELO]]=Q$2,100%,AVANCE[[#This Row],[CIELO]])</f>
        <v>0</v>
      </c>
      <c r="BK587" s="3">
        <f>+IF(AVANCE[[#This Row],[BALCÓN]]=R$2,100%,AVANCE[[#This Row],[BALCÓN]])</f>
        <v>0</v>
      </c>
      <c r="BL587" s="3">
        <f>+IF(AVANCE[[#This Row],[RED ALCANTARILLADO]]=U$2,100%,AVANCE[[#This Row],[RED ALCANTARILLADO]])</f>
        <v>0</v>
      </c>
      <c r="BM587" s="3">
        <f>+IF(AVANCE[[#This Row],[RED DE AGUA]]=V$2,100%,AVANCE[[#This Row],[RED DE AGUA]])</f>
        <v>0</v>
      </c>
      <c r="BN587" s="3">
        <f>+IF(AVANCE[[#This Row],[VENTILACIONES]]=W$2,100%,AVANCE[[#This Row],[VENTILACIONES]])</f>
        <v>0</v>
      </c>
      <c r="BO587" s="3">
        <f>+IF(AVANCE[[#This Row],[TINA]]=X$2,100%,AVANCE[[#This Row],[TINA]])</f>
        <v>0</v>
      </c>
      <c r="BP587" s="3">
        <f>+IF(AVANCE[[#This Row],[WC]]=Y$2,100%,AVANCE[[#This Row],[WC]])</f>
        <v>0</v>
      </c>
      <c r="BQ587" s="3">
        <f>+IF(AVANCE[[#This Row],[LAVAMANOS / LAVAPLATOS / LAVADERO]]=Z$2,100%,AVANCE[[#This Row],[LAVAMANOS / LAVAPLATOS / LAVADERO]])</f>
        <v>0</v>
      </c>
      <c r="BR587" s="3">
        <f>+IF(AVANCE[[#This Row],[CANALIZACIÓN]]=AC$2,100%,AVANCE[[#This Row],[CANALIZACIÓN]])</f>
        <v>0</v>
      </c>
      <c r="BS587" s="3">
        <f>+IF(AVANCE[[#This Row],[CABLEADO]]=AD$2,100%,AVANCE[[#This Row],[CABLEADO]])</f>
        <v>0</v>
      </c>
      <c r="BT587" s="3">
        <f>+IF(AVANCE[[#This Row],[ARTEFACTOS]]=AE$2,100%,AVANCE[[#This Row],[ARTEFACTOS]])</f>
        <v>0</v>
      </c>
      <c r="BU587" s="3">
        <f>+IF(AVANCE[[#This Row],[TABLERO]]=AF$2,100%,AVANCE[[#This Row],[TABLERO]])</f>
        <v>0</v>
      </c>
      <c r="BV587" s="3">
        <f>+IF(AVANCE[[#This Row],[CAJA PAU]]=AG$2,100%,AVANCE[[#This Row],[CAJA PAU]])</f>
        <v>0</v>
      </c>
      <c r="BW587" s="3">
        <f>+IF(AVANCE[[#This Row],[INSTALACION VINILICO]]=AJ$2,100%,AVANCE[[#This Row],[INSTALACION VINILICO]])</f>
        <v>0</v>
      </c>
      <c r="BX587" s="3">
        <f>+IF(AVANCE[[#This Row],[OSB CUBIERTA]]=AK$2,100%,AVANCE[[#This Row],[OSB CUBIERTA]])</f>
        <v>0</v>
      </c>
      <c r="BY587" s="3">
        <f>+IF(AVANCE[[#This Row],[BARANDA BALCON]]=AL$2,100%,AVANCE[[#This Row],[BARANDA BALCON]])</f>
        <v>0</v>
      </c>
      <c r="BZ587" s="3">
        <f>+IF(AVANCE[[#This Row],[OSB EXTERIOR]]=AM$2,100%,AVANCE[[#This Row],[OSB EXTERIOR]])</f>
        <v>0</v>
      </c>
      <c r="CA587" s="3">
        <f>+IF(AVANCE[[#This Row],[SMART PANEL]]=AN$2,100%,AVANCE[[#This Row],[SMART PANEL]])</f>
        <v>0</v>
      </c>
      <c r="CB587" s="3">
        <f>+IF(AVANCE[[#This Row],[PINTURA EXTERIOR]]=AO$2,100%,AVANCE[[#This Row],[PINTURA EXTERIOR]])</f>
        <v>0</v>
      </c>
      <c r="CC587" s="3">
        <f>+IF(AVANCE[[#This Row],[ZOCALOS LOGIA]]=AP$2,100%,AVANCE[[#This Row],[ZOCALOS LOGIA]])</f>
        <v>0</v>
      </c>
      <c r="CD587" s="3">
        <f>+IF(AVANCE[[#This Row],[MOLDURAS]]=AQ$2,100%,AVANCE[[#This Row],[MOLDURAS]])</f>
        <v>0</v>
      </c>
      <c r="CE587" s="3">
        <f>+IF(AVANCE[[#This Row],[PILASTREO]]=AR$2,100%,AVANCE[[#This Row],[PILASTREO]])</f>
        <v>0</v>
      </c>
      <c r="CF587" s="3">
        <f>+IF(AVANCE[[#This Row],[CELOSIAS]]=AS$2,100%,AVANCE[[#This Row],[CELOSIAS]])</f>
        <v>0</v>
      </c>
      <c r="CG587" s="3">
        <f>+IF(AVANCE[[#This Row],[VENTANAS]]=AT$2,100%,AVANCE[[#This Row],[VENTANAS]])</f>
        <v>0</v>
      </c>
      <c r="CH587" s="3">
        <f>+IF(AVANCE[[#This Row],[PUERTAS ACCESO - LOGIA - BANO]]=AU$2,100%,AVANCE[[#This Row],[PUERTAS ACCESO - LOGIA - BANO]])</f>
        <v>0</v>
      </c>
      <c r="CI587" s="3">
        <f>+IF(AVANCE[[#This Row],[CERRADURAS]]=AV$2,100%,AVANCE[[#This Row],[CERRADURAS]])</f>
        <v>0</v>
      </c>
      <c r="CJ587" s="3">
        <f>+IF(AVANCE[[#This Row],[REVESTIMIENTO INTERIOR ZONA SECA]]=AW$2,100%,AVANCE[[#This Row],[REVESTIMIENTO INTERIOR ZONA SECA]])</f>
        <v>0</v>
      </c>
      <c r="CK587" s="3">
        <f>+IF(AVANCE[[#This Row],[REVESTIMIENTO INTERIOR ZONAS HUMEDAS]]=AX$2,100%,AVANCE[[#This Row],[REVESTIMIENTO INTERIOR ZONAS HUMEDAS]])</f>
        <v>0</v>
      </c>
      <c r="CL587" s="3">
        <f>+IF(AVANCE[[#This Row],[MEMBRANA CIELO]]=AY$2,100%,AVANCE[[#This Row],[MEMBRANA CIELO]])</f>
        <v>0</v>
      </c>
      <c r="CM587" s="3">
        <f>+IF(AVANCE[[#This Row],[LIMPIEZA FINAL]]=AZ$2,100%,AVANCE[[#This Row],[LIMPIEZA FINAL]])</f>
        <v>0</v>
      </c>
      <c r="CN587" s="3">
        <f>+IF(AVANCE[[#This Row],[PUERTAS DORMITORIO]]=BA$2,100%,AVANCE[[#This Row],[PUERTAS DORMITORIO]])</f>
        <v>0</v>
      </c>
      <c r="CO587" s="3">
        <f>+IF(AVANCE[[#This Row],[REVESTIMIENTO INTERIOR BANO]]=BB$2,100%,AVANCE[[#This Row],[REVESTIMIENTO INTERIOR BANO]])</f>
        <v>0</v>
      </c>
      <c r="CP587" s="3">
        <f>+IF(AVANCE[[#This Row],[MUEBLE LAVAPLATOS]]=BC$2,100%,AVANCE[[#This Row],[MUEBLE LAVAPLATOS]])</f>
        <v>0</v>
      </c>
      <c r="CQ587" s="3">
        <f>+IF(AVANCE[[#This Row],[IMPERMEABILIZACION BANO - COCINA LOGIA]]=BD$2,100%,AVANCE[[#This Row],[IMPERMEABILIZACION BANO - COCINA LOGIA]])</f>
        <v>0</v>
      </c>
      <c r="CR587" s="40">
        <f ca="1">+IF(AVANCE[[#This Row],[ESTADO MODULO]]="PENDIENTE",(TODAY()-AVANCE[[#This Row],[FECHA TERMINO  PLANIFICADO]]),0)</f>
        <v>0</v>
      </c>
      <c r="CS587" s="42" t="str" cm="1">
        <f t="array" ref="CS587">_xlfn.TEXTJOIN(" | ",TRUE,IF(SUMPRODUCT((BF587:CQ587&lt;1)*(PARTIDAS!$I$2:$AT$2="OBRA GRUESA"))&gt;0,"OBRA GRUESA: "&amp;_xlfn.TEXTJOIN(", ",TRUE,IF((BF587:CQ587&lt;1)*(PARTIDAS!$I$2:$AT$2="OBRA GRUESA"),PARTIDAS!$I$1:$AT$1,"")),""),IF(SUMPRODUCT((BF587:CQ587&lt;1)*(PARTIDAS!$I$2:$AT$2="SANITARIOS"))&gt;0,"SANITARIOS: "&amp;_xlfn.TEXTJOIN(", ",TRUE,IF((BF587:CQ587&lt;1)*(PARTIDAS!$I$2:$AT$2="SANITARIOS"),PARTIDAS!$I$1:$AT$1,"")),""),IF(SUMPRODUCT((BF587:CQ587&lt;1)*(PARTIDAS!$I$2:$AT$2="ELÉCTRICO"))&gt;0,"ELÉCTRICO: "&amp;_xlfn.TEXTJOIN(", ",TRUE,IF((BF587:CQ587&lt;1)*(PARTIDAS!$I$2:$AT$2="ELÉCTRICO"),PARTIDAS!$I$1:$AT$1,"")),""),IF(SUMPRODUCT((BF587:CQ587&lt;1)*(PARTIDAS!$I$2:$AT$2="TERMINACIONES"))&gt;0,"TERMINACIONES: "&amp;_xlfn.TEXTJOIN(", ",TRUE,IF((BF587:CQ587&lt;1)*(PARTIDAS!$I$2:$AT$2="TERMINACIONES"),PARTIDAS!$I$1:$AT$1,"")),""))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7" s="45" t="str" cm="1">
        <f t="array" ref="CT587">_xlfn.TEXTJOIN(", ",TRUE,IF(SUMPRODUCT((BF587:CQ587&lt;1)*(PARTIDAS!$I$2:$AT$2="OBRA GRUESA"))&gt;0,"OBRA GRUESA",""),IF(SUMPRODUCT((BF587:CQ587&lt;1)*(PARTIDAS!$I$2:$AT$2="SANITARIOS"))&gt;0,"SANITARIOS",""),IF(SUMPRODUCT((BF587:CQ587&lt;1)*(PARTIDAS!$I$2:$AT$2="ELÉCTRICO"))&gt;0,"ELÉCTRICO",""),IF(SUMPRODUCT((BF587:CQ587&lt;1)*(PARTIDAS!$I$2:$AT$2="TERMINACIONES"))&gt;0,"TERMINACIONES",""))</f>
        <v>OBRA GRUESA, SANITARIOS, ELÉCTRICO, TERMINACIONES</v>
      </c>
      <c r="CU587" s="46" cm="1">
        <f t="array" ref="CU587">SUMPRODUCT(--(BF587:CQ587&lt;1))</f>
        <v>38</v>
      </c>
    </row>
    <row r="588" spans="1:99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46181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 s="3" t="str">
        <f>+IF(AVANCE[[#This Row],[% AVANCE]]=100%,"MODULO TERMINADO",IF(AVANCE[[#This Row],[FECHA INICIO REAL]]="","MODULO NO INICIADO","PENDIENTE"))</f>
        <v>MODULO NO INICIADO</v>
      </c>
      <c r="BF588" s="3">
        <f>+IF(AVANCE[[#This Row],[VENTANAS]]=8.10810810810811%,100%,AVANCE[[#This Row],[VENTANAS]])</f>
        <v>0</v>
      </c>
      <c r="BG588" s="3">
        <f>+IF(AVANCE[[#This Row],[PISO]]=N$2,100%,AVANCE[[#This Row],[PISO]])</f>
        <v>0</v>
      </c>
      <c r="BH588" s="3">
        <f>+IF(AVANCE[[#This Row],[TABIQUES]]=O$2,100%,AVANCE[[#This Row],[TABIQUES]])</f>
        <v>0</v>
      </c>
      <c r="BI588" s="3">
        <f>+IF(AVANCE[[#This Row],[MUROS]]=P$2,100%,AVANCE[[#This Row],[MUROS]])</f>
        <v>0</v>
      </c>
      <c r="BJ588" s="3">
        <f>+IF(AVANCE[[#This Row],[CIELO]]=Q$2,100%,AVANCE[[#This Row],[CIELO]])</f>
        <v>0</v>
      </c>
      <c r="BK588" s="3">
        <f>+IF(AVANCE[[#This Row],[BALCÓN]]=R$2,100%,AVANCE[[#This Row],[BALCÓN]])</f>
        <v>0</v>
      </c>
      <c r="BL588" s="3">
        <f>+IF(AVANCE[[#This Row],[RED ALCANTARILLADO]]=U$2,100%,AVANCE[[#This Row],[RED ALCANTARILLADO]])</f>
        <v>0</v>
      </c>
      <c r="BM588" s="3">
        <f>+IF(AVANCE[[#This Row],[RED DE AGUA]]=V$2,100%,AVANCE[[#This Row],[RED DE AGUA]])</f>
        <v>0</v>
      </c>
      <c r="BN588" s="3">
        <f>+IF(AVANCE[[#This Row],[VENTILACIONES]]=W$2,100%,AVANCE[[#This Row],[VENTILACIONES]])</f>
        <v>0</v>
      </c>
      <c r="BO588" s="3">
        <f>+IF(AVANCE[[#This Row],[TINA]]=X$2,100%,AVANCE[[#This Row],[TINA]])</f>
        <v>0</v>
      </c>
      <c r="BP588" s="3">
        <f>+IF(AVANCE[[#This Row],[WC]]=Y$2,100%,AVANCE[[#This Row],[WC]])</f>
        <v>0</v>
      </c>
      <c r="BQ588" s="3">
        <f>+IF(AVANCE[[#This Row],[LAVAMANOS / LAVAPLATOS / LAVADERO]]=Z$2,100%,AVANCE[[#This Row],[LAVAMANOS / LAVAPLATOS / LAVADERO]])</f>
        <v>0</v>
      </c>
      <c r="BR588" s="3">
        <f>+IF(AVANCE[[#This Row],[CANALIZACIÓN]]=AC$2,100%,AVANCE[[#This Row],[CANALIZACIÓN]])</f>
        <v>0</v>
      </c>
      <c r="BS588" s="3">
        <f>+IF(AVANCE[[#This Row],[CABLEADO]]=AD$2,100%,AVANCE[[#This Row],[CABLEADO]])</f>
        <v>0</v>
      </c>
      <c r="BT588" s="3">
        <f>+IF(AVANCE[[#This Row],[ARTEFACTOS]]=AE$2,100%,AVANCE[[#This Row],[ARTEFACTOS]])</f>
        <v>0</v>
      </c>
      <c r="BU588" s="3">
        <f>+IF(AVANCE[[#This Row],[TABLERO]]=AF$2,100%,AVANCE[[#This Row],[TABLERO]])</f>
        <v>0</v>
      </c>
      <c r="BV588" s="3">
        <f>+IF(AVANCE[[#This Row],[CAJA PAU]]=AG$2,100%,AVANCE[[#This Row],[CAJA PAU]])</f>
        <v>0</v>
      </c>
      <c r="BW588" s="3">
        <f>+IF(AVANCE[[#This Row],[INSTALACION VINILICO]]=AJ$2,100%,AVANCE[[#This Row],[INSTALACION VINILICO]])</f>
        <v>0</v>
      </c>
      <c r="BX588" s="3">
        <f>+IF(AVANCE[[#This Row],[OSB CUBIERTA]]=AK$2,100%,AVANCE[[#This Row],[OSB CUBIERTA]])</f>
        <v>0</v>
      </c>
      <c r="BY588" s="3">
        <f>+IF(AVANCE[[#This Row],[BARANDA BALCON]]=AL$2,100%,AVANCE[[#This Row],[BARANDA BALCON]])</f>
        <v>0</v>
      </c>
      <c r="BZ588" s="3">
        <f>+IF(AVANCE[[#This Row],[OSB EXTERIOR]]=AM$2,100%,AVANCE[[#This Row],[OSB EXTERIOR]])</f>
        <v>0</v>
      </c>
      <c r="CA588" s="3">
        <f>+IF(AVANCE[[#This Row],[SMART PANEL]]=AN$2,100%,AVANCE[[#This Row],[SMART PANEL]])</f>
        <v>0</v>
      </c>
      <c r="CB588" s="3">
        <f>+IF(AVANCE[[#This Row],[PINTURA EXTERIOR]]=AO$2,100%,AVANCE[[#This Row],[PINTURA EXTERIOR]])</f>
        <v>0</v>
      </c>
      <c r="CC588" s="3">
        <f>+IF(AVANCE[[#This Row],[ZOCALOS LOGIA]]=AP$2,100%,AVANCE[[#This Row],[ZOCALOS LOGIA]])</f>
        <v>0</v>
      </c>
      <c r="CD588" s="3">
        <f>+IF(AVANCE[[#This Row],[MOLDURAS]]=AQ$2,100%,AVANCE[[#This Row],[MOLDURAS]])</f>
        <v>0</v>
      </c>
      <c r="CE588" s="3">
        <f>+IF(AVANCE[[#This Row],[PILASTREO]]=AR$2,100%,AVANCE[[#This Row],[PILASTREO]])</f>
        <v>0</v>
      </c>
      <c r="CF588" s="3">
        <f>+IF(AVANCE[[#This Row],[CELOSIAS]]=AS$2,100%,AVANCE[[#This Row],[CELOSIAS]])</f>
        <v>0</v>
      </c>
      <c r="CG588" s="3">
        <f>+IF(AVANCE[[#This Row],[VENTANAS]]=AT$2,100%,AVANCE[[#This Row],[VENTANAS]])</f>
        <v>0</v>
      </c>
      <c r="CH588" s="3">
        <f>+IF(AVANCE[[#This Row],[PUERTAS ACCESO - LOGIA - BANO]]=AU$2,100%,AVANCE[[#This Row],[PUERTAS ACCESO - LOGIA - BANO]])</f>
        <v>0</v>
      </c>
      <c r="CI588" s="3">
        <f>+IF(AVANCE[[#This Row],[CERRADURAS]]=AV$2,100%,AVANCE[[#This Row],[CERRADURAS]])</f>
        <v>0</v>
      </c>
      <c r="CJ588" s="3">
        <f>+IF(AVANCE[[#This Row],[REVESTIMIENTO INTERIOR ZONA SECA]]=AW$2,100%,AVANCE[[#This Row],[REVESTIMIENTO INTERIOR ZONA SECA]])</f>
        <v>0</v>
      </c>
      <c r="CK588" s="3">
        <f>+IF(AVANCE[[#This Row],[REVESTIMIENTO INTERIOR ZONAS HUMEDAS]]=AX$2,100%,AVANCE[[#This Row],[REVESTIMIENTO INTERIOR ZONAS HUMEDAS]])</f>
        <v>0</v>
      </c>
      <c r="CL588" s="3">
        <f>+IF(AVANCE[[#This Row],[MEMBRANA CIELO]]=AY$2,100%,AVANCE[[#This Row],[MEMBRANA CIELO]])</f>
        <v>0</v>
      </c>
      <c r="CM588" s="3">
        <f>+IF(AVANCE[[#This Row],[LIMPIEZA FINAL]]=AZ$2,100%,AVANCE[[#This Row],[LIMPIEZA FINAL]])</f>
        <v>0</v>
      </c>
      <c r="CN588" s="3">
        <f>+IF(AVANCE[[#This Row],[PUERTAS DORMITORIO]]=BA$2,100%,AVANCE[[#This Row],[PUERTAS DORMITORIO]])</f>
        <v>0</v>
      </c>
      <c r="CO588" s="3">
        <f>+IF(AVANCE[[#This Row],[REVESTIMIENTO INTERIOR BANO]]=BB$2,100%,AVANCE[[#This Row],[REVESTIMIENTO INTERIOR BANO]])</f>
        <v>0</v>
      </c>
      <c r="CP588" s="3">
        <f>+IF(AVANCE[[#This Row],[MUEBLE LAVAPLATOS]]=BC$2,100%,AVANCE[[#This Row],[MUEBLE LAVAPLATOS]])</f>
        <v>0</v>
      </c>
      <c r="CQ588" s="3">
        <f>+IF(AVANCE[[#This Row],[IMPERMEABILIZACION BANO - COCINA LOGIA]]=BD$2,100%,AVANCE[[#This Row],[IMPERMEABILIZACION BANO - COCINA LOGIA]])</f>
        <v>0</v>
      </c>
      <c r="CR588" s="40">
        <f ca="1">+IF(AVANCE[[#This Row],[ESTADO MODULO]]="PENDIENTE",(TODAY()-AVANCE[[#This Row],[FECHA TERMINO  PLANIFICADO]]),0)</f>
        <v>0</v>
      </c>
      <c r="CS588" s="42" t="str" cm="1">
        <f t="array" ref="CS588">_xlfn.TEXTJOIN(" | ",TRUE,IF(SUMPRODUCT((BF588:CQ588&lt;1)*(PARTIDAS!$I$2:$AT$2="OBRA GRUESA"))&gt;0,"OBRA GRUESA: "&amp;_xlfn.TEXTJOIN(", ",TRUE,IF((BF588:CQ588&lt;1)*(PARTIDAS!$I$2:$AT$2="OBRA GRUESA"),PARTIDAS!$I$1:$AT$1,"")),""),IF(SUMPRODUCT((BF588:CQ588&lt;1)*(PARTIDAS!$I$2:$AT$2="SANITARIOS"))&gt;0,"SANITARIOS: "&amp;_xlfn.TEXTJOIN(", ",TRUE,IF((BF588:CQ588&lt;1)*(PARTIDAS!$I$2:$AT$2="SANITARIOS"),PARTIDAS!$I$1:$AT$1,"")),""),IF(SUMPRODUCT((BF588:CQ588&lt;1)*(PARTIDAS!$I$2:$AT$2="ELÉCTRICO"))&gt;0,"ELÉCTRICO: "&amp;_xlfn.TEXTJOIN(", ",TRUE,IF((BF588:CQ588&lt;1)*(PARTIDAS!$I$2:$AT$2="ELÉCTRICO"),PARTIDAS!$I$1:$AT$1,"")),""),IF(SUMPRODUCT((BF588:CQ588&lt;1)*(PARTIDAS!$I$2:$AT$2="TERMINACIONES"))&gt;0,"TERMINACIONES: "&amp;_xlfn.TEXTJOIN(", ",TRUE,IF((BF588:CQ588&lt;1)*(PARTIDAS!$I$2:$AT$2="TERMINACIONES"),PARTIDAS!$I$1:$AT$1,"")),""))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8" s="45" t="str" cm="1">
        <f t="array" ref="CT588">_xlfn.TEXTJOIN(", ",TRUE,IF(SUMPRODUCT((BF588:CQ588&lt;1)*(PARTIDAS!$I$2:$AT$2="OBRA GRUESA"))&gt;0,"OBRA GRUESA",""),IF(SUMPRODUCT((BF588:CQ588&lt;1)*(PARTIDAS!$I$2:$AT$2="SANITARIOS"))&gt;0,"SANITARIOS",""),IF(SUMPRODUCT((BF588:CQ588&lt;1)*(PARTIDAS!$I$2:$AT$2="ELÉCTRICO"))&gt;0,"ELÉCTRICO",""),IF(SUMPRODUCT((BF588:CQ588&lt;1)*(PARTIDAS!$I$2:$AT$2="TERMINACIONES"))&gt;0,"TERMINACIONES",""))</f>
        <v>OBRA GRUESA, SANITARIOS, ELÉCTRICO, TERMINACIONES</v>
      </c>
      <c r="CU588" s="46" cm="1">
        <f t="array" ref="CU588">SUMPRODUCT(--(BF588:CQ588&lt;1))</f>
        <v>38</v>
      </c>
    </row>
    <row r="589" spans="1:99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46181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 s="3" t="str">
        <f>+IF(AVANCE[[#This Row],[% AVANCE]]=100%,"MODULO TERMINADO",IF(AVANCE[[#This Row],[FECHA INICIO REAL]]="","MODULO NO INICIADO","PENDIENTE"))</f>
        <v>MODULO NO INICIADO</v>
      </c>
      <c r="BF589" s="3">
        <f>+IF(AVANCE[[#This Row],[VENTANAS]]=8.10810810810811%,100%,AVANCE[[#This Row],[VENTANAS]])</f>
        <v>0</v>
      </c>
      <c r="BG589" s="3">
        <f>+IF(AVANCE[[#This Row],[PISO]]=N$2,100%,AVANCE[[#This Row],[PISO]])</f>
        <v>0</v>
      </c>
      <c r="BH589" s="3">
        <f>+IF(AVANCE[[#This Row],[TABIQUES]]=O$2,100%,AVANCE[[#This Row],[TABIQUES]])</f>
        <v>0</v>
      </c>
      <c r="BI589" s="3">
        <f>+IF(AVANCE[[#This Row],[MUROS]]=P$2,100%,AVANCE[[#This Row],[MUROS]])</f>
        <v>0</v>
      </c>
      <c r="BJ589" s="3">
        <f>+IF(AVANCE[[#This Row],[CIELO]]=Q$2,100%,AVANCE[[#This Row],[CIELO]])</f>
        <v>0</v>
      </c>
      <c r="BK589" s="3">
        <f>+IF(AVANCE[[#This Row],[BALCÓN]]=R$2,100%,AVANCE[[#This Row],[BALCÓN]])</f>
        <v>0</v>
      </c>
      <c r="BL589" s="3">
        <f>+IF(AVANCE[[#This Row],[RED ALCANTARILLADO]]=U$2,100%,AVANCE[[#This Row],[RED ALCANTARILLADO]])</f>
        <v>0</v>
      </c>
      <c r="BM589" s="3">
        <f>+IF(AVANCE[[#This Row],[RED DE AGUA]]=V$2,100%,AVANCE[[#This Row],[RED DE AGUA]])</f>
        <v>0</v>
      </c>
      <c r="BN589" s="3">
        <f>+IF(AVANCE[[#This Row],[VENTILACIONES]]=W$2,100%,AVANCE[[#This Row],[VENTILACIONES]])</f>
        <v>0</v>
      </c>
      <c r="BO589" s="3">
        <f>+IF(AVANCE[[#This Row],[TINA]]=X$2,100%,AVANCE[[#This Row],[TINA]])</f>
        <v>0</v>
      </c>
      <c r="BP589" s="3">
        <f>+IF(AVANCE[[#This Row],[WC]]=Y$2,100%,AVANCE[[#This Row],[WC]])</f>
        <v>0</v>
      </c>
      <c r="BQ589" s="3">
        <f>+IF(AVANCE[[#This Row],[LAVAMANOS / LAVAPLATOS / LAVADERO]]=Z$2,100%,AVANCE[[#This Row],[LAVAMANOS / LAVAPLATOS / LAVADERO]])</f>
        <v>0</v>
      </c>
      <c r="BR589" s="3">
        <f>+IF(AVANCE[[#This Row],[CANALIZACIÓN]]=AC$2,100%,AVANCE[[#This Row],[CANALIZACIÓN]])</f>
        <v>0</v>
      </c>
      <c r="BS589" s="3">
        <f>+IF(AVANCE[[#This Row],[CABLEADO]]=AD$2,100%,AVANCE[[#This Row],[CABLEADO]])</f>
        <v>0</v>
      </c>
      <c r="BT589" s="3">
        <f>+IF(AVANCE[[#This Row],[ARTEFACTOS]]=AE$2,100%,AVANCE[[#This Row],[ARTEFACTOS]])</f>
        <v>0</v>
      </c>
      <c r="BU589" s="3">
        <f>+IF(AVANCE[[#This Row],[TABLERO]]=AF$2,100%,AVANCE[[#This Row],[TABLERO]])</f>
        <v>0</v>
      </c>
      <c r="BV589" s="3">
        <f>+IF(AVANCE[[#This Row],[CAJA PAU]]=AG$2,100%,AVANCE[[#This Row],[CAJA PAU]])</f>
        <v>0</v>
      </c>
      <c r="BW589" s="3">
        <f>+IF(AVANCE[[#This Row],[INSTALACION VINILICO]]=AJ$2,100%,AVANCE[[#This Row],[INSTALACION VINILICO]])</f>
        <v>0</v>
      </c>
      <c r="BX589" s="3">
        <f>+IF(AVANCE[[#This Row],[OSB CUBIERTA]]=AK$2,100%,AVANCE[[#This Row],[OSB CUBIERTA]])</f>
        <v>0</v>
      </c>
      <c r="BY589" s="3">
        <f>+IF(AVANCE[[#This Row],[BARANDA BALCON]]=AL$2,100%,AVANCE[[#This Row],[BARANDA BALCON]])</f>
        <v>0</v>
      </c>
      <c r="BZ589" s="3">
        <f>+IF(AVANCE[[#This Row],[OSB EXTERIOR]]=AM$2,100%,AVANCE[[#This Row],[OSB EXTERIOR]])</f>
        <v>0</v>
      </c>
      <c r="CA589" s="3">
        <f>+IF(AVANCE[[#This Row],[SMART PANEL]]=AN$2,100%,AVANCE[[#This Row],[SMART PANEL]])</f>
        <v>0</v>
      </c>
      <c r="CB589" s="3">
        <f>+IF(AVANCE[[#This Row],[PINTURA EXTERIOR]]=AO$2,100%,AVANCE[[#This Row],[PINTURA EXTERIOR]])</f>
        <v>0</v>
      </c>
      <c r="CC589" s="3">
        <f>+IF(AVANCE[[#This Row],[ZOCALOS LOGIA]]=AP$2,100%,AVANCE[[#This Row],[ZOCALOS LOGIA]])</f>
        <v>0</v>
      </c>
      <c r="CD589" s="3">
        <f>+IF(AVANCE[[#This Row],[MOLDURAS]]=AQ$2,100%,AVANCE[[#This Row],[MOLDURAS]])</f>
        <v>0</v>
      </c>
      <c r="CE589" s="3">
        <f>+IF(AVANCE[[#This Row],[PILASTREO]]=AR$2,100%,AVANCE[[#This Row],[PILASTREO]])</f>
        <v>0</v>
      </c>
      <c r="CF589" s="3">
        <f>+IF(AVANCE[[#This Row],[CELOSIAS]]=AS$2,100%,AVANCE[[#This Row],[CELOSIAS]])</f>
        <v>0</v>
      </c>
      <c r="CG589" s="3">
        <f>+IF(AVANCE[[#This Row],[VENTANAS]]=AT$2,100%,AVANCE[[#This Row],[VENTANAS]])</f>
        <v>0</v>
      </c>
      <c r="CH589" s="3">
        <f>+IF(AVANCE[[#This Row],[PUERTAS ACCESO - LOGIA - BANO]]=AU$2,100%,AVANCE[[#This Row],[PUERTAS ACCESO - LOGIA - BANO]])</f>
        <v>0</v>
      </c>
      <c r="CI589" s="3">
        <f>+IF(AVANCE[[#This Row],[CERRADURAS]]=AV$2,100%,AVANCE[[#This Row],[CERRADURAS]])</f>
        <v>0</v>
      </c>
      <c r="CJ589" s="3">
        <f>+IF(AVANCE[[#This Row],[REVESTIMIENTO INTERIOR ZONA SECA]]=AW$2,100%,AVANCE[[#This Row],[REVESTIMIENTO INTERIOR ZONA SECA]])</f>
        <v>0</v>
      </c>
      <c r="CK589" s="3">
        <f>+IF(AVANCE[[#This Row],[REVESTIMIENTO INTERIOR ZONAS HUMEDAS]]=AX$2,100%,AVANCE[[#This Row],[REVESTIMIENTO INTERIOR ZONAS HUMEDAS]])</f>
        <v>0</v>
      </c>
      <c r="CL589" s="3">
        <f>+IF(AVANCE[[#This Row],[MEMBRANA CIELO]]=AY$2,100%,AVANCE[[#This Row],[MEMBRANA CIELO]])</f>
        <v>0</v>
      </c>
      <c r="CM589" s="3">
        <f>+IF(AVANCE[[#This Row],[LIMPIEZA FINAL]]=AZ$2,100%,AVANCE[[#This Row],[LIMPIEZA FINAL]])</f>
        <v>0</v>
      </c>
      <c r="CN589" s="3">
        <f>+IF(AVANCE[[#This Row],[PUERTAS DORMITORIO]]=BA$2,100%,AVANCE[[#This Row],[PUERTAS DORMITORIO]])</f>
        <v>0</v>
      </c>
      <c r="CO589" s="3">
        <f>+IF(AVANCE[[#This Row],[REVESTIMIENTO INTERIOR BANO]]=BB$2,100%,AVANCE[[#This Row],[REVESTIMIENTO INTERIOR BANO]])</f>
        <v>0</v>
      </c>
      <c r="CP589" s="3">
        <f>+IF(AVANCE[[#This Row],[MUEBLE LAVAPLATOS]]=BC$2,100%,AVANCE[[#This Row],[MUEBLE LAVAPLATOS]])</f>
        <v>0</v>
      </c>
      <c r="CQ589" s="3">
        <f>+IF(AVANCE[[#This Row],[IMPERMEABILIZACION BANO - COCINA LOGIA]]=BD$2,100%,AVANCE[[#This Row],[IMPERMEABILIZACION BANO - COCINA LOGIA]])</f>
        <v>0</v>
      </c>
      <c r="CR589" s="40">
        <f ca="1">+IF(AVANCE[[#This Row],[ESTADO MODULO]]="PENDIENTE",(TODAY()-AVANCE[[#This Row],[FECHA TERMINO  PLANIFICADO]]),0)</f>
        <v>0</v>
      </c>
      <c r="CS589" s="42" t="str" cm="1">
        <f t="array" ref="CS589">_xlfn.TEXTJOIN(" | ",TRUE,IF(SUMPRODUCT((BF589:CQ589&lt;1)*(PARTIDAS!$I$2:$AT$2="OBRA GRUESA"))&gt;0,"OBRA GRUESA: "&amp;_xlfn.TEXTJOIN(", ",TRUE,IF((BF589:CQ589&lt;1)*(PARTIDAS!$I$2:$AT$2="OBRA GRUESA"),PARTIDAS!$I$1:$AT$1,"")),""),IF(SUMPRODUCT((BF589:CQ589&lt;1)*(PARTIDAS!$I$2:$AT$2="SANITARIOS"))&gt;0,"SANITARIOS: "&amp;_xlfn.TEXTJOIN(", ",TRUE,IF((BF589:CQ589&lt;1)*(PARTIDAS!$I$2:$AT$2="SANITARIOS"),PARTIDAS!$I$1:$AT$1,"")),""),IF(SUMPRODUCT((BF589:CQ589&lt;1)*(PARTIDAS!$I$2:$AT$2="ELÉCTRICO"))&gt;0,"ELÉCTRICO: "&amp;_xlfn.TEXTJOIN(", ",TRUE,IF((BF589:CQ589&lt;1)*(PARTIDAS!$I$2:$AT$2="ELÉCTRICO"),PARTIDAS!$I$1:$AT$1,"")),""),IF(SUMPRODUCT((BF589:CQ589&lt;1)*(PARTIDAS!$I$2:$AT$2="TERMINACIONES"))&gt;0,"TERMINACIONES: "&amp;_xlfn.TEXTJOIN(", ",TRUE,IF((BF589:CQ589&lt;1)*(PARTIDAS!$I$2:$AT$2="TERMINACIONES"),PARTIDAS!$I$1:$AT$1,"")),""))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89" s="45" t="str" cm="1">
        <f t="array" ref="CT589">_xlfn.TEXTJOIN(", ",TRUE,IF(SUMPRODUCT((BF589:CQ589&lt;1)*(PARTIDAS!$I$2:$AT$2="OBRA GRUESA"))&gt;0,"OBRA GRUESA",""),IF(SUMPRODUCT((BF589:CQ589&lt;1)*(PARTIDAS!$I$2:$AT$2="SANITARIOS"))&gt;0,"SANITARIOS",""),IF(SUMPRODUCT((BF589:CQ589&lt;1)*(PARTIDAS!$I$2:$AT$2="ELÉCTRICO"))&gt;0,"ELÉCTRICO",""),IF(SUMPRODUCT((BF589:CQ589&lt;1)*(PARTIDAS!$I$2:$AT$2="TERMINACIONES"))&gt;0,"TERMINACIONES",""))</f>
        <v>OBRA GRUESA, SANITARIOS, ELÉCTRICO, TERMINACIONES</v>
      </c>
      <c r="CU589" s="46" cm="1">
        <f t="array" ref="CU589">SUMPRODUCT(--(BF589:CQ589&lt;1))</f>
        <v>38</v>
      </c>
    </row>
    <row r="590" spans="1:99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46181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 s="3" t="str">
        <f>+IF(AVANCE[[#This Row],[% AVANCE]]=100%,"MODULO TERMINADO",IF(AVANCE[[#This Row],[FECHA INICIO REAL]]="","MODULO NO INICIADO","PENDIENTE"))</f>
        <v>MODULO NO INICIADO</v>
      </c>
      <c r="BF590" s="3">
        <f>+IF(AVANCE[[#This Row],[VENTANAS]]=8.10810810810811%,100%,AVANCE[[#This Row],[VENTANAS]])</f>
        <v>0</v>
      </c>
      <c r="BG590" s="3">
        <f>+IF(AVANCE[[#This Row],[PISO]]=N$2,100%,AVANCE[[#This Row],[PISO]])</f>
        <v>0</v>
      </c>
      <c r="BH590" s="3">
        <f>+IF(AVANCE[[#This Row],[TABIQUES]]=O$2,100%,AVANCE[[#This Row],[TABIQUES]])</f>
        <v>0</v>
      </c>
      <c r="BI590" s="3">
        <f>+IF(AVANCE[[#This Row],[MUROS]]=P$2,100%,AVANCE[[#This Row],[MUROS]])</f>
        <v>0</v>
      </c>
      <c r="BJ590" s="3">
        <f>+IF(AVANCE[[#This Row],[CIELO]]=Q$2,100%,AVANCE[[#This Row],[CIELO]])</f>
        <v>0</v>
      </c>
      <c r="BK590" s="3">
        <f>+IF(AVANCE[[#This Row],[BALCÓN]]=R$2,100%,AVANCE[[#This Row],[BALCÓN]])</f>
        <v>0</v>
      </c>
      <c r="BL590" s="3">
        <f>+IF(AVANCE[[#This Row],[RED ALCANTARILLADO]]=U$2,100%,AVANCE[[#This Row],[RED ALCANTARILLADO]])</f>
        <v>0</v>
      </c>
      <c r="BM590" s="3">
        <f>+IF(AVANCE[[#This Row],[RED DE AGUA]]=V$2,100%,AVANCE[[#This Row],[RED DE AGUA]])</f>
        <v>0</v>
      </c>
      <c r="BN590" s="3">
        <f>+IF(AVANCE[[#This Row],[VENTILACIONES]]=W$2,100%,AVANCE[[#This Row],[VENTILACIONES]])</f>
        <v>0</v>
      </c>
      <c r="BO590" s="3">
        <f>+IF(AVANCE[[#This Row],[TINA]]=X$2,100%,AVANCE[[#This Row],[TINA]])</f>
        <v>0</v>
      </c>
      <c r="BP590" s="3">
        <f>+IF(AVANCE[[#This Row],[WC]]=Y$2,100%,AVANCE[[#This Row],[WC]])</f>
        <v>0</v>
      </c>
      <c r="BQ590" s="3">
        <f>+IF(AVANCE[[#This Row],[LAVAMANOS / LAVAPLATOS / LAVADERO]]=Z$2,100%,AVANCE[[#This Row],[LAVAMANOS / LAVAPLATOS / LAVADERO]])</f>
        <v>0</v>
      </c>
      <c r="BR590" s="3">
        <f>+IF(AVANCE[[#This Row],[CANALIZACIÓN]]=AC$2,100%,AVANCE[[#This Row],[CANALIZACIÓN]])</f>
        <v>0</v>
      </c>
      <c r="BS590" s="3">
        <f>+IF(AVANCE[[#This Row],[CABLEADO]]=AD$2,100%,AVANCE[[#This Row],[CABLEADO]])</f>
        <v>0</v>
      </c>
      <c r="BT590" s="3">
        <f>+IF(AVANCE[[#This Row],[ARTEFACTOS]]=AE$2,100%,AVANCE[[#This Row],[ARTEFACTOS]])</f>
        <v>0</v>
      </c>
      <c r="BU590" s="3">
        <f>+IF(AVANCE[[#This Row],[TABLERO]]=AF$2,100%,AVANCE[[#This Row],[TABLERO]])</f>
        <v>0</v>
      </c>
      <c r="BV590" s="3">
        <f>+IF(AVANCE[[#This Row],[CAJA PAU]]=AG$2,100%,AVANCE[[#This Row],[CAJA PAU]])</f>
        <v>0</v>
      </c>
      <c r="BW590" s="3">
        <f>+IF(AVANCE[[#This Row],[INSTALACION VINILICO]]=AJ$2,100%,AVANCE[[#This Row],[INSTALACION VINILICO]])</f>
        <v>0</v>
      </c>
      <c r="BX590" s="3">
        <f>+IF(AVANCE[[#This Row],[OSB CUBIERTA]]=AK$2,100%,AVANCE[[#This Row],[OSB CUBIERTA]])</f>
        <v>0</v>
      </c>
      <c r="BY590" s="3">
        <f>+IF(AVANCE[[#This Row],[BARANDA BALCON]]=AL$2,100%,AVANCE[[#This Row],[BARANDA BALCON]])</f>
        <v>0</v>
      </c>
      <c r="BZ590" s="3">
        <f>+IF(AVANCE[[#This Row],[OSB EXTERIOR]]=AM$2,100%,AVANCE[[#This Row],[OSB EXTERIOR]])</f>
        <v>0</v>
      </c>
      <c r="CA590" s="3">
        <f>+IF(AVANCE[[#This Row],[SMART PANEL]]=AN$2,100%,AVANCE[[#This Row],[SMART PANEL]])</f>
        <v>0</v>
      </c>
      <c r="CB590" s="3">
        <f>+IF(AVANCE[[#This Row],[PINTURA EXTERIOR]]=AO$2,100%,AVANCE[[#This Row],[PINTURA EXTERIOR]])</f>
        <v>0</v>
      </c>
      <c r="CC590" s="3">
        <f>+IF(AVANCE[[#This Row],[ZOCALOS LOGIA]]=AP$2,100%,AVANCE[[#This Row],[ZOCALOS LOGIA]])</f>
        <v>0</v>
      </c>
      <c r="CD590" s="3">
        <f>+IF(AVANCE[[#This Row],[MOLDURAS]]=AQ$2,100%,AVANCE[[#This Row],[MOLDURAS]])</f>
        <v>0</v>
      </c>
      <c r="CE590" s="3">
        <f>+IF(AVANCE[[#This Row],[PILASTREO]]=AR$2,100%,AVANCE[[#This Row],[PILASTREO]])</f>
        <v>0</v>
      </c>
      <c r="CF590" s="3">
        <f>+IF(AVANCE[[#This Row],[CELOSIAS]]=AS$2,100%,AVANCE[[#This Row],[CELOSIAS]])</f>
        <v>0</v>
      </c>
      <c r="CG590" s="3">
        <f>+IF(AVANCE[[#This Row],[VENTANAS]]=AT$2,100%,AVANCE[[#This Row],[VENTANAS]])</f>
        <v>0</v>
      </c>
      <c r="CH590" s="3">
        <f>+IF(AVANCE[[#This Row],[PUERTAS ACCESO - LOGIA - BANO]]=AU$2,100%,AVANCE[[#This Row],[PUERTAS ACCESO - LOGIA - BANO]])</f>
        <v>0</v>
      </c>
      <c r="CI590" s="3">
        <f>+IF(AVANCE[[#This Row],[CERRADURAS]]=AV$2,100%,AVANCE[[#This Row],[CERRADURAS]])</f>
        <v>0</v>
      </c>
      <c r="CJ590" s="3">
        <f>+IF(AVANCE[[#This Row],[REVESTIMIENTO INTERIOR ZONA SECA]]=AW$2,100%,AVANCE[[#This Row],[REVESTIMIENTO INTERIOR ZONA SECA]])</f>
        <v>0</v>
      </c>
      <c r="CK590" s="3">
        <f>+IF(AVANCE[[#This Row],[REVESTIMIENTO INTERIOR ZONAS HUMEDAS]]=AX$2,100%,AVANCE[[#This Row],[REVESTIMIENTO INTERIOR ZONAS HUMEDAS]])</f>
        <v>0</v>
      </c>
      <c r="CL590" s="3">
        <f>+IF(AVANCE[[#This Row],[MEMBRANA CIELO]]=AY$2,100%,AVANCE[[#This Row],[MEMBRANA CIELO]])</f>
        <v>0</v>
      </c>
      <c r="CM590" s="3">
        <f>+IF(AVANCE[[#This Row],[LIMPIEZA FINAL]]=AZ$2,100%,AVANCE[[#This Row],[LIMPIEZA FINAL]])</f>
        <v>0</v>
      </c>
      <c r="CN590" s="3">
        <f>+IF(AVANCE[[#This Row],[PUERTAS DORMITORIO]]=BA$2,100%,AVANCE[[#This Row],[PUERTAS DORMITORIO]])</f>
        <v>0</v>
      </c>
      <c r="CO590" s="3">
        <f>+IF(AVANCE[[#This Row],[REVESTIMIENTO INTERIOR BANO]]=BB$2,100%,AVANCE[[#This Row],[REVESTIMIENTO INTERIOR BANO]])</f>
        <v>0</v>
      </c>
      <c r="CP590" s="3">
        <f>+IF(AVANCE[[#This Row],[MUEBLE LAVAPLATOS]]=BC$2,100%,AVANCE[[#This Row],[MUEBLE LAVAPLATOS]])</f>
        <v>0</v>
      </c>
      <c r="CQ590" s="3">
        <f>+IF(AVANCE[[#This Row],[IMPERMEABILIZACION BANO - COCINA LOGIA]]=BD$2,100%,AVANCE[[#This Row],[IMPERMEABILIZACION BANO - COCINA LOGIA]])</f>
        <v>0</v>
      </c>
      <c r="CR590" s="40">
        <f ca="1">+IF(AVANCE[[#This Row],[ESTADO MODULO]]="PENDIENTE",(TODAY()-AVANCE[[#This Row],[FECHA TERMINO  PLANIFICADO]]),0)</f>
        <v>0</v>
      </c>
      <c r="CS590" s="42" t="str" cm="1">
        <f t="array" ref="CS590">_xlfn.TEXTJOIN(" | ",TRUE,IF(SUMPRODUCT((BF590:CQ590&lt;1)*(PARTIDAS!$I$2:$AT$2="OBRA GRUESA"))&gt;0,"OBRA GRUESA: "&amp;_xlfn.TEXTJOIN(", ",TRUE,IF((BF590:CQ590&lt;1)*(PARTIDAS!$I$2:$AT$2="OBRA GRUESA"),PARTIDAS!$I$1:$AT$1,"")),""),IF(SUMPRODUCT((BF590:CQ590&lt;1)*(PARTIDAS!$I$2:$AT$2="SANITARIOS"))&gt;0,"SANITARIOS: "&amp;_xlfn.TEXTJOIN(", ",TRUE,IF((BF590:CQ590&lt;1)*(PARTIDAS!$I$2:$AT$2="SANITARIOS"),PARTIDAS!$I$1:$AT$1,"")),""),IF(SUMPRODUCT((BF590:CQ590&lt;1)*(PARTIDAS!$I$2:$AT$2="ELÉCTRICO"))&gt;0,"ELÉCTRICO: "&amp;_xlfn.TEXTJOIN(", ",TRUE,IF((BF590:CQ590&lt;1)*(PARTIDAS!$I$2:$AT$2="ELÉCTRICO"),PARTIDAS!$I$1:$AT$1,"")),""),IF(SUMPRODUCT((BF590:CQ590&lt;1)*(PARTIDAS!$I$2:$AT$2="TERMINACIONES"))&gt;0,"TERMINACIONES: "&amp;_xlfn.TEXTJOIN(", ",TRUE,IF((BF590:CQ590&lt;1)*(PARTIDAS!$I$2:$AT$2="TERMINACIONES"),PARTIDAS!$I$1:$AT$1,"")),""))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0" s="45" t="str" cm="1">
        <f t="array" ref="CT590">_xlfn.TEXTJOIN(", ",TRUE,IF(SUMPRODUCT((BF590:CQ590&lt;1)*(PARTIDAS!$I$2:$AT$2="OBRA GRUESA"))&gt;0,"OBRA GRUESA",""),IF(SUMPRODUCT((BF590:CQ590&lt;1)*(PARTIDAS!$I$2:$AT$2="SANITARIOS"))&gt;0,"SANITARIOS",""),IF(SUMPRODUCT((BF590:CQ590&lt;1)*(PARTIDAS!$I$2:$AT$2="ELÉCTRICO"))&gt;0,"ELÉCTRICO",""),IF(SUMPRODUCT((BF590:CQ590&lt;1)*(PARTIDAS!$I$2:$AT$2="TERMINACIONES"))&gt;0,"TERMINACIONES",""))</f>
        <v>OBRA GRUESA, SANITARIOS, ELÉCTRICO, TERMINACIONES</v>
      </c>
      <c r="CU590" s="46" cm="1">
        <f t="array" ref="CU590">SUMPRODUCT(--(BF590:CQ590&lt;1))</f>
        <v>38</v>
      </c>
    </row>
    <row r="591" spans="1:99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46181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 s="3" t="str">
        <f>+IF(AVANCE[[#This Row],[% AVANCE]]=100%,"MODULO TERMINADO",IF(AVANCE[[#This Row],[FECHA INICIO REAL]]="","MODULO NO INICIADO","PENDIENTE"))</f>
        <v>MODULO NO INICIADO</v>
      </c>
      <c r="BF591" s="3">
        <f>+IF(AVANCE[[#This Row],[VENTANAS]]=8.10810810810811%,100%,AVANCE[[#This Row],[VENTANAS]])</f>
        <v>0</v>
      </c>
      <c r="BG591" s="3">
        <f>+IF(AVANCE[[#This Row],[PISO]]=N$2,100%,AVANCE[[#This Row],[PISO]])</f>
        <v>0</v>
      </c>
      <c r="BH591" s="3">
        <f>+IF(AVANCE[[#This Row],[TABIQUES]]=O$2,100%,AVANCE[[#This Row],[TABIQUES]])</f>
        <v>0</v>
      </c>
      <c r="BI591" s="3">
        <f>+IF(AVANCE[[#This Row],[MUROS]]=P$2,100%,AVANCE[[#This Row],[MUROS]])</f>
        <v>0</v>
      </c>
      <c r="BJ591" s="3">
        <f>+IF(AVANCE[[#This Row],[CIELO]]=Q$2,100%,AVANCE[[#This Row],[CIELO]])</f>
        <v>0</v>
      </c>
      <c r="BK591" s="3">
        <f>+IF(AVANCE[[#This Row],[BALCÓN]]=R$2,100%,AVANCE[[#This Row],[BALCÓN]])</f>
        <v>0</v>
      </c>
      <c r="BL591" s="3">
        <f>+IF(AVANCE[[#This Row],[RED ALCANTARILLADO]]=U$2,100%,AVANCE[[#This Row],[RED ALCANTARILLADO]])</f>
        <v>0</v>
      </c>
      <c r="BM591" s="3">
        <f>+IF(AVANCE[[#This Row],[RED DE AGUA]]=V$2,100%,AVANCE[[#This Row],[RED DE AGUA]])</f>
        <v>0</v>
      </c>
      <c r="BN591" s="3">
        <f>+IF(AVANCE[[#This Row],[VENTILACIONES]]=W$2,100%,AVANCE[[#This Row],[VENTILACIONES]])</f>
        <v>0</v>
      </c>
      <c r="BO591" s="3">
        <f>+IF(AVANCE[[#This Row],[TINA]]=X$2,100%,AVANCE[[#This Row],[TINA]])</f>
        <v>0</v>
      </c>
      <c r="BP591" s="3">
        <f>+IF(AVANCE[[#This Row],[WC]]=Y$2,100%,AVANCE[[#This Row],[WC]])</f>
        <v>0</v>
      </c>
      <c r="BQ591" s="3">
        <f>+IF(AVANCE[[#This Row],[LAVAMANOS / LAVAPLATOS / LAVADERO]]=Z$2,100%,AVANCE[[#This Row],[LAVAMANOS / LAVAPLATOS / LAVADERO]])</f>
        <v>0</v>
      </c>
      <c r="BR591" s="3">
        <f>+IF(AVANCE[[#This Row],[CANALIZACIÓN]]=AC$2,100%,AVANCE[[#This Row],[CANALIZACIÓN]])</f>
        <v>0</v>
      </c>
      <c r="BS591" s="3">
        <f>+IF(AVANCE[[#This Row],[CABLEADO]]=AD$2,100%,AVANCE[[#This Row],[CABLEADO]])</f>
        <v>0</v>
      </c>
      <c r="BT591" s="3">
        <f>+IF(AVANCE[[#This Row],[ARTEFACTOS]]=AE$2,100%,AVANCE[[#This Row],[ARTEFACTOS]])</f>
        <v>0</v>
      </c>
      <c r="BU591" s="3">
        <f>+IF(AVANCE[[#This Row],[TABLERO]]=AF$2,100%,AVANCE[[#This Row],[TABLERO]])</f>
        <v>0</v>
      </c>
      <c r="BV591" s="3">
        <f>+IF(AVANCE[[#This Row],[CAJA PAU]]=AG$2,100%,AVANCE[[#This Row],[CAJA PAU]])</f>
        <v>0</v>
      </c>
      <c r="BW591" s="3">
        <f>+IF(AVANCE[[#This Row],[INSTALACION VINILICO]]=AJ$2,100%,AVANCE[[#This Row],[INSTALACION VINILICO]])</f>
        <v>0</v>
      </c>
      <c r="BX591" s="3">
        <f>+IF(AVANCE[[#This Row],[OSB CUBIERTA]]=AK$2,100%,AVANCE[[#This Row],[OSB CUBIERTA]])</f>
        <v>0</v>
      </c>
      <c r="BY591" s="3">
        <f>+IF(AVANCE[[#This Row],[BARANDA BALCON]]=AL$2,100%,AVANCE[[#This Row],[BARANDA BALCON]])</f>
        <v>0</v>
      </c>
      <c r="BZ591" s="3">
        <f>+IF(AVANCE[[#This Row],[OSB EXTERIOR]]=AM$2,100%,AVANCE[[#This Row],[OSB EXTERIOR]])</f>
        <v>0</v>
      </c>
      <c r="CA591" s="3">
        <f>+IF(AVANCE[[#This Row],[SMART PANEL]]=AN$2,100%,AVANCE[[#This Row],[SMART PANEL]])</f>
        <v>0</v>
      </c>
      <c r="CB591" s="3">
        <f>+IF(AVANCE[[#This Row],[PINTURA EXTERIOR]]=AO$2,100%,AVANCE[[#This Row],[PINTURA EXTERIOR]])</f>
        <v>0</v>
      </c>
      <c r="CC591" s="3">
        <f>+IF(AVANCE[[#This Row],[ZOCALOS LOGIA]]=AP$2,100%,AVANCE[[#This Row],[ZOCALOS LOGIA]])</f>
        <v>0</v>
      </c>
      <c r="CD591" s="3">
        <f>+IF(AVANCE[[#This Row],[MOLDURAS]]=AQ$2,100%,AVANCE[[#This Row],[MOLDURAS]])</f>
        <v>0</v>
      </c>
      <c r="CE591" s="3">
        <f>+IF(AVANCE[[#This Row],[PILASTREO]]=AR$2,100%,AVANCE[[#This Row],[PILASTREO]])</f>
        <v>0</v>
      </c>
      <c r="CF591" s="3">
        <f>+IF(AVANCE[[#This Row],[CELOSIAS]]=AS$2,100%,AVANCE[[#This Row],[CELOSIAS]])</f>
        <v>0</v>
      </c>
      <c r="CG591" s="3">
        <f>+IF(AVANCE[[#This Row],[VENTANAS]]=AT$2,100%,AVANCE[[#This Row],[VENTANAS]])</f>
        <v>0</v>
      </c>
      <c r="CH591" s="3">
        <f>+IF(AVANCE[[#This Row],[PUERTAS ACCESO - LOGIA - BANO]]=AU$2,100%,AVANCE[[#This Row],[PUERTAS ACCESO - LOGIA - BANO]])</f>
        <v>0</v>
      </c>
      <c r="CI591" s="3">
        <f>+IF(AVANCE[[#This Row],[CERRADURAS]]=AV$2,100%,AVANCE[[#This Row],[CERRADURAS]])</f>
        <v>0</v>
      </c>
      <c r="CJ591" s="3">
        <f>+IF(AVANCE[[#This Row],[REVESTIMIENTO INTERIOR ZONA SECA]]=AW$2,100%,AVANCE[[#This Row],[REVESTIMIENTO INTERIOR ZONA SECA]])</f>
        <v>0</v>
      </c>
      <c r="CK591" s="3">
        <f>+IF(AVANCE[[#This Row],[REVESTIMIENTO INTERIOR ZONAS HUMEDAS]]=AX$2,100%,AVANCE[[#This Row],[REVESTIMIENTO INTERIOR ZONAS HUMEDAS]])</f>
        <v>0</v>
      </c>
      <c r="CL591" s="3">
        <f>+IF(AVANCE[[#This Row],[MEMBRANA CIELO]]=AY$2,100%,AVANCE[[#This Row],[MEMBRANA CIELO]])</f>
        <v>0</v>
      </c>
      <c r="CM591" s="3">
        <f>+IF(AVANCE[[#This Row],[LIMPIEZA FINAL]]=AZ$2,100%,AVANCE[[#This Row],[LIMPIEZA FINAL]])</f>
        <v>0</v>
      </c>
      <c r="CN591" s="3">
        <f>+IF(AVANCE[[#This Row],[PUERTAS DORMITORIO]]=BA$2,100%,AVANCE[[#This Row],[PUERTAS DORMITORIO]])</f>
        <v>0</v>
      </c>
      <c r="CO591" s="3">
        <f>+IF(AVANCE[[#This Row],[REVESTIMIENTO INTERIOR BANO]]=BB$2,100%,AVANCE[[#This Row],[REVESTIMIENTO INTERIOR BANO]])</f>
        <v>0</v>
      </c>
      <c r="CP591" s="3">
        <f>+IF(AVANCE[[#This Row],[MUEBLE LAVAPLATOS]]=BC$2,100%,AVANCE[[#This Row],[MUEBLE LAVAPLATOS]])</f>
        <v>0</v>
      </c>
      <c r="CQ591" s="3">
        <f>+IF(AVANCE[[#This Row],[IMPERMEABILIZACION BANO - COCINA LOGIA]]=BD$2,100%,AVANCE[[#This Row],[IMPERMEABILIZACION BANO - COCINA LOGIA]])</f>
        <v>0</v>
      </c>
      <c r="CR591" s="40">
        <f ca="1">+IF(AVANCE[[#This Row],[ESTADO MODULO]]="PENDIENTE",(TODAY()-AVANCE[[#This Row],[FECHA TERMINO  PLANIFICADO]]),0)</f>
        <v>0</v>
      </c>
      <c r="CS591" s="42" t="str" cm="1">
        <f t="array" ref="CS591">_xlfn.TEXTJOIN(" | ",TRUE,IF(SUMPRODUCT((BF591:CQ591&lt;1)*(PARTIDAS!$I$2:$AT$2="OBRA GRUESA"))&gt;0,"OBRA GRUESA: "&amp;_xlfn.TEXTJOIN(", ",TRUE,IF((BF591:CQ591&lt;1)*(PARTIDAS!$I$2:$AT$2="OBRA GRUESA"),PARTIDAS!$I$1:$AT$1,"")),""),IF(SUMPRODUCT((BF591:CQ591&lt;1)*(PARTIDAS!$I$2:$AT$2="SANITARIOS"))&gt;0,"SANITARIOS: "&amp;_xlfn.TEXTJOIN(", ",TRUE,IF((BF591:CQ591&lt;1)*(PARTIDAS!$I$2:$AT$2="SANITARIOS"),PARTIDAS!$I$1:$AT$1,"")),""),IF(SUMPRODUCT((BF591:CQ591&lt;1)*(PARTIDAS!$I$2:$AT$2="ELÉCTRICO"))&gt;0,"ELÉCTRICO: "&amp;_xlfn.TEXTJOIN(", ",TRUE,IF((BF591:CQ591&lt;1)*(PARTIDAS!$I$2:$AT$2="ELÉCTRICO"),PARTIDAS!$I$1:$AT$1,"")),""),IF(SUMPRODUCT((BF591:CQ591&lt;1)*(PARTIDAS!$I$2:$AT$2="TERMINACIONES"))&gt;0,"TERMINACIONES: "&amp;_xlfn.TEXTJOIN(", ",TRUE,IF((BF591:CQ591&lt;1)*(PARTIDAS!$I$2:$AT$2="TERMINACIONES"),PARTIDAS!$I$1:$AT$1,"")),""))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1" s="45" t="str" cm="1">
        <f t="array" ref="CT591">_xlfn.TEXTJOIN(", ",TRUE,IF(SUMPRODUCT((BF591:CQ591&lt;1)*(PARTIDAS!$I$2:$AT$2="OBRA GRUESA"))&gt;0,"OBRA GRUESA",""),IF(SUMPRODUCT((BF591:CQ591&lt;1)*(PARTIDAS!$I$2:$AT$2="SANITARIOS"))&gt;0,"SANITARIOS",""),IF(SUMPRODUCT((BF591:CQ591&lt;1)*(PARTIDAS!$I$2:$AT$2="ELÉCTRICO"))&gt;0,"ELÉCTRICO",""),IF(SUMPRODUCT((BF591:CQ591&lt;1)*(PARTIDAS!$I$2:$AT$2="TERMINACIONES"))&gt;0,"TERMINACIONES",""))</f>
        <v>OBRA GRUESA, SANITARIOS, ELÉCTRICO, TERMINACIONES</v>
      </c>
      <c r="CU591" s="46" cm="1">
        <f t="array" ref="CU591">SUMPRODUCT(--(BF591:CQ591&lt;1))</f>
        <v>38</v>
      </c>
    </row>
    <row r="592" spans="1:99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46181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 s="3" t="str">
        <f>+IF(AVANCE[[#This Row],[% AVANCE]]=100%,"MODULO TERMINADO",IF(AVANCE[[#This Row],[FECHA INICIO REAL]]="","MODULO NO INICIADO","PENDIENTE"))</f>
        <v>MODULO NO INICIADO</v>
      </c>
      <c r="BF592" s="3">
        <f>+IF(AVANCE[[#This Row],[VENTANAS]]=8.10810810810811%,100%,AVANCE[[#This Row],[VENTANAS]])</f>
        <v>0</v>
      </c>
      <c r="BG592" s="3">
        <f>+IF(AVANCE[[#This Row],[PISO]]=N$2,100%,AVANCE[[#This Row],[PISO]])</f>
        <v>0</v>
      </c>
      <c r="BH592" s="3">
        <f>+IF(AVANCE[[#This Row],[TABIQUES]]=O$2,100%,AVANCE[[#This Row],[TABIQUES]])</f>
        <v>0</v>
      </c>
      <c r="BI592" s="3">
        <f>+IF(AVANCE[[#This Row],[MUROS]]=P$2,100%,AVANCE[[#This Row],[MUROS]])</f>
        <v>0</v>
      </c>
      <c r="BJ592" s="3">
        <f>+IF(AVANCE[[#This Row],[CIELO]]=Q$2,100%,AVANCE[[#This Row],[CIELO]])</f>
        <v>0</v>
      </c>
      <c r="BK592" s="3">
        <f>+IF(AVANCE[[#This Row],[BALCÓN]]=R$2,100%,AVANCE[[#This Row],[BALCÓN]])</f>
        <v>0</v>
      </c>
      <c r="BL592" s="3">
        <f>+IF(AVANCE[[#This Row],[RED ALCANTARILLADO]]=U$2,100%,AVANCE[[#This Row],[RED ALCANTARILLADO]])</f>
        <v>0</v>
      </c>
      <c r="BM592" s="3">
        <f>+IF(AVANCE[[#This Row],[RED DE AGUA]]=V$2,100%,AVANCE[[#This Row],[RED DE AGUA]])</f>
        <v>0</v>
      </c>
      <c r="BN592" s="3">
        <f>+IF(AVANCE[[#This Row],[VENTILACIONES]]=W$2,100%,AVANCE[[#This Row],[VENTILACIONES]])</f>
        <v>0</v>
      </c>
      <c r="BO592" s="3">
        <f>+IF(AVANCE[[#This Row],[TINA]]=X$2,100%,AVANCE[[#This Row],[TINA]])</f>
        <v>0</v>
      </c>
      <c r="BP592" s="3">
        <f>+IF(AVANCE[[#This Row],[WC]]=Y$2,100%,AVANCE[[#This Row],[WC]])</f>
        <v>0</v>
      </c>
      <c r="BQ592" s="3">
        <f>+IF(AVANCE[[#This Row],[LAVAMANOS / LAVAPLATOS / LAVADERO]]=Z$2,100%,AVANCE[[#This Row],[LAVAMANOS / LAVAPLATOS / LAVADERO]])</f>
        <v>0</v>
      </c>
      <c r="BR592" s="3">
        <f>+IF(AVANCE[[#This Row],[CANALIZACIÓN]]=AC$2,100%,AVANCE[[#This Row],[CANALIZACIÓN]])</f>
        <v>0</v>
      </c>
      <c r="BS592" s="3">
        <f>+IF(AVANCE[[#This Row],[CABLEADO]]=AD$2,100%,AVANCE[[#This Row],[CABLEADO]])</f>
        <v>0</v>
      </c>
      <c r="BT592" s="3">
        <f>+IF(AVANCE[[#This Row],[ARTEFACTOS]]=AE$2,100%,AVANCE[[#This Row],[ARTEFACTOS]])</f>
        <v>0</v>
      </c>
      <c r="BU592" s="3">
        <f>+IF(AVANCE[[#This Row],[TABLERO]]=AF$2,100%,AVANCE[[#This Row],[TABLERO]])</f>
        <v>0</v>
      </c>
      <c r="BV592" s="3">
        <f>+IF(AVANCE[[#This Row],[CAJA PAU]]=AG$2,100%,AVANCE[[#This Row],[CAJA PAU]])</f>
        <v>0</v>
      </c>
      <c r="BW592" s="3">
        <f>+IF(AVANCE[[#This Row],[INSTALACION VINILICO]]=AJ$2,100%,AVANCE[[#This Row],[INSTALACION VINILICO]])</f>
        <v>0</v>
      </c>
      <c r="BX592" s="3">
        <f>+IF(AVANCE[[#This Row],[OSB CUBIERTA]]=AK$2,100%,AVANCE[[#This Row],[OSB CUBIERTA]])</f>
        <v>0</v>
      </c>
      <c r="BY592" s="3">
        <f>+IF(AVANCE[[#This Row],[BARANDA BALCON]]=AL$2,100%,AVANCE[[#This Row],[BARANDA BALCON]])</f>
        <v>0</v>
      </c>
      <c r="BZ592" s="3">
        <f>+IF(AVANCE[[#This Row],[OSB EXTERIOR]]=AM$2,100%,AVANCE[[#This Row],[OSB EXTERIOR]])</f>
        <v>0</v>
      </c>
      <c r="CA592" s="3">
        <f>+IF(AVANCE[[#This Row],[SMART PANEL]]=AN$2,100%,AVANCE[[#This Row],[SMART PANEL]])</f>
        <v>0</v>
      </c>
      <c r="CB592" s="3">
        <f>+IF(AVANCE[[#This Row],[PINTURA EXTERIOR]]=AO$2,100%,AVANCE[[#This Row],[PINTURA EXTERIOR]])</f>
        <v>0</v>
      </c>
      <c r="CC592" s="3">
        <f>+IF(AVANCE[[#This Row],[ZOCALOS LOGIA]]=AP$2,100%,AVANCE[[#This Row],[ZOCALOS LOGIA]])</f>
        <v>0</v>
      </c>
      <c r="CD592" s="3">
        <f>+IF(AVANCE[[#This Row],[MOLDURAS]]=AQ$2,100%,AVANCE[[#This Row],[MOLDURAS]])</f>
        <v>0</v>
      </c>
      <c r="CE592" s="3">
        <f>+IF(AVANCE[[#This Row],[PILASTREO]]=AR$2,100%,AVANCE[[#This Row],[PILASTREO]])</f>
        <v>0</v>
      </c>
      <c r="CF592" s="3">
        <f>+IF(AVANCE[[#This Row],[CELOSIAS]]=AS$2,100%,AVANCE[[#This Row],[CELOSIAS]])</f>
        <v>0</v>
      </c>
      <c r="CG592" s="3">
        <f>+IF(AVANCE[[#This Row],[VENTANAS]]=AT$2,100%,AVANCE[[#This Row],[VENTANAS]])</f>
        <v>0</v>
      </c>
      <c r="CH592" s="3">
        <f>+IF(AVANCE[[#This Row],[PUERTAS ACCESO - LOGIA - BANO]]=AU$2,100%,AVANCE[[#This Row],[PUERTAS ACCESO - LOGIA - BANO]])</f>
        <v>0</v>
      </c>
      <c r="CI592" s="3">
        <f>+IF(AVANCE[[#This Row],[CERRADURAS]]=AV$2,100%,AVANCE[[#This Row],[CERRADURAS]])</f>
        <v>0</v>
      </c>
      <c r="CJ592" s="3">
        <f>+IF(AVANCE[[#This Row],[REVESTIMIENTO INTERIOR ZONA SECA]]=AW$2,100%,AVANCE[[#This Row],[REVESTIMIENTO INTERIOR ZONA SECA]])</f>
        <v>0</v>
      </c>
      <c r="CK592" s="3">
        <f>+IF(AVANCE[[#This Row],[REVESTIMIENTO INTERIOR ZONAS HUMEDAS]]=AX$2,100%,AVANCE[[#This Row],[REVESTIMIENTO INTERIOR ZONAS HUMEDAS]])</f>
        <v>0</v>
      </c>
      <c r="CL592" s="3">
        <f>+IF(AVANCE[[#This Row],[MEMBRANA CIELO]]=AY$2,100%,AVANCE[[#This Row],[MEMBRANA CIELO]])</f>
        <v>0</v>
      </c>
      <c r="CM592" s="3">
        <f>+IF(AVANCE[[#This Row],[LIMPIEZA FINAL]]=AZ$2,100%,AVANCE[[#This Row],[LIMPIEZA FINAL]])</f>
        <v>0</v>
      </c>
      <c r="CN592" s="3">
        <f>+IF(AVANCE[[#This Row],[PUERTAS DORMITORIO]]=BA$2,100%,AVANCE[[#This Row],[PUERTAS DORMITORIO]])</f>
        <v>0</v>
      </c>
      <c r="CO592" s="3">
        <f>+IF(AVANCE[[#This Row],[REVESTIMIENTO INTERIOR BANO]]=BB$2,100%,AVANCE[[#This Row],[REVESTIMIENTO INTERIOR BANO]])</f>
        <v>0</v>
      </c>
      <c r="CP592" s="3">
        <f>+IF(AVANCE[[#This Row],[MUEBLE LAVAPLATOS]]=BC$2,100%,AVANCE[[#This Row],[MUEBLE LAVAPLATOS]])</f>
        <v>0</v>
      </c>
      <c r="CQ592" s="3">
        <f>+IF(AVANCE[[#This Row],[IMPERMEABILIZACION BANO - COCINA LOGIA]]=BD$2,100%,AVANCE[[#This Row],[IMPERMEABILIZACION BANO - COCINA LOGIA]])</f>
        <v>0</v>
      </c>
      <c r="CR592" s="40">
        <f ca="1">+IF(AVANCE[[#This Row],[ESTADO MODULO]]="PENDIENTE",(TODAY()-AVANCE[[#This Row],[FECHA TERMINO  PLANIFICADO]]),0)</f>
        <v>0</v>
      </c>
      <c r="CS592" s="42" t="str" cm="1">
        <f t="array" ref="CS592">_xlfn.TEXTJOIN(" | ",TRUE,IF(SUMPRODUCT((BF592:CQ592&lt;1)*(PARTIDAS!$I$2:$AT$2="OBRA GRUESA"))&gt;0,"OBRA GRUESA: "&amp;_xlfn.TEXTJOIN(", ",TRUE,IF((BF592:CQ592&lt;1)*(PARTIDAS!$I$2:$AT$2="OBRA GRUESA"),PARTIDAS!$I$1:$AT$1,"")),""),IF(SUMPRODUCT((BF592:CQ592&lt;1)*(PARTIDAS!$I$2:$AT$2="SANITARIOS"))&gt;0,"SANITARIOS: "&amp;_xlfn.TEXTJOIN(", ",TRUE,IF((BF592:CQ592&lt;1)*(PARTIDAS!$I$2:$AT$2="SANITARIOS"),PARTIDAS!$I$1:$AT$1,"")),""),IF(SUMPRODUCT((BF592:CQ592&lt;1)*(PARTIDAS!$I$2:$AT$2="ELÉCTRICO"))&gt;0,"ELÉCTRICO: "&amp;_xlfn.TEXTJOIN(", ",TRUE,IF((BF592:CQ592&lt;1)*(PARTIDAS!$I$2:$AT$2="ELÉCTRICO"),PARTIDAS!$I$1:$AT$1,"")),""),IF(SUMPRODUCT((BF592:CQ592&lt;1)*(PARTIDAS!$I$2:$AT$2="TERMINACIONES"))&gt;0,"TERMINACIONES: "&amp;_xlfn.TEXTJOIN(", ",TRUE,IF((BF592:CQ592&lt;1)*(PARTIDAS!$I$2:$AT$2="TERMINACIONES"),PARTIDAS!$I$1:$AT$1,"")),""))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2" s="45" t="str" cm="1">
        <f t="array" ref="CT592">_xlfn.TEXTJOIN(", ",TRUE,IF(SUMPRODUCT((BF592:CQ592&lt;1)*(PARTIDAS!$I$2:$AT$2="OBRA GRUESA"))&gt;0,"OBRA GRUESA",""),IF(SUMPRODUCT((BF592:CQ592&lt;1)*(PARTIDAS!$I$2:$AT$2="SANITARIOS"))&gt;0,"SANITARIOS",""),IF(SUMPRODUCT((BF592:CQ592&lt;1)*(PARTIDAS!$I$2:$AT$2="ELÉCTRICO"))&gt;0,"ELÉCTRICO",""),IF(SUMPRODUCT((BF592:CQ592&lt;1)*(PARTIDAS!$I$2:$AT$2="TERMINACIONES"))&gt;0,"TERMINACIONES",""))</f>
        <v>OBRA GRUESA, SANITARIOS, ELÉCTRICO, TERMINACIONES</v>
      </c>
      <c r="CU592" s="46" cm="1">
        <f t="array" ref="CU592">SUMPRODUCT(--(BF592:CQ592&lt;1))</f>
        <v>38</v>
      </c>
    </row>
    <row r="593" spans="1:99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46181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 s="3" t="str">
        <f>+IF(AVANCE[[#This Row],[% AVANCE]]=100%,"MODULO TERMINADO",IF(AVANCE[[#This Row],[FECHA INICIO REAL]]="","MODULO NO INICIADO","PENDIENTE"))</f>
        <v>MODULO NO INICIADO</v>
      </c>
      <c r="BF593" s="3">
        <f>+IF(AVANCE[[#This Row],[VENTANAS]]=8.10810810810811%,100%,AVANCE[[#This Row],[VENTANAS]])</f>
        <v>0</v>
      </c>
      <c r="BG593" s="3">
        <f>+IF(AVANCE[[#This Row],[PISO]]=N$2,100%,AVANCE[[#This Row],[PISO]])</f>
        <v>0</v>
      </c>
      <c r="BH593" s="3">
        <f>+IF(AVANCE[[#This Row],[TABIQUES]]=O$2,100%,AVANCE[[#This Row],[TABIQUES]])</f>
        <v>0</v>
      </c>
      <c r="BI593" s="3">
        <f>+IF(AVANCE[[#This Row],[MUROS]]=P$2,100%,AVANCE[[#This Row],[MUROS]])</f>
        <v>0</v>
      </c>
      <c r="BJ593" s="3">
        <f>+IF(AVANCE[[#This Row],[CIELO]]=Q$2,100%,AVANCE[[#This Row],[CIELO]])</f>
        <v>0</v>
      </c>
      <c r="BK593" s="3">
        <f>+IF(AVANCE[[#This Row],[BALCÓN]]=R$2,100%,AVANCE[[#This Row],[BALCÓN]])</f>
        <v>0</v>
      </c>
      <c r="BL593" s="3">
        <f>+IF(AVANCE[[#This Row],[RED ALCANTARILLADO]]=U$2,100%,AVANCE[[#This Row],[RED ALCANTARILLADO]])</f>
        <v>0</v>
      </c>
      <c r="BM593" s="3">
        <f>+IF(AVANCE[[#This Row],[RED DE AGUA]]=V$2,100%,AVANCE[[#This Row],[RED DE AGUA]])</f>
        <v>0</v>
      </c>
      <c r="BN593" s="3">
        <f>+IF(AVANCE[[#This Row],[VENTILACIONES]]=W$2,100%,AVANCE[[#This Row],[VENTILACIONES]])</f>
        <v>0</v>
      </c>
      <c r="BO593" s="3">
        <f>+IF(AVANCE[[#This Row],[TINA]]=X$2,100%,AVANCE[[#This Row],[TINA]])</f>
        <v>0</v>
      </c>
      <c r="BP593" s="3">
        <f>+IF(AVANCE[[#This Row],[WC]]=Y$2,100%,AVANCE[[#This Row],[WC]])</f>
        <v>0</v>
      </c>
      <c r="BQ593" s="3">
        <f>+IF(AVANCE[[#This Row],[LAVAMANOS / LAVAPLATOS / LAVADERO]]=Z$2,100%,AVANCE[[#This Row],[LAVAMANOS / LAVAPLATOS / LAVADERO]])</f>
        <v>0</v>
      </c>
      <c r="BR593" s="3">
        <f>+IF(AVANCE[[#This Row],[CANALIZACIÓN]]=AC$2,100%,AVANCE[[#This Row],[CANALIZACIÓN]])</f>
        <v>0</v>
      </c>
      <c r="BS593" s="3">
        <f>+IF(AVANCE[[#This Row],[CABLEADO]]=AD$2,100%,AVANCE[[#This Row],[CABLEADO]])</f>
        <v>0</v>
      </c>
      <c r="BT593" s="3">
        <f>+IF(AVANCE[[#This Row],[ARTEFACTOS]]=AE$2,100%,AVANCE[[#This Row],[ARTEFACTOS]])</f>
        <v>0</v>
      </c>
      <c r="BU593" s="3">
        <f>+IF(AVANCE[[#This Row],[TABLERO]]=AF$2,100%,AVANCE[[#This Row],[TABLERO]])</f>
        <v>0</v>
      </c>
      <c r="BV593" s="3">
        <f>+IF(AVANCE[[#This Row],[CAJA PAU]]=AG$2,100%,AVANCE[[#This Row],[CAJA PAU]])</f>
        <v>0</v>
      </c>
      <c r="BW593" s="3">
        <f>+IF(AVANCE[[#This Row],[INSTALACION VINILICO]]=AJ$2,100%,AVANCE[[#This Row],[INSTALACION VINILICO]])</f>
        <v>0</v>
      </c>
      <c r="BX593" s="3">
        <f>+IF(AVANCE[[#This Row],[OSB CUBIERTA]]=AK$2,100%,AVANCE[[#This Row],[OSB CUBIERTA]])</f>
        <v>0</v>
      </c>
      <c r="BY593" s="3">
        <f>+IF(AVANCE[[#This Row],[BARANDA BALCON]]=AL$2,100%,AVANCE[[#This Row],[BARANDA BALCON]])</f>
        <v>0</v>
      </c>
      <c r="BZ593" s="3">
        <f>+IF(AVANCE[[#This Row],[OSB EXTERIOR]]=AM$2,100%,AVANCE[[#This Row],[OSB EXTERIOR]])</f>
        <v>0</v>
      </c>
      <c r="CA593" s="3">
        <f>+IF(AVANCE[[#This Row],[SMART PANEL]]=AN$2,100%,AVANCE[[#This Row],[SMART PANEL]])</f>
        <v>0</v>
      </c>
      <c r="CB593" s="3">
        <f>+IF(AVANCE[[#This Row],[PINTURA EXTERIOR]]=AO$2,100%,AVANCE[[#This Row],[PINTURA EXTERIOR]])</f>
        <v>0</v>
      </c>
      <c r="CC593" s="3">
        <f>+IF(AVANCE[[#This Row],[ZOCALOS LOGIA]]=AP$2,100%,AVANCE[[#This Row],[ZOCALOS LOGIA]])</f>
        <v>0</v>
      </c>
      <c r="CD593" s="3">
        <f>+IF(AVANCE[[#This Row],[MOLDURAS]]=AQ$2,100%,AVANCE[[#This Row],[MOLDURAS]])</f>
        <v>0</v>
      </c>
      <c r="CE593" s="3">
        <f>+IF(AVANCE[[#This Row],[PILASTREO]]=AR$2,100%,AVANCE[[#This Row],[PILASTREO]])</f>
        <v>0</v>
      </c>
      <c r="CF593" s="3">
        <f>+IF(AVANCE[[#This Row],[CELOSIAS]]=AS$2,100%,AVANCE[[#This Row],[CELOSIAS]])</f>
        <v>0</v>
      </c>
      <c r="CG593" s="3">
        <f>+IF(AVANCE[[#This Row],[VENTANAS]]=AT$2,100%,AVANCE[[#This Row],[VENTANAS]])</f>
        <v>0</v>
      </c>
      <c r="CH593" s="3">
        <f>+IF(AVANCE[[#This Row],[PUERTAS ACCESO - LOGIA - BANO]]=AU$2,100%,AVANCE[[#This Row],[PUERTAS ACCESO - LOGIA - BANO]])</f>
        <v>0</v>
      </c>
      <c r="CI593" s="3">
        <f>+IF(AVANCE[[#This Row],[CERRADURAS]]=AV$2,100%,AVANCE[[#This Row],[CERRADURAS]])</f>
        <v>0</v>
      </c>
      <c r="CJ593" s="3">
        <f>+IF(AVANCE[[#This Row],[REVESTIMIENTO INTERIOR ZONA SECA]]=AW$2,100%,AVANCE[[#This Row],[REVESTIMIENTO INTERIOR ZONA SECA]])</f>
        <v>0</v>
      </c>
      <c r="CK593" s="3">
        <f>+IF(AVANCE[[#This Row],[REVESTIMIENTO INTERIOR ZONAS HUMEDAS]]=AX$2,100%,AVANCE[[#This Row],[REVESTIMIENTO INTERIOR ZONAS HUMEDAS]])</f>
        <v>0</v>
      </c>
      <c r="CL593" s="3">
        <f>+IF(AVANCE[[#This Row],[MEMBRANA CIELO]]=AY$2,100%,AVANCE[[#This Row],[MEMBRANA CIELO]])</f>
        <v>0</v>
      </c>
      <c r="CM593" s="3">
        <f>+IF(AVANCE[[#This Row],[LIMPIEZA FINAL]]=AZ$2,100%,AVANCE[[#This Row],[LIMPIEZA FINAL]])</f>
        <v>0</v>
      </c>
      <c r="CN593" s="3">
        <f>+IF(AVANCE[[#This Row],[PUERTAS DORMITORIO]]=BA$2,100%,AVANCE[[#This Row],[PUERTAS DORMITORIO]])</f>
        <v>0</v>
      </c>
      <c r="CO593" s="3">
        <f>+IF(AVANCE[[#This Row],[REVESTIMIENTO INTERIOR BANO]]=BB$2,100%,AVANCE[[#This Row],[REVESTIMIENTO INTERIOR BANO]])</f>
        <v>0</v>
      </c>
      <c r="CP593" s="3">
        <f>+IF(AVANCE[[#This Row],[MUEBLE LAVAPLATOS]]=BC$2,100%,AVANCE[[#This Row],[MUEBLE LAVAPLATOS]])</f>
        <v>0</v>
      </c>
      <c r="CQ593" s="3">
        <f>+IF(AVANCE[[#This Row],[IMPERMEABILIZACION BANO - COCINA LOGIA]]=BD$2,100%,AVANCE[[#This Row],[IMPERMEABILIZACION BANO - COCINA LOGIA]])</f>
        <v>0</v>
      </c>
      <c r="CR593" s="40">
        <f ca="1">+IF(AVANCE[[#This Row],[ESTADO MODULO]]="PENDIENTE",(TODAY()-AVANCE[[#This Row],[FECHA TERMINO  PLANIFICADO]]),0)</f>
        <v>0</v>
      </c>
      <c r="CS593" s="42" t="str" cm="1">
        <f t="array" ref="CS593">_xlfn.TEXTJOIN(" | ",TRUE,IF(SUMPRODUCT((BF593:CQ593&lt;1)*(PARTIDAS!$I$2:$AT$2="OBRA GRUESA"))&gt;0,"OBRA GRUESA: "&amp;_xlfn.TEXTJOIN(", ",TRUE,IF((BF593:CQ593&lt;1)*(PARTIDAS!$I$2:$AT$2="OBRA GRUESA"),PARTIDAS!$I$1:$AT$1,"")),""),IF(SUMPRODUCT((BF593:CQ593&lt;1)*(PARTIDAS!$I$2:$AT$2="SANITARIOS"))&gt;0,"SANITARIOS: "&amp;_xlfn.TEXTJOIN(", ",TRUE,IF((BF593:CQ593&lt;1)*(PARTIDAS!$I$2:$AT$2="SANITARIOS"),PARTIDAS!$I$1:$AT$1,"")),""),IF(SUMPRODUCT((BF593:CQ593&lt;1)*(PARTIDAS!$I$2:$AT$2="ELÉCTRICO"))&gt;0,"ELÉCTRICO: "&amp;_xlfn.TEXTJOIN(", ",TRUE,IF((BF593:CQ593&lt;1)*(PARTIDAS!$I$2:$AT$2="ELÉCTRICO"),PARTIDAS!$I$1:$AT$1,"")),""),IF(SUMPRODUCT((BF593:CQ593&lt;1)*(PARTIDAS!$I$2:$AT$2="TERMINACIONES"))&gt;0,"TERMINACIONES: "&amp;_xlfn.TEXTJOIN(", ",TRUE,IF((BF593:CQ593&lt;1)*(PARTIDAS!$I$2:$AT$2="TERMINACIONES"),PARTIDAS!$I$1:$AT$1,"")),""))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3" s="45" t="str" cm="1">
        <f t="array" ref="CT593">_xlfn.TEXTJOIN(", ",TRUE,IF(SUMPRODUCT((BF593:CQ593&lt;1)*(PARTIDAS!$I$2:$AT$2="OBRA GRUESA"))&gt;0,"OBRA GRUESA",""),IF(SUMPRODUCT((BF593:CQ593&lt;1)*(PARTIDAS!$I$2:$AT$2="SANITARIOS"))&gt;0,"SANITARIOS",""),IF(SUMPRODUCT((BF593:CQ593&lt;1)*(PARTIDAS!$I$2:$AT$2="ELÉCTRICO"))&gt;0,"ELÉCTRICO",""),IF(SUMPRODUCT((BF593:CQ593&lt;1)*(PARTIDAS!$I$2:$AT$2="TERMINACIONES"))&gt;0,"TERMINACIONES",""))</f>
        <v>OBRA GRUESA, SANITARIOS, ELÉCTRICO, TERMINACIONES</v>
      </c>
      <c r="CU593" s="46" cm="1">
        <f t="array" ref="CU593">SUMPRODUCT(--(BF593:CQ593&lt;1))</f>
        <v>38</v>
      </c>
    </row>
    <row r="594" spans="1:99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46181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 s="3" t="str">
        <f>+IF(AVANCE[[#This Row],[% AVANCE]]=100%,"MODULO TERMINADO",IF(AVANCE[[#This Row],[FECHA INICIO REAL]]="","MODULO NO INICIADO","PENDIENTE"))</f>
        <v>MODULO NO INICIADO</v>
      </c>
      <c r="BF594" s="3">
        <f>+IF(AVANCE[[#This Row],[VENTANAS]]=8.10810810810811%,100%,AVANCE[[#This Row],[VENTANAS]])</f>
        <v>0</v>
      </c>
      <c r="BG594" s="3">
        <f>+IF(AVANCE[[#This Row],[PISO]]=N$2,100%,AVANCE[[#This Row],[PISO]])</f>
        <v>0</v>
      </c>
      <c r="BH594" s="3">
        <f>+IF(AVANCE[[#This Row],[TABIQUES]]=O$2,100%,AVANCE[[#This Row],[TABIQUES]])</f>
        <v>0</v>
      </c>
      <c r="BI594" s="3">
        <f>+IF(AVANCE[[#This Row],[MUROS]]=P$2,100%,AVANCE[[#This Row],[MUROS]])</f>
        <v>0</v>
      </c>
      <c r="BJ594" s="3">
        <f>+IF(AVANCE[[#This Row],[CIELO]]=Q$2,100%,AVANCE[[#This Row],[CIELO]])</f>
        <v>0</v>
      </c>
      <c r="BK594" s="3">
        <f>+IF(AVANCE[[#This Row],[BALCÓN]]=R$2,100%,AVANCE[[#This Row],[BALCÓN]])</f>
        <v>0</v>
      </c>
      <c r="BL594" s="3">
        <f>+IF(AVANCE[[#This Row],[RED ALCANTARILLADO]]=U$2,100%,AVANCE[[#This Row],[RED ALCANTARILLADO]])</f>
        <v>0</v>
      </c>
      <c r="BM594" s="3">
        <f>+IF(AVANCE[[#This Row],[RED DE AGUA]]=V$2,100%,AVANCE[[#This Row],[RED DE AGUA]])</f>
        <v>0</v>
      </c>
      <c r="BN594" s="3">
        <f>+IF(AVANCE[[#This Row],[VENTILACIONES]]=W$2,100%,AVANCE[[#This Row],[VENTILACIONES]])</f>
        <v>0</v>
      </c>
      <c r="BO594" s="3">
        <f>+IF(AVANCE[[#This Row],[TINA]]=X$2,100%,AVANCE[[#This Row],[TINA]])</f>
        <v>0</v>
      </c>
      <c r="BP594" s="3">
        <f>+IF(AVANCE[[#This Row],[WC]]=Y$2,100%,AVANCE[[#This Row],[WC]])</f>
        <v>0</v>
      </c>
      <c r="BQ594" s="3">
        <f>+IF(AVANCE[[#This Row],[LAVAMANOS / LAVAPLATOS / LAVADERO]]=Z$2,100%,AVANCE[[#This Row],[LAVAMANOS / LAVAPLATOS / LAVADERO]])</f>
        <v>0</v>
      </c>
      <c r="BR594" s="3">
        <f>+IF(AVANCE[[#This Row],[CANALIZACIÓN]]=AC$2,100%,AVANCE[[#This Row],[CANALIZACIÓN]])</f>
        <v>0</v>
      </c>
      <c r="BS594" s="3">
        <f>+IF(AVANCE[[#This Row],[CABLEADO]]=AD$2,100%,AVANCE[[#This Row],[CABLEADO]])</f>
        <v>0</v>
      </c>
      <c r="BT594" s="3">
        <f>+IF(AVANCE[[#This Row],[ARTEFACTOS]]=AE$2,100%,AVANCE[[#This Row],[ARTEFACTOS]])</f>
        <v>0</v>
      </c>
      <c r="BU594" s="3">
        <f>+IF(AVANCE[[#This Row],[TABLERO]]=AF$2,100%,AVANCE[[#This Row],[TABLERO]])</f>
        <v>0</v>
      </c>
      <c r="BV594" s="3">
        <f>+IF(AVANCE[[#This Row],[CAJA PAU]]=AG$2,100%,AVANCE[[#This Row],[CAJA PAU]])</f>
        <v>0</v>
      </c>
      <c r="BW594" s="3">
        <f>+IF(AVANCE[[#This Row],[INSTALACION VINILICO]]=AJ$2,100%,AVANCE[[#This Row],[INSTALACION VINILICO]])</f>
        <v>0</v>
      </c>
      <c r="BX594" s="3">
        <f>+IF(AVANCE[[#This Row],[OSB CUBIERTA]]=AK$2,100%,AVANCE[[#This Row],[OSB CUBIERTA]])</f>
        <v>0</v>
      </c>
      <c r="BY594" s="3">
        <f>+IF(AVANCE[[#This Row],[BARANDA BALCON]]=AL$2,100%,AVANCE[[#This Row],[BARANDA BALCON]])</f>
        <v>0</v>
      </c>
      <c r="BZ594" s="3">
        <f>+IF(AVANCE[[#This Row],[OSB EXTERIOR]]=AM$2,100%,AVANCE[[#This Row],[OSB EXTERIOR]])</f>
        <v>0</v>
      </c>
      <c r="CA594" s="3">
        <f>+IF(AVANCE[[#This Row],[SMART PANEL]]=AN$2,100%,AVANCE[[#This Row],[SMART PANEL]])</f>
        <v>0</v>
      </c>
      <c r="CB594" s="3">
        <f>+IF(AVANCE[[#This Row],[PINTURA EXTERIOR]]=AO$2,100%,AVANCE[[#This Row],[PINTURA EXTERIOR]])</f>
        <v>0</v>
      </c>
      <c r="CC594" s="3">
        <f>+IF(AVANCE[[#This Row],[ZOCALOS LOGIA]]=AP$2,100%,AVANCE[[#This Row],[ZOCALOS LOGIA]])</f>
        <v>0</v>
      </c>
      <c r="CD594" s="3">
        <f>+IF(AVANCE[[#This Row],[MOLDURAS]]=AQ$2,100%,AVANCE[[#This Row],[MOLDURAS]])</f>
        <v>0</v>
      </c>
      <c r="CE594" s="3">
        <f>+IF(AVANCE[[#This Row],[PILASTREO]]=AR$2,100%,AVANCE[[#This Row],[PILASTREO]])</f>
        <v>0</v>
      </c>
      <c r="CF594" s="3">
        <f>+IF(AVANCE[[#This Row],[CELOSIAS]]=AS$2,100%,AVANCE[[#This Row],[CELOSIAS]])</f>
        <v>0</v>
      </c>
      <c r="CG594" s="3">
        <f>+IF(AVANCE[[#This Row],[VENTANAS]]=AT$2,100%,AVANCE[[#This Row],[VENTANAS]])</f>
        <v>0</v>
      </c>
      <c r="CH594" s="3">
        <f>+IF(AVANCE[[#This Row],[PUERTAS ACCESO - LOGIA - BANO]]=AU$2,100%,AVANCE[[#This Row],[PUERTAS ACCESO - LOGIA - BANO]])</f>
        <v>0</v>
      </c>
      <c r="CI594" s="3">
        <f>+IF(AVANCE[[#This Row],[CERRADURAS]]=AV$2,100%,AVANCE[[#This Row],[CERRADURAS]])</f>
        <v>0</v>
      </c>
      <c r="CJ594" s="3">
        <f>+IF(AVANCE[[#This Row],[REVESTIMIENTO INTERIOR ZONA SECA]]=AW$2,100%,AVANCE[[#This Row],[REVESTIMIENTO INTERIOR ZONA SECA]])</f>
        <v>0</v>
      </c>
      <c r="CK594" s="3">
        <f>+IF(AVANCE[[#This Row],[REVESTIMIENTO INTERIOR ZONAS HUMEDAS]]=AX$2,100%,AVANCE[[#This Row],[REVESTIMIENTO INTERIOR ZONAS HUMEDAS]])</f>
        <v>0</v>
      </c>
      <c r="CL594" s="3">
        <f>+IF(AVANCE[[#This Row],[MEMBRANA CIELO]]=AY$2,100%,AVANCE[[#This Row],[MEMBRANA CIELO]])</f>
        <v>0</v>
      </c>
      <c r="CM594" s="3">
        <f>+IF(AVANCE[[#This Row],[LIMPIEZA FINAL]]=AZ$2,100%,AVANCE[[#This Row],[LIMPIEZA FINAL]])</f>
        <v>0</v>
      </c>
      <c r="CN594" s="3">
        <f>+IF(AVANCE[[#This Row],[PUERTAS DORMITORIO]]=BA$2,100%,AVANCE[[#This Row],[PUERTAS DORMITORIO]])</f>
        <v>0</v>
      </c>
      <c r="CO594" s="3">
        <f>+IF(AVANCE[[#This Row],[REVESTIMIENTO INTERIOR BANO]]=BB$2,100%,AVANCE[[#This Row],[REVESTIMIENTO INTERIOR BANO]])</f>
        <v>0</v>
      </c>
      <c r="CP594" s="3">
        <f>+IF(AVANCE[[#This Row],[MUEBLE LAVAPLATOS]]=BC$2,100%,AVANCE[[#This Row],[MUEBLE LAVAPLATOS]])</f>
        <v>0</v>
      </c>
      <c r="CQ594" s="3">
        <f>+IF(AVANCE[[#This Row],[IMPERMEABILIZACION BANO - COCINA LOGIA]]=BD$2,100%,AVANCE[[#This Row],[IMPERMEABILIZACION BANO - COCINA LOGIA]])</f>
        <v>0</v>
      </c>
      <c r="CR594" s="40">
        <f ca="1">+IF(AVANCE[[#This Row],[ESTADO MODULO]]="PENDIENTE",(TODAY()-AVANCE[[#This Row],[FECHA TERMINO  PLANIFICADO]]),0)</f>
        <v>0</v>
      </c>
      <c r="CS594" s="42" t="str" cm="1">
        <f t="array" ref="CS594">_xlfn.TEXTJOIN(" | ",TRUE,IF(SUMPRODUCT((BF594:CQ594&lt;1)*(PARTIDAS!$I$2:$AT$2="OBRA GRUESA"))&gt;0,"OBRA GRUESA: "&amp;_xlfn.TEXTJOIN(", ",TRUE,IF((BF594:CQ594&lt;1)*(PARTIDAS!$I$2:$AT$2="OBRA GRUESA"),PARTIDAS!$I$1:$AT$1,"")),""),IF(SUMPRODUCT((BF594:CQ594&lt;1)*(PARTIDAS!$I$2:$AT$2="SANITARIOS"))&gt;0,"SANITARIOS: "&amp;_xlfn.TEXTJOIN(", ",TRUE,IF((BF594:CQ594&lt;1)*(PARTIDAS!$I$2:$AT$2="SANITARIOS"),PARTIDAS!$I$1:$AT$1,"")),""),IF(SUMPRODUCT((BF594:CQ594&lt;1)*(PARTIDAS!$I$2:$AT$2="ELÉCTRICO"))&gt;0,"ELÉCTRICO: "&amp;_xlfn.TEXTJOIN(", ",TRUE,IF((BF594:CQ594&lt;1)*(PARTIDAS!$I$2:$AT$2="ELÉCTRICO"),PARTIDAS!$I$1:$AT$1,"")),""),IF(SUMPRODUCT((BF594:CQ594&lt;1)*(PARTIDAS!$I$2:$AT$2="TERMINACIONES"))&gt;0,"TERMINACIONES: "&amp;_xlfn.TEXTJOIN(", ",TRUE,IF((BF594:CQ594&lt;1)*(PARTIDAS!$I$2:$AT$2="TERMINACIONES"),PARTIDAS!$I$1:$AT$1,"")),""))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4" s="45" t="str" cm="1">
        <f t="array" ref="CT594">_xlfn.TEXTJOIN(", ",TRUE,IF(SUMPRODUCT((BF594:CQ594&lt;1)*(PARTIDAS!$I$2:$AT$2="OBRA GRUESA"))&gt;0,"OBRA GRUESA",""),IF(SUMPRODUCT((BF594:CQ594&lt;1)*(PARTIDAS!$I$2:$AT$2="SANITARIOS"))&gt;0,"SANITARIOS",""),IF(SUMPRODUCT((BF594:CQ594&lt;1)*(PARTIDAS!$I$2:$AT$2="ELÉCTRICO"))&gt;0,"ELÉCTRICO",""),IF(SUMPRODUCT((BF594:CQ594&lt;1)*(PARTIDAS!$I$2:$AT$2="TERMINACIONES"))&gt;0,"TERMINACIONES",""))</f>
        <v>OBRA GRUESA, SANITARIOS, ELÉCTRICO, TERMINACIONES</v>
      </c>
      <c r="CU594" s="46" cm="1">
        <f t="array" ref="CU594">SUMPRODUCT(--(BF594:CQ594&lt;1))</f>
        <v>38</v>
      </c>
    </row>
    <row r="595" spans="1:99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46181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 s="3" t="str">
        <f>+IF(AVANCE[[#This Row],[% AVANCE]]=100%,"MODULO TERMINADO",IF(AVANCE[[#This Row],[FECHA INICIO REAL]]="","MODULO NO INICIADO","PENDIENTE"))</f>
        <v>MODULO NO INICIADO</v>
      </c>
      <c r="BF595" s="3">
        <f>+IF(AVANCE[[#This Row],[VENTANAS]]=8.10810810810811%,100%,AVANCE[[#This Row],[VENTANAS]])</f>
        <v>0</v>
      </c>
      <c r="BG595" s="3">
        <f>+IF(AVANCE[[#This Row],[PISO]]=N$2,100%,AVANCE[[#This Row],[PISO]])</f>
        <v>0</v>
      </c>
      <c r="BH595" s="3">
        <f>+IF(AVANCE[[#This Row],[TABIQUES]]=O$2,100%,AVANCE[[#This Row],[TABIQUES]])</f>
        <v>0</v>
      </c>
      <c r="BI595" s="3">
        <f>+IF(AVANCE[[#This Row],[MUROS]]=P$2,100%,AVANCE[[#This Row],[MUROS]])</f>
        <v>0</v>
      </c>
      <c r="BJ595" s="3">
        <f>+IF(AVANCE[[#This Row],[CIELO]]=Q$2,100%,AVANCE[[#This Row],[CIELO]])</f>
        <v>0</v>
      </c>
      <c r="BK595" s="3">
        <f>+IF(AVANCE[[#This Row],[BALCÓN]]=R$2,100%,AVANCE[[#This Row],[BALCÓN]])</f>
        <v>0</v>
      </c>
      <c r="BL595" s="3">
        <f>+IF(AVANCE[[#This Row],[RED ALCANTARILLADO]]=U$2,100%,AVANCE[[#This Row],[RED ALCANTARILLADO]])</f>
        <v>0</v>
      </c>
      <c r="BM595" s="3">
        <f>+IF(AVANCE[[#This Row],[RED DE AGUA]]=V$2,100%,AVANCE[[#This Row],[RED DE AGUA]])</f>
        <v>0</v>
      </c>
      <c r="BN595" s="3">
        <f>+IF(AVANCE[[#This Row],[VENTILACIONES]]=W$2,100%,AVANCE[[#This Row],[VENTILACIONES]])</f>
        <v>0</v>
      </c>
      <c r="BO595" s="3">
        <f>+IF(AVANCE[[#This Row],[TINA]]=X$2,100%,AVANCE[[#This Row],[TINA]])</f>
        <v>0</v>
      </c>
      <c r="BP595" s="3">
        <f>+IF(AVANCE[[#This Row],[WC]]=Y$2,100%,AVANCE[[#This Row],[WC]])</f>
        <v>0</v>
      </c>
      <c r="BQ595" s="3">
        <f>+IF(AVANCE[[#This Row],[LAVAMANOS / LAVAPLATOS / LAVADERO]]=Z$2,100%,AVANCE[[#This Row],[LAVAMANOS / LAVAPLATOS / LAVADERO]])</f>
        <v>0</v>
      </c>
      <c r="BR595" s="3">
        <f>+IF(AVANCE[[#This Row],[CANALIZACIÓN]]=AC$2,100%,AVANCE[[#This Row],[CANALIZACIÓN]])</f>
        <v>0</v>
      </c>
      <c r="BS595" s="3">
        <f>+IF(AVANCE[[#This Row],[CABLEADO]]=AD$2,100%,AVANCE[[#This Row],[CABLEADO]])</f>
        <v>0</v>
      </c>
      <c r="BT595" s="3">
        <f>+IF(AVANCE[[#This Row],[ARTEFACTOS]]=AE$2,100%,AVANCE[[#This Row],[ARTEFACTOS]])</f>
        <v>0</v>
      </c>
      <c r="BU595" s="3">
        <f>+IF(AVANCE[[#This Row],[TABLERO]]=AF$2,100%,AVANCE[[#This Row],[TABLERO]])</f>
        <v>0</v>
      </c>
      <c r="BV595" s="3">
        <f>+IF(AVANCE[[#This Row],[CAJA PAU]]=AG$2,100%,AVANCE[[#This Row],[CAJA PAU]])</f>
        <v>0</v>
      </c>
      <c r="BW595" s="3">
        <f>+IF(AVANCE[[#This Row],[INSTALACION VINILICO]]=AJ$2,100%,AVANCE[[#This Row],[INSTALACION VINILICO]])</f>
        <v>0</v>
      </c>
      <c r="BX595" s="3">
        <f>+IF(AVANCE[[#This Row],[OSB CUBIERTA]]=AK$2,100%,AVANCE[[#This Row],[OSB CUBIERTA]])</f>
        <v>0</v>
      </c>
      <c r="BY595" s="3">
        <f>+IF(AVANCE[[#This Row],[BARANDA BALCON]]=AL$2,100%,AVANCE[[#This Row],[BARANDA BALCON]])</f>
        <v>0</v>
      </c>
      <c r="BZ595" s="3">
        <f>+IF(AVANCE[[#This Row],[OSB EXTERIOR]]=AM$2,100%,AVANCE[[#This Row],[OSB EXTERIOR]])</f>
        <v>0</v>
      </c>
      <c r="CA595" s="3">
        <f>+IF(AVANCE[[#This Row],[SMART PANEL]]=AN$2,100%,AVANCE[[#This Row],[SMART PANEL]])</f>
        <v>0</v>
      </c>
      <c r="CB595" s="3">
        <f>+IF(AVANCE[[#This Row],[PINTURA EXTERIOR]]=AO$2,100%,AVANCE[[#This Row],[PINTURA EXTERIOR]])</f>
        <v>0</v>
      </c>
      <c r="CC595" s="3">
        <f>+IF(AVANCE[[#This Row],[ZOCALOS LOGIA]]=AP$2,100%,AVANCE[[#This Row],[ZOCALOS LOGIA]])</f>
        <v>0</v>
      </c>
      <c r="CD595" s="3">
        <f>+IF(AVANCE[[#This Row],[MOLDURAS]]=AQ$2,100%,AVANCE[[#This Row],[MOLDURAS]])</f>
        <v>0</v>
      </c>
      <c r="CE595" s="3">
        <f>+IF(AVANCE[[#This Row],[PILASTREO]]=AR$2,100%,AVANCE[[#This Row],[PILASTREO]])</f>
        <v>0</v>
      </c>
      <c r="CF595" s="3">
        <f>+IF(AVANCE[[#This Row],[CELOSIAS]]=AS$2,100%,AVANCE[[#This Row],[CELOSIAS]])</f>
        <v>0</v>
      </c>
      <c r="CG595" s="3">
        <f>+IF(AVANCE[[#This Row],[VENTANAS]]=AT$2,100%,AVANCE[[#This Row],[VENTANAS]])</f>
        <v>0</v>
      </c>
      <c r="CH595" s="3">
        <f>+IF(AVANCE[[#This Row],[PUERTAS ACCESO - LOGIA - BANO]]=AU$2,100%,AVANCE[[#This Row],[PUERTAS ACCESO - LOGIA - BANO]])</f>
        <v>0</v>
      </c>
      <c r="CI595" s="3">
        <f>+IF(AVANCE[[#This Row],[CERRADURAS]]=AV$2,100%,AVANCE[[#This Row],[CERRADURAS]])</f>
        <v>0</v>
      </c>
      <c r="CJ595" s="3">
        <f>+IF(AVANCE[[#This Row],[REVESTIMIENTO INTERIOR ZONA SECA]]=AW$2,100%,AVANCE[[#This Row],[REVESTIMIENTO INTERIOR ZONA SECA]])</f>
        <v>0</v>
      </c>
      <c r="CK595" s="3">
        <f>+IF(AVANCE[[#This Row],[REVESTIMIENTO INTERIOR ZONAS HUMEDAS]]=AX$2,100%,AVANCE[[#This Row],[REVESTIMIENTO INTERIOR ZONAS HUMEDAS]])</f>
        <v>0</v>
      </c>
      <c r="CL595" s="3">
        <f>+IF(AVANCE[[#This Row],[MEMBRANA CIELO]]=AY$2,100%,AVANCE[[#This Row],[MEMBRANA CIELO]])</f>
        <v>0</v>
      </c>
      <c r="CM595" s="3">
        <f>+IF(AVANCE[[#This Row],[LIMPIEZA FINAL]]=AZ$2,100%,AVANCE[[#This Row],[LIMPIEZA FINAL]])</f>
        <v>0</v>
      </c>
      <c r="CN595" s="3">
        <f>+IF(AVANCE[[#This Row],[PUERTAS DORMITORIO]]=BA$2,100%,AVANCE[[#This Row],[PUERTAS DORMITORIO]])</f>
        <v>0</v>
      </c>
      <c r="CO595" s="3">
        <f>+IF(AVANCE[[#This Row],[REVESTIMIENTO INTERIOR BANO]]=BB$2,100%,AVANCE[[#This Row],[REVESTIMIENTO INTERIOR BANO]])</f>
        <v>0</v>
      </c>
      <c r="CP595" s="3">
        <f>+IF(AVANCE[[#This Row],[MUEBLE LAVAPLATOS]]=BC$2,100%,AVANCE[[#This Row],[MUEBLE LAVAPLATOS]])</f>
        <v>0</v>
      </c>
      <c r="CQ595" s="3">
        <f>+IF(AVANCE[[#This Row],[IMPERMEABILIZACION BANO - COCINA LOGIA]]=BD$2,100%,AVANCE[[#This Row],[IMPERMEABILIZACION BANO - COCINA LOGIA]])</f>
        <v>0</v>
      </c>
      <c r="CR595" s="40">
        <f ca="1">+IF(AVANCE[[#This Row],[ESTADO MODULO]]="PENDIENTE",(TODAY()-AVANCE[[#This Row],[FECHA TERMINO  PLANIFICADO]]),0)</f>
        <v>0</v>
      </c>
      <c r="CS595" s="42" t="str" cm="1">
        <f t="array" ref="CS595">_xlfn.TEXTJOIN(" | ",TRUE,IF(SUMPRODUCT((BF595:CQ595&lt;1)*(PARTIDAS!$I$2:$AT$2="OBRA GRUESA"))&gt;0,"OBRA GRUESA: "&amp;_xlfn.TEXTJOIN(", ",TRUE,IF((BF595:CQ595&lt;1)*(PARTIDAS!$I$2:$AT$2="OBRA GRUESA"),PARTIDAS!$I$1:$AT$1,"")),""),IF(SUMPRODUCT((BF595:CQ595&lt;1)*(PARTIDAS!$I$2:$AT$2="SANITARIOS"))&gt;0,"SANITARIOS: "&amp;_xlfn.TEXTJOIN(", ",TRUE,IF((BF595:CQ595&lt;1)*(PARTIDAS!$I$2:$AT$2="SANITARIOS"),PARTIDAS!$I$1:$AT$1,"")),""),IF(SUMPRODUCT((BF595:CQ595&lt;1)*(PARTIDAS!$I$2:$AT$2="ELÉCTRICO"))&gt;0,"ELÉCTRICO: "&amp;_xlfn.TEXTJOIN(", ",TRUE,IF((BF595:CQ595&lt;1)*(PARTIDAS!$I$2:$AT$2="ELÉCTRICO"),PARTIDAS!$I$1:$AT$1,"")),""),IF(SUMPRODUCT((BF595:CQ595&lt;1)*(PARTIDAS!$I$2:$AT$2="TERMINACIONES"))&gt;0,"TERMINACIONES: "&amp;_xlfn.TEXTJOIN(", ",TRUE,IF((BF595:CQ595&lt;1)*(PARTIDAS!$I$2:$AT$2="TERMINACIONES"),PARTIDAS!$I$1:$AT$1,"")),""))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5" s="45" t="str" cm="1">
        <f t="array" ref="CT595">_xlfn.TEXTJOIN(", ",TRUE,IF(SUMPRODUCT((BF595:CQ595&lt;1)*(PARTIDAS!$I$2:$AT$2="OBRA GRUESA"))&gt;0,"OBRA GRUESA",""),IF(SUMPRODUCT((BF595:CQ595&lt;1)*(PARTIDAS!$I$2:$AT$2="SANITARIOS"))&gt;0,"SANITARIOS",""),IF(SUMPRODUCT((BF595:CQ595&lt;1)*(PARTIDAS!$I$2:$AT$2="ELÉCTRICO"))&gt;0,"ELÉCTRICO",""),IF(SUMPRODUCT((BF595:CQ595&lt;1)*(PARTIDAS!$I$2:$AT$2="TERMINACIONES"))&gt;0,"TERMINACIONES",""))</f>
        <v>OBRA GRUESA, SANITARIOS, ELÉCTRICO, TERMINACIONES</v>
      </c>
      <c r="CU595" s="46" cm="1">
        <f t="array" ref="CU595">SUMPRODUCT(--(BF595:CQ595&lt;1))</f>
        <v>38</v>
      </c>
    </row>
    <row r="596" spans="1:99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46181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 s="3" t="str">
        <f>+IF(AVANCE[[#This Row],[% AVANCE]]=100%,"MODULO TERMINADO",IF(AVANCE[[#This Row],[FECHA INICIO REAL]]="","MODULO NO INICIADO","PENDIENTE"))</f>
        <v>MODULO NO INICIADO</v>
      </c>
      <c r="BF596" s="3">
        <f>+IF(AVANCE[[#This Row],[VENTANAS]]=8.10810810810811%,100%,AVANCE[[#This Row],[VENTANAS]])</f>
        <v>0</v>
      </c>
      <c r="BG596" s="3">
        <f>+IF(AVANCE[[#This Row],[PISO]]=N$2,100%,AVANCE[[#This Row],[PISO]])</f>
        <v>0</v>
      </c>
      <c r="BH596" s="3">
        <f>+IF(AVANCE[[#This Row],[TABIQUES]]=O$2,100%,AVANCE[[#This Row],[TABIQUES]])</f>
        <v>0</v>
      </c>
      <c r="BI596" s="3">
        <f>+IF(AVANCE[[#This Row],[MUROS]]=P$2,100%,AVANCE[[#This Row],[MUROS]])</f>
        <v>0</v>
      </c>
      <c r="BJ596" s="3">
        <f>+IF(AVANCE[[#This Row],[CIELO]]=Q$2,100%,AVANCE[[#This Row],[CIELO]])</f>
        <v>0</v>
      </c>
      <c r="BK596" s="3">
        <f>+IF(AVANCE[[#This Row],[BALCÓN]]=R$2,100%,AVANCE[[#This Row],[BALCÓN]])</f>
        <v>0</v>
      </c>
      <c r="BL596" s="3">
        <f>+IF(AVANCE[[#This Row],[RED ALCANTARILLADO]]=U$2,100%,AVANCE[[#This Row],[RED ALCANTARILLADO]])</f>
        <v>0</v>
      </c>
      <c r="BM596" s="3">
        <f>+IF(AVANCE[[#This Row],[RED DE AGUA]]=V$2,100%,AVANCE[[#This Row],[RED DE AGUA]])</f>
        <v>0</v>
      </c>
      <c r="BN596" s="3">
        <f>+IF(AVANCE[[#This Row],[VENTILACIONES]]=W$2,100%,AVANCE[[#This Row],[VENTILACIONES]])</f>
        <v>0</v>
      </c>
      <c r="BO596" s="3">
        <f>+IF(AVANCE[[#This Row],[TINA]]=X$2,100%,AVANCE[[#This Row],[TINA]])</f>
        <v>0</v>
      </c>
      <c r="BP596" s="3">
        <f>+IF(AVANCE[[#This Row],[WC]]=Y$2,100%,AVANCE[[#This Row],[WC]])</f>
        <v>0</v>
      </c>
      <c r="BQ596" s="3">
        <f>+IF(AVANCE[[#This Row],[LAVAMANOS / LAVAPLATOS / LAVADERO]]=Z$2,100%,AVANCE[[#This Row],[LAVAMANOS / LAVAPLATOS / LAVADERO]])</f>
        <v>0</v>
      </c>
      <c r="BR596" s="3">
        <f>+IF(AVANCE[[#This Row],[CANALIZACIÓN]]=AC$2,100%,AVANCE[[#This Row],[CANALIZACIÓN]])</f>
        <v>0</v>
      </c>
      <c r="BS596" s="3">
        <f>+IF(AVANCE[[#This Row],[CABLEADO]]=AD$2,100%,AVANCE[[#This Row],[CABLEADO]])</f>
        <v>0</v>
      </c>
      <c r="BT596" s="3">
        <f>+IF(AVANCE[[#This Row],[ARTEFACTOS]]=AE$2,100%,AVANCE[[#This Row],[ARTEFACTOS]])</f>
        <v>0</v>
      </c>
      <c r="BU596" s="3">
        <f>+IF(AVANCE[[#This Row],[TABLERO]]=AF$2,100%,AVANCE[[#This Row],[TABLERO]])</f>
        <v>0</v>
      </c>
      <c r="BV596" s="3">
        <f>+IF(AVANCE[[#This Row],[CAJA PAU]]=AG$2,100%,AVANCE[[#This Row],[CAJA PAU]])</f>
        <v>0</v>
      </c>
      <c r="BW596" s="3">
        <f>+IF(AVANCE[[#This Row],[INSTALACION VINILICO]]=AJ$2,100%,AVANCE[[#This Row],[INSTALACION VINILICO]])</f>
        <v>0</v>
      </c>
      <c r="BX596" s="3">
        <f>+IF(AVANCE[[#This Row],[OSB CUBIERTA]]=AK$2,100%,AVANCE[[#This Row],[OSB CUBIERTA]])</f>
        <v>0</v>
      </c>
      <c r="BY596" s="3">
        <f>+IF(AVANCE[[#This Row],[BARANDA BALCON]]=AL$2,100%,AVANCE[[#This Row],[BARANDA BALCON]])</f>
        <v>0</v>
      </c>
      <c r="BZ596" s="3">
        <f>+IF(AVANCE[[#This Row],[OSB EXTERIOR]]=AM$2,100%,AVANCE[[#This Row],[OSB EXTERIOR]])</f>
        <v>0</v>
      </c>
      <c r="CA596" s="3">
        <f>+IF(AVANCE[[#This Row],[SMART PANEL]]=AN$2,100%,AVANCE[[#This Row],[SMART PANEL]])</f>
        <v>0</v>
      </c>
      <c r="CB596" s="3">
        <f>+IF(AVANCE[[#This Row],[PINTURA EXTERIOR]]=AO$2,100%,AVANCE[[#This Row],[PINTURA EXTERIOR]])</f>
        <v>0</v>
      </c>
      <c r="CC596" s="3">
        <f>+IF(AVANCE[[#This Row],[ZOCALOS LOGIA]]=AP$2,100%,AVANCE[[#This Row],[ZOCALOS LOGIA]])</f>
        <v>0</v>
      </c>
      <c r="CD596" s="3">
        <f>+IF(AVANCE[[#This Row],[MOLDURAS]]=AQ$2,100%,AVANCE[[#This Row],[MOLDURAS]])</f>
        <v>0</v>
      </c>
      <c r="CE596" s="3">
        <f>+IF(AVANCE[[#This Row],[PILASTREO]]=AR$2,100%,AVANCE[[#This Row],[PILASTREO]])</f>
        <v>0</v>
      </c>
      <c r="CF596" s="3">
        <f>+IF(AVANCE[[#This Row],[CELOSIAS]]=AS$2,100%,AVANCE[[#This Row],[CELOSIAS]])</f>
        <v>0</v>
      </c>
      <c r="CG596" s="3">
        <f>+IF(AVANCE[[#This Row],[VENTANAS]]=AT$2,100%,AVANCE[[#This Row],[VENTANAS]])</f>
        <v>0</v>
      </c>
      <c r="CH596" s="3">
        <f>+IF(AVANCE[[#This Row],[PUERTAS ACCESO - LOGIA - BANO]]=AU$2,100%,AVANCE[[#This Row],[PUERTAS ACCESO - LOGIA - BANO]])</f>
        <v>0</v>
      </c>
      <c r="CI596" s="3">
        <f>+IF(AVANCE[[#This Row],[CERRADURAS]]=AV$2,100%,AVANCE[[#This Row],[CERRADURAS]])</f>
        <v>0</v>
      </c>
      <c r="CJ596" s="3">
        <f>+IF(AVANCE[[#This Row],[REVESTIMIENTO INTERIOR ZONA SECA]]=AW$2,100%,AVANCE[[#This Row],[REVESTIMIENTO INTERIOR ZONA SECA]])</f>
        <v>0</v>
      </c>
      <c r="CK596" s="3">
        <f>+IF(AVANCE[[#This Row],[REVESTIMIENTO INTERIOR ZONAS HUMEDAS]]=AX$2,100%,AVANCE[[#This Row],[REVESTIMIENTO INTERIOR ZONAS HUMEDAS]])</f>
        <v>0</v>
      </c>
      <c r="CL596" s="3">
        <f>+IF(AVANCE[[#This Row],[MEMBRANA CIELO]]=AY$2,100%,AVANCE[[#This Row],[MEMBRANA CIELO]])</f>
        <v>0</v>
      </c>
      <c r="CM596" s="3">
        <f>+IF(AVANCE[[#This Row],[LIMPIEZA FINAL]]=AZ$2,100%,AVANCE[[#This Row],[LIMPIEZA FINAL]])</f>
        <v>0</v>
      </c>
      <c r="CN596" s="3">
        <f>+IF(AVANCE[[#This Row],[PUERTAS DORMITORIO]]=BA$2,100%,AVANCE[[#This Row],[PUERTAS DORMITORIO]])</f>
        <v>0</v>
      </c>
      <c r="CO596" s="3">
        <f>+IF(AVANCE[[#This Row],[REVESTIMIENTO INTERIOR BANO]]=BB$2,100%,AVANCE[[#This Row],[REVESTIMIENTO INTERIOR BANO]])</f>
        <v>0</v>
      </c>
      <c r="CP596" s="3">
        <f>+IF(AVANCE[[#This Row],[MUEBLE LAVAPLATOS]]=BC$2,100%,AVANCE[[#This Row],[MUEBLE LAVAPLATOS]])</f>
        <v>0</v>
      </c>
      <c r="CQ596" s="3">
        <f>+IF(AVANCE[[#This Row],[IMPERMEABILIZACION BANO - COCINA LOGIA]]=BD$2,100%,AVANCE[[#This Row],[IMPERMEABILIZACION BANO - COCINA LOGIA]])</f>
        <v>0</v>
      </c>
      <c r="CR596" s="40">
        <f ca="1">+IF(AVANCE[[#This Row],[ESTADO MODULO]]="PENDIENTE",(TODAY()-AVANCE[[#This Row],[FECHA TERMINO  PLANIFICADO]]),0)</f>
        <v>0</v>
      </c>
      <c r="CS596" s="42" t="str" cm="1">
        <f t="array" ref="CS596">_xlfn.TEXTJOIN(" | ",TRUE,IF(SUMPRODUCT((BF596:CQ596&lt;1)*(PARTIDAS!$I$2:$AT$2="OBRA GRUESA"))&gt;0,"OBRA GRUESA: "&amp;_xlfn.TEXTJOIN(", ",TRUE,IF((BF596:CQ596&lt;1)*(PARTIDAS!$I$2:$AT$2="OBRA GRUESA"),PARTIDAS!$I$1:$AT$1,"")),""),IF(SUMPRODUCT((BF596:CQ596&lt;1)*(PARTIDAS!$I$2:$AT$2="SANITARIOS"))&gt;0,"SANITARIOS: "&amp;_xlfn.TEXTJOIN(", ",TRUE,IF((BF596:CQ596&lt;1)*(PARTIDAS!$I$2:$AT$2="SANITARIOS"),PARTIDAS!$I$1:$AT$1,"")),""),IF(SUMPRODUCT((BF596:CQ596&lt;1)*(PARTIDAS!$I$2:$AT$2="ELÉCTRICO"))&gt;0,"ELÉCTRICO: "&amp;_xlfn.TEXTJOIN(", ",TRUE,IF((BF596:CQ596&lt;1)*(PARTIDAS!$I$2:$AT$2="ELÉCTRICO"),PARTIDAS!$I$1:$AT$1,"")),""),IF(SUMPRODUCT((BF596:CQ596&lt;1)*(PARTIDAS!$I$2:$AT$2="TERMINACIONES"))&gt;0,"TERMINACIONES: "&amp;_xlfn.TEXTJOIN(", ",TRUE,IF((BF596:CQ596&lt;1)*(PARTIDAS!$I$2:$AT$2="TERMINACIONES"),PARTIDAS!$I$1:$AT$1,"")),""))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6" s="45" t="str" cm="1">
        <f t="array" ref="CT596">_xlfn.TEXTJOIN(", ",TRUE,IF(SUMPRODUCT((BF596:CQ596&lt;1)*(PARTIDAS!$I$2:$AT$2="OBRA GRUESA"))&gt;0,"OBRA GRUESA",""),IF(SUMPRODUCT((BF596:CQ596&lt;1)*(PARTIDAS!$I$2:$AT$2="SANITARIOS"))&gt;0,"SANITARIOS",""),IF(SUMPRODUCT((BF596:CQ596&lt;1)*(PARTIDAS!$I$2:$AT$2="ELÉCTRICO"))&gt;0,"ELÉCTRICO",""),IF(SUMPRODUCT((BF596:CQ596&lt;1)*(PARTIDAS!$I$2:$AT$2="TERMINACIONES"))&gt;0,"TERMINACIONES",""))</f>
        <v>OBRA GRUESA, SANITARIOS, ELÉCTRICO, TERMINACIONES</v>
      </c>
      <c r="CU596" s="46" cm="1">
        <f t="array" ref="CU596">SUMPRODUCT(--(BF596:CQ596&lt;1))</f>
        <v>38</v>
      </c>
    </row>
    <row r="597" spans="1:99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46181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 s="3" t="str">
        <f>+IF(AVANCE[[#This Row],[% AVANCE]]=100%,"MODULO TERMINADO",IF(AVANCE[[#This Row],[FECHA INICIO REAL]]="","MODULO NO INICIADO","PENDIENTE"))</f>
        <v>MODULO NO INICIADO</v>
      </c>
      <c r="BF597" s="3">
        <f>+IF(AVANCE[[#This Row],[VENTANAS]]=8.10810810810811%,100%,AVANCE[[#This Row],[VENTANAS]])</f>
        <v>0</v>
      </c>
      <c r="BG597" s="3">
        <f>+IF(AVANCE[[#This Row],[PISO]]=N$2,100%,AVANCE[[#This Row],[PISO]])</f>
        <v>0</v>
      </c>
      <c r="BH597" s="3">
        <f>+IF(AVANCE[[#This Row],[TABIQUES]]=O$2,100%,AVANCE[[#This Row],[TABIQUES]])</f>
        <v>0</v>
      </c>
      <c r="BI597" s="3">
        <f>+IF(AVANCE[[#This Row],[MUROS]]=P$2,100%,AVANCE[[#This Row],[MUROS]])</f>
        <v>0</v>
      </c>
      <c r="BJ597" s="3">
        <f>+IF(AVANCE[[#This Row],[CIELO]]=Q$2,100%,AVANCE[[#This Row],[CIELO]])</f>
        <v>0</v>
      </c>
      <c r="BK597" s="3">
        <f>+IF(AVANCE[[#This Row],[BALCÓN]]=R$2,100%,AVANCE[[#This Row],[BALCÓN]])</f>
        <v>0</v>
      </c>
      <c r="BL597" s="3">
        <f>+IF(AVANCE[[#This Row],[RED ALCANTARILLADO]]=U$2,100%,AVANCE[[#This Row],[RED ALCANTARILLADO]])</f>
        <v>0</v>
      </c>
      <c r="BM597" s="3">
        <f>+IF(AVANCE[[#This Row],[RED DE AGUA]]=V$2,100%,AVANCE[[#This Row],[RED DE AGUA]])</f>
        <v>0</v>
      </c>
      <c r="BN597" s="3">
        <f>+IF(AVANCE[[#This Row],[VENTILACIONES]]=W$2,100%,AVANCE[[#This Row],[VENTILACIONES]])</f>
        <v>0</v>
      </c>
      <c r="BO597" s="3">
        <f>+IF(AVANCE[[#This Row],[TINA]]=X$2,100%,AVANCE[[#This Row],[TINA]])</f>
        <v>0</v>
      </c>
      <c r="BP597" s="3">
        <f>+IF(AVANCE[[#This Row],[WC]]=Y$2,100%,AVANCE[[#This Row],[WC]])</f>
        <v>0</v>
      </c>
      <c r="BQ597" s="3">
        <f>+IF(AVANCE[[#This Row],[LAVAMANOS / LAVAPLATOS / LAVADERO]]=Z$2,100%,AVANCE[[#This Row],[LAVAMANOS / LAVAPLATOS / LAVADERO]])</f>
        <v>0</v>
      </c>
      <c r="BR597" s="3">
        <f>+IF(AVANCE[[#This Row],[CANALIZACIÓN]]=AC$2,100%,AVANCE[[#This Row],[CANALIZACIÓN]])</f>
        <v>0</v>
      </c>
      <c r="BS597" s="3">
        <f>+IF(AVANCE[[#This Row],[CABLEADO]]=AD$2,100%,AVANCE[[#This Row],[CABLEADO]])</f>
        <v>0</v>
      </c>
      <c r="BT597" s="3">
        <f>+IF(AVANCE[[#This Row],[ARTEFACTOS]]=AE$2,100%,AVANCE[[#This Row],[ARTEFACTOS]])</f>
        <v>0</v>
      </c>
      <c r="BU597" s="3">
        <f>+IF(AVANCE[[#This Row],[TABLERO]]=AF$2,100%,AVANCE[[#This Row],[TABLERO]])</f>
        <v>0</v>
      </c>
      <c r="BV597" s="3">
        <f>+IF(AVANCE[[#This Row],[CAJA PAU]]=AG$2,100%,AVANCE[[#This Row],[CAJA PAU]])</f>
        <v>0</v>
      </c>
      <c r="BW597" s="3">
        <f>+IF(AVANCE[[#This Row],[INSTALACION VINILICO]]=AJ$2,100%,AVANCE[[#This Row],[INSTALACION VINILICO]])</f>
        <v>0</v>
      </c>
      <c r="BX597" s="3">
        <f>+IF(AVANCE[[#This Row],[OSB CUBIERTA]]=AK$2,100%,AVANCE[[#This Row],[OSB CUBIERTA]])</f>
        <v>0</v>
      </c>
      <c r="BY597" s="3">
        <f>+IF(AVANCE[[#This Row],[BARANDA BALCON]]=AL$2,100%,AVANCE[[#This Row],[BARANDA BALCON]])</f>
        <v>0</v>
      </c>
      <c r="BZ597" s="3">
        <f>+IF(AVANCE[[#This Row],[OSB EXTERIOR]]=AM$2,100%,AVANCE[[#This Row],[OSB EXTERIOR]])</f>
        <v>0</v>
      </c>
      <c r="CA597" s="3">
        <f>+IF(AVANCE[[#This Row],[SMART PANEL]]=AN$2,100%,AVANCE[[#This Row],[SMART PANEL]])</f>
        <v>0</v>
      </c>
      <c r="CB597" s="3">
        <f>+IF(AVANCE[[#This Row],[PINTURA EXTERIOR]]=AO$2,100%,AVANCE[[#This Row],[PINTURA EXTERIOR]])</f>
        <v>0</v>
      </c>
      <c r="CC597" s="3">
        <f>+IF(AVANCE[[#This Row],[ZOCALOS LOGIA]]=AP$2,100%,AVANCE[[#This Row],[ZOCALOS LOGIA]])</f>
        <v>0</v>
      </c>
      <c r="CD597" s="3">
        <f>+IF(AVANCE[[#This Row],[MOLDURAS]]=AQ$2,100%,AVANCE[[#This Row],[MOLDURAS]])</f>
        <v>0</v>
      </c>
      <c r="CE597" s="3">
        <f>+IF(AVANCE[[#This Row],[PILASTREO]]=AR$2,100%,AVANCE[[#This Row],[PILASTREO]])</f>
        <v>0</v>
      </c>
      <c r="CF597" s="3">
        <f>+IF(AVANCE[[#This Row],[CELOSIAS]]=AS$2,100%,AVANCE[[#This Row],[CELOSIAS]])</f>
        <v>0</v>
      </c>
      <c r="CG597" s="3">
        <f>+IF(AVANCE[[#This Row],[VENTANAS]]=AT$2,100%,AVANCE[[#This Row],[VENTANAS]])</f>
        <v>0</v>
      </c>
      <c r="CH597" s="3">
        <f>+IF(AVANCE[[#This Row],[PUERTAS ACCESO - LOGIA - BANO]]=AU$2,100%,AVANCE[[#This Row],[PUERTAS ACCESO - LOGIA - BANO]])</f>
        <v>0</v>
      </c>
      <c r="CI597" s="3">
        <f>+IF(AVANCE[[#This Row],[CERRADURAS]]=AV$2,100%,AVANCE[[#This Row],[CERRADURAS]])</f>
        <v>0</v>
      </c>
      <c r="CJ597" s="3">
        <f>+IF(AVANCE[[#This Row],[REVESTIMIENTO INTERIOR ZONA SECA]]=AW$2,100%,AVANCE[[#This Row],[REVESTIMIENTO INTERIOR ZONA SECA]])</f>
        <v>0</v>
      </c>
      <c r="CK597" s="3">
        <f>+IF(AVANCE[[#This Row],[REVESTIMIENTO INTERIOR ZONAS HUMEDAS]]=AX$2,100%,AVANCE[[#This Row],[REVESTIMIENTO INTERIOR ZONAS HUMEDAS]])</f>
        <v>0</v>
      </c>
      <c r="CL597" s="3">
        <f>+IF(AVANCE[[#This Row],[MEMBRANA CIELO]]=AY$2,100%,AVANCE[[#This Row],[MEMBRANA CIELO]])</f>
        <v>0</v>
      </c>
      <c r="CM597" s="3">
        <f>+IF(AVANCE[[#This Row],[LIMPIEZA FINAL]]=AZ$2,100%,AVANCE[[#This Row],[LIMPIEZA FINAL]])</f>
        <v>0</v>
      </c>
      <c r="CN597" s="3">
        <f>+IF(AVANCE[[#This Row],[PUERTAS DORMITORIO]]=BA$2,100%,AVANCE[[#This Row],[PUERTAS DORMITORIO]])</f>
        <v>0</v>
      </c>
      <c r="CO597" s="3">
        <f>+IF(AVANCE[[#This Row],[REVESTIMIENTO INTERIOR BANO]]=BB$2,100%,AVANCE[[#This Row],[REVESTIMIENTO INTERIOR BANO]])</f>
        <v>0</v>
      </c>
      <c r="CP597" s="3">
        <f>+IF(AVANCE[[#This Row],[MUEBLE LAVAPLATOS]]=BC$2,100%,AVANCE[[#This Row],[MUEBLE LAVAPLATOS]])</f>
        <v>0</v>
      </c>
      <c r="CQ597" s="3">
        <f>+IF(AVANCE[[#This Row],[IMPERMEABILIZACION BANO - COCINA LOGIA]]=BD$2,100%,AVANCE[[#This Row],[IMPERMEABILIZACION BANO - COCINA LOGIA]])</f>
        <v>0</v>
      </c>
      <c r="CR597" s="40">
        <f ca="1">+IF(AVANCE[[#This Row],[ESTADO MODULO]]="PENDIENTE",(TODAY()-AVANCE[[#This Row],[FECHA TERMINO  PLANIFICADO]]),0)</f>
        <v>0</v>
      </c>
      <c r="CS597" s="42" t="str" cm="1">
        <f t="array" ref="CS597">_xlfn.TEXTJOIN(" | ",TRUE,IF(SUMPRODUCT((BF597:CQ597&lt;1)*(PARTIDAS!$I$2:$AT$2="OBRA GRUESA"))&gt;0,"OBRA GRUESA: "&amp;_xlfn.TEXTJOIN(", ",TRUE,IF((BF597:CQ597&lt;1)*(PARTIDAS!$I$2:$AT$2="OBRA GRUESA"),PARTIDAS!$I$1:$AT$1,"")),""),IF(SUMPRODUCT((BF597:CQ597&lt;1)*(PARTIDAS!$I$2:$AT$2="SANITARIOS"))&gt;0,"SANITARIOS: "&amp;_xlfn.TEXTJOIN(", ",TRUE,IF((BF597:CQ597&lt;1)*(PARTIDAS!$I$2:$AT$2="SANITARIOS"),PARTIDAS!$I$1:$AT$1,"")),""),IF(SUMPRODUCT((BF597:CQ597&lt;1)*(PARTIDAS!$I$2:$AT$2="ELÉCTRICO"))&gt;0,"ELÉCTRICO: "&amp;_xlfn.TEXTJOIN(", ",TRUE,IF((BF597:CQ597&lt;1)*(PARTIDAS!$I$2:$AT$2="ELÉCTRICO"),PARTIDAS!$I$1:$AT$1,"")),""),IF(SUMPRODUCT((BF597:CQ597&lt;1)*(PARTIDAS!$I$2:$AT$2="TERMINACIONES"))&gt;0,"TERMINACIONES: "&amp;_xlfn.TEXTJOIN(", ",TRUE,IF((BF597:CQ597&lt;1)*(PARTIDAS!$I$2:$AT$2="TERMINACIONES"),PARTIDAS!$I$1:$AT$1,"")),""))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7" s="45" t="str" cm="1">
        <f t="array" ref="CT597">_xlfn.TEXTJOIN(", ",TRUE,IF(SUMPRODUCT((BF597:CQ597&lt;1)*(PARTIDAS!$I$2:$AT$2="OBRA GRUESA"))&gt;0,"OBRA GRUESA",""),IF(SUMPRODUCT((BF597:CQ597&lt;1)*(PARTIDAS!$I$2:$AT$2="SANITARIOS"))&gt;0,"SANITARIOS",""),IF(SUMPRODUCT((BF597:CQ597&lt;1)*(PARTIDAS!$I$2:$AT$2="ELÉCTRICO"))&gt;0,"ELÉCTRICO",""),IF(SUMPRODUCT((BF597:CQ597&lt;1)*(PARTIDAS!$I$2:$AT$2="TERMINACIONES"))&gt;0,"TERMINACIONES",""))</f>
        <v>OBRA GRUESA, SANITARIOS, ELÉCTRICO, TERMINACIONES</v>
      </c>
      <c r="CU597" s="46" cm="1">
        <f t="array" ref="CU597">SUMPRODUCT(--(BF597:CQ597&lt;1))</f>
        <v>38</v>
      </c>
    </row>
    <row r="598" spans="1:99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46181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 s="3" t="str">
        <f>+IF(AVANCE[[#This Row],[% AVANCE]]=100%,"MODULO TERMINADO",IF(AVANCE[[#This Row],[FECHA INICIO REAL]]="","MODULO NO INICIADO","PENDIENTE"))</f>
        <v>MODULO NO INICIADO</v>
      </c>
      <c r="BF598" s="3">
        <f>+IF(AVANCE[[#This Row],[VENTANAS]]=8.10810810810811%,100%,AVANCE[[#This Row],[VENTANAS]])</f>
        <v>0</v>
      </c>
      <c r="BG598" s="3">
        <f>+IF(AVANCE[[#This Row],[PISO]]=N$2,100%,AVANCE[[#This Row],[PISO]])</f>
        <v>0</v>
      </c>
      <c r="BH598" s="3">
        <f>+IF(AVANCE[[#This Row],[TABIQUES]]=O$2,100%,AVANCE[[#This Row],[TABIQUES]])</f>
        <v>0</v>
      </c>
      <c r="BI598" s="3">
        <f>+IF(AVANCE[[#This Row],[MUROS]]=P$2,100%,AVANCE[[#This Row],[MUROS]])</f>
        <v>0</v>
      </c>
      <c r="BJ598" s="3">
        <f>+IF(AVANCE[[#This Row],[CIELO]]=Q$2,100%,AVANCE[[#This Row],[CIELO]])</f>
        <v>0</v>
      </c>
      <c r="BK598" s="3">
        <f>+IF(AVANCE[[#This Row],[BALCÓN]]=R$2,100%,AVANCE[[#This Row],[BALCÓN]])</f>
        <v>0</v>
      </c>
      <c r="BL598" s="3">
        <f>+IF(AVANCE[[#This Row],[RED ALCANTARILLADO]]=U$2,100%,AVANCE[[#This Row],[RED ALCANTARILLADO]])</f>
        <v>0</v>
      </c>
      <c r="BM598" s="3">
        <f>+IF(AVANCE[[#This Row],[RED DE AGUA]]=V$2,100%,AVANCE[[#This Row],[RED DE AGUA]])</f>
        <v>0</v>
      </c>
      <c r="BN598" s="3">
        <f>+IF(AVANCE[[#This Row],[VENTILACIONES]]=W$2,100%,AVANCE[[#This Row],[VENTILACIONES]])</f>
        <v>0</v>
      </c>
      <c r="BO598" s="3">
        <f>+IF(AVANCE[[#This Row],[TINA]]=X$2,100%,AVANCE[[#This Row],[TINA]])</f>
        <v>0</v>
      </c>
      <c r="BP598" s="3">
        <f>+IF(AVANCE[[#This Row],[WC]]=Y$2,100%,AVANCE[[#This Row],[WC]])</f>
        <v>0</v>
      </c>
      <c r="BQ598" s="3">
        <f>+IF(AVANCE[[#This Row],[LAVAMANOS / LAVAPLATOS / LAVADERO]]=Z$2,100%,AVANCE[[#This Row],[LAVAMANOS / LAVAPLATOS / LAVADERO]])</f>
        <v>0</v>
      </c>
      <c r="BR598" s="3">
        <f>+IF(AVANCE[[#This Row],[CANALIZACIÓN]]=AC$2,100%,AVANCE[[#This Row],[CANALIZACIÓN]])</f>
        <v>0</v>
      </c>
      <c r="BS598" s="3">
        <f>+IF(AVANCE[[#This Row],[CABLEADO]]=AD$2,100%,AVANCE[[#This Row],[CABLEADO]])</f>
        <v>0</v>
      </c>
      <c r="BT598" s="3">
        <f>+IF(AVANCE[[#This Row],[ARTEFACTOS]]=AE$2,100%,AVANCE[[#This Row],[ARTEFACTOS]])</f>
        <v>0</v>
      </c>
      <c r="BU598" s="3">
        <f>+IF(AVANCE[[#This Row],[TABLERO]]=AF$2,100%,AVANCE[[#This Row],[TABLERO]])</f>
        <v>0</v>
      </c>
      <c r="BV598" s="3">
        <f>+IF(AVANCE[[#This Row],[CAJA PAU]]=AG$2,100%,AVANCE[[#This Row],[CAJA PAU]])</f>
        <v>0</v>
      </c>
      <c r="BW598" s="3">
        <f>+IF(AVANCE[[#This Row],[INSTALACION VINILICO]]=AJ$2,100%,AVANCE[[#This Row],[INSTALACION VINILICO]])</f>
        <v>0</v>
      </c>
      <c r="BX598" s="3">
        <f>+IF(AVANCE[[#This Row],[OSB CUBIERTA]]=AK$2,100%,AVANCE[[#This Row],[OSB CUBIERTA]])</f>
        <v>0</v>
      </c>
      <c r="BY598" s="3">
        <f>+IF(AVANCE[[#This Row],[BARANDA BALCON]]=AL$2,100%,AVANCE[[#This Row],[BARANDA BALCON]])</f>
        <v>0</v>
      </c>
      <c r="BZ598" s="3">
        <f>+IF(AVANCE[[#This Row],[OSB EXTERIOR]]=AM$2,100%,AVANCE[[#This Row],[OSB EXTERIOR]])</f>
        <v>0</v>
      </c>
      <c r="CA598" s="3">
        <f>+IF(AVANCE[[#This Row],[SMART PANEL]]=AN$2,100%,AVANCE[[#This Row],[SMART PANEL]])</f>
        <v>0</v>
      </c>
      <c r="CB598" s="3">
        <f>+IF(AVANCE[[#This Row],[PINTURA EXTERIOR]]=AO$2,100%,AVANCE[[#This Row],[PINTURA EXTERIOR]])</f>
        <v>0</v>
      </c>
      <c r="CC598" s="3">
        <f>+IF(AVANCE[[#This Row],[ZOCALOS LOGIA]]=AP$2,100%,AVANCE[[#This Row],[ZOCALOS LOGIA]])</f>
        <v>0</v>
      </c>
      <c r="CD598" s="3">
        <f>+IF(AVANCE[[#This Row],[MOLDURAS]]=AQ$2,100%,AVANCE[[#This Row],[MOLDURAS]])</f>
        <v>0</v>
      </c>
      <c r="CE598" s="3">
        <f>+IF(AVANCE[[#This Row],[PILASTREO]]=AR$2,100%,AVANCE[[#This Row],[PILASTREO]])</f>
        <v>0</v>
      </c>
      <c r="CF598" s="3">
        <f>+IF(AVANCE[[#This Row],[CELOSIAS]]=AS$2,100%,AVANCE[[#This Row],[CELOSIAS]])</f>
        <v>0</v>
      </c>
      <c r="CG598" s="3">
        <f>+IF(AVANCE[[#This Row],[VENTANAS]]=AT$2,100%,AVANCE[[#This Row],[VENTANAS]])</f>
        <v>0</v>
      </c>
      <c r="CH598" s="3">
        <f>+IF(AVANCE[[#This Row],[PUERTAS ACCESO - LOGIA - BANO]]=AU$2,100%,AVANCE[[#This Row],[PUERTAS ACCESO - LOGIA - BANO]])</f>
        <v>0</v>
      </c>
      <c r="CI598" s="3">
        <f>+IF(AVANCE[[#This Row],[CERRADURAS]]=AV$2,100%,AVANCE[[#This Row],[CERRADURAS]])</f>
        <v>0</v>
      </c>
      <c r="CJ598" s="3">
        <f>+IF(AVANCE[[#This Row],[REVESTIMIENTO INTERIOR ZONA SECA]]=AW$2,100%,AVANCE[[#This Row],[REVESTIMIENTO INTERIOR ZONA SECA]])</f>
        <v>0</v>
      </c>
      <c r="CK598" s="3">
        <f>+IF(AVANCE[[#This Row],[REVESTIMIENTO INTERIOR ZONAS HUMEDAS]]=AX$2,100%,AVANCE[[#This Row],[REVESTIMIENTO INTERIOR ZONAS HUMEDAS]])</f>
        <v>0</v>
      </c>
      <c r="CL598" s="3">
        <f>+IF(AVANCE[[#This Row],[MEMBRANA CIELO]]=AY$2,100%,AVANCE[[#This Row],[MEMBRANA CIELO]])</f>
        <v>0</v>
      </c>
      <c r="CM598" s="3">
        <f>+IF(AVANCE[[#This Row],[LIMPIEZA FINAL]]=AZ$2,100%,AVANCE[[#This Row],[LIMPIEZA FINAL]])</f>
        <v>0</v>
      </c>
      <c r="CN598" s="3">
        <f>+IF(AVANCE[[#This Row],[PUERTAS DORMITORIO]]=BA$2,100%,AVANCE[[#This Row],[PUERTAS DORMITORIO]])</f>
        <v>0</v>
      </c>
      <c r="CO598" s="3">
        <f>+IF(AVANCE[[#This Row],[REVESTIMIENTO INTERIOR BANO]]=BB$2,100%,AVANCE[[#This Row],[REVESTIMIENTO INTERIOR BANO]])</f>
        <v>0</v>
      </c>
      <c r="CP598" s="3">
        <f>+IF(AVANCE[[#This Row],[MUEBLE LAVAPLATOS]]=BC$2,100%,AVANCE[[#This Row],[MUEBLE LAVAPLATOS]])</f>
        <v>0</v>
      </c>
      <c r="CQ598" s="3">
        <f>+IF(AVANCE[[#This Row],[IMPERMEABILIZACION BANO - COCINA LOGIA]]=BD$2,100%,AVANCE[[#This Row],[IMPERMEABILIZACION BANO - COCINA LOGIA]])</f>
        <v>0</v>
      </c>
      <c r="CR598" s="40">
        <f ca="1">+IF(AVANCE[[#This Row],[ESTADO MODULO]]="PENDIENTE",(TODAY()-AVANCE[[#This Row],[FECHA TERMINO  PLANIFICADO]]),0)</f>
        <v>0</v>
      </c>
      <c r="CS598" s="42" t="str" cm="1">
        <f t="array" ref="CS598">_xlfn.TEXTJOIN(" | ",TRUE,IF(SUMPRODUCT((BF598:CQ598&lt;1)*(PARTIDAS!$I$2:$AT$2="OBRA GRUESA"))&gt;0,"OBRA GRUESA: "&amp;_xlfn.TEXTJOIN(", ",TRUE,IF((BF598:CQ598&lt;1)*(PARTIDAS!$I$2:$AT$2="OBRA GRUESA"),PARTIDAS!$I$1:$AT$1,"")),""),IF(SUMPRODUCT((BF598:CQ598&lt;1)*(PARTIDAS!$I$2:$AT$2="SANITARIOS"))&gt;0,"SANITARIOS: "&amp;_xlfn.TEXTJOIN(", ",TRUE,IF((BF598:CQ598&lt;1)*(PARTIDAS!$I$2:$AT$2="SANITARIOS"),PARTIDAS!$I$1:$AT$1,"")),""),IF(SUMPRODUCT((BF598:CQ598&lt;1)*(PARTIDAS!$I$2:$AT$2="ELÉCTRICO"))&gt;0,"ELÉCTRICO: "&amp;_xlfn.TEXTJOIN(", ",TRUE,IF((BF598:CQ598&lt;1)*(PARTIDAS!$I$2:$AT$2="ELÉCTRICO"),PARTIDAS!$I$1:$AT$1,"")),""),IF(SUMPRODUCT((BF598:CQ598&lt;1)*(PARTIDAS!$I$2:$AT$2="TERMINACIONES"))&gt;0,"TERMINACIONES: "&amp;_xlfn.TEXTJOIN(", ",TRUE,IF((BF598:CQ598&lt;1)*(PARTIDAS!$I$2:$AT$2="TERMINACIONES"),PARTIDAS!$I$1:$AT$1,"")),""))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8" s="45" t="str" cm="1">
        <f t="array" ref="CT598">_xlfn.TEXTJOIN(", ",TRUE,IF(SUMPRODUCT((BF598:CQ598&lt;1)*(PARTIDAS!$I$2:$AT$2="OBRA GRUESA"))&gt;0,"OBRA GRUESA",""),IF(SUMPRODUCT((BF598:CQ598&lt;1)*(PARTIDAS!$I$2:$AT$2="SANITARIOS"))&gt;0,"SANITARIOS",""),IF(SUMPRODUCT((BF598:CQ598&lt;1)*(PARTIDAS!$I$2:$AT$2="ELÉCTRICO"))&gt;0,"ELÉCTRICO",""),IF(SUMPRODUCT((BF598:CQ598&lt;1)*(PARTIDAS!$I$2:$AT$2="TERMINACIONES"))&gt;0,"TERMINACIONES",""))</f>
        <v>OBRA GRUESA, SANITARIOS, ELÉCTRICO, TERMINACIONES</v>
      </c>
      <c r="CU598" s="46" cm="1">
        <f t="array" ref="CU598">SUMPRODUCT(--(BF598:CQ598&lt;1))</f>
        <v>38</v>
      </c>
    </row>
    <row r="599" spans="1:99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46181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 s="3" t="str">
        <f>+IF(AVANCE[[#This Row],[% AVANCE]]=100%,"MODULO TERMINADO",IF(AVANCE[[#This Row],[FECHA INICIO REAL]]="","MODULO NO INICIADO","PENDIENTE"))</f>
        <v>MODULO NO INICIADO</v>
      </c>
      <c r="BF599" s="3">
        <f>+IF(AVANCE[[#This Row],[VENTANAS]]=8.10810810810811%,100%,AVANCE[[#This Row],[VENTANAS]])</f>
        <v>0</v>
      </c>
      <c r="BG599" s="3">
        <f>+IF(AVANCE[[#This Row],[PISO]]=N$2,100%,AVANCE[[#This Row],[PISO]])</f>
        <v>0</v>
      </c>
      <c r="BH599" s="3">
        <f>+IF(AVANCE[[#This Row],[TABIQUES]]=O$2,100%,AVANCE[[#This Row],[TABIQUES]])</f>
        <v>0</v>
      </c>
      <c r="BI599" s="3">
        <f>+IF(AVANCE[[#This Row],[MUROS]]=P$2,100%,AVANCE[[#This Row],[MUROS]])</f>
        <v>0</v>
      </c>
      <c r="BJ599" s="3">
        <f>+IF(AVANCE[[#This Row],[CIELO]]=Q$2,100%,AVANCE[[#This Row],[CIELO]])</f>
        <v>0</v>
      </c>
      <c r="BK599" s="3">
        <f>+IF(AVANCE[[#This Row],[BALCÓN]]=R$2,100%,AVANCE[[#This Row],[BALCÓN]])</f>
        <v>0</v>
      </c>
      <c r="BL599" s="3">
        <f>+IF(AVANCE[[#This Row],[RED ALCANTARILLADO]]=U$2,100%,AVANCE[[#This Row],[RED ALCANTARILLADO]])</f>
        <v>0</v>
      </c>
      <c r="BM599" s="3">
        <f>+IF(AVANCE[[#This Row],[RED DE AGUA]]=V$2,100%,AVANCE[[#This Row],[RED DE AGUA]])</f>
        <v>0</v>
      </c>
      <c r="BN599" s="3">
        <f>+IF(AVANCE[[#This Row],[VENTILACIONES]]=W$2,100%,AVANCE[[#This Row],[VENTILACIONES]])</f>
        <v>0</v>
      </c>
      <c r="BO599" s="3">
        <f>+IF(AVANCE[[#This Row],[TINA]]=X$2,100%,AVANCE[[#This Row],[TINA]])</f>
        <v>0</v>
      </c>
      <c r="BP599" s="3">
        <f>+IF(AVANCE[[#This Row],[WC]]=Y$2,100%,AVANCE[[#This Row],[WC]])</f>
        <v>0</v>
      </c>
      <c r="BQ599" s="3">
        <f>+IF(AVANCE[[#This Row],[LAVAMANOS / LAVAPLATOS / LAVADERO]]=Z$2,100%,AVANCE[[#This Row],[LAVAMANOS / LAVAPLATOS / LAVADERO]])</f>
        <v>0</v>
      </c>
      <c r="BR599" s="3">
        <f>+IF(AVANCE[[#This Row],[CANALIZACIÓN]]=AC$2,100%,AVANCE[[#This Row],[CANALIZACIÓN]])</f>
        <v>0</v>
      </c>
      <c r="BS599" s="3">
        <f>+IF(AVANCE[[#This Row],[CABLEADO]]=AD$2,100%,AVANCE[[#This Row],[CABLEADO]])</f>
        <v>0</v>
      </c>
      <c r="BT599" s="3">
        <f>+IF(AVANCE[[#This Row],[ARTEFACTOS]]=AE$2,100%,AVANCE[[#This Row],[ARTEFACTOS]])</f>
        <v>0</v>
      </c>
      <c r="BU599" s="3">
        <f>+IF(AVANCE[[#This Row],[TABLERO]]=AF$2,100%,AVANCE[[#This Row],[TABLERO]])</f>
        <v>0</v>
      </c>
      <c r="BV599" s="3">
        <f>+IF(AVANCE[[#This Row],[CAJA PAU]]=AG$2,100%,AVANCE[[#This Row],[CAJA PAU]])</f>
        <v>0</v>
      </c>
      <c r="BW599" s="3">
        <f>+IF(AVANCE[[#This Row],[INSTALACION VINILICO]]=AJ$2,100%,AVANCE[[#This Row],[INSTALACION VINILICO]])</f>
        <v>0</v>
      </c>
      <c r="BX599" s="3">
        <f>+IF(AVANCE[[#This Row],[OSB CUBIERTA]]=AK$2,100%,AVANCE[[#This Row],[OSB CUBIERTA]])</f>
        <v>0</v>
      </c>
      <c r="BY599" s="3">
        <f>+IF(AVANCE[[#This Row],[BARANDA BALCON]]=AL$2,100%,AVANCE[[#This Row],[BARANDA BALCON]])</f>
        <v>0</v>
      </c>
      <c r="BZ599" s="3">
        <f>+IF(AVANCE[[#This Row],[OSB EXTERIOR]]=AM$2,100%,AVANCE[[#This Row],[OSB EXTERIOR]])</f>
        <v>0</v>
      </c>
      <c r="CA599" s="3">
        <f>+IF(AVANCE[[#This Row],[SMART PANEL]]=AN$2,100%,AVANCE[[#This Row],[SMART PANEL]])</f>
        <v>0</v>
      </c>
      <c r="CB599" s="3">
        <f>+IF(AVANCE[[#This Row],[PINTURA EXTERIOR]]=AO$2,100%,AVANCE[[#This Row],[PINTURA EXTERIOR]])</f>
        <v>0</v>
      </c>
      <c r="CC599" s="3">
        <f>+IF(AVANCE[[#This Row],[ZOCALOS LOGIA]]=AP$2,100%,AVANCE[[#This Row],[ZOCALOS LOGIA]])</f>
        <v>0</v>
      </c>
      <c r="CD599" s="3">
        <f>+IF(AVANCE[[#This Row],[MOLDURAS]]=AQ$2,100%,AVANCE[[#This Row],[MOLDURAS]])</f>
        <v>0</v>
      </c>
      <c r="CE599" s="3">
        <f>+IF(AVANCE[[#This Row],[PILASTREO]]=AR$2,100%,AVANCE[[#This Row],[PILASTREO]])</f>
        <v>0</v>
      </c>
      <c r="CF599" s="3">
        <f>+IF(AVANCE[[#This Row],[CELOSIAS]]=AS$2,100%,AVANCE[[#This Row],[CELOSIAS]])</f>
        <v>0</v>
      </c>
      <c r="CG599" s="3">
        <f>+IF(AVANCE[[#This Row],[VENTANAS]]=AT$2,100%,AVANCE[[#This Row],[VENTANAS]])</f>
        <v>0</v>
      </c>
      <c r="CH599" s="3">
        <f>+IF(AVANCE[[#This Row],[PUERTAS ACCESO - LOGIA - BANO]]=AU$2,100%,AVANCE[[#This Row],[PUERTAS ACCESO - LOGIA - BANO]])</f>
        <v>0</v>
      </c>
      <c r="CI599" s="3">
        <f>+IF(AVANCE[[#This Row],[CERRADURAS]]=AV$2,100%,AVANCE[[#This Row],[CERRADURAS]])</f>
        <v>0</v>
      </c>
      <c r="CJ599" s="3">
        <f>+IF(AVANCE[[#This Row],[REVESTIMIENTO INTERIOR ZONA SECA]]=AW$2,100%,AVANCE[[#This Row],[REVESTIMIENTO INTERIOR ZONA SECA]])</f>
        <v>0</v>
      </c>
      <c r="CK599" s="3">
        <f>+IF(AVANCE[[#This Row],[REVESTIMIENTO INTERIOR ZONAS HUMEDAS]]=AX$2,100%,AVANCE[[#This Row],[REVESTIMIENTO INTERIOR ZONAS HUMEDAS]])</f>
        <v>0</v>
      </c>
      <c r="CL599" s="3">
        <f>+IF(AVANCE[[#This Row],[MEMBRANA CIELO]]=AY$2,100%,AVANCE[[#This Row],[MEMBRANA CIELO]])</f>
        <v>0</v>
      </c>
      <c r="CM599" s="3">
        <f>+IF(AVANCE[[#This Row],[LIMPIEZA FINAL]]=AZ$2,100%,AVANCE[[#This Row],[LIMPIEZA FINAL]])</f>
        <v>0</v>
      </c>
      <c r="CN599" s="3">
        <f>+IF(AVANCE[[#This Row],[PUERTAS DORMITORIO]]=BA$2,100%,AVANCE[[#This Row],[PUERTAS DORMITORIO]])</f>
        <v>0</v>
      </c>
      <c r="CO599" s="3">
        <f>+IF(AVANCE[[#This Row],[REVESTIMIENTO INTERIOR BANO]]=BB$2,100%,AVANCE[[#This Row],[REVESTIMIENTO INTERIOR BANO]])</f>
        <v>0</v>
      </c>
      <c r="CP599" s="3">
        <f>+IF(AVANCE[[#This Row],[MUEBLE LAVAPLATOS]]=BC$2,100%,AVANCE[[#This Row],[MUEBLE LAVAPLATOS]])</f>
        <v>0</v>
      </c>
      <c r="CQ599" s="3">
        <f>+IF(AVANCE[[#This Row],[IMPERMEABILIZACION BANO - COCINA LOGIA]]=BD$2,100%,AVANCE[[#This Row],[IMPERMEABILIZACION BANO - COCINA LOGIA]])</f>
        <v>0</v>
      </c>
      <c r="CR599" s="40">
        <f ca="1">+IF(AVANCE[[#This Row],[ESTADO MODULO]]="PENDIENTE",(TODAY()-AVANCE[[#This Row],[FECHA TERMINO  PLANIFICADO]]),0)</f>
        <v>0</v>
      </c>
      <c r="CS599" s="42" t="str" cm="1">
        <f t="array" ref="CS599">_xlfn.TEXTJOIN(" | ",TRUE,IF(SUMPRODUCT((BF599:CQ599&lt;1)*(PARTIDAS!$I$2:$AT$2="OBRA GRUESA"))&gt;0,"OBRA GRUESA: "&amp;_xlfn.TEXTJOIN(", ",TRUE,IF((BF599:CQ599&lt;1)*(PARTIDAS!$I$2:$AT$2="OBRA GRUESA"),PARTIDAS!$I$1:$AT$1,"")),""),IF(SUMPRODUCT((BF599:CQ599&lt;1)*(PARTIDAS!$I$2:$AT$2="SANITARIOS"))&gt;0,"SANITARIOS: "&amp;_xlfn.TEXTJOIN(", ",TRUE,IF((BF599:CQ599&lt;1)*(PARTIDAS!$I$2:$AT$2="SANITARIOS"),PARTIDAS!$I$1:$AT$1,"")),""),IF(SUMPRODUCT((BF599:CQ599&lt;1)*(PARTIDAS!$I$2:$AT$2="ELÉCTRICO"))&gt;0,"ELÉCTRICO: "&amp;_xlfn.TEXTJOIN(", ",TRUE,IF((BF599:CQ599&lt;1)*(PARTIDAS!$I$2:$AT$2="ELÉCTRICO"),PARTIDAS!$I$1:$AT$1,"")),""),IF(SUMPRODUCT((BF599:CQ599&lt;1)*(PARTIDAS!$I$2:$AT$2="TERMINACIONES"))&gt;0,"TERMINACIONES: "&amp;_xlfn.TEXTJOIN(", ",TRUE,IF((BF599:CQ599&lt;1)*(PARTIDAS!$I$2:$AT$2="TERMINACIONES"),PARTIDAS!$I$1:$AT$1,"")),""))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599" s="45" t="str" cm="1">
        <f t="array" ref="CT599">_xlfn.TEXTJOIN(", ",TRUE,IF(SUMPRODUCT((BF599:CQ599&lt;1)*(PARTIDAS!$I$2:$AT$2="OBRA GRUESA"))&gt;0,"OBRA GRUESA",""),IF(SUMPRODUCT((BF599:CQ599&lt;1)*(PARTIDAS!$I$2:$AT$2="SANITARIOS"))&gt;0,"SANITARIOS",""),IF(SUMPRODUCT((BF599:CQ599&lt;1)*(PARTIDAS!$I$2:$AT$2="ELÉCTRICO"))&gt;0,"ELÉCTRICO",""),IF(SUMPRODUCT((BF599:CQ599&lt;1)*(PARTIDAS!$I$2:$AT$2="TERMINACIONES"))&gt;0,"TERMINACIONES",""))</f>
        <v>OBRA GRUESA, SANITARIOS, ELÉCTRICO, TERMINACIONES</v>
      </c>
      <c r="CU599" s="46" cm="1">
        <f t="array" ref="CU599">SUMPRODUCT(--(BF599:CQ599&lt;1))</f>
        <v>38</v>
      </c>
    </row>
    <row r="600" spans="1:99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46181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 s="3" t="str">
        <f>+IF(AVANCE[[#This Row],[% AVANCE]]=100%,"MODULO TERMINADO",IF(AVANCE[[#This Row],[FECHA INICIO REAL]]="","MODULO NO INICIADO","PENDIENTE"))</f>
        <v>MODULO NO INICIADO</v>
      </c>
      <c r="BF600" s="3">
        <f>+IF(AVANCE[[#This Row],[VENTANAS]]=8.10810810810811%,100%,AVANCE[[#This Row],[VENTANAS]])</f>
        <v>0</v>
      </c>
      <c r="BG600" s="3">
        <f>+IF(AVANCE[[#This Row],[PISO]]=N$2,100%,AVANCE[[#This Row],[PISO]])</f>
        <v>0</v>
      </c>
      <c r="BH600" s="3">
        <f>+IF(AVANCE[[#This Row],[TABIQUES]]=O$2,100%,AVANCE[[#This Row],[TABIQUES]])</f>
        <v>0</v>
      </c>
      <c r="BI600" s="3">
        <f>+IF(AVANCE[[#This Row],[MUROS]]=P$2,100%,AVANCE[[#This Row],[MUROS]])</f>
        <v>0</v>
      </c>
      <c r="BJ600" s="3">
        <f>+IF(AVANCE[[#This Row],[CIELO]]=Q$2,100%,AVANCE[[#This Row],[CIELO]])</f>
        <v>0</v>
      </c>
      <c r="BK600" s="3">
        <f>+IF(AVANCE[[#This Row],[BALCÓN]]=R$2,100%,AVANCE[[#This Row],[BALCÓN]])</f>
        <v>0</v>
      </c>
      <c r="BL600" s="3">
        <f>+IF(AVANCE[[#This Row],[RED ALCANTARILLADO]]=U$2,100%,AVANCE[[#This Row],[RED ALCANTARILLADO]])</f>
        <v>0</v>
      </c>
      <c r="BM600" s="3">
        <f>+IF(AVANCE[[#This Row],[RED DE AGUA]]=V$2,100%,AVANCE[[#This Row],[RED DE AGUA]])</f>
        <v>0</v>
      </c>
      <c r="BN600" s="3">
        <f>+IF(AVANCE[[#This Row],[VENTILACIONES]]=W$2,100%,AVANCE[[#This Row],[VENTILACIONES]])</f>
        <v>0</v>
      </c>
      <c r="BO600" s="3">
        <f>+IF(AVANCE[[#This Row],[TINA]]=X$2,100%,AVANCE[[#This Row],[TINA]])</f>
        <v>0</v>
      </c>
      <c r="BP600" s="3">
        <f>+IF(AVANCE[[#This Row],[WC]]=Y$2,100%,AVANCE[[#This Row],[WC]])</f>
        <v>0</v>
      </c>
      <c r="BQ600" s="3">
        <f>+IF(AVANCE[[#This Row],[LAVAMANOS / LAVAPLATOS / LAVADERO]]=Z$2,100%,AVANCE[[#This Row],[LAVAMANOS / LAVAPLATOS / LAVADERO]])</f>
        <v>0</v>
      </c>
      <c r="BR600" s="3">
        <f>+IF(AVANCE[[#This Row],[CANALIZACIÓN]]=AC$2,100%,AVANCE[[#This Row],[CANALIZACIÓN]])</f>
        <v>0</v>
      </c>
      <c r="BS600" s="3">
        <f>+IF(AVANCE[[#This Row],[CABLEADO]]=AD$2,100%,AVANCE[[#This Row],[CABLEADO]])</f>
        <v>0</v>
      </c>
      <c r="BT600" s="3">
        <f>+IF(AVANCE[[#This Row],[ARTEFACTOS]]=AE$2,100%,AVANCE[[#This Row],[ARTEFACTOS]])</f>
        <v>0</v>
      </c>
      <c r="BU600" s="3">
        <f>+IF(AVANCE[[#This Row],[TABLERO]]=AF$2,100%,AVANCE[[#This Row],[TABLERO]])</f>
        <v>0</v>
      </c>
      <c r="BV600" s="3">
        <f>+IF(AVANCE[[#This Row],[CAJA PAU]]=AG$2,100%,AVANCE[[#This Row],[CAJA PAU]])</f>
        <v>0</v>
      </c>
      <c r="BW600" s="3">
        <f>+IF(AVANCE[[#This Row],[INSTALACION VINILICO]]=AJ$2,100%,AVANCE[[#This Row],[INSTALACION VINILICO]])</f>
        <v>0</v>
      </c>
      <c r="BX600" s="3">
        <f>+IF(AVANCE[[#This Row],[OSB CUBIERTA]]=AK$2,100%,AVANCE[[#This Row],[OSB CUBIERTA]])</f>
        <v>0</v>
      </c>
      <c r="BY600" s="3">
        <f>+IF(AVANCE[[#This Row],[BARANDA BALCON]]=AL$2,100%,AVANCE[[#This Row],[BARANDA BALCON]])</f>
        <v>0</v>
      </c>
      <c r="BZ600" s="3">
        <f>+IF(AVANCE[[#This Row],[OSB EXTERIOR]]=AM$2,100%,AVANCE[[#This Row],[OSB EXTERIOR]])</f>
        <v>0</v>
      </c>
      <c r="CA600" s="3">
        <f>+IF(AVANCE[[#This Row],[SMART PANEL]]=AN$2,100%,AVANCE[[#This Row],[SMART PANEL]])</f>
        <v>0</v>
      </c>
      <c r="CB600" s="3">
        <f>+IF(AVANCE[[#This Row],[PINTURA EXTERIOR]]=AO$2,100%,AVANCE[[#This Row],[PINTURA EXTERIOR]])</f>
        <v>0</v>
      </c>
      <c r="CC600" s="3">
        <f>+IF(AVANCE[[#This Row],[ZOCALOS LOGIA]]=AP$2,100%,AVANCE[[#This Row],[ZOCALOS LOGIA]])</f>
        <v>0</v>
      </c>
      <c r="CD600" s="3">
        <f>+IF(AVANCE[[#This Row],[MOLDURAS]]=AQ$2,100%,AVANCE[[#This Row],[MOLDURAS]])</f>
        <v>0</v>
      </c>
      <c r="CE600" s="3">
        <f>+IF(AVANCE[[#This Row],[PILASTREO]]=AR$2,100%,AVANCE[[#This Row],[PILASTREO]])</f>
        <v>0</v>
      </c>
      <c r="CF600" s="3">
        <f>+IF(AVANCE[[#This Row],[CELOSIAS]]=AS$2,100%,AVANCE[[#This Row],[CELOSIAS]])</f>
        <v>0</v>
      </c>
      <c r="CG600" s="3">
        <f>+IF(AVANCE[[#This Row],[VENTANAS]]=AT$2,100%,AVANCE[[#This Row],[VENTANAS]])</f>
        <v>0</v>
      </c>
      <c r="CH600" s="3">
        <f>+IF(AVANCE[[#This Row],[PUERTAS ACCESO - LOGIA - BANO]]=AU$2,100%,AVANCE[[#This Row],[PUERTAS ACCESO - LOGIA - BANO]])</f>
        <v>0</v>
      </c>
      <c r="CI600" s="3">
        <f>+IF(AVANCE[[#This Row],[CERRADURAS]]=AV$2,100%,AVANCE[[#This Row],[CERRADURAS]])</f>
        <v>0</v>
      </c>
      <c r="CJ600" s="3">
        <f>+IF(AVANCE[[#This Row],[REVESTIMIENTO INTERIOR ZONA SECA]]=AW$2,100%,AVANCE[[#This Row],[REVESTIMIENTO INTERIOR ZONA SECA]])</f>
        <v>0</v>
      </c>
      <c r="CK600" s="3">
        <f>+IF(AVANCE[[#This Row],[REVESTIMIENTO INTERIOR ZONAS HUMEDAS]]=AX$2,100%,AVANCE[[#This Row],[REVESTIMIENTO INTERIOR ZONAS HUMEDAS]])</f>
        <v>0</v>
      </c>
      <c r="CL600" s="3">
        <f>+IF(AVANCE[[#This Row],[MEMBRANA CIELO]]=AY$2,100%,AVANCE[[#This Row],[MEMBRANA CIELO]])</f>
        <v>0</v>
      </c>
      <c r="CM600" s="3">
        <f>+IF(AVANCE[[#This Row],[LIMPIEZA FINAL]]=AZ$2,100%,AVANCE[[#This Row],[LIMPIEZA FINAL]])</f>
        <v>0</v>
      </c>
      <c r="CN600" s="3">
        <f>+IF(AVANCE[[#This Row],[PUERTAS DORMITORIO]]=BA$2,100%,AVANCE[[#This Row],[PUERTAS DORMITORIO]])</f>
        <v>0</v>
      </c>
      <c r="CO600" s="3">
        <f>+IF(AVANCE[[#This Row],[REVESTIMIENTO INTERIOR BANO]]=BB$2,100%,AVANCE[[#This Row],[REVESTIMIENTO INTERIOR BANO]])</f>
        <v>0</v>
      </c>
      <c r="CP600" s="3">
        <f>+IF(AVANCE[[#This Row],[MUEBLE LAVAPLATOS]]=BC$2,100%,AVANCE[[#This Row],[MUEBLE LAVAPLATOS]])</f>
        <v>0</v>
      </c>
      <c r="CQ600" s="3">
        <f>+IF(AVANCE[[#This Row],[IMPERMEABILIZACION BANO - COCINA LOGIA]]=BD$2,100%,AVANCE[[#This Row],[IMPERMEABILIZACION BANO - COCINA LOGIA]])</f>
        <v>0</v>
      </c>
      <c r="CR600" s="40">
        <f ca="1">+IF(AVANCE[[#This Row],[ESTADO MODULO]]="PENDIENTE",(TODAY()-AVANCE[[#This Row],[FECHA TERMINO  PLANIFICADO]]),0)</f>
        <v>0</v>
      </c>
      <c r="CS600" s="42" t="str" cm="1">
        <f t="array" ref="CS600">_xlfn.TEXTJOIN(" | ",TRUE,IF(SUMPRODUCT((BF600:CQ600&lt;1)*(PARTIDAS!$I$2:$AT$2="OBRA GRUESA"))&gt;0,"OBRA GRUESA: "&amp;_xlfn.TEXTJOIN(", ",TRUE,IF((BF600:CQ600&lt;1)*(PARTIDAS!$I$2:$AT$2="OBRA GRUESA"),PARTIDAS!$I$1:$AT$1,"")),""),IF(SUMPRODUCT((BF600:CQ600&lt;1)*(PARTIDAS!$I$2:$AT$2="SANITARIOS"))&gt;0,"SANITARIOS: "&amp;_xlfn.TEXTJOIN(", ",TRUE,IF((BF600:CQ600&lt;1)*(PARTIDAS!$I$2:$AT$2="SANITARIOS"),PARTIDAS!$I$1:$AT$1,"")),""),IF(SUMPRODUCT((BF600:CQ600&lt;1)*(PARTIDAS!$I$2:$AT$2="ELÉCTRICO"))&gt;0,"ELÉCTRICO: "&amp;_xlfn.TEXTJOIN(", ",TRUE,IF((BF600:CQ600&lt;1)*(PARTIDAS!$I$2:$AT$2="ELÉCTRICO"),PARTIDAS!$I$1:$AT$1,"")),""),IF(SUMPRODUCT((BF600:CQ600&lt;1)*(PARTIDAS!$I$2:$AT$2="TERMINACIONES"))&gt;0,"TERMINACIONES: "&amp;_xlfn.TEXTJOIN(", ",TRUE,IF((BF600:CQ600&lt;1)*(PARTIDAS!$I$2:$AT$2="TERMINACIONES"),PARTIDAS!$I$1:$AT$1,"")),""))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0" s="45" t="str" cm="1">
        <f t="array" ref="CT600">_xlfn.TEXTJOIN(", ",TRUE,IF(SUMPRODUCT((BF600:CQ600&lt;1)*(PARTIDAS!$I$2:$AT$2="OBRA GRUESA"))&gt;0,"OBRA GRUESA",""),IF(SUMPRODUCT((BF600:CQ600&lt;1)*(PARTIDAS!$I$2:$AT$2="SANITARIOS"))&gt;0,"SANITARIOS",""),IF(SUMPRODUCT((BF600:CQ600&lt;1)*(PARTIDAS!$I$2:$AT$2="ELÉCTRICO"))&gt;0,"ELÉCTRICO",""),IF(SUMPRODUCT((BF600:CQ600&lt;1)*(PARTIDAS!$I$2:$AT$2="TERMINACIONES"))&gt;0,"TERMINACIONES",""))</f>
        <v>OBRA GRUESA, SANITARIOS, ELÉCTRICO, TERMINACIONES</v>
      </c>
      <c r="CU600" s="46" cm="1">
        <f t="array" ref="CU600">SUMPRODUCT(--(BF600:CQ600&lt;1))</f>
        <v>38</v>
      </c>
    </row>
    <row r="601" spans="1:99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46181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 s="3" t="str">
        <f>+IF(AVANCE[[#This Row],[% AVANCE]]=100%,"MODULO TERMINADO",IF(AVANCE[[#This Row],[FECHA INICIO REAL]]="","MODULO NO INICIADO","PENDIENTE"))</f>
        <v>MODULO NO INICIADO</v>
      </c>
      <c r="BF601" s="3">
        <f>+IF(AVANCE[[#This Row],[VENTANAS]]=8.10810810810811%,100%,AVANCE[[#This Row],[VENTANAS]])</f>
        <v>0</v>
      </c>
      <c r="BG601" s="3">
        <f>+IF(AVANCE[[#This Row],[PISO]]=N$2,100%,AVANCE[[#This Row],[PISO]])</f>
        <v>0</v>
      </c>
      <c r="BH601" s="3">
        <f>+IF(AVANCE[[#This Row],[TABIQUES]]=O$2,100%,AVANCE[[#This Row],[TABIQUES]])</f>
        <v>0</v>
      </c>
      <c r="BI601" s="3">
        <f>+IF(AVANCE[[#This Row],[MUROS]]=P$2,100%,AVANCE[[#This Row],[MUROS]])</f>
        <v>0</v>
      </c>
      <c r="BJ601" s="3">
        <f>+IF(AVANCE[[#This Row],[CIELO]]=Q$2,100%,AVANCE[[#This Row],[CIELO]])</f>
        <v>0</v>
      </c>
      <c r="BK601" s="3">
        <f>+IF(AVANCE[[#This Row],[BALCÓN]]=R$2,100%,AVANCE[[#This Row],[BALCÓN]])</f>
        <v>0</v>
      </c>
      <c r="BL601" s="3">
        <f>+IF(AVANCE[[#This Row],[RED ALCANTARILLADO]]=U$2,100%,AVANCE[[#This Row],[RED ALCANTARILLADO]])</f>
        <v>0</v>
      </c>
      <c r="BM601" s="3">
        <f>+IF(AVANCE[[#This Row],[RED DE AGUA]]=V$2,100%,AVANCE[[#This Row],[RED DE AGUA]])</f>
        <v>0</v>
      </c>
      <c r="BN601" s="3">
        <f>+IF(AVANCE[[#This Row],[VENTILACIONES]]=W$2,100%,AVANCE[[#This Row],[VENTILACIONES]])</f>
        <v>0</v>
      </c>
      <c r="BO601" s="3">
        <f>+IF(AVANCE[[#This Row],[TINA]]=X$2,100%,AVANCE[[#This Row],[TINA]])</f>
        <v>0</v>
      </c>
      <c r="BP601" s="3">
        <f>+IF(AVANCE[[#This Row],[WC]]=Y$2,100%,AVANCE[[#This Row],[WC]])</f>
        <v>0</v>
      </c>
      <c r="BQ601" s="3">
        <f>+IF(AVANCE[[#This Row],[LAVAMANOS / LAVAPLATOS / LAVADERO]]=Z$2,100%,AVANCE[[#This Row],[LAVAMANOS / LAVAPLATOS / LAVADERO]])</f>
        <v>0</v>
      </c>
      <c r="BR601" s="3">
        <f>+IF(AVANCE[[#This Row],[CANALIZACIÓN]]=AC$2,100%,AVANCE[[#This Row],[CANALIZACIÓN]])</f>
        <v>0</v>
      </c>
      <c r="BS601" s="3">
        <f>+IF(AVANCE[[#This Row],[CABLEADO]]=AD$2,100%,AVANCE[[#This Row],[CABLEADO]])</f>
        <v>0</v>
      </c>
      <c r="BT601" s="3">
        <f>+IF(AVANCE[[#This Row],[ARTEFACTOS]]=AE$2,100%,AVANCE[[#This Row],[ARTEFACTOS]])</f>
        <v>0</v>
      </c>
      <c r="BU601" s="3">
        <f>+IF(AVANCE[[#This Row],[TABLERO]]=AF$2,100%,AVANCE[[#This Row],[TABLERO]])</f>
        <v>0</v>
      </c>
      <c r="BV601" s="3">
        <f>+IF(AVANCE[[#This Row],[CAJA PAU]]=AG$2,100%,AVANCE[[#This Row],[CAJA PAU]])</f>
        <v>0</v>
      </c>
      <c r="BW601" s="3">
        <f>+IF(AVANCE[[#This Row],[INSTALACION VINILICO]]=AJ$2,100%,AVANCE[[#This Row],[INSTALACION VINILICO]])</f>
        <v>0</v>
      </c>
      <c r="BX601" s="3">
        <f>+IF(AVANCE[[#This Row],[OSB CUBIERTA]]=AK$2,100%,AVANCE[[#This Row],[OSB CUBIERTA]])</f>
        <v>0</v>
      </c>
      <c r="BY601" s="3">
        <f>+IF(AVANCE[[#This Row],[BARANDA BALCON]]=AL$2,100%,AVANCE[[#This Row],[BARANDA BALCON]])</f>
        <v>0</v>
      </c>
      <c r="BZ601" s="3">
        <f>+IF(AVANCE[[#This Row],[OSB EXTERIOR]]=AM$2,100%,AVANCE[[#This Row],[OSB EXTERIOR]])</f>
        <v>0</v>
      </c>
      <c r="CA601" s="3">
        <f>+IF(AVANCE[[#This Row],[SMART PANEL]]=AN$2,100%,AVANCE[[#This Row],[SMART PANEL]])</f>
        <v>0</v>
      </c>
      <c r="CB601" s="3">
        <f>+IF(AVANCE[[#This Row],[PINTURA EXTERIOR]]=AO$2,100%,AVANCE[[#This Row],[PINTURA EXTERIOR]])</f>
        <v>0</v>
      </c>
      <c r="CC601" s="3">
        <f>+IF(AVANCE[[#This Row],[ZOCALOS LOGIA]]=AP$2,100%,AVANCE[[#This Row],[ZOCALOS LOGIA]])</f>
        <v>0</v>
      </c>
      <c r="CD601" s="3">
        <f>+IF(AVANCE[[#This Row],[MOLDURAS]]=AQ$2,100%,AVANCE[[#This Row],[MOLDURAS]])</f>
        <v>0</v>
      </c>
      <c r="CE601" s="3">
        <f>+IF(AVANCE[[#This Row],[PILASTREO]]=AR$2,100%,AVANCE[[#This Row],[PILASTREO]])</f>
        <v>0</v>
      </c>
      <c r="CF601" s="3">
        <f>+IF(AVANCE[[#This Row],[CELOSIAS]]=AS$2,100%,AVANCE[[#This Row],[CELOSIAS]])</f>
        <v>0</v>
      </c>
      <c r="CG601" s="3">
        <f>+IF(AVANCE[[#This Row],[VENTANAS]]=AT$2,100%,AVANCE[[#This Row],[VENTANAS]])</f>
        <v>0</v>
      </c>
      <c r="CH601" s="3">
        <f>+IF(AVANCE[[#This Row],[PUERTAS ACCESO - LOGIA - BANO]]=AU$2,100%,AVANCE[[#This Row],[PUERTAS ACCESO - LOGIA - BANO]])</f>
        <v>0</v>
      </c>
      <c r="CI601" s="3">
        <f>+IF(AVANCE[[#This Row],[CERRADURAS]]=AV$2,100%,AVANCE[[#This Row],[CERRADURAS]])</f>
        <v>0</v>
      </c>
      <c r="CJ601" s="3">
        <f>+IF(AVANCE[[#This Row],[REVESTIMIENTO INTERIOR ZONA SECA]]=AW$2,100%,AVANCE[[#This Row],[REVESTIMIENTO INTERIOR ZONA SECA]])</f>
        <v>0</v>
      </c>
      <c r="CK601" s="3">
        <f>+IF(AVANCE[[#This Row],[REVESTIMIENTO INTERIOR ZONAS HUMEDAS]]=AX$2,100%,AVANCE[[#This Row],[REVESTIMIENTO INTERIOR ZONAS HUMEDAS]])</f>
        <v>0</v>
      </c>
      <c r="CL601" s="3">
        <f>+IF(AVANCE[[#This Row],[MEMBRANA CIELO]]=AY$2,100%,AVANCE[[#This Row],[MEMBRANA CIELO]])</f>
        <v>0</v>
      </c>
      <c r="CM601" s="3">
        <f>+IF(AVANCE[[#This Row],[LIMPIEZA FINAL]]=AZ$2,100%,AVANCE[[#This Row],[LIMPIEZA FINAL]])</f>
        <v>0</v>
      </c>
      <c r="CN601" s="3">
        <f>+IF(AVANCE[[#This Row],[PUERTAS DORMITORIO]]=BA$2,100%,AVANCE[[#This Row],[PUERTAS DORMITORIO]])</f>
        <v>0</v>
      </c>
      <c r="CO601" s="3">
        <f>+IF(AVANCE[[#This Row],[REVESTIMIENTO INTERIOR BANO]]=BB$2,100%,AVANCE[[#This Row],[REVESTIMIENTO INTERIOR BANO]])</f>
        <v>0</v>
      </c>
      <c r="CP601" s="3">
        <f>+IF(AVANCE[[#This Row],[MUEBLE LAVAPLATOS]]=BC$2,100%,AVANCE[[#This Row],[MUEBLE LAVAPLATOS]])</f>
        <v>0</v>
      </c>
      <c r="CQ601" s="3">
        <f>+IF(AVANCE[[#This Row],[IMPERMEABILIZACION BANO - COCINA LOGIA]]=BD$2,100%,AVANCE[[#This Row],[IMPERMEABILIZACION BANO - COCINA LOGIA]])</f>
        <v>0</v>
      </c>
      <c r="CR601" s="40">
        <f ca="1">+IF(AVANCE[[#This Row],[ESTADO MODULO]]="PENDIENTE",(TODAY()-AVANCE[[#This Row],[FECHA TERMINO  PLANIFICADO]]),0)</f>
        <v>0</v>
      </c>
      <c r="CS601" s="42" t="str" cm="1">
        <f t="array" ref="CS601">_xlfn.TEXTJOIN(" | ",TRUE,IF(SUMPRODUCT((BF601:CQ601&lt;1)*(PARTIDAS!$I$2:$AT$2="OBRA GRUESA"))&gt;0,"OBRA GRUESA: "&amp;_xlfn.TEXTJOIN(", ",TRUE,IF((BF601:CQ601&lt;1)*(PARTIDAS!$I$2:$AT$2="OBRA GRUESA"),PARTIDAS!$I$1:$AT$1,"")),""),IF(SUMPRODUCT((BF601:CQ601&lt;1)*(PARTIDAS!$I$2:$AT$2="SANITARIOS"))&gt;0,"SANITARIOS: "&amp;_xlfn.TEXTJOIN(", ",TRUE,IF((BF601:CQ601&lt;1)*(PARTIDAS!$I$2:$AT$2="SANITARIOS"),PARTIDAS!$I$1:$AT$1,"")),""),IF(SUMPRODUCT((BF601:CQ601&lt;1)*(PARTIDAS!$I$2:$AT$2="ELÉCTRICO"))&gt;0,"ELÉCTRICO: "&amp;_xlfn.TEXTJOIN(", ",TRUE,IF((BF601:CQ601&lt;1)*(PARTIDAS!$I$2:$AT$2="ELÉCTRICO"),PARTIDAS!$I$1:$AT$1,"")),""),IF(SUMPRODUCT((BF601:CQ601&lt;1)*(PARTIDAS!$I$2:$AT$2="TERMINACIONES"))&gt;0,"TERMINACIONES: "&amp;_xlfn.TEXTJOIN(", ",TRUE,IF((BF601:CQ601&lt;1)*(PARTIDAS!$I$2:$AT$2="TERMINACIONES"),PARTIDAS!$I$1:$AT$1,"")),""))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1" s="45" t="str" cm="1">
        <f t="array" ref="CT601">_xlfn.TEXTJOIN(", ",TRUE,IF(SUMPRODUCT((BF601:CQ601&lt;1)*(PARTIDAS!$I$2:$AT$2="OBRA GRUESA"))&gt;0,"OBRA GRUESA",""),IF(SUMPRODUCT((BF601:CQ601&lt;1)*(PARTIDAS!$I$2:$AT$2="SANITARIOS"))&gt;0,"SANITARIOS",""),IF(SUMPRODUCT((BF601:CQ601&lt;1)*(PARTIDAS!$I$2:$AT$2="ELÉCTRICO"))&gt;0,"ELÉCTRICO",""),IF(SUMPRODUCT((BF601:CQ601&lt;1)*(PARTIDAS!$I$2:$AT$2="TERMINACIONES"))&gt;0,"TERMINACIONES",""))</f>
        <v>OBRA GRUESA, SANITARIOS, ELÉCTRICO, TERMINACIONES</v>
      </c>
      <c r="CU601" s="46" cm="1">
        <f t="array" ref="CU601">SUMPRODUCT(--(BF601:CQ601&lt;1))</f>
        <v>38</v>
      </c>
    </row>
    <row r="602" spans="1:99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46181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 s="3" t="str">
        <f>+IF(AVANCE[[#This Row],[% AVANCE]]=100%,"MODULO TERMINADO",IF(AVANCE[[#This Row],[FECHA INICIO REAL]]="","MODULO NO INICIADO","PENDIENTE"))</f>
        <v>MODULO NO INICIADO</v>
      </c>
      <c r="BF602" s="3">
        <f>+IF(AVANCE[[#This Row],[VENTANAS]]=8.10810810810811%,100%,AVANCE[[#This Row],[VENTANAS]])</f>
        <v>0</v>
      </c>
      <c r="BG602" s="3">
        <f>+IF(AVANCE[[#This Row],[PISO]]=N$2,100%,AVANCE[[#This Row],[PISO]])</f>
        <v>0</v>
      </c>
      <c r="BH602" s="3">
        <f>+IF(AVANCE[[#This Row],[TABIQUES]]=O$2,100%,AVANCE[[#This Row],[TABIQUES]])</f>
        <v>0</v>
      </c>
      <c r="BI602" s="3">
        <f>+IF(AVANCE[[#This Row],[MUROS]]=P$2,100%,AVANCE[[#This Row],[MUROS]])</f>
        <v>0</v>
      </c>
      <c r="BJ602" s="3">
        <f>+IF(AVANCE[[#This Row],[CIELO]]=Q$2,100%,AVANCE[[#This Row],[CIELO]])</f>
        <v>0</v>
      </c>
      <c r="BK602" s="3">
        <f>+IF(AVANCE[[#This Row],[BALCÓN]]=R$2,100%,AVANCE[[#This Row],[BALCÓN]])</f>
        <v>0</v>
      </c>
      <c r="BL602" s="3">
        <f>+IF(AVANCE[[#This Row],[RED ALCANTARILLADO]]=U$2,100%,AVANCE[[#This Row],[RED ALCANTARILLADO]])</f>
        <v>0</v>
      </c>
      <c r="BM602" s="3">
        <f>+IF(AVANCE[[#This Row],[RED DE AGUA]]=V$2,100%,AVANCE[[#This Row],[RED DE AGUA]])</f>
        <v>0</v>
      </c>
      <c r="BN602" s="3">
        <f>+IF(AVANCE[[#This Row],[VENTILACIONES]]=W$2,100%,AVANCE[[#This Row],[VENTILACIONES]])</f>
        <v>0</v>
      </c>
      <c r="BO602" s="3">
        <f>+IF(AVANCE[[#This Row],[TINA]]=X$2,100%,AVANCE[[#This Row],[TINA]])</f>
        <v>0</v>
      </c>
      <c r="BP602" s="3">
        <f>+IF(AVANCE[[#This Row],[WC]]=Y$2,100%,AVANCE[[#This Row],[WC]])</f>
        <v>0</v>
      </c>
      <c r="BQ602" s="3">
        <f>+IF(AVANCE[[#This Row],[LAVAMANOS / LAVAPLATOS / LAVADERO]]=Z$2,100%,AVANCE[[#This Row],[LAVAMANOS / LAVAPLATOS / LAVADERO]])</f>
        <v>0</v>
      </c>
      <c r="BR602" s="3">
        <f>+IF(AVANCE[[#This Row],[CANALIZACIÓN]]=AC$2,100%,AVANCE[[#This Row],[CANALIZACIÓN]])</f>
        <v>0</v>
      </c>
      <c r="BS602" s="3">
        <f>+IF(AVANCE[[#This Row],[CABLEADO]]=AD$2,100%,AVANCE[[#This Row],[CABLEADO]])</f>
        <v>0</v>
      </c>
      <c r="BT602" s="3">
        <f>+IF(AVANCE[[#This Row],[ARTEFACTOS]]=AE$2,100%,AVANCE[[#This Row],[ARTEFACTOS]])</f>
        <v>0</v>
      </c>
      <c r="BU602" s="3">
        <f>+IF(AVANCE[[#This Row],[TABLERO]]=AF$2,100%,AVANCE[[#This Row],[TABLERO]])</f>
        <v>0</v>
      </c>
      <c r="BV602" s="3">
        <f>+IF(AVANCE[[#This Row],[CAJA PAU]]=AG$2,100%,AVANCE[[#This Row],[CAJA PAU]])</f>
        <v>0</v>
      </c>
      <c r="BW602" s="3">
        <f>+IF(AVANCE[[#This Row],[INSTALACION VINILICO]]=AJ$2,100%,AVANCE[[#This Row],[INSTALACION VINILICO]])</f>
        <v>0</v>
      </c>
      <c r="BX602" s="3">
        <f>+IF(AVANCE[[#This Row],[OSB CUBIERTA]]=AK$2,100%,AVANCE[[#This Row],[OSB CUBIERTA]])</f>
        <v>0</v>
      </c>
      <c r="BY602" s="3">
        <f>+IF(AVANCE[[#This Row],[BARANDA BALCON]]=AL$2,100%,AVANCE[[#This Row],[BARANDA BALCON]])</f>
        <v>0</v>
      </c>
      <c r="BZ602" s="3">
        <f>+IF(AVANCE[[#This Row],[OSB EXTERIOR]]=AM$2,100%,AVANCE[[#This Row],[OSB EXTERIOR]])</f>
        <v>0</v>
      </c>
      <c r="CA602" s="3">
        <f>+IF(AVANCE[[#This Row],[SMART PANEL]]=AN$2,100%,AVANCE[[#This Row],[SMART PANEL]])</f>
        <v>0</v>
      </c>
      <c r="CB602" s="3">
        <f>+IF(AVANCE[[#This Row],[PINTURA EXTERIOR]]=AO$2,100%,AVANCE[[#This Row],[PINTURA EXTERIOR]])</f>
        <v>0</v>
      </c>
      <c r="CC602" s="3">
        <f>+IF(AVANCE[[#This Row],[ZOCALOS LOGIA]]=AP$2,100%,AVANCE[[#This Row],[ZOCALOS LOGIA]])</f>
        <v>0</v>
      </c>
      <c r="CD602" s="3">
        <f>+IF(AVANCE[[#This Row],[MOLDURAS]]=AQ$2,100%,AVANCE[[#This Row],[MOLDURAS]])</f>
        <v>0</v>
      </c>
      <c r="CE602" s="3">
        <f>+IF(AVANCE[[#This Row],[PILASTREO]]=AR$2,100%,AVANCE[[#This Row],[PILASTREO]])</f>
        <v>0</v>
      </c>
      <c r="CF602" s="3">
        <f>+IF(AVANCE[[#This Row],[CELOSIAS]]=AS$2,100%,AVANCE[[#This Row],[CELOSIAS]])</f>
        <v>0</v>
      </c>
      <c r="CG602" s="3">
        <f>+IF(AVANCE[[#This Row],[VENTANAS]]=AT$2,100%,AVANCE[[#This Row],[VENTANAS]])</f>
        <v>0</v>
      </c>
      <c r="CH602" s="3">
        <f>+IF(AVANCE[[#This Row],[PUERTAS ACCESO - LOGIA - BANO]]=AU$2,100%,AVANCE[[#This Row],[PUERTAS ACCESO - LOGIA - BANO]])</f>
        <v>0</v>
      </c>
      <c r="CI602" s="3">
        <f>+IF(AVANCE[[#This Row],[CERRADURAS]]=AV$2,100%,AVANCE[[#This Row],[CERRADURAS]])</f>
        <v>0</v>
      </c>
      <c r="CJ602" s="3">
        <f>+IF(AVANCE[[#This Row],[REVESTIMIENTO INTERIOR ZONA SECA]]=AW$2,100%,AVANCE[[#This Row],[REVESTIMIENTO INTERIOR ZONA SECA]])</f>
        <v>0</v>
      </c>
      <c r="CK602" s="3">
        <f>+IF(AVANCE[[#This Row],[REVESTIMIENTO INTERIOR ZONAS HUMEDAS]]=AX$2,100%,AVANCE[[#This Row],[REVESTIMIENTO INTERIOR ZONAS HUMEDAS]])</f>
        <v>0</v>
      </c>
      <c r="CL602" s="3">
        <f>+IF(AVANCE[[#This Row],[MEMBRANA CIELO]]=AY$2,100%,AVANCE[[#This Row],[MEMBRANA CIELO]])</f>
        <v>0</v>
      </c>
      <c r="CM602" s="3">
        <f>+IF(AVANCE[[#This Row],[LIMPIEZA FINAL]]=AZ$2,100%,AVANCE[[#This Row],[LIMPIEZA FINAL]])</f>
        <v>0</v>
      </c>
      <c r="CN602" s="3">
        <f>+IF(AVANCE[[#This Row],[PUERTAS DORMITORIO]]=BA$2,100%,AVANCE[[#This Row],[PUERTAS DORMITORIO]])</f>
        <v>0</v>
      </c>
      <c r="CO602" s="3">
        <f>+IF(AVANCE[[#This Row],[REVESTIMIENTO INTERIOR BANO]]=BB$2,100%,AVANCE[[#This Row],[REVESTIMIENTO INTERIOR BANO]])</f>
        <v>0</v>
      </c>
      <c r="CP602" s="3">
        <f>+IF(AVANCE[[#This Row],[MUEBLE LAVAPLATOS]]=BC$2,100%,AVANCE[[#This Row],[MUEBLE LAVAPLATOS]])</f>
        <v>0</v>
      </c>
      <c r="CQ602" s="3">
        <f>+IF(AVANCE[[#This Row],[IMPERMEABILIZACION BANO - COCINA LOGIA]]=BD$2,100%,AVANCE[[#This Row],[IMPERMEABILIZACION BANO - COCINA LOGIA]])</f>
        <v>0</v>
      </c>
      <c r="CR602" s="40">
        <f ca="1">+IF(AVANCE[[#This Row],[ESTADO MODULO]]="PENDIENTE",(TODAY()-AVANCE[[#This Row],[FECHA TERMINO  PLANIFICADO]]),0)</f>
        <v>0</v>
      </c>
      <c r="CS602" s="42" t="str" cm="1">
        <f t="array" ref="CS602">_xlfn.TEXTJOIN(" | ",TRUE,IF(SUMPRODUCT((BF602:CQ602&lt;1)*(PARTIDAS!$I$2:$AT$2="OBRA GRUESA"))&gt;0,"OBRA GRUESA: "&amp;_xlfn.TEXTJOIN(", ",TRUE,IF((BF602:CQ602&lt;1)*(PARTIDAS!$I$2:$AT$2="OBRA GRUESA"),PARTIDAS!$I$1:$AT$1,"")),""),IF(SUMPRODUCT((BF602:CQ602&lt;1)*(PARTIDAS!$I$2:$AT$2="SANITARIOS"))&gt;0,"SANITARIOS: "&amp;_xlfn.TEXTJOIN(", ",TRUE,IF((BF602:CQ602&lt;1)*(PARTIDAS!$I$2:$AT$2="SANITARIOS"),PARTIDAS!$I$1:$AT$1,"")),""),IF(SUMPRODUCT((BF602:CQ602&lt;1)*(PARTIDAS!$I$2:$AT$2="ELÉCTRICO"))&gt;0,"ELÉCTRICO: "&amp;_xlfn.TEXTJOIN(", ",TRUE,IF((BF602:CQ602&lt;1)*(PARTIDAS!$I$2:$AT$2="ELÉCTRICO"),PARTIDAS!$I$1:$AT$1,"")),""),IF(SUMPRODUCT((BF602:CQ602&lt;1)*(PARTIDAS!$I$2:$AT$2="TERMINACIONES"))&gt;0,"TERMINACIONES: "&amp;_xlfn.TEXTJOIN(", ",TRUE,IF((BF602:CQ602&lt;1)*(PARTIDAS!$I$2:$AT$2="TERMINACIONES"),PARTIDAS!$I$1:$AT$1,"")),""))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2" s="45" t="str" cm="1">
        <f t="array" ref="CT602">_xlfn.TEXTJOIN(", ",TRUE,IF(SUMPRODUCT((BF602:CQ602&lt;1)*(PARTIDAS!$I$2:$AT$2="OBRA GRUESA"))&gt;0,"OBRA GRUESA",""),IF(SUMPRODUCT((BF602:CQ602&lt;1)*(PARTIDAS!$I$2:$AT$2="SANITARIOS"))&gt;0,"SANITARIOS",""),IF(SUMPRODUCT((BF602:CQ602&lt;1)*(PARTIDAS!$I$2:$AT$2="ELÉCTRICO"))&gt;0,"ELÉCTRICO",""),IF(SUMPRODUCT((BF602:CQ602&lt;1)*(PARTIDAS!$I$2:$AT$2="TERMINACIONES"))&gt;0,"TERMINACIONES",""))</f>
        <v>OBRA GRUESA, SANITARIOS, ELÉCTRICO, TERMINACIONES</v>
      </c>
      <c r="CU602" s="46" cm="1">
        <f t="array" ref="CU602">SUMPRODUCT(--(BF602:CQ602&lt;1))</f>
        <v>38</v>
      </c>
    </row>
    <row r="603" spans="1:99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46181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 s="3" t="str">
        <f>+IF(AVANCE[[#This Row],[% AVANCE]]=100%,"MODULO TERMINADO",IF(AVANCE[[#This Row],[FECHA INICIO REAL]]="","MODULO NO INICIADO","PENDIENTE"))</f>
        <v>MODULO NO INICIADO</v>
      </c>
      <c r="BF603" s="3">
        <f>+IF(AVANCE[[#This Row],[VENTANAS]]=8.10810810810811%,100%,AVANCE[[#This Row],[VENTANAS]])</f>
        <v>0</v>
      </c>
      <c r="BG603" s="3">
        <f>+IF(AVANCE[[#This Row],[PISO]]=N$2,100%,AVANCE[[#This Row],[PISO]])</f>
        <v>0</v>
      </c>
      <c r="BH603" s="3">
        <f>+IF(AVANCE[[#This Row],[TABIQUES]]=O$2,100%,AVANCE[[#This Row],[TABIQUES]])</f>
        <v>0</v>
      </c>
      <c r="BI603" s="3">
        <f>+IF(AVANCE[[#This Row],[MUROS]]=P$2,100%,AVANCE[[#This Row],[MUROS]])</f>
        <v>0</v>
      </c>
      <c r="BJ603" s="3">
        <f>+IF(AVANCE[[#This Row],[CIELO]]=Q$2,100%,AVANCE[[#This Row],[CIELO]])</f>
        <v>0</v>
      </c>
      <c r="BK603" s="3">
        <f>+IF(AVANCE[[#This Row],[BALCÓN]]=R$2,100%,AVANCE[[#This Row],[BALCÓN]])</f>
        <v>0</v>
      </c>
      <c r="BL603" s="3">
        <f>+IF(AVANCE[[#This Row],[RED ALCANTARILLADO]]=U$2,100%,AVANCE[[#This Row],[RED ALCANTARILLADO]])</f>
        <v>0</v>
      </c>
      <c r="BM603" s="3">
        <f>+IF(AVANCE[[#This Row],[RED DE AGUA]]=V$2,100%,AVANCE[[#This Row],[RED DE AGUA]])</f>
        <v>0</v>
      </c>
      <c r="BN603" s="3">
        <f>+IF(AVANCE[[#This Row],[VENTILACIONES]]=W$2,100%,AVANCE[[#This Row],[VENTILACIONES]])</f>
        <v>0</v>
      </c>
      <c r="BO603" s="3">
        <f>+IF(AVANCE[[#This Row],[TINA]]=X$2,100%,AVANCE[[#This Row],[TINA]])</f>
        <v>0</v>
      </c>
      <c r="BP603" s="3">
        <f>+IF(AVANCE[[#This Row],[WC]]=Y$2,100%,AVANCE[[#This Row],[WC]])</f>
        <v>0</v>
      </c>
      <c r="BQ603" s="3">
        <f>+IF(AVANCE[[#This Row],[LAVAMANOS / LAVAPLATOS / LAVADERO]]=Z$2,100%,AVANCE[[#This Row],[LAVAMANOS / LAVAPLATOS / LAVADERO]])</f>
        <v>0</v>
      </c>
      <c r="BR603" s="3">
        <f>+IF(AVANCE[[#This Row],[CANALIZACIÓN]]=AC$2,100%,AVANCE[[#This Row],[CANALIZACIÓN]])</f>
        <v>0</v>
      </c>
      <c r="BS603" s="3">
        <f>+IF(AVANCE[[#This Row],[CABLEADO]]=AD$2,100%,AVANCE[[#This Row],[CABLEADO]])</f>
        <v>0</v>
      </c>
      <c r="BT603" s="3">
        <f>+IF(AVANCE[[#This Row],[ARTEFACTOS]]=AE$2,100%,AVANCE[[#This Row],[ARTEFACTOS]])</f>
        <v>0</v>
      </c>
      <c r="BU603" s="3">
        <f>+IF(AVANCE[[#This Row],[TABLERO]]=AF$2,100%,AVANCE[[#This Row],[TABLERO]])</f>
        <v>0</v>
      </c>
      <c r="BV603" s="3">
        <f>+IF(AVANCE[[#This Row],[CAJA PAU]]=AG$2,100%,AVANCE[[#This Row],[CAJA PAU]])</f>
        <v>0</v>
      </c>
      <c r="BW603" s="3">
        <f>+IF(AVANCE[[#This Row],[INSTALACION VINILICO]]=AJ$2,100%,AVANCE[[#This Row],[INSTALACION VINILICO]])</f>
        <v>0</v>
      </c>
      <c r="BX603" s="3">
        <f>+IF(AVANCE[[#This Row],[OSB CUBIERTA]]=AK$2,100%,AVANCE[[#This Row],[OSB CUBIERTA]])</f>
        <v>0</v>
      </c>
      <c r="BY603" s="3">
        <f>+IF(AVANCE[[#This Row],[BARANDA BALCON]]=AL$2,100%,AVANCE[[#This Row],[BARANDA BALCON]])</f>
        <v>0</v>
      </c>
      <c r="BZ603" s="3">
        <f>+IF(AVANCE[[#This Row],[OSB EXTERIOR]]=AM$2,100%,AVANCE[[#This Row],[OSB EXTERIOR]])</f>
        <v>0</v>
      </c>
      <c r="CA603" s="3">
        <f>+IF(AVANCE[[#This Row],[SMART PANEL]]=AN$2,100%,AVANCE[[#This Row],[SMART PANEL]])</f>
        <v>0</v>
      </c>
      <c r="CB603" s="3">
        <f>+IF(AVANCE[[#This Row],[PINTURA EXTERIOR]]=AO$2,100%,AVANCE[[#This Row],[PINTURA EXTERIOR]])</f>
        <v>0</v>
      </c>
      <c r="CC603" s="3">
        <f>+IF(AVANCE[[#This Row],[ZOCALOS LOGIA]]=AP$2,100%,AVANCE[[#This Row],[ZOCALOS LOGIA]])</f>
        <v>0</v>
      </c>
      <c r="CD603" s="3">
        <f>+IF(AVANCE[[#This Row],[MOLDURAS]]=AQ$2,100%,AVANCE[[#This Row],[MOLDURAS]])</f>
        <v>0</v>
      </c>
      <c r="CE603" s="3">
        <f>+IF(AVANCE[[#This Row],[PILASTREO]]=AR$2,100%,AVANCE[[#This Row],[PILASTREO]])</f>
        <v>0</v>
      </c>
      <c r="CF603" s="3">
        <f>+IF(AVANCE[[#This Row],[CELOSIAS]]=AS$2,100%,AVANCE[[#This Row],[CELOSIAS]])</f>
        <v>0</v>
      </c>
      <c r="CG603" s="3">
        <f>+IF(AVANCE[[#This Row],[VENTANAS]]=AT$2,100%,AVANCE[[#This Row],[VENTANAS]])</f>
        <v>0</v>
      </c>
      <c r="CH603" s="3">
        <f>+IF(AVANCE[[#This Row],[PUERTAS ACCESO - LOGIA - BANO]]=AU$2,100%,AVANCE[[#This Row],[PUERTAS ACCESO - LOGIA - BANO]])</f>
        <v>0</v>
      </c>
      <c r="CI603" s="3">
        <f>+IF(AVANCE[[#This Row],[CERRADURAS]]=AV$2,100%,AVANCE[[#This Row],[CERRADURAS]])</f>
        <v>0</v>
      </c>
      <c r="CJ603" s="3">
        <f>+IF(AVANCE[[#This Row],[REVESTIMIENTO INTERIOR ZONA SECA]]=AW$2,100%,AVANCE[[#This Row],[REVESTIMIENTO INTERIOR ZONA SECA]])</f>
        <v>0</v>
      </c>
      <c r="CK603" s="3">
        <f>+IF(AVANCE[[#This Row],[REVESTIMIENTO INTERIOR ZONAS HUMEDAS]]=AX$2,100%,AVANCE[[#This Row],[REVESTIMIENTO INTERIOR ZONAS HUMEDAS]])</f>
        <v>0</v>
      </c>
      <c r="CL603" s="3">
        <f>+IF(AVANCE[[#This Row],[MEMBRANA CIELO]]=AY$2,100%,AVANCE[[#This Row],[MEMBRANA CIELO]])</f>
        <v>0</v>
      </c>
      <c r="CM603" s="3">
        <f>+IF(AVANCE[[#This Row],[LIMPIEZA FINAL]]=AZ$2,100%,AVANCE[[#This Row],[LIMPIEZA FINAL]])</f>
        <v>0</v>
      </c>
      <c r="CN603" s="3">
        <f>+IF(AVANCE[[#This Row],[PUERTAS DORMITORIO]]=BA$2,100%,AVANCE[[#This Row],[PUERTAS DORMITORIO]])</f>
        <v>0</v>
      </c>
      <c r="CO603" s="3">
        <f>+IF(AVANCE[[#This Row],[REVESTIMIENTO INTERIOR BANO]]=BB$2,100%,AVANCE[[#This Row],[REVESTIMIENTO INTERIOR BANO]])</f>
        <v>0</v>
      </c>
      <c r="CP603" s="3">
        <f>+IF(AVANCE[[#This Row],[MUEBLE LAVAPLATOS]]=BC$2,100%,AVANCE[[#This Row],[MUEBLE LAVAPLATOS]])</f>
        <v>0</v>
      </c>
      <c r="CQ603" s="3">
        <f>+IF(AVANCE[[#This Row],[IMPERMEABILIZACION BANO - COCINA LOGIA]]=BD$2,100%,AVANCE[[#This Row],[IMPERMEABILIZACION BANO - COCINA LOGIA]])</f>
        <v>0</v>
      </c>
      <c r="CR603" s="40">
        <f ca="1">+IF(AVANCE[[#This Row],[ESTADO MODULO]]="PENDIENTE",(TODAY()-AVANCE[[#This Row],[FECHA TERMINO  PLANIFICADO]]),0)</f>
        <v>0</v>
      </c>
      <c r="CS603" s="42" t="str" cm="1">
        <f t="array" ref="CS603">_xlfn.TEXTJOIN(" | ",TRUE,IF(SUMPRODUCT((BF603:CQ603&lt;1)*(PARTIDAS!$I$2:$AT$2="OBRA GRUESA"))&gt;0,"OBRA GRUESA: "&amp;_xlfn.TEXTJOIN(", ",TRUE,IF((BF603:CQ603&lt;1)*(PARTIDAS!$I$2:$AT$2="OBRA GRUESA"),PARTIDAS!$I$1:$AT$1,"")),""),IF(SUMPRODUCT((BF603:CQ603&lt;1)*(PARTIDAS!$I$2:$AT$2="SANITARIOS"))&gt;0,"SANITARIOS: "&amp;_xlfn.TEXTJOIN(", ",TRUE,IF((BF603:CQ603&lt;1)*(PARTIDAS!$I$2:$AT$2="SANITARIOS"),PARTIDAS!$I$1:$AT$1,"")),""),IF(SUMPRODUCT((BF603:CQ603&lt;1)*(PARTIDAS!$I$2:$AT$2="ELÉCTRICO"))&gt;0,"ELÉCTRICO: "&amp;_xlfn.TEXTJOIN(", ",TRUE,IF((BF603:CQ603&lt;1)*(PARTIDAS!$I$2:$AT$2="ELÉCTRICO"),PARTIDAS!$I$1:$AT$1,"")),""),IF(SUMPRODUCT((BF603:CQ603&lt;1)*(PARTIDAS!$I$2:$AT$2="TERMINACIONES"))&gt;0,"TERMINACIONES: "&amp;_xlfn.TEXTJOIN(", ",TRUE,IF((BF603:CQ603&lt;1)*(PARTIDAS!$I$2:$AT$2="TERMINACIONES"),PARTIDAS!$I$1:$AT$1,"")),""))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3" s="45" t="str" cm="1">
        <f t="array" ref="CT603">_xlfn.TEXTJOIN(", ",TRUE,IF(SUMPRODUCT((BF603:CQ603&lt;1)*(PARTIDAS!$I$2:$AT$2="OBRA GRUESA"))&gt;0,"OBRA GRUESA",""),IF(SUMPRODUCT((BF603:CQ603&lt;1)*(PARTIDAS!$I$2:$AT$2="SANITARIOS"))&gt;0,"SANITARIOS",""),IF(SUMPRODUCT((BF603:CQ603&lt;1)*(PARTIDAS!$I$2:$AT$2="ELÉCTRICO"))&gt;0,"ELÉCTRICO",""),IF(SUMPRODUCT((BF603:CQ603&lt;1)*(PARTIDAS!$I$2:$AT$2="TERMINACIONES"))&gt;0,"TERMINACIONES",""))</f>
        <v>OBRA GRUESA, SANITARIOS, ELÉCTRICO, TERMINACIONES</v>
      </c>
      <c r="CU603" s="46" cm="1">
        <f t="array" ref="CU603">SUMPRODUCT(--(BF603:CQ603&lt;1))</f>
        <v>38</v>
      </c>
    </row>
    <row r="604" spans="1:99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46181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 s="3" t="str">
        <f>+IF(AVANCE[[#This Row],[% AVANCE]]=100%,"MODULO TERMINADO",IF(AVANCE[[#This Row],[FECHA INICIO REAL]]="","MODULO NO INICIADO","PENDIENTE"))</f>
        <v>MODULO NO INICIADO</v>
      </c>
      <c r="BF604" s="3">
        <f>+IF(AVANCE[[#This Row],[VENTANAS]]=8.10810810810811%,100%,AVANCE[[#This Row],[VENTANAS]])</f>
        <v>0</v>
      </c>
      <c r="BG604" s="3">
        <f>+IF(AVANCE[[#This Row],[PISO]]=N$2,100%,AVANCE[[#This Row],[PISO]])</f>
        <v>0</v>
      </c>
      <c r="BH604" s="3">
        <f>+IF(AVANCE[[#This Row],[TABIQUES]]=O$2,100%,AVANCE[[#This Row],[TABIQUES]])</f>
        <v>0</v>
      </c>
      <c r="BI604" s="3">
        <f>+IF(AVANCE[[#This Row],[MUROS]]=P$2,100%,AVANCE[[#This Row],[MUROS]])</f>
        <v>0</v>
      </c>
      <c r="BJ604" s="3">
        <f>+IF(AVANCE[[#This Row],[CIELO]]=Q$2,100%,AVANCE[[#This Row],[CIELO]])</f>
        <v>0</v>
      </c>
      <c r="BK604" s="3">
        <f>+IF(AVANCE[[#This Row],[BALCÓN]]=R$2,100%,AVANCE[[#This Row],[BALCÓN]])</f>
        <v>0</v>
      </c>
      <c r="BL604" s="3">
        <f>+IF(AVANCE[[#This Row],[RED ALCANTARILLADO]]=U$2,100%,AVANCE[[#This Row],[RED ALCANTARILLADO]])</f>
        <v>0</v>
      </c>
      <c r="BM604" s="3">
        <f>+IF(AVANCE[[#This Row],[RED DE AGUA]]=V$2,100%,AVANCE[[#This Row],[RED DE AGUA]])</f>
        <v>0</v>
      </c>
      <c r="BN604" s="3">
        <f>+IF(AVANCE[[#This Row],[VENTILACIONES]]=W$2,100%,AVANCE[[#This Row],[VENTILACIONES]])</f>
        <v>0</v>
      </c>
      <c r="BO604" s="3">
        <f>+IF(AVANCE[[#This Row],[TINA]]=X$2,100%,AVANCE[[#This Row],[TINA]])</f>
        <v>0</v>
      </c>
      <c r="BP604" s="3">
        <f>+IF(AVANCE[[#This Row],[WC]]=Y$2,100%,AVANCE[[#This Row],[WC]])</f>
        <v>0</v>
      </c>
      <c r="BQ604" s="3">
        <f>+IF(AVANCE[[#This Row],[LAVAMANOS / LAVAPLATOS / LAVADERO]]=Z$2,100%,AVANCE[[#This Row],[LAVAMANOS / LAVAPLATOS / LAVADERO]])</f>
        <v>0</v>
      </c>
      <c r="BR604" s="3">
        <f>+IF(AVANCE[[#This Row],[CANALIZACIÓN]]=AC$2,100%,AVANCE[[#This Row],[CANALIZACIÓN]])</f>
        <v>0</v>
      </c>
      <c r="BS604" s="3">
        <f>+IF(AVANCE[[#This Row],[CABLEADO]]=AD$2,100%,AVANCE[[#This Row],[CABLEADO]])</f>
        <v>0</v>
      </c>
      <c r="BT604" s="3">
        <f>+IF(AVANCE[[#This Row],[ARTEFACTOS]]=AE$2,100%,AVANCE[[#This Row],[ARTEFACTOS]])</f>
        <v>0</v>
      </c>
      <c r="BU604" s="3">
        <f>+IF(AVANCE[[#This Row],[TABLERO]]=AF$2,100%,AVANCE[[#This Row],[TABLERO]])</f>
        <v>0</v>
      </c>
      <c r="BV604" s="3">
        <f>+IF(AVANCE[[#This Row],[CAJA PAU]]=AG$2,100%,AVANCE[[#This Row],[CAJA PAU]])</f>
        <v>0</v>
      </c>
      <c r="BW604" s="3">
        <f>+IF(AVANCE[[#This Row],[INSTALACION VINILICO]]=AJ$2,100%,AVANCE[[#This Row],[INSTALACION VINILICO]])</f>
        <v>0</v>
      </c>
      <c r="BX604" s="3">
        <f>+IF(AVANCE[[#This Row],[OSB CUBIERTA]]=AK$2,100%,AVANCE[[#This Row],[OSB CUBIERTA]])</f>
        <v>0</v>
      </c>
      <c r="BY604" s="3">
        <f>+IF(AVANCE[[#This Row],[BARANDA BALCON]]=AL$2,100%,AVANCE[[#This Row],[BARANDA BALCON]])</f>
        <v>0</v>
      </c>
      <c r="BZ604" s="3">
        <f>+IF(AVANCE[[#This Row],[OSB EXTERIOR]]=AM$2,100%,AVANCE[[#This Row],[OSB EXTERIOR]])</f>
        <v>0</v>
      </c>
      <c r="CA604" s="3">
        <f>+IF(AVANCE[[#This Row],[SMART PANEL]]=AN$2,100%,AVANCE[[#This Row],[SMART PANEL]])</f>
        <v>0</v>
      </c>
      <c r="CB604" s="3">
        <f>+IF(AVANCE[[#This Row],[PINTURA EXTERIOR]]=AO$2,100%,AVANCE[[#This Row],[PINTURA EXTERIOR]])</f>
        <v>0</v>
      </c>
      <c r="CC604" s="3">
        <f>+IF(AVANCE[[#This Row],[ZOCALOS LOGIA]]=AP$2,100%,AVANCE[[#This Row],[ZOCALOS LOGIA]])</f>
        <v>0</v>
      </c>
      <c r="CD604" s="3">
        <f>+IF(AVANCE[[#This Row],[MOLDURAS]]=AQ$2,100%,AVANCE[[#This Row],[MOLDURAS]])</f>
        <v>0</v>
      </c>
      <c r="CE604" s="3">
        <f>+IF(AVANCE[[#This Row],[PILASTREO]]=AR$2,100%,AVANCE[[#This Row],[PILASTREO]])</f>
        <v>0</v>
      </c>
      <c r="CF604" s="3">
        <f>+IF(AVANCE[[#This Row],[CELOSIAS]]=AS$2,100%,AVANCE[[#This Row],[CELOSIAS]])</f>
        <v>0</v>
      </c>
      <c r="CG604" s="3">
        <f>+IF(AVANCE[[#This Row],[VENTANAS]]=AT$2,100%,AVANCE[[#This Row],[VENTANAS]])</f>
        <v>0</v>
      </c>
      <c r="CH604" s="3">
        <f>+IF(AVANCE[[#This Row],[PUERTAS ACCESO - LOGIA - BANO]]=AU$2,100%,AVANCE[[#This Row],[PUERTAS ACCESO - LOGIA - BANO]])</f>
        <v>0</v>
      </c>
      <c r="CI604" s="3">
        <f>+IF(AVANCE[[#This Row],[CERRADURAS]]=AV$2,100%,AVANCE[[#This Row],[CERRADURAS]])</f>
        <v>0</v>
      </c>
      <c r="CJ604" s="3">
        <f>+IF(AVANCE[[#This Row],[REVESTIMIENTO INTERIOR ZONA SECA]]=AW$2,100%,AVANCE[[#This Row],[REVESTIMIENTO INTERIOR ZONA SECA]])</f>
        <v>0</v>
      </c>
      <c r="CK604" s="3">
        <f>+IF(AVANCE[[#This Row],[REVESTIMIENTO INTERIOR ZONAS HUMEDAS]]=AX$2,100%,AVANCE[[#This Row],[REVESTIMIENTO INTERIOR ZONAS HUMEDAS]])</f>
        <v>0</v>
      </c>
      <c r="CL604" s="3">
        <f>+IF(AVANCE[[#This Row],[MEMBRANA CIELO]]=AY$2,100%,AVANCE[[#This Row],[MEMBRANA CIELO]])</f>
        <v>0</v>
      </c>
      <c r="CM604" s="3">
        <f>+IF(AVANCE[[#This Row],[LIMPIEZA FINAL]]=AZ$2,100%,AVANCE[[#This Row],[LIMPIEZA FINAL]])</f>
        <v>0</v>
      </c>
      <c r="CN604" s="3">
        <f>+IF(AVANCE[[#This Row],[PUERTAS DORMITORIO]]=BA$2,100%,AVANCE[[#This Row],[PUERTAS DORMITORIO]])</f>
        <v>0</v>
      </c>
      <c r="CO604" s="3">
        <f>+IF(AVANCE[[#This Row],[REVESTIMIENTO INTERIOR BANO]]=BB$2,100%,AVANCE[[#This Row],[REVESTIMIENTO INTERIOR BANO]])</f>
        <v>0</v>
      </c>
      <c r="CP604" s="3">
        <f>+IF(AVANCE[[#This Row],[MUEBLE LAVAPLATOS]]=BC$2,100%,AVANCE[[#This Row],[MUEBLE LAVAPLATOS]])</f>
        <v>0</v>
      </c>
      <c r="CQ604" s="3">
        <f>+IF(AVANCE[[#This Row],[IMPERMEABILIZACION BANO - COCINA LOGIA]]=BD$2,100%,AVANCE[[#This Row],[IMPERMEABILIZACION BANO - COCINA LOGIA]])</f>
        <v>0</v>
      </c>
      <c r="CR604" s="40">
        <f ca="1">+IF(AVANCE[[#This Row],[ESTADO MODULO]]="PENDIENTE",(TODAY()-AVANCE[[#This Row],[FECHA TERMINO  PLANIFICADO]]),0)</f>
        <v>0</v>
      </c>
      <c r="CS604" s="42" t="str" cm="1">
        <f t="array" ref="CS604">_xlfn.TEXTJOIN(" | ",TRUE,IF(SUMPRODUCT((BF604:CQ604&lt;1)*(PARTIDAS!$I$2:$AT$2="OBRA GRUESA"))&gt;0,"OBRA GRUESA: "&amp;_xlfn.TEXTJOIN(", ",TRUE,IF((BF604:CQ604&lt;1)*(PARTIDAS!$I$2:$AT$2="OBRA GRUESA"),PARTIDAS!$I$1:$AT$1,"")),""),IF(SUMPRODUCT((BF604:CQ604&lt;1)*(PARTIDAS!$I$2:$AT$2="SANITARIOS"))&gt;0,"SANITARIOS: "&amp;_xlfn.TEXTJOIN(", ",TRUE,IF((BF604:CQ604&lt;1)*(PARTIDAS!$I$2:$AT$2="SANITARIOS"),PARTIDAS!$I$1:$AT$1,"")),""),IF(SUMPRODUCT((BF604:CQ604&lt;1)*(PARTIDAS!$I$2:$AT$2="ELÉCTRICO"))&gt;0,"ELÉCTRICO: "&amp;_xlfn.TEXTJOIN(", ",TRUE,IF((BF604:CQ604&lt;1)*(PARTIDAS!$I$2:$AT$2="ELÉCTRICO"),PARTIDAS!$I$1:$AT$1,"")),""),IF(SUMPRODUCT((BF604:CQ604&lt;1)*(PARTIDAS!$I$2:$AT$2="TERMINACIONES"))&gt;0,"TERMINACIONES: "&amp;_xlfn.TEXTJOIN(", ",TRUE,IF((BF604:CQ604&lt;1)*(PARTIDAS!$I$2:$AT$2="TERMINACIONES"),PARTIDAS!$I$1:$AT$1,"")),""))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4" s="45" t="str" cm="1">
        <f t="array" ref="CT604">_xlfn.TEXTJOIN(", ",TRUE,IF(SUMPRODUCT((BF604:CQ604&lt;1)*(PARTIDAS!$I$2:$AT$2="OBRA GRUESA"))&gt;0,"OBRA GRUESA",""),IF(SUMPRODUCT((BF604:CQ604&lt;1)*(PARTIDAS!$I$2:$AT$2="SANITARIOS"))&gt;0,"SANITARIOS",""),IF(SUMPRODUCT((BF604:CQ604&lt;1)*(PARTIDAS!$I$2:$AT$2="ELÉCTRICO"))&gt;0,"ELÉCTRICO",""),IF(SUMPRODUCT((BF604:CQ604&lt;1)*(PARTIDAS!$I$2:$AT$2="TERMINACIONES"))&gt;0,"TERMINACIONES",""))</f>
        <v>OBRA GRUESA, SANITARIOS, ELÉCTRICO, TERMINACIONES</v>
      </c>
      <c r="CU604" s="46" cm="1">
        <f t="array" ref="CU604">SUMPRODUCT(--(BF604:CQ604&lt;1))</f>
        <v>38</v>
      </c>
    </row>
    <row r="605" spans="1:99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46181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 s="3" t="str">
        <f>+IF(AVANCE[[#This Row],[% AVANCE]]=100%,"MODULO TERMINADO",IF(AVANCE[[#This Row],[FECHA INICIO REAL]]="","MODULO NO INICIADO","PENDIENTE"))</f>
        <v>MODULO NO INICIADO</v>
      </c>
      <c r="BF605" s="3">
        <f>+IF(AVANCE[[#This Row],[VENTANAS]]=8.10810810810811%,100%,AVANCE[[#This Row],[VENTANAS]])</f>
        <v>0</v>
      </c>
      <c r="BG605" s="3">
        <f>+IF(AVANCE[[#This Row],[PISO]]=N$2,100%,AVANCE[[#This Row],[PISO]])</f>
        <v>0</v>
      </c>
      <c r="BH605" s="3">
        <f>+IF(AVANCE[[#This Row],[TABIQUES]]=O$2,100%,AVANCE[[#This Row],[TABIQUES]])</f>
        <v>0</v>
      </c>
      <c r="BI605" s="3">
        <f>+IF(AVANCE[[#This Row],[MUROS]]=P$2,100%,AVANCE[[#This Row],[MUROS]])</f>
        <v>0</v>
      </c>
      <c r="BJ605" s="3">
        <f>+IF(AVANCE[[#This Row],[CIELO]]=Q$2,100%,AVANCE[[#This Row],[CIELO]])</f>
        <v>0</v>
      </c>
      <c r="BK605" s="3">
        <f>+IF(AVANCE[[#This Row],[BALCÓN]]=R$2,100%,AVANCE[[#This Row],[BALCÓN]])</f>
        <v>0</v>
      </c>
      <c r="BL605" s="3">
        <f>+IF(AVANCE[[#This Row],[RED ALCANTARILLADO]]=U$2,100%,AVANCE[[#This Row],[RED ALCANTARILLADO]])</f>
        <v>0</v>
      </c>
      <c r="BM605" s="3">
        <f>+IF(AVANCE[[#This Row],[RED DE AGUA]]=V$2,100%,AVANCE[[#This Row],[RED DE AGUA]])</f>
        <v>0</v>
      </c>
      <c r="BN605" s="3">
        <f>+IF(AVANCE[[#This Row],[VENTILACIONES]]=W$2,100%,AVANCE[[#This Row],[VENTILACIONES]])</f>
        <v>0</v>
      </c>
      <c r="BO605" s="3">
        <f>+IF(AVANCE[[#This Row],[TINA]]=X$2,100%,AVANCE[[#This Row],[TINA]])</f>
        <v>0</v>
      </c>
      <c r="BP605" s="3">
        <f>+IF(AVANCE[[#This Row],[WC]]=Y$2,100%,AVANCE[[#This Row],[WC]])</f>
        <v>0</v>
      </c>
      <c r="BQ605" s="3">
        <f>+IF(AVANCE[[#This Row],[LAVAMANOS / LAVAPLATOS / LAVADERO]]=Z$2,100%,AVANCE[[#This Row],[LAVAMANOS / LAVAPLATOS / LAVADERO]])</f>
        <v>0</v>
      </c>
      <c r="BR605" s="3">
        <f>+IF(AVANCE[[#This Row],[CANALIZACIÓN]]=AC$2,100%,AVANCE[[#This Row],[CANALIZACIÓN]])</f>
        <v>0</v>
      </c>
      <c r="BS605" s="3">
        <f>+IF(AVANCE[[#This Row],[CABLEADO]]=AD$2,100%,AVANCE[[#This Row],[CABLEADO]])</f>
        <v>0</v>
      </c>
      <c r="BT605" s="3">
        <f>+IF(AVANCE[[#This Row],[ARTEFACTOS]]=AE$2,100%,AVANCE[[#This Row],[ARTEFACTOS]])</f>
        <v>0</v>
      </c>
      <c r="BU605" s="3">
        <f>+IF(AVANCE[[#This Row],[TABLERO]]=AF$2,100%,AVANCE[[#This Row],[TABLERO]])</f>
        <v>0</v>
      </c>
      <c r="BV605" s="3">
        <f>+IF(AVANCE[[#This Row],[CAJA PAU]]=AG$2,100%,AVANCE[[#This Row],[CAJA PAU]])</f>
        <v>0</v>
      </c>
      <c r="BW605" s="3">
        <f>+IF(AVANCE[[#This Row],[INSTALACION VINILICO]]=AJ$2,100%,AVANCE[[#This Row],[INSTALACION VINILICO]])</f>
        <v>0</v>
      </c>
      <c r="BX605" s="3">
        <f>+IF(AVANCE[[#This Row],[OSB CUBIERTA]]=AK$2,100%,AVANCE[[#This Row],[OSB CUBIERTA]])</f>
        <v>0</v>
      </c>
      <c r="BY605" s="3">
        <f>+IF(AVANCE[[#This Row],[BARANDA BALCON]]=AL$2,100%,AVANCE[[#This Row],[BARANDA BALCON]])</f>
        <v>0</v>
      </c>
      <c r="BZ605" s="3">
        <f>+IF(AVANCE[[#This Row],[OSB EXTERIOR]]=AM$2,100%,AVANCE[[#This Row],[OSB EXTERIOR]])</f>
        <v>0</v>
      </c>
      <c r="CA605" s="3">
        <f>+IF(AVANCE[[#This Row],[SMART PANEL]]=AN$2,100%,AVANCE[[#This Row],[SMART PANEL]])</f>
        <v>0</v>
      </c>
      <c r="CB605" s="3">
        <f>+IF(AVANCE[[#This Row],[PINTURA EXTERIOR]]=AO$2,100%,AVANCE[[#This Row],[PINTURA EXTERIOR]])</f>
        <v>0</v>
      </c>
      <c r="CC605" s="3">
        <f>+IF(AVANCE[[#This Row],[ZOCALOS LOGIA]]=AP$2,100%,AVANCE[[#This Row],[ZOCALOS LOGIA]])</f>
        <v>0</v>
      </c>
      <c r="CD605" s="3">
        <f>+IF(AVANCE[[#This Row],[MOLDURAS]]=AQ$2,100%,AVANCE[[#This Row],[MOLDURAS]])</f>
        <v>0</v>
      </c>
      <c r="CE605" s="3">
        <f>+IF(AVANCE[[#This Row],[PILASTREO]]=AR$2,100%,AVANCE[[#This Row],[PILASTREO]])</f>
        <v>0</v>
      </c>
      <c r="CF605" s="3">
        <f>+IF(AVANCE[[#This Row],[CELOSIAS]]=AS$2,100%,AVANCE[[#This Row],[CELOSIAS]])</f>
        <v>0</v>
      </c>
      <c r="CG605" s="3">
        <f>+IF(AVANCE[[#This Row],[VENTANAS]]=AT$2,100%,AVANCE[[#This Row],[VENTANAS]])</f>
        <v>0</v>
      </c>
      <c r="CH605" s="3">
        <f>+IF(AVANCE[[#This Row],[PUERTAS ACCESO - LOGIA - BANO]]=AU$2,100%,AVANCE[[#This Row],[PUERTAS ACCESO - LOGIA - BANO]])</f>
        <v>0</v>
      </c>
      <c r="CI605" s="3">
        <f>+IF(AVANCE[[#This Row],[CERRADURAS]]=AV$2,100%,AVANCE[[#This Row],[CERRADURAS]])</f>
        <v>0</v>
      </c>
      <c r="CJ605" s="3">
        <f>+IF(AVANCE[[#This Row],[REVESTIMIENTO INTERIOR ZONA SECA]]=AW$2,100%,AVANCE[[#This Row],[REVESTIMIENTO INTERIOR ZONA SECA]])</f>
        <v>0</v>
      </c>
      <c r="CK605" s="3">
        <f>+IF(AVANCE[[#This Row],[REVESTIMIENTO INTERIOR ZONAS HUMEDAS]]=AX$2,100%,AVANCE[[#This Row],[REVESTIMIENTO INTERIOR ZONAS HUMEDAS]])</f>
        <v>0</v>
      </c>
      <c r="CL605" s="3">
        <f>+IF(AVANCE[[#This Row],[MEMBRANA CIELO]]=AY$2,100%,AVANCE[[#This Row],[MEMBRANA CIELO]])</f>
        <v>0</v>
      </c>
      <c r="CM605" s="3">
        <f>+IF(AVANCE[[#This Row],[LIMPIEZA FINAL]]=AZ$2,100%,AVANCE[[#This Row],[LIMPIEZA FINAL]])</f>
        <v>0</v>
      </c>
      <c r="CN605" s="3">
        <f>+IF(AVANCE[[#This Row],[PUERTAS DORMITORIO]]=BA$2,100%,AVANCE[[#This Row],[PUERTAS DORMITORIO]])</f>
        <v>0</v>
      </c>
      <c r="CO605" s="3">
        <f>+IF(AVANCE[[#This Row],[REVESTIMIENTO INTERIOR BANO]]=BB$2,100%,AVANCE[[#This Row],[REVESTIMIENTO INTERIOR BANO]])</f>
        <v>0</v>
      </c>
      <c r="CP605" s="3">
        <f>+IF(AVANCE[[#This Row],[MUEBLE LAVAPLATOS]]=BC$2,100%,AVANCE[[#This Row],[MUEBLE LAVAPLATOS]])</f>
        <v>0</v>
      </c>
      <c r="CQ605" s="3">
        <f>+IF(AVANCE[[#This Row],[IMPERMEABILIZACION BANO - COCINA LOGIA]]=BD$2,100%,AVANCE[[#This Row],[IMPERMEABILIZACION BANO - COCINA LOGIA]])</f>
        <v>0</v>
      </c>
      <c r="CR605" s="40">
        <f ca="1">+IF(AVANCE[[#This Row],[ESTADO MODULO]]="PENDIENTE",(TODAY()-AVANCE[[#This Row],[FECHA TERMINO  PLANIFICADO]]),0)</f>
        <v>0</v>
      </c>
      <c r="CS605" s="42" t="str" cm="1">
        <f t="array" ref="CS605">_xlfn.TEXTJOIN(" | ",TRUE,IF(SUMPRODUCT((BF605:CQ605&lt;1)*(PARTIDAS!$I$2:$AT$2="OBRA GRUESA"))&gt;0,"OBRA GRUESA: "&amp;_xlfn.TEXTJOIN(", ",TRUE,IF((BF605:CQ605&lt;1)*(PARTIDAS!$I$2:$AT$2="OBRA GRUESA"),PARTIDAS!$I$1:$AT$1,"")),""),IF(SUMPRODUCT((BF605:CQ605&lt;1)*(PARTIDAS!$I$2:$AT$2="SANITARIOS"))&gt;0,"SANITARIOS: "&amp;_xlfn.TEXTJOIN(", ",TRUE,IF((BF605:CQ605&lt;1)*(PARTIDAS!$I$2:$AT$2="SANITARIOS"),PARTIDAS!$I$1:$AT$1,"")),""),IF(SUMPRODUCT((BF605:CQ605&lt;1)*(PARTIDAS!$I$2:$AT$2="ELÉCTRICO"))&gt;0,"ELÉCTRICO: "&amp;_xlfn.TEXTJOIN(", ",TRUE,IF((BF605:CQ605&lt;1)*(PARTIDAS!$I$2:$AT$2="ELÉCTRICO"),PARTIDAS!$I$1:$AT$1,"")),""),IF(SUMPRODUCT((BF605:CQ605&lt;1)*(PARTIDAS!$I$2:$AT$2="TERMINACIONES"))&gt;0,"TERMINACIONES: "&amp;_xlfn.TEXTJOIN(", ",TRUE,IF((BF605:CQ605&lt;1)*(PARTIDAS!$I$2:$AT$2="TERMINACIONES"),PARTIDAS!$I$1:$AT$1,"")),""))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5" s="45" t="str" cm="1">
        <f t="array" ref="CT605">_xlfn.TEXTJOIN(", ",TRUE,IF(SUMPRODUCT((BF605:CQ605&lt;1)*(PARTIDAS!$I$2:$AT$2="OBRA GRUESA"))&gt;0,"OBRA GRUESA",""),IF(SUMPRODUCT((BF605:CQ605&lt;1)*(PARTIDAS!$I$2:$AT$2="SANITARIOS"))&gt;0,"SANITARIOS",""),IF(SUMPRODUCT((BF605:CQ605&lt;1)*(PARTIDAS!$I$2:$AT$2="ELÉCTRICO"))&gt;0,"ELÉCTRICO",""),IF(SUMPRODUCT((BF605:CQ605&lt;1)*(PARTIDAS!$I$2:$AT$2="TERMINACIONES"))&gt;0,"TERMINACIONES",""))</f>
        <v>OBRA GRUESA, SANITARIOS, ELÉCTRICO, TERMINACIONES</v>
      </c>
      <c r="CU605" s="46" cm="1">
        <f t="array" ref="CU605">SUMPRODUCT(--(BF605:CQ605&lt;1))</f>
        <v>38</v>
      </c>
    </row>
    <row r="606" spans="1:99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46181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 s="3" t="str">
        <f>+IF(AVANCE[[#This Row],[% AVANCE]]=100%,"MODULO TERMINADO",IF(AVANCE[[#This Row],[FECHA INICIO REAL]]="","MODULO NO INICIADO","PENDIENTE"))</f>
        <v>MODULO NO INICIADO</v>
      </c>
      <c r="BF606" s="3">
        <f>+IF(AVANCE[[#This Row],[VENTANAS]]=8.10810810810811%,100%,AVANCE[[#This Row],[VENTANAS]])</f>
        <v>0</v>
      </c>
      <c r="BG606" s="3">
        <f>+IF(AVANCE[[#This Row],[PISO]]=N$2,100%,AVANCE[[#This Row],[PISO]])</f>
        <v>0</v>
      </c>
      <c r="BH606" s="3">
        <f>+IF(AVANCE[[#This Row],[TABIQUES]]=O$2,100%,AVANCE[[#This Row],[TABIQUES]])</f>
        <v>0</v>
      </c>
      <c r="BI606" s="3">
        <f>+IF(AVANCE[[#This Row],[MUROS]]=P$2,100%,AVANCE[[#This Row],[MUROS]])</f>
        <v>0</v>
      </c>
      <c r="BJ606" s="3">
        <f>+IF(AVANCE[[#This Row],[CIELO]]=Q$2,100%,AVANCE[[#This Row],[CIELO]])</f>
        <v>0</v>
      </c>
      <c r="BK606" s="3">
        <f>+IF(AVANCE[[#This Row],[BALCÓN]]=R$2,100%,AVANCE[[#This Row],[BALCÓN]])</f>
        <v>0</v>
      </c>
      <c r="BL606" s="3">
        <f>+IF(AVANCE[[#This Row],[RED ALCANTARILLADO]]=U$2,100%,AVANCE[[#This Row],[RED ALCANTARILLADO]])</f>
        <v>0</v>
      </c>
      <c r="BM606" s="3">
        <f>+IF(AVANCE[[#This Row],[RED DE AGUA]]=V$2,100%,AVANCE[[#This Row],[RED DE AGUA]])</f>
        <v>0</v>
      </c>
      <c r="BN606" s="3">
        <f>+IF(AVANCE[[#This Row],[VENTILACIONES]]=W$2,100%,AVANCE[[#This Row],[VENTILACIONES]])</f>
        <v>0</v>
      </c>
      <c r="BO606" s="3">
        <f>+IF(AVANCE[[#This Row],[TINA]]=X$2,100%,AVANCE[[#This Row],[TINA]])</f>
        <v>0</v>
      </c>
      <c r="BP606" s="3">
        <f>+IF(AVANCE[[#This Row],[WC]]=Y$2,100%,AVANCE[[#This Row],[WC]])</f>
        <v>0</v>
      </c>
      <c r="BQ606" s="3">
        <f>+IF(AVANCE[[#This Row],[LAVAMANOS / LAVAPLATOS / LAVADERO]]=Z$2,100%,AVANCE[[#This Row],[LAVAMANOS / LAVAPLATOS / LAVADERO]])</f>
        <v>0</v>
      </c>
      <c r="BR606" s="3">
        <f>+IF(AVANCE[[#This Row],[CANALIZACIÓN]]=AC$2,100%,AVANCE[[#This Row],[CANALIZACIÓN]])</f>
        <v>0</v>
      </c>
      <c r="BS606" s="3">
        <f>+IF(AVANCE[[#This Row],[CABLEADO]]=AD$2,100%,AVANCE[[#This Row],[CABLEADO]])</f>
        <v>0</v>
      </c>
      <c r="BT606" s="3">
        <f>+IF(AVANCE[[#This Row],[ARTEFACTOS]]=AE$2,100%,AVANCE[[#This Row],[ARTEFACTOS]])</f>
        <v>0</v>
      </c>
      <c r="BU606" s="3">
        <f>+IF(AVANCE[[#This Row],[TABLERO]]=AF$2,100%,AVANCE[[#This Row],[TABLERO]])</f>
        <v>0</v>
      </c>
      <c r="BV606" s="3">
        <f>+IF(AVANCE[[#This Row],[CAJA PAU]]=AG$2,100%,AVANCE[[#This Row],[CAJA PAU]])</f>
        <v>0</v>
      </c>
      <c r="BW606" s="3">
        <f>+IF(AVANCE[[#This Row],[INSTALACION VINILICO]]=AJ$2,100%,AVANCE[[#This Row],[INSTALACION VINILICO]])</f>
        <v>0</v>
      </c>
      <c r="BX606" s="3">
        <f>+IF(AVANCE[[#This Row],[OSB CUBIERTA]]=AK$2,100%,AVANCE[[#This Row],[OSB CUBIERTA]])</f>
        <v>0</v>
      </c>
      <c r="BY606" s="3">
        <f>+IF(AVANCE[[#This Row],[BARANDA BALCON]]=AL$2,100%,AVANCE[[#This Row],[BARANDA BALCON]])</f>
        <v>0</v>
      </c>
      <c r="BZ606" s="3">
        <f>+IF(AVANCE[[#This Row],[OSB EXTERIOR]]=AM$2,100%,AVANCE[[#This Row],[OSB EXTERIOR]])</f>
        <v>0</v>
      </c>
      <c r="CA606" s="3">
        <f>+IF(AVANCE[[#This Row],[SMART PANEL]]=AN$2,100%,AVANCE[[#This Row],[SMART PANEL]])</f>
        <v>0</v>
      </c>
      <c r="CB606" s="3">
        <f>+IF(AVANCE[[#This Row],[PINTURA EXTERIOR]]=AO$2,100%,AVANCE[[#This Row],[PINTURA EXTERIOR]])</f>
        <v>0</v>
      </c>
      <c r="CC606" s="3">
        <f>+IF(AVANCE[[#This Row],[ZOCALOS LOGIA]]=AP$2,100%,AVANCE[[#This Row],[ZOCALOS LOGIA]])</f>
        <v>0</v>
      </c>
      <c r="CD606" s="3">
        <f>+IF(AVANCE[[#This Row],[MOLDURAS]]=AQ$2,100%,AVANCE[[#This Row],[MOLDURAS]])</f>
        <v>0</v>
      </c>
      <c r="CE606" s="3">
        <f>+IF(AVANCE[[#This Row],[PILASTREO]]=AR$2,100%,AVANCE[[#This Row],[PILASTREO]])</f>
        <v>0</v>
      </c>
      <c r="CF606" s="3">
        <f>+IF(AVANCE[[#This Row],[CELOSIAS]]=AS$2,100%,AVANCE[[#This Row],[CELOSIAS]])</f>
        <v>0</v>
      </c>
      <c r="CG606" s="3">
        <f>+IF(AVANCE[[#This Row],[VENTANAS]]=AT$2,100%,AVANCE[[#This Row],[VENTANAS]])</f>
        <v>0</v>
      </c>
      <c r="CH606" s="3">
        <f>+IF(AVANCE[[#This Row],[PUERTAS ACCESO - LOGIA - BANO]]=AU$2,100%,AVANCE[[#This Row],[PUERTAS ACCESO - LOGIA - BANO]])</f>
        <v>0</v>
      </c>
      <c r="CI606" s="3">
        <f>+IF(AVANCE[[#This Row],[CERRADURAS]]=AV$2,100%,AVANCE[[#This Row],[CERRADURAS]])</f>
        <v>0</v>
      </c>
      <c r="CJ606" s="3">
        <f>+IF(AVANCE[[#This Row],[REVESTIMIENTO INTERIOR ZONA SECA]]=AW$2,100%,AVANCE[[#This Row],[REVESTIMIENTO INTERIOR ZONA SECA]])</f>
        <v>0</v>
      </c>
      <c r="CK606" s="3">
        <f>+IF(AVANCE[[#This Row],[REVESTIMIENTO INTERIOR ZONAS HUMEDAS]]=AX$2,100%,AVANCE[[#This Row],[REVESTIMIENTO INTERIOR ZONAS HUMEDAS]])</f>
        <v>0</v>
      </c>
      <c r="CL606" s="3">
        <f>+IF(AVANCE[[#This Row],[MEMBRANA CIELO]]=AY$2,100%,AVANCE[[#This Row],[MEMBRANA CIELO]])</f>
        <v>0</v>
      </c>
      <c r="CM606" s="3">
        <f>+IF(AVANCE[[#This Row],[LIMPIEZA FINAL]]=AZ$2,100%,AVANCE[[#This Row],[LIMPIEZA FINAL]])</f>
        <v>0</v>
      </c>
      <c r="CN606" s="3">
        <f>+IF(AVANCE[[#This Row],[PUERTAS DORMITORIO]]=BA$2,100%,AVANCE[[#This Row],[PUERTAS DORMITORIO]])</f>
        <v>0</v>
      </c>
      <c r="CO606" s="3">
        <f>+IF(AVANCE[[#This Row],[REVESTIMIENTO INTERIOR BANO]]=BB$2,100%,AVANCE[[#This Row],[REVESTIMIENTO INTERIOR BANO]])</f>
        <v>0</v>
      </c>
      <c r="CP606" s="3">
        <f>+IF(AVANCE[[#This Row],[MUEBLE LAVAPLATOS]]=BC$2,100%,AVANCE[[#This Row],[MUEBLE LAVAPLATOS]])</f>
        <v>0</v>
      </c>
      <c r="CQ606" s="3">
        <f>+IF(AVANCE[[#This Row],[IMPERMEABILIZACION BANO - COCINA LOGIA]]=BD$2,100%,AVANCE[[#This Row],[IMPERMEABILIZACION BANO - COCINA LOGIA]])</f>
        <v>0</v>
      </c>
      <c r="CR606" s="40">
        <f ca="1">+IF(AVANCE[[#This Row],[ESTADO MODULO]]="PENDIENTE",(TODAY()-AVANCE[[#This Row],[FECHA TERMINO  PLANIFICADO]]),0)</f>
        <v>0</v>
      </c>
      <c r="CS606" s="42" t="str" cm="1">
        <f t="array" ref="CS606">_xlfn.TEXTJOIN(" | ",TRUE,IF(SUMPRODUCT((BF606:CQ606&lt;1)*(PARTIDAS!$I$2:$AT$2="OBRA GRUESA"))&gt;0,"OBRA GRUESA: "&amp;_xlfn.TEXTJOIN(", ",TRUE,IF((BF606:CQ606&lt;1)*(PARTIDAS!$I$2:$AT$2="OBRA GRUESA"),PARTIDAS!$I$1:$AT$1,"")),""),IF(SUMPRODUCT((BF606:CQ606&lt;1)*(PARTIDAS!$I$2:$AT$2="SANITARIOS"))&gt;0,"SANITARIOS: "&amp;_xlfn.TEXTJOIN(", ",TRUE,IF((BF606:CQ606&lt;1)*(PARTIDAS!$I$2:$AT$2="SANITARIOS"),PARTIDAS!$I$1:$AT$1,"")),""),IF(SUMPRODUCT((BF606:CQ606&lt;1)*(PARTIDAS!$I$2:$AT$2="ELÉCTRICO"))&gt;0,"ELÉCTRICO: "&amp;_xlfn.TEXTJOIN(", ",TRUE,IF((BF606:CQ606&lt;1)*(PARTIDAS!$I$2:$AT$2="ELÉCTRICO"),PARTIDAS!$I$1:$AT$1,"")),""),IF(SUMPRODUCT((BF606:CQ606&lt;1)*(PARTIDAS!$I$2:$AT$2="TERMINACIONES"))&gt;0,"TERMINACIONES: "&amp;_xlfn.TEXTJOIN(", ",TRUE,IF((BF606:CQ606&lt;1)*(PARTIDAS!$I$2:$AT$2="TERMINACIONES"),PARTIDAS!$I$1:$AT$1,"")),""))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6" s="45" t="str" cm="1">
        <f t="array" ref="CT606">_xlfn.TEXTJOIN(", ",TRUE,IF(SUMPRODUCT((BF606:CQ606&lt;1)*(PARTIDAS!$I$2:$AT$2="OBRA GRUESA"))&gt;0,"OBRA GRUESA",""),IF(SUMPRODUCT((BF606:CQ606&lt;1)*(PARTIDAS!$I$2:$AT$2="SANITARIOS"))&gt;0,"SANITARIOS",""),IF(SUMPRODUCT((BF606:CQ606&lt;1)*(PARTIDAS!$I$2:$AT$2="ELÉCTRICO"))&gt;0,"ELÉCTRICO",""),IF(SUMPRODUCT((BF606:CQ606&lt;1)*(PARTIDAS!$I$2:$AT$2="TERMINACIONES"))&gt;0,"TERMINACIONES",""))</f>
        <v>OBRA GRUESA, SANITARIOS, ELÉCTRICO, TERMINACIONES</v>
      </c>
      <c r="CU606" s="46" cm="1">
        <f t="array" ref="CU606">SUMPRODUCT(--(BF606:CQ606&lt;1))</f>
        <v>38</v>
      </c>
    </row>
    <row r="607" spans="1:99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46181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 s="3" t="str">
        <f>+IF(AVANCE[[#This Row],[% AVANCE]]=100%,"MODULO TERMINADO",IF(AVANCE[[#This Row],[FECHA INICIO REAL]]="","MODULO NO INICIADO","PENDIENTE"))</f>
        <v>MODULO NO INICIADO</v>
      </c>
      <c r="BF607" s="3">
        <f>+IF(AVANCE[[#This Row],[VENTANAS]]=8.10810810810811%,100%,AVANCE[[#This Row],[VENTANAS]])</f>
        <v>0</v>
      </c>
      <c r="BG607" s="3">
        <f>+IF(AVANCE[[#This Row],[PISO]]=N$2,100%,AVANCE[[#This Row],[PISO]])</f>
        <v>0</v>
      </c>
      <c r="BH607" s="3">
        <f>+IF(AVANCE[[#This Row],[TABIQUES]]=O$2,100%,AVANCE[[#This Row],[TABIQUES]])</f>
        <v>0</v>
      </c>
      <c r="BI607" s="3">
        <f>+IF(AVANCE[[#This Row],[MUROS]]=P$2,100%,AVANCE[[#This Row],[MUROS]])</f>
        <v>0</v>
      </c>
      <c r="BJ607" s="3">
        <f>+IF(AVANCE[[#This Row],[CIELO]]=Q$2,100%,AVANCE[[#This Row],[CIELO]])</f>
        <v>0</v>
      </c>
      <c r="BK607" s="3">
        <f>+IF(AVANCE[[#This Row],[BALCÓN]]=R$2,100%,AVANCE[[#This Row],[BALCÓN]])</f>
        <v>0</v>
      </c>
      <c r="BL607" s="3">
        <f>+IF(AVANCE[[#This Row],[RED ALCANTARILLADO]]=U$2,100%,AVANCE[[#This Row],[RED ALCANTARILLADO]])</f>
        <v>0</v>
      </c>
      <c r="BM607" s="3">
        <f>+IF(AVANCE[[#This Row],[RED DE AGUA]]=V$2,100%,AVANCE[[#This Row],[RED DE AGUA]])</f>
        <v>0</v>
      </c>
      <c r="BN607" s="3">
        <f>+IF(AVANCE[[#This Row],[VENTILACIONES]]=W$2,100%,AVANCE[[#This Row],[VENTILACIONES]])</f>
        <v>0</v>
      </c>
      <c r="BO607" s="3">
        <f>+IF(AVANCE[[#This Row],[TINA]]=X$2,100%,AVANCE[[#This Row],[TINA]])</f>
        <v>0</v>
      </c>
      <c r="BP607" s="3">
        <f>+IF(AVANCE[[#This Row],[WC]]=Y$2,100%,AVANCE[[#This Row],[WC]])</f>
        <v>0</v>
      </c>
      <c r="BQ607" s="3">
        <f>+IF(AVANCE[[#This Row],[LAVAMANOS / LAVAPLATOS / LAVADERO]]=Z$2,100%,AVANCE[[#This Row],[LAVAMANOS / LAVAPLATOS / LAVADERO]])</f>
        <v>0</v>
      </c>
      <c r="BR607" s="3">
        <f>+IF(AVANCE[[#This Row],[CANALIZACIÓN]]=AC$2,100%,AVANCE[[#This Row],[CANALIZACIÓN]])</f>
        <v>0</v>
      </c>
      <c r="BS607" s="3">
        <f>+IF(AVANCE[[#This Row],[CABLEADO]]=AD$2,100%,AVANCE[[#This Row],[CABLEADO]])</f>
        <v>0</v>
      </c>
      <c r="BT607" s="3">
        <f>+IF(AVANCE[[#This Row],[ARTEFACTOS]]=AE$2,100%,AVANCE[[#This Row],[ARTEFACTOS]])</f>
        <v>0</v>
      </c>
      <c r="BU607" s="3">
        <f>+IF(AVANCE[[#This Row],[TABLERO]]=AF$2,100%,AVANCE[[#This Row],[TABLERO]])</f>
        <v>0</v>
      </c>
      <c r="BV607" s="3">
        <f>+IF(AVANCE[[#This Row],[CAJA PAU]]=AG$2,100%,AVANCE[[#This Row],[CAJA PAU]])</f>
        <v>0</v>
      </c>
      <c r="BW607" s="3">
        <f>+IF(AVANCE[[#This Row],[INSTALACION VINILICO]]=AJ$2,100%,AVANCE[[#This Row],[INSTALACION VINILICO]])</f>
        <v>0</v>
      </c>
      <c r="BX607" s="3">
        <f>+IF(AVANCE[[#This Row],[OSB CUBIERTA]]=AK$2,100%,AVANCE[[#This Row],[OSB CUBIERTA]])</f>
        <v>0</v>
      </c>
      <c r="BY607" s="3">
        <f>+IF(AVANCE[[#This Row],[BARANDA BALCON]]=AL$2,100%,AVANCE[[#This Row],[BARANDA BALCON]])</f>
        <v>0</v>
      </c>
      <c r="BZ607" s="3">
        <f>+IF(AVANCE[[#This Row],[OSB EXTERIOR]]=AM$2,100%,AVANCE[[#This Row],[OSB EXTERIOR]])</f>
        <v>0</v>
      </c>
      <c r="CA607" s="3">
        <f>+IF(AVANCE[[#This Row],[SMART PANEL]]=AN$2,100%,AVANCE[[#This Row],[SMART PANEL]])</f>
        <v>0</v>
      </c>
      <c r="CB607" s="3">
        <f>+IF(AVANCE[[#This Row],[PINTURA EXTERIOR]]=AO$2,100%,AVANCE[[#This Row],[PINTURA EXTERIOR]])</f>
        <v>0</v>
      </c>
      <c r="CC607" s="3">
        <f>+IF(AVANCE[[#This Row],[ZOCALOS LOGIA]]=AP$2,100%,AVANCE[[#This Row],[ZOCALOS LOGIA]])</f>
        <v>0</v>
      </c>
      <c r="CD607" s="3">
        <f>+IF(AVANCE[[#This Row],[MOLDURAS]]=AQ$2,100%,AVANCE[[#This Row],[MOLDURAS]])</f>
        <v>0</v>
      </c>
      <c r="CE607" s="3">
        <f>+IF(AVANCE[[#This Row],[PILASTREO]]=AR$2,100%,AVANCE[[#This Row],[PILASTREO]])</f>
        <v>0</v>
      </c>
      <c r="CF607" s="3">
        <f>+IF(AVANCE[[#This Row],[CELOSIAS]]=AS$2,100%,AVANCE[[#This Row],[CELOSIAS]])</f>
        <v>0</v>
      </c>
      <c r="CG607" s="3">
        <f>+IF(AVANCE[[#This Row],[VENTANAS]]=AT$2,100%,AVANCE[[#This Row],[VENTANAS]])</f>
        <v>0</v>
      </c>
      <c r="CH607" s="3">
        <f>+IF(AVANCE[[#This Row],[PUERTAS ACCESO - LOGIA - BANO]]=AU$2,100%,AVANCE[[#This Row],[PUERTAS ACCESO - LOGIA - BANO]])</f>
        <v>0</v>
      </c>
      <c r="CI607" s="3">
        <f>+IF(AVANCE[[#This Row],[CERRADURAS]]=AV$2,100%,AVANCE[[#This Row],[CERRADURAS]])</f>
        <v>0</v>
      </c>
      <c r="CJ607" s="3">
        <f>+IF(AVANCE[[#This Row],[REVESTIMIENTO INTERIOR ZONA SECA]]=AW$2,100%,AVANCE[[#This Row],[REVESTIMIENTO INTERIOR ZONA SECA]])</f>
        <v>0</v>
      </c>
      <c r="CK607" s="3">
        <f>+IF(AVANCE[[#This Row],[REVESTIMIENTO INTERIOR ZONAS HUMEDAS]]=AX$2,100%,AVANCE[[#This Row],[REVESTIMIENTO INTERIOR ZONAS HUMEDAS]])</f>
        <v>0</v>
      </c>
      <c r="CL607" s="3">
        <f>+IF(AVANCE[[#This Row],[MEMBRANA CIELO]]=AY$2,100%,AVANCE[[#This Row],[MEMBRANA CIELO]])</f>
        <v>0</v>
      </c>
      <c r="CM607" s="3">
        <f>+IF(AVANCE[[#This Row],[LIMPIEZA FINAL]]=AZ$2,100%,AVANCE[[#This Row],[LIMPIEZA FINAL]])</f>
        <v>0</v>
      </c>
      <c r="CN607" s="3">
        <f>+IF(AVANCE[[#This Row],[PUERTAS DORMITORIO]]=BA$2,100%,AVANCE[[#This Row],[PUERTAS DORMITORIO]])</f>
        <v>0</v>
      </c>
      <c r="CO607" s="3">
        <f>+IF(AVANCE[[#This Row],[REVESTIMIENTO INTERIOR BANO]]=BB$2,100%,AVANCE[[#This Row],[REVESTIMIENTO INTERIOR BANO]])</f>
        <v>0</v>
      </c>
      <c r="CP607" s="3">
        <f>+IF(AVANCE[[#This Row],[MUEBLE LAVAPLATOS]]=BC$2,100%,AVANCE[[#This Row],[MUEBLE LAVAPLATOS]])</f>
        <v>0</v>
      </c>
      <c r="CQ607" s="3">
        <f>+IF(AVANCE[[#This Row],[IMPERMEABILIZACION BANO - COCINA LOGIA]]=BD$2,100%,AVANCE[[#This Row],[IMPERMEABILIZACION BANO - COCINA LOGIA]])</f>
        <v>0</v>
      </c>
      <c r="CR607" s="40">
        <f ca="1">+IF(AVANCE[[#This Row],[ESTADO MODULO]]="PENDIENTE",(TODAY()-AVANCE[[#This Row],[FECHA TERMINO  PLANIFICADO]]),0)</f>
        <v>0</v>
      </c>
      <c r="CS607" s="42" t="str" cm="1">
        <f t="array" ref="CS607">_xlfn.TEXTJOIN(" | ",TRUE,IF(SUMPRODUCT((BF607:CQ607&lt;1)*(PARTIDAS!$I$2:$AT$2="OBRA GRUESA"))&gt;0,"OBRA GRUESA: "&amp;_xlfn.TEXTJOIN(", ",TRUE,IF((BF607:CQ607&lt;1)*(PARTIDAS!$I$2:$AT$2="OBRA GRUESA"),PARTIDAS!$I$1:$AT$1,"")),""),IF(SUMPRODUCT((BF607:CQ607&lt;1)*(PARTIDAS!$I$2:$AT$2="SANITARIOS"))&gt;0,"SANITARIOS: "&amp;_xlfn.TEXTJOIN(", ",TRUE,IF((BF607:CQ607&lt;1)*(PARTIDAS!$I$2:$AT$2="SANITARIOS"),PARTIDAS!$I$1:$AT$1,"")),""),IF(SUMPRODUCT((BF607:CQ607&lt;1)*(PARTIDAS!$I$2:$AT$2="ELÉCTRICO"))&gt;0,"ELÉCTRICO: "&amp;_xlfn.TEXTJOIN(", ",TRUE,IF((BF607:CQ607&lt;1)*(PARTIDAS!$I$2:$AT$2="ELÉCTRICO"),PARTIDAS!$I$1:$AT$1,"")),""),IF(SUMPRODUCT((BF607:CQ607&lt;1)*(PARTIDAS!$I$2:$AT$2="TERMINACIONES"))&gt;0,"TERMINACIONES: "&amp;_xlfn.TEXTJOIN(", ",TRUE,IF((BF607:CQ607&lt;1)*(PARTIDAS!$I$2:$AT$2="TERMINACIONES"),PARTIDAS!$I$1:$AT$1,"")),""))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7" s="45" t="str" cm="1">
        <f t="array" ref="CT607">_xlfn.TEXTJOIN(", ",TRUE,IF(SUMPRODUCT((BF607:CQ607&lt;1)*(PARTIDAS!$I$2:$AT$2="OBRA GRUESA"))&gt;0,"OBRA GRUESA",""),IF(SUMPRODUCT((BF607:CQ607&lt;1)*(PARTIDAS!$I$2:$AT$2="SANITARIOS"))&gt;0,"SANITARIOS",""),IF(SUMPRODUCT((BF607:CQ607&lt;1)*(PARTIDAS!$I$2:$AT$2="ELÉCTRICO"))&gt;0,"ELÉCTRICO",""),IF(SUMPRODUCT((BF607:CQ607&lt;1)*(PARTIDAS!$I$2:$AT$2="TERMINACIONES"))&gt;0,"TERMINACIONES",""))</f>
        <v>OBRA GRUESA, SANITARIOS, ELÉCTRICO, TERMINACIONES</v>
      </c>
      <c r="CU607" s="46" cm="1">
        <f t="array" ref="CU607">SUMPRODUCT(--(BF607:CQ607&lt;1))</f>
        <v>38</v>
      </c>
    </row>
    <row r="608" spans="1:99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46181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 s="3" t="str">
        <f>+IF(AVANCE[[#This Row],[% AVANCE]]=100%,"MODULO TERMINADO",IF(AVANCE[[#This Row],[FECHA INICIO REAL]]="","MODULO NO INICIADO","PENDIENTE"))</f>
        <v>MODULO NO INICIADO</v>
      </c>
      <c r="BF608" s="3">
        <f>+IF(AVANCE[[#This Row],[VENTANAS]]=8.10810810810811%,100%,AVANCE[[#This Row],[VENTANAS]])</f>
        <v>0</v>
      </c>
      <c r="BG608" s="3">
        <f>+IF(AVANCE[[#This Row],[PISO]]=N$2,100%,AVANCE[[#This Row],[PISO]])</f>
        <v>0</v>
      </c>
      <c r="BH608" s="3">
        <f>+IF(AVANCE[[#This Row],[TABIQUES]]=O$2,100%,AVANCE[[#This Row],[TABIQUES]])</f>
        <v>0</v>
      </c>
      <c r="BI608" s="3">
        <f>+IF(AVANCE[[#This Row],[MUROS]]=P$2,100%,AVANCE[[#This Row],[MUROS]])</f>
        <v>0</v>
      </c>
      <c r="BJ608" s="3">
        <f>+IF(AVANCE[[#This Row],[CIELO]]=Q$2,100%,AVANCE[[#This Row],[CIELO]])</f>
        <v>0</v>
      </c>
      <c r="BK608" s="3">
        <f>+IF(AVANCE[[#This Row],[BALCÓN]]=R$2,100%,AVANCE[[#This Row],[BALCÓN]])</f>
        <v>0</v>
      </c>
      <c r="BL608" s="3">
        <f>+IF(AVANCE[[#This Row],[RED ALCANTARILLADO]]=U$2,100%,AVANCE[[#This Row],[RED ALCANTARILLADO]])</f>
        <v>0</v>
      </c>
      <c r="BM608" s="3">
        <f>+IF(AVANCE[[#This Row],[RED DE AGUA]]=V$2,100%,AVANCE[[#This Row],[RED DE AGUA]])</f>
        <v>0</v>
      </c>
      <c r="BN608" s="3">
        <f>+IF(AVANCE[[#This Row],[VENTILACIONES]]=W$2,100%,AVANCE[[#This Row],[VENTILACIONES]])</f>
        <v>0</v>
      </c>
      <c r="BO608" s="3">
        <f>+IF(AVANCE[[#This Row],[TINA]]=X$2,100%,AVANCE[[#This Row],[TINA]])</f>
        <v>0</v>
      </c>
      <c r="BP608" s="3">
        <f>+IF(AVANCE[[#This Row],[WC]]=Y$2,100%,AVANCE[[#This Row],[WC]])</f>
        <v>0</v>
      </c>
      <c r="BQ608" s="3">
        <f>+IF(AVANCE[[#This Row],[LAVAMANOS / LAVAPLATOS / LAVADERO]]=Z$2,100%,AVANCE[[#This Row],[LAVAMANOS / LAVAPLATOS / LAVADERO]])</f>
        <v>0</v>
      </c>
      <c r="BR608" s="3">
        <f>+IF(AVANCE[[#This Row],[CANALIZACIÓN]]=AC$2,100%,AVANCE[[#This Row],[CANALIZACIÓN]])</f>
        <v>0</v>
      </c>
      <c r="BS608" s="3">
        <f>+IF(AVANCE[[#This Row],[CABLEADO]]=AD$2,100%,AVANCE[[#This Row],[CABLEADO]])</f>
        <v>0</v>
      </c>
      <c r="BT608" s="3">
        <f>+IF(AVANCE[[#This Row],[ARTEFACTOS]]=AE$2,100%,AVANCE[[#This Row],[ARTEFACTOS]])</f>
        <v>0</v>
      </c>
      <c r="BU608" s="3">
        <f>+IF(AVANCE[[#This Row],[TABLERO]]=AF$2,100%,AVANCE[[#This Row],[TABLERO]])</f>
        <v>0</v>
      </c>
      <c r="BV608" s="3">
        <f>+IF(AVANCE[[#This Row],[CAJA PAU]]=AG$2,100%,AVANCE[[#This Row],[CAJA PAU]])</f>
        <v>0</v>
      </c>
      <c r="BW608" s="3">
        <f>+IF(AVANCE[[#This Row],[INSTALACION VINILICO]]=AJ$2,100%,AVANCE[[#This Row],[INSTALACION VINILICO]])</f>
        <v>0</v>
      </c>
      <c r="BX608" s="3">
        <f>+IF(AVANCE[[#This Row],[OSB CUBIERTA]]=AK$2,100%,AVANCE[[#This Row],[OSB CUBIERTA]])</f>
        <v>0</v>
      </c>
      <c r="BY608" s="3">
        <f>+IF(AVANCE[[#This Row],[BARANDA BALCON]]=AL$2,100%,AVANCE[[#This Row],[BARANDA BALCON]])</f>
        <v>0</v>
      </c>
      <c r="BZ608" s="3">
        <f>+IF(AVANCE[[#This Row],[OSB EXTERIOR]]=AM$2,100%,AVANCE[[#This Row],[OSB EXTERIOR]])</f>
        <v>0</v>
      </c>
      <c r="CA608" s="3">
        <f>+IF(AVANCE[[#This Row],[SMART PANEL]]=AN$2,100%,AVANCE[[#This Row],[SMART PANEL]])</f>
        <v>0</v>
      </c>
      <c r="CB608" s="3">
        <f>+IF(AVANCE[[#This Row],[PINTURA EXTERIOR]]=AO$2,100%,AVANCE[[#This Row],[PINTURA EXTERIOR]])</f>
        <v>0</v>
      </c>
      <c r="CC608" s="3">
        <f>+IF(AVANCE[[#This Row],[ZOCALOS LOGIA]]=AP$2,100%,AVANCE[[#This Row],[ZOCALOS LOGIA]])</f>
        <v>0</v>
      </c>
      <c r="CD608" s="3">
        <f>+IF(AVANCE[[#This Row],[MOLDURAS]]=AQ$2,100%,AVANCE[[#This Row],[MOLDURAS]])</f>
        <v>0</v>
      </c>
      <c r="CE608" s="3">
        <f>+IF(AVANCE[[#This Row],[PILASTREO]]=AR$2,100%,AVANCE[[#This Row],[PILASTREO]])</f>
        <v>0</v>
      </c>
      <c r="CF608" s="3">
        <f>+IF(AVANCE[[#This Row],[CELOSIAS]]=AS$2,100%,AVANCE[[#This Row],[CELOSIAS]])</f>
        <v>0</v>
      </c>
      <c r="CG608" s="3">
        <f>+IF(AVANCE[[#This Row],[VENTANAS]]=AT$2,100%,AVANCE[[#This Row],[VENTANAS]])</f>
        <v>0</v>
      </c>
      <c r="CH608" s="3">
        <f>+IF(AVANCE[[#This Row],[PUERTAS ACCESO - LOGIA - BANO]]=AU$2,100%,AVANCE[[#This Row],[PUERTAS ACCESO - LOGIA - BANO]])</f>
        <v>0</v>
      </c>
      <c r="CI608" s="3">
        <f>+IF(AVANCE[[#This Row],[CERRADURAS]]=AV$2,100%,AVANCE[[#This Row],[CERRADURAS]])</f>
        <v>0</v>
      </c>
      <c r="CJ608" s="3">
        <f>+IF(AVANCE[[#This Row],[REVESTIMIENTO INTERIOR ZONA SECA]]=AW$2,100%,AVANCE[[#This Row],[REVESTIMIENTO INTERIOR ZONA SECA]])</f>
        <v>0</v>
      </c>
      <c r="CK608" s="3">
        <f>+IF(AVANCE[[#This Row],[REVESTIMIENTO INTERIOR ZONAS HUMEDAS]]=AX$2,100%,AVANCE[[#This Row],[REVESTIMIENTO INTERIOR ZONAS HUMEDAS]])</f>
        <v>0</v>
      </c>
      <c r="CL608" s="3">
        <f>+IF(AVANCE[[#This Row],[MEMBRANA CIELO]]=AY$2,100%,AVANCE[[#This Row],[MEMBRANA CIELO]])</f>
        <v>0</v>
      </c>
      <c r="CM608" s="3">
        <f>+IF(AVANCE[[#This Row],[LIMPIEZA FINAL]]=AZ$2,100%,AVANCE[[#This Row],[LIMPIEZA FINAL]])</f>
        <v>0</v>
      </c>
      <c r="CN608" s="3">
        <f>+IF(AVANCE[[#This Row],[PUERTAS DORMITORIO]]=BA$2,100%,AVANCE[[#This Row],[PUERTAS DORMITORIO]])</f>
        <v>0</v>
      </c>
      <c r="CO608" s="3">
        <f>+IF(AVANCE[[#This Row],[REVESTIMIENTO INTERIOR BANO]]=BB$2,100%,AVANCE[[#This Row],[REVESTIMIENTO INTERIOR BANO]])</f>
        <v>0</v>
      </c>
      <c r="CP608" s="3">
        <f>+IF(AVANCE[[#This Row],[MUEBLE LAVAPLATOS]]=BC$2,100%,AVANCE[[#This Row],[MUEBLE LAVAPLATOS]])</f>
        <v>0</v>
      </c>
      <c r="CQ608" s="3">
        <f>+IF(AVANCE[[#This Row],[IMPERMEABILIZACION BANO - COCINA LOGIA]]=BD$2,100%,AVANCE[[#This Row],[IMPERMEABILIZACION BANO - COCINA LOGIA]])</f>
        <v>0</v>
      </c>
      <c r="CR608" s="40">
        <f ca="1">+IF(AVANCE[[#This Row],[ESTADO MODULO]]="PENDIENTE",(TODAY()-AVANCE[[#This Row],[FECHA TERMINO  PLANIFICADO]]),0)</f>
        <v>0</v>
      </c>
      <c r="CS608" s="42" t="str" cm="1">
        <f t="array" ref="CS608">_xlfn.TEXTJOIN(" | ",TRUE,IF(SUMPRODUCT((BF608:CQ608&lt;1)*(PARTIDAS!$I$2:$AT$2="OBRA GRUESA"))&gt;0,"OBRA GRUESA: "&amp;_xlfn.TEXTJOIN(", ",TRUE,IF((BF608:CQ608&lt;1)*(PARTIDAS!$I$2:$AT$2="OBRA GRUESA"),PARTIDAS!$I$1:$AT$1,"")),""),IF(SUMPRODUCT((BF608:CQ608&lt;1)*(PARTIDAS!$I$2:$AT$2="SANITARIOS"))&gt;0,"SANITARIOS: "&amp;_xlfn.TEXTJOIN(", ",TRUE,IF((BF608:CQ608&lt;1)*(PARTIDAS!$I$2:$AT$2="SANITARIOS"),PARTIDAS!$I$1:$AT$1,"")),""),IF(SUMPRODUCT((BF608:CQ608&lt;1)*(PARTIDAS!$I$2:$AT$2="ELÉCTRICO"))&gt;0,"ELÉCTRICO: "&amp;_xlfn.TEXTJOIN(", ",TRUE,IF((BF608:CQ608&lt;1)*(PARTIDAS!$I$2:$AT$2="ELÉCTRICO"),PARTIDAS!$I$1:$AT$1,"")),""),IF(SUMPRODUCT((BF608:CQ608&lt;1)*(PARTIDAS!$I$2:$AT$2="TERMINACIONES"))&gt;0,"TERMINACIONES: "&amp;_xlfn.TEXTJOIN(", ",TRUE,IF((BF608:CQ608&lt;1)*(PARTIDAS!$I$2:$AT$2="TERMINACIONES"),PARTIDAS!$I$1:$AT$1,"")),""))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8" s="45" t="str" cm="1">
        <f t="array" ref="CT608">_xlfn.TEXTJOIN(", ",TRUE,IF(SUMPRODUCT((BF608:CQ608&lt;1)*(PARTIDAS!$I$2:$AT$2="OBRA GRUESA"))&gt;0,"OBRA GRUESA",""),IF(SUMPRODUCT((BF608:CQ608&lt;1)*(PARTIDAS!$I$2:$AT$2="SANITARIOS"))&gt;0,"SANITARIOS",""),IF(SUMPRODUCT((BF608:CQ608&lt;1)*(PARTIDAS!$I$2:$AT$2="ELÉCTRICO"))&gt;0,"ELÉCTRICO",""),IF(SUMPRODUCT((BF608:CQ608&lt;1)*(PARTIDAS!$I$2:$AT$2="TERMINACIONES"))&gt;0,"TERMINACIONES",""))</f>
        <v>OBRA GRUESA, SANITARIOS, ELÉCTRICO, TERMINACIONES</v>
      </c>
      <c r="CU608" s="46" cm="1">
        <f t="array" ref="CU608">SUMPRODUCT(--(BF608:CQ608&lt;1))</f>
        <v>38</v>
      </c>
    </row>
    <row r="609" spans="1:99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46181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 s="3" t="str">
        <f>+IF(AVANCE[[#This Row],[% AVANCE]]=100%,"MODULO TERMINADO",IF(AVANCE[[#This Row],[FECHA INICIO REAL]]="","MODULO NO INICIADO","PENDIENTE"))</f>
        <v>MODULO NO INICIADO</v>
      </c>
      <c r="BF609" s="3">
        <f>+IF(AVANCE[[#This Row],[VENTANAS]]=8.10810810810811%,100%,AVANCE[[#This Row],[VENTANAS]])</f>
        <v>0</v>
      </c>
      <c r="BG609" s="3">
        <f>+IF(AVANCE[[#This Row],[PISO]]=N$2,100%,AVANCE[[#This Row],[PISO]])</f>
        <v>0</v>
      </c>
      <c r="BH609" s="3">
        <f>+IF(AVANCE[[#This Row],[TABIQUES]]=O$2,100%,AVANCE[[#This Row],[TABIQUES]])</f>
        <v>0</v>
      </c>
      <c r="BI609" s="3">
        <f>+IF(AVANCE[[#This Row],[MUROS]]=P$2,100%,AVANCE[[#This Row],[MUROS]])</f>
        <v>0</v>
      </c>
      <c r="BJ609" s="3">
        <f>+IF(AVANCE[[#This Row],[CIELO]]=Q$2,100%,AVANCE[[#This Row],[CIELO]])</f>
        <v>0</v>
      </c>
      <c r="BK609" s="3">
        <f>+IF(AVANCE[[#This Row],[BALCÓN]]=R$2,100%,AVANCE[[#This Row],[BALCÓN]])</f>
        <v>0</v>
      </c>
      <c r="BL609" s="3">
        <f>+IF(AVANCE[[#This Row],[RED ALCANTARILLADO]]=U$2,100%,AVANCE[[#This Row],[RED ALCANTARILLADO]])</f>
        <v>0</v>
      </c>
      <c r="BM609" s="3">
        <f>+IF(AVANCE[[#This Row],[RED DE AGUA]]=V$2,100%,AVANCE[[#This Row],[RED DE AGUA]])</f>
        <v>0</v>
      </c>
      <c r="BN609" s="3">
        <f>+IF(AVANCE[[#This Row],[VENTILACIONES]]=W$2,100%,AVANCE[[#This Row],[VENTILACIONES]])</f>
        <v>0</v>
      </c>
      <c r="BO609" s="3">
        <f>+IF(AVANCE[[#This Row],[TINA]]=X$2,100%,AVANCE[[#This Row],[TINA]])</f>
        <v>0</v>
      </c>
      <c r="BP609" s="3">
        <f>+IF(AVANCE[[#This Row],[WC]]=Y$2,100%,AVANCE[[#This Row],[WC]])</f>
        <v>0</v>
      </c>
      <c r="BQ609" s="3">
        <f>+IF(AVANCE[[#This Row],[LAVAMANOS / LAVAPLATOS / LAVADERO]]=Z$2,100%,AVANCE[[#This Row],[LAVAMANOS / LAVAPLATOS / LAVADERO]])</f>
        <v>0</v>
      </c>
      <c r="BR609" s="3">
        <f>+IF(AVANCE[[#This Row],[CANALIZACIÓN]]=AC$2,100%,AVANCE[[#This Row],[CANALIZACIÓN]])</f>
        <v>0</v>
      </c>
      <c r="BS609" s="3">
        <f>+IF(AVANCE[[#This Row],[CABLEADO]]=AD$2,100%,AVANCE[[#This Row],[CABLEADO]])</f>
        <v>0</v>
      </c>
      <c r="BT609" s="3">
        <f>+IF(AVANCE[[#This Row],[ARTEFACTOS]]=AE$2,100%,AVANCE[[#This Row],[ARTEFACTOS]])</f>
        <v>0</v>
      </c>
      <c r="BU609" s="3">
        <f>+IF(AVANCE[[#This Row],[TABLERO]]=AF$2,100%,AVANCE[[#This Row],[TABLERO]])</f>
        <v>0</v>
      </c>
      <c r="BV609" s="3">
        <f>+IF(AVANCE[[#This Row],[CAJA PAU]]=AG$2,100%,AVANCE[[#This Row],[CAJA PAU]])</f>
        <v>0</v>
      </c>
      <c r="BW609" s="3">
        <f>+IF(AVANCE[[#This Row],[INSTALACION VINILICO]]=AJ$2,100%,AVANCE[[#This Row],[INSTALACION VINILICO]])</f>
        <v>0</v>
      </c>
      <c r="BX609" s="3">
        <f>+IF(AVANCE[[#This Row],[OSB CUBIERTA]]=AK$2,100%,AVANCE[[#This Row],[OSB CUBIERTA]])</f>
        <v>0</v>
      </c>
      <c r="BY609" s="3">
        <f>+IF(AVANCE[[#This Row],[BARANDA BALCON]]=AL$2,100%,AVANCE[[#This Row],[BARANDA BALCON]])</f>
        <v>0</v>
      </c>
      <c r="BZ609" s="3">
        <f>+IF(AVANCE[[#This Row],[OSB EXTERIOR]]=AM$2,100%,AVANCE[[#This Row],[OSB EXTERIOR]])</f>
        <v>0</v>
      </c>
      <c r="CA609" s="3">
        <f>+IF(AVANCE[[#This Row],[SMART PANEL]]=AN$2,100%,AVANCE[[#This Row],[SMART PANEL]])</f>
        <v>0</v>
      </c>
      <c r="CB609" s="3">
        <f>+IF(AVANCE[[#This Row],[PINTURA EXTERIOR]]=AO$2,100%,AVANCE[[#This Row],[PINTURA EXTERIOR]])</f>
        <v>0</v>
      </c>
      <c r="CC609" s="3">
        <f>+IF(AVANCE[[#This Row],[ZOCALOS LOGIA]]=AP$2,100%,AVANCE[[#This Row],[ZOCALOS LOGIA]])</f>
        <v>0</v>
      </c>
      <c r="CD609" s="3">
        <f>+IF(AVANCE[[#This Row],[MOLDURAS]]=AQ$2,100%,AVANCE[[#This Row],[MOLDURAS]])</f>
        <v>0</v>
      </c>
      <c r="CE609" s="3">
        <f>+IF(AVANCE[[#This Row],[PILASTREO]]=AR$2,100%,AVANCE[[#This Row],[PILASTREO]])</f>
        <v>0</v>
      </c>
      <c r="CF609" s="3">
        <f>+IF(AVANCE[[#This Row],[CELOSIAS]]=AS$2,100%,AVANCE[[#This Row],[CELOSIAS]])</f>
        <v>0</v>
      </c>
      <c r="CG609" s="3">
        <f>+IF(AVANCE[[#This Row],[VENTANAS]]=AT$2,100%,AVANCE[[#This Row],[VENTANAS]])</f>
        <v>0</v>
      </c>
      <c r="CH609" s="3">
        <f>+IF(AVANCE[[#This Row],[PUERTAS ACCESO - LOGIA - BANO]]=AU$2,100%,AVANCE[[#This Row],[PUERTAS ACCESO - LOGIA - BANO]])</f>
        <v>0</v>
      </c>
      <c r="CI609" s="3">
        <f>+IF(AVANCE[[#This Row],[CERRADURAS]]=AV$2,100%,AVANCE[[#This Row],[CERRADURAS]])</f>
        <v>0</v>
      </c>
      <c r="CJ609" s="3">
        <f>+IF(AVANCE[[#This Row],[REVESTIMIENTO INTERIOR ZONA SECA]]=AW$2,100%,AVANCE[[#This Row],[REVESTIMIENTO INTERIOR ZONA SECA]])</f>
        <v>0</v>
      </c>
      <c r="CK609" s="3">
        <f>+IF(AVANCE[[#This Row],[REVESTIMIENTO INTERIOR ZONAS HUMEDAS]]=AX$2,100%,AVANCE[[#This Row],[REVESTIMIENTO INTERIOR ZONAS HUMEDAS]])</f>
        <v>0</v>
      </c>
      <c r="CL609" s="3">
        <f>+IF(AVANCE[[#This Row],[MEMBRANA CIELO]]=AY$2,100%,AVANCE[[#This Row],[MEMBRANA CIELO]])</f>
        <v>0</v>
      </c>
      <c r="CM609" s="3">
        <f>+IF(AVANCE[[#This Row],[LIMPIEZA FINAL]]=AZ$2,100%,AVANCE[[#This Row],[LIMPIEZA FINAL]])</f>
        <v>0</v>
      </c>
      <c r="CN609" s="3">
        <f>+IF(AVANCE[[#This Row],[PUERTAS DORMITORIO]]=BA$2,100%,AVANCE[[#This Row],[PUERTAS DORMITORIO]])</f>
        <v>0</v>
      </c>
      <c r="CO609" s="3">
        <f>+IF(AVANCE[[#This Row],[REVESTIMIENTO INTERIOR BANO]]=BB$2,100%,AVANCE[[#This Row],[REVESTIMIENTO INTERIOR BANO]])</f>
        <v>0</v>
      </c>
      <c r="CP609" s="3">
        <f>+IF(AVANCE[[#This Row],[MUEBLE LAVAPLATOS]]=BC$2,100%,AVANCE[[#This Row],[MUEBLE LAVAPLATOS]])</f>
        <v>0</v>
      </c>
      <c r="CQ609" s="3">
        <f>+IF(AVANCE[[#This Row],[IMPERMEABILIZACION BANO - COCINA LOGIA]]=BD$2,100%,AVANCE[[#This Row],[IMPERMEABILIZACION BANO - COCINA LOGIA]])</f>
        <v>0</v>
      </c>
      <c r="CR609" s="40">
        <f ca="1">+IF(AVANCE[[#This Row],[ESTADO MODULO]]="PENDIENTE",(TODAY()-AVANCE[[#This Row],[FECHA TERMINO  PLANIFICADO]]),0)</f>
        <v>0</v>
      </c>
      <c r="CS609" s="42" t="str" cm="1">
        <f t="array" ref="CS609">_xlfn.TEXTJOIN(" | ",TRUE,IF(SUMPRODUCT((BF609:CQ609&lt;1)*(PARTIDAS!$I$2:$AT$2="OBRA GRUESA"))&gt;0,"OBRA GRUESA: "&amp;_xlfn.TEXTJOIN(", ",TRUE,IF((BF609:CQ609&lt;1)*(PARTIDAS!$I$2:$AT$2="OBRA GRUESA"),PARTIDAS!$I$1:$AT$1,"")),""),IF(SUMPRODUCT((BF609:CQ609&lt;1)*(PARTIDAS!$I$2:$AT$2="SANITARIOS"))&gt;0,"SANITARIOS: "&amp;_xlfn.TEXTJOIN(", ",TRUE,IF((BF609:CQ609&lt;1)*(PARTIDAS!$I$2:$AT$2="SANITARIOS"),PARTIDAS!$I$1:$AT$1,"")),""),IF(SUMPRODUCT((BF609:CQ609&lt;1)*(PARTIDAS!$I$2:$AT$2="ELÉCTRICO"))&gt;0,"ELÉCTRICO: "&amp;_xlfn.TEXTJOIN(", ",TRUE,IF((BF609:CQ609&lt;1)*(PARTIDAS!$I$2:$AT$2="ELÉCTRICO"),PARTIDAS!$I$1:$AT$1,"")),""),IF(SUMPRODUCT((BF609:CQ609&lt;1)*(PARTIDAS!$I$2:$AT$2="TERMINACIONES"))&gt;0,"TERMINACIONES: "&amp;_xlfn.TEXTJOIN(", ",TRUE,IF((BF609:CQ609&lt;1)*(PARTIDAS!$I$2:$AT$2="TERMINACIONES"),PARTIDAS!$I$1:$AT$1,"")),""))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09" s="45" t="str" cm="1">
        <f t="array" ref="CT609">_xlfn.TEXTJOIN(", ",TRUE,IF(SUMPRODUCT((BF609:CQ609&lt;1)*(PARTIDAS!$I$2:$AT$2="OBRA GRUESA"))&gt;0,"OBRA GRUESA",""),IF(SUMPRODUCT((BF609:CQ609&lt;1)*(PARTIDAS!$I$2:$AT$2="SANITARIOS"))&gt;0,"SANITARIOS",""),IF(SUMPRODUCT((BF609:CQ609&lt;1)*(PARTIDAS!$I$2:$AT$2="ELÉCTRICO"))&gt;0,"ELÉCTRICO",""),IF(SUMPRODUCT((BF609:CQ609&lt;1)*(PARTIDAS!$I$2:$AT$2="TERMINACIONES"))&gt;0,"TERMINACIONES",""))</f>
        <v>OBRA GRUESA, SANITARIOS, ELÉCTRICO, TERMINACIONES</v>
      </c>
      <c r="CU609" s="46" cm="1">
        <f t="array" ref="CU609">SUMPRODUCT(--(BF609:CQ609&lt;1))</f>
        <v>38</v>
      </c>
    </row>
    <row r="610" spans="1:99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46181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 s="3" t="str">
        <f>+IF(AVANCE[[#This Row],[% AVANCE]]=100%,"MODULO TERMINADO",IF(AVANCE[[#This Row],[FECHA INICIO REAL]]="","MODULO NO INICIADO","PENDIENTE"))</f>
        <v>MODULO NO INICIADO</v>
      </c>
      <c r="BF610" s="3">
        <f>+IF(AVANCE[[#This Row],[VENTANAS]]=8.10810810810811%,100%,AVANCE[[#This Row],[VENTANAS]])</f>
        <v>0</v>
      </c>
      <c r="BG610" s="3">
        <f>+IF(AVANCE[[#This Row],[PISO]]=N$2,100%,AVANCE[[#This Row],[PISO]])</f>
        <v>0</v>
      </c>
      <c r="BH610" s="3">
        <f>+IF(AVANCE[[#This Row],[TABIQUES]]=O$2,100%,AVANCE[[#This Row],[TABIQUES]])</f>
        <v>0</v>
      </c>
      <c r="BI610" s="3">
        <f>+IF(AVANCE[[#This Row],[MUROS]]=P$2,100%,AVANCE[[#This Row],[MUROS]])</f>
        <v>0</v>
      </c>
      <c r="BJ610" s="3">
        <f>+IF(AVANCE[[#This Row],[CIELO]]=Q$2,100%,AVANCE[[#This Row],[CIELO]])</f>
        <v>0</v>
      </c>
      <c r="BK610" s="3">
        <f>+IF(AVANCE[[#This Row],[BALCÓN]]=R$2,100%,AVANCE[[#This Row],[BALCÓN]])</f>
        <v>0</v>
      </c>
      <c r="BL610" s="3">
        <f>+IF(AVANCE[[#This Row],[RED ALCANTARILLADO]]=U$2,100%,AVANCE[[#This Row],[RED ALCANTARILLADO]])</f>
        <v>0</v>
      </c>
      <c r="BM610" s="3">
        <f>+IF(AVANCE[[#This Row],[RED DE AGUA]]=V$2,100%,AVANCE[[#This Row],[RED DE AGUA]])</f>
        <v>0</v>
      </c>
      <c r="BN610" s="3">
        <f>+IF(AVANCE[[#This Row],[VENTILACIONES]]=W$2,100%,AVANCE[[#This Row],[VENTILACIONES]])</f>
        <v>0</v>
      </c>
      <c r="BO610" s="3">
        <f>+IF(AVANCE[[#This Row],[TINA]]=X$2,100%,AVANCE[[#This Row],[TINA]])</f>
        <v>0</v>
      </c>
      <c r="BP610" s="3">
        <f>+IF(AVANCE[[#This Row],[WC]]=Y$2,100%,AVANCE[[#This Row],[WC]])</f>
        <v>0</v>
      </c>
      <c r="BQ610" s="3">
        <f>+IF(AVANCE[[#This Row],[LAVAMANOS / LAVAPLATOS / LAVADERO]]=Z$2,100%,AVANCE[[#This Row],[LAVAMANOS / LAVAPLATOS / LAVADERO]])</f>
        <v>0</v>
      </c>
      <c r="BR610" s="3">
        <f>+IF(AVANCE[[#This Row],[CANALIZACIÓN]]=AC$2,100%,AVANCE[[#This Row],[CANALIZACIÓN]])</f>
        <v>0</v>
      </c>
      <c r="BS610" s="3">
        <f>+IF(AVANCE[[#This Row],[CABLEADO]]=AD$2,100%,AVANCE[[#This Row],[CABLEADO]])</f>
        <v>0</v>
      </c>
      <c r="BT610" s="3">
        <f>+IF(AVANCE[[#This Row],[ARTEFACTOS]]=AE$2,100%,AVANCE[[#This Row],[ARTEFACTOS]])</f>
        <v>0</v>
      </c>
      <c r="BU610" s="3">
        <f>+IF(AVANCE[[#This Row],[TABLERO]]=AF$2,100%,AVANCE[[#This Row],[TABLERO]])</f>
        <v>0</v>
      </c>
      <c r="BV610" s="3">
        <f>+IF(AVANCE[[#This Row],[CAJA PAU]]=AG$2,100%,AVANCE[[#This Row],[CAJA PAU]])</f>
        <v>0</v>
      </c>
      <c r="BW610" s="3">
        <f>+IF(AVANCE[[#This Row],[INSTALACION VINILICO]]=AJ$2,100%,AVANCE[[#This Row],[INSTALACION VINILICO]])</f>
        <v>0</v>
      </c>
      <c r="BX610" s="3">
        <f>+IF(AVANCE[[#This Row],[OSB CUBIERTA]]=AK$2,100%,AVANCE[[#This Row],[OSB CUBIERTA]])</f>
        <v>0</v>
      </c>
      <c r="BY610" s="3">
        <f>+IF(AVANCE[[#This Row],[BARANDA BALCON]]=AL$2,100%,AVANCE[[#This Row],[BARANDA BALCON]])</f>
        <v>0</v>
      </c>
      <c r="BZ610" s="3">
        <f>+IF(AVANCE[[#This Row],[OSB EXTERIOR]]=AM$2,100%,AVANCE[[#This Row],[OSB EXTERIOR]])</f>
        <v>0</v>
      </c>
      <c r="CA610" s="3">
        <f>+IF(AVANCE[[#This Row],[SMART PANEL]]=AN$2,100%,AVANCE[[#This Row],[SMART PANEL]])</f>
        <v>0</v>
      </c>
      <c r="CB610" s="3">
        <f>+IF(AVANCE[[#This Row],[PINTURA EXTERIOR]]=AO$2,100%,AVANCE[[#This Row],[PINTURA EXTERIOR]])</f>
        <v>0</v>
      </c>
      <c r="CC610" s="3">
        <f>+IF(AVANCE[[#This Row],[ZOCALOS LOGIA]]=AP$2,100%,AVANCE[[#This Row],[ZOCALOS LOGIA]])</f>
        <v>0</v>
      </c>
      <c r="CD610" s="3">
        <f>+IF(AVANCE[[#This Row],[MOLDURAS]]=AQ$2,100%,AVANCE[[#This Row],[MOLDURAS]])</f>
        <v>0</v>
      </c>
      <c r="CE610" s="3">
        <f>+IF(AVANCE[[#This Row],[PILASTREO]]=AR$2,100%,AVANCE[[#This Row],[PILASTREO]])</f>
        <v>0</v>
      </c>
      <c r="CF610" s="3">
        <f>+IF(AVANCE[[#This Row],[CELOSIAS]]=AS$2,100%,AVANCE[[#This Row],[CELOSIAS]])</f>
        <v>0</v>
      </c>
      <c r="CG610" s="3">
        <f>+IF(AVANCE[[#This Row],[VENTANAS]]=AT$2,100%,AVANCE[[#This Row],[VENTANAS]])</f>
        <v>0</v>
      </c>
      <c r="CH610" s="3">
        <f>+IF(AVANCE[[#This Row],[PUERTAS ACCESO - LOGIA - BANO]]=AU$2,100%,AVANCE[[#This Row],[PUERTAS ACCESO - LOGIA - BANO]])</f>
        <v>0</v>
      </c>
      <c r="CI610" s="3">
        <f>+IF(AVANCE[[#This Row],[CERRADURAS]]=AV$2,100%,AVANCE[[#This Row],[CERRADURAS]])</f>
        <v>0</v>
      </c>
      <c r="CJ610" s="3">
        <f>+IF(AVANCE[[#This Row],[REVESTIMIENTO INTERIOR ZONA SECA]]=AW$2,100%,AVANCE[[#This Row],[REVESTIMIENTO INTERIOR ZONA SECA]])</f>
        <v>0</v>
      </c>
      <c r="CK610" s="3">
        <f>+IF(AVANCE[[#This Row],[REVESTIMIENTO INTERIOR ZONAS HUMEDAS]]=AX$2,100%,AVANCE[[#This Row],[REVESTIMIENTO INTERIOR ZONAS HUMEDAS]])</f>
        <v>0</v>
      </c>
      <c r="CL610" s="3">
        <f>+IF(AVANCE[[#This Row],[MEMBRANA CIELO]]=AY$2,100%,AVANCE[[#This Row],[MEMBRANA CIELO]])</f>
        <v>0</v>
      </c>
      <c r="CM610" s="3">
        <f>+IF(AVANCE[[#This Row],[LIMPIEZA FINAL]]=AZ$2,100%,AVANCE[[#This Row],[LIMPIEZA FINAL]])</f>
        <v>0</v>
      </c>
      <c r="CN610" s="3">
        <f>+IF(AVANCE[[#This Row],[PUERTAS DORMITORIO]]=BA$2,100%,AVANCE[[#This Row],[PUERTAS DORMITORIO]])</f>
        <v>0</v>
      </c>
      <c r="CO610" s="3">
        <f>+IF(AVANCE[[#This Row],[REVESTIMIENTO INTERIOR BANO]]=BB$2,100%,AVANCE[[#This Row],[REVESTIMIENTO INTERIOR BANO]])</f>
        <v>0</v>
      </c>
      <c r="CP610" s="3">
        <f>+IF(AVANCE[[#This Row],[MUEBLE LAVAPLATOS]]=BC$2,100%,AVANCE[[#This Row],[MUEBLE LAVAPLATOS]])</f>
        <v>0</v>
      </c>
      <c r="CQ610" s="3">
        <f>+IF(AVANCE[[#This Row],[IMPERMEABILIZACION BANO - COCINA LOGIA]]=BD$2,100%,AVANCE[[#This Row],[IMPERMEABILIZACION BANO - COCINA LOGIA]])</f>
        <v>0</v>
      </c>
      <c r="CR610" s="40">
        <f ca="1">+IF(AVANCE[[#This Row],[ESTADO MODULO]]="PENDIENTE",(TODAY()-AVANCE[[#This Row],[FECHA TERMINO  PLANIFICADO]]),0)</f>
        <v>0</v>
      </c>
      <c r="CS610" s="42" t="str" cm="1">
        <f t="array" ref="CS610">_xlfn.TEXTJOIN(" | ",TRUE,IF(SUMPRODUCT((BF610:CQ610&lt;1)*(PARTIDAS!$I$2:$AT$2="OBRA GRUESA"))&gt;0,"OBRA GRUESA: "&amp;_xlfn.TEXTJOIN(", ",TRUE,IF((BF610:CQ610&lt;1)*(PARTIDAS!$I$2:$AT$2="OBRA GRUESA"),PARTIDAS!$I$1:$AT$1,"")),""),IF(SUMPRODUCT((BF610:CQ610&lt;1)*(PARTIDAS!$I$2:$AT$2="SANITARIOS"))&gt;0,"SANITARIOS: "&amp;_xlfn.TEXTJOIN(", ",TRUE,IF((BF610:CQ610&lt;1)*(PARTIDAS!$I$2:$AT$2="SANITARIOS"),PARTIDAS!$I$1:$AT$1,"")),""),IF(SUMPRODUCT((BF610:CQ610&lt;1)*(PARTIDAS!$I$2:$AT$2="ELÉCTRICO"))&gt;0,"ELÉCTRICO: "&amp;_xlfn.TEXTJOIN(", ",TRUE,IF((BF610:CQ610&lt;1)*(PARTIDAS!$I$2:$AT$2="ELÉCTRICO"),PARTIDAS!$I$1:$AT$1,"")),""),IF(SUMPRODUCT((BF610:CQ610&lt;1)*(PARTIDAS!$I$2:$AT$2="TERMINACIONES"))&gt;0,"TERMINACIONES: "&amp;_xlfn.TEXTJOIN(", ",TRUE,IF((BF610:CQ610&lt;1)*(PARTIDAS!$I$2:$AT$2="TERMINACIONES"),PARTIDAS!$I$1:$AT$1,"")),""))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0" s="45" t="str" cm="1">
        <f t="array" ref="CT610">_xlfn.TEXTJOIN(", ",TRUE,IF(SUMPRODUCT((BF610:CQ610&lt;1)*(PARTIDAS!$I$2:$AT$2="OBRA GRUESA"))&gt;0,"OBRA GRUESA",""),IF(SUMPRODUCT((BF610:CQ610&lt;1)*(PARTIDAS!$I$2:$AT$2="SANITARIOS"))&gt;0,"SANITARIOS",""),IF(SUMPRODUCT((BF610:CQ610&lt;1)*(PARTIDAS!$I$2:$AT$2="ELÉCTRICO"))&gt;0,"ELÉCTRICO",""),IF(SUMPRODUCT((BF610:CQ610&lt;1)*(PARTIDAS!$I$2:$AT$2="TERMINACIONES"))&gt;0,"TERMINACIONES",""))</f>
        <v>OBRA GRUESA, SANITARIOS, ELÉCTRICO, TERMINACIONES</v>
      </c>
      <c r="CU610" s="46" cm="1">
        <f t="array" ref="CU610">SUMPRODUCT(--(BF610:CQ610&lt;1))</f>
        <v>38</v>
      </c>
    </row>
    <row r="611" spans="1:99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46181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 s="3" t="str">
        <f>+IF(AVANCE[[#This Row],[% AVANCE]]=100%,"MODULO TERMINADO",IF(AVANCE[[#This Row],[FECHA INICIO REAL]]="","MODULO NO INICIADO","PENDIENTE"))</f>
        <v>MODULO NO INICIADO</v>
      </c>
      <c r="BF611" s="3">
        <f>+IF(AVANCE[[#This Row],[VENTANAS]]=8.10810810810811%,100%,AVANCE[[#This Row],[VENTANAS]])</f>
        <v>0</v>
      </c>
      <c r="BG611" s="3">
        <f>+IF(AVANCE[[#This Row],[PISO]]=N$2,100%,AVANCE[[#This Row],[PISO]])</f>
        <v>0</v>
      </c>
      <c r="BH611" s="3">
        <f>+IF(AVANCE[[#This Row],[TABIQUES]]=O$2,100%,AVANCE[[#This Row],[TABIQUES]])</f>
        <v>0</v>
      </c>
      <c r="BI611" s="3">
        <f>+IF(AVANCE[[#This Row],[MUROS]]=P$2,100%,AVANCE[[#This Row],[MUROS]])</f>
        <v>0</v>
      </c>
      <c r="BJ611" s="3">
        <f>+IF(AVANCE[[#This Row],[CIELO]]=Q$2,100%,AVANCE[[#This Row],[CIELO]])</f>
        <v>0</v>
      </c>
      <c r="BK611" s="3">
        <f>+IF(AVANCE[[#This Row],[BALCÓN]]=R$2,100%,AVANCE[[#This Row],[BALCÓN]])</f>
        <v>0</v>
      </c>
      <c r="BL611" s="3">
        <f>+IF(AVANCE[[#This Row],[RED ALCANTARILLADO]]=U$2,100%,AVANCE[[#This Row],[RED ALCANTARILLADO]])</f>
        <v>0</v>
      </c>
      <c r="BM611" s="3">
        <f>+IF(AVANCE[[#This Row],[RED DE AGUA]]=V$2,100%,AVANCE[[#This Row],[RED DE AGUA]])</f>
        <v>0</v>
      </c>
      <c r="BN611" s="3">
        <f>+IF(AVANCE[[#This Row],[VENTILACIONES]]=W$2,100%,AVANCE[[#This Row],[VENTILACIONES]])</f>
        <v>0</v>
      </c>
      <c r="BO611" s="3">
        <f>+IF(AVANCE[[#This Row],[TINA]]=X$2,100%,AVANCE[[#This Row],[TINA]])</f>
        <v>0</v>
      </c>
      <c r="BP611" s="3">
        <f>+IF(AVANCE[[#This Row],[WC]]=Y$2,100%,AVANCE[[#This Row],[WC]])</f>
        <v>0</v>
      </c>
      <c r="BQ611" s="3">
        <f>+IF(AVANCE[[#This Row],[LAVAMANOS / LAVAPLATOS / LAVADERO]]=Z$2,100%,AVANCE[[#This Row],[LAVAMANOS / LAVAPLATOS / LAVADERO]])</f>
        <v>0</v>
      </c>
      <c r="BR611" s="3">
        <f>+IF(AVANCE[[#This Row],[CANALIZACIÓN]]=AC$2,100%,AVANCE[[#This Row],[CANALIZACIÓN]])</f>
        <v>0</v>
      </c>
      <c r="BS611" s="3">
        <f>+IF(AVANCE[[#This Row],[CABLEADO]]=AD$2,100%,AVANCE[[#This Row],[CABLEADO]])</f>
        <v>0</v>
      </c>
      <c r="BT611" s="3">
        <f>+IF(AVANCE[[#This Row],[ARTEFACTOS]]=AE$2,100%,AVANCE[[#This Row],[ARTEFACTOS]])</f>
        <v>0</v>
      </c>
      <c r="BU611" s="3">
        <f>+IF(AVANCE[[#This Row],[TABLERO]]=AF$2,100%,AVANCE[[#This Row],[TABLERO]])</f>
        <v>0</v>
      </c>
      <c r="BV611" s="3">
        <f>+IF(AVANCE[[#This Row],[CAJA PAU]]=AG$2,100%,AVANCE[[#This Row],[CAJA PAU]])</f>
        <v>0</v>
      </c>
      <c r="BW611" s="3">
        <f>+IF(AVANCE[[#This Row],[INSTALACION VINILICO]]=AJ$2,100%,AVANCE[[#This Row],[INSTALACION VINILICO]])</f>
        <v>0</v>
      </c>
      <c r="BX611" s="3">
        <f>+IF(AVANCE[[#This Row],[OSB CUBIERTA]]=AK$2,100%,AVANCE[[#This Row],[OSB CUBIERTA]])</f>
        <v>0</v>
      </c>
      <c r="BY611" s="3">
        <f>+IF(AVANCE[[#This Row],[BARANDA BALCON]]=AL$2,100%,AVANCE[[#This Row],[BARANDA BALCON]])</f>
        <v>0</v>
      </c>
      <c r="BZ611" s="3">
        <f>+IF(AVANCE[[#This Row],[OSB EXTERIOR]]=AM$2,100%,AVANCE[[#This Row],[OSB EXTERIOR]])</f>
        <v>0</v>
      </c>
      <c r="CA611" s="3">
        <f>+IF(AVANCE[[#This Row],[SMART PANEL]]=AN$2,100%,AVANCE[[#This Row],[SMART PANEL]])</f>
        <v>0</v>
      </c>
      <c r="CB611" s="3">
        <f>+IF(AVANCE[[#This Row],[PINTURA EXTERIOR]]=AO$2,100%,AVANCE[[#This Row],[PINTURA EXTERIOR]])</f>
        <v>0</v>
      </c>
      <c r="CC611" s="3">
        <f>+IF(AVANCE[[#This Row],[ZOCALOS LOGIA]]=AP$2,100%,AVANCE[[#This Row],[ZOCALOS LOGIA]])</f>
        <v>0</v>
      </c>
      <c r="CD611" s="3">
        <f>+IF(AVANCE[[#This Row],[MOLDURAS]]=AQ$2,100%,AVANCE[[#This Row],[MOLDURAS]])</f>
        <v>0</v>
      </c>
      <c r="CE611" s="3">
        <f>+IF(AVANCE[[#This Row],[PILASTREO]]=AR$2,100%,AVANCE[[#This Row],[PILASTREO]])</f>
        <v>0</v>
      </c>
      <c r="CF611" s="3">
        <f>+IF(AVANCE[[#This Row],[CELOSIAS]]=AS$2,100%,AVANCE[[#This Row],[CELOSIAS]])</f>
        <v>0</v>
      </c>
      <c r="CG611" s="3">
        <f>+IF(AVANCE[[#This Row],[VENTANAS]]=AT$2,100%,AVANCE[[#This Row],[VENTANAS]])</f>
        <v>0</v>
      </c>
      <c r="CH611" s="3">
        <f>+IF(AVANCE[[#This Row],[PUERTAS ACCESO - LOGIA - BANO]]=AU$2,100%,AVANCE[[#This Row],[PUERTAS ACCESO - LOGIA - BANO]])</f>
        <v>0</v>
      </c>
      <c r="CI611" s="3">
        <f>+IF(AVANCE[[#This Row],[CERRADURAS]]=AV$2,100%,AVANCE[[#This Row],[CERRADURAS]])</f>
        <v>0</v>
      </c>
      <c r="CJ611" s="3">
        <f>+IF(AVANCE[[#This Row],[REVESTIMIENTO INTERIOR ZONA SECA]]=AW$2,100%,AVANCE[[#This Row],[REVESTIMIENTO INTERIOR ZONA SECA]])</f>
        <v>0</v>
      </c>
      <c r="CK611" s="3">
        <f>+IF(AVANCE[[#This Row],[REVESTIMIENTO INTERIOR ZONAS HUMEDAS]]=AX$2,100%,AVANCE[[#This Row],[REVESTIMIENTO INTERIOR ZONAS HUMEDAS]])</f>
        <v>0</v>
      </c>
      <c r="CL611" s="3">
        <f>+IF(AVANCE[[#This Row],[MEMBRANA CIELO]]=AY$2,100%,AVANCE[[#This Row],[MEMBRANA CIELO]])</f>
        <v>0</v>
      </c>
      <c r="CM611" s="3">
        <f>+IF(AVANCE[[#This Row],[LIMPIEZA FINAL]]=AZ$2,100%,AVANCE[[#This Row],[LIMPIEZA FINAL]])</f>
        <v>0</v>
      </c>
      <c r="CN611" s="3">
        <f>+IF(AVANCE[[#This Row],[PUERTAS DORMITORIO]]=BA$2,100%,AVANCE[[#This Row],[PUERTAS DORMITORIO]])</f>
        <v>0</v>
      </c>
      <c r="CO611" s="3">
        <f>+IF(AVANCE[[#This Row],[REVESTIMIENTO INTERIOR BANO]]=BB$2,100%,AVANCE[[#This Row],[REVESTIMIENTO INTERIOR BANO]])</f>
        <v>0</v>
      </c>
      <c r="CP611" s="3">
        <f>+IF(AVANCE[[#This Row],[MUEBLE LAVAPLATOS]]=BC$2,100%,AVANCE[[#This Row],[MUEBLE LAVAPLATOS]])</f>
        <v>0</v>
      </c>
      <c r="CQ611" s="3">
        <f>+IF(AVANCE[[#This Row],[IMPERMEABILIZACION BANO - COCINA LOGIA]]=BD$2,100%,AVANCE[[#This Row],[IMPERMEABILIZACION BANO - COCINA LOGIA]])</f>
        <v>0</v>
      </c>
      <c r="CR611" s="40">
        <f ca="1">+IF(AVANCE[[#This Row],[ESTADO MODULO]]="PENDIENTE",(TODAY()-AVANCE[[#This Row],[FECHA TERMINO  PLANIFICADO]]),0)</f>
        <v>0</v>
      </c>
      <c r="CS611" s="42" t="str" cm="1">
        <f t="array" ref="CS611">_xlfn.TEXTJOIN(" | ",TRUE,IF(SUMPRODUCT((BF611:CQ611&lt;1)*(PARTIDAS!$I$2:$AT$2="OBRA GRUESA"))&gt;0,"OBRA GRUESA: "&amp;_xlfn.TEXTJOIN(", ",TRUE,IF((BF611:CQ611&lt;1)*(PARTIDAS!$I$2:$AT$2="OBRA GRUESA"),PARTIDAS!$I$1:$AT$1,"")),""),IF(SUMPRODUCT((BF611:CQ611&lt;1)*(PARTIDAS!$I$2:$AT$2="SANITARIOS"))&gt;0,"SANITARIOS: "&amp;_xlfn.TEXTJOIN(", ",TRUE,IF((BF611:CQ611&lt;1)*(PARTIDAS!$I$2:$AT$2="SANITARIOS"),PARTIDAS!$I$1:$AT$1,"")),""),IF(SUMPRODUCT((BF611:CQ611&lt;1)*(PARTIDAS!$I$2:$AT$2="ELÉCTRICO"))&gt;0,"ELÉCTRICO: "&amp;_xlfn.TEXTJOIN(", ",TRUE,IF((BF611:CQ611&lt;1)*(PARTIDAS!$I$2:$AT$2="ELÉCTRICO"),PARTIDAS!$I$1:$AT$1,"")),""),IF(SUMPRODUCT((BF611:CQ611&lt;1)*(PARTIDAS!$I$2:$AT$2="TERMINACIONES"))&gt;0,"TERMINACIONES: "&amp;_xlfn.TEXTJOIN(", ",TRUE,IF((BF611:CQ611&lt;1)*(PARTIDAS!$I$2:$AT$2="TERMINACIONES"),PARTIDAS!$I$1:$AT$1,"")),""))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1" s="45" t="str" cm="1">
        <f t="array" ref="CT611">_xlfn.TEXTJOIN(", ",TRUE,IF(SUMPRODUCT((BF611:CQ611&lt;1)*(PARTIDAS!$I$2:$AT$2="OBRA GRUESA"))&gt;0,"OBRA GRUESA",""),IF(SUMPRODUCT((BF611:CQ611&lt;1)*(PARTIDAS!$I$2:$AT$2="SANITARIOS"))&gt;0,"SANITARIOS",""),IF(SUMPRODUCT((BF611:CQ611&lt;1)*(PARTIDAS!$I$2:$AT$2="ELÉCTRICO"))&gt;0,"ELÉCTRICO",""),IF(SUMPRODUCT((BF611:CQ611&lt;1)*(PARTIDAS!$I$2:$AT$2="TERMINACIONES"))&gt;0,"TERMINACIONES",""))</f>
        <v>OBRA GRUESA, SANITARIOS, ELÉCTRICO, TERMINACIONES</v>
      </c>
      <c r="CU611" s="46" cm="1">
        <f t="array" ref="CU611">SUMPRODUCT(--(BF611:CQ611&lt;1))</f>
        <v>38</v>
      </c>
    </row>
    <row r="612" spans="1:99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46181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 s="3" t="str">
        <f>+IF(AVANCE[[#This Row],[% AVANCE]]=100%,"MODULO TERMINADO",IF(AVANCE[[#This Row],[FECHA INICIO REAL]]="","MODULO NO INICIADO","PENDIENTE"))</f>
        <v>MODULO NO INICIADO</v>
      </c>
      <c r="BF612" s="3">
        <f>+IF(AVANCE[[#This Row],[VENTANAS]]=8.10810810810811%,100%,AVANCE[[#This Row],[VENTANAS]])</f>
        <v>0</v>
      </c>
      <c r="BG612" s="3">
        <f>+IF(AVANCE[[#This Row],[PISO]]=N$2,100%,AVANCE[[#This Row],[PISO]])</f>
        <v>0</v>
      </c>
      <c r="BH612" s="3">
        <f>+IF(AVANCE[[#This Row],[TABIQUES]]=O$2,100%,AVANCE[[#This Row],[TABIQUES]])</f>
        <v>0</v>
      </c>
      <c r="BI612" s="3">
        <f>+IF(AVANCE[[#This Row],[MUROS]]=P$2,100%,AVANCE[[#This Row],[MUROS]])</f>
        <v>0</v>
      </c>
      <c r="BJ612" s="3">
        <f>+IF(AVANCE[[#This Row],[CIELO]]=Q$2,100%,AVANCE[[#This Row],[CIELO]])</f>
        <v>0</v>
      </c>
      <c r="BK612" s="3">
        <f>+IF(AVANCE[[#This Row],[BALCÓN]]=R$2,100%,AVANCE[[#This Row],[BALCÓN]])</f>
        <v>0</v>
      </c>
      <c r="BL612" s="3">
        <f>+IF(AVANCE[[#This Row],[RED ALCANTARILLADO]]=U$2,100%,AVANCE[[#This Row],[RED ALCANTARILLADO]])</f>
        <v>0</v>
      </c>
      <c r="BM612" s="3">
        <f>+IF(AVANCE[[#This Row],[RED DE AGUA]]=V$2,100%,AVANCE[[#This Row],[RED DE AGUA]])</f>
        <v>0</v>
      </c>
      <c r="BN612" s="3">
        <f>+IF(AVANCE[[#This Row],[VENTILACIONES]]=W$2,100%,AVANCE[[#This Row],[VENTILACIONES]])</f>
        <v>0</v>
      </c>
      <c r="BO612" s="3">
        <f>+IF(AVANCE[[#This Row],[TINA]]=X$2,100%,AVANCE[[#This Row],[TINA]])</f>
        <v>0</v>
      </c>
      <c r="BP612" s="3">
        <f>+IF(AVANCE[[#This Row],[WC]]=Y$2,100%,AVANCE[[#This Row],[WC]])</f>
        <v>0</v>
      </c>
      <c r="BQ612" s="3">
        <f>+IF(AVANCE[[#This Row],[LAVAMANOS / LAVAPLATOS / LAVADERO]]=Z$2,100%,AVANCE[[#This Row],[LAVAMANOS / LAVAPLATOS / LAVADERO]])</f>
        <v>0</v>
      </c>
      <c r="BR612" s="3">
        <f>+IF(AVANCE[[#This Row],[CANALIZACIÓN]]=AC$2,100%,AVANCE[[#This Row],[CANALIZACIÓN]])</f>
        <v>0</v>
      </c>
      <c r="BS612" s="3">
        <f>+IF(AVANCE[[#This Row],[CABLEADO]]=AD$2,100%,AVANCE[[#This Row],[CABLEADO]])</f>
        <v>0</v>
      </c>
      <c r="BT612" s="3">
        <f>+IF(AVANCE[[#This Row],[ARTEFACTOS]]=AE$2,100%,AVANCE[[#This Row],[ARTEFACTOS]])</f>
        <v>0</v>
      </c>
      <c r="BU612" s="3">
        <f>+IF(AVANCE[[#This Row],[TABLERO]]=AF$2,100%,AVANCE[[#This Row],[TABLERO]])</f>
        <v>0</v>
      </c>
      <c r="BV612" s="3">
        <f>+IF(AVANCE[[#This Row],[CAJA PAU]]=AG$2,100%,AVANCE[[#This Row],[CAJA PAU]])</f>
        <v>0</v>
      </c>
      <c r="BW612" s="3">
        <f>+IF(AVANCE[[#This Row],[INSTALACION VINILICO]]=AJ$2,100%,AVANCE[[#This Row],[INSTALACION VINILICO]])</f>
        <v>0</v>
      </c>
      <c r="BX612" s="3">
        <f>+IF(AVANCE[[#This Row],[OSB CUBIERTA]]=AK$2,100%,AVANCE[[#This Row],[OSB CUBIERTA]])</f>
        <v>0</v>
      </c>
      <c r="BY612" s="3">
        <f>+IF(AVANCE[[#This Row],[BARANDA BALCON]]=AL$2,100%,AVANCE[[#This Row],[BARANDA BALCON]])</f>
        <v>0</v>
      </c>
      <c r="BZ612" s="3">
        <f>+IF(AVANCE[[#This Row],[OSB EXTERIOR]]=AM$2,100%,AVANCE[[#This Row],[OSB EXTERIOR]])</f>
        <v>0</v>
      </c>
      <c r="CA612" s="3">
        <f>+IF(AVANCE[[#This Row],[SMART PANEL]]=AN$2,100%,AVANCE[[#This Row],[SMART PANEL]])</f>
        <v>0</v>
      </c>
      <c r="CB612" s="3">
        <f>+IF(AVANCE[[#This Row],[PINTURA EXTERIOR]]=AO$2,100%,AVANCE[[#This Row],[PINTURA EXTERIOR]])</f>
        <v>0</v>
      </c>
      <c r="CC612" s="3">
        <f>+IF(AVANCE[[#This Row],[ZOCALOS LOGIA]]=AP$2,100%,AVANCE[[#This Row],[ZOCALOS LOGIA]])</f>
        <v>0</v>
      </c>
      <c r="CD612" s="3">
        <f>+IF(AVANCE[[#This Row],[MOLDURAS]]=AQ$2,100%,AVANCE[[#This Row],[MOLDURAS]])</f>
        <v>0</v>
      </c>
      <c r="CE612" s="3">
        <f>+IF(AVANCE[[#This Row],[PILASTREO]]=AR$2,100%,AVANCE[[#This Row],[PILASTREO]])</f>
        <v>0</v>
      </c>
      <c r="CF612" s="3">
        <f>+IF(AVANCE[[#This Row],[CELOSIAS]]=AS$2,100%,AVANCE[[#This Row],[CELOSIAS]])</f>
        <v>0</v>
      </c>
      <c r="CG612" s="3">
        <f>+IF(AVANCE[[#This Row],[VENTANAS]]=AT$2,100%,AVANCE[[#This Row],[VENTANAS]])</f>
        <v>0</v>
      </c>
      <c r="CH612" s="3">
        <f>+IF(AVANCE[[#This Row],[PUERTAS ACCESO - LOGIA - BANO]]=AU$2,100%,AVANCE[[#This Row],[PUERTAS ACCESO - LOGIA - BANO]])</f>
        <v>0</v>
      </c>
      <c r="CI612" s="3">
        <f>+IF(AVANCE[[#This Row],[CERRADURAS]]=AV$2,100%,AVANCE[[#This Row],[CERRADURAS]])</f>
        <v>0</v>
      </c>
      <c r="CJ612" s="3">
        <f>+IF(AVANCE[[#This Row],[REVESTIMIENTO INTERIOR ZONA SECA]]=AW$2,100%,AVANCE[[#This Row],[REVESTIMIENTO INTERIOR ZONA SECA]])</f>
        <v>0</v>
      </c>
      <c r="CK612" s="3">
        <f>+IF(AVANCE[[#This Row],[REVESTIMIENTO INTERIOR ZONAS HUMEDAS]]=AX$2,100%,AVANCE[[#This Row],[REVESTIMIENTO INTERIOR ZONAS HUMEDAS]])</f>
        <v>0</v>
      </c>
      <c r="CL612" s="3">
        <f>+IF(AVANCE[[#This Row],[MEMBRANA CIELO]]=AY$2,100%,AVANCE[[#This Row],[MEMBRANA CIELO]])</f>
        <v>0</v>
      </c>
      <c r="CM612" s="3">
        <f>+IF(AVANCE[[#This Row],[LIMPIEZA FINAL]]=AZ$2,100%,AVANCE[[#This Row],[LIMPIEZA FINAL]])</f>
        <v>0</v>
      </c>
      <c r="CN612" s="3">
        <f>+IF(AVANCE[[#This Row],[PUERTAS DORMITORIO]]=BA$2,100%,AVANCE[[#This Row],[PUERTAS DORMITORIO]])</f>
        <v>0</v>
      </c>
      <c r="CO612" s="3">
        <f>+IF(AVANCE[[#This Row],[REVESTIMIENTO INTERIOR BANO]]=BB$2,100%,AVANCE[[#This Row],[REVESTIMIENTO INTERIOR BANO]])</f>
        <v>0</v>
      </c>
      <c r="CP612" s="3">
        <f>+IF(AVANCE[[#This Row],[MUEBLE LAVAPLATOS]]=BC$2,100%,AVANCE[[#This Row],[MUEBLE LAVAPLATOS]])</f>
        <v>0</v>
      </c>
      <c r="CQ612" s="3">
        <f>+IF(AVANCE[[#This Row],[IMPERMEABILIZACION BANO - COCINA LOGIA]]=BD$2,100%,AVANCE[[#This Row],[IMPERMEABILIZACION BANO - COCINA LOGIA]])</f>
        <v>0</v>
      </c>
      <c r="CR612" s="40">
        <f ca="1">+IF(AVANCE[[#This Row],[ESTADO MODULO]]="PENDIENTE",(TODAY()-AVANCE[[#This Row],[FECHA TERMINO  PLANIFICADO]]),0)</f>
        <v>0</v>
      </c>
      <c r="CS612" s="42" t="str" cm="1">
        <f t="array" ref="CS612">_xlfn.TEXTJOIN(" | ",TRUE,IF(SUMPRODUCT((BF612:CQ612&lt;1)*(PARTIDAS!$I$2:$AT$2="OBRA GRUESA"))&gt;0,"OBRA GRUESA: "&amp;_xlfn.TEXTJOIN(", ",TRUE,IF((BF612:CQ612&lt;1)*(PARTIDAS!$I$2:$AT$2="OBRA GRUESA"),PARTIDAS!$I$1:$AT$1,"")),""),IF(SUMPRODUCT((BF612:CQ612&lt;1)*(PARTIDAS!$I$2:$AT$2="SANITARIOS"))&gt;0,"SANITARIOS: "&amp;_xlfn.TEXTJOIN(", ",TRUE,IF((BF612:CQ612&lt;1)*(PARTIDAS!$I$2:$AT$2="SANITARIOS"),PARTIDAS!$I$1:$AT$1,"")),""),IF(SUMPRODUCT((BF612:CQ612&lt;1)*(PARTIDAS!$I$2:$AT$2="ELÉCTRICO"))&gt;0,"ELÉCTRICO: "&amp;_xlfn.TEXTJOIN(", ",TRUE,IF((BF612:CQ612&lt;1)*(PARTIDAS!$I$2:$AT$2="ELÉCTRICO"),PARTIDAS!$I$1:$AT$1,"")),""),IF(SUMPRODUCT((BF612:CQ612&lt;1)*(PARTIDAS!$I$2:$AT$2="TERMINACIONES"))&gt;0,"TERMINACIONES: "&amp;_xlfn.TEXTJOIN(", ",TRUE,IF((BF612:CQ612&lt;1)*(PARTIDAS!$I$2:$AT$2="TERMINACIONES"),PARTIDAS!$I$1:$AT$1,"")),""))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2" s="45" t="str" cm="1">
        <f t="array" ref="CT612">_xlfn.TEXTJOIN(", ",TRUE,IF(SUMPRODUCT((BF612:CQ612&lt;1)*(PARTIDAS!$I$2:$AT$2="OBRA GRUESA"))&gt;0,"OBRA GRUESA",""),IF(SUMPRODUCT((BF612:CQ612&lt;1)*(PARTIDAS!$I$2:$AT$2="SANITARIOS"))&gt;0,"SANITARIOS",""),IF(SUMPRODUCT((BF612:CQ612&lt;1)*(PARTIDAS!$I$2:$AT$2="ELÉCTRICO"))&gt;0,"ELÉCTRICO",""),IF(SUMPRODUCT((BF612:CQ612&lt;1)*(PARTIDAS!$I$2:$AT$2="TERMINACIONES"))&gt;0,"TERMINACIONES",""))</f>
        <v>OBRA GRUESA, SANITARIOS, ELÉCTRICO, TERMINACIONES</v>
      </c>
      <c r="CU612" s="46" cm="1">
        <f t="array" ref="CU612">SUMPRODUCT(--(BF612:CQ612&lt;1))</f>
        <v>38</v>
      </c>
    </row>
    <row r="613" spans="1:99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46181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 s="3" t="str">
        <f>+IF(AVANCE[[#This Row],[% AVANCE]]=100%,"MODULO TERMINADO",IF(AVANCE[[#This Row],[FECHA INICIO REAL]]="","MODULO NO INICIADO","PENDIENTE"))</f>
        <v>MODULO NO INICIADO</v>
      </c>
      <c r="BF613" s="3">
        <f>+IF(AVANCE[[#This Row],[VENTANAS]]=8.10810810810811%,100%,AVANCE[[#This Row],[VENTANAS]])</f>
        <v>0</v>
      </c>
      <c r="BG613" s="3">
        <f>+IF(AVANCE[[#This Row],[PISO]]=N$2,100%,AVANCE[[#This Row],[PISO]])</f>
        <v>0</v>
      </c>
      <c r="BH613" s="3">
        <f>+IF(AVANCE[[#This Row],[TABIQUES]]=O$2,100%,AVANCE[[#This Row],[TABIQUES]])</f>
        <v>0</v>
      </c>
      <c r="BI613" s="3">
        <f>+IF(AVANCE[[#This Row],[MUROS]]=P$2,100%,AVANCE[[#This Row],[MUROS]])</f>
        <v>0</v>
      </c>
      <c r="BJ613" s="3">
        <f>+IF(AVANCE[[#This Row],[CIELO]]=Q$2,100%,AVANCE[[#This Row],[CIELO]])</f>
        <v>0</v>
      </c>
      <c r="BK613" s="3">
        <f>+IF(AVANCE[[#This Row],[BALCÓN]]=R$2,100%,AVANCE[[#This Row],[BALCÓN]])</f>
        <v>0</v>
      </c>
      <c r="BL613" s="3">
        <f>+IF(AVANCE[[#This Row],[RED ALCANTARILLADO]]=U$2,100%,AVANCE[[#This Row],[RED ALCANTARILLADO]])</f>
        <v>0</v>
      </c>
      <c r="BM613" s="3">
        <f>+IF(AVANCE[[#This Row],[RED DE AGUA]]=V$2,100%,AVANCE[[#This Row],[RED DE AGUA]])</f>
        <v>0</v>
      </c>
      <c r="BN613" s="3">
        <f>+IF(AVANCE[[#This Row],[VENTILACIONES]]=W$2,100%,AVANCE[[#This Row],[VENTILACIONES]])</f>
        <v>0</v>
      </c>
      <c r="BO613" s="3">
        <f>+IF(AVANCE[[#This Row],[TINA]]=X$2,100%,AVANCE[[#This Row],[TINA]])</f>
        <v>0</v>
      </c>
      <c r="BP613" s="3">
        <f>+IF(AVANCE[[#This Row],[WC]]=Y$2,100%,AVANCE[[#This Row],[WC]])</f>
        <v>0</v>
      </c>
      <c r="BQ613" s="3">
        <f>+IF(AVANCE[[#This Row],[LAVAMANOS / LAVAPLATOS / LAVADERO]]=Z$2,100%,AVANCE[[#This Row],[LAVAMANOS / LAVAPLATOS / LAVADERO]])</f>
        <v>0</v>
      </c>
      <c r="BR613" s="3">
        <f>+IF(AVANCE[[#This Row],[CANALIZACIÓN]]=AC$2,100%,AVANCE[[#This Row],[CANALIZACIÓN]])</f>
        <v>0</v>
      </c>
      <c r="BS613" s="3">
        <f>+IF(AVANCE[[#This Row],[CABLEADO]]=AD$2,100%,AVANCE[[#This Row],[CABLEADO]])</f>
        <v>0</v>
      </c>
      <c r="BT613" s="3">
        <f>+IF(AVANCE[[#This Row],[ARTEFACTOS]]=AE$2,100%,AVANCE[[#This Row],[ARTEFACTOS]])</f>
        <v>0</v>
      </c>
      <c r="BU613" s="3">
        <f>+IF(AVANCE[[#This Row],[TABLERO]]=AF$2,100%,AVANCE[[#This Row],[TABLERO]])</f>
        <v>0</v>
      </c>
      <c r="BV613" s="3">
        <f>+IF(AVANCE[[#This Row],[CAJA PAU]]=AG$2,100%,AVANCE[[#This Row],[CAJA PAU]])</f>
        <v>0</v>
      </c>
      <c r="BW613" s="3">
        <f>+IF(AVANCE[[#This Row],[INSTALACION VINILICO]]=AJ$2,100%,AVANCE[[#This Row],[INSTALACION VINILICO]])</f>
        <v>0</v>
      </c>
      <c r="BX613" s="3">
        <f>+IF(AVANCE[[#This Row],[OSB CUBIERTA]]=AK$2,100%,AVANCE[[#This Row],[OSB CUBIERTA]])</f>
        <v>0</v>
      </c>
      <c r="BY613" s="3">
        <f>+IF(AVANCE[[#This Row],[BARANDA BALCON]]=AL$2,100%,AVANCE[[#This Row],[BARANDA BALCON]])</f>
        <v>0</v>
      </c>
      <c r="BZ613" s="3">
        <f>+IF(AVANCE[[#This Row],[OSB EXTERIOR]]=AM$2,100%,AVANCE[[#This Row],[OSB EXTERIOR]])</f>
        <v>0</v>
      </c>
      <c r="CA613" s="3">
        <f>+IF(AVANCE[[#This Row],[SMART PANEL]]=AN$2,100%,AVANCE[[#This Row],[SMART PANEL]])</f>
        <v>0</v>
      </c>
      <c r="CB613" s="3">
        <f>+IF(AVANCE[[#This Row],[PINTURA EXTERIOR]]=AO$2,100%,AVANCE[[#This Row],[PINTURA EXTERIOR]])</f>
        <v>0</v>
      </c>
      <c r="CC613" s="3">
        <f>+IF(AVANCE[[#This Row],[ZOCALOS LOGIA]]=AP$2,100%,AVANCE[[#This Row],[ZOCALOS LOGIA]])</f>
        <v>0</v>
      </c>
      <c r="CD613" s="3">
        <f>+IF(AVANCE[[#This Row],[MOLDURAS]]=AQ$2,100%,AVANCE[[#This Row],[MOLDURAS]])</f>
        <v>0</v>
      </c>
      <c r="CE613" s="3">
        <f>+IF(AVANCE[[#This Row],[PILASTREO]]=AR$2,100%,AVANCE[[#This Row],[PILASTREO]])</f>
        <v>0</v>
      </c>
      <c r="CF613" s="3">
        <f>+IF(AVANCE[[#This Row],[CELOSIAS]]=AS$2,100%,AVANCE[[#This Row],[CELOSIAS]])</f>
        <v>0</v>
      </c>
      <c r="CG613" s="3">
        <f>+IF(AVANCE[[#This Row],[VENTANAS]]=AT$2,100%,AVANCE[[#This Row],[VENTANAS]])</f>
        <v>0</v>
      </c>
      <c r="CH613" s="3">
        <f>+IF(AVANCE[[#This Row],[PUERTAS ACCESO - LOGIA - BANO]]=AU$2,100%,AVANCE[[#This Row],[PUERTAS ACCESO - LOGIA - BANO]])</f>
        <v>0</v>
      </c>
      <c r="CI613" s="3">
        <f>+IF(AVANCE[[#This Row],[CERRADURAS]]=AV$2,100%,AVANCE[[#This Row],[CERRADURAS]])</f>
        <v>0</v>
      </c>
      <c r="CJ613" s="3">
        <f>+IF(AVANCE[[#This Row],[REVESTIMIENTO INTERIOR ZONA SECA]]=AW$2,100%,AVANCE[[#This Row],[REVESTIMIENTO INTERIOR ZONA SECA]])</f>
        <v>0</v>
      </c>
      <c r="CK613" s="3">
        <f>+IF(AVANCE[[#This Row],[REVESTIMIENTO INTERIOR ZONAS HUMEDAS]]=AX$2,100%,AVANCE[[#This Row],[REVESTIMIENTO INTERIOR ZONAS HUMEDAS]])</f>
        <v>0</v>
      </c>
      <c r="CL613" s="3">
        <f>+IF(AVANCE[[#This Row],[MEMBRANA CIELO]]=AY$2,100%,AVANCE[[#This Row],[MEMBRANA CIELO]])</f>
        <v>0</v>
      </c>
      <c r="CM613" s="3">
        <f>+IF(AVANCE[[#This Row],[LIMPIEZA FINAL]]=AZ$2,100%,AVANCE[[#This Row],[LIMPIEZA FINAL]])</f>
        <v>0</v>
      </c>
      <c r="CN613" s="3">
        <f>+IF(AVANCE[[#This Row],[PUERTAS DORMITORIO]]=BA$2,100%,AVANCE[[#This Row],[PUERTAS DORMITORIO]])</f>
        <v>0</v>
      </c>
      <c r="CO613" s="3">
        <f>+IF(AVANCE[[#This Row],[REVESTIMIENTO INTERIOR BANO]]=BB$2,100%,AVANCE[[#This Row],[REVESTIMIENTO INTERIOR BANO]])</f>
        <v>0</v>
      </c>
      <c r="CP613" s="3">
        <f>+IF(AVANCE[[#This Row],[MUEBLE LAVAPLATOS]]=BC$2,100%,AVANCE[[#This Row],[MUEBLE LAVAPLATOS]])</f>
        <v>0</v>
      </c>
      <c r="CQ613" s="3">
        <f>+IF(AVANCE[[#This Row],[IMPERMEABILIZACION BANO - COCINA LOGIA]]=BD$2,100%,AVANCE[[#This Row],[IMPERMEABILIZACION BANO - COCINA LOGIA]])</f>
        <v>0</v>
      </c>
      <c r="CR613" s="40">
        <f ca="1">+IF(AVANCE[[#This Row],[ESTADO MODULO]]="PENDIENTE",(TODAY()-AVANCE[[#This Row],[FECHA TERMINO  PLANIFICADO]]),0)</f>
        <v>0</v>
      </c>
      <c r="CS613" s="42" t="str" cm="1">
        <f t="array" ref="CS613">_xlfn.TEXTJOIN(" | ",TRUE,IF(SUMPRODUCT((BF613:CQ613&lt;1)*(PARTIDAS!$I$2:$AT$2="OBRA GRUESA"))&gt;0,"OBRA GRUESA: "&amp;_xlfn.TEXTJOIN(", ",TRUE,IF((BF613:CQ613&lt;1)*(PARTIDAS!$I$2:$AT$2="OBRA GRUESA"),PARTIDAS!$I$1:$AT$1,"")),""),IF(SUMPRODUCT((BF613:CQ613&lt;1)*(PARTIDAS!$I$2:$AT$2="SANITARIOS"))&gt;0,"SANITARIOS: "&amp;_xlfn.TEXTJOIN(", ",TRUE,IF((BF613:CQ613&lt;1)*(PARTIDAS!$I$2:$AT$2="SANITARIOS"),PARTIDAS!$I$1:$AT$1,"")),""),IF(SUMPRODUCT((BF613:CQ613&lt;1)*(PARTIDAS!$I$2:$AT$2="ELÉCTRICO"))&gt;0,"ELÉCTRICO: "&amp;_xlfn.TEXTJOIN(", ",TRUE,IF((BF613:CQ613&lt;1)*(PARTIDAS!$I$2:$AT$2="ELÉCTRICO"),PARTIDAS!$I$1:$AT$1,"")),""),IF(SUMPRODUCT((BF613:CQ613&lt;1)*(PARTIDAS!$I$2:$AT$2="TERMINACIONES"))&gt;0,"TERMINACIONES: "&amp;_xlfn.TEXTJOIN(", ",TRUE,IF((BF613:CQ613&lt;1)*(PARTIDAS!$I$2:$AT$2="TERMINACIONES"),PARTIDAS!$I$1:$AT$1,"")),""))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3" s="45" t="str" cm="1">
        <f t="array" ref="CT613">_xlfn.TEXTJOIN(", ",TRUE,IF(SUMPRODUCT((BF613:CQ613&lt;1)*(PARTIDAS!$I$2:$AT$2="OBRA GRUESA"))&gt;0,"OBRA GRUESA",""),IF(SUMPRODUCT((BF613:CQ613&lt;1)*(PARTIDAS!$I$2:$AT$2="SANITARIOS"))&gt;0,"SANITARIOS",""),IF(SUMPRODUCT((BF613:CQ613&lt;1)*(PARTIDAS!$I$2:$AT$2="ELÉCTRICO"))&gt;0,"ELÉCTRICO",""),IF(SUMPRODUCT((BF613:CQ613&lt;1)*(PARTIDAS!$I$2:$AT$2="TERMINACIONES"))&gt;0,"TERMINACIONES",""))</f>
        <v>OBRA GRUESA, SANITARIOS, ELÉCTRICO, TERMINACIONES</v>
      </c>
      <c r="CU613" s="46" cm="1">
        <f t="array" ref="CU613">SUMPRODUCT(--(BF613:CQ613&lt;1))</f>
        <v>38</v>
      </c>
    </row>
    <row r="614" spans="1:99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46181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 s="3" t="str">
        <f>+IF(AVANCE[[#This Row],[% AVANCE]]=100%,"MODULO TERMINADO",IF(AVANCE[[#This Row],[FECHA INICIO REAL]]="","MODULO NO INICIADO","PENDIENTE"))</f>
        <v>MODULO NO INICIADO</v>
      </c>
      <c r="BF614" s="3">
        <f>+IF(AVANCE[[#This Row],[VENTANAS]]=8.10810810810811%,100%,AVANCE[[#This Row],[VENTANAS]])</f>
        <v>0</v>
      </c>
      <c r="BG614" s="3">
        <f>+IF(AVANCE[[#This Row],[PISO]]=N$2,100%,AVANCE[[#This Row],[PISO]])</f>
        <v>0</v>
      </c>
      <c r="BH614" s="3">
        <f>+IF(AVANCE[[#This Row],[TABIQUES]]=O$2,100%,AVANCE[[#This Row],[TABIQUES]])</f>
        <v>0</v>
      </c>
      <c r="BI614" s="3">
        <f>+IF(AVANCE[[#This Row],[MUROS]]=P$2,100%,AVANCE[[#This Row],[MUROS]])</f>
        <v>0</v>
      </c>
      <c r="BJ614" s="3">
        <f>+IF(AVANCE[[#This Row],[CIELO]]=Q$2,100%,AVANCE[[#This Row],[CIELO]])</f>
        <v>0</v>
      </c>
      <c r="BK614" s="3">
        <f>+IF(AVANCE[[#This Row],[BALCÓN]]=R$2,100%,AVANCE[[#This Row],[BALCÓN]])</f>
        <v>0</v>
      </c>
      <c r="BL614" s="3">
        <f>+IF(AVANCE[[#This Row],[RED ALCANTARILLADO]]=U$2,100%,AVANCE[[#This Row],[RED ALCANTARILLADO]])</f>
        <v>0</v>
      </c>
      <c r="BM614" s="3">
        <f>+IF(AVANCE[[#This Row],[RED DE AGUA]]=V$2,100%,AVANCE[[#This Row],[RED DE AGUA]])</f>
        <v>0</v>
      </c>
      <c r="BN614" s="3">
        <f>+IF(AVANCE[[#This Row],[VENTILACIONES]]=W$2,100%,AVANCE[[#This Row],[VENTILACIONES]])</f>
        <v>0</v>
      </c>
      <c r="BO614" s="3">
        <f>+IF(AVANCE[[#This Row],[TINA]]=X$2,100%,AVANCE[[#This Row],[TINA]])</f>
        <v>0</v>
      </c>
      <c r="BP614" s="3">
        <f>+IF(AVANCE[[#This Row],[WC]]=Y$2,100%,AVANCE[[#This Row],[WC]])</f>
        <v>0</v>
      </c>
      <c r="BQ614" s="3">
        <f>+IF(AVANCE[[#This Row],[LAVAMANOS / LAVAPLATOS / LAVADERO]]=Z$2,100%,AVANCE[[#This Row],[LAVAMANOS / LAVAPLATOS / LAVADERO]])</f>
        <v>0</v>
      </c>
      <c r="BR614" s="3">
        <f>+IF(AVANCE[[#This Row],[CANALIZACIÓN]]=AC$2,100%,AVANCE[[#This Row],[CANALIZACIÓN]])</f>
        <v>0</v>
      </c>
      <c r="BS614" s="3">
        <f>+IF(AVANCE[[#This Row],[CABLEADO]]=AD$2,100%,AVANCE[[#This Row],[CABLEADO]])</f>
        <v>0</v>
      </c>
      <c r="BT614" s="3">
        <f>+IF(AVANCE[[#This Row],[ARTEFACTOS]]=AE$2,100%,AVANCE[[#This Row],[ARTEFACTOS]])</f>
        <v>0</v>
      </c>
      <c r="BU614" s="3">
        <f>+IF(AVANCE[[#This Row],[TABLERO]]=AF$2,100%,AVANCE[[#This Row],[TABLERO]])</f>
        <v>0</v>
      </c>
      <c r="BV614" s="3">
        <f>+IF(AVANCE[[#This Row],[CAJA PAU]]=AG$2,100%,AVANCE[[#This Row],[CAJA PAU]])</f>
        <v>0</v>
      </c>
      <c r="BW614" s="3">
        <f>+IF(AVANCE[[#This Row],[INSTALACION VINILICO]]=AJ$2,100%,AVANCE[[#This Row],[INSTALACION VINILICO]])</f>
        <v>0</v>
      </c>
      <c r="BX614" s="3">
        <f>+IF(AVANCE[[#This Row],[OSB CUBIERTA]]=AK$2,100%,AVANCE[[#This Row],[OSB CUBIERTA]])</f>
        <v>0</v>
      </c>
      <c r="BY614" s="3">
        <f>+IF(AVANCE[[#This Row],[BARANDA BALCON]]=AL$2,100%,AVANCE[[#This Row],[BARANDA BALCON]])</f>
        <v>0</v>
      </c>
      <c r="BZ614" s="3">
        <f>+IF(AVANCE[[#This Row],[OSB EXTERIOR]]=AM$2,100%,AVANCE[[#This Row],[OSB EXTERIOR]])</f>
        <v>0</v>
      </c>
      <c r="CA614" s="3">
        <f>+IF(AVANCE[[#This Row],[SMART PANEL]]=AN$2,100%,AVANCE[[#This Row],[SMART PANEL]])</f>
        <v>0</v>
      </c>
      <c r="CB614" s="3">
        <f>+IF(AVANCE[[#This Row],[PINTURA EXTERIOR]]=AO$2,100%,AVANCE[[#This Row],[PINTURA EXTERIOR]])</f>
        <v>0</v>
      </c>
      <c r="CC614" s="3">
        <f>+IF(AVANCE[[#This Row],[ZOCALOS LOGIA]]=AP$2,100%,AVANCE[[#This Row],[ZOCALOS LOGIA]])</f>
        <v>0</v>
      </c>
      <c r="CD614" s="3">
        <f>+IF(AVANCE[[#This Row],[MOLDURAS]]=AQ$2,100%,AVANCE[[#This Row],[MOLDURAS]])</f>
        <v>0</v>
      </c>
      <c r="CE614" s="3">
        <f>+IF(AVANCE[[#This Row],[PILASTREO]]=AR$2,100%,AVANCE[[#This Row],[PILASTREO]])</f>
        <v>0</v>
      </c>
      <c r="CF614" s="3">
        <f>+IF(AVANCE[[#This Row],[CELOSIAS]]=AS$2,100%,AVANCE[[#This Row],[CELOSIAS]])</f>
        <v>0</v>
      </c>
      <c r="CG614" s="3">
        <f>+IF(AVANCE[[#This Row],[VENTANAS]]=AT$2,100%,AVANCE[[#This Row],[VENTANAS]])</f>
        <v>0</v>
      </c>
      <c r="CH614" s="3">
        <f>+IF(AVANCE[[#This Row],[PUERTAS ACCESO - LOGIA - BANO]]=AU$2,100%,AVANCE[[#This Row],[PUERTAS ACCESO - LOGIA - BANO]])</f>
        <v>0</v>
      </c>
      <c r="CI614" s="3">
        <f>+IF(AVANCE[[#This Row],[CERRADURAS]]=AV$2,100%,AVANCE[[#This Row],[CERRADURAS]])</f>
        <v>0</v>
      </c>
      <c r="CJ614" s="3">
        <f>+IF(AVANCE[[#This Row],[REVESTIMIENTO INTERIOR ZONA SECA]]=AW$2,100%,AVANCE[[#This Row],[REVESTIMIENTO INTERIOR ZONA SECA]])</f>
        <v>0</v>
      </c>
      <c r="CK614" s="3">
        <f>+IF(AVANCE[[#This Row],[REVESTIMIENTO INTERIOR ZONAS HUMEDAS]]=AX$2,100%,AVANCE[[#This Row],[REVESTIMIENTO INTERIOR ZONAS HUMEDAS]])</f>
        <v>0</v>
      </c>
      <c r="CL614" s="3">
        <f>+IF(AVANCE[[#This Row],[MEMBRANA CIELO]]=AY$2,100%,AVANCE[[#This Row],[MEMBRANA CIELO]])</f>
        <v>0</v>
      </c>
      <c r="CM614" s="3">
        <f>+IF(AVANCE[[#This Row],[LIMPIEZA FINAL]]=AZ$2,100%,AVANCE[[#This Row],[LIMPIEZA FINAL]])</f>
        <v>0</v>
      </c>
      <c r="CN614" s="3">
        <f>+IF(AVANCE[[#This Row],[PUERTAS DORMITORIO]]=BA$2,100%,AVANCE[[#This Row],[PUERTAS DORMITORIO]])</f>
        <v>0</v>
      </c>
      <c r="CO614" s="3">
        <f>+IF(AVANCE[[#This Row],[REVESTIMIENTO INTERIOR BANO]]=BB$2,100%,AVANCE[[#This Row],[REVESTIMIENTO INTERIOR BANO]])</f>
        <v>0</v>
      </c>
      <c r="CP614" s="3">
        <f>+IF(AVANCE[[#This Row],[MUEBLE LAVAPLATOS]]=BC$2,100%,AVANCE[[#This Row],[MUEBLE LAVAPLATOS]])</f>
        <v>0</v>
      </c>
      <c r="CQ614" s="3">
        <f>+IF(AVANCE[[#This Row],[IMPERMEABILIZACION BANO - COCINA LOGIA]]=BD$2,100%,AVANCE[[#This Row],[IMPERMEABILIZACION BANO - COCINA LOGIA]])</f>
        <v>0</v>
      </c>
      <c r="CR614" s="40">
        <f ca="1">+IF(AVANCE[[#This Row],[ESTADO MODULO]]="PENDIENTE",(TODAY()-AVANCE[[#This Row],[FECHA TERMINO  PLANIFICADO]]),0)</f>
        <v>0</v>
      </c>
      <c r="CS614" s="42" t="str" cm="1">
        <f t="array" ref="CS614">_xlfn.TEXTJOIN(" | ",TRUE,IF(SUMPRODUCT((BF614:CQ614&lt;1)*(PARTIDAS!$I$2:$AT$2="OBRA GRUESA"))&gt;0,"OBRA GRUESA: "&amp;_xlfn.TEXTJOIN(", ",TRUE,IF((BF614:CQ614&lt;1)*(PARTIDAS!$I$2:$AT$2="OBRA GRUESA"),PARTIDAS!$I$1:$AT$1,"")),""),IF(SUMPRODUCT((BF614:CQ614&lt;1)*(PARTIDAS!$I$2:$AT$2="SANITARIOS"))&gt;0,"SANITARIOS: "&amp;_xlfn.TEXTJOIN(", ",TRUE,IF((BF614:CQ614&lt;1)*(PARTIDAS!$I$2:$AT$2="SANITARIOS"),PARTIDAS!$I$1:$AT$1,"")),""),IF(SUMPRODUCT((BF614:CQ614&lt;1)*(PARTIDAS!$I$2:$AT$2="ELÉCTRICO"))&gt;0,"ELÉCTRICO: "&amp;_xlfn.TEXTJOIN(", ",TRUE,IF((BF614:CQ614&lt;1)*(PARTIDAS!$I$2:$AT$2="ELÉCTRICO"),PARTIDAS!$I$1:$AT$1,"")),""),IF(SUMPRODUCT((BF614:CQ614&lt;1)*(PARTIDAS!$I$2:$AT$2="TERMINACIONES"))&gt;0,"TERMINACIONES: "&amp;_xlfn.TEXTJOIN(", ",TRUE,IF((BF614:CQ614&lt;1)*(PARTIDAS!$I$2:$AT$2="TERMINACIONES"),PARTIDAS!$I$1:$AT$1,"")),""))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4" s="45" t="str" cm="1">
        <f t="array" ref="CT614">_xlfn.TEXTJOIN(", ",TRUE,IF(SUMPRODUCT((BF614:CQ614&lt;1)*(PARTIDAS!$I$2:$AT$2="OBRA GRUESA"))&gt;0,"OBRA GRUESA",""),IF(SUMPRODUCT((BF614:CQ614&lt;1)*(PARTIDAS!$I$2:$AT$2="SANITARIOS"))&gt;0,"SANITARIOS",""),IF(SUMPRODUCT((BF614:CQ614&lt;1)*(PARTIDAS!$I$2:$AT$2="ELÉCTRICO"))&gt;0,"ELÉCTRICO",""),IF(SUMPRODUCT((BF614:CQ614&lt;1)*(PARTIDAS!$I$2:$AT$2="TERMINACIONES"))&gt;0,"TERMINACIONES",""))</f>
        <v>OBRA GRUESA, SANITARIOS, ELÉCTRICO, TERMINACIONES</v>
      </c>
      <c r="CU614" s="46" cm="1">
        <f t="array" ref="CU614">SUMPRODUCT(--(BF614:CQ614&lt;1))</f>
        <v>38</v>
      </c>
    </row>
    <row r="615" spans="1:99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46181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 s="3" t="str">
        <f>+IF(AVANCE[[#This Row],[% AVANCE]]=100%,"MODULO TERMINADO",IF(AVANCE[[#This Row],[FECHA INICIO REAL]]="","MODULO NO INICIADO","PENDIENTE"))</f>
        <v>MODULO NO INICIADO</v>
      </c>
      <c r="BF615" s="3">
        <f>+IF(AVANCE[[#This Row],[VENTANAS]]=8.10810810810811%,100%,AVANCE[[#This Row],[VENTANAS]])</f>
        <v>0</v>
      </c>
      <c r="BG615" s="3">
        <f>+IF(AVANCE[[#This Row],[PISO]]=N$2,100%,AVANCE[[#This Row],[PISO]])</f>
        <v>0</v>
      </c>
      <c r="BH615" s="3">
        <f>+IF(AVANCE[[#This Row],[TABIQUES]]=O$2,100%,AVANCE[[#This Row],[TABIQUES]])</f>
        <v>0</v>
      </c>
      <c r="BI615" s="3">
        <f>+IF(AVANCE[[#This Row],[MUROS]]=P$2,100%,AVANCE[[#This Row],[MUROS]])</f>
        <v>0</v>
      </c>
      <c r="BJ615" s="3">
        <f>+IF(AVANCE[[#This Row],[CIELO]]=Q$2,100%,AVANCE[[#This Row],[CIELO]])</f>
        <v>0</v>
      </c>
      <c r="BK615" s="3">
        <f>+IF(AVANCE[[#This Row],[BALCÓN]]=R$2,100%,AVANCE[[#This Row],[BALCÓN]])</f>
        <v>0</v>
      </c>
      <c r="BL615" s="3">
        <f>+IF(AVANCE[[#This Row],[RED ALCANTARILLADO]]=U$2,100%,AVANCE[[#This Row],[RED ALCANTARILLADO]])</f>
        <v>0</v>
      </c>
      <c r="BM615" s="3">
        <f>+IF(AVANCE[[#This Row],[RED DE AGUA]]=V$2,100%,AVANCE[[#This Row],[RED DE AGUA]])</f>
        <v>0</v>
      </c>
      <c r="BN615" s="3">
        <f>+IF(AVANCE[[#This Row],[VENTILACIONES]]=W$2,100%,AVANCE[[#This Row],[VENTILACIONES]])</f>
        <v>0</v>
      </c>
      <c r="BO615" s="3">
        <f>+IF(AVANCE[[#This Row],[TINA]]=X$2,100%,AVANCE[[#This Row],[TINA]])</f>
        <v>0</v>
      </c>
      <c r="BP615" s="3">
        <f>+IF(AVANCE[[#This Row],[WC]]=Y$2,100%,AVANCE[[#This Row],[WC]])</f>
        <v>0</v>
      </c>
      <c r="BQ615" s="3">
        <f>+IF(AVANCE[[#This Row],[LAVAMANOS / LAVAPLATOS / LAVADERO]]=Z$2,100%,AVANCE[[#This Row],[LAVAMANOS / LAVAPLATOS / LAVADERO]])</f>
        <v>0</v>
      </c>
      <c r="BR615" s="3">
        <f>+IF(AVANCE[[#This Row],[CANALIZACIÓN]]=AC$2,100%,AVANCE[[#This Row],[CANALIZACIÓN]])</f>
        <v>0</v>
      </c>
      <c r="BS615" s="3">
        <f>+IF(AVANCE[[#This Row],[CABLEADO]]=AD$2,100%,AVANCE[[#This Row],[CABLEADO]])</f>
        <v>0</v>
      </c>
      <c r="BT615" s="3">
        <f>+IF(AVANCE[[#This Row],[ARTEFACTOS]]=AE$2,100%,AVANCE[[#This Row],[ARTEFACTOS]])</f>
        <v>0</v>
      </c>
      <c r="BU615" s="3">
        <f>+IF(AVANCE[[#This Row],[TABLERO]]=AF$2,100%,AVANCE[[#This Row],[TABLERO]])</f>
        <v>0</v>
      </c>
      <c r="BV615" s="3">
        <f>+IF(AVANCE[[#This Row],[CAJA PAU]]=AG$2,100%,AVANCE[[#This Row],[CAJA PAU]])</f>
        <v>0</v>
      </c>
      <c r="BW615" s="3">
        <f>+IF(AVANCE[[#This Row],[INSTALACION VINILICO]]=AJ$2,100%,AVANCE[[#This Row],[INSTALACION VINILICO]])</f>
        <v>0</v>
      </c>
      <c r="BX615" s="3">
        <f>+IF(AVANCE[[#This Row],[OSB CUBIERTA]]=AK$2,100%,AVANCE[[#This Row],[OSB CUBIERTA]])</f>
        <v>0</v>
      </c>
      <c r="BY615" s="3">
        <f>+IF(AVANCE[[#This Row],[BARANDA BALCON]]=AL$2,100%,AVANCE[[#This Row],[BARANDA BALCON]])</f>
        <v>0</v>
      </c>
      <c r="BZ615" s="3">
        <f>+IF(AVANCE[[#This Row],[OSB EXTERIOR]]=AM$2,100%,AVANCE[[#This Row],[OSB EXTERIOR]])</f>
        <v>0</v>
      </c>
      <c r="CA615" s="3">
        <f>+IF(AVANCE[[#This Row],[SMART PANEL]]=AN$2,100%,AVANCE[[#This Row],[SMART PANEL]])</f>
        <v>0</v>
      </c>
      <c r="CB615" s="3">
        <f>+IF(AVANCE[[#This Row],[PINTURA EXTERIOR]]=AO$2,100%,AVANCE[[#This Row],[PINTURA EXTERIOR]])</f>
        <v>0</v>
      </c>
      <c r="CC615" s="3">
        <f>+IF(AVANCE[[#This Row],[ZOCALOS LOGIA]]=AP$2,100%,AVANCE[[#This Row],[ZOCALOS LOGIA]])</f>
        <v>0</v>
      </c>
      <c r="CD615" s="3">
        <f>+IF(AVANCE[[#This Row],[MOLDURAS]]=AQ$2,100%,AVANCE[[#This Row],[MOLDURAS]])</f>
        <v>0</v>
      </c>
      <c r="CE615" s="3">
        <f>+IF(AVANCE[[#This Row],[PILASTREO]]=AR$2,100%,AVANCE[[#This Row],[PILASTREO]])</f>
        <v>0</v>
      </c>
      <c r="CF615" s="3">
        <f>+IF(AVANCE[[#This Row],[CELOSIAS]]=AS$2,100%,AVANCE[[#This Row],[CELOSIAS]])</f>
        <v>0</v>
      </c>
      <c r="CG615" s="3">
        <f>+IF(AVANCE[[#This Row],[VENTANAS]]=AT$2,100%,AVANCE[[#This Row],[VENTANAS]])</f>
        <v>0</v>
      </c>
      <c r="CH615" s="3">
        <f>+IF(AVANCE[[#This Row],[PUERTAS ACCESO - LOGIA - BANO]]=AU$2,100%,AVANCE[[#This Row],[PUERTAS ACCESO - LOGIA - BANO]])</f>
        <v>0</v>
      </c>
      <c r="CI615" s="3">
        <f>+IF(AVANCE[[#This Row],[CERRADURAS]]=AV$2,100%,AVANCE[[#This Row],[CERRADURAS]])</f>
        <v>0</v>
      </c>
      <c r="CJ615" s="3">
        <f>+IF(AVANCE[[#This Row],[REVESTIMIENTO INTERIOR ZONA SECA]]=AW$2,100%,AVANCE[[#This Row],[REVESTIMIENTO INTERIOR ZONA SECA]])</f>
        <v>0</v>
      </c>
      <c r="CK615" s="3">
        <f>+IF(AVANCE[[#This Row],[REVESTIMIENTO INTERIOR ZONAS HUMEDAS]]=AX$2,100%,AVANCE[[#This Row],[REVESTIMIENTO INTERIOR ZONAS HUMEDAS]])</f>
        <v>0</v>
      </c>
      <c r="CL615" s="3">
        <f>+IF(AVANCE[[#This Row],[MEMBRANA CIELO]]=AY$2,100%,AVANCE[[#This Row],[MEMBRANA CIELO]])</f>
        <v>0</v>
      </c>
      <c r="CM615" s="3">
        <f>+IF(AVANCE[[#This Row],[LIMPIEZA FINAL]]=AZ$2,100%,AVANCE[[#This Row],[LIMPIEZA FINAL]])</f>
        <v>0</v>
      </c>
      <c r="CN615" s="3">
        <f>+IF(AVANCE[[#This Row],[PUERTAS DORMITORIO]]=BA$2,100%,AVANCE[[#This Row],[PUERTAS DORMITORIO]])</f>
        <v>0</v>
      </c>
      <c r="CO615" s="3">
        <f>+IF(AVANCE[[#This Row],[REVESTIMIENTO INTERIOR BANO]]=BB$2,100%,AVANCE[[#This Row],[REVESTIMIENTO INTERIOR BANO]])</f>
        <v>0</v>
      </c>
      <c r="CP615" s="3">
        <f>+IF(AVANCE[[#This Row],[MUEBLE LAVAPLATOS]]=BC$2,100%,AVANCE[[#This Row],[MUEBLE LAVAPLATOS]])</f>
        <v>0</v>
      </c>
      <c r="CQ615" s="3">
        <f>+IF(AVANCE[[#This Row],[IMPERMEABILIZACION BANO - COCINA LOGIA]]=BD$2,100%,AVANCE[[#This Row],[IMPERMEABILIZACION BANO - COCINA LOGIA]])</f>
        <v>0</v>
      </c>
      <c r="CR615" s="40">
        <f ca="1">+IF(AVANCE[[#This Row],[ESTADO MODULO]]="PENDIENTE",(TODAY()-AVANCE[[#This Row],[FECHA TERMINO  PLANIFICADO]]),0)</f>
        <v>0</v>
      </c>
      <c r="CS615" s="42" t="str" cm="1">
        <f t="array" ref="CS615">_xlfn.TEXTJOIN(" | ",TRUE,IF(SUMPRODUCT((BF615:CQ615&lt;1)*(PARTIDAS!$I$2:$AT$2="OBRA GRUESA"))&gt;0,"OBRA GRUESA: "&amp;_xlfn.TEXTJOIN(", ",TRUE,IF((BF615:CQ615&lt;1)*(PARTIDAS!$I$2:$AT$2="OBRA GRUESA"),PARTIDAS!$I$1:$AT$1,"")),""),IF(SUMPRODUCT((BF615:CQ615&lt;1)*(PARTIDAS!$I$2:$AT$2="SANITARIOS"))&gt;0,"SANITARIOS: "&amp;_xlfn.TEXTJOIN(", ",TRUE,IF((BF615:CQ615&lt;1)*(PARTIDAS!$I$2:$AT$2="SANITARIOS"),PARTIDAS!$I$1:$AT$1,"")),""),IF(SUMPRODUCT((BF615:CQ615&lt;1)*(PARTIDAS!$I$2:$AT$2="ELÉCTRICO"))&gt;0,"ELÉCTRICO: "&amp;_xlfn.TEXTJOIN(", ",TRUE,IF((BF615:CQ615&lt;1)*(PARTIDAS!$I$2:$AT$2="ELÉCTRICO"),PARTIDAS!$I$1:$AT$1,"")),""),IF(SUMPRODUCT((BF615:CQ615&lt;1)*(PARTIDAS!$I$2:$AT$2="TERMINACIONES"))&gt;0,"TERMINACIONES: "&amp;_xlfn.TEXTJOIN(", ",TRUE,IF((BF615:CQ615&lt;1)*(PARTIDAS!$I$2:$AT$2="TERMINACIONES"),PARTIDAS!$I$1:$AT$1,"")),""))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5" s="45" t="str" cm="1">
        <f t="array" ref="CT615">_xlfn.TEXTJOIN(", ",TRUE,IF(SUMPRODUCT((BF615:CQ615&lt;1)*(PARTIDAS!$I$2:$AT$2="OBRA GRUESA"))&gt;0,"OBRA GRUESA",""),IF(SUMPRODUCT((BF615:CQ615&lt;1)*(PARTIDAS!$I$2:$AT$2="SANITARIOS"))&gt;0,"SANITARIOS",""),IF(SUMPRODUCT((BF615:CQ615&lt;1)*(PARTIDAS!$I$2:$AT$2="ELÉCTRICO"))&gt;0,"ELÉCTRICO",""),IF(SUMPRODUCT((BF615:CQ615&lt;1)*(PARTIDAS!$I$2:$AT$2="TERMINACIONES"))&gt;0,"TERMINACIONES",""))</f>
        <v>OBRA GRUESA, SANITARIOS, ELÉCTRICO, TERMINACIONES</v>
      </c>
      <c r="CU615" s="46" cm="1">
        <f t="array" ref="CU615">SUMPRODUCT(--(BF615:CQ615&lt;1))</f>
        <v>38</v>
      </c>
    </row>
    <row r="616" spans="1:99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46181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 s="3" t="str">
        <f>+IF(AVANCE[[#This Row],[% AVANCE]]=100%,"MODULO TERMINADO",IF(AVANCE[[#This Row],[FECHA INICIO REAL]]="","MODULO NO INICIADO","PENDIENTE"))</f>
        <v>MODULO NO INICIADO</v>
      </c>
      <c r="BF616" s="3">
        <f>+IF(AVANCE[[#This Row],[VENTANAS]]=8.10810810810811%,100%,AVANCE[[#This Row],[VENTANAS]])</f>
        <v>0</v>
      </c>
      <c r="BG616" s="3">
        <f>+IF(AVANCE[[#This Row],[PISO]]=N$2,100%,AVANCE[[#This Row],[PISO]])</f>
        <v>0</v>
      </c>
      <c r="BH616" s="3">
        <f>+IF(AVANCE[[#This Row],[TABIQUES]]=O$2,100%,AVANCE[[#This Row],[TABIQUES]])</f>
        <v>0</v>
      </c>
      <c r="BI616" s="3">
        <f>+IF(AVANCE[[#This Row],[MUROS]]=P$2,100%,AVANCE[[#This Row],[MUROS]])</f>
        <v>0</v>
      </c>
      <c r="BJ616" s="3">
        <f>+IF(AVANCE[[#This Row],[CIELO]]=Q$2,100%,AVANCE[[#This Row],[CIELO]])</f>
        <v>0</v>
      </c>
      <c r="BK616" s="3">
        <f>+IF(AVANCE[[#This Row],[BALCÓN]]=R$2,100%,AVANCE[[#This Row],[BALCÓN]])</f>
        <v>0</v>
      </c>
      <c r="BL616" s="3">
        <f>+IF(AVANCE[[#This Row],[RED ALCANTARILLADO]]=U$2,100%,AVANCE[[#This Row],[RED ALCANTARILLADO]])</f>
        <v>0</v>
      </c>
      <c r="BM616" s="3">
        <f>+IF(AVANCE[[#This Row],[RED DE AGUA]]=V$2,100%,AVANCE[[#This Row],[RED DE AGUA]])</f>
        <v>0</v>
      </c>
      <c r="BN616" s="3">
        <f>+IF(AVANCE[[#This Row],[VENTILACIONES]]=W$2,100%,AVANCE[[#This Row],[VENTILACIONES]])</f>
        <v>0</v>
      </c>
      <c r="BO616" s="3">
        <f>+IF(AVANCE[[#This Row],[TINA]]=X$2,100%,AVANCE[[#This Row],[TINA]])</f>
        <v>0</v>
      </c>
      <c r="BP616" s="3">
        <f>+IF(AVANCE[[#This Row],[WC]]=Y$2,100%,AVANCE[[#This Row],[WC]])</f>
        <v>0</v>
      </c>
      <c r="BQ616" s="3">
        <f>+IF(AVANCE[[#This Row],[LAVAMANOS / LAVAPLATOS / LAVADERO]]=Z$2,100%,AVANCE[[#This Row],[LAVAMANOS / LAVAPLATOS / LAVADERO]])</f>
        <v>0</v>
      </c>
      <c r="BR616" s="3">
        <f>+IF(AVANCE[[#This Row],[CANALIZACIÓN]]=AC$2,100%,AVANCE[[#This Row],[CANALIZACIÓN]])</f>
        <v>0</v>
      </c>
      <c r="BS616" s="3">
        <f>+IF(AVANCE[[#This Row],[CABLEADO]]=AD$2,100%,AVANCE[[#This Row],[CABLEADO]])</f>
        <v>0</v>
      </c>
      <c r="BT616" s="3">
        <f>+IF(AVANCE[[#This Row],[ARTEFACTOS]]=AE$2,100%,AVANCE[[#This Row],[ARTEFACTOS]])</f>
        <v>0</v>
      </c>
      <c r="BU616" s="3">
        <f>+IF(AVANCE[[#This Row],[TABLERO]]=AF$2,100%,AVANCE[[#This Row],[TABLERO]])</f>
        <v>0</v>
      </c>
      <c r="BV616" s="3">
        <f>+IF(AVANCE[[#This Row],[CAJA PAU]]=AG$2,100%,AVANCE[[#This Row],[CAJA PAU]])</f>
        <v>0</v>
      </c>
      <c r="BW616" s="3">
        <f>+IF(AVANCE[[#This Row],[INSTALACION VINILICO]]=AJ$2,100%,AVANCE[[#This Row],[INSTALACION VINILICO]])</f>
        <v>0</v>
      </c>
      <c r="BX616" s="3">
        <f>+IF(AVANCE[[#This Row],[OSB CUBIERTA]]=AK$2,100%,AVANCE[[#This Row],[OSB CUBIERTA]])</f>
        <v>0</v>
      </c>
      <c r="BY616" s="3">
        <f>+IF(AVANCE[[#This Row],[BARANDA BALCON]]=AL$2,100%,AVANCE[[#This Row],[BARANDA BALCON]])</f>
        <v>0</v>
      </c>
      <c r="BZ616" s="3">
        <f>+IF(AVANCE[[#This Row],[OSB EXTERIOR]]=AM$2,100%,AVANCE[[#This Row],[OSB EXTERIOR]])</f>
        <v>0</v>
      </c>
      <c r="CA616" s="3">
        <f>+IF(AVANCE[[#This Row],[SMART PANEL]]=AN$2,100%,AVANCE[[#This Row],[SMART PANEL]])</f>
        <v>0</v>
      </c>
      <c r="CB616" s="3">
        <f>+IF(AVANCE[[#This Row],[PINTURA EXTERIOR]]=AO$2,100%,AVANCE[[#This Row],[PINTURA EXTERIOR]])</f>
        <v>0</v>
      </c>
      <c r="CC616" s="3">
        <f>+IF(AVANCE[[#This Row],[ZOCALOS LOGIA]]=AP$2,100%,AVANCE[[#This Row],[ZOCALOS LOGIA]])</f>
        <v>0</v>
      </c>
      <c r="CD616" s="3">
        <f>+IF(AVANCE[[#This Row],[MOLDURAS]]=AQ$2,100%,AVANCE[[#This Row],[MOLDURAS]])</f>
        <v>0</v>
      </c>
      <c r="CE616" s="3">
        <f>+IF(AVANCE[[#This Row],[PILASTREO]]=AR$2,100%,AVANCE[[#This Row],[PILASTREO]])</f>
        <v>0</v>
      </c>
      <c r="CF616" s="3">
        <f>+IF(AVANCE[[#This Row],[CELOSIAS]]=AS$2,100%,AVANCE[[#This Row],[CELOSIAS]])</f>
        <v>0</v>
      </c>
      <c r="CG616" s="3">
        <f>+IF(AVANCE[[#This Row],[VENTANAS]]=AT$2,100%,AVANCE[[#This Row],[VENTANAS]])</f>
        <v>0</v>
      </c>
      <c r="CH616" s="3">
        <f>+IF(AVANCE[[#This Row],[PUERTAS ACCESO - LOGIA - BANO]]=AU$2,100%,AVANCE[[#This Row],[PUERTAS ACCESO - LOGIA - BANO]])</f>
        <v>0</v>
      </c>
      <c r="CI616" s="3">
        <f>+IF(AVANCE[[#This Row],[CERRADURAS]]=AV$2,100%,AVANCE[[#This Row],[CERRADURAS]])</f>
        <v>0</v>
      </c>
      <c r="CJ616" s="3">
        <f>+IF(AVANCE[[#This Row],[REVESTIMIENTO INTERIOR ZONA SECA]]=AW$2,100%,AVANCE[[#This Row],[REVESTIMIENTO INTERIOR ZONA SECA]])</f>
        <v>0</v>
      </c>
      <c r="CK616" s="3">
        <f>+IF(AVANCE[[#This Row],[REVESTIMIENTO INTERIOR ZONAS HUMEDAS]]=AX$2,100%,AVANCE[[#This Row],[REVESTIMIENTO INTERIOR ZONAS HUMEDAS]])</f>
        <v>0</v>
      </c>
      <c r="CL616" s="3">
        <f>+IF(AVANCE[[#This Row],[MEMBRANA CIELO]]=AY$2,100%,AVANCE[[#This Row],[MEMBRANA CIELO]])</f>
        <v>0</v>
      </c>
      <c r="CM616" s="3">
        <f>+IF(AVANCE[[#This Row],[LIMPIEZA FINAL]]=AZ$2,100%,AVANCE[[#This Row],[LIMPIEZA FINAL]])</f>
        <v>0</v>
      </c>
      <c r="CN616" s="3">
        <f>+IF(AVANCE[[#This Row],[PUERTAS DORMITORIO]]=BA$2,100%,AVANCE[[#This Row],[PUERTAS DORMITORIO]])</f>
        <v>0</v>
      </c>
      <c r="CO616" s="3">
        <f>+IF(AVANCE[[#This Row],[REVESTIMIENTO INTERIOR BANO]]=BB$2,100%,AVANCE[[#This Row],[REVESTIMIENTO INTERIOR BANO]])</f>
        <v>0</v>
      </c>
      <c r="CP616" s="3">
        <f>+IF(AVANCE[[#This Row],[MUEBLE LAVAPLATOS]]=BC$2,100%,AVANCE[[#This Row],[MUEBLE LAVAPLATOS]])</f>
        <v>0</v>
      </c>
      <c r="CQ616" s="3">
        <f>+IF(AVANCE[[#This Row],[IMPERMEABILIZACION BANO - COCINA LOGIA]]=BD$2,100%,AVANCE[[#This Row],[IMPERMEABILIZACION BANO - COCINA LOGIA]])</f>
        <v>0</v>
      </c>
      <c r="CR616" s="40">
        <f ca="1">+IF(AVANCE[[#This Row],[ESTADO MODULO]]="PENDIENTE",(TODAY()-AVANCE[[#This Row],[FECHA TERMINO  PLANIFICADO]]),0)</f>
        <v>0</v>
      </c>
      <c r="CS616" s="42" t="str" cm="1">
        <f t="array" ref="CS616">_xlfn.TEXTJOIN(" | ",TRUE,IF(SUMPRODUCT((BF616:CQ616&lt;1)*(PARTIDAS!$I$2:$AT$2="OBRA GRUESA"))&gt;0,"OBRA GRUESA: "&amp;_xlfn.TEXTJOIN(", ",TRUE,IF((BF616:CQ616&lt;1)*(PARTIDAS!$I$2:$AT$2="OBRA GRUESA"),PARTIDAS!$I$1:$AT$1,"")),""),IF(SUMPRODUCT((BF616:CQ616&lt;1)*(PARTIDAS!$I$2:$AT$2="SANITARIOS"))&gt;0,"SANITARIOS: "&amp;_xlfn.TEXTJOIN(", ",TRUE,IF((BF616:CQ616&lt;1)*(PARTIDAS!$I$2:$AT$2="SANITARIOS"),PARTIDAS!$I$1:$AT$1,"")),""),IF(SUMPRODUCT((BF616:CQ616&lt;1)*(PARTIDAS!$I$2:$AT$2="ELÉCTRICO"))&gt;0,"ELÉCTRICO: "&amp;_xlfn.TEXTJOIN(", ",TRUE,IF((BF616:CQ616&lt;1)*(PARTIDAS!$I$2:$AT$2="ELÉCTRICO"),PARTIDAS!$I$1:$AT$1,"")),""),IF(SUMPRODUCT((BF616:CQ616&lt;1)*(PARTIDAS!$I$2:$AT$2="TERMINACIONES"))&gt;0,"TERMINACIONES: "&amp;_xlfn.TEXTJOIN(", ",TRUE,IF((BF616:CQ616&lt;1)*(PARTIDAS!$I$2:$AT$2="TERMINACIONES"),PARTIDAS!$I$1:$AT$1,"")),""))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6" s="45" t="str" cm="1">
        <f t="array" ref="CT616">_xlfn.TEXTJOIN(", ",TRUE,IF(SUMPRODUCT((BF616:CQ616&lt;1)*(PARTIDAS!$I$2:$AT$2="OBRA GRUESA"))&gt;0,"OBRA GRUESA",""),IF(SUMPRODUCT((BF616:CQ616&lt;1)*(PARTIDAS!$I$2:$AT$2="SANITARIOS"))&gt;0,"SANITARIOS",""),IF(SUMPRODUCT((BF616:CQ616&lt;1)*(PARTIDAS!$I$2:$AT$2="ELÉCTRICO"))&gt;0,"ELÉCTRICO",""),IF(SUMPRODUCT((BF616:CQ616&lt;1)*(PARTIDAS!$I$2:$AT$2="TERMINACIONES"))&gt;0,"TERMINACIONES",""))</f>
        <v>OBRA GRUESA, SANITARIOS, ELÉCTRICO, TERMINACIONES</v>
      </c>
      <c r="CU616" s="46" cm="1">
        <f t="array" ref="CU616">SUMPRODUCT(--(BF616:CQ616&lt;1))</f>
        <v>38</v>
      </c>
    </row>
    <row r="617" spans="1:99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46181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 s="3" t="str">
        <f>+IF(AVANCE[[#This Row],[% AVANCE]]=100%,"MODULO TERMINADO",IF(AVANCE[[#This Row],[FECHA INICIO REAL]]="","MODULO NO INICIADO","PENDIENTE"))</f>
        <v>MODULO NO INICIADO</v>
      </c>
      <c r="BF617" s="3">
        <f>+IF(AVANCE[[#This Row],[VENTANAS]]=8.10810810810811%,100%,AVANCE[[#This Row],[VENTANAS]])</f>
        <v>0</v>
      </c>
      <c r="BG617" s="3">
        <f>+IF(AVANCE[[#This Row],[PISO]]=N$2,100%,AVANCE[[#This Row],[PISO]])</f>
        <v>0</v>
      </c>
      <c r="BH617" s="3">
        <f>+IF(AVANCE[[#This Row],[TABIQUES]]=O$2,100%,AVANCE[[#This Row],[TABIQUES]])</f>
        <v>0</v>
      </c>
      <c r="BI617" s="3">
        <f>+IF(AVANCE[[#This Row],[MUROS]]=P$2,100%,AVANCE[[#This Row],[MUROS]])</f>
        <v>0</v>
      </c>
      <c r="BJ617" s="3">
        <f>+IF(AVANCE[[#This Row],[CIELO]]=Q$2,100%,AVANCE[[#This Row],[CIELO]])</f>
        <v>0</v>
      </c>
      <c r="BK617" s="3">
        <f>+IF(AVANCE[[#This Row],[BALCÓN]]=R$2,100%,AVANCE[[#This Row],[BALCÓN]])</f>
        <v>0</v>
      </c>
      <c r="BL617" s="3">
        <f>+IF(AVANCE[[#This Row],[RED ALCANTARILLADO]]=U$2,100%,AVANCE[[#This Row],[RED ALCANTARILLADO]])</f>
        <v>0</v>
      </c>
      <c r="BM617" s="3">
        <f>+IF(AVANCE[[#This Row],[RED DE AGUA]]=V$2,100%,AVANCE[[#This Row],[RED DE AGUA]])</f>
        <v>0</v>
      </c>
      <c r="BN617" s="3">
        <f>+IF(AVANCE[[#This Row],[VENTILACIONES]]=W$2,100%,AVANCE[[#This Row],[VENTILACIONES]])</f>
        <v>0</v>
      </c>
      <c r="BO617" s="3">
        <f>+IF(AVANCE[[#This Row],[TINA]]=X$2,100%,AVANCE[[#This Row],[TINA]])</f>
        <v>0</v>
      </c>
      <c r="BP617" s="3">
        <f>+IF(AVANCE[[#This Row],[WC]]=Y$2,100%,AVANCE[[#This Row],[WC]])</f>
        <v>0</v>
      </c>
      <c r="BQ617" s="3">
        <f>+IF(AVANCE[[#This Row],[LAVAMANOS / LAVAPLATOS / LAVADERO]]=Z$2,100%,AVANCE[[#This Row],[LAVAMANOS / LAVAPLATOS / LAVADERO]])</f>
        <v>0</v>
      </c>
      <c r="BR617" s="3">
        <f>+IF(AVANCE[[#This Row],[CANALIZACIÓN]]=AC$2,100%,AVANCE[[#This Row],[CANALIZACIÓN]])</f>
        <v>0</v>
      </c>
      <c r="BS617" s="3">
        <f>+IF(AVANCE[[#This Row],[CABLEADO]]=AD$2,100%,AVANCE[[#This Row],[CABLEADO]])</f>
        <v>0</v>
      </c>
      <c r="BT617" s="3">
        <f>+IF(AVANCE[[#This Row],[ARTEFACTOS]]=AE$2,100%,AVANCE[[#This Row],[ARTEFACTOS]])</f>
        <v>0</v>
      </c>
      <c r="BU617" s="3">
        <f>+IF(AVANCE[[#This Row],[TABLERO]]=AF$2,100%,AVANCE[[#This Row],[TABLERO]])</f>
        <v>0</v>
      </c>
      <c r="BV617" s="3">
        <f>+IF(AVANCE[[#This Row],[CAJA PAU]]=AG$2,100%,AVANCE[[#This Row],[CAJA PAU]])</f>
        <v>0</v>
      </c>
      <c r="BW617" s="3">
        <f>+IF(AVANCE[[#This Row],[INSTALACION VINILICO]]=AJ$2,100%,AVANCE[[#This Row],[INSTALACION VINILICO]])</f>
        <v>0</v>
      </c>
      <c r="BX617" s="3">
        <f>+IF(AVANCE[[#This Row],[OSB CUBIERTA]]=AK$2,100%,AVANCE[[#This Row],[OSB CUBIERTA]])</f>
        <v>0</v>
      </c>
      <c r="BY617" s="3">
        <f>+IF(AVANCE[[#This Row],[BARANDA BALCON]]=AL$2,100%,AVANCE[[#This Row],[BARANDA BALCON]])</f>
        <v>0</v>
      </c>
      <c r="BZ617" s="3">
        <f>+IF(AVANCE[[#This Row],[OSB EXTERIOR]]=AM$2,100%,AVANCE[[#This Row],[OSB EXTERIOR]])</f>
        <v>0</v>
      </c>
      <c r="CA617" s="3">
        <f>+IF(AVANCE[[#This Row],[SMART PANEL]]=AN$2,100%,AVANCE[[#This Row],[SMART PANEL]])</f>
        <v>0</v>
      </c>
      <c r="CB617" s="3">
        <f>+IF(AVANCE[[#This Row],[PINTURA EXTERIOR]]=AO$2,100%,AVANCE[[#This Row],[PINTURA EXTERIOR]])</f>
        <v>0</v>
      </c>
      <c r="CC617" s="3">
        <f>+IF(AVANCE[[#This Row],[ZOCALOS LOGIA]]=AP$2,100%,AVANCE[[#This Row],[ZOCALOS LOGIA]])</f>
        <v>0</v>
      </c>
      <c r="CD617" s="3">
        <f>+IF(AVANCE[[#This Row],[MOLDURAS]]=AQ$2,100%,AVANCE[[#This Row],[MOLDURAS]])</f>
        <v>0</v>
      </c>
      <c r="CE617" s="3">
        <f>+IF(AVANCE[[#This Row],[PILASTREO]]=AR$2,100%,AVANCE[[#This Row],[PILASTREO]])</f>
        <v>0</v>
      </c>
      <c r="CF617" s="3">
        <f>+IF(AVANCE[[#This Row],[CELOSIAS]]=AS$2,100%,AVANCE[[#This Row],[CELOSIAS]])</f>
        <v>0</v>
      </c>
      <c r="CG617" s="3">
        <f>+IF(AVANCE[[#This Row],[VENTANAS]]=AT$2,100%,AVANCE[[#This Row],[VENTANAS]])</f>
        <v>0</v>
      </c>
      <c r="CH617" s="3">
        <f>+IF(AVANCE[[#This Row],[PUERTAS ACCESO - LOGIA - BANO]]=AU$2,100%,AVANCE[[#This Row],[PUERTAS ACCESO - LOGIA - BANO]])</f>
        <v>0</v>
      </c>
      <c r="CI617" s="3">
        <f>+IF(AVANCE[[#This Row],[CERRADURAS]]=AV$2,100%,AVANCE[[#This Row],[CERRADURAS]])</f>
        <v>0</v>
      </c>
      <c r="CJ617" s="3">
        <f>+IF(AVANCE[[#This Row],[REVESTIMIENTO INTERIOR ZONA SECA]]=AW$2,100%,AVANCE[[#This Row],[REVESTIMIENTO INTERIOR ZONA SECA]])</f>
        <v>0</v>
      </c>
      <c r="CK617" s="3">
        <f>+IF(AVANCE[[#This Row],[REVESTIMIENTO INTERIOR ZONAS HUMEDAS]]=AX$2,100%,AVANCE[[#This Row],[REVESTIMIENTO INTERIOR ZONAS HUMEDAS]])</f>
        <v>0</v>
      </c>
      <c r="CL617" s="3">
        <f>+IF(AVANCE[[#This Row],[MEMBRANA CIELO]]=AY$2,100%,AVANCE[[#This Row],[MEMBRANA CIELO]])</f>
        <v>0</v>
      </c>
      <c r="CM617" s="3">
        <f>+IF(AVANCE[[#This Row],[LIMPIEZA FINAL]]=AZ$2,100%,AVANCE[[#This Row],[LIMPIEZA FINAL]])</f>
        <v>0</v>
      </c>
      <c r="CN617" s="3">
        <f>+IF(AVANCE[[#This Row],[PUERTAS DORMITORIO]]=BA$2,100%,AVANCE[[#This Row],[PUERTAS DORMITORIO]])</f>
        <v>0</v>
      </c>
      <c r="CO617" s="3">
        <f>+IF(AVANCE[[#This Row],[REVESTIMIENTO INTERIOR BANO]]=BB$2,100%,AVANCE[[#This Row],[REVESTIMIENTO INTERIOR BANO]])</f>
        <v>0</v>
      </c>
      <c r="CP617" s="3">
        <f>+IF(AVANCE[[#This Row],[MUEBLE LAVAPLATOS]]=BC$2,100%,AVANCE[[#This Row],[MUEBLE LAVAPLATOS]])</f>
        <v>0</v>
      </c>
      <c r="CQ617" s="3">
        <f>+IF(AVANCE[[#This Row],[IMPERMEABILIZACION BANO - COCINA LOGIA]]=BD$2,100%,AVANCE[[#This Row],[IMPERMEABILIZACION BANO - COCINA LOGIA]])</f>
        <v>0</v>
      </c>
      <c r="CR617" s="40">
        <f ca="1">+IF(AVANCE[[#This Row],[ESTADO MODULO]]="PENDIENTE",(TODAY()-AVANCE[[#This Row],[FECHA TERMINO  PLANIFICADO]]),0)</f>
        <v>0</v>
      </c>
      <c r="CS617" s="42" t="str" cm="1">
        <f t="array" ref="CS617">_xlfn.TEXTJOIN(" | ",TRUE,IF(SUMPRODUCT((BF617:CQ617&lt;1)*(PARTIDAS!$I$2:$AT$2="OBRA GRUESA"))&gt;0,"OBRA GRUESA: "&amp;_xlfn.TEXTJOIN(", ",TRUE,IF((BF617:CQ617&lt;1)*(PARTIDAS!$I$2:$AT$2="OBRA GRUESA"),PARTIDAS!$I$1:$AT$1,"")),""),IF(SUMPRODUCT((BF617:CQ617&lt;1)*(PARTIDAS!$I$2:$AT$2="SANITARIOS"))&gt;0,"SANITARIOS: "&amp;_xlfn.TEXTJOIN(", ",TRUE,IF((BF617:CQ617&lt;1)*(PARTIDAS!$I$2:$AT$2="SANITARIOS"),PARTIDAS!$I$1:$AT$1,"")),""),IF(SUMPRODUCT((BF617:CQ617&lt;1)*(PARTIDAS!$I$2:$AT$2="ELÉCTRICO"))&gt;0,"ELÉCTRICO: "&amp;_xlfn.TEXTJOIN(", ",TRUE,IF((BF617:CQ617&lt;1)*(PARTIDAS!$I$2:$AT$2="ELÉCTRICO"),PARTIDAS!$I$1:$AT$1,"")),""),IF(SUMPRODUCT((BF617:CQ617&lt;1)*(PARTIDAS!$I$2:$AT$2="TERMINACIONES"))&gt;0,"TERMINACIONES: "&amp;_xlfn.TEXTJOIN(", ",TRUE,IF((BF617:CQ617&lt;1)*(PARTIDAS!$I$2:$AT$2="TERMINACIONES"),PARTIDAS!$I$1:$AT$1,"")),""))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7" s="45" t="str" cm="1">
        <f t="array" ref="CT617">_xlfn.TEXTJOIN(", ",TRUE,IF(SUMPRODUCT((BF617:CQ617&lt;1)*(PARTIDAS!$I$2:$AT$2="OBRA GRUESA"))&gt;0,"OBRA GRUESA",""),IF(SUMPRODUCT((BF617:CQ617&lt;1)*(PARTIDAS!$I$2:$AT$2="SANITARIOS"))&gt;0,"SANITARIOS",""),IF(SUMPRODUCT((BF617:CQ617&lt;1)*(PARTIDAS!$I$2:$AT$2="ELÉCTRICO"))&gt;0,"ELÉCTRICO",""),IF(SUMPRODUCT((BF617:CQ617&lt;1)*(PARTIDAS!$I$2:$AT$2="TERMINACIONES"))&gt;0,"TERMINACIONES",""))</f>
        <v>OBRA GRUESA, SANITARIOS, ELÉCTRICO, TERMINACIONES</v>
      </c>
      <c r="CU617" s="46" cm="1">
        <f t="array" ref="CU617">SUMPRODUCT(--(BF617:CQ617&lt;1))</f>
        <v>38</v>
      </c>
    </row>
    <row r="618" spans="1:99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46181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 s="3" t="str">
        <f>+IF(AVANCE[[#This Row],[% AVANCE]]=100%,"MODULO TERMINADO",IF(AVANCE[[#This Row],[FECHA INICIO REAL]]="","MODULO NO INICIADO","PENDIENTE"))</f>
        <v>MODULO NO INICIADO</v>
      </c>
      <c r="BF618" s="3">
        <f>+IF(AVANCE[[#This Row],[VENTANAS]]=8.10810810810811%,100%,AVANCE[[#This Row],[VENTANAS]])</f>
        <v>0</v>
      </c>
      <c r="BG618" s="3">
        <f>+IF(AVANCE[[#This Row],[PISO]]=N$2,100%,AVANCE[[#This Row],[PISO]])</f>
        <v>0</v>
      </c>
      <c r="BH618" s="3">
        <f>+IF(AVANCE[[#This Row],[TABIQUES]]=O$2,100%,AVANCE[[#This Row],[TABIQUES]])</f>
        <v>0</v>
      </c>
      <c r="BI618" s="3">
        <f>+IF(AVANCE[[#This Row],[MUROS]]=P$2,100%,AVANCE[[#This Row],[MUROS]])</f>
        <v>0</v>
      </c>
      <c r="BJ618" s="3">
        <f>+IF(AVANCE[[#This Row],[CIELO]]=Q$2,100%,AVANCE[[#This Row],[CIELO]])</f>
        <v>0</v>
      </c>
      <c r="BK618" s="3">
        <f>+IF(AVANCE[[#This Row],[BALCÓN]]=R$2,100%,AVANCE[[#This Row],[BALCÓN]])</f>
        <v>0</v>
      </c>
      <c r="BL618" s="3">
        <f>+IF(AVANCE[[#This Row],[RED ALCANTARILLADO]]=U$2,100%,AVANCE[[#This Row],[RED ALCANTARILLADO]])</f>
        <v>0</v>
      </c>
      <c r="BM618" s="3">
        <f>+IF(AVANCE[[#This Row],[RED DE AGUA]]=V$2,100%,AVANCE[[#This Row],[RED DE AGUA]])</f>
        <v>0</v>
      </c>
      <c r="BN618" s="3">
        <f>+IF(AVANCE[[#This Row],[VENTILACIONES]]=W$2,100%,AVANCE[[#This Row],[VENTILACIONES]])</f>
        <v>0</v>
      </c>
      <c r="BO618" s="3">
        <f>+IF(AVANCE[[#This Row],[TINA]]=X$2,100%,AVANCE[[#This Row],[TINA]])</f>
        <v>0</v>
      </c>
      <c r="BP618" s="3">
        <f>+IF(AVANCE[[#This Row],[WC]]=Y$2,100%,AVANCE[[#This Row],[WC]])</f>
        <v>0</v>
      </c>
      <c r="BQ618" s="3">
        <f>+IF(AVANCE[[#This Row],[LAVAMANOS / LAVAPLATOS / LAVADERO]]=Z$2,100%,AVANCE[[#This Row],[LAVAMANOS / LAVAPLATOS / LAVADERO]])</f>
        <v>0</v>
      </c>
      <c r="BR618" s="3">
        <f>+IF(AVANCE[[#This Row],[CANALIZACIÓN]]=AC$2,100%,AVANCE[[#This Row],[CANALIZACIÓN]])</f>
        <v>0</v>
      </c>
      <c r="BS618" s="3">
        <f>+IF(AVANCE[[#This Row],[CABLEADO]]=AD$2,100%,AVANCE[[#This Row],[CABLEADO]])</f>
        <v>0</v>
      </c>
      <c r="BT618" s="3">
        <f>+IF(AVANCE[[#This Row],[ARTEFACTOS]]=AE$2,100%,AVANCE[[#This Row],[ARTEFACTOS]])</f>
        <v>0</v>
      </c>
      <c r="BU618" s="3">
        <f>+IF(AVANCE[[#This Row],[TABLERO]]=AF$2,100%,AVANCE[[#This Row],[TABLERO]])</f>
        <v>0</v>
      </c>
      <c r="BV618" s="3">
        <f>+IF(AVANCE[[#This Row],[CAJA PAU]]=AG$2,100%,AVANCE[[#This Row],[CAJA PAU]])</f>
        <v>0</v>
      </c>
      <c r="BW618" s="3">
        <f>+IF(AVANCE[[#This Row],[INSTALACION VINILICO]]=AJ$2,100%,AVANCE[[#This Row],[INSTALACION VINILICO]])</f>
        <v>0</v>
      </c>
      <c r="BX618" s="3">
        <f>+IF(AVANCE[[#This Row],[OSB CUBIERTA]]=AK$2,100%,AVANCE[[#This Row],[OSB CUBIERTA]])</f>
        <v>0</v>
      </c>
      <c r="BY618" s="3">
        <f>+IF(AVANCE[[#This Row],[BARANDA BALCON]]=AL$2,100%,AVANCE[[#This Row],[BARANDA BALCON]])</f>
        <v>0</v>
      </c>
      <c r="BZ618" s="3">
        <f>+IF(AVANCE[[#This Row],[OSB EXTERIOR]]=AM$2,100%,AVANCE[[#This Row],[OSB EXTERIOR]])</f>
        <v>0</v>
      </c>
      <c r="CA618" s="3">
        <f>+IF(AVANCE[[#This Row],[SMART PANEL]]=AN$2,100%,AVANCE[[#This Row],[SMART PANEL]])</f>
        <v>0</v>
      </c>
      <c r="CB618" s="3">
        <f>+IF(AVANCE[[#This Row],[PINTURA EXTERIOR]]=AO$2,100%,AVANCE[[#This Row],[PINTURA EXTERIOR]])</f>
        <v>0</v>
      </c>
      <c r="CC618" s="3">
        <f>+IF(AVANCE[[#This Row],[ZOCALOS LOGIA]]=AP$2,100%,AVANCE[[#This Row],[ZOCALOS LOGIA]])</f>
        <v>0</v>
      </c>
      <c r="CD618" s="3">
        <f>+IF(AVANCE[[#This Row],[MOLDURAS]]=AQ$2,100%,AVANCE[[#This Row],[MOLDURAS]])</f>
        <v>0</v>
      </c>
      <c r="CE618" s="3">
        <f>+IF(AVANCE[[#This Row],[PILASTREO]]=AR$2,100%,AVANCE[[#This Row],[PILASTREO]])</f>
        <v>0</v>
      </c>
      <c r="CF618" s="3">
        <f>+IF(AVANCE[[#This Row],[CELOSIAS]]=AS$2,100%,AVANCE[[#This Row],[CELOSIAS]])</f>
        <v>0</v>
      </c>
      <c r="CG618" s="3">
        <f>+IF(AVANCE[[#This Row],[VENTANAS]]=AT$2,100%,AVANCE[[#This Row],[VENTANAS]])</f>
        <v>0</v>
      </c>
      <c r="CH618" s="3">
        <f>+IF(AVANCE[[#This Row],[PUERTAS ACCESO - LOGIA - BANO]]=AU$2,100%,AVANCE[[#This Row],[PUERTAS ACCESO - LOGIA - BANO]])</f>
        <v>0</v>
      </c>
      <c r="CI618" s="3">
        <f>+IF(AVANCE[[#This Row],[CERRADURAS]]=AV$2,100%,AVANCE[[#This Row],[CERRADURAS]])</f>
        <v>0</v>
      </c>
      <c r="CJ618" s="3">
        <f>+IF(AVANCE[[#This Row],[REVESTIMIENTO INTERIOR ZONA SECA]]=AW$2,100%,AVANCE[[#This Row],[REVESTIMIENTO INTERIOR ZONA SECA]])</f>
        <v>0</v>
      </c>
      <c r="CK618" s="3">
        <f>+IF(AVANCE[[#This Row],[REVESTIMIENTO INTERIOR ZONAS HUMEDAS]]=AX$2,100%,AVANCE[[#This Row],[REVESTIMIENTO INTERIOR ZONAS HUMEDAS]])</f>
        <v>0</v>
      </c>
      <c r="CL618" s="3">
        <f>+IF(AVANCE[[#This Row],[MEMBRANA CIELO]]=AY$2,100%,AVANCE[[#This Row],[MEMBRANA CIELO]])</f>
        <v>0</v>
      </c>
      <c r="CM618" s="3">
        <f>+IF(AVANCE[[#This Row],[LIMPIEZA FINAL]]=AZ$2,100%,AVANCE[[#This Row],[LIMPIEZA FINAL]])</f>
        <v>0</v>
      </c>
      <c r="CN618" s="3">
        <f>+IF(AVANCE[[#This Row],[PUERTAS DORMITORIO]]=BA$2,100%,AVANCE[[#This Row],[PUERTAS DORMITORIO]])</f>
        <v>0</v>
      </c>
      <c r="CO618" s="3">
        <f>+IF(AVANCE[[#This Row],[REVESTIMIENTO INTERIOR BANO]]=BB$2,100%,AVANCE[[#This Row],[REVESTIMIENTO INTERIOR BANO]])</f>
        <v>0</v>
      </c>
      <c r="CP618" s="3">
        <f>+IF(AVANCE[[#This Row],[MUEBLE LAVAPLATOS]]=BC$2,100%,AVANCE[[#This Row],[MUEBLE LAVAPLATOS]])</f>
        <v>0</v>
      </c>
      <c r="CQ618" s="3">
        <f>+IF(AVANCE[[#This Row],[IMPERMEABILIZACION BANO - COCINA LOGIA]]=BD$2,100%,AVANCE[[#This Row],[IMPERMEABILIZACION BANO - COCINA LOGIA]])</f>
        <v>0</v>
      </c>
      <c r="CR618" s="40">
        <f ca="1">+IF(AVANCE[[#This Row],[ESTADO MODULO]]="PENDIENTE",(TODAY()-AVANCE[[#This Row],[FECHA TERMINO  PLANIFICADO]]),0)</f>
        <v>0</v>
      </c>
      <c r="CS618" s="42" t="str" cm="1">
        <f t="array" ref="CS618">_xlfn.TEXTJOIN(" | ",TRUE,IF(SUMPRODUCT((BF618:CQ618&lt;1)*(PARTIDAS!$I$2:$AT$2="OBRA GRUESA"))&gt;0,"OBRA GRUESA: "&amp;_xlfn.TEXTJOIN(", ",TRUE,IF((BF618:CQ618&lt;1)*(PARTIDAS!$I$2:$AT$2="OBRA GRUESA"),PARTIDAS!$I$1:$AT$1,"")),""),IF(SUMPRODUCT((BF618:CQ618&lt;1)*(PARTIDAS!$I$2:$AT$2="SANITARIOS"))&gt;0,"SANITARIOS: "&amp;_xlfn.TEXTJOIN(", ",TRUE,IF((BF618:CQ618&lt;1)*(PARTIDAS!$I$2:$AT$2="SANITARIOS"),PARTIDAS!$I$1:$AT$1,"")),""),IF(SUMPRODUCT((BF618:CQ618&lt;1)*(PARTIDAS!$I$2:$AT$2="ELÉCTRICO"))&gt;0,"ELÉCTRICO: "&amp;_xlfn.TEXTJOIN(", ",TRUE,IF((BF618:CQ618&lt;1)*(PARTIDAS!$I$2:$AT$2="ELÉCTRICO"),PARTIDAS!$I$1:$AT$1,"")),""),IF(SUMPRODUCT((BF618:CQ618&lt;1)*(PARTIDAS!$I$2:$AT$2="TERMINACIONES"))&gt;0,"TERMINACIONES: "&amp;_xlfn.TEXTJOIN(", ",TRUE,IF((BF618:CQ618&lt;1)*(PARTIDAS!$I$2:$AT$2="TERMINACIONES"),PARTIDAS!$I$1:$AT$1,"")),""))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8" s="45" t="str" cm="1">
        <f t="array" ref="CT618">_xlfn.TEXTJOIN(", ",TRUE,IF(SUMPRODUCT((BF618:CQ618&lt;1)*(PARTIDAS!$I$2:$AT$2="OBRA GRUESA"))&gt;0,"OBRA GRUESA",""),IF(SUMPRODUCT((BF618:CQ618&lt;1)*(PARTIDAS!$I$2:$AT$2="SANITARIOS"))&gt;0,"SANITARIOS",""),IF(SUMPRODUCT((BF618:CQ618&lt;1)*(PARTIDAS!$I$2:$AT$2="ELÉCTRICO"))&gt;0,"ELÉCTRICO",""),IF(SUMPRODUCT((BF618:CQ618&lt;1)*(PARTIDAS!$I$2:$AT$2="TERMINACIONES"))&gt;0,"TERMINACIONES",""))</f>
        <v>OBRA GRUESA, SANITARIOS, ELÉCTRICO, TERMINACIONES</v>
      </c>
      <c r="CU618" s="46" cm="1">
        <f t="array" ref="CU618">SUMPRODUCT(--(BF618:CQ618&lt;1))</f>
        <v>38</v>
      </c>
    </row>
    <row r="619" spans="1:99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46181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 s="3" t="str">
        <f>+IF(AVANCE[[#This Row],[% AVANCE]]=100%,"MODULO TERMINADO",IF(AVANCE[[#This Row],[FECHA INICIO REAL]]="","MODULO NO INICIADO","PENDIENTE"))</f>
        <v>MODULO NO INICIADO</v>
      </c>
      <c r="BF619" s="3">
        <f>+IF(AVANCE[[#This Row],[VENTANAS]]=8.10810810810811%,100%,AVANCE[[#This Row],[VENTANAS]])</f>
        <v>0</v>
      </c>
      <c r="BG619" s="3">
        <f>+IF(AVANCE[[#This Row],[PISO]]=N$2,100%,AVANCE[[#This Row],[PISO]])</f>
        <v>0</v>
      </c>
      <c r="BH619" s="3">
        <f>+IF(AVANCE[[#This Row],[TABIQUES]]=O$2,100%,AVANCE[[#This Row],[TABIQUES]])</f>
        <v>0</v>
      </c>
      <c r="BI619" s="3">
        <f>+IF(AVANCE[[#This Row],[MUROS]]=P$2,100%,AVANCE[[#This Row],[MUROS]])</f>
        <v>0</v>
      </c>
      <c r="BJ619" s="3">
        <f>+IF(AVANCE[[#This Row],[CIELO]]=Q$2,100%,AVANCE[[#This Row],[CIELO]])</f>
        <v>0</v>
      </c>
      <c r="BK619" s="3">
        <f>+IF(AVANCE[[#This Row],[BALCÓN]]=R$2,100%,AVANCE[[#This Row],[BALCÓN]])</f>
        <v>0</v>
      </c>
      <c r="BL619" s="3">
        <f>+IF(AVANCE[[#This Row],[RED ALCANTARILLADO]]=U$2,100%,AVANCE[[#This Row],[RED ALCANTARILLADO]])</f>
        <v>0</v>
      </c>
      <c r="BM619" s="3">
        <f>+IF(AVANCE[[#This Row],[RED DE AGUA]]=V$2,100%,AVANCE[[#This Row],[RED DE AGUA]])</f>
        <v>0</v>
      </c>
      <c r="BN619" s="3">
        <f>+IF(AVANCE[[#This Row],[VENTILACIONES]]=W$2,100%,AVANCE[[#This Row],[VENTILACIONES]])</f>
        <v>0</v>
      </c>
      <c r="BO619" s="3">
        <f>+IF(AVANCE[[#This Row],[TINA]]=X$2,100%,AVANCE[[#This Row],[TINA]])</f>
        <v>0</v>
      </c>
      <c r="BP619" s="3">
        <f>+IF(AVANCE[[#This Row],[WC]]=Y$2,100%,AVANCE[[#This Row],[WC]])</f>
        <v>0</v>
      </c>
      <c r="BQ619" s="3">
        <f>+IF(AVANCE[[#This Row],[LAVAMANOS / LAVAPLATOS / LAVADERO]]=Z$2,100%,AVANCE[[#This Row],[LAVAMANOS / LAVAPLATOS / LAVADERO]])</f>
        <v>0</v>
      </c>
      <c r="BR619" s="3">
        <f>+IF(AVANCE[[#This Row],[CANALIZACIÓN]]=AC$2,100%,AVANCE[[#This Row],[CANALIZACIÓN]])</f>
        <v>0</v>
      </c>
      <c r="BS619" s="3">
        <f>+IF(AVANCE[[#This Row],[CABLEADO]]=AD$2,100%,AVANCE[[#This Row],[CABLEADO]])</f>
        <v>0</v>
      </c>
      <c r="BT619" s="3">
        <f>+IF(AVANCE[[#This Row],[ARTEFACTOS]]=AE$2,100%,AVANCE[[#This Row],[ARTEFACTOS]])</f>
        <v>0</v>
      </c>
      <c r="BU619" s="3">
        <f>+IF(AVANCE[[#This Row],[TABLERO]]=AF$2,100%,AVANCE[[#This Row],[TABLERO]])</f>
        <v>0</v>
      </c>
      <c r="BV619" s="3">
        <f>+IF(AVANCE[[#This Row],[CAJA PAU]]=AG$2,100%,AVANCE[[#This Row],[CAJA PAU]])</f>
        <v>0</v>
      </c>
      <c r="BW619" s="3">
        <f>+IF(AVANCE[[#This Row],[INSTALACION VINILICO]]=AJ$2,100%,AVANCE[[#This Row],[INSTALACION VINILICO]])</f>
        <v>0</v>
      </c>
      <c r="BX619" s="3">
        <f>+IF(AVANCE[[#This Row],[OSB CUBIERTA]]=AK$2,100%,AVANCE[[#This Row],[OSB CUBIERTA]])</f>
        <v>0</v>
      </c>
      <c r="BY619" s="3">
        <f>+IF(AVANCE[[#This Row],[BARANDA BALCON]]=AL$2,100%,AVANCE[[#This Row],[BARANDA BALCON]])</f>
        <v>0</v>
      </c>
      <c r="BZ619" s="3">
        <f>+IF(AVANCE[[#This Row],[OSB EXTERIOR]]=AM$2,100%,AVANCE[[#This Row],[OSB EXTERIOR]])</f>
        <v>0</v>
      </c>
      <c r="CA619" s="3">
        <f>+IF(AVANCE[[#This Row],[SMART PANEL]]=AN$2,100%,AVANCE[[#This Row],[SMART PANEL]])</f>
        <v>0</v>
      </c>
      <c r="CB619" s="3">
        <f>+IF(AVANCE[[#This Row],[PINTURA EXTERIOR]]=AO$2,100%,AVANCE[[#This Row],[PINTURA EXTERIOR]])</f>
        <v>0</v>
      </c>
      <c r="CC619" s="3">
        <f>+IF(AVANCE[[#This Row],[ZOCALOS LOGIA]]=AP$2,100%,AVANCE[[#This Row],[ZOCALOS LOGIA]])</f>
        <v>0</v>
      </c>
      <c r="CD619" s="3">
        <f>+IF(AVANCE[[#This Row],[MOLDURAS]]=AQ$2,100%,AVANCE[[#This Row],[MOLDURAS]])</f>
        <v>0</v>
      </c>
      <c r="CE619" s="3">
        <f>+IF(AVANCE[[#This Row],[PILASTREO]]=AR$2,100%,AVANCE[[#This Row],[PILASTREO]])</f>
        <v>0</v>
      </c>
      <c r="CF619" s="3">
        <f>+IF(AVANCE[[#This Row],[CELOSIAS]]=AS$2,100%,AVANCE[[#This Row],[CELOSIAS]])</f>
        <v>0</v>
      </c>
      <c r="CG619" s="3">
        <f>+IF(AVANCE[[#This Row],[VENTANAS]]=AT$2,100%,AVANCE[[#This Row],[VENTANAS]])</f>
        <v>0</v>
      </c>
      <c r="CH619" s="3">
        <f>+IF(AVANCE[[#This Row],[PUERTAS ACCESO - LOGIA - BANO]]=AU$2,100%,AVANCE[[#This Row],[PUERTAS ACCESO - LOGIA - BANO]])</f>
        <v>0</v>
      </c>
      <c r="CI619" s="3">
        <f>+IF(AVANCE[[#This Row],[CERRADURAS]]=AV$2,100%,AVANCE[[#This Row],[CERRADURAS]])</f>
        <v>0</v>
      </c>
      <c r="CJ619" s="3">
        <f>+IF(AVANCE[[#This Row],[REVESTIMIENTO INTERIOR ZONA SECA]]=AW$2,100%,AVANCE[[#This Row],[REVESTIMIENTO INTERIOR ZONA SECA]])</f>
        <v>0</v>
      </c>
      <c r="CK619" s="3">
        <f>+IF(AVANCE[[#This Row],[REVESTIMIENTO INTERIOR ZONAS HUMEDAS]]=AX$2,100%,AVANCE[[#This Row],[REVESTIMIENTO INTERIOR ZONAS HUMEDAS]])</f>
        <v>0</v>
      </c>
      <c r="CL619" s="3">
        <f>+IF(AVANCE[[#This Row],[MEMBRANA CIELO]]=AY$2,100%,AVANCE[[#This Row],[MEMBRANA CIELO]])</f>
        <v>0</v>
      </c>
      <c r="CM619" s="3">
        <f>+IF(AVANCE[[#This Row],[LIMPIEZA FINAL]]=AZ$2,100%,AVANCE[[#This Row],[LIMPIEZA FINAL]])</f>
        <v>0</v>
      </c>
      <c r="CN619" s="3">
        <f>+IF(AVANCE[[#This Row],[PUERTAS DORMITORIO]]=BA$2,100%,AVANCE[[#This Row],[PUERTAS DORMITORIO]])</f>
        <v>0</v>
      </c>
      <c r="CO619" s="3">
        <f>+IF(AVANCE[[#This Row],[REVESTIMIENTO INTERIOR BANO]]=BB$2,100%,AVANCE[[#This Row],[REVESTIMIENTO INTERIOR BANO]])</f>
        <v>0</v>
      </c>
      <c r="CP619" s="3">
        <f>+IF(AVANCE[[#This Row],[MUEBLE LAVAPLATOS]]=BC$2,100%,AVANCE[[#This Row],[MUEBLE LAVAPLATOS]])</f>
        <v>0</v>
      </c>
      <c r="CQ619" s="3">
        <f>+IF(AVANCE[[#This Row],[IMPERMEABILIZACION BANO - COCINA LOGIA]]=BD$2,100%,AVANCE[[#This Row],[IMPERMEABILIZACION BANO - COCINA LOGIA]])</f>
        <v>0</v>
      </c>
      <c r="CR619" s="40">
        <f ca="1">+IF(AVANCE[[#This Row],[ESTADO MODULO]]="PENDIENTE",(TODAY()-AVANCE[[#This Row],[FECHA TERMINO  PLANIFICADO]]),0)</f>
        <v>0</v>
      </c>
      <c r="CS619" s="42" t="str" cm="1">
        <f t="array" ref="CS619">_xlfn.TEXTJOIN(" | ",TRUE,IF(SUMPRODUCT((BF619:CQ619&lt;1)*(PARTIDAS!$I$2:$AT$2="OBRA GRUESA"))&gt;0,"OBRA GRUESA: "&amp;_xlfn.TEXTJOIN(", ",TRUE,IF((BF619:CQ619&lt;1)*(PARTIDAS!$I$2:$AT$2="OBRA GRUESA"),PARTIDAS!$I$1:$AT$1,"")),""),IF(SUMPRODUCT((BF619:CQ619&lt;1)*(PARTIDAS!$I$2:$AT$2="SANITARIOS"))&gt;0,"SANITARIOS: "&amp;_xlfn.TEXTJOIN(", ",TRUE,IF((BF619:CQ619&lt;1)*(PARTIDAS!$I$2:$AT$2="SANITARIOS"),PARTIDAS!$I$1:$AT$1,"")),""),IF(SUMPRODUCT((BF619:CQ619&lt;1)*(PARTIDAS!$I$2:$AT$2="ELÉCTRICO"))&gt;0,"ELÉCTRICO: "&amp;_xlfn.TEXTJOIN(", ",TRUE,IF((BF619:CQ619&lt;1)*(PARTIDAS!$I$2:$AT$2="ELÉCTRICO"),PARTIDAS!$I$1:$AT$1,"")),""),IF(SUMPRODUCT((BF619:CQ619&lt;1)*(PARTIDAS!$I$2:$AT$2="TERMINACIONES"))&gt;0,"TERMINACIONES: "&amp;_xlfn.TEXTJOIN(", ",TRUE,IF((BF619:CQ619&lt;1)*(PARTIDAS!$I$2:$AT$2="TERMINACIONES"),PARTIDAS!$I$1:$AT$1,"")),""))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19" s="45" t="str" cm="1">
        <f t="array" ref="CT619">_xlfn.TEXTJOIN(", ",TRUE,IF(SUMPRODUCT((BF619:CQ619&lt;1)*(PARTIDAS!$I$2:$AT$2="OBRA GRUESA"))&gt;0,"OBRA GRUESA",""),IF(SUMPRODUCT((BF619:CQ619&lt;1)*(PARTIDAS!$I$2:$AT$2="SANITARIOS"))&gt;0,"SANITARIOS",""),IF(SUMPRODUCT((BF619:CQ619&lt;1)*(PARTIDAS!$I$2:$AT$2="ELÉCTRICO"))&gt;0,"ELÉCTRICO",""),IF(SUMPRODUCT((BF619:CQ619&lt;1)*(PARTIDAS!$I$2:$AT$2="TERMINACIONES"))&gt;0,"TERMINACIONES",""))</f>
        <v>OBRA GRUESA, SANITARIOS, ELÉCTRICO, TERMINACIONES</v>
      </c>
      <c r="CU619" s="46" cm="1">
        <f t="array" ref="CU619">SUMPRODUCT(--(BF619:CQ619&lt;1))</f>
        <v>38</v>
      </c>
    </row>
    <row r="620" spans="1:99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46181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 s="3" t="str">
        <f>+IF(AVANCE[[#This Row],[% AVANCE]]=100%,"MODULO TERMINADO",IF(AVANCE[[#This Row],[FECHA INICIO REAL]]="","MODULO NO INICIADO","PENDIENTE"))</f>
        <v>MODULO NO INICIADO</v>
      </c>
      <c r="BF620" s="3">
        <f>+IF(AVANCE[[#This Row],[VENTANAS]]=8.10810810810811%,100%,AVANCE[[#This Row],[VENTANAS]])</f>
        <v>0</v>
      </c>
      <c r="BG620" s="3">
        <f>+IF(AVANCE[[#This Row],[PISO]]=N$2,100%,AVANCE[[#This Row],[PISO]])</f>
        <v>0</v>
      </c>
      <c r="BH620" s="3">
        <f>+IF(AVANCE[[#This Row],[TABIQUES]]=O$2,100%,AVANCE[[#This Row],[TABIQUES]])</f>
        <v>0</v>
      </c>
      <c r="BI620" s="3">
        <f>+IF(AVANCE[[#This Row],[MUROS]]=P$2,100%,AVANCE[[#This Row],[MUROS]])</f>
        <v>0</v>
      </c>
      <c r="BJ620" s="3">
        <f>+IF(AVANCE[[#This Row],[CIELO]]=Q$2,100%,AVANCE[[#This Row],[CIELO]])</f>
        <v>0</v>
      </c>
      <c r="BK620" s="3">
        <f>+IF(AVANCE[[#This Row],[BALCÓN]]=R$2,100%,AVANCE[[#This Row],[BALCÓN]])</f>
        <v>0</v>
      </c>
      <c r="BL620" s="3">
        <f>+IF(AVANCE[[#This Row],[RED ALCANTARILLADO]]=U$2,100%,AVANCE[[#This Row],[RED ALCANTARILLADO]])</f>
        <v>0</v>
      </c>
      <c r="BM620" s="3">
        <f>+IF(AVANCE[[#This Row],[RED DE AGUA]]=V$2,100%,AVANCE[[#This Row],[RED DE AGUA]])</f>
        <v>0</v>
      </c>
      <c r="BN620" s="3">
        <f>+IF(AVANCE[[#This Row],[VENTILACIONES]]=W$2,100%,AVANCE[[#This Row],[VENTILACIONES]])</f>
        <v>0</v>
      </c>
      <c r="BO620" s="3">
        <f>+IF(AVANCE[[#This Row],[TINA]]=X$2,100%,AVANCE[[#This Row],[TINA]])</f>
        <v>0</v>
      </c>
      <c r="BP620" s="3">
        <f>+IF(AVANCE[[#This Row],[WC]]=Y$2,100%,AVANCE[[#This Row],[WC]])</f>
        <v>0</v>
      </c>
      <c r="BQ620" s="3">
        <f>+IF(AVANCE[[#This Row],[LAVAMANOS / LAVAPLATOS / LAVADERO]]=Z$2,100%,AVANCE[[#This Row],[LAVAMANOS / LAVAPLATOS / LAVADERO]])</f>
        <v>0</v>
      </c>
      <c r="BR620" s="3">
        <f>+IF(AVANCE[[#This Row],[CANALIZACIÓN]]=AC$2,100%,AVANCE[[#This Row],[CANALIZACIÓN]])</f>
        <v>0</v>
      </c>
      <c r="BS620" s="3">
        <f>+IF(AVANCE[[#This Row],[CABLEADO]]=AD$2,100%,AVANCE[[#This Row],[CABLEADO]])</f>
        <v>0</v>
      </c>
      <c r="BT620" s="3">
        <f>+IF(AVANCE[[#This Row],[ARTEFACTOS]]=AE$2,100%,AVANCE[[#This Row],[ARTEFACTOS]])</f>
        <v>0</v>
      </c>
      <c r="BU620" s="3">
        <f>+IF(AVANCE[[#This Row],[TABLERO]]=AF$2,100%,AVANCE[[#This Row],[TABLERO]])</f>
        <v>0</v>
      </c>
      <c r="BV620" s="3">
        <f>+IF(AVANCE[[#This Row],[CAJA PAU]]=AG$2,100%,AVANCE[[#This Row],[CAJA PAU]])</f>
        <v>0</v>
      </c>
      <c r="BW620" s="3">
        <f>+IF(AVANCE[[#This Row],[INSTALACION VINILICO]]=AJ$2,100%,AVANCE[[#This Row],[INSTALACION VINILICO]])</f>
        <v>0</v>
      </c>
      <c r="BX620" s="3">
        <f>+IF(AVANCE[[#This Row],[OSB CUBIERTA]]=AK$2,100%,AVANCE[[#This Row],[OSB CUBIERTA]])</f>
        <v>0</v>
      </c>
      <c r="BY620" s="3">
        <f>+IF(AVANCE[[#This Row],[BARANDA BALCON]]=AL$2,100%,AVANCE[[#This Row],[BARANDA BALCON]])</f>
        <v>0</v>
      </c>
      <c r="BZ620" s="3">
        <f>+IF(AVANCE[[#This Row],[OSB EXTERIOR]]=AM$2,100%,AVANCE[[#This Row],[OSB EXTERIOR]])</f>
        <v>0</v>
      </c>
      <c r="CA620" s="3">
        <f>+IF(AVANCE[[#This Row],[SMART PANEL]]=AN$2,100%,AVANCE[[#This Row],[SMART PANEL]])</f>
        <v>0</v>
      </c>
      <c r="CB620" s="3">
        <f>+IF(AVANCE[[#This Row],[PINTURA EXTERIOR]]=AO$2,100%,AVANCE[[#This Row],[PINTURA EXTERIOR]])</f>
        <v>0</v>
      </c>
      <c r="CC620" s="3">
        <f>+IF(AVANCE[[#This Row],[ZOCALOS LOGIA]]=AP$2,100%,AVANCE[[#This Row],[ZOCALOS LOGIA]])</f>
        <v>0</v>
      </c>
      <c r="CD620" s="3">
        <f>+IF(AVANCE[[#This Row],[MOLDURAS]]=AQ$2,100%,AVANCE[[#This Row],[MOLDURAS]])</f>
        <v>0</v>
      </c>
      <c r="CE620" s="3">
        <f>+IF(AVANCE[[#This Row],[PILASTREO]]=AR$2,100%,AVANCE[[#This Row],[PILASTREO]])</f>
        <v>0</v>
      </c>
      <c r="CF620" s="3">
        <f>+IF(AVANCE[[#This Row],[CELOSIAS]]=AS$2,100%,AVANCE[[#This Row],[CELOSIAS]])</f>
        <v>0</v>
      </c>
      <c r="CG620" s="3">
        <f>+IF(AVANCE[[#This Row],[VENTANAS]]=AT$2,100%,AVANCE[[#This Row],[VENTANAS]])</f>
        <v>0</v>
      </c>
      <c r="CH620" s="3">
        <f>+IF(AVANCE[[#This Row],[PUERTAS ACCESO - LOGIA - BANO]]=AU$2,100%,AVANCE[[#This Row],[PUERTAS ACCESO - LOGIA - BANO]])</f>
        <v>0</v>
      </c>
      <c r="CI620" s="3">
        <f>+IF(AVANCE[[#This Row],[CERRADURAS]]=AV$2,100%,AVANCE[[#This Row],[CERRADURAS]])</f>
        <v>0</v>
      </c>
      <c r="CJ620" s="3">
        <f>+IF(AVANCE[[#This Row],[REVESTIMIENTO INTERIOR ZONA SECA]]=AW$2,100%,AVANCE[[#This Row],[REVESTIMIENTO INTERIOR ZONA SECA]])</f>
        <v>0</v>
      </c>
      <c r="CK620" s="3">
        <f>+IF(AVANCE[[#This Row],[REVESTIMIENTO INTERIOR ZONAS HUMEDAS]]=AX$2,100%,AVANCE[[#This Row],[REVESTIMIENTO INTERIOR ZONAS HUMEDAS]])</f>
        <v>0</v>
      </c>
      <c r="CL620" s="3">
        <f>+IF(AVANCE[[#This Row],[MEMBRANA CIELO]]=AY$2,100%,AVANCE[[#This Row],[MEMBRANA CIELO]])</f>
        <v>0</v>
      </c>
      <c r="CM620" s="3">
        <f>+IF(AVANCE[[#This Row],[LIMPIEZA FINAL]]=AZ$2,100%,AVANCE[[#This Row],[LIMPIEZA FINAL]])</f>
        <v>0</v>
      </c>
      <c r="CN620" s="3">
        <f>+IF(AVANCE[[#This Row],[PUERTAS DORMITORIO]]=BA$2,100%,AVANCE[[#This Row],[PUERTAS DORMITORIO]])</f>
        <v>0</v>
      </c>
      <c r="CO620" s="3">
        <f>+IF(AVANCE[[#This Row],[REVESTIMIENTO INTERIOR BANO]]=BB$2,100%,AVANCE[[#This Row],[REVESTIMIENTO INTERIOR BANO]])</f>
        <v>0</v>
      </c>
      <c r="CP620" s="3">
        <f>+IF(AVANCE[[#This Row],[MUEBLE LAVAPLATOS]]=BC$2,100%,AVANCE[[#This Row],[MUEBLE LAVAPLATOS]])</f>
        <v>0</v>
      </c>
      <c r="CQ620" s="3">
        <f>+IF(AVANCE[[#This Row],[IMPERMEABILIZACION BANO - COCINA LOGIA]]=BD$2,100%,AVANCE[[#This Row],[IMPERMEABILIZACION BANO - COCINA LOGIA]])</f>
        <v>0</v>
      </c>
      <c r="CR620" s="40">
        <f ca="1">+IF(AVANCE[[#This Row],[ESTADO MODULO]]="PENDIENTE",(TODAY()-AVANCE[[#This Row],[FECHA TERMINO  PLANIFICADO]]),0)</f>
        <v>0</v>
      </c>
      <c r="CS620" s="42" t="str" cm="1">
        <f t="array" ref="CS620">_xlfn.TEXTJOIN(" | ",TRUE,IF(SUMPRODUCT((BF620:CQ620&lt;1)*(PARTIDAS!$I$2:$AT$2="OBRA GRUESA"))&gt;0,"OBRA GRUESA: "&amp;_xlfn.TEXTJOIN(", ",TRUE,IF((BF620:CQ620&lt;1)*(PARTIDAS!$I$2:$AT$2="OBRA GRUESA"),PARTIDAS!$I$1:$AT$1,"")),""),IF(SUMPRODUCT((BF620:CQ620&lt;1)*(PARTIDAS!$I$2:$AT$2="SANITARIOS"))&gt;0,"SANITARIOS: "&amp;_xlfn.TEXTJOIN(", ",TRUE,IF((BF620:CQ620&lt;1)*(PARTIDAS!$I$2:$AT$2="SANITARIOS"),PARTIDAS!$I$1:$AT$1,"")),""),IF(SUMPRODUCT((BF620:CQ620&lt;1)*(PARTIDAS!$I$2:$AT$2="ELÉCTRICO"))&gt;0,"ELÉCTRICO: "&amp;_xlfn.TEXTJOIN(", ",TRUE,IF((BF620:CQ620&lt;1)*(PARTIDAS!$I$2:$AT$2="ELÉCTRICO"),PARTIDAS!$I$1:$AT$1,"")),""),IF(SUMPRODUCT((BF620:CQ620&lt;1)*(PARTIDAS!$I$2:$AT$2="TERMINACIONES"))&gt;0,"TERMINACIONES: "&amp;_xlfn.TEXTJOIN(", ",TRUE,IF((BF620:CQ620&lt;1)*(PARTIDAS!$I$2:$AT$2="TERMINACIONES"),PARTIDAS!$I$1:$AT$1,"")),""))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0" s="45" t="str" cm="1">
        <f t="array" ref="CT620">_xlfn.TEXTJOIN(", ",TRUE,IF(SUMPRODUCT((BF620:CQ620&lt;1)*(PARTIDAS!$I$2:$AT$2="OBRA GRUESA"))&gt;0,"OBRA GRUESA",""),IF(SUMPRODUCT((BF620:CQ620&lt;1)*(PARTIDAS!$I$2:$AT$2="SANITARIOS"))&gt;0,"SANITARIOS",""),IF(SUMPRODUCT((BF620:CQ620&lt;1)*(PARTIDAS!$I$2:$AT$2="ELÉCTRICO"))&gt;0,"ELÉCTRICO",""),IF(SUMPRODUCT((BF620:CQ620&lt;1)*(PARTIDAS!$I$2:$AT$2="TERMINACIONES"))&gt;0,"TERMINACIONES",""))</f>
        <v>OBRA GRUESA, SANITARIOS, ELÉCTRICO, TERMINACIONES</v>
      </c>
      <c r="CU620" s="46" cm="1">
        <f t="array" ref="CU620">SUMPRODUCT(--(BF620:CQ620&lt;1))</f>
        <v>38</v>
      </c>
    </row>
    <row r="621" spans="1:99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46181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 s="3" t="str">
        <f>+IF(AVANCE[[#This Row],[% AVANCE]]=100%,"MODULO TERMINADO",IF(AVANCE[[#This Row],[FECHA INICIO REAL]]="","MODULO NO INICIADO","PENDIENTE"))</f>
        <v>MODULO NO INICIADO</v>
      </c>
      <c r="BF621" s="3">
        <f>+IF(AVANCE[[#This Row],[VENTANAS]]=8.10810810810811%,100%,AVANCE[[#This Row],[VENTANAS]])</f>
        <v>0</v>
      </c>
      <c r="BG621" s="3">
        <f>+IF(AVANCE[[#This Row],[PISO]]=N$2,100%,AVANCE[[#This Row],[PISO]])</f>
        <v>0</v>
      </c>
      <c r="BH621" s="3">
        <f>+IF(AVANCE[[#This Row],[TABIQUES]]=O$2,100%,AVANCE[[#This Row],[TABIQUES]])</f>
        <v>0</v>
      </c>
      <c r="BI621" s="3">
        <f>+IF(AVANCE[[#This Row],[MUROS]]=P$2,100%,AVANCE[[#This Row],[MUROS]])</f>
        <v>0</v>
      </c>
      <c r="BJ621" s="3">
        <f>+IF(AVANCE[[#This Row],[CIELO]]=Q$2,100%,AVANCE[[#This Row],[CIELO]])</f>
        <v>0</v>
      </c>
      <c r="BK621" s="3">
        <f>+IF(AVANCE[[#This Row],[BALCÓN]]=R$2,100%,AVANCE[[#This Row],[BALCÓN]])</f>
        <v>0</v>
      </c>
      <c r="BL621" s="3">
        <f>+IF(AVANCE[[#This Row],[RED ALCANTARILLADO]]=U$2,100%,AVANCE[[#This Row],[RED ALCANTARILLADO]])</f>
        <v>0</v>
      </c>
      <c r="BM621" s="3">
        <f>+IF(AVANCE[[#This Row],[RED DE AGUA]]=V$2,100%,AVANCE[[#This Row],[RED DE AGUA]])</f>
        <v>0</v>
      </c>
      <c r="BN621" s="3">
        <f>+IF(AVANCE[[#This Row],[VENTILACIONES]]=W$2,100%,AVANCE[[#This Row],[VENTILACIONES]])</f>
        <v>0</v>
      </c>
      <c r="BO621" s="3">
        <f>+IF(AVANCE[[#This Row],[TINA]]=X$2,100%,AVANCE[[#This Row],[TINA]])</f>
        <v>0</v>
      </c>
      <c r="BP621" s="3">
        <f>+IF(AVANCE[[#This Row],[WC]]=Y$2,100%,AVANCE[[#This Row],[WC]])</f>
        <v>0</v>
      </c>
      <c r="BQ621" s="3">
        <f>+IF(AVANCE[[#This Row],[LAVAMANOS / LAVAPLATOS / LAVADERO]]=Z$2,100%,AVANCE[[#This Row],[LAVAMANOS / LAVAPLATOS / LAVADERO]])</f>
        <v>0</v>
      </c>
      <c r="BR621" s="3">
        <f>+IF(AVANCE[[#This Row],[CANALIZACIÓN]]=AC$2,100%,AVANCE[[#This Row],[CANALIZACIÓN]])</f>
        <v>0</v>
      </c>
      <c r="BS621" s="3">
        <f>+IF(AVANCE[[#This Row],[CABLEADO]]=AD$2,100%,AVANCE[[#This Row],[CABLEADO]])</f>
        <v>0</v>
      </c>
      <c r="BT621" s="3">
        <f>+IF(AVANCE[[#This Row],[ARTEFACTOS]]=AE$2,100%,AVANCE[[#This Row],[ARTEFACTOS]])</f>
        <v>0</v>
      </c>
      <c r="BU621" s="3">
        <f>+IF(AVANCE[[#This Row],[TABLERO]]=AF$2,100%,AVANCE[[#This Row],[TABLERO]])</f>
        <v>0</v>
      </c>
      <c r="BV621" s="3">
        <f>+IF(AVANCE[[#This Row],[CAJA PAU]]=AG$2,100%,AVANCE[[#This Row],[CAJA PAU]])</f>
        <v>0</v>
      </c>
      <c r="BW621" s="3">
        <f>+IF(AVANCE[[#This Row],[INSTALACION VINILICO]]=AJ$2,100%,AVANCE[[#This Row],[INSTALACION VINILICO]])</f>
        <v>0</v>
      </c>
      <c r="BX621" s="3">
        <f>+IF(AVANCE[[#This Row],[OSB CUBIERTA]]=AK$2,100%,AVANCE[[#This Row],[OSB CUBIERTA]])</f>
        <v>0</v>
      </c>
      <c r="BY621" s="3">
        <f>+IF(AVANCE[[#This Row],[BARANDA BALCON]]=AL$2,100%,AVANCE[[#This Row],[BARANDA BALCON]])</f>
        <v>0</v>
      </c>
      <c r="BZ621" s="3">
        <f>+IF(AVANCE[[#This Row],[OSB EXTERIOR]]=AM$2,100%,AVANCE[[#This Row],[OSB EXTERIOR]])</f>
        <v>0</v>
      </c>
      <c r="CA621" s="3">
        <f>+IF(AVANCE[[#This Row],[SMART PANEL]]=AN$2,100%,AVANCE[[#This Row],[SMART PANEL]])</f>
        <v>0</v>
      </c>
      <c r="CB621" s="3">
        <f>+IF(AVANCE[[#This Row],[PINTURA EXTERIOR]]=AO$2,100%,AVANCE[[#This Row],[PINTURA EXTERIOR]])</f>
        <v>0</v>
      </c>
      <c r="CC621" s="3">
        <f>+IF(AVANCE[[#This Row],[ZOCALOS LOGIA]]=AP$2,100%,AVANCE[[#This Row],[ZOCALOS LOGIA]])</f>
        <v>0</v>
      </c>
      <c r="CD621" s="3">
        <f>+IF(AVANCE[[#This Row],[MOLDURAS]]=AQ$2,100%,AVANCE[[#This Row],[MOLDURAS]])</f>
        <v>0</v>
      </c>
      <c r="CE621" s="3">
        <f>+IF(AVANCE[[#This Row],[PILASTREO]]=AR$2,100%,AVANCE[[#This Row],[PILASTREO]])</f>
        <v>0</v>
      </c>
      <c r="CF621" s="3">
        <f>+IF(AVANCE[[#This Row],[CELOSIAS]]=AS$2,100%,AVANCE[[#This Row],[CELOSIAS]])</f>
        <v>0</v>
      </c>
      <c r="CG621" s="3">
        <f>+IF(AVANCE[[#This Row],[VENTANAS]]=AT$2,100%,AVANCE[[#This Row],[VENTANAS]])</f>
        <v>0</v>
      </c>
      <c r="CH621" s="3">
        <f>+IF(AVANCE[[#This Row],[PUERTAS ACCESO - LOGIA - BANO]]=AU$2,100%,AVANCE[[#This Row],[PUERTAS ACCESO - LOGIA - BANO]])</f>
        <v>0</v>
      </c>
      <c r="CI621" s="3">
        <f>+IF(AVANCE[[#This Row],[CERRADURAS]]=AV$2,100%,AVANCE[[#This Row],[CERRADURAS]])</f>
        <v>0</v>
      </c>
      <c r="CJ621" s="3">
        <f>+IF(AVANCE[[#This Row],[REVESTIMIENTO INTERIOR ZONA SECA]]=AW$2,100%,AVANCE[[#This Row],[REVESTIMIENTO INTERIOR ZONA SECA]])</f>
        <v>0</v>
      </c>
      <c r="CK621" s="3">
        <f>+IF(AVANCE[[#This Row],[REVESTIMIENTO INTERIOR ZONAS HUMEDAS]]=AX$2,100%,AVANCE[[#This Row],[REVESTIMIENTO INTERIOR ZONAS HUMEDAS]])</f>
        <v>0</v>
      </c>
      <c r="CL621" s="3">
        <f>+IF(AVANCE[[#This Row],[MEMBRANA CIELO]]=AY$2,100%,AVANCE[[#This Row],[MEMBRANA CIELO]])</f>
        <v>0</v>
      </c>
      <c r="CM621" s="3">
        <f>+IF(AVANCE[[#This Row],[LIMPIEZA FINAL]]=AZ$2,100%,AVANCE[[#This Row],[LIMPIEZA FINAL]])</f>
        <v>0</v>
      </c>
      <c r="CN621" s="3">
        <f>+IF(AVANCE[[#This Row],[PUERTAS DORMITORIO]]=BA$2,100%,AVANCE[[#This Row],[PUERTAS DORMITORIO]])</f>
        <v>0</v>
      </c>
      <c r="CO621" s="3">
        <f>+IF(AVANCE[[#This Row],[REVESTIMIENTO INTERIOR BANO]]=BB$2,100%,AVANCE[[#This Row],[REVESTIMIENTO INTERIOR BANO]])</f>
        <v>0</v>
      </c>
      <c r="CP621" s="3">
        <f>+IF(AVANCE[[#This Row],[MUEBLE LAVAPLATOS]]=BC$2,100%,AVANCE[[#This Row],[MUEBLE LAVAPLATOS]])</f>
        <v>0</v>
      </c>
      <c r="CQ621" s="3">
        <f>+IF(AVANCE[[#This Row],[IMPERMEABILIZACION BANO - COCINA LOGIA]]=BD$2,100%,AVANCE[[#This Row],[IMPERMEABILIZACION BANO - COCINA LOGIA]])</f>
        <v>0</v>
      </c>
      <c r="CR621" s="40">
        <f ca="1">+IF(AVANCE[[#This Row],[ESTADO MODULO]]="PENDIENTE",(TODAY()-AVANCE[[#This Row],[FECHA TERMINO  PLANIFICADO]]),0)</f>
        <v>0</v>
      </c>
      <c r="CS621" s="42" t="str" cm="1">
        <f t="array" ref="CS621">_xlfn.TEXTJOIN(" | ",TRUE,IF(SUMPRODUCT((BF621:CQ621&lt;1)*(PARTIDAS!$I$2:$AT$2="OBRA GRUESA"))&gt;0,"OBRA GRUESA: "&amp;_xlfn.TEXTJOIN(", ",TRUE,IF((BF621:CQ621&lt;1)*(PARTIDAS!$I$2:$AT$2="OBRA GRUESA"),PARTIDAS!$I$1:$AT$1,"")),""),IF(SUMPRODUCT((BF621:CQ621&lt;1)*(PARTIDAS!$I$2:$AT$2="SANITARIOS"))&gt;0,"SANITARIOS: "&amp;_xlfn.TEXTJOIN(", ",TRUE,IF((BF621:CQ621&lt;1)*(PARTIDAS!$I$2:$AT$2="SANITARIOS"),PARTIDAS!$I$1:$AT$1,"")),""),IF(SUMPRODUCT((BF621:CQ621&lt;1)*(PARTIDAS!$I$2:$AT$2="ELÉCTRICO"))&gt;0,"ELÉCTRICO: "&amp;_xlfn.TEXTJOIN(", ",TRUE,IF((BF621:CQ621&lt;1)*(PARTIDAS!$I$2:$AT$2="ELÉCTRICO"),PARTIDAS!$I$1:$AT$1,"")),""),IF(SUMPRODUCT((BF621:CQ621&lt;1)*(PARTIDAS!$I$2:$AT$2="TERMINACIONES"))&gt;0,"TERMINACIONES: "&amp;_xlfn.TEXTJOIN(", ",TRUE,IF((BF621:CQ621&lt;1)*(PARTIDAS!$I$2:$AT$2="TERMINACIONES"),PARTIDAS!$I$1:$AT$1,"")),""))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1" s="45" t="str" cm="1">
        <f t="array" ref="CT621">_xlfn.TEXTJOIN(", ",TRUE,IF(SUMPRODUCT((BF621:CQ621&lt;1)*(PARTIDAS!$I$2:$AT$2="OBRA GRUESA"))&gt;0,"OBRA GRUESA",""),IF(SUMPRODUCT((BF621:CQ621&lt;1)*(PARTIDAS!$I$2:$AT$2="SANITARIOS"))&gt;0,"SANITARIOS",""),IF(SUMPRODUCT((BF621:CQ621&lt;1)*(PARTIDAS!$I$2:$AT$2="ELÉCTRICO"))&gt;0,"ELÉCTRICO",""),IF(SUMPRODUCT((BF621:CQ621&lt;1)*(PARTIDAS!$I$2:$AT$2="TERMINACIONES"))&gt;0,"TERMINACIONES",""))</f>
        <v>OBRA GRUESA, SANITARIOS, ELÉCTRICO, TERMINACIONES</v>
      </c>
      <c r="CU621" s="46" cm="1">
        <f t="array" ref="CU621">SUMPRODUCT(--(BF621:CQ621&lt;1))</f>
        <v>38</v>
      </c>
    </row>
    <row r="622" spans="1:99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46181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 s="3" t="str">
        <f>+IF(AVANCE[[#This Row],[% AVANCE]]=100%,"MODULO TERMINADO",IF(AVANCE[[#This Row],[FECHA INICIO REAL]]="","MODULO NO INICIADO","PENDIENTE"))</f>
        <v>MODULO NO INICIADO</v>
      </c>
      <c r="BF622" s="3">
        <f>+IF(AVANCE[[#This Row],[VENTANAS]]=8.10810810810811%,100%,AVANCE[[#This Row],[VENTANAS]])</f>
        <v>0</v>
      </c>
      <c r="BG622" s="3">
        <f>+IF(AVANCE[[#This Row],[PISO]]=N$2,100%,AVANCE[[#This Row],[PISO]])</f>
        <v>0</v>
      </c>
      <c r="BH622" s="3">
        <f>+IF(AVANCE[[#This Row],[TABIQUES]]=O$2,100%,AVANCE[[#This Row],[TABIQUES]])</f>
        <v>0</v>
      </c>
      <c r="BI622" s="3">
        <f>+IF(AVANCE[[#This Row],[MUROS]]=P$2,100%,AVANCE[[#This Row],[MUROS]])</f>
        <v>0</v>
      </c>
      <c r="BJ622" s="3">
        <f>+IF(AVANCE[[#This Row],[CIELO]]=Q$2,100%,AVANCE[[#This Row],[CIELO]])</f>
        <v>0</v>
      </c>
      <c r="BK622" s="3">
        <f>+IF(AVANCE[[#This Row],[BALCÓN]]=R$2,100%,AVANCE[[#This Row],[BALCÓN]])</f>
        <v>0</v>
      </c>
      <c r="BL622" s="3">
        <f>+IF(AVANCE[[#This Row],[RED ALCANTARILLADO]]=U$2,100%,AVANCE[[#This Row],[RED ALCANTARILLADO]])</f>
        <v>0</v>
      </c>
      <c r="BM622" s="3">
        <f>+IF(AVANCE[[#This Row],[RED DE AGUA]]=V$2,100%,AVANCE[[#This Row],[RED DE AGUA]])</f>
        <v>0</v>
      </c>
      <c r="BN622" s="3">
        <f>+IF(AVANCE[[#This Row],[VENTILACIONES]]=W$2,100%,AVANCE[[#This Row],[VENTILACIONES]])</f>
        <v>0</v>
      </c>
      <c r="BO622" s="3">
        <f>+IF(AVANCE[[#This Row],[TINA]]=X$2,100%,AVANCE[[#This Row],[TINA]])</f>
        <v>0</v>
      </c>
      <c r="BP622" s="3">
        <f>+IF(AVANCE[[#This Row],[WC]]=Y$2,100%,AVANCE[[#This Row],[WC]])</f>
        <v>0</v>
      </c>
      <c r="BQ622" s="3">
        <f>+IF(AVANCE[[#This Row],[LAVAMANOS / LAVAPLATOS / LAVADERO]]=Z$2,100%,AVANCE[[#This Row],[LAVAMANOS / LAVAPLATOS / LAVADERO]])</f>
        <v>0</v>
      </c>
      <c r="BR622" s="3">
        <f>+IF(AVANCE[[#This Row],[CANALIZACIÓN]]=AC$2,100%,AVANCE[[#This Row],[CANALIZACIÓN]])</f>
        <v>0</v>
      </c>
      <c r="BS622" s="3">
        <f>+IF(AVANCE[[#This Row],[CABLEADO]]=AD$2,100%,AVANCE[[#This Row],[CABLEADO]])</f>
        <v>0</v>
      </c>
      <c r="BT622" s="3">
        <f>+IF(AVANCE[[#This Row],[ARTEFACTOS]]=AE$2,100%,AVANCE[[#This Row],[ARTEFACTOS]])</f>
        <v>0</v>
      </c>
      <c r="BU622" s="3">
        <f>+IF(AVANCE[[#This Row],[TABLERO]]=AF$2,100%,AVANCE[[#This Row],[TABLERO]])</f>
        <v>0</v>
      </c>
      <c r="BV622" s="3">
        <f>+IF(AVANCE[[#This Row],[CAJA PAU]]=AG$2,100%,AVANCE[[#This Row],[CAJA PAU]])</f>
        <v>0</v>
      </c>
      <c r="BW622" s="3">
        <f>+IF(AVANCE[[#This Row],[INSTALACION VINILICO]]=AJ$2,100%,AVANCE[[#This Row],[INSTALACION VINILICO]])</f>
        <v>0</v>
      </c>
      <c r="BX622" s="3">
        <f>+IF(AVANCE[[#This Row],[OSB CUBIERTA]]=AK$2,100%,AVANCE[[#This Row],[OSB CUBIERTA]])</f>
        <v>0</v>
      </c>
      <c r="BY622" s="3">
        <f>+IF(AVANCE[[#This Row],[BARANDA BALCON]]=AL$2,100%,AVANCE[[#This Row],[BARANDA BALCON]])</f>
        <v>0</v>
      </c>
      <c r="BZ622" s="3">
        <f>+IF(AVANCE[[#This Row],[OSB EXTERIOR]]=AM$2,100%,AVANCE[[#This Row],[OSB EXTERIOR]])</f>
        <v>0</v>
      </c>
      <c r="CA622" s="3">
        <f>+IF(AVANCE[[#This Row],[SMART PANEL]]=AN$2,100%,AVANCE[[#This Row],[SMART PANEL]])</f>
        <v>0</v>
      </c>
      <c r="CB622" s="3">
        <f>+IF(AVANCE[[#This Row],[PINTURA EXTERIOR]]=AO$2,100%,AVANCE[[#This Row],[PINTURA EXTERIOR]])</f>
        <v>0</v>
      </c>
      <c r="CC622" s="3">
        <f>+IF(AVANCE[[#This Row],[ZOCALOS LOGIA]]=AP$2,100%,AVANCE[[#This Row],[ZOCALOS LOGIA]])</f>
        <v>0</v>
      </c>
      <c r="CD622" s="3">
        <f>+IF(AVANCE[[#This Row],[MOLDURAS]]=AQ$2,100%,AVANCE[[#This Row],[MOLDURAS]])</f>
        <v>0</v>
      </c>
      <c r="CE622" s="3">
        <f>+IF(AVANCE[[#This Row],[PILASTREO]]=AR$2,100%,AVANCE[[#This Row],[PILASTREO]])</f>
        <v>0</v>
      </c>
      <c r="CF622" s="3">
        <f>+IF(AVANCE[[#This Row],[CELOSIAS]]=AS$2,100%,AVANCE[[#This Row],[CELOSIAS]])</f>
        <v>0</v>
      </c>
      <c r="CG622" s="3">
        <f>+IF(AVANCE[[#This Row],[VENTANAS]]=AT$2,100%,AVANCE[[#This Row],[VENTANAS]])</f>
        <v>0</v>
      </c>
      <c r="CH622" s="3">
        <f>+IF(AVANCE[[#This Row],[PUERTAS ACCESO - LOGIA - BANO]]=AU$2,100%,AVANCE[[#This Row],[PUERTAS ACCESO - LOGIA - BANO]])</f>
        <v>0</v>
      </c>
      <c r="CI622" s="3">
        <f>+IF(AVANCE[[#This Row],[CERRADURAS]]=AV$2,100%,AVANCE[[#This Row],[CERRADURAS]])</f>
        <v>0</v>
      </c>
      <c r="CJ622" s="3">
        <f>+IF(AVANCE[[#This Row],[REVESTIMIENTO INTERIOR ZONA SECA]]=AW$2,100%,AVANCE[[#This Row],[REVESTIMIENTO INTERIOR ZONA SECA]])</f>
        <v>0</v>
      </c>
      <c r="CK622" s="3">
        <f>+IF(AVANCE[[#This Row],[REVESTIMIENTO INTERIOR ZONAS HUMEDAS]]=AX$2,100%,AVANCE[[#This Row],[REVESTIMIENTO INTERIOR ZONAS HUMEDAS]])</f>
        <v>0</v>
      </c>
      <c r="CL622" s="3">
        <f>+IF(AVANCE[[#This Row],[MEMBRANA CIELO]]=AY$2,100%,AVANCE[[#This Row],[MEMBRANA CIELO]])</f>
        <v>0</v>
      </c>
      <c r="CM622" s="3">
        <f>+IF(AVANCE[[#This Row],[LIMPIEZA FINAL]]=AZ$2,100%,AVANCE[[#This Row],[LIMPIEZA FINAL]])</f>
        <v>0</v>
      </c>
      <c r="CN622" s="3">
        <f>+IF(AVANCE[[#This Row],[PUERTAS DORMITORIO]]=BA$2,100%,AVANCE[[#This Row],[PUERTAS DORMITORIO]])</f>
        <v>0</v>
      </c>
      <c r="CO622" s="3">
        <f>+IF(AVANCE[[#This Row],[REVESTIMIENTO INTERIOR BANO]]=BB$2,100%,AVANCE[[#This Row],[REVESTIMIENTO INTERIOR BANO]])</f>
        <v>0</v>
      </c>
      <c r="CP622" s="3">
        <f>+IF(AVANCE[[#This Row],[MUEBLE LAVAPLATOS]]=BC$2,100%,AVANCE[[#This Row],[MUEBLE LAVAPLATOS]])</f>
        <v>0</v>
      </c>
      <c r="CQ622" s="3">
        <f>+IF(AVANCE[[#This Row],[IMPERMEABILIZACION BANO - COCINA LOGIA]]=BD$2,100%,AVANCE[[#This Row],[IMPERMEABILIZACION BANO - COCINA LOGIA]])</f>
        <v>0</v>
      </c>
      <c r="CR622" s="40">
        <f ca="1">+IF(AVANCE[[#This Row],[ESTADO MODULO]]="PENDIENTE",(TODAY()-AVANCE[[#This Row],[FECHA TERMINO  PLANIFICADO]]),0)</f>
        <v>0</v>
      </c>
      <c r="CS622" s="42" t="str" cm="1">
        <f t="array" ref="CS622">_xlfn.TEXTJOIN(" | ",TRUE,IF(SUMPRODUCT((BF622:CQ622&lt;1)*(PARTIDAS!$I$2:$AT$2="OBRA GRUESA"))&gt;0,"OBRA GRUESA: "&amp;_xlfn.TEXTJOIN(", ",TRUE,IF((BF622:CQ622&lt;1)*(PARTIDAS!$I$2:$AT$2="OBRA GRUESA"),PARTIDAS!$I$1:$AT$1,"")),""),IF(SUMPRODUCT((BF622:CQ622&lt;1)*(PARTIDAS!$I$2:$AT$2="SANITARIOS"))&gt;0,"SANITARIOS: "&amp;_xlfn.TEXTJOIN(", ",TRUE,IF((BF622:CQ622&lt;1)*(PARTIDAS!$I$2:$AT$2="SANITARIOS"),PARTIDAS!$I$1:$AT$1,"")),""),IF(SUMPRODUCT((BF622:CQ622&lt;1)*(PARTIDAS!$I$2:$AT$2="ELÉCTRICO"))&gt;0,"ELÉCTRICO: "&amp;_xlfn.TEXTJOIN(", ",TRUE,IF((BF622:CQ622&lt;1)*(PARTIDAS!$I$2:$AT$2="ELÉCTRICO"),PARTIDAS!$I$1:$AT$1,"")),""),IF(SUMPRODUCT((BF622:CQ622&lt;1)*(PARTIDAS!$I$2:$AT$2="TERMINACIONES"))&gt;0,"TERMINACIONES: "&amp;_xlfn.TEXTJOIN(", ",TRUE,IF((BF622:CQ622&lt;1)*(PARTIDAS!$I$2:$AT$2="TERMINACIONES"),PARTIDAS!$I$1:$AT$1,"")),""))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2" s="45" t="str" cm="1">
        <f t="array" ref="CT622">_xlfn.TEXTJOIN(", ",TRUE,IF(SUMPRODUCT((BF622:CQ622&lt;1)*(PARTIDAS!$I$2:$AT$2="OBRA GRUESA"))&gt;0,"OBRA GRUESA",""),IF(SUMPRODUCT((BF622:CQ622&lt;1)*(PARTIDAS!$I$2:$AT$2="SANITARIOS"))&gt;0,"SANITARIOS",""),IF(SUMPRODUCT((BF622:CQ622&lt;1)*(PARTIDAS!$I$2:$AT$2="ELÉCTRICO"))&gt;0,"ELÉCTRICO",""),IF(SUMPRODUCT((BF622:CQ622&lt;1)*(PARTIDAS!$I$2:$AT$2="TERMINACIONES"))&gt;0,"TERMINACIONES",""))</f>
        <v>OBRA GRUESA, SANITARIOS, ELÉCTRICO, TERMINACIONES</v>
      </c>
      <c r="CU622" s="46" cm="1">
        <f t="array" ref="CU622">SUMPRODUCT(--(BF622:CQ622&lt;1))</f>
        <v>38</v>
      </c>
    </row>
    <row r="623" spans="1:99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46181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 s="3" t="str">
        <f>+IF(AVANCE[[#This Row],[% AVANCE]]=100%,"MODULO TERMINADO",IF(AVANCE[[#This Row],[FECHA INICIO REAL]]="","MODULO NO INICIADO","PENDIENTE"))</f>
        <v>MODULO NO INICIADO</v>
      </c>
      <c r="BF623" s="3">
        <f>+IF(AVANCE[[#This Row],[VENTANAS]]=8.10810810810811%,100%,AVANCE[[#This Row],[VENTANAS]])</f>
        <v>0</v>
      </c>
      <c r="BG623" s="3">
        <f>+IF(AVANCE[[#This Row],[PISO]]=N$2,100%,AVANCE[[#This Row],[PISO]])</f>
        <v>0</v>
      </c>
      <c r="BH623" s="3">
        <f>+IF(AVANCE[[#This Row],[TABIQUES]]=O$2,100%,AVANCE[[#This Row],[TABIQUES]])</f>
        <v>0</v>
      </c>
      <c r="BI623" s="3">
        <f>+IF(AVANCE[[#This Row],[MUROS]]=P$2,100%,AVANCE[[#This Row],[MUROS]])</f>
        <v>0</v>
      </c>
      <c r="BJ623" s="3">
        <f>+IF(AVANCE[[#This Row],[CIELO]]=Q$2,100%,AVANCE[[#This Row],[CIELO]])</f>
        <v>0</v>
      </c>
      <c r="BK623" s="3">
        <f>+IF(AVANCE[[#This Row],[BALCÓN]]=R$2,100%,AVANCE[[#This Row],[BALCÓN]])</f>
        <v>0</v>
      </c>
      <c r="BL623" s="3">
        <f>+IF(AVANCE[[#This Row],[RED ALCANTARILLADO]]=U$2,100%,AVANCE[[#This Row],[RED ALCANTARILLADO]])</f>
        <v>0</v>
      </c>
      <c r="BM623" s="3">
        <f>+IF(AVANCE[[#This Row],[RED DE AGUA]]=V$2,100%,AVANCE[[#This Row],[RED DE AGUA]])</f>
        <v>0</v>
      </c>
      <c r="BN623" s="3">
        <f>+IF(AVANCE[[#This Row],[VENTILACIONES]]=W$2,100%,AVANCE[[#This Row],[VENTILACIONES]])</f>
        <v>0</v>
      </c>
      <c r="BO623" s="3">
        <f>+IF(AVANCE[[#This Row],[TINA]]=X$2,100%,AVANCE[[#This Row],[TINA]])</f>
        <v>0</v>
      </c>
      <c r="BP623" s="3">
        <f>+IF(AVANCE[[#This Row],[WC]]=Y$2,100%,AVANCE[[#This Row],[WC]])</f>
        <v>0</v>
      </c>
      <c r="BQ623" s="3">
        <f>+IF(AVANCE[[#This Row],[LAVAMANOS / LAVAPLATOS / LAVADERO]]=Z$2,100%,AVANCE[[#This Row],[LAVAMANOS / LAVAPLATOS / LAVADERO]])</f>
        <v>0</v>
      </c>
      <c r="BR623" s="3">
        <f>+IF(AVANCE[[#This Row],[CANALIZACIÓN]]=AC$2,100%,AVANCE[[#This Row],[CANALIZACIÓN]])</f>
        <v>0</v>
      </c>
      <c r="BS623" s="3">
        <f>+IF(AVANCE[[#This Row],[CABLEADO]]=AD$2,100%,AVANCE[[#This Row],[CABLEADO]])</f>
        <v>0</v>
      </c>
      <c r="BT623" s="3">
        <f>+IF(AVANCE[[#This Row],[ARTEFACTOS]]=AE$2,100%,AVANCE[[#This Row],[ARTEFACTOS]])</f>
        <v>0</v>
      </c>
      <c r="BU623" s="3">
        <f>+IF(AVANCE[[#This Row],[TABLERO]]=AF$2,100%,AVANCE[[#This Row],[TABLERO]])</f>
        <v>0</v>
      </c>
      <c r="BV623" s="3">
        <f>+IF(AVANCE[[#This Row],[CAJA PAU]]=AG$2,100%,AVANCE[[#This Row],[CAJA PAU]])</f>
        <v>0</v>
      </c>
      <c r="BW623" s="3">
        <f>+IF(AVANCE[[#This Row],[INSTALACION VINILICO]]=AJ$2,100%,AVANCE[[#This Row],[INSTALACION VINILICO]])</f>
        <v>0</v>
      </c>
      <c r="BX623" s="3">
        <f>+IF(AVANCE[[#This Row],[OSB CUBIERTA]]=AK$2,100%,AVANCE[[#This Row],[OSB CUBIERTA]])</f>
        <v>0</v>
      </c>
      <c r="BY623" s="3">
        <f>+IF(AVANCE[[#This Row],[BARANDA BALCON]]=AL$2,100%,AVANCE[[#This Row],[BARANDA BALCON]])</f>
        <v>0</v>
      </c>
      <c r="BZ623" s="3">
        <f>+IF(AVANCE[[#This Row],[OSB EXTERIOR]]=AM$2,100%,AVANCE[[#This Row],[OSB EXTERIOR]])</f>
        <v>0</v>
      </c>
      <c r="CA623" s="3">
        <f>+IF(AVANCE[[#This Row],[SMART PANEL]]=AN$2,100%,AVANCE[[#This Row],[SMART PANEL]])</f>
        <v>0</v>
      </c>
      <c r="CB623" s="3">
        <f>+IF(AVANCE[[#This Row],[PINTURA EXTERIOR]]=AO$2,100%,AVANCE[[#This Row],[PINTURA EXTERIOR]])</f>
        <v>0</v>
      </c>
      <c r="CC623" s="3">
        <f>+IF(AVANCE[[#This Row],[ZOCALOS LOGIA]]=AP$2,100%,AVANCE[[#This Row],[ZOCALOS LOGIA]])</f>
        <v>0</v>
      </c>
      <c r="CD623" s="3">
        <f>+IF(AVANCE[[#This Row],[MOLDURAS]]=AQ$2,100%,AVANCE[[#This Row],[MOLDURAS]])</f>
        <v>0</v>
      </c>
      <c r="CE623" s="3">
        <f>+IF(AVANCE[[#This Row],[PILASTREO]]=AR$2,100%,AVANCE[[#This Row],[PILASTREO]])</f>
        <v>0</v>
      </c>
      <c r="CF623" s="3">
        <f>+IF(AVANCE[[#This Row],[CELOSIAS]]=AS$2,100%,AVANCE[[#This Row],[CELOSIAS]])</f>
        <v>0</v>
      </c>
      <c r="CG623" s="3">
        <f>+IF(AVANCE[[#This Row],[VENTANAS]]=AT$2,100%,AVANCE[[#This Row],[VENTANAS]])</f>
        <v>0</v>
      </c>
      <c r="CH623" s="3">
        <f>+IF(AVANCE[[#This Row],[PUERTAS ACCESO - LOGIA - BANO]]=AU$2,100%,AVANCE[[#This Row],[PUERTAS ACCESO - LOGIA - BANO]])</f>
        <v>0</v>
      </c>
      <c r="CI623" s="3">
        <f>+IF(AVANCE[[#This Row],[CERRADURAS]]=AV$2,100%,AVANCE[[#This Row],[CERRADURAS]])</f>
        <v>0</v>
      </c>
      <c r="CJ623" s="3">
        <f>+IF(AVANCE[[#This Row],[REVESTIMIENTO INTERIOR ZONA SECA]]=AW$2,100%,AVANCE[[#This Row],[REVESTIMIENTO INTERIOR ZONA SECA]])</f>
        <v>0</v>
      </c>
      <c r="CK623" s="3">
        <f>+IF(AVANCE[[#This Row],[REVESTIMIENTO INTERIOR ZONAS HUMEDAS]]=AX$2,100%,AVANCE[[#This Row],[REVESTIMIENTO INTERIOR ZONAS HUMEDAS]])</f>
        <v>0</v>
      </c>
      <c r="CL623" s="3">
        <f>+IF(AVANCE[[#This Row],[MEMBRANA CIELO]]=AY$2,100%,AVANCE[[#This Row],[MEMBRANA CIELO]])</f>
        <v>0</v>
      </c>
      <c r="CM623" s="3">
        <f>+IF(AVANCE[[#This Row],[LIMPIEZA FINAL]]=AZ$2,100%,AVANCE[[#This Row],[LIMPIEZA FINAL]])</f>
        <v>0</v>
      </c>
      <c r="CN623" s="3">
        <f>+IF(AVANCE[[#This Row],[PUERTAS DORMITORIO]]=BA$2,100%,AVANCE[[#This Row],[PUERTAS DORMITORIO]])</f>
        <v>0</v>
      </c>
      <c r="CO623" s="3">
        <f>+IF(AVANCE[[#This Row],[REVESTIMIENTO INTERIOR BANO]]=BB$2,100%,AVANCE[[#This Row],[REVESTIMIENTO INTERIOR BANO]])</f>
        <v>0</v>
      </c>
      <c r="CP623" s="3">
        <f>+IF(AVANCE[[#This Row],[MUEBLE LAVAPLATOS]]=BC$2,100%,AVANCE[[#This Row],[MUEBLE LAVAPLATOS]])</f>
        <v>0</v>
      </c>
      <c r="CQ623" s="3">
        <f>+IF(AVANCE[[#This Row],[IMPERMEABILIZACION BANO - COCINA LOGIA]]=BD$2,100%,AVANCE[[#This Row],[IMPERMEABILIZACION BANO - COCINA LOGIA]])</f>
        <v>0</v>
      </c>
      <c r="CR623" s="40">
        <f ca="1">+IF(AVANCE[[#This Row],[ESTADO MODULO]]="PENDIENTE",(TODAY()-AVANCE[[#This Row],[FECHA TERMINO  PLANIFICADO]]),0)</f>
        <v>0</v>
      </c>
      <c r="CS623" s="42" t="str" cm="1">
        <f t="array" ref="CS623">_xlfn.TEXTJOIN(" | ",TRUE,IF(SUMPRODUCT((BF623:CQ623&lt;1)*(PARTIDAS!$I$2:$AT$2="OBRA GRUESA"))&gt;0,"OBRA GRUESA: "&amp;_xlfn.TEXTJOIN(", ",TRUE,IF((BF623:CQ623&lt;1)*(PARTIDAS!$I$2:$AT$2="OBRA GRUESA"),PARTIDAS!$I$1:$AT$1,"")),""),IF(SUMPRODUCT((BF623:CQ623&lt;1)*(PARTIDAS!$I$2:$AT$2="SANITARIOS"))&gt;0,"SANITARIOS: "&amp;_xlfn.TEXTJOIN(", ",TRUE,IF((BF623:CQ623&lt;1)*(PARTIDAS!$I$2:$AT$2="SANITARIOS"),PARTIDAS!$I$1:$AT$1,"")),""),IF(SUMPRODUCT((BF623:CQ623&lt;1)*(PARTIDAS!$I$2:$AT$2="ELÉCTRICO"))&gt;0,"ELÉCTRICO: "&amp;_xlfn.TEXTJOIN(", ",TRUE,IF((BF623:CQ623&lt;1)*(PARTIDAS!$I$2:$AT$2="ELÉCTRICO"),PARTIDAS!$I$1:$AT$1,"")),""),IF(SUMPRODUCT((BF623:CQ623&lt;1)*(PARTIDAS!$I$2:$AT$2="TERMINACIONES"))&gt;0,"TERMINACIONES: "&amp;_xlfn.TEXTJOIN(", ",TRUE,IF((BF623:CQ623&lt;1)*(PARTIDAS!$I$2:$AT$2="TERMINACIONES"),PARTIDAS!$I$1:$AT$1,"")),""))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3" s="45" t="str" cm="1">
        <f t="array" ref="CT623">_xlfn.TEXTJOIN(", ",TRUE,IF(SUMPRODUCT((BF623:CQ623&lt;1)*(PARTIDAS!$I$2:$AT$2="OBRA GRUESA"))&gt;0,"OBRA GRUESA",""),IF(SUMPRODUCT((BF623:CQ623&lt;1)*(PARTIDAS!$I$2:$AT$2="SANITARIOS"))&gt;0,"SANITARIOS",""),IF(SUMPRODUCT((BF623:CQ623&lt;1)*(PARTIDAS!$I$2:$AT$2="ELÉCTRICO"))&gt;0,"ELÉCTRICO",""),IF(SUMPRODUCT((BF623:CQ623&lt;1)*(PARTIDAS!$I$2:$AT$2="TERMINACIONES"))&gt;0,"TERMINACIONES",""))</f>
        <v>OBRA GRUESA, SANITARIOS, ELÉCTRICO, TERMINACIONES</v>
      </c>
      <c r="CU623" s="46" cm="1">
        <f t="array" ref="CU623">SUMPRODUCT(--(BF623:CQ623&lt;1))</f>
        <v>38</v>
      </c>
    </row>
    <row r="624" spans="1:99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46181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 s="3" t="str">
        <f>+IF(AVANCE[[#This Row],[% AVANCE]]=100%,"MODULO TERMINADO",IF(AVANCE[[#This Row],[FECHA INICIO REAL]]="","MODULO NO INICIADO","PENDIENTE"))</f>
        <v>MODULO NO INICIADO</v>
      </c>
      <c r="BF624" s="3">
        <f>+IF(AVANCE[[#This Row],[VENTANAS]]=8.10810810810811%,100%,AVANCE[[#This Row],[VENTANAS]])</f>
        <v>0</v>
      </c>
      <c r="BG624" s="3">
        <f>+IF(AVANCE[[#This Row],[PISO]]=N$2,100%,AVANCE[[#This Row],[PISO]])</f>
        <v>0</v>
      </c>
      <c r="BH624" s="3">
        <f>+IF(AVANCE[[#This Row],[TABIQUES]]=O$2,100%,AVANCE[[#This Row],[TABIQUES]])</f>
        <v>0</v>
      </c>
      <c r="BI624" s="3">
        <f>+IF(AVANCE[[#This Row],[MUROS]]=P$2,100%,AVANCE[[#This Row],[MUROS]])</f>
        <v>0</v>
      </c>
      <c r="BJ624" s="3">
        <f>+IF(AVANCE[[#This Row],[CIELO]]=Q$2,100%,AVANCE[[#This Row],[CIELO]])</f>
        <v>0</v>
      </c>
      <c r="BK624" s="3">
        <f>+IF(AVANCE[[#This Row],[BALCÓN]]=R$2,100%,AVANCE[[#This Row],[BALCÓN]])</f>
        <v>0</v>
      </c>
      <c r="BL624" s="3">
        <f>+IF(AVANCE[[#This Row],[RED ALCANTARILLADO]]=U$2,100%,AVANCE[[#This Row],[RED ALCANTARILLADO]])</f>
        <v>0</v>
      </c>
      <c r="BM624" s="3">
        <f>+IF(AVANCE[[#This Row],[RED DE AGUA]]=V$2,100%,AVANCE[[#This Row],[RED DE AGUA]])</f>
        <v>0</v>
      </c>
      <c r="BN624" s="3">
        <f>+IF(AVANCE[[#This Row],[VENTILACIONES]]=W$2,100%,AVANCE[[#This Row],[VENTILACIONES]])</f>
        <v>0</v>
      </c>
      <c r="BO624" s="3">
        <f>+IF(AVANCE[[#This Row],[TINA]]=X$2,100%,AVANCE[[#This Row],[TINA]])</f>
        <v>0</v>
      </c>
      <c r="BP624" s="3">
        <f>+IF(AVANCE[[#This Row],[WC]]=Y$2,100%,AVANCE[[#This Row],[WC]])</f>
        <v>0</v>
      </c>
      <c r="BQ624" s="3">
        <f>+IF(AVANCE[[#This Row],[LAVAMANOS / LAVAPLATOS / LAVADERO]]=Z$2,100%,AVANCE[[#This Row],[LAVAMANOS / LAVAPLATOS / LAVADERO]])</f>
        <v>0</v>
      </c>
      <c r="BR624" s="3">
        <f>+IF(AVANCE[[#This Row],[CANALIZACIÓN]]=AC$2,100%,AVANCE[[#This Row],[CANALIZACIÓN]])</f>
        <v>0</v>
      </c>
      <c r="BS624" s="3">
        <f>+IF(AVANCE[[#This Row],[CABLEADO]]=AD$2,100%,AVANCE[[#This Row],[CABLEADO]])</f>
        <v>0</v>
      </c>
      <c r="BT624" s="3">
        <f>+IF(AVANCE[[#This Row],[ARTEFACTOS]]=AE$2,100%,AVANCE[[#This Row],[ARTEFACTOS]])</f>
        <v>0</v>
      </c>
      <c r="BU624" s="3">
        <f>+IF(AVANCE[[#This Row],[TABLERO]]=AF$2,100%,AVANCE[[#This Row],[TABLERO]])</f>
        <v>0</v>
      </c>
      <c r="BV624" s="3">
        <f>+IF(AVANCE[[#This Row],[CAJA PAU]]=AG$2,100%,AVANCE[[#This Row],[CAJA PAU]])</f>
        <v>0</v>
      </c>
      <c r="BW624" s="3">
        <f>+IF(AVANCE[[#This Row],[INSTALACION VINILICO]]=AJ$2,100%,AVANCE[[#This Row],[INSTALACION VINILICO]])</f>
        <v>0</v>
      </c>
      <c r="BX624" s="3">
        <f>+IF(AVANCE[[#This Row],[OSB CUBIERTA]]=AK$2,100%,AVANCE[[#This Row],[OSB CUBIERTA]])</f>
        <v>0</v>
      </c>
      <c r="BY624" s="3">
        <f>+IF(AVANCE[[#This Row],[BARANDA BALCON]]=AL$2,100%,AVANCE[[#This Row],[BARANDA BALCON]])</f>
        <v>0</v>
      </c>
      <c r="BZ624" s="3">
        <f>+IF(AVANCE[[#This Row],[OSB EXTERIOR]]=AM$2,100%,AVANCE[[#This Row],[OSB EXTERIOR]])</f>
        <v>0</v>
      </c>
      <c r="CA624" s="3">
        <f>+IF(AVANCE[[#This Row],[SMART PANEL]]=AN$2,100%,AVANCE[[#This Row],[SMART PANEL]])</f>
        <v>0</v>
      </c>
      <c r="CB624" s="3">
        <f>+IF(AVANCE[[#This Row],[PINTURA EXTERIOR]]=AO$2,100%,AVANCE[[#This Row],[PINTURA EXTERIOR]])</f>
        <v>0</v>
      </c>
      <c r="CC624" s="3">
        <f>+IF(AVANCE[[#This Row],[ZOCALOS LOGIA]]=AP$2,100%,AVANCE[[#This Row],[ZOCALOS LOGIA]])</f>
        <v>0</v>
      </c>
      <c r="CD624" s="3">
        <f>+IF(AVANCE[[#This Row],[MOLDURAS]]=AQ$2,100%,AVANCE[[#This Row],[MOLDURAS]])</f>
        <v>0</v>
      </c>
      <c r="CE624" s="3">
        <f>+IF(AVANCE[[#This Row],[PILASTREO]]=AR$2,100%,AVANCE[[#This Row],[PILASTREO]])</f>
        <v>0</v>
      </c>
      <c r="CF624" s="3">
        <f>+IF(AVANCE[[#This Row],[CELOSIAS]]=AS$2,100%,AVANCE[[#This Row],[CELOSIAS]])</f>
        <v>0</v>
      </c>
      <c r="CG624" s="3">
        <f>+IF(AVANCE[[#This Row],[VENTANAS]]=AT$2,100%,AVANCE[[#This Row],[VENTANAS]])</f>
        <v>0</v>
      </c>
      <c r="CH624" s="3">
        <f>+IF(AVANCE[[#This Row],[PUERTAS ACCESO - LOGIA - BANO]]=AU$2,100%,AVANCE[[#This Row],[PUERTAS ACCESO - LOGIA - BANO]])</f>
        <v>0</v>
      </c>
      <c r="CI624" s="3">
        <f>+IF(AVANCE[[#This Row],[CERRADURAS]]=AV$2,100%,AVANCE[[#This Row],[CERRADURAS]])</f>
        <v>0</v>
      </c>
      <c r="CJ624" s="3">
        <f>+IF(AVANCE[[#This Row],[REVESTIMIENTO INTERIOR ZONA SECA]]=AW$2,100%,AVANCE[[#This Row],[REVESTIMIENTO INTERIOR ZONA SECA]])</f>
        <v>0</v>
      </c>
      <c r="CK624" s="3">
        <f>+IF(AVANCE[[#This Row],[REVESTIMIENTO INTERIOR ZONAS HUMEDAS]]=AX$2,100%,AVANCE[[#This Row],[REVESTIMIENTO INTERIOR ZONAS HUMEDAS]])</f>
        <v>0</v>
      </c>
      <c r="CL624" s="3">
        <f>+IF(AVANCE[[#This Row],[MEMBRANA CIELO]]=AY$2,100%,AVANCE[[#This Row],[MEMBRANA CIELO]])</f>
        <v>0</v>
      </c>
      <c r="CM624" s="3">
        <f>+IF(AVANCE[[#This Row],[LIMPIEZA FINAL]]=AZ$2,100%,AVANCE[[#This Row],[LIMPIEZA FINAL]])</f>
        <v>0</v>
      </c>
      <c r="CN624" s="3">
        <f>+IF(AVANCE[[#This Row],[PUERTAS DORMITORIO]]=BA$2,100%,AVANCE[[#This Row],[PUERTAS DORMITORIO]])</f>
        <v>0</v>
      </c>
      <c r="CO624" s="3">
        <f>+IF(AVANCE[[#This Row],[REVESTIMIENTO INTERIOR BANO]]=BB$2,100%,AVANCE[[#This Row],[REVESTIMIENTO INTERIOR BANO]])</f>
        <v>0</v>
      </c>
      <c r="CP624" s="3">
        <f>+IF(AVANCE[[#This Row],[MUEBLE LAVAPLATOS]]=BC$2,100%,AVANCE[[#This Row],[MUEBLE LAVAPLATOS]])</f>
        <v>0</v>
      </c>
      <c r="CQ624" s="3">
        <f>+IF(AVANCE[[#This Row],[IMPERMEABILIZACION BANO - COCINA LOGIA]]=BD$2,100%,AVANCE[[#This Row],[IMPERMEABILIZACION BANO - COCINA LOGIA]])</f>
        <v>0</v>
      </c>
      <c r="CR624" s="40">
        <f ca="1">+IF(AVANCE[[#This Row],[ESTADO MODULO]]="PENDIENTE",(TODAY()-AVANCE[[#This Row],[FECHA TERMINO  PLANIFICADO]]),0)</f>
        <v>0</v>
      </c>
      <c r="CS624" s="42" t="str" cm="1">
        <f t="array" ref="CS624">_xlfn.TEXTJOIN(" | ",TRUE,IF(SUMPRODUCT((BF624:CQ624&lt;1)*(PARTIDAS!$I$2:$AT$2="OBRA GRUESA"))&gt;0,"OBRA GRUESA: "&amp;_xlfn.TEXTJOIN(", ",TRUE,IF((BF624:CQ624&lt;1)*(PARTIDAS!$I$2:$AT$2="OBRA GRUESA"),PARTIDAS!$I$1:$AT$1,"")),""),IF(SUMPRODUCT((BF624:CQ624&lt;1)*(PARTIDAS!$I$2:$AT$2="SANITARIOS"))&gt;0,"SANITARIOS: "&amp;_xlfn.TEXTJOIN(", ",TRUE,IF((BF624:CQ624&lt;1)*(PARTIDAS!$I$2:$AT$2="SANITARIOS"),PARTIDAS!$I$1:$AT$1,"")),""),IF(SUMPRODUCT((BF624:CQ624&lt;1)*(PARTIDAS!$I$2:$AT$2="ELÉCTRICO"))&gt;0,"ELÉCTRICO: "&amp;_xlfn.TEXTJOIN(", ",TRUE,IF((BF624:CQ624&lt;1)*(PARTIDAS!$I$2:$AT$2="ELÉCTRICO"),PARTIDAS!$I$1:$AT$1,"")),""),IF(SUMPRODUCT((BF624:CQ624&lt;1)*(PARTIDAS!$I$2:$AT$2="TERMINACIONES"))&gt;0,"TERMINACIONES: "&amp;_xlfn.TEXTJOIN(", ",TRUE,IF((BF624:CQ624&lt;1)*(PARTIDAS!$I$2:$AT$2="TERMINACIONES"),PARTIDAS!$I$1:$AT$1,"")),""))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4" s="45" t="str" cm="1">
        <f t="array" ref="CT624">_xlfn.TEXTJOIN(", ",TRUE,IF(SUMPRODUCT((BF624:CQ624&lt;1)*(PARTIDAS!$I$2:$AT$2="OBRA GRUESA"))&gt;0,"OBRA GRUESA",""),IF(SUMPRODUCT((BF624:CQ624&lt;1)*(PARTIDAS!$I$2:$AT$2="SANITARIOS"))&gt;0,"SANITARIOS",""),IF(SUMPRODUCT((BF624:CQ624&lt;1)*(PARTIDAS!$I$2:$AT$2="ELÉCTRICO"))&gt;0,"ELÉCTRICO",""),IF(SUMPRODUCT((BF624:CQ624&lt;1)*(PARTIDAS!$I$2:$AT$2="TERMINACIONES"))&gt;0,"TERMINACIONES",""))</f>
        <v>OBRA GRUESA, SANITARIOS, ELÉCTRICO, TERMINACIONES</v>
      </c>
      <c r="CU624" s="46" cm="1">
        <f t="array" ref="CU624">SUMPRODUCT(--(BF624:CQ624&lt;1))</f>
        <v>38</v>
      </c>
    </row>
    <row r="625" spans="1:99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46181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 s="3" t="str">
        <f>+IF(AVANCE[[#This Row],[% AVANCE]]=100%,"MODULO TERMINADO",IF(AVANCE[[#This Row],[FECHA INICIO REAL]]="","MODULO NO INICIADO","PENDIENTE"))</f>
        <v>MODULO NO INICIADO</v>
      </c>
      <c r="BF625" s="3">
        <f>+IF(AVANCE[[#This Row],[VENTANAS]]=8.10810810810811%,100%,AVANCE[[#This Row],[VENTANAS]])</f>
        <v>0</v>
      </c>
      <c r="BG625" s="3">
        <f>+IF(AVANCE[[#This Row],[PISO]]=N$2,100%,AVANCE[[#This Row],[PISO]])</f>
        <v>0</v>
      </c>
      <c r="BH625" s="3">
        <f>+IF(AVANCE[[#This Row],[TABIQUES]]=O$2,100%,AVANCE[[#This Row],[TABIQUES]])</f>
        <v>0</v>
      </c>
      <c r="BI625" s="3">
        <f>+IF(AVANCE[[#This Row],[MUROS]]=P$2,100%,AVANCE[[#This Row],[MUROS]])</f>
        <v>0</v>
      </c>
      <c r="BJ625" s="3">
        <f>+IF(AVANCE[[#This Row],[CIELO]]=Q$2,100%,AVANCE[[#This Row],[CIELO]])</f>
        <v>0</v>
      </c>
      <c r="BK625" s="3">
        <f>+IF(AVANCE[[#This Row],[BALCÓN]]=R$2,100%,AVANCE[[#This Row],[BALCÓN]])</f>
        <v>0</v>
      </c>
      <c r="BL625" s="3">
        <f>+IF(AVANCE[[#This Row],[RED ALCANTARILLADO]]=U$2,100%,AVANCE[[#This Row],[RED ALCANTARILLADO]])</f>
        <v>0</v>
      </c>
      <c r="BM625" s="3">
        <f>+IF(AVANCE[[#This Row],[RED DE AGUA]]=V$2,100%,AVANCE[[#This Row],[RED DE AGUA]])</f>
        <v>0</v>
      </c>
      <c r="BN625" s="3">
        <f>+IF(AVANCE[[#This Row],[VENTILACIONES]]=W$2,100%,AVANCE[[#This Row],[VENTILACIONES]])</f>
        <v>0</v>
      </c>
      <c r="BO625" s="3">
        <f>+IF(AVANCE[[#This Row],[TINA]]=X$2,100%,AVANCE[[#This Row],[TINA]])</f>
        <v>0</v>
      </c>
      <c r="BP625" s="3">
        <f>+IF(AVANCE[[#This Row],[WC]]=Y$2,100%,AVANCE[[#This Row],[WC]])</f>
        <v>0</v>
      </c>
      <c r="BQ625" s="3">
        <f>+IF(AVANCE[[#This Row],[LAVAMANOS / LAVAPLATOS / LAVADERO]]=Z$2,100%,AVANCE[[#This Row],[LAVAMANOS / LAVAPLATOS / LAVADERO]])</f>
        <v>0</v>
      </c>
      <c r="BR625" s="3">
        <f>+IF(AVANCE[[#This Row],[CANALIZACIÓN]]=AC$2,100%,AVANCE[[#This Row],[CANALIZACIÓN]])</f>
        <v>0</v>
      </c>
      <c r="BS625" s="3">
        <f>+IF(AVANCE[[#This Row],[CABLEADO]]=AD$2,100%,AVANCE[[#This Row],[CABLEADO]])</f>
        <v>0</v>
      </c>
      <c r="BT625" s="3">
        <f>+IF(AVANCE[[#This Row],[ARTEFACTOS]]=AE$2,100%,AVANCE[[#This Row],[ARTEFACTOS]])</f>
        <v>0</v>
      </c>
      <c r="BU625" s="3">
        <f>+IF(AVANCE[[#This Row],[TABLERO]]=AF$2,100%,AVANCE[[#This Row],[TABLERO]])</f>
        <v>0</v>
      </c>
      <c r="BV625" s="3">
        <f>+IF(AVANCE[[#This Row],[CAJA PAU]]=AG$2,100%,AVANCE[[#This Row],[CAJA PAU]])</f>
        <v>0</v>
      </c>
      <c r="BW625" s="3">
        <f>+IF(AVANCE[[#This Row],[INSTALACION VINILICO]]=AJ$2,100%,AVANCE[[#This Row],[INSTALACION VINILICO]])</f>
        <v>0</v>
      </c>
      <c r="BX625" s="3">
        <f>+IF(AVANCE[[#This Row],[OSB CUBIERTA]]=AK$2,100%,AVANCE[[#This Row],[OSB CUBIERTA]])</f>
        <v>0</v>
      </c>
      <c r="BY625" s="3">
        <f>+IF(AVANCE[[#This Row],[BARANDA BALCON]]=AL$2,100%,AVANCE[[#This Row],[BARANDA BALCON]])</f>
        <v>0</v>
      </c>
      <c r="BZ625" s="3">
        <f>+IF(AVANCE[[#This Row],[OSB EXTERIOR]]=AM$2,100%,AVANCE[[#This Row],[OSB EXTERIOR]])</f>
        <v>0</v>
      </c>
      <c r="CA625" s="3">
        <f>+IF(AVANCE[[#This Row],[SMART PANEL]]=AN$2,100%,AVANCE[[#This Row],[SMART PANEL]])</f>
        <v>0</v>
      </c>
      <c r="CB625" s="3">
        <f>+IF(AVANCE[[#This Row],[PINTURA EXTERIOR]]=AO$2,100%,AVANCE[[#This Row],[PINTURA EXTERIOR]])</f>
        <v>0</v>
      </c>
      <c r="CC625" s="3">
        <f>+IF(AVANCE[[#This Row],[ZOCALOS LOGIA]]=AP$2,100%,AVANCE[[#This Row],[ZOCALOS LOGIA]])</f>
        <v>0</v>
      </c>
      <c r="CD625" s="3">
        <f>+IF(AVANCE[[#This Row],[MOLDURAS]]=AQ$2,100%,AVANCE[[#This Row],[MOLDURAS]])</f>
        <v>0</v>
      </c>
      <c r="CE625" s="3">
        <f>+IF(AVANCE[[#This Row],[PILASTREO]]=AR$2,100%,AVANCE[[#This Row],[PILASTREO]])</f>
        <v>0</v>
      </c>
      <c r="CF625" s="3">
        <f>+IF(AVANCE[[#This Row],[CELOSIAS]]=AS$2,100%,AVANCE[[#This Row],[CELOSIAS]])</f>
        <v>0</v>
      </c>
      <c r="CG625" s="3">
        <f>+IF(AVANCE[[#This Row],[VENTANAS]]=AT$2,100%,AVANCE[[#This Row],[VENTANAS]])</f>
        <v>0</v>
      </c>
      <c r="CH625" s="3">
        <f>+IF(AVANCE[[#This Row],[PUERTAS ACCESO - LOGIA - BANO]]=AU$2,100%,AVANCE[[#This Row],[PUERTAS ACCESO - LOGIA - BANO]])</f>
        <v>0</v>
      </c>
      <c r="CI625" s="3">
        <f>+IF(AVANCE[[#This Row],[CERRADURAS]]=AV$2,100%,AVANCE[[#This Row],[CERRADURAS]])</f>
        <v>0</v>
      </c>
      <c r="CJ625" s="3">
        <f>+IF(AVANCE[[#This Row],[REVESTIMIENTO INTERIOR ZONA SECA]]=AW$2,100%,AVANCE[[#This Row],[REVESTIMIENTO INTERIOR ZONA SECA]])</f>
        <v>0</v>
      </c>
      <c r="CK625" s="3">
        <f>+IF(AVANCE[[#This Row],[REVESTIMIENTO INTERIOR ZONAS HUMEDAS]]=AX$2,100%,AVANCE[[#This Row],[REVESTIMIENTO INTERIOR ZONAS HUMEDAS]])</f>
        <v>0</v>
      </c>
      <c r="CL625" s="3">
        <f>+IF(AVANCE[[#This Row],[MEMBRANA CIELO]]=AY$2,100%,AVANCE[[#This Row],[MEMBRANA CIELO]])</f>
        <v>0</v>
      </c>
      <c r="CM625" s="3">
        <f>+IF(AVANCE[[#This Row],[LIMPIEZA FINAL]]=AZ$2,100%,AVANCE[[#This Row],[LIMPIEZA FINAL]])</f>
        <v>0</v>
      </c>
      <c r="CN625" s="3">
        <f>+IF(AVANCE[[#This Row],[PUERTAS DORMITORIO]]=BA$2,100%,AVANCE[[#This Row],[PUERTAS DORMITORIO]])</f>
        <v>0</v>
      </c>
      <c r="CO625" s="3">
        <f>+IF(AVANCE[[#This Row],[REVESTIMIENTO INTERIOR BANO]]=BB$2,100%,AVANCE[[#This Row],[REVESTIMIENTO INTERIOR BANO]])</f>
        <v>0</v>
      </c>
      <c r="CP625" s="3">
        <f>+IF(AVANCE[[#This Row],[MUEBLE LAVAPLATOS]]=BC$2,100%,AVANCE[[#This Row],[MUEBLE LAVAPLATOS]])</f>
        <v>0</v>
      </c>
      <c r="CQ625" s="3">
        <f>+IF(AVANCE[[#This Row],[IMPERMEABILIZACION BANO - COCINA LOGIA]]=BD$2,100%,AVANCE[[#This Row],[IMPERMEABILIZACION BANO - COCINA LOGIA]])</f>
        <v>0</v>
      </c>
      <c r="CR625" s="40">
        <f ca="1">+IF(AVANCE[[#This Row],[ESTADO MODULO]]="PENDIENTE",(TODAY()-AVANCE[[#This Row],[FECHA TERMINO  PLANIFICADO]]),0)</f>
        <v>0</v>
      </c>
      <c r="CS625" s="42" t="str" cm="1">
        <f t="array" ref="CS625">_xlfn.TEXTJOIN(" | ",TRUE,IF(SUMPRODUCT((BF625:CQ625&lt;1)*(PARTIDAS!$I$2:$AT$2="OBRA GRUESA"))&gt;0,"OBRA GRUESA: "&amp;_xlfn.TEXTJOIN(", ",TRUE,IF((BF625:CQ625&lt;1)*(PARTIDAS!$I$2:$AT$2="OBRA GRUESA"),PARTIDAS!$I$1:$AT$1,"")),""),IF(SUMPRODUCT((BF625:CQ625&lt;1)*(PARTIDAS!$I$2:$AT$2="SANITARIOS"))&gt;0,"SANITARIOS: "&amp;_xlfn.TEXTJOIN(", ",TRUE,IF((BF625:CQ625&lt;1)*(PARTIDAS!$I$2:$AT$2="SANITARIOS"),PARTIDAS!$I$1:$AT$1,"")),""),IF(SUMPRODUCT((BF625:CQ625&lt;1)*(PARTIDAS!$I$2:$AT$2="ELÉCTRICO"))&gt;0,"ELÉCTRICO: "&amp;_xlfn.TEXTJOIN(", ",TRUE,IF((BF625:CQ625&lt;1)*(PARTIDAS!$I$2:$AT$2="ELÉCTRICO"),PARTIDAS!$I$1:$AT$1,"")),""),IF(SUMPRODUCT((BF625:CQ625&lt;1)*(PARTIDAS!$I$2:$AT$2="TERMINACIONES"))&gt;0,"TERMINACIONES: "&amp;_xlfn.TEXTJOIN(", ",TRUE,IF((BF625:CQ625&lt;1)*(PARTIDAS!$I$2:$AT$2="TERMINACIONES"),PARTIDAS!$I$1:$AT$1,"")),""))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5" s="45" t="str" cm="1">
        <f t="array" ref="CT625">_xlfn.TEXTJOIN(", ",TRUE,IF(SUMPRODUCT((BF625:CQ625&lt;1)*(PARTIDAS!$I$2:$AT$2="OBRA GRUESA"))&gt;0,"OBRA GRUESA",""),IF(SUMPRODUCT((BF625:CQ625&lt;1)*(PARTIDAS!$I$2:$AT$2="SANITARIOS"))&gt;0,"SANITARIOS",""),IF(SUMPRODUCT((BF625:CQ625&lt;1)*(PARTIDAS!$I$2:$AT$2="ELÉCTRICO"))&gt;0,"ELÉCTRICO",""),IF(SUMPRODUCT((BF625:CQ625&lt;1)*(PARTIDAS!$I$2:$AT$2="TERMINACIONES"))&gt;0,"TERMINACIONES",""))</f>
        <v>OBRA GRUESA, SANITARIOS, ELÉCTRICO, TERMINACIONES</v>
      </c>
      <c r="CU625" s="46" cm="1">
        <f t="array" ref="CU625">SUMPRODUCT(--(BF625:CQ625&lt;1))</f>
        <v>38</v>
      </c>
    </row>
    <row r="626" spans="1:99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46181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 s="3" t="str">
        <f>+IF(AVANCE[[#This Row],[% AVANCE]]=100%,"MODULO TERMINADO",IF(AVANCE[[#This Row],[FECHA INICIO REAL]]="","MODULO NO INICIADO","PENDIENTE"))</f>
        <v>MODULO NO INICIADO</v>
      </c>
      <c r="BF626" s="3">
        <f>+IF(AVANCE[[#This Row],[VENTANAS]]=8.10810810810811%,100%,AVANCE[[#This Row],[VENTANAS]])</f>
        <v>0</v>
      </c>
      <c r="BG626" s="3">
        <f>+IF(AVANCE[[#This Row],[PISO]]=N$2,100%,AVANCE[[#This Row],[PISO]])</f>
        <v>0</v>
      </c>
      <c r="BH626" s="3">
        <f>+IF(AVANCE[[#This Row],[TABIQUES]]=O$2,100%,AVANCE[[#This Row],[TABIQUES]])</f>
        <v>0</v>
      </c>
      <c r="BI626" s="3">
        <f>+IF(AVANCE[[#This Row],[MUROS]]=P$2,100%,AVANCE[[#This Row],[MUROS]])</f>
        <v>0</v>
      </c>
      <c r="BJ626" s="3">
        <f>+IF(AVANCE[[#This Row],[CIELO]]=Q$2,100%,AVANCE[[#This Row],[CIELO]])</f>
        <v>0</v>
      </c>
      <c r="BK626" s="3">
        <f>+IF(AVANCE[[#This Row],[BALCÓN]]=R$2,100%,AVANCE[[#This Row],[BALCÓN]])</f>
        <v>0</v>
      </c>
      <c r="BL626" s="3">
        <f>+IF(AVANCE[[#This Row],[RED ALCANTARILLADO]]=U$2,100%,AVANCE[[#This Row],[RED ALCANTARILLADO]])</f>
        <v>0</v>
      </c>
      <c r="BM626" s="3">
        <f>+IF(AVANCE[[#This Row],[RED DE AGUA]]=V$2,100%,AVANCE[[#This Row],[RED DE AGUA]])</f>
        <v>0</v>
      </c>
      <c r="BN626" s="3">
        <f>+IF(AVANCE[[#This Row],[VENTILACIONES]]=W$2,100%,AVANCE[[#This Row],[VENTILACIONES]])</f>
        <v>0</v>
      </c>
      <c r="BO626" s="3">
        <f>+IF(AVANCE[[#This Row],[TINA]]=X$2,100%,AVANCE[[#This Row],[TINA]])</f>
        <v>0</v>
      </c>
      <c r="BP626" s="3">
        <f>+IF(AVANCE[[#This Row],[WC]]=Y$2,100%,AVANCE[[#This Row],[WC]])</f>
        <v>0</v>
      </c>
      <c r="BQ626" s="3">
        <f>+IF(AVANCE[[#This Row],[LAVAMANOS / LAVAPLATOS / LAVADERO]]=Z$2,100%,AVANCE[[#This Row],[LAVAMANOS / LAVAPLATOS / LAVADERO]])</f>
        <v>0</v>
      </c>
      <c r="BR626" s="3">
        <f>+IF(AVANCE[[#This Row],[CANALIZACIÓN]]=AC$2,100%,AVANCE[[#This Row],[CANALIZACIÓN]])</f>
        <v>0</v>
      </c>
      <c r="BS626" s="3">
        <f>+IF(AVANCE[[#This Row],[CABLEADO]]=AD$2,100%,AVANCE[[#This Row],[CABLEADO]])</f>
        <v>0</v>
      </c>
      <c r="BT626" s="3">
        <f>+IF(AVANCE[[#This Row],[ARTEFACTOS]]=AE$2,100%,AVANCE[[#This Row],[ARTEFACTOS]])</f>
        <v>0</v>
      </c>
      <c r="BU626" s="3">
        <f>+IF(AVANCE[[#This Row],[TABLERO]]=AF$2,100%,AVANCE[[#This Row],[TABLERO]])</f>
        <v>0</v>
      </c>
      <c r="BV626" s="3">
        <f>+IF(AVANCE[[#This Row],[CAJA PAU]]=AG$2,100%,AVANCE[[#This Row],[CAJA PAU]])</f>
        <v>0</v>
      </c>
      <c r="BW626" s="3">
        <f>+IF(AVANCE[[#This Row],[INSTALACION VINILICO]]=AJ$2,100%,AVANCE[[#This Row],[INSTALACION VINILICO]])</f>
        <v>0</v>
      </c>
      <c r="BX626" s="3">
        <f>+IF(AVANCE[[#This Row],[OSB CUBIERTA]]=AK$2,100%,AVANCE[[#This Row],[OSB CUBIERTA]])</f>
        <v>0</v>
      </c>
      <c r="BY626" s="3">
        <f>+IF(AVANCE[[#This Row],[BARANDA BALCON]]=AL$2,100%,AVANCE[[#This Row],[BARANDA BALCON]])</f>
        <v>0</v>
      </c>
      <c r="BZ626" s="3">
        <f>+IF(AVANCE[[#This Row],[OSB EXTERIOR]]=AM$2,100%,AVANCE[[#This Row],[OSB EXTERIOR]])</f>
        <v>0</v>
      </c>
      <c r="CA626" s="3">
        <f>+IF(AVANCE[[#This Row],[SMART PANEL]]=AN$2,100%,AVANCE[[#This Row],[SMART PANEL]])</f>
        <v>0</v>
      </c>
      <c r="CB626" s="3">
        <f>+IF(AVANCE[[#This Row],[PINTURA EXTERIOR]]=AO$2,100%,AVANCE[[#This Row],[PINTURA EXTERIOR]])</f>
        <v>0</v>
      </c>
      <c r="CC626" s="3">
        <f>+IF(AVANCE[[#This Row],[ZOCALOS LOGIA]]=AP$2,100%,AVANCE[[#This Row],[ZOCALOS LOGIA]])</f>
        <v>0</v>
      </c>
      <c r="CD626" s="3">
        <f>+IF(AVANCE[[#This Row],[MOLDURAS]]=AQ$2,100%,AVANCE[[#This Row],[MOLDURAS]])</f>
        <v>0</v>
      </c>
      <c r="CE626" s="3">
        <f>+IF(AVANCE[[#This Row],[PILASTREO]]=AR$2,100%,AVANCE[[#This Row],[PILASTREO]])</f>
        <v>0</v>
      </c>
      <c r="CF626" s="3">
        <f>+IF(AVANCE[[#This Row],[CELOSIAS]]=AS$2,100%,AVANCE[[#This Row],[CELOSIAS]])</f>
        <v>0</v>
      </c>
      <c r="CG626" s="3">
        <f>+IF(AVANCE[[#This Row],[VENTANAS]]=AT$2,100%,AVANCE[[#This Row],[VENTANAS]])</f>
        <v>0</v>
      </c>
      <c r="CH626" s="3">
        <f>+IF(AVANCE[[#This Row],[PUERTAS ACCESO - LOGIA - BANO]]=AU$2,100%,AVANCE[[#This Row],[PUERTAS ACCESO - LOGIA - BANO]])</f>
        <v>0</v>
      </c>
      <c r="CI626" s="3">
        <f>+IF(AVANCE[[#This Row],[CERRADURAS]]=AV$2,100%,AVANCE[[#This Row],[CERRADURAS]])</f>
        <v>0</v>
      </c>
      <c r="CJ626" s="3">
        <f>+IF(AVANCE[[#This Row],[REVESTIMIENTO INTERIOR ZONA SECA]]=AW$2,100%,AVANCE[[#This Row],[REVESTIMIENTO INTERIOR ZONA SECA]])</f>
        <v>0</v>
      </c>
      <c r="CK626" s="3">
        <f>+IF(AVANCE[[#This Row],[REVESTIMIENTO INTERIOR ZONAS HUMEDAS]]=AX$2,100%,AVANCE[[#This Row],[REVESTIMIENTO INTERIOR ZONAS HUMEDAS]])</f>
        <v>0</v>
      </c>
      <c r="CL626" s="3">
        <f>+IF(AVANCE[[#This Row],[MEMBRANA CIELO]]=AY$2,100%,AVANCE[[#This Row],[MEMBRANA CIELO]])</f>
        <v>0</v>
      </c>
      <c r="CM626" s="3">
        <f>+IF(AVANCE[[#This Row],[LIMPIEZA FINAL]]=AZ$2,100%,AVANCE[[#This Row],[LIMPIEZA FINAL]])</f>
        <v>0</v>
      </c>
      <c r="CN626" s="3">
        <f>+IF(AVANCE[[#This Row],[PUERTAS DORMITORIO]]=BA$2,100%,AVANCE[[#This Row],[PUERTAS DORMITORIO]])</f>
        <v>0</v>
      </c>
      <c r="CO626" s="3">
        <f>+IF(AVANCE[[#This Row],[REVESTIMIENTO INTERIOR BANO]]=BB$2,100%,AVANCE[[#This Row],[REVESTIMIENTO INTERIOR BANO]])</f>
        <v>0</v>
      </c>
      <c r="CP626" s="3">
        <f>+IF(AVANCE[[#This Row],[MUEBLE LAVAPLATOS]]=BC$2,100%,AVANCE[[#This Row],[MUEBLE LAVAPLATOS]])</f>
        <v>0</v>
      </c>
      <c r="CQ626" s="3">
        <f>+IF(AVANCE[[#This Row],[IMPERMEABILIZACION BANO - COCINA LOGIA]]=BD$2,100%,AVANCE[[#This Row],[IMPERMEABILIZACION BANO - COCINA LOGIA]])</f>
        <v>0</v>
      </c>
      <c r="CR626" s="40">
        <f ca="1">+IF(AVANCE[[#This Row],[ESTADO MODULO]]="PENDIENTE",(TODAY()-AVANCE[[#This Row],[FECHA TERMINO  PLANIFICADO]]),0)</f>
        <v>0</v>
      </c>
      <c r="CS626" s="42" t="str" cm="1">
        <f t="array" ref="CS626">_xlfn.TEXTJOIN(" | ",TRUE,IF(SUMPRODUCT((BF626:CQ626&lt;1)*(PARTIDAS!$I$2:$AT$2="OBRA GRUESA"))&gt;0,"OBRA GRUESA: "&amp;_xlfn.TEXTJOIN(", ",TRUE,IF((BF626:CQ626&lt;1)*(PARTIDAS!$I$2:$AT$2="OBRA GRUESA"),PARTIDAS!$I$1:$AT$1,"")),""),IF(SUMPRODUCT((BF626:CQ626&lt;1)*(PARTIDAS!$I$2:$AT$2="SANITARIOS"))&gt;0,"SANITARIOS: "&amp;_xlfn.TEXTJOIN(", ",TRUE,IF((BF626:CQ626&lt;1)*(PARTIDAS!$I$2:$AT$2="SANITARIOS"),PARTIDAS!$I$1:$AT$1,"")),""),IF(SUMPRODUCT((BF626:CQ626&lt;1)*(PARTIDAS!$I$2:$AT$2="ELÉCTRICO"))&gt;0,"ELÉCTRICO: "&amp;_xlfn.TEXTJOIN(", ",TRUE,IF((BF626:CQ626&lt;1)*(PARTIDAS!$I$2:$AT$2="ELÉCTRICO"),PARTIDAS!$I$1:$AT$1,"")),""),IF(SUMPRODUCT((BF626:CQ626&lt;1)*(PARTIDAS!$I$2:$AT$2="TERMINACIONES"))&gt;0,"TERMINACIONES: "&amp;_xlfn.TEXTJOIN(", ",TRUE,IF((BF626:CQ626&lt;1)*(PARTIDAS!$I$2:$AT$2="TERMINACIONES"),PARTIDAS!$I$1:$AT$1,"")),""))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6" s="45" t="str" cm="1">
        <f t="array" ref="CT626">_xlfn.TEXTJOIN(", ",TRUE,IF(SUMPRODUCT((BF626:CQ626&lt;1)*(PARTIDAS!$I$2:$AT$2="OBRA GRUESA"))&gt;0,"OBRA GRUESA",""),IF(SUMPRODUCT((BF626:CQ626&lt;1)*(PARTIDAS!$I$2:$AT$2="SANITARIOS"))&gt;0,"SANITARIOS",""),IF(SUMPRODUCT((BF626:CQ626&lt;1)*(PARTIDAS!$I$2:$AT$2="ELÉCTRICO"))&gt;0,"ELÉCTRICO",""),IF(SUMPRODUCT((BF626:CQ626&lt;1)*(PARTIDAS!$I$2:$AT$2="TERMINACIONES"))&gt;0,"TERMINACIONES",""))</f>
        <v>OBRA GRUESA, SANITARIOS, ELÉCTRICO, TERMINACIONES</v>
      </c>
      <c r="CU626" s="46" cm="1">
        <f t="array" ref="CU626">SUMPRODUCT(--(BF626:CQ626&lt;1))</f>
        <v>38</v>
      </c>
    </row>
    <row r="627" spans="1:99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46181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 s="3" t="str">
        <f>+IF(AVANCE[[#This Row],[% AVANCE]]=100%,"MODULO TERMINADO",IF(AVANCE[[#This Row],[FECHA INICIO REAL]]="","MODULO NO INICIADO","PENDIENTE"))</f>
        <v>MODULO NO INICIADO</v>
      </c>
      <c r="BF627" s="3">
        <f>+IF(AVANCE[[#This Row],[VENTANAS]]=8.10810810810811%,100%,AVANCE[[#This Row],[VENTANAS]])</f>
        <v>0</v>
      </c>
      <c r="BG627" s="3">
        <f>+IF(AVANCE[[#This Row],[PISO]]=N$2,100%,AVANCE[[#This Row],[PISO]])</f>
        <v>0</v>
      </c>
      <c r="BH627" s="3">
        <f>+IF(AVANCE[[#This Row],[TABIQUES]]=O$2,100%,AVANCE[[#This Row],[TABIQUES]])</f>
        <v>0</v>
      </c>
      <c r="BI627" s="3">
        <f>+IF(AVANCE[[#This Row],[MUROS]]=P$2,100%,AVANCE[[#This Row],[MUROS]])</f>
        <v>0</v>
      </c>
      <c r="BJ627" s="3">
        <f>+IF(AVANCE[[#This Row],[CIELO]]=Q$2,100%,AVANCE[[#This Row],[CIELO]])</f>
        <v>0</v>
      </c>
      <c r="BK627" s="3">
        <f>+IF(AVANCE[[#This Row],[BALCÓN]]=R$2,100%,AVANCE[[#This Row],[BALCÓN]])</f>
        <v>0</v>
      </c>
      <c r="BL627" s="3">
        <f>+IF(AVANCE[[#This Row],[RED ALCANTARILLADO]]=U$2,100%,AVANCE[[#This Row],[RED ALCANTARILLADO]])</f>
        <v>0</v>
      </c>
      <c r="BM627" s="3">
        <f>+IF(AVANCE[[#This Row],[RED DE AGUA]]=V$2,100%,AVANCE[[#This Row],[RED DE AGUA]])</f>
        <v>0</v>
      </c>
      <c r="BN627" s="3">
        <f>+IF(AVANCE[[#This Row],[VENTILACIONES]]=W$2,100%,AVANCE[[#This Row],[VENTILACIONES]])</f>
        <v>0</v>
      </c>
      <c r="BO627" s="3">
        <f>+IF(AVANCE[[#This Row],[TINA]]=X$2,100%,AVANCE[[#This Row],[TINA]])</f>
        <v>0</v>
      </c>
      <c r="BP627" s="3">
        <f>+IF(AVANCE[[#This Row],[WC]]=Y$2,100%,AVANCE[[#This Row],[WC]])</f>
        <v>0</v>
      </c>
      <c r="BQ627" s="3">
        <f>+IF(AVANCE[[#This Row],[LAVAMANOS / LAVAPLATOS / LAVADERO]]=Z$2,100%,AVANCE[[#This Row],[LAVAMANOS / LAVAPLATOS / LAVADERO]])</f>
        <v>0</v>
      </c>
      <c r="BR627" s="3">
        <f>+IF(AVANCE[[#This Row],[CANALIZACIÓN]]=AC$2,100%,AVANCE[[#This Row],[CANALIZACIÓN]])</f>
        <v>0</v>
      </c>
      <c r="BS627" s="3">
        <f>+IF(AVANCE[[#This Row],[CABLEADO]]=AD$2,100%,AVANCE[[#This Row],[CABLEADO]])</f>
        <v>0</v>
      </c>
      <c r="BT627" s="3">
        <f>+IF(AVANCE[[#This Row],[ARTEFACTOS]]=AE$2,100%,AVANCE[[#This Row],[ARTEFACTOS]])</f>
        <v>0</v>
      </c>
      <c r="BU627" s="3">
        <f>+IF(AVANCE[[#This Row],[TABLERO]]=AF$2,100%,AVANCE[[#This Row],[TABLERO]])</f>
        <v>0</v>
      </c>
      <c r="BV627" s="3">
        <f>+IF(AVANCE[[#This Row],[CAJA PAU]]=AG$2,100%,AVANCE[[#This Row],[CAJA PAU]])</f>
        <v>0</v>
      </c>
      <c r="BW627" s="3">
        <f>+IF(AVANCE[[#This Row],[INSTALACION VINILICO]]=AJ$2,100%,AVANCE[[#This Row],[INSTALACION VINILICO]])</f>
        <v>0</v>
      </c>
      <c r="BX627" s="3">
        <f>+IF(AVANCE[[#This Row],[OSB CUBIERTA]]=AK$2,100%,AVANCE[[#This Row],[OSB CUBIERTA]])</f>
        <v>0</v>
      </c>
      <c r="BY627" s="3">
        <f>+IF(AVANCE[[#This Row],[BARANDA BALCON]]=AL$2,100%,AVANCE[[#This Row],[BARANDA BALCON]])</f>
        <v>0</v>
      </c>
      <c r="BZ627" s="3">
        <f>+IF(AVANCE[[#This Row],[OSB EXTERIOR]]=AM$2,100%,AVANCE[[#This Row],[OSB EXTERIOR]])</f>
        <v>0</v>
      </c>
      <c r="CA627" s="3">
        <f>+IF(AVANCE[[#This Row],[SMART PANEL]]=AN$2,100%,AVANCE[[#This Row],[SMART PANEL]])</f>
        <v>0</v>
      </c>
      <c r="CB627" s="3">
        <f>+IF(AVANCE[[#This Row],[PINTURA EXTERIOR]]=AO$2,100%,AVANCE[[#This Row],[PINTURA EXTERIOR]])</f>
        <v>0</v>
      </c>
      <c r="CC627" s="3">
        <f>+IF(AVANCE[[#This Row],[ZOCALOS LOGIA]]=AP$2,100%,AVANCE[[#This Row],[ZOCALOS LOGIA]])</f>
        <v>0</v>
      </c>
      <c r="CD627" s="3">
        <f>+IF(AVANCE[[#This Row],[MOLDURAS]]=AQ$2,100%,AVANCE[[#This Row],[MOLDURAS]])</f>
        <v>0</v>
      </c>
      <c r="CE627" s="3">
        <f>+IF(AVANCE[[#This Row],[PILASTREO]]=AR$2,100%,AVANCE[[#This Row],[PILASTREO]])</f>
        <v>0</v>
      </c>
      <c r="CF627" s="3">
        <f>+IF(AVANCE[[#This Row],[CELOSIAS]]=AS$2,100%,AVANCE[[#This Row],[CELOSIAS]])</f>
        <v>0</v>
      </c>
      <c r="CG627" s="3">
        <f>+IF(AVANCE[[#This Row],[VENTANAS]]=AT$2,100%,AVANCE[[#This Row],[VENTANAS]])</f>
        <v>0</v>
      </c>
      <c r="CH627" s="3">
        <f>+IF(AVANCE[[#This Row],[PUERTAS ACCESO - LOGIA - BANO]]=AU$2,100%,AVANCE[[#This Row],[PUERTAS ACCESO - LOGIA - BANO]])</f>
        <v>0</v>
      </c>
      <c r="CI627" s="3">
        <f>+IF(AVANCE[[#This Row],[CERRADURAS]]=AV$2,100%,AVANCE[[#This Row],[CERRADURAS]])</f>
        <v>0</v>
      </c>
      <c r="CJ627" s="3">
        <f>+IF(AVANCE[[#This Row],[REVESTIMIENTO INTERIOR ZONA SECA]]=AW$2,100%,AVANCE[[#This Row],[REVESTIMIENTO INTERIOR ZONA SECA]])</f>
        <v>0</v>
      </c>
      <c r="CK627" s="3">
        <f>+IF(AVANCE[[#This Row],[REVESTIMIENTO INTERIOR ZONAS HUMEDAS]]=AX$2,100%,AVANCE[[#This Row],[REVESTIMIENTO INTERIOR ZONAS HUMEDAS]])</f>
        <v>0</v>
      </c>
      <c r="CL627" s="3">
        <f>+IF(AVANCE[[#This Row],[MEMBRANA CIELO]]=AY$2,100%,AVANCE[[#This Row],[MEMBRANA CIELO]])</f>
        <v>0</v>
      </c>
      <c r="CM627" s="3">
        <f>+IF(AVANCE[[#This Row],[LIMPIEZA FINAL]]=AZ$2,100%,AVANCE[[#This Row],[LIMPIEZA FINAL]])</f>
        <v>0</v>
      </c>
      <c r="CN627" s="3">
        <f>+IF(AVANCE[[#This Row],[PUERTAS DORMITORIO]]=BA$2,100%,AVANCE[[#This Row],[PUERTAS DORMITORIO]])</f>
        <v>0</v>
      </c>
      <c r="CO627" s="3">
        <f>+IF(AVANCE[[#This Row],[REVESTIMIENTO INTERIOR BANO]]=BB$2,100%,AVANCE[[#This Row],[REVESTIMIENTO INTERIOR BANO]])</f>
        <v>0</v>
      </c>
      <c r="CP627" s="3">
        <f>+IF(AVANCE[[#This Row],[MUEBLE LAVAPLATOS]]=BC$2,100%,AVANCE[[#This Row],[MUEBLE LAVAPLATOS]])</f>
        <v>0</v>
      </c>
      <c r="CQ627" s="3">
        <f>+IF(AVANCE[[#This Row],[IMPERMEABILIZACION BANO - COCINA LOGIA]]=BD$2,100%,AVANCE[[#This Row],[IMPERMEABILIZACION BANO - COCINA LOGIA]])</f>
        <v>0</v>
      </c>
      <c r="CR627" s="40">
        <f ca="1">+IF(AVANCE[[#This Row],[ESTADO MODULO]]="PENDIENTE",(TODAY()-AVANCE[[#This Row],[FECHA TERMINO  PLANIFICADO]]),0)</f>
        <v>0</v>
      </c>
      <c r="CS627" s="42" t="str" cm="1">
        <f t="array" ref="CS627">_xlfn.TEXTJOIN(" | ",TRUE,IF(SUMPRODUCT((BF627:CQ627&lt;1)*(PARTIDAS!$I$2:$AT$2="OBRA GRUESA"))&gt;0,"OBRA GRUESA: "&amp;_xlfn.TEXTJOIN(", ",TRUE,IF((BF627:CQ627&lt;1)*(PARTIDAS!$I$2:$AT$2="OBRA GRUESA"),PARTIDAS!$I$1:$AT$1,"")),""),IF(SUMPRODUCT((BF627:CQ627&lt;1)*(PARTIDAS!$I$2:$AT$2="SANITARIOS"))&gt;0,"SANITARIOS: "&amp;_xlfn.TEXTJOIN(", ",TRUE,IF((BF627:CQ627&lt;1)*(PARTIDAS!$I$2:$AT$2="SANITARIOS"),PARTIDAS!$I$1:$AT$1,"")),""),IF(SUMPRODUCT((BF627:CQ627&lt;1)*(PARTIDAS!$I$2:$AT$2="ELÉCTRICO"))&gt;0,"ELÉCTRICO: "&amp;_xlfn.TEXTJOIN(", ",TRUE,IF((BF627:CQ627&lt;1)*(PARTIDAS!$I$2:$AT$2="ELÉCTRICO"),PARTIDAS!$I$1:$AT$1,"")),""),IF(SUMPRODUCT((BF627:CQ627&lt;1)*(PARTIDAS!$I$2:$AT$2="TERMINACIONES"))&gt;0,"TERMINACIONES: "&amp;_xlfn.TEXTJOIN(", ",TRUE,IF((BF627:CQ627&lt;1)*(PARTIDAS!$I$2:$AT$2="TERMINACIONES"),PARTIDAS!$I$1:$AT$1,"")),""))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7" s="45" t="str" cm="1">
        <f t="array" ref="CT627">_xlfn.TEXTJOIN(", ",TRUE,IF(SUMPRODUCT((BF627:CQ627&lt;1)*(PARTIDAS!$I$2:$AT$2="OBRA GRUESA"))&gt;0,"OBRA GRUESA",""),IF(SUMPRODUCT((BF627:CQ627&lt;1)*(PARTIDAS!$I$2:$AT$2="SANITARIOS"))&gt;0,"SANITARIOS",""),IF(SUMPRODUCT((BF627:CQ627&lt;1)*(PARTIDAS!$I$2:$AT$2="ELÉCTRICO"))&gt;0,"ELÉCTRICO",""),IF(SUMPRODUCT((BF627:CQ627&lt;1)*(PARTIDAS!$I$2:$AT$2="TERMINACIONES"))&gt;0,"TERMINACIONES",""))</f>
        <v>OBRA GRUESA, SANITARIOS, ELÉCTRICO, TERMINACIONES</v>
      </c>
      <c r="CU627" s="46" cm="1">
        <f t="array" ref="CU627">SUMPRODUCT(--(BF627:CQ627&lt;1))</f>
        <v>38</v>
      </c>
    </row>
    <row r="628" spans="1:99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46181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 s="3" t="str">
        <f>+IF(AVANCE[[#This Row],[% AVANCE]]=100%,"MODULO TERMINADO",IF(AVANCE[[#This Row],[FECHA INICIO REAL]]="","MODULO NO INICIADO","PENDIENTE"))</f>
        <v>MODULO NO INICIADO</v>
      </c>
      <c r="BF628" s="3">
        <f>+IF(AVANCE[[#This Row],[VENTANAS]]=8.10810810810811%,100%,AVANCE[[#This Row],[VENTANAS]])</f>
        <v>0</v>
      </c>
      <c r="BG628" s="3">
        <f>+IF(AVANCE[[#This Row],[PISO]]=N$2,100%,AVANCE[[#This Row],[PISO]])</f>
        <v>0</v>
      </c>
      <c r="BH628" s="3">
        <f>+IF(AVANCE[[#This Row],[TABIQUES]]=O$2,100%,AVANCE[[#This Row],[TABIQUES]])</f>
        <v>0</v>
      </c>
      <c r="BI628" s="3">
        <f>+IF(AVANCE[[#This Row],[MUROS]]=P$2,100%,AVANCE[[#This Row],[MUROS]])</f>
        <v>0</v>
      </c>
      <c r="BJ628" s="3">
        <f>+IF(AVANCE[[#This Row],[CIELO]]=Q$2,100%,AVANCE[[#This Row],[CIELO]])</f>
        <v>0</v>
      </c>
      <c r="BK628" s="3">
        <f>+IF(AVANCE[[#This Row],[BALCÓN]]=R$2,100%,AVANCE[[#This Row],[BALCÓN]])</f>
        <v>0</v>
      </c>
      <c r="BL628" s="3">
        <f>+IF(AVANCE[[#This Row],[RED ALCANTARILLADO]]=U$2,100%,AVANCE[[#This Row],[RED ALCANTARILLADO]])</f>
        <v>0</v>
      </c>
      <c r="BM628" s="3">
        <f>+IF(AVANCE[[#This Row],[RED DE AGUA]]=V$2,100%,AVANCE[[#This Row],[RED DE AGUA]])</f>
        <v>0</v>
      </c>
      <c r="BN628" s="3">
        <f>+IF(AVANCE[[#This Row],[VENTILACIONES]]=W$2,100%,AVANCE[[#This Row],[VENTILACIONES]])</f>
        <v>0</v>
      </c>
      <c r="BO628" s="3">
        <f>+IF(AVANCE[[#This Row],[TINA]]=X$2,100%,AVANCE[[#This Row],[TINA]])</f>
        <v>0</v>
      </c>
      <c r="BP628" s="3">
        <f>+IF(AVANCE[[#This Row],[WC]]=Y$2,100%,AVANCE[[#This Row],[WC]])</f>
        <v>0</v>
      </c>
      <c r="BQ628" s="3">
        <f>+IF(AVANCE[[#This Row],[LAVAMANOS / LAVAPLATOS / LAVADERO]]=Z$2,100%,AVANCE[[#This Row],[LAVAMANOS / LAVAPLATOS / LAVADERO]])</f>
        <v>0</v>
      </c>
      <c r="BR628" s="3">
        <f>+IF(AVANCE[[#This Row],[CANALIZACIÓN]]=AC$2,100%,AVANCE[[#This Row],[CANALIZACIÓN]])</f>
        <v>0</v>
      </c>
      <c r="BS628" s="3">
        <f>+IF(AVANCE[[#This Row],[CABLEADO]]=AD$2,100%,AVANCE[[#This Row],[CABLEADO]])</f>
        <v>0</v>
      </c>
      <c r="BT628" s="3">
        <f>+IF(AVANCE[[#This Row],[ARTEFACTOS]]=AE$2,100%,AVANCE[[#This Row],[ARTEFACTOS]])</f>
        <v>0</v>
      </c>
      <c r="BU628" s="3">
        <f>+IF(AVANCE[[#This Row],[TABLERO]]=AF$2,100%,AVANCE[[#This Row],[TABLERO]])</f>
        <v>0</v>
      </c>
      <c r="BV628" s="3">
        <f>+IF(AVANCE[[#This Row],[CAJA PAU]]=AG$2,100%,AVANCE[[#This Row],[CAJA PAU]])</f>
        <v>0</v>
      </c>
      <c r="BW628" s="3">
        <f>+IF(AVANCE[[#This Row],[INSTALACION VINILICO]]=AJ$2,100%,AVANCE[[#This Row],[INSTALACION VINILICO]])</f>
        <v>0</v>
      </c>
      <c r="BX628" s="3">
        <f>+IF(AVANCE[[#This Row],[OSB CUBIERTA]]=AK$2,100%,AVANCE[[#This Row],[OSB CUBIERTA]])</f>
        <v>0</v>
      </c>
      <c r="BY628" s="3">
        <f>+IF(AVANCE[[#This Row],[BARANDA BALCON]]=AL$2,100%,AVANCE[[#This Row],[BARANDA BALCON]])</f>
        <v>0</v>
      </c>
      <c r="BZ628" s="3">
        <f>+IF(AVANCE[[#This Row],[OSB EXTERIOR]]=AM$2,100%,AVANCE[[#This Row],[OSB EXTERIOR]])</f>
        <v>0</v>
      </c>
      <c r="CA628" s="3">
        <f>+IF(AVANCE[[#This Row],[SMART PANEL]]=AN$2,100%,AVANCE[[#This Row],[SMART PANEL]])</f>
        <v>0</v>
      </c>
      <c r="CB628" s="3">
        <f>+IF(AVANCE[[#This Row],[PINTURA EXTERIOR]]=AO$2,100%,AVANCE[[#This Row],[PINTURA EXTERIOR]])</f>
        <v>0</v>
      </c>
      <c r="CC628" s="3">
        <f>+IF(AVANCE[[#This Row],[ZOCALOS LOGIA]]=AP$2,100%,AVANCE[[#This Row],[ZOCALOS LOGIA]])</f>
        <v>0</v>
      </c>
      <c r="CD628" s="3">
        <f>+IF(AVANCE[[#This Row],[MOLDURAS]]=AQ$2,100%,AVANCE[[#This Row],[MOLDURAS]])</f>
        <v>0</v>
      </c>
      <c r="CE628" s="3">
        <f>+IF(AVANCE[[#This Row],[PILASTREO]]=AR$2,100%,AVANCE[[#This Row],[PILASTREO]])</f>
        <v>0</v>
      </c>
      <c r="CF628" s="3">
        <f>+IF(AVANCE[[#This Row],[CELOSIAS]]=AS$2,100%,AVANCE[[#This Row],[CELOSIAS]])</f>
        <v>0</v>
      </c>
      <c r="CG628" s="3">
        <f>+IF(AVANCE[[#This Row],[VENTANAS]]=AT$2,100%,AVANCE[[#This Row],[VENTANAS]])</f>
        <v>0</v>
      </c>
      <c r="CH628" s="3">
        <f>+IF(AVANCE[[#This Row],[PUERTAS ACCESO - LOGIA - BANO]]=AU$2,100%,AVANCE[[#This Row],[PUERTAS ACCESO - LOGIA - BANO]])</f>
        <v>0</v>
      </c>
      <c r="CI628" s="3">
        <f>+IF(AVANCE[[#This Row],[CERRADURAS]]=AV$2,100%,AVANCE[[#This Row],[CERRADURAS]])</f>
        <v>0</v>
      </c>
      <c r="CJ628" s="3">
        <f>+IF(AVANCE[[#This Row],[REVESTIMIENTO INTERIOR ZONA SECA]]=AW$2,100%,AVANCE[[#This Row],[REVESTIMIENTO INTERIOR ZONA SECA]])</f>
        <v>0</v>
      </c>
      <c r="CK628" s="3">
        <f>+IF(AVANCE[[#This Row],[REVESTIMIENTO INTERIOR ZONAS HUMEDAS]]=AX$2,100%,AVANCE[[#This Row],[REVESTIMIENTO INTERIOR ZONAS HUMEDAS]])</f>
        <v>0</v>
      </c>
      <c r="CL628" s="3">
        <f>+IF(AVANCE[[#This Row],[MEMBRANA CIELO]]=AY$2,100%,AVANCE[[#This Row],[MEMBRANA CIELO]])</f>
        <v>0</v>
      </c>
      <c r="CM628" s="3">
        <f>+IF(AVANCE[[#This Row],[LIMPIEZA FINAL]]=AZ$2,100%,AVANCE[[#This Row],[LIMPIEZA FINAL]])</f>
        <v>0</v>
      </c>
      <c r="CN628" s="3">
        <f>+IF(AVANCE[[#This Row],[PUERTAS DORMITORIO]]=BA$2,100%,AVANCE[[#This Row],[PUERTAS DORMITORIO]])</f>
        <v>0</v>
      </c>
      <c r="CO628" s="3">
        <f>+IF(AVANCE[[#This Row],[REVESTIMIENTO INTERIOR BANO]]=BB$2,100%,AVANCE[[#This Row],[REVESTIMIENTO INTERIOR BANO]])</f>
        <v>0</v>
      </c>
      <c r="CP628" s="3">
        <f>+IF(AVANCE[[#This Row],[MUEBLE LAVAPLATOS]]=BC$2,100%,AVANCE[[#This Row],[MUEBLE LAVAPLATOS]])</f>
        <v>0</v>
      </c>
      <c r="CQ628" s="3">
        <f>+IF(AVANCE[[#This Row],[IMPERMEABILIZACION BANO - COCINA LOGIA]]=BD$2,100%,AVANCE[[#This Row],[IMPERMEABILIZACION BANO - COCINA LOGIA]])</f>
        <v>0</v>
      </c>
      <c r="CR628" s="40">
        <f ca="1">+IF(AVANCE[[#This Row],[ESTADO MODULO]]="PENDIENTE",(TODAY()-AVANCE[[#This Row],[FECHA TERMINO  PLANIFICADO]]),0)</f>
        <v>0</v>
      </c>
      <c r="CS628" s="42" t="str" cm="1">
        <f t="array" ref="CS628">_xlfn.TEXTJOIN(" | ",TRUE,IF(SUMPRODUCT((BF628:CQ628&lt;1)*(PARTIDAS!$I$2:$AT$2="OBRA GRUESA"))&gt;0,"OBRA GRUESA: "&amp;_xlfn.TEXTJOIN(", ",TRUE,IF((BF628:CQ628&lt;1)*(PARTIDAS!$I$2:$AT$2="OBRA GRUESA"),PARTIDAS!$I$1:$AT$1,"")),""),IF(SUMPRODUCT((BF628:CQ628&lt;1)*(PARTIDAS!$I$2:$AT$2="SANITARIOS"))&gt;0,"SANITARIOS: "&amp;_xlfn.TEXTJOIN(", ",TRUE,IF((BF628:CQ628&lt;1)*(PARTIDAS!$I$2:$AT$2="SANITARIOS"),PARTIDAS!$I$1:$AT$1,"")),""),IF(SUMPRODUCT((BF628:CQ628&lt;1)*(PARTIDAS!$I$2:$AT$2="ELÉCTRICO"))&gt;0,"ELÉCTRICO: "&amp;_xlfn.TEXTJOIN(", ",TRUE,IF((BF628:CQ628&lt;1)*(PARTIDAS!$I$2:$AT$2="ELÉCTRICO"),PARTIDAS!$I$1:$AT$1,"")),""),IF(SUMPRODUCT((BF628:CQ628&lt;1)*(PARTIDAS!$I$2:$AT$2="TERMINACIONES"))&gt;0,"TERMINACIONES: "&amp;_xlfn.TEXTJOIN(", ",TRUE,IF((BF628:CQ628&lt;1)*(PARTIDAS!$I$2:$AT$2="TERMINACIONES"),PARTIDAS!$I$1:$AT$1,"")),""))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8" s="45" t="str" cm="1">
        <f t="array" ref="CT628">_xlfn.TEXTJOIN(", ",TRUE,IF(SUMPRODUCT((BF628:CQ628&lt;1)*(PARTIDAS!$I$2:$AT$2="OBRA GRUESA"))&gt;0,"OBRA GRUESA",""),IF(SUMPRODUCT((BF628:CQ628&lt;1)*(PARTIDAS!$I$2:$AT$2="SANITARIOS"))&gt;0,"SANITARIOS",""),IF(SUMPRODUCT((BF628:CQ628&lt;1)*(PARTIDAS!$I$2:$AT$2="ELÉCTRICO"))&gt;0,"ELÉCTRICO",""),IF(SUMPRODUCT((BF628:CQ628&lt;1)*(PARTIDAS!$I$2:$AT$2="TERMINACIONES"))&gt;0,"TERMINACIONES",""))</f>
        <v>OBRA GRUESA, SANITARIOS, ELÉCTRICO, TERMINACIONES</v>
      </c>
      <c r="CU628" s="46" cm="1">
        <f t="array" ref="CU628">SUMPRODUCT(--(BF628:CQ628&lt;1))</f>
        <v>38</v>
      </c>
    </row>
    <row r="629" spans="1:99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46181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 s="3" t="str">
        <f>+IF(AVANCE[[#This Row],[% AVANCE]]=100%,"MODULO TERMINADO",IF(AVANCE[[#This Row],[FECHA INICIO REAL]]="","MODULO NO INICIADO","PENDIENTE"))</f>
        <v>MODULO NO INICIADO</v>
      </c>
      <c r="BF629" s="3">
        <f>+IF(AVANCE[[#This Row],[VENTANAS]]=8.10810810810811%,100%,AVANCE[[#This Row],[VENTANAS]])</f>
        <v>0</v>
      </c>
      <c r="BG629" s="3">
        <f>+IF(AVANCE[[#This Row],[PISO]]=N$2,100%,AVANCE[[#This Row],[PISO]])</f>
        <v>0</v>
      </c>
      <c r="BH629" s="3">
        <f>+IF(AVANCE[[#This Row],[TABIQUES]]=O$2,100%,AVANCE[[#This Row],[TABIQUES]])</f>
        <v>0</v>
      </c>
      <c r="BI629" s="3">
        <f>+IF(AVANCE[[#This Row],[MUROS]]=P$2,100%,AVANCE[[#This Row],[MUROS]])</f>
        <v>0</v>
      </c>
      <c r="BJ629" s="3">
        <f>+IF(AVANCE[[#This Row],[CIELO]]=Q$2,100%,AVANCE[[#This Row],[CIELO]])</f>
        <v>0</v>
      </c>
      <c r="BK629" s="3">
        <f>+IF(AVANCE[[#This Row],[BALCÓN]]=R$2,100%,AVANCE[[#This Row],[BALCÓN]])</f>
        <v>0</v>
      </c>
      <c r="BL629" s="3">
        <f>+IF(AVANCE[[#This Row],[RED ALCANTARILLADO]]=U$2,100%,AVANCE[[#This Row],[RED ALCANTARILLADO]])</f>
        <v>0</v>
      </c>
      <c r="BM629" s="3">
        <f>+IF(AVANCE[[#This Row],[RED DE AGUA]]=V$2,100%,AVANCE[[#This Row],[RED DE AGUA]])</f>
        <v>0</v>
      </c>
      <c r="BN629" s="3">
        <f>+IF(AVANCE[[#This Row],[VENTILACIONES]]=W$2,100%,AVANCE[[#This Row],[VENTILACIONES]])</f>
        <v>0</v>
      </c>
      <c r="BO629" s="3">
        <f>+IF(AVANCE[[#This Row],[TINA]]=X$2,100%,AVANCE[[#This Row],[TINA]])</f>
        <v>0</v>
      </c>
      <c r="BP629" s="3">
        <f>+IF(AVANCE[[#This Row],[WC]]=Y$2,100%,AVANCE[[#This Row],[WC]])</f>
        <v>0</v>
      </c>
      <c r="BQ629" s="3">
        <f>+IF(AVANCE[[#This Row],[LAVAMANOS / LAVAPLATOS / LAVADERO]]=Z$2,100%,AVANCE[[#This Row],[LAVAMANOS / LAVAPLATOS / LAVADERO]])</f>
        <v>0</v>
      </c>
      <c r="BR629" s="3">
        <f>+IF(AVANCE[[#This Row],[CANALIZACIÓN]]=AC$2,100%,AVANCE[[#This Row],[CANALIZACIÓN]])</f>
        <v>0</v>
      </c>
      <c r="BS629" s="3">
        <f>+IF(AVANCE[[#This Row],[CABLEADO]]=AD$2,100%,AVANCE[[#This Row],[CABLEADO]])</f>
        <v>0</v>
      </c>
      <c r="BT629" s="3">
        <f>+IF(AVANCE[[#This Row],[ARTEFACTOS]]=AE$2,100%,AVANCE[[#This Row],[ARTEFACTOS]])</f>
        <v>0</v>
      </c>
      <c r="BU629" s="3">
        <f>+IF(AVANCE[[#This Row],[TABLERO]]=AF$2,100%,AVANCE[[#This Row],[TABLERO]])</f>
        <v>0</v>
      </c>
      <c r="BV629" s="3">
        <f>+IF(AVANCE[[#This Row],[CAJA PAU]]=AG$2,100%,AVANCE[[#This Row],[CAJA PAU]])</f>
        <v>0</v>
      </c>
      <c r="BW629" s="3">
        <f>+IF(AVANCE[[#This Row],[INSTALACION VINILICO]]=AJ$2,100%,AVANCE[[#This Row],[INSTALACION VINILICO]])</f>
        <v>0</v>
      </c>
      <c r="BX629" s="3">
        <f>+IF(AVANCE[[#This Row],[OSB CUBIERTA]]=AK$2,100%,AVANCE[[#This Row],[OSB CUBIERTA]])</f>
        <v>0</v>
      </c>
      <c r="BY629" s="3">
        <f>+IF(AVANCE[[#This Row],[BARANDA BALCON]]=AL$2,100%,AVANCE[[#This Row],[BARANDA BALCON]])</f>
        <v>0</v>
      </c>
      <c r="BZ629" s="3">
        <f>+IF(AVANCE[[#This Row],[OSB EXTERIOR]]=AM$2,100%,AVANCE[[#This Row],[OSB EXTERIOR]])</f>
        <v>0</v>
      </c>
      <c r="CA629" s="3">
        <f>+IF(AVANCE[[#This Row],[SMART PANEL]]=AN$2,100%,AVANCE[[#This Row],[SMART PANEL]])</f>
        <v>0</v>
      </c>
      <c r="CB629" s="3">
        <f>+IF(AVANCE[[#This Row],[PINTURA EXTERIOR]]=AO$2,100%,AVANCE[[#This Row],[PINTURA EXTERIOR]])</f>
        <v>0</v>
      </c>
      <c r="CC629" s="3">
        <f>+IF(AVANCE[[#This Row],[ZOCALOS LOGIA]]=AP$2,100%,AVANCE[[#This Row],[ZOCALOS LOGIA]])</f>
        <v>0</v>
      </c>
      <c r="CD629" s="3">
        <f>+IF(AVANCE[[#This Row],[MOLDURAS]]=AQ$2,100%,AVANCE[[#This Row],[MOLDURAS]])</f>
        <v>0</v>
      </c>
      <c r="CE629" s="3">
        <f>+IF(AVANCE[[#This Row],[PILASTREO]]=AR$2,100%,AVANCE[[#This Row],[PILASTREO]])</f>
        <v>0</v>
      </c>
      <c r="CF629" s="3">
        <f>+IF(AVANCE[[#This Row],[CELOSIAS]]=AS$2,100%,AVANCE[[#This Row],[CELOSIAS]])</f>
        <v>0</v>
      </c>
      <c r="CG629" s="3">
        <f>+IF(AVANCE[[#This Row],[VENTANAS]]=AT$2,100%,AVANCE[[#This Row],[VENTANAS]])</f>
        <v>0</v>
      </c>
      <c r="CH629" s="3">
        <f>+IF(AVANCE[[#This Row],[PUERTAS ACCESO - LOGIA - BANO]]=AU$2,100%,AVANCE[[#This Row],[PUERTAS ACCESO - LOGIA - BANO]])</f>
        <v>0</v>
      </c>
      <c r="CI629" s="3">
        <f>+IF(AVANCE[[#This Row],[CERRADURAS]]=AV$2,100%,AVANCE[[#This Row],[CERRADURAS]])</f>
        <v>0</v>
      </c>
      <c r="CJ629" s="3">
        <f>+IF(AVANCE[[#This Row],[REVESTIMIENTO INTERIOR ZONA SECA]]=AW$2,100%,AVANCE[[#This Row],[REVESTIMIENTO INTERIOR ZONA SECA]])</f>
        <v>0</v>
      </c>
      <c r="CK629" s="3">
        <f>+IF(AVANCE[[#This Row],[REVESTIMIENTO INTERIOR ZONAS HUMEDAS]]=AX$2,100%,AVANCE[[#This Row],[REVESTIMIENTO INTERIOR ZONAS HUMEDAS]])</f>
        <v>0</v>
      </c>
      <c r="CL629" s="3">
        <f>+IF(AVANCE[[#This Row],[MEMBRANA CIELO]]=AY$2,100%,AVANCE[[#This Row],[MEMBRANA CIELO]])</f>
        <v>0</v>
      </c>
      <c r="CM629" s="3">
        <f>+IF(AVANCE[[#This Row],[LIMPIEZA FINAL]]=AZ$2,100%,AVANCE[[#This Row],[LIMPIEZA FINAL]])</f>
        <v>0</v>
      </c>
      <c r="CN629" s="3">
        <f>+IF(AVANCE[[#This Row],[PUERTAS DORMITORIO]]=BA$2,100%,AVANCE[[#This Row],[PUERTAS DORMITORIO]])</f>
        <v>0</v>
      </c>
      <c r="CO629" s="3">
        <f>+IF(AVANCE[[#This Row],[REVESTIMIENTO INTERIOR BANO]]=BB$2,100%,AVANCE[[#This Row],[REVESTIMIENTO INTERIOR BANO]])</f>
        <v>0</v>
      </c>
      <c r="CP629" s="3">
        <f>+IF(AVANCE[[#This Row],[MUEBLE LAVAPLATOS]]=BC$2,100%,AVANCE[[#This Row],[MUEBLE LAVAPLATOS]])</f>
        <v>0</v>
      </c>
      <c r="CQ629" s="3">
        <f>+IF(AVANCE[[#This Row],[IMPERMEABILIZACION BANO - COCINA LOGIA]]=BD$2,100%,AVANCE[[#This Row],[IMPERMEABILIZACION BANO - COCINA LOGIA]])</f>
        <v>0</v>
      </c>
      <c r="CR629" s="40">
        <f ca="1">+IF(AVANCE[[#This Row],[ESTADO MODULO]]="PENDIENTE",(TODAY()-AVANCE[[#This Row],[FECHA TERMINO  PLANIFICADO]]),0)</f>
        <v>0</v>
      </c>
      <c r="CS629" s="42" t="str" cm="1">
        <f t="array" ref="CS629">_xlfn.TEXTJOIN(" | ",TRUE,IF(SUMPRODUCT((BF629:CQ629&lt;1)*(PARTIDAS!$I$2:$AT$2="OBRA GRUESA"))&gt;0,"OBRA GRUESA: "&amp;_xlfn.TEXTJOIN(", ",TRUE,IF((BF629:CQ629&lt;1)*(PARTIDAS!$I$2:$AT$2="OBRA GRUESA"),PARTIDAS!$I$1:$AT$1,"")),""),IF(SUMPRODUCT((BF629:CQ629&lt;1)*(PARTIDAS!$I$2:$AT$2="SANITARIOS"))&gt;0,"SANITARIOS: "&amp;_xlfn.TEXTJOIN(", ",TRUE,IF((BF629:CQ629&lt;1)*(PARTIDAS!$I$2:$AT$2="SANITARIOS"),PARTIDAS!$I$1:$AT$1,"")),""),IF(SUMPRODUCT((BF629:CQ629&lt;1)*(PARTIDAS!$I$2:$AT$2="ELÉCTRICO"))&gt;0,"ELÉCTRICO: "&amp;_xlfn.TEXTJOIN(", ",TRUE,IF((BF629:CQ629&lt;1)*(PARTIDAS!$I$2:$AT$2="ELÉCTRICO"),PARTIDAS!$I$1:$AT$1,"")),""),IF(SUMPRODUCT((BF629:CQ629&lt;1)*(PARTIDAS!$I$2:$AT$2="TERMINACIONES"))&gt;0,"TERMINACIONES: "&amp;_xlfn.TEXTJOIN(", ",TRUE,IF((BF629:CQ629&lt;1)*(PARTIDAS!$I$2:$AT$2="TERMINACIONES"),PARTIDAS!$I$1:$AT$1,"")),""))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29" s="45" t="str" cm="1">
        <f t="array" ref="CT629">_xlfn.TEXTJOIN(", ",TRUE,IF(SUMPRODUCT((BF629:CQ629&lt;1)*(PARTIDAS!$I$2:$AT$2="OBRA GRUESA"))&gt;0,"OBRA GRUESA",""),IF(SUMPRODUCT((BF629:CQ629&lt;1)*(PARTIDAS!$I$2:$AT$2="SANITARIOS"))&gt;0,"SANITARIOS",""),IF(SUMPRODUCT((BF629:CQ629&lt;1)*(PARTIDAS!$I$2:$AT$2="ELÉCTRICO"))&gt;0,"ELÉCTRICO",""),IF(SUMPRODUCT((BF629:CQ629&lt;1)*(PARTIDAS!$I$2:$AT$2="TERMINACIONES"))&gt;0,"TERMINACIONES",""))</f>
        <v>OBRA GRUESA, SANITARIOS, ELÉCTRICO, TERMINACIONES</v>
      </c>
      <c r="CU629" s="46" cm="1">
        <f t="array" ref="CU629">SUMPRODUCT(--(BF629:CQ629&lt;1))</f>
        <v>38</v>
      </c>
    </row>
    <row r="630" spans="1:99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46181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 s="3" t="str">
        <f>+IF(AVANCE[[#This Row],[% AVANCE]]=100%,"MODULO TERMINADO",IF(AVANCE[[#This Row],[FECHA INICIO REAL]]="","MODULO NO INICIADO","PENDIENTE"))</f>
        <v>MODULO NO INICIADO</v>
      </c>
      <c r="BF630" s="3">
        <f>+IF(AVANCE[[#This Row],[VENTANAS]]=8.10810810810811%,100%,AVANCE[[#This Row],[VENTANAS]])</f>
        <v>0</v>
      </c>
      <c r="BG630" s="3">
        <f>+IF(AVANCE[[#This Row],[PISO]]=N$2,100%,AVANCE[[#This Row],[PISO]])</f>
        <v>0</v>
      </c>
      <c r="BH630" s="3">
        <f>+IF(AVANCE[[#This Row],[TABIQUES]]=O$2,100%,AVANCE[[#This Row],[TABIQUES]])</f>
        <v>0</v>
      </c>
      <c r="BI630" s="3">
        <f>+IF(AVANCE[[#This Row],[MUROS]]=P$2,100%,AVANCE[[#This Row],[MUROS]])</f>
        <v>0</v>
      </c>
      <c r="BJ630" s="3">
        <f>+IF(AVANCE[[#This Row],[CIELO]]=Q$2,100%,AVANCE[[#This Row],[CIELO]])</f>
        <v>0</v>
      </c>
      <c r="BK630" s="3">
        <f>+IF(AVANCE[[#This Row],[BALCÓN]]=R$2,100%,AVANCE[[#This Row],[BALCÓN]])</f>
        <v>0</v>
      </c>
      <c r="BL630" s="3">
        <f>+IF(AVANCE[[#This Row],[RED ALCANTARILLADO]]=U$2,100%,AVANCE[[#This Row],[RED ALCANTARILLADO]])</f>
        <v>0</v>
      </c>
      <c r="BM630" s="3">
        <f>+IF(AVANCE[[#This Row],[RED DE AGUA]]=V$2,100%,AVANCE[[#This Row],[RED DE AGUA]])</f>
        <v>0</v>
      </c>
      <c r="BN630" s="3">
        <f>+IF(AVANCE[[#This Row],[VENTILACIONES]]=W$2,100%,AVANCE[[#This Row],[VENTILACIONES]])</f>
        <v>0</v>
      </c>
      <c r="BO630" s="3">
        <f>+IF(AVANCE[[#This Row],[TINA]]=X$2,100%,AVANCE[[#This Row],[TINA]])</f>
        <v>0</v>
      </c>
      <c r="BP630" s="3">
        <f>+IF(AVANCE[[#This Row],[WC]]=Y$2,100%,AVANCE[[#This Row],[WC]])</f>
        <v>0</v>
      </c>
      <c r="BQ630" s="3">
        <f>+IF(AVANCE[[#This Row],[LAVAMANOS / LAVAPLATOS / LAVADERO]]=Z$2,100%,AVANCE[[#This Row],[LAVAMANOS / LAVAPLATOS / LAVADERO]])</f>
        <v>0</v>
      </c>
      <c r="BR630" s="3">
        <f>+IF(AVANCE[[#This Row],[CANALIZACIÓN]]=AC$2,100%,AVANCE[[#This Row],[CANALIZACIÓN]])</f>
        <v>0</v>
      </c>
      <c r="BS630" s="3">
        <f>+IF(AVANCE[[#This Row],[CABLEADO]]=AD$2,100%,AVANCE[[#This Row],[CABLEADO]])</f>
        <v>0</v>
      </c>
      <c r="BT630" s="3">
        <f>+IF(AVANCE[[#This Row],[ARTEFACTOS]]=AE$2,100%,AVANCE[[#This Row],[ARTEFACTOS]])</f>
        <v>0</v>
      </c>
      <c r="BU630" s="3">
        <f>+IF(AVANCE[[#This Row],[TABLERO]]=AF$2,100%,AVANCE[[#This Row],[TABLERO]])</f>
        <v>0</v>
      </c>
      <c r="BV630" s="3">
        <f>+IF(AVANCE[[#This Row],[CAJA PAU]]=AG$2,100%,AVANCE[[#This Row],[CAJA PAU]])</f>
        <v>0</v>
      </c>
      <c r="BW630" s="3">
        <f>+IF(AVANCE[[#This Row],[INSTALACION VINILICO]]=AJ$2,100%,AVANCE[[#This Row],[INSTALACION VINILICO]])</f>
        <v>0</v>
      </c>
      <c r="BX630" s="3">
        <f>+IF(AVANCE[[#This Row],[OSB CUBIERTA]]=AK$2,100%,AVANCE[[#This Row],[OSB CUBIERTA]])</f>
        <v>0</v>
      </c>
      <c r="BY630" s="3">
        <f>+IF(AVANCE[[#This Row],[BARANDA BALCON]]=AL$2,100%,AVANCE[[#This Row],[BARANDA BALCON]])</f>
        <v>0</v>
      </c>
      <c r="BZ630" s="3">
        <f>+IF(AVANCE[[#This Row],[OSB EXTERIOR]]=AM$2,100%,AVANCE[[#This Row],[OSB EXTERIOR]])</f>
        <v>0</v>
      </c>
      <c r="CA630" s="3">
        <f>+IF(AVANCE[[#This Row],[SMART PANEL]]=AN$2,100%,AVANCE[[#This Row],[SMART PANEL]])</f>
        <v>0</v>
      </c>
      <c r="CB630" s="3">
        <f>+IF(AVANCE[[#This Row],[PINTURA EXTERIOR]]=AO$2,100%,AVANCE[[#This Row],[PINTURA EXTERIOR]])</f>
        <v>0</v>
      </c>
      <c r="CC630" s="3">
        <f>+IF(AVANCE[[#This Row],[ZOCALOS LOGIA]]=AP$2,100%,AVANCE[[#This Row],[ZOCALOS LOGIA]])</f>
        <v>0</v>
      </c>
      <c r="CD630" s="3">
        <f>+IF(AVANCE[[#This Row],[MOLDURAS]]=AQ$2,100%,AVANCE[[#This Row],[MOLDURAS]])</f>
        <v>0</v>
      </c>
      <c r="CE630" s="3">
        <f>+IF(AVANCE[[#This Row],[PILASTREO]]=AR$2,100%,AVANCE[[#This Row],[PILASTREO]])</f>
        <v>0</v>
      </c>
      <c r="CF630" s="3">
        <f>+IF(AVANCE[[#This Row],[CELOSIAS]]=AS$2,100%,AVANCE[[#This Row],[CELOSIAS]])</f>
        <v>0</v>
      </c>
      <c r="CG630" s="3">
        <f>+IF(AVANCE[[#This Row],[VENTANAS]]=AT$2,100%,AVANCE[[#This Row],[VENTANAS]])</f>
        <v>0</v>
      </c>
      <c r="CH630" s="3">
        <f>+IF(AVANCE[[#This Row],[PUERTAS ACCESO - LOGIA - BANO]]=AU$2,100%,AVANCE[[#This Row],[PUERTAS ACCESO - LOGIA - BANO]])</f>
        <v>0</v>
      </c>
      <c r="CI630" s="3">
        <f>+IF(AVANCE[[#This Row],[CERRADURAS]]=AV$2,100%,AVANCE[[#This Row],[CERRADURAS]])</f>
        <v>0</v>
      </c>
      <c r="CJ630" s="3">
        <f>+IF(AVANCE[[#This Row],[REVESTIMIENTO INTERIOR ZONA SECA]]=AW$2,100%,AVANCE[[#This Row],[REVESTIMIENTO INTERIOR ZONA SECA]])</f>
        <v>0</v>
      </c>
      <c r="CK630" s="3">
        <f>+IF(AVANCE[[#This Row],[REVESTIMIENTO INTERIOR ZONAS HUMEDAS]]=AX$2,100%,AVANCE[[#This Row],[REVESTIMIENTO INTERIOR ZONAS HUMEDAS]])</f>
        <v>0</v>
      </c>
      <c r="CL630" s="3">
        <f>+IF(AVANCE[[#This Row],[MEMBRANA CIELO]]=AY$2,100%,AVANCE[[#This Row],[MEMBRANA CIELO]])</f>
        <v>0</v>
      </c>
      <c r="CM630" s="3">
        <f>+IF(AVANCE[[#This Row],[LIMPIEZA FINAL]]=AZ$2,100%,AVANCE[[#This Row],[LIMPIEZA FINAL]])</f>
        <v>0</v>
      </c>
      <c r="CN630" s="3">
        <f>+IF(AVANCE[[#This Row],[PUERTAS DORMITORIO]]=BA$2,100%,AVANCE[[#This Row],[PUERTAS DORMITORIO]])</f>
        <v>0</v>
      </c>
      <c r="CO630" s="3">
        <f>+IF(AVANCE[[#This Row],[REVESTIMIENTO INTERIOR BANO]]=BB$2,100%,AVANCE[[#This Row],[REVESTIMIENTO INTERIOR BANO]])</f>
        <v>0</v>
      </c>
      <c r="CP630" s="3">
        <f>+IF(AVANCE[[#This Row],[MUEBLE LAVAPLATOS]]=BC$2,100%,AVANCE[[#This Row],[MUEBLE LAVAPLATOS]])</f>
        <v>0</v>
      </c>
      <c r="CQ630" s="3">
        <f>+IF(AVANCE[[#This Row],[IMPERMEABILIZACION BANO - COCINA LOGIA]]=BD$2,100%,AVANCE[[#This Row],[IMPERMEABILIZACION BANO - COCINA LOGIA]])</f>
        <v>0</v>
      </c>
      <c r="CR630" s="40">
        <f ca="1">+IF(AVANCE[[#This Row],[ESTADO MODULO]]="PENDIENTE",(TODAY()-AVANCE[[#This Row],[FECHA TERMINO  PLANIFICADO]]),0)</f>
        <v>0</v>
      </c>
      <c r="CS630" s="42" t="str" cm="1">
        <f t="array" ref="CS630">_xlfn.TEXTJOIN(" | ",TRUE,IF(SUMPRODUCT((BF630:CQ630&lt;1)*(PARTIDAS!$I$2:$AT$2="OBRA GRUESA"))&gt;0,"OBRA GRUESA: "&amp;_xlfn.TEXTJOIN(", ",TRUE,IF((BF630:CQ630&lt;1)*(PARTIDAS!$I$2:$AT$2="OBRA GRUESA"),PARTIDAS!$I$1:$AT$1,"")),""),IF(SUMPRODUCT((BF630:CQ630&lt;1)*(PARTIDAS!$I$2:$AT$2="SANITARIOS"))&gt;0,"SANITARIOS: "&amp;_xlfn.TEXTJOIN(", ",TRUE,IF((BF630:CQ630&lt;1)*(PARTIDAS!$I$2:$AT$2="SANITARIOS"),PARTIDAS!$I$1:$AT$1,"")),""),IF(SUMPRODUCT((BF630:CQ630&lt;1)*(PARTIDAS!$I$2:$AT$2="ELÉCTRICO"))&gt;0,"ELÉCTRICO: "&amp;_xlfn.TEXTJOIN(", ",TRUE,IF((BF630:CQ630&lt;1)*(PARTIDAS!$I$2:$AT$2="ELÉCTRICO"),PARTIDAS!$I$1:$AT$1,"")),""),IF(SUMPRODUCT((BF630:CQ630&lt;1)*(PARTIDAS!$I$2:$AT$2="TERMINACIONES"))&gt;0,"TERMINACIONES: "&amp;_xlfn.TEXTJOIN(", ",TRUE,IF((BF630:CQ630&lt;1)*(PARTIDAS!$I$2:$AT$2="TERMINACIONES"),PARTIDAS!$I$1:$AT$1,"")),""))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0" s="45" t="str" cm="1">
        <f t="array" ref="CT630">_xlfn.TEXTJOIN(", ",TRUE,IF(SUMPRODUCT((BF630:CQ630&lt;1)*(PARTIDAS!$I$2:$AT$2="OBRA GRUESA"))&gt;0,"OBRA GRUESA",""),IF(SUMPRODUCT((BF630:CQ630&lt;1)*(PARTIDAS!$I$2:$AT$2="SANITARIOS"))&gt;0,"SANITARIOS",""),IF(SUMPRODUCT((BF630:CQ630&lt;1)*(PARTIDAS!$I$2:$AT$2="ELÉCTRICO"))&gt;0,"ELÉCTRICO",""),IF(SUMPRODUCT((BF630:CQ630&lt;1)*(PARTIDAS!$I$2:$AT$2="TERMINACIONES"))&gt;0,"TERMINACIONES",""))</f>
        <v>OBRA GRUESA, SANITARIOS, ELÉCTRICO, TERMINACIONES</v>
      </c>
      <c r="CU630" s="46" cm="1">
        <f t="array" ref="CU630">SUMPRODUCT(--(BF630:CQ630&lt;1))</f>
        <v>38</v>
      </c>
    </row>
    <row r="631" spans="1:99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46181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 s="3" t="str">
        <f>+IF(AVANCE[[#This Row],[% AVANCE]]=100%,"MODULO TERMINADO",IF(AVANCE[[#This Row],[FECHA INICIO REAL]]="","MODULO NO INICIADO","PENDIENTE"))</f>
        <v>MODULO NO INICIADO</v>
      </c>
      <c r="BF631" s="3">
        <f>+IF(AVANCE[[#This Row],[VENTANAS]]=8.10810810810811%,100%,AVANCE[[#This Row],[VENTANAS]])</f>
        <v>0</v>
      </c>
      <c r="BG631" s="3">
        <f>+IF(AVANCE[[#This Row],[PISO]]=N$2,100%,AVANCE[[#This Row],[PISO]])</f>
        <v>0</v>
      </c>
      <c r="BH631" s="3">
        <f>+IF(AVANCE[[#This Row],[TABIQUES]]=O$2,100%,AVANCE[[#This Row],[TABIQUES]])</f>
        <v>0</v>
      </c>
      <c r="BI631" s="3">
        <f>+IF(AVANCE[[#This Row],[MUROS]]=P$2,100%,AVANCE[[#This Row],[MUROS]])</f>
        <v>0</v>
      </c>
      <c r="BJ631" s="3">
        <f>+IF(AVANCE[[#This Row],[CIELO]]=Q$2,100%,AVANCE[[#This Row],[CIELO]])</f>
        <v>0</v>
      </c>
      <c r="BK631" s="3">
        <f>+IF(AVANCE[[#This Row],[BALCÓN]]=R$2,100%,AVANCE[[#This Row],[BALCÓN]])</f>
        <v>0</v>
      </c>
      <c r="BL631" s="3">
        <f>+IF(AVANCE[[#This Row],[RED ALCANTARILLADO]]=U$2,100%,AVANCE[[#This Row],[RED ALCANTARILLADO]])</f>
        <v>0</v>
      </c>
      <c r="BM631" s="3">
        <f>+IF(AVANCE[[#This Row],[RED DE AGUA]]=V$2,100%,AVANCE[[#This Row],[RED DE AGUA]])</f>
        <v>0</v>
      </c>
      <c r="BN631" s="3">
        <f>+IF(AVANCE[[#This Row],[VENTILACIONES]]=W$2,100%,AVANCE[[#This Row],[VENTILACIONES]])</f>
        <v>0</v>
      </c>
      <c r="BO631" s="3">
        <f>+IF(AVANCE[[#This Row],[TINA]]=X$2,100%,AVANCE[[#This Row],[TINA]])</f>
        <v>0</v>
      </c>
      <c r="BP631" s="3">
        <f>+IF(AVANCE[[#This Row],[WC]]=Y$2,100%,AVANCE[[#This Row],[WC]])</f>
        <v>0</v>
      </c>
      <c r="BQ631" s="3">
        <f>+IF(AVANCE[[#This Row],[LAVAMANOS / LAVAPLATOS / LAVADERO]]=Z$2,100%,AVANCE[[#This Row],[LAVAMANOS / LAVAPLATOS / LAVADERO]])</f>
        <v>0</v>
      </c>
      <c r="BR631" s="3">
        <f>+IF(AVANCE[[#This Row],[CANALIZACIÓN]]=AC$2,100%,AVANCE[[#This Row],[CANALIZACIÓN]])</f>
        <v>0</v>
      </c>
      <c r="BS631" s="3">
        <f>+IF(AVANCE[[#This Row],[CABLEADO]]=AD$2,100%,AVANCE[[#This Row],[CABLEADO]])</f>
        <v>0</v>
      </c>
      <c r="BT631" s="3">
        <f>+IF(AVANCE[[#This Row],[ARTEFACTOS]]=AE$2,100%,AVANCE[[#This Row],[ARTEFACTOS]])</f>
        <v>0</v>
      </c>
      <c r="BU631" s="3">
        <f>+IF(AVANCE[[#This Row],[TABLERO]]=AF$2,100%,AVANCE[[#This Row],[TABLERO]])</f>
        <v>0</v>
      </c>
      <c r="BV631" s="3">
        <f>+IF(AVANCE[[#This Row],[CAJA PAU]]=AG$2,100%,AVANCE[[#This Row],[CAJA PAU]])</f>
        <v>0</v>
      </c>
      <c r="BW631" s="3">
        <f>+IF(AVANCE[[#This Row],[INSTALACION VINILICO]]=AJ$2,100%,AVANCE[[#This Row],[INSTALACION VINILICO]])</f>
        <v>0</v>
      </c>
      <c r="BX631" s="3">
        <f>+IF(AVANCE[[#This Row],[OSB CUBIERTA]]=AK$2,100%,AVANCE[[#This Row],[OSB CUBIERTA]])</f>
        <v>0</v>
      </c>
      <c r="BY631" s="3">
        <f>+IF(AVANCE[[#This Row],[BARANDA BALCON]]=AL$2,100%,AVANCE[[#This Row],[BARANDA BALCON]])</f>
        <v>0</v>
      </c>
      <c r="BZ631" s="3">
        <f>+IF(AVANCE[[#This Row],[OSB EXTERIOR]]=AM$2,100%,AVANCE[[#This Row],[OSB EXTERIOR]])</f>
        <v>0</v>
      </c>
      <c r="CA631" s="3">
        <f>+IF(AVANCE[[#This Row],[SMART PANEL]]=AN$2,100%,AVANCE[[#This Row],[SMART PANEL]])</f>
        <v>0</v>
      </c>
      <c r="CB631" s="3">
        <f>+IF(AVANCE[[#This Row],[PINTURA EXTERIOR]]=AO$2,100%,AVANCE[[#This Row],[PINTURA EXTERIOR]])</f>
        <v>0</v>
      </c>
      <c r="CC631" s="3">
        <f>+IF(AVANCE[[#This Row],[ZOCALOS LOGIA]]=AP$2,100%,AVANCE[[#This Row],[ZOCALOS LOGIA]])</f>
        <v>0</v>
      </c>
      <c r="CD631" s="3">
        <f>+IF(AVANCE[[#This Row],[MOLDURAS]]=AQ$2,100%,AVANCE[[#This Row],[MOLDURAS]])</f>
        <v>0</v>
      </c>
      <c r="CE631" s="3">
        <f>+IF(AVANCE[[#This Row],[PILASTREO]]=AR$2,100%,AVANCE[[#This Row],[PILASTREO]])</f>
        <v>0</v>
      </c>
      <c r="CF631" s="3">
        <f>+IF(AVANCE[[#This Row],[CELOSIAS]]=AS$2,100%,AVANCE[[#This Row],[CELOSIAS]])</f>
        <v>0</v>
      </c>
      <c r="CG631" s="3">
        <f>+IF(AVANCE[[#This Row],[VENTANAS]]=AT$2,100%,AVANCE[[#This Row],[VENTANAS]])</f>
        <v>0</v>
      </c>
      <c r="CH631" s="3">
        <f>+IF(AVANCE[[#This Row],[PUERTAS ACCESO - LOGIA - BANO]]=AU$2,100%,AVANCE[[#This Row],[PUERTAS ACCESO - LOGIA - BANO]])</f>
        <v>0</v>
      </c>
      <c r="CI631" s="3">
        <f>+IF(AVANCE[[#This Row],[CERRADURAS]]=AV$2,100%,AVANCE[[#This Row],[CERRADURAS]])</f>
        <v>0</v>
      </c>
      <c r="CJ631" s="3">
        <f>+IF(AVANCE[[#This Row],[REVESTIMIENTO INTERIOR ZONA SECA]]=AW$2,100%,AVANCE[[#This Row],[REVESTIMIENTO INTERIOR ZONA SECA]])</f>
        <v>0</v>
      </c>
      <c r="CK631" s="3">
        <f>+IF(AVANCE[[#This Row],[REVESTIMIENTO INTERIOR ZONAS HUMEDAS]]=AX$2,100%,AVANCE[[#This Row],[REVESTIMIENTO INTERIOR ZONAS HUMEDAS]])</f>
        <v>0</v>
      </c>
      <c r="CL631" s="3">
        <f>+IF(AVANCE[[#This Row],[MEMBRANA CIELO]]=AY$2,100%,AVANCE[[#This Row],[MEMBRANA CIELO]])</f>
        <v>0</v>
      </c>
      <c r="CM631" s="3">
        <f>+IF(AVANCE[[#This Row],[LIMPIEZA FINAL]]=AZ$2,100%,AVANCE[[#This Row],[LIMPIEZA FINAL]])</f>
        <v>0</v>
      </c>
      <c r="CN631" s="3">
        <f>+IF(AVANCE[[#This Row],[PUERTAS DORMITORIO]]=BA$2,100%,AVANCE[[#This Row],[PUERTAS DORMITORIO]])</f>
        <v>0</v>
      </c>
      <c r="CO631" s="3">
        <f>+IF(AVANCE[[#This Row],[REVESTIMIENTO INTERIOR BANO]]=BB$2,100%,AVANCE[[#This Row],[REVESTIMIENTO INTERIOR BANO]])</f>
        <v>0</v>
      </c>
      <c r="CP631" s="3">
        <f>+IF(AVANCE[[#This Row],[MUEBLE LAVAPLATOS]]=BC$2,100%,AVANCE[[#This Row],[MUEBLE LAVAPLATOS]])</f>
        <v>0</v>
      </c>
      <c r="CQ631" s="3">
        <f>+IF(AVANCE[[#This Row],[IMPERMEABILIZACION BANO - COCINA LOGIA]]=BD$2,100%,AVANCE[[#This Row],[IMPERMEABILIZACION BANO - COCINA LOGIA]])</f>
        <v>0</v>
      </c>
      <c r="CR631" s="40">
        <f ca="1">+IF(AVANCE[[#This Row],[ESTADO MODULO]]="PENDIENTE",(TODAY()-AVANCE[[#This Row],[FECHA TERMINO  PLANIFICADO]]),0)</f>
        <v>0</v>
      </c>
      <c r="CS631" s="42" t="str" cm="1">
        <f t="array" ref="CS631">_xlfn.TEXTJOIN(" | ",TRUE,IF(SUMPRODUCT((BF631:CQ631&lt;1)*(PARTIDAS!$I$2:$AT$2="OBRA GRUESA"))&gt;0,"OBRA GRUESA: "&amp;_xlfn.TEXTJOIN(", ",TRUE,IF((BF631:CQ631&lt;1)*(PARTIDAS!$I$2:$AT$2="OBRA GRUESA"),PARTIDAS!$I$1:$AT$1,"")),""),IF(SUMPRODUCT((BF631:CQ631&lt;1)*(PARTIDAS!$I$2:$AT$2="SANITARIOS"))&gt;0,"SANITARIOS: "&amp;_xlfn.TEXTJOIN(", ",TRUE,IF((BF631:CQ631&lt;1)*(PARTIDAS!$I$2:$AT$2="SANITARIOS"),PARTIDAS!$I$1:$AT$1,"")),""),IF(SUMPRODUCT((BF631:CQ631&lt;1)*(PARTIDAS!$I$2:$AT$2="ELÉCTRICO"))&gt;0,"ELÉCTRICO: "&amp;_xlfn.TEXTJOIN(", ",TRUE,IF((BF631:CQ631&lt;1)*(PARTIDAS!$I$2:$AT$2="ELÉCTRICO"),PARTIDAS!$I$1:$AT$1,"")),""),IF(SUMPRODUCT((BF631:CQ631&lt;1)*(PARTIDAS!$I$2:$AT$2="TERMINACIONES"))&gt;0,"TERMINACIONES: "&amp;_xlfn.TEXTJOIN(", ",TRUE,IF((BF631:CQ631&lt;1)*(PARTIDAS!$I$2:$AT$2="TERMINACIONES"),PARTIDAS!$I$1:$AT$1,"")),""))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1" s="45" t="str" cm="1">
        <f t="array" ref="CT631">_xlfn.TEXTJOIN(", ",TRUE,IF(SUMPRODUCT((BF631:CQ631&lt;1)*(PARTIDAS!$I$2:$AT$2="OBRA GRUESA"))&gt;0,"OBRA GRUESA",""),IF(SUMPRODUCT((BF631:CQ631&lt;1)*(PARTIDAS!$I$2:$AT$2="SANITARIOS"))&gt;0,"SANITARIOS",""),IF(SUMPRODUCT((BF631:CQ631&lt;1)*(PARTIDAS!$I$2:$AT$2="ELÉCTRICO"))&gt;0,"ELÉCTRICO",""),IF(SUMPRODUCT((BF631:CQ631&lt;1)*(PARTIDAS!$I$2:$AT$2="TERMINACIONES"))&gt;0,"TERMINACIONES",""))</f>
        <v>OBRA GRUESA, SANITARIOS, ELÉCTRICO, TERMINACIONES</v>
      </c>
      <c r="CU631" s="46" cm="1">
        <f t="array" ref="CU631">SUMPRODUCT(--(BF631:CQ631&lt;1))</f>
        <v>38</v>
      </c>
    </row>
    <row r="632" spans="1:99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46181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 s="3" t="str">
        <f>+IF(AVANCE[[#This Row],[% AVANCE]]=100%,"MODULO TERMINADO",IF(AVANCE[[#This Row],[FECHA INICIO REAL]]="","MODULO NO INICIADO","PENDIENTE"))</f>
        <v>MODULO NO INICIADO</v>
      </c>
      <c r="BF632" s="3">
        <f>+IF(AVANCE[[#This Row],[VENTANAS]]=8.10810810810811%,100%,AVANCE[[#This Row],[VENTANAS]])</f>
        <v>0</v>
      </c>
      <c r="BG632" s="3">
        <f>+IF(AVANCE[[#This Row],[PISO]]=N$2,100%,AVANCE[[#This Row],[PISO]])</f>
        <v>0</v>
      </c>
      <c r="BH632" s="3">
        <f>+IF(AVANCE[[#This Row],[TABIQUES]]=O$2,100%,AVANCE[[#This Row],[TABIQUES]])</f>
        <v>0</v>
      </c>
      <c r="BI632" s="3">
        <f>+IF(AVANCE[[#This Row],[MUROS]]=P$2,100%,AVANCE[[#This Row],[MUROS]])</f>
        <v>0</v>
      </c>
      <c r="BJ632" s="3">
        <f>+IF(AVANCE[[#This Row],[CIELO]]=Q$2,100%,AVANCE[[#This Row],[CIELO]])</f>
        <v>0</v>
      </c>
      <c r="BK632" s="3">
        <f>+IF(AVANCE[[#This Row],[BALCÓN]]=R$2,100%,AVANCE[[#This Row],[BALCÓN]])</f>
        <v>0</v>
      </c>
      <c r="BL632" s="3">
        <f>+IF(AVANCE[[#This Row],[RED ALCANTARILLADO]]=U$2,100%,AVANCE[[#This Row],[RED ALCANTARILLADO]])</f>
        <v>0</v>
      </c>
      <c r="BM632" s="3">
        <f>+IF(AVANCE[[#This Row],[RED DE AGUA]]=V$2,100%,AVANCE[[#This Row],[RED DE AGUA]])</f>
        <v>0</v>
      </c>
      <c r="BN632" s="3">
        <f>+IF(AVANCE[[#This Row],[VENTILACIONES]]=W$2,100%,AVANCE[[#This Row],[VENTILACIONES]])</f>
        <v>0</v>
      </c>
      <c r="BO632" s="3">
        <f>+IF(AVANCE[[#This Row],[TINA]]=X$2,100%,AVANCE[[#This Row],[TINA]])</f>
        <v>0</v>
      </c>
      <c r="BP632" s="3">
        <f>+IF(AVANCE[[#This Row],[WC]]=Y$2,100%,AVANCE[[#This Row],[WC]])</f>
        <v>0</v>
      </c>
      <c r="BQ632" s="3">
        <f>+IF(AVANCE[[#This Row],[LAVAMANOS / LAVAPLATOS / LAVADERO]]=Z$2,100%,AVANCE[[#This Row],[LAVAMANOS / LAVAPLATOS / LAVADERO]])</f>
        <v>0</v>
      </c>
      <c r="BR632" s="3">
        <f>+IF(AVANCE[[#This Row],[CANALIZACIÓN]]=AC$2,100%,AVANCE[[#This Row],[CANALIZACIÓN]])</f>
        <v>0</v>
      </c>
      <c r="BS632" s="3">
        <f>+IF(AVANCE[[#This Row],[CABLEADO]]=AD$2,100%,AVANCE[[#This Row],[CABLEADO]])</f>
        <v>0</v>
      </c>
      <c r="BT632" s="3">
        <f>+IF(AVANCE[[#This Row],[ARTEFACTOS]]=AE$2,100%,AVANCE[[#This Row],[ARTEFACTOS]])</f>
        <v>0</v>
      </c>
      <c r="BU632" s="3">
        <f>+IF(AVANCE[[#This Row],[TABLERO]]=AF$2,100%,AVANCE[[#This Row],[TABLERO]])</f>
        <v>0</v>
      </c>
      <c r="BV632" s="3">
        <f>+IF(AVANCE[[#This Row],[CAJA PAU]]=AG$2,100%,AVANCE[[#This Row],[CAJA PAU]])</f>
        <v>0</v>
      </c>
      <c r="BW632" s="3">
        <f>+IF(AVANCE[[#This Row],[INSTALACION VINILICO]]=AJ$2,100%,AVANCE[[#This Row],[INSTALACION VINILICO]])</f>
        <v>0</v>
      </c>
      <c r="BX632" s="3">
        <f>+IF(AVANCE[[#This Row],[OSB CUBIERTA]]=AK$2,100%,AVANCE[[#This Row],[OSB CUBIERTA]])</f>
        <v>0</v>
      </c>
      <c r="BY632" s="3">
        <f>+IF(AVANCE[[#This Row],[BARANDA BALCON]]=AL$2,100%,AVANCE[[#This Row],[BARANDA BALCON]])</f>
        <v>0</v>
      </c>
      <c r="BZ632" s="3">
        <f>+IF(AVANCE[[#This Row],[OSB EXTERIOR]]=AM$2,100%,AVANCE[[#This Row],[OSB EXTERIOR]])</f>
        <v>0</v>
      </c>
      <c r="CA632" s="3">
        <f>+IF(AVANCE[[#This Row],[SMART PANEL]]=AN$2,100%,AVANCE[[#This Row],[SMART PANEL]])</f>
        <v>0</v>
      </c>
      <c r="CB632" s="3">
        <f>+IF(AVANCE[[#This Row],[PINTURA EXTERIOR]]=AO$2,100%,AVANCE[[#This Row],[PINTURA EXTERIOR]])</f>
        <v>0</v>
      </c>
      <c r="CC632" s="3">
        <f>+IF(AVANCE[[#This Row],[ZOCALOS LOGIA]]=AP$2,100%,AVANCE[[#This Row],[ZOCALOS LOGIA]])</f>
        <v>0</v>
      </c>
      <c r="CD632" s="3">
        <f>+IF(AVANCE[[#This Row],[MOLDURAS]]=AQ$2,100%,AVANCE[[#This Row],[MOLDURAS]])</f>
        <v>0</v>
      </c>
      <c r="CE632" s="3">
        <f>+IF(AVANCE[[#This Row],[PILASTREO]]=AR$2,100%,AVANCE[[#This Row],[PILASTREO]])</f>
        <v>0</v>
      </c>
      <c r="CF632" s="3">
        <f>+IF(AVANCE[[#This Row],[CELOSIAS]]=AS$2,100%,AVANCE[[#This Row],[CELOSIAS]])</f>
        <v>0</v>
      </c>
      <c r="CG632" s="3">
        <f>+IF(AVANCE[[#This Row],[VENTANAS]]=AT$2,100%,AVANCE[[#This Row],[VENTANAS]])</f>
        <v>0</v>
      </c>
      <c r="CH632" s="3">
        <f>+IF(AVANCE[[#This Row],[PUERTAS ACCESO - LOGIA - BANO]]=AU$2,100%,AVANCE[[#This Row],[PUERTAS ACCESO - LOGIA - BANO]])</f>
        <v>0</v>
      </c>
      <c r="CI632" s="3">
        <f>+IF(AVANCE[[#This Row],[CERRADURAS]]=AV$2,100%,AVANCE[[#This Row],[CERRADURAS]])</f>
        <v>0</v>
      </c>
      <c r="CJ632" s="3">
        <f>+IF(AVANCE[[#This Row],[REVESTIMIENTO INTERIOR ZONA SECA]]=AW$2,100%,AVANCE[[#This Row],[REVESTIMIENTO INTERIOR ZONA SECA]])</f>
        <v>0</v>
      </c>
      <c r="CK632" s="3">
        <f>+IF(AVANCE[[#This Row],[REVESTIMIENTO INTERIOR ZONAS HUMEDAS]]=AX$2,100%,AVANCE[[#This Row],[REVESTIMIENTO INTERIOR ZONAS HUMEDAS]])</f>
        <v>0</v>
      </c>
      <c r="CL632" s="3">
        <f>+IF(AVANCE[[#This Row],[MEMBRANA CIELO]]=AY$2,100%,AVANCE[[#This Row],[MEMBRANA CIELO]])</f>
        <v>0</v>
      </c>
      <c r="CM632" s="3">
        <f>+IF(AVANCE[[#This Row],[LIMPIEZA FINAL]]=AZ$2,100%,AVANCE[[#This Row],[LIMPIEZA FINAL]])</f>
        <v>0</v>
      </c>
      <c r="CN632" s="3">
        <f>+IF(AVANCE[[#This Row],[PUERTAS DORMITORIO]]=BA$2,100%,AVANCE[[#This Row],[PUERTAS DORMITORIO]])</f>
        <v>0</v>
      </c>
      <c r="CO632" s="3">
        <f>+IF(AVANCE[[#This Row],[REVESTIMIENTO INTERIOR BANO]]=BB$2,100%,AVANCE[[#This Row],[REVESTIMIENTO INTERIOR BANO]])</f>
        <v>0</v>
      </c>
      <c r="CP632" s="3">
        <f>+IF(AVANCE[[#This Row],[MUEBLE LAVAPLATOS]]=BC$2,100%,AVANCE[[#This Row],[MUEBLE LAVAPLATOS]])</f>
        <v>0</v>
      </c>
      <c r="CQ632" s="3">
        <f>+IF(AVANCE[[#This Row],[IMPERMEABILIZACION BANO - COCINA LOGIA]]=BD$2,100%,AVANCE[[#This Row],[IMPERMEABILIZACION BANO - COCINA LOGIA]])</f>
        <v>0</v>
      </c>
      <c r="CR632" s="40">
        <f ca="1">+IF(AVANCE[[#This Row],[ESTADO MODULO]]="PENDIENTE",(TODAY()-AVANCE[[#This Row],[FECHA TERMINO  PLANIFICADO]]),0)</f>
        <v>0</v>
      </c>
      <c r="CS632" s="42" t="str" cm="1">
        <f t="array" ref="CS632">_xlfn.TEXTJOIN(" | ",TRUE,IF(SUMPRODUCT((BF632:CQ632&lt;1)*(PARTIDAS!$I$2:$AT$2="OBRA GRUESA"))&gt;0,"OBRA GRUESA: "&amp;_xlfn.TEXTJOIN(", ",TRUE,IF((BF632:CQ632&lt;1)*(PARTIDAS!$I$2:$AT$2="OBRA GRUESA"),PARTIDAS!$I$1:$AT$1,"")),""),IF(SUMPRODUCT((BF632:CQ632&lt;1)*(PARTIDAS!$I$2:$AT$2="SANITARIOS"))&gt;0,"SANITARIOS: "&amp;_xlfn.TEXTJOIN(", ",TRUE,IF((BF632:CQ632&lt;1)*(PARTIDAS!$I$2:$AT$2="SANITARIOS"),PARTIDAS!$I$1:$AT$1,"")),""),IF(SUMPRODUCT((BF632:CQ632&lt;1)*(PARTIDAS!$I$2:$AT$2="ELÉCTRICO"))&gt;0,"ELÉCTRICO: "&amp;_xlfn.TEXTJOIN(", ",TRUE,IF((BF632:CQ632&lt;1)*(PARTIDAS!$I$2:$AT$2="ELÉCTRICO"),PARTIDAS!$I$1:$AT$1,"")),""),IF(SUMPRODUCT((BF632:CQ632&lt;1)*(PARTIDAS!$I$2:$AT$2="TERMINACIONES"))&gt;0,"TERMINACIONES: "&amp;_xlfn.TEXTJOIN(", ",TRUE,IF((BF632:CQ632&lt;1)*(PARTIDAS!$I$2:$AT$2="TERMINACIONES"),PARTIDAS!$I$1:$AT$1,"")),""))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2" s="45" t="str" cm="1">
        <f t="array" ref="CT632">_xlfn.TEXTJOIN(", ",TRUE,IF(SUMPRODUCT((BF632:CQ632&lt;1)*(PARTIDAS!$I$2:$AT$2="OBRA GRUESA"))&gt;0,"OBRA GRUESA",""),IF(SUMPRODUCT((BF632:CQ632&lt;1)*(PARTIDAS!$I$2:$AT$2="SANITARIOS"))&gt;0,"SANITARIOS",""),IF(SUMPRODUCT((BF632:CQ632&lt;1)*(PARTIDAS!$I$2:$AT$2="ELÉCTRICO"))&gt;0,"ELÉCTRICO",""),IF(SUMPRODUCT((BF632:CQ632&lt;1)*(PARTIDAS!$I$2:$AT$2="TERMINACIONES"))&gt;0,"TERMINACIONES",""))</f>
        <v>OBRA GRUESA, SANITARIOS, ELÉCTRICO, TERMINACIONES</v>
      </c>
      <c r="CU632" s="46" cm="1">
        <f t="array" ref="CU632">SUMPRODUCT(--(BF632:CQ632&lt;1))</f>
        <v>38</v>
      </c>
    </row>
    <row r="633" spans="1:99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46181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 s="3" t="str">
        <f>+IF(AVANCE[[#This Row],[% AVANCE]]=100%,"MODULO TERMINADO",IF(AVANCE[[#This Row],[FECHA INICIO REAL]]="","MODULO NO INICIADO","PENDIENTE"))</f>
        <v>MODULO NO INICIADO</v>
      </c>
      <c r="BF633" s="3">
        <f>+IF(AVANCE[[#This Row],[VENTANAS]]=8.10810810810811%,100%,AVANCE[[#This Row],[VENTANAS]])</f>
        <v>0</v>
      </c>
      <c r="BG633" s="3">
        <f>+IF(AVANCE[[#This Row],[PISO]]=N$2,100%,AVANCE[[#This Row],[PISO]])</f>
        <v>0</v>
      </c>
      <c r="BH633" s="3">
        <f>+IF(AVANCE[[#This Row],[TABIQUES]]=O$2,100%,AVANCE[[#This Row],[TABIQUES]])</f>
        <v>0</v>
      </c>
      <c r="BI633" s="3">
        <f>+IF(AVANCE[[#This Row],[MUROS]]=P$2,100%,AVANCE[[#This Row],[MUROS]])</f>
        <v>0</v>
      </c>
      <c r="BJ633" s="3">
        <f>+IF(AVANCE[[#This Row],[CIELO]]=Q$2,100%,AVANCE[[#This Row],[CIELO]])</f>
        <v>0</v>
      </c>
      <c r="BK633" s="3">
        <f>+IF(AVANCE[[#This Row],[BALCÓN]]=R$2,100%,AVANCE[[#This Row],[BALCÓN]])</f>
        <v>0</v>
      </c>
      <c r="BL633" s="3">
        <f>+IF(AVANCE[[#This Row],[RED ALCANTARILLADO]]=U$2,100%,AVANCE[[#This Row],[RED ALCANTARILLADO]])</f>
        <v>0</v>
      </c>
      <c r="BM633" s="3">
        <f>+IF(AVANCE[[#This Row],[RED DE AGUA]]=V$2,100%,AVANCE[[#This Row],[RED DE AGUA]])</f>
        <v>0</v>
      </c>
      <c r="BN633" s="3">
        <f>+IF(AVANCE[[#This Row],[VENTILACIONES]]=W$2,100%,AVANCE[[#This Row],[VENTILACIONES]])</f>
        <v>0</v>
      </c>
      <c r="BO633" s="3">
        <f>+IF(AVANCE[[#This Row],[TINA]]=X$2,100%,AVANCE[[#This Row],[TINA]])</f>
        <v>0</v>
      </c>
      <c r="BP633" s="3">
        <f>+IF(AVANCE[[#This Row],[WC]]=Y$2,100%,AVANCE[[#This Row],[WC]])</f>
        <v>0</v>
      </c>
      <c r="BQ633" s="3">
        <f>+IF(AVANCE[[#This Row],[LAVAMANOS / LAVAPLATOS / LAVADERO]]=Z$2,100%,AVANCE[[#This Row],[LAVAMANOS / LAVAPLATOS / LAVADERO]])</f>
        <v>0</v>
      </c>
      <c r="BR633" s="3">
        <f>+IF(AVANCE[[#This Row],[CANALIZACIÓN]]=AC$2,100%,AVANCE[[#This Row],[CANALIZACIÓN]])</f>
        <v>0</v>
      </c>
      <c r="BS633" s="3">
        <f>+IF(AVANCE[[#This Row],[CABLEADO]]=AD$2,100%,AVANCE[[#This Row],[CABLEADO]])</f>
        <v>0</v>
      </c>
      <c r="BT633" s="3">
        <f>+IF(AVANCE[[#This Row],[ARTEFACTOS]]=AE$2,100%,AVANCE[[#This Row],[ARTEFACTOS]])</f>
        <v>0</v>
      </c>
      <c r="BU633" s="3">
        <f>+IF(AVANCE[[#This Row],[TABLERO]]=AF$2,100%,AVANCE[[#This Row],[TABLERO]])</f>
        <v>0</v>
      </c>
      <c r="BV633" s="3">
        <f>+IF(AVANCE[[#This Row],[CAJA PAU]]=AG$2,100%,AVANCE[[#This Row],[CAJA PAU]])</f>
        <v>0</v>
      </c>
      <c r="BW633" s="3">
        <f>+IF(AVANCE[[#This Row],[INSTALACION VINILICO]]=AJ$2,100%,AVANCE[[#This Row],[INSTALACION VINILICO]])</f>
        <v>0</v>
      </c>
      <c r="BX633" s="3">
        <f>+IF(AVANCE[[#This Row],[OSB CUBIERTA]]=AK$2,100%,AVANCE[[#This Row],[OSB CUBIERTA]])</f>
        <v>0</v>
      </c>
      <c r="BY633" s="3">
        <f>+IF(AVANCE[[#This Row],[BARANDA BALCON]]=AL$2,100%,AVANCE[[#This Row],[BARANDA BALCON]])</f>
        <v>0</v>
      </c>
      <c r="BZ633" s="3">
        <f>+IF(AVANCE[[#This Row],[OSB EXTERIOR]]=AM$2,100%,AVANCE[[#This Row],[OSB EXTERIOR]])</f>
        <v>0</v>
      </c>
      <c r="CA633" s="3">
        <f>+IF(AVANCE[[#This Row],[SMART PANEL]]=AN$2,100%,AVANCE[[#This Row],[SMART PANEL]])</f>
        <v>0</v>
      </c>
      <c r="CB633" s="3">
        <f>+IF(AVANCE[[#This Row],[PINTURA EXTERIOR]]=AO$2,100%,AVANCE[[#This Row],[PINTURA EXTERIOR]])</f>
        <v>0</v>
      </c>
      <c r="CC633" s="3">
        <f>+IF(AVANCE[[#This Row],[ZOCALOS LOGIA]]=AP$2,100%,AVANCE[[#This Row],[ZOCALOS LOGIA]])</f>
        <v>0</v>
      </c>
      <c r="CD633" s="3">
        <f>+IF(AVANCE[[#This Row],[MOLDURAS]]=AQ$2,100%,AVANCE[[#This Row],[MOLDURAS]])</f>
        <v>0</v>
      </c>
      <c r="CE633" s="3">
        <f>+IF(AVANCE[[#This Row],[PILASTREO]]=AR$2,100%,AVANCE[[#This Row],[PILASTREO]])</f>
        <v>0</v>
      </c>
      <c r="CF633" s="3">
        <f>+IF(AVANCE[[#This Row],[CELOSIAS]]=AS$2,100%,AVANCE[[#This Row],[CELOSIAS]])</f>
        <v>0</v>
      </c>
      <c r="CG633" s="3">
        <f>+IF(AVANCE[[#This Row],[VENTANAS]]=AT$2,100%,AVANCE[[#This Row],[VENTANAS]])</f>
        <v>0</v>
      </c>
      <c r="CH633" s="3">
        <f>+IF(AVANCE[[#This Row],[PUERTAS ACCESO - LOGIA - BANO]]=AU$2,100%,AVANCE[[#This Row],[PUERTAS ACCESO - LOGIA - BANO]])</f>
        <v>0</v>
      </c>
      <c r="CI633" s="3">
        <f>+IF(AVANCE[[#This Row],[CERRADURAS]]=AV$2,100%,AVANCE[[#This Row],[CERRADURAS]])</f>
        <v>0</v>
      </c>
      <c r="CJ633" s="3">
        <f>+IF(AVANCE[[#This Row],[REVESTIMIENTO INTERIOR ZONA SECA]]=AW$2,100%,AVANCE[[#This Row],[REVESTIMIENTO INTERIOR ZONA SECA]])</f>
        <v>0</v>
      </c>
      <c r="CK633" s="3">
        <f>+IF(AVANCE[[#This Row],[REVESTIMIENTO INTERIOR ZONAS HUMEDAS]]=AX$2,100%,AVANCE[[#This Row],[REVESTIMIENTO INTERIOR ZONAS HUMEDAS]])</f>
        <v>0</v>
      </c>
      <c r="CL633" s="3">
        <f>+IF(AVANCE[[#This Row],[MEMBRANA CIELO]]=AY$2,100%,AVANCE[[#This Row],[MEMBRANA CIELO]])</f>
        <v>0</v>
      </c>
      <c r="CM633" s="3">
        <f>+IF(AVANCE[[#This Row],[LIMPIEZA FINAL]]=AZ$2,100%,AVANCE[[#This Row],[LIMPIEZA FINAL]])</f>
        <v>0</v>
      </c>
      <c r="CN633" s="3">
        <f>+IF(AVANCE[[#This Row],[PUERTAS DORMITORIO]]=BA$2,100%,AVANCE[[#This Row],[PUERTAS DORMITORIO]])</f>
        <v>0</v>
      </c>
      <c r="CO633" s="3">
        <f>+IF(AVANCE[[#This Row],[REVESTIMIENTO INTERIOR BANO]]=BB$2,100%,AVANCE[[#This Row],[REVESTIMIENTO INTERIOR BANO]])</f>
        <v>0</v>
      </c>
      <c r="CP633" s="3">
        <f>+IF(AVANCE[[#This Row],[MUEBLE LAVAPLATOS]]=BC$2,100%,AVANCE[[#This Row],[MUEBLE LAVAPLATOS]])</f>
        <v>0</v>
      </c>
      <c r="CQ633" s="3">
        <f>+IF(AVANCE[[#This Row],[IMPERMEABILIZACION BANO - COCINA LOGIA]]=BD$2,100%,AVANCE[[#This Row],[IMPERMEABILIZACION BANO - COCINA LOGIA]])</f>
        <v>0</v>
      </c>
      <c r="CR633" s="40">
        <f ca="1">+IF(AVANCE[[#This Row],[ESTADO MODULO]]="PENDIENTE",(TODAY()-AVANCE[[#This Row],[FECHA TERMINO  PLANIFICADO]]),0)</f>
        <v>0</v>
      </c>
      <c r="CS633" s="42" t="str" cm="1">
        <f t="array" ref="CS633">_xlfn.TEXTJOIN(" | ",TRUE,IF(SUMPRODUCT((BF633:CQ633&lt;1)*(PARTIDAS!$I$2:$AT$2="OBRA GRUESA"))&gt;0,"OBRA GRUESA: "&amp;_xlfn.TEXTJOIN(", ",TRUE,IF((BF633:CQ633&lt;1)*(PARTIDAS!$I$2:$AT$2="OBRA GRUESA"),PARTIDAS!$I$1:$AT$1,"")),""),IF(SUMPRODUCT((BF633:CQ633&lt;1)*(PARTIDAS!$I$2:$AT$2="SANITARIOS"))&gt;0,"SANITARIOS: "&amp;_xlfn.TEXTJOIN(", ",TRUE,IF((BF633:CQ633&lt;1)*(PARTIDAS!$I$2:$AT$2="SANITARIOS"),PARTIDAS!$I$1:$AT$1,"")),""),IF(SUMPRODUCT((BF633:CQ633&lt;1)*(PARTIDAS!$I$2:$AT$2="ELÉCTRICO"))&gt;0,"ELÉCTRICO: "&amp;_xlfn.TEXTJOIN(", ",TRUE,IF((BF633:CQ633&lt;1)*(PARTIDAS!$I$2:$AT$2="ELÉCTRICO"),PARTIDAS!$I$1:$AT$1,"")),""),IF(SUMPRODUCT((BF633:CQ633&lt;1)*(PARTIDAS!$I$2:$AT$2="TERMINACIONES"))&gt;0,"TERMINACIONES: "&amp;_xlfn.TEXTJOIN(", ",TRUE,IF((BF633:CQ633&lt;1)*(PARTIDAS!$I$2:$AT$2="TERMINACIONES"),PARTIDAS!$I$1:$AT$1,"")),""))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3" s="45" t="str" cm="1">
        <f t="array" ref="CT633">_xlfn.TEXTJOIN(", ",TRUE,IF(SUMPRODUCT((BF633:CQ633&lt;1)*(PARTIDAS!$I$2:$AT$2="OBRA GRUESA"))&gt;0,"OBRA GRUESA",""),IF(SUMPRODUCT((BF633:CQ633&lt;1)*(PARTIDAS!$I$2:$AT$2="SANITARIOS"))&gt;0,"SANITARIOS",""),IF(SUMPRODUCT((BF633:CQ633&lt;1)*(PARTIDAS!$I$2:$AT$2="ELÉCTRICO"))&gt;0,"ELÉCTRICO",""),IF(SUMPRODUCT((BF633:CQ633&lt;1)*(PARTIDAS!$I$2:$AT$2="TERMINACIONES"))&gt;0,"TERMINACIONES",""))</f>
        <v>OBRA GRUESA, SANITARIOS, ELÉCTRICO, TERMINACIONES</v>
      </c>
      <c r="CU633" s="46" cm="1">
        <f t="array" ref="CU633">SUMPRODUCT(--(BF633:CQ633&lt;1))</f>
        <v>38</v>
      </c>
    </row>
    <row r="634" spans="1:99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46181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 s="3" t="str">
        <f>+IF(AVANCE[[#This Row],[% AVANCE]]=100%,"MODULO TERMINADO",IF(AVANCE[[#This Row],[FECHA INICIO REAL]]="","MODULO NO INICIADO","PENDIENTE"))</f>
        <v>MODULO NO INICIADO</v>
      </c>
      <c r="BF634" s="3">
        <f>+IF(AVANCE[[#This Row],[VENTANAS]]=8.10810810810811%,100%,AVANCE[[#This Row],[VENTANAS]])</f>
        <v>0</v>
      </c>
      <c r="BG634" s="3">
        <f>+IF(AVANCE[[#This Row],[PISO]]=N$2,100%,AVANCE[[#This Row],[PISO]])</f>
        <v>0</v>
      </c>
      <c r="BH634" s="3">
        <f>+IF(AVANCE[[#This Row],[TABIQUES]]=O$2,100%,AVANCE[[#This Row],[TABIQUES]])</f>
        <v>0</v>
      </c>
      <c r="BI634" s="3">
        <f>+IF(AVANCE[[#This Row],[MUROS]]=P$2,100%,AVANCE[[#This Row],[MUROS]])</f>
        <v>0</v>
      </c>
      <c r="BJ634" s="3">
        <f>+IF(AVANCE[[#This Row],[CIELO]]=Q$2,100%,AVANCE[[#This Row],[CIELO]])</f>
        <v>0</v>
      </c>
      <c r="BK634" s="3">
        <f>+IF(AVANCE[[#This Row],[BALCÓN]]=R$2,100%,AVANCE[[#This Row],[BALCÓN]])</f>
        <v>0</v>
      </c>
      <c r="BL634" s="3">
        <f>+IF(AVANCE[[#This Row],[RED ALCANTARILLADO]]=U$2,100%,AVANCE[[#This Row],[RED ALCANTARILLADO]])</f>
        <v>0</v>
      </c>
      <c r="BM634" s="3">
        <f>+IF(AVANCE[[#This Row],[RED DE AGUA]]=V$2,100%,AVANCE[[#This Row],[RED DE AGUA]])</f>
        <v>0</v>
      </c>
      <c r="BN634" s="3">
        <f>+IF(AVANCE[[#This Row],[VENTILACIONES]]=W$2,100%,AVANCE[[#This Row],[VENTILACIONES]])</f>
        <v>0</v>
      </c>
      <c r="BO634" s="3">
        <f>+IF(AVANCE[[#This Row],[TINA]]=X$2,100%,AVANCE[[#This Row],[TINA]])</f>
        <v>0</v>
      </c>
      <c r="BP634" s="3">
        <f>+IF(AVANCE[[#This Row],[WC]]=Y$2,100%,AVANCE[[#This Row],[WC]])</f>
        <v>0</v>
      </c>
      <c r="BQ634" s="3">
        <f>+IF(AVANCE[[#This Row],[LAVAMANOS / LAVAPLATOS / LAVADERO]]=Z$2,100%,AVANCE[[#This Row],[LAVAMANOS / LAVAPLATOS / LAVADERO]])</f>
        <v>0</v>
      </c>
      <c r="BR634" s="3">
        <f>+IF(AVANCE[[#This Row],[CANALIZACIÓN]]=AC$2,100%,AVANCE[[#This Row],[CANALIZACIÓN]])</f>
        <v>0</v>
      </c>
      <c r="BS634" s="3">
        <f>+IF(AVANCE[[#This Row],[CABLEADO]]=AD$2,100%,AVANCE[[#This Row],[CABLEADO]])</f>
        <v>0</v>
      </c>
      <c r="BT634" s="3">
        <f>+IF(AVANCE[[#This Row],[ARTEFACTOS]]=AE$2,100%,AVANCE[[#This Row],[ARTEFACTOS]])</f>
        <v>0</v>
      </c>
      <c r="BU634" s="3">
        <f>+IF(AVANCE[[#This Row],[TABLERO]]=AF$2,100%,AVANCE[[#This Row],[TABLERO]])</f>
        <v>0</v>
      </c>
      <c r="BV634" s="3">
        <f>+IF(AVANCE[[#This Row],[CAJA PAU]]=AG$2,100%,AVANCE[[#This Row],[CAJA PAU]])</f>
        <v>0</v>
      </c>
      <c r="BW634" s="3">
        <f>+IF(AVANCE[[#This Row],[INSTALACION VINILICO]]=AJ$2,100%,AVANCE[[#This Row],[INSTALACION VINILICO]])</f>
        <v>0</v>
      </c>
      <c r="BX634" s="3">
        <f>+IF(AVANCE[[#This Row],[OSB CUBIERTA]]=AK$2,100%,AVANCE[[#This Row],[OSB CUBIERTA]])</f>
        <v>0</v>
      </c>
      <c r="BY634" s="3">
        <f>+IF(AVANCE[[#This Row],[BARANDA BALCON]]=AL$2,100%,AVANCE[[#This Row],[BARANDA BALCON]])</f>
        <v>0</v>
      </c>
      <c r="BZ634" s="3">
        <f>+IF(AVANCE[[#This Row],[OSB EXTERIOR]]=AM$2,100%,AVANCE[[#This Row],[OSB EXTERIOR]])</f>
        <v>0</v>
      </c>
      <c r="CA634" s="3">
        <f>+IF(AVANCE[[#This Row],[SMART PANEL]]=AN$2,100%,AVANCE[[#This Row],[SMART PANEL]])</f>
        <v>0</v>
      </c>
      <c r="CB634" s="3">
        <f>+IF(AVANCE[[#This Row],[PINTURA EXTERIOR]]=AO$2,100%,AVANCE[[#This Row],[PINTURA EXTERIOR]])</f>
        <v>0</v>
      </c>
      <c r="CC634" s="3">
        <f>+IF(AVANCE[[#This Row],[ZOCALOS LOGIA]]=AP$2,100%,AVANCE[[#This Row],[ZOCALOS LOGIA]])</f>
        <v>0</v>
      </c>
      <c r="CD634" s="3">
        <f>+IF(AVANCE[[#This Row],[MOLDURAS]]=AQ$2,100%,AVANCE[[#This Row],[MOLDURAS]])</f>
        <v>0</v>
      </c>
      <c r="CE634" s="3">
        <f>+IF(AVANCE[[#This Row],[PILASTREO]]=AR$2,100%,AVANCE[[#This Row],[PILASTREO]])</f>
        <v>0</v>
      </c>
      <c r="CF634" s="3">
        <f>+IF(AVANCE[[#This Row],[CELOSIAS]]=AS$2,100%,AVANCE[[#This Row],[CELOSIAS]])</f>
        <v>0</v>
      </c>
      <c r="CG634" s="3">
        <f>+IF(AVANCE[[#This Row],[VENTANAS]]=AT$2,100%,AVANCE[[#This Row],[VENTANAS]])</f>
        <v>0</v>
      </c>
      <c r="CH634" s="3">
        <f>+IF(AVANCE[[#This Row],[PUERTAS ACCESO - LOGIA - BANO]]=AU$2,100%,AVANCE[[#This Row],[PUERTAS ACCESO - LOGIA - BANO]])</f>
        <v>0</v>
      </c>
      <c r="CI634" s="3">
        <f>+IF(AVANCE[[#This Row],[CERRADURAS]]=AV$2,100%,AVANCE[[#This Row],[CERRADURAS]])</f>
        <v>0</v>
      </c>
      <c r="CJ634" s="3">
        <f>+IF(AVANCE[[#This Row],[REVESTIMIENTO INTERIOR ZONA SECA]]=AW$2,100%,AVANCE[[#This Row],[REVESTIMIENTO INTERIOR ZONA SECA]])</f>
        <v>0</v>
      </c>
      <c r="CK634" s="3">
        <f>+IF(AVANCE[[#This Row],[REVESTIMIENTO INTERIOR ZONAS HUMEDAS]]=AX$2,100%,AVANCE[[#This Row],[REVESTIMIENTO INTERIOR ZONAS HUMEDAS]])</f>
        <v>0</v>
      </c>
      <c r="CL634" s="3">
        <f>+IF(AVANCE[[#This Row],[MEMBRANA CIELO]]=AY$2,100%,AVANCE[[#This Row],[MEMBRANA CIELO]])</f>
        <v>0</v>
      </c>
      <c r="CM634" s="3">
        <f>+IF(AVANCE[[#This Row],[LIMPIEZA FINAL]]=AZ$2,100%,AVANCE[[#This Row],[LIMPIEZA FINAL]])</f>
        <v>0</v>
      </c>
      <c r="CN634" s="3">
        <f>+IF(AVANCE[[#This Row],[PUERTAS DORMITORIO]]=BA$2,100%,AVANCE[[#This Row],[PUERTAS DORMITORIO]])</f>
        <v>0</v>
      </c>
      <c r="CO634" s="3">
        <f>+IF(AVANCE[[#This Row],[REVESTIMIENTO INTERIOR BANO]]=BB$2,100%,AVANCE[[#This Row],[REVESTIMIENTO INTERIOR BANO]])</f>
        <v>0</v>
      </c>
      <c r="CP634" s="3">
        <f>+IF(AVANCE[[#This Row],[MUEBLE LAVAPLATOS]]=BC$2,100%,AVANCE[[#This Row],[MUEBLE LAVAPLATOS]])</f>
        <v>0</v>
      </c>
      <c r="CQ634" s="3">
        <f>+IF(AVANCE[[#This Row],[IMPERMEABILIZACION BANO - COCINA LOGIA]]=BD$2,100%,AVANCE[[#This Row],[IMPERMEABILIZACION BANO - COCINA LOGIA]])</f>
        <v>0</v>
      </c>
      <c r="CR634" s="40">
        <f ca="1">+IF(AVANCE[[#This Row],[ESTADO MODULO]]="PENDIENTE",(TODAY()-AVANCE[[#This Row],[FECHA TERMINO  PLANIFICADO]]),0)</f>
        <v>0</v>
      </c>
      <c r="CS634" s="42" t="str" cm="1">
        <f t="array" ref="CS634">_xlfn.TEXTJOIN(" | ",TRUE,IF(SUMPRODUCT((BF634:CQ634&lt;1)*(PARTIDAS!$I$2:$AT$2="OBRA GRUESA"))&gt;0,"OBRA GRUESA: "&amp;_xlfn.TEXTJOIN(", ",TRUE,IF((BF634:CQ634&lt;1)*(PARTIDAS!$I$2:$AT$2="OBRA GRUESA"),PARTIDAS!$I$1:$AT$1,"")),""),IF(SUMPRODUCT((BF634:CQ634&lt;1)*(PARTIDAS!$I$2:$AT$2="SANITARIOS"))&gt;0,"SANITARIOS: "&amp;_xlfn.TEXTJOIN(", ",TRUE,IF((BF634:CQ634&lt;1)*(PARTIDAS!$I$2:$AT$2="SANITARIOS"),PARTIDAS!$I$1:$AT$1,"")),""),IF(SUMPRODUCT((BF634:CQ634&lt;1)*(PARTIDAS!$I$2:$AT$2="ELÉCTRICO"))&gt;0,"ELÉCTRICO: "&amp;_xlfn.TEXTJOIN(", ",TRUE,IF((BF634:CQ634&lt;1)*(PARTIDAS!$I$2:$AT$2="ELÉCTRICO"),PARTIDAS!$I$1:$AT$1,"")),""),IF(SUMPRODUCT((BF634:CQ634&lt;1)*(PARTIDAS!$I$2:$AT$2="TERMINACIONES"))&gt;0,"TERMINACIONES: "&amp;_xlfn.TEXTJOIN(", ",TRUE,IF((BF634:CQ634&lt;1)*(PARTIDAS!$I$2:$AT$2="TERMINACIONES"),PARTIDAS!$I$1:$AT$1,"")),""))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4" s="45" t="str" cm="1">
        <f t="array" ref="CT634">_xlfn.TEXTJOIN(", ",TRUE,IF(SUMPRODUCT((BF634:CQ634&lt;1)*(PARTIDAS!$I$2:$AT$2="OBRA GRUESA"))&gt;0,"OBRA GRUESA",""),IF(SUMPRODUCT((BF634:CQ634&lt;1)*(PARTIDAS!$I$2:$AT$2="SANITARIOS"))&gt;0,"SANITARIOS",""),IF(SUMPRODUCT((BF634:CQ634&lt;1)*(PARTIDAS!$I$2:$AT$2="ELÉCTRICO"))&gt;0,"ELÉCTRICO",""),IF(SUMPRODUCT((BF634:CQ634&lt;1)*(PARTIDAS!$I$2:$AT$2="TERMINACIONES"))&gt;0,"TERMINACIONES",""))</f>
        <v>OBRA GRUESA, SANITARIOS, ELÉCTRICO, TERMINACIONES</v>
      </c>
      <c r="CU634" s="46" cm="1">
        <f t="array" ref="CU634">SUMPRODUCT(--(BF634:CQ634&lt;1))</f>
        <v>38</v>
      </c>
    </row>
    <row r="635" spans="1:99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46181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 s="3" t="str">
        <f>+IF(AVANCE[[#This Row],[% AVANCE]]=100%,"MODULO TERMINADO",IF(AVANCE[[#This Row],[FECHA INICIO REAL]]="","MODULO NO INICIADO","PENDIENTE"))</f>
        <v>MODULO NO INICIADO</v>
      </c>
      <c r="BF635" s="3">
        <f>+IF(AVANCE[[#This Row],[VENTANAS]]=8.10810810810811%,100%,AVANCE[[#This Row],[VENTANAS]])</f>
        <v>0</v>
      </c>
      <c r="BG635" s="3">
        <f>+IF(AVANCE[[#This Row],[PISO]]=N$2,100%,AVANCE[[#This Row],[PISO]])</f>
        <v>0</v>
      </c>
      <c r="BH635" s="3">
        <f>+IF(AVANCE[[#This Row],[TABIQUES]]=O$2,100%,AVANCE[[#This Row],[TABIQUES]])</f>
        <v>0</v>
      </c>
      <c r="BI635" s="3">
        <f>+IF(AVANCE[[#This Row],[MUROS]]=P$2,100%,AVANCE[[#This Row],[MUROS]])</f>
        <v>0</v>
      </c>
      <c r="BJ635" s="3">
        <f>+IF(AVANCE[[#This Row],[CIELO]]=Q$2,100%,AVANCE[[#This Row],[CIELO]])</f>
        <v>0</v>
      </c>
      <c r="BK635" s="3">
        <f>+IF(AVANCE[[#This Row],[BALCÓN]]=R$2,100%,AVANCE[[#This Row],[BALCÓN]])</f>
        <v>0</v>
      </c>
      <c r="BL635" s="3">
        <f>+IF(AVANCE[[#This Row],[RED ALCANTARILLADO]]=U$2,100%,AVANCE[[#This Row],[RED ALCANTARILLADO]])</f>
        <v>0</v>
      </c>
      <c r="BM635" s="3">
        <f>+IF(AVANCE[[#This Row],[RED DE AGUA]]=V$2,100%,AVANCE[[#This Row],[RED DE AGUA]])</f>
        <v>0</v>
      </c>
      <c r="BN635" s="3">
        <f>+IF(AVANCE[[#This Row],[VENTILACIONES]]=W$2,100%,AVANCE[[#This Row],[VENTILACIONES]])</f>
        <v>0</v>
      </c>
      <c r="BO635" s="3">
        <f>+IF(AVANCE[[#This Row],[TINA]]=X$2,100%,AVANCE[[#This Row],[TINA]])</f>
        <v>0</v>
      </c>
      <c r="BP635" s="3">
        <f>+IF(AVANCE[[#This Row],[WC]]=Y$2,100%,AVANCE[[#This Row],[WC]])</f>
        <v>0</v>
      </c>
      <c r="BQ635" s="3">
        <f>+IF(AVANCE[[#This Row],[LAVAMANOS / LAVAPLATOS / LAVADERO]]=Z$2,100%,AVANCE[[#This Row],[LAVAMANOS / LAVAPLATOS / LAVADERO]])</f>
        <v>0</v>
      </c>
      <c r="BR635" s="3">
        <f>+IF(AVANCE[[#This Row],[CANALIZACIÓN]]=AC$2,100%,AVANCE[[#This Row],[CANALIZACIÓN]])</f>
        <v>0</v>
      </c>
      <c r="BS635" s="3">
        <f>+IF(AVANCE[[#This Row],[CABLEADO]]=AD$2,100%,AVANCE[[#This Row],[CABLEADO]])</f>
        <v>0</v>
      </c>
      <c r="BT635" s="3">
        <f>+IF(AVANCE[[#This Row],[ARTEFACTOS]]=AE$2,100%,AVANCE[[#This Row],[ARTEFACTOS]])</f>
        <v>0</v>
      </c>
      <c r="BU635" s="3">
        <f>+IF(AVANCE[[#This Row],[TABLERO]]=AF$2,100%,AVANCE[[#This Row],[TABLERO]])</f>
        <v>0</v>
      </c>
      <c r="BV635" s="3">
        <f>+IF(AVANCE[[#This Row],[CAJA PAU]]=AG$2,100%,AVANCE[[#This Row],[CAJA PAU]])</f>
        <v>0</v>
      </c>
      <c r="BW635" s="3">
        <f>+IF(AVANCE[[#This Row],[INSTALACION VINILICO]]=AJ$2,100%,AVANCE[[#This Row],[INSTALACION VINILICO]])</f>
        <v>0</v>
      </c>
      <c r="BX635" s="3">
        <f>+IF(AVANCE[[#This Row],[OSB CUBIERTA]]=AK$2,100%,AVANCE[[#This Row],[OSB CUBIERTA]])</f>
        <v>0</v>
      </c>
      <c r="BY635" s="3">
        <f>+IF(AVANCE[[#This Row],[BARANDA BALCON]]=AL$2,100%,AVANCE[[#This Row],[BARANDA BALCON]])</f>
        <v>0</v>
      </c>
      <c r="BZ635" s="3">
        <f>+IF(AVANCE[[#This Row],[OSB EXTERIOR]]=AM$2,100%,AVANCE[[#This Row],[OSB EXTERIOR]])</f>
        <v>0</v>
      </c>
      <c r="CA635" s="3">
        <f>+IF(AVANCE[[#This Row],[SMART PANEL]]=AN$2,100%,AVANCE[[#This Row],[SMART PANEL]])</f>
        <v>0</v>
      </c>
      <c r="CB635" s="3">
        <f>+IF(AVANCE[[#This Row],[PINTURA EXTERIOR]]=AO$2,100%,AVANCE[[#This Row],[PINTURA EXTERIOR]])</f>
        <v>0</v>
      </c>
      <c r="CC635" s="3">
        <f>+IF(AVANCE[[#This Row],[ZOCALOS LOGIA]]=AP$2,100%,AVANCE[[#This Row],[ZOCALOS LOGIA]])</f>
        <v>0</v>
      </c>
      <c r="CD635" s="3">
        <f>+IF(AVANCE[[#This Row],[MOLDURAS]]=AQ$2,100%,AVANCE[[#This Row],[MOLDURAS]])</f>
        <v>0</v>
      </c>
      <c r="CE635" s="3">
        <f>+IF(AVANCE[[#This Row],[PILASTREO]]=AR$2,100%,AVANCE[[#This Row],[PILASTREO]])</f>
        <v>0</v>
      </c>
      <c r="CF635" s="3">
        <f>+IF(AVANCE[[#This Row],[CELOSIAS]]=AS$2,100%,AVANCE[[#This Row],[CELOSIAS]])</f>
        <v>0</v>
      </c>
      <c r="CG635" s="3">
        <f>+IF(AVANCE[[#This Row],[VENTANAS]]=AT$2,100%,AVANCE[[#This Row],[VENTANAS]])</f>
        <v>0</v>
      </c>
      <c r="CH635" s="3">
        <f>+IF(AVANCE[[#This Row],[PUERTAS ACCESO - LOGIA - BANO]]=AU$2,100%,AVANCE[[#This Row],[PUERTAS ACCESO - LOGIA - BANO]])</f>
        <v>0</v>
      </c>
      <c r="CI635" s="3">
        <f>+IF(AVANCE[[#This Row],[CERRADURAS]]=AV$2,100%,AVANCE[[#This Row],[CERRADURAS]])</f>
        <v>0</v>
      </c>
      <c r="CJ635" s="3">
        <f>+IF(AVANCE[[#This Row],[REVESTIMIENTO INTERIOR ZONA SECA]]=AW$2,100%,AVANCE[[#This Row],[REVESTIMIENTO INTERIOR ZONA SECA]])</f>
        <v>0</v>
      </c>
      <c r="CK635" s="3">
        <f>+IF(AVANCE[[#This Row],[REVESTIMIENTO INTERIOR ZONAS HUMEDAS]]=AX$2,100%,AVANCE[[#This Row],[REVESTIMIENTO INTERIOR ZONAS HUMEDAS]])</f>
        <v>0</v>
      </c>
      <c r="CL635" s="3">
        <f>+IF(AVANCE[[#This Row],[MEMBRANA CIELO]]=AY$2,100%,AVANCE[[#This Row],[MEMBRANA CIELO]])</f>
        <v>0</v>
      </c>
      <c r="CM635" s="3">
        <f>+IF(AVANCE[[#This Row],[LIMPIEZA FINAL]]=AZ$2,100%,AVANCE[[#This Row],[LIMPIEZA FINAL]])</f>
        <v>0</v>
      </c>
      <c r="CN635" s="3">
        <f>+IF(AVANCE[[#This Row],[PUERTAS DORMITORIO]]=BA$2,100%,AVANCE[[#This Row],[PUERTAS DORMITORIO]])</f>
        <v>0</v>
      </c>
      <c r="CO635" s="3">
        <f>+IF(AVANCE[[#This Row],[REVESTIMIENTO INTERIOR BANO]]=BB$2,100%,AVANCE[[#This Row],[REVESTIMIENTO INTERIOR BANO]])</f>
        <v>0</v>
      </c>
      <c r="CP635" s="3">
        <f>+IF(AVANCE[[#This Row],[MUEBLE LAVAPLATOS]]=BC$2,100%,AVANCE[[#This Row],[MUEBLE LAVAPLATOS]])</f>
        <v>0</v>
      </c>
      <c r="CQ635" s="3">
        <f>+IF(AVANCE[[#This Row],[IMPERMEABILIZACION BANO - COCINA LOGIA]]=BD$2,100%,AVANCE[[#This Row],[IMPERMEABILIZACION BANO - COCINA LOGIA]])</f>
        <v>0</v>
      </c>
      <c r="CR635" s="40">
        <f ca="1">+IF(AVANCE[[#This Row],[ESTADO MODULO]]="PENDIENTE",(TODAY()-AVANCE[[#This Row],[FECHA TERMINO  PLANIFICADO]]),0)</f>
        <v>0</v>
      </c>
      <c r="CS635" s="42" t="str" cm="1">
        <f t="array" ref="CS635">_xlfn.TEXTJOIN(" | ",TRUE,IF(SUMPRODUCT((BF635:CQ635&lt;1)*(PARTIDAS!$I$2:$AT$2="OBRA GRUESA"))&gt;0,"OBRA GRUESA: "&amp;_xlfn.TEXTJOIN(", ",TRUE,IF((BF635:CQ635&lt;1)*(PARTIDAS!$I$2:$AT$2="OBRA GRUESA"),PARTIDAS!$I$1:$AT$1,"")),""),IF(SUMPRODUCT((BF635:CQ635&lt;1)*(PARTIDAS!$I$2:$AT$2="SANITARIOS"))&gt;0,"SANITARIOS: "&amp;_xlfn.TEXTJOIN(", ",TRUE,IF((BF635:CQ635&lt;1)*(PARTIDAS!$I$2:$AT$2="SANITARIOS"),PARTIDAS!$I$1:$AT$1,"")),""),IF(SUMPRODUCT((BF635:CQ635&lt;1)*(PARTIDAS!$I$2:$AT$2="ELÉCTRICO"))&gt;0,"ELÉCTRICO: "&amp;_xlfn.TEXTJOIN(", ",TRUE,IF((BF635:CQ635&lt;1)*(PARTIDAS!$I$2:$AT$2="ELÉCTRICO"),PARTIDAS!$I$1:$AT$1,"")),""),IF(SUMPRODUCT((BF635:CQ635&lt;1)*(PARTIDAS!$I$2:$AT$2="TERMINACIONES"))&gt;0,"TERMINACIONES: "&amp;_xlfn.TEXTJOIN(", ",TRUE,IF((BF635:CQ635&lt;1)*(PARTIDAS!$I$2:$AT$2="TERMINACIONES"),PARTIDAS!$I$1:$AT$1,"")),""))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5" s="45" t="str" cm="1">
        <f t="array" ref="CT635">_xlfn.TEXTJOIN(", ",TRUE,IF(SUMPRODUCT((BF635:CQ635&lt;1)*(PARTIDAS!$I$2:$AT$2="OBRA GRUESA"))&gt;0,"OBRA GRUESA",""),IF(SUMPRODUCT((BF635:CQ635&lt;1)*(PARTIDAS!$I$2:$AT$2="SANITARIOS"))&gt;0,"SANITARIOS",""),IF(SUMPRODUCT((BF635:CQ635&lt;1)*(PARTIDAS!$I$2:$AT$2="ELÉCTRICO"))&gt;0,"ELÉCTRICO",""),IF(SUMPRODUCT((BF635:CQ635&lt;1)*(PARTIDAS!$I$2:$AT$2="TERMINACIONES"))&gt;0,"TERMINACIONES",""))</f>
        <v>OBRA GRUESA, SANITARIOS, ELÉCTRICO, TERMINACIONES</v>
      </c>
      <c r="CU635" s="46" cm="1">
        <f t="array" ref="CU635">SUMPRODUCT(--(BF635:CQ635&lt;1))</f>
        <v>38</v>
      </c>
    </row>
    <row r="636" spans="1:99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46181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 s="3" t="str">
        <f>+IF(AVANCE[[#This Row],[% AVANCE]]=100%,"MODULO TERMINADO",IF(AVANCE[[#This Row],[FECHA INICIO REAL]]="","MODULO NO INICIADO","PENDIENTE"))</f>
        <v>MODULO NO INICIADO</v>
      </c>
      <c r="BF636" s="3">
        <f>+IF(AVANCE[[#This Row],[VENTANAS]]=8.10810810810811%,100%,AVANCE[[#This Row],[VENTANAS]])</f>
        <v>0</v>
      </c>
      <c r="BG636" s="3">
        <f>+IF(AVANCE[[#This Row],[PISO]]=N$2,100%,AVANCE[[#This Row],[PISO]])</f>
        <v>0</v>
      </c>
      <c r="BH636" s="3">
        <f>+IF(AVANCE[[#This Row],[TABIQUES]]=O$2,100%,AVANCE[[#This Row],[TABIQUES]])</f>
        <v>0</v>
      </c>
      <c r="BI636" s="3">
        <f>+IF(AVANCE[[#This Row],[MUROS]]=P$2,100%,AVANCE[[#This Row],[MUROS]])</f>
        <v>0</v>
      </c>
      <c r="BJ636" s="3">
        <f>+IF(AVANCE[[#This Row],[CIELO]]=Q$2,100%,AVANCE[[#This Row],[CIELO]])</f>
        <v>0</v>
      </c>
      <c r="BK636" s="3">
        <f>+IF(AVANCE[[#This Row],[BALCÓN]]=R$2,100%,AVANCE[[#This Row],[BALCÓN]])</f>
        <v>0</v>
      </c>
      <c r="BL636" s="3">
        <f>+IF(AVANCE[[#This Row],[RED ALCANTARILLADO]]=U$2,100%,AVANCE[[#This Row],[RED ALCANTARILLADO]])</f>
        <v>0</v>
      </c>
      <c r="BM636" s="3">
        <f>+IF(AVANCE[[#This Row],[RED DE AGUA]]=V$2,100%,AVANCE[[#This Row],[RED DE AGUA]])</f>
        <v>0</v>
      </c>
      <c r="BN636" s="3">
        <f>+IF(AVANCE[[#This Row],[VENTILACIONES]]=W$2,100%,AVANCE[[#This Row],[VENTILACIONES]])</f>
        <v>0</v>
      </c>
      <c r="BO636" s="3">
        <f>+IF(AVANCE[[#This Row],[TINA]]=X$2,100%,AVANCE[[#This Row],[TINA]])</f>
        <v>0</v>
      </c>
      <c r="BP636" s="3">
        <f>+IF(AVANCE[[#This Row],[WC]]=Y$2,100%,AVANCE[[#This Row],[WC]])</f>
        <v>0</v>
      </c>
      <c r="BQ636" s="3">
        <f>+IF(AVANCE[[#This Row],[LAVAMANOS / LAVAPLATOS / LAVADERO]]=Z$2,100%,AVANCE[[#This Row],[LAVAMANOS / LAVAPLATOS / LAVADERO]])</f>
        <v>0</v>
      </c>
      <c r="BR636" s="3">
        <f>+IF(AVANCE[[#This Row],[CANALIZACIÓN]]=AC$2,100%,AVANCE[[#This Row],[CANALIZACIÓN]])</f>
        <v>0</v>
      </c>
      <c r="BS636" s="3">
        <f>+IF(AVANCE[[#This Row],[CABLEADO]]=AD$2,100%,AVANCE[[#This Row],[CABLEADO]])</f>
        <v>0</v>
      </c>
      <c r="BT636" s="3">
        <f>+IF(AVANCE[[#This Row],[ARTEFACTOS]]=AE$2,100%,AVANCE[[#This Row],[ARTEFACTOS]])</f>
        <v>0</v>
      </c>
      <c r="BU636" s="3">
        <f>+IF(AVANCE[[#This Row],[TABLERO]]=AF$2,100%,AVANCE[[#This Row],[TABLERO]])</f>
        <v>0</v>
      </c>
      <c r="BV636" s="3">
        <f>+IF(AVANCE[[#This Row],[CAJA PAU]]=AG$2,100%,AVANCE[[#This Row],[CAJA PAU]])</f>
        <v>0</v>
      </c>
      <c r="BW636" s="3">
        <f>+IF(AVANCE[[#This Row],[INSTALACION VINILICO]]=AJ$2,100%,AVANCE[[#This Row],[INSTALACION VINILICO]])</f>
        <v>0</v>
      </c>
      <c r="BX636" s="3">
        <f>+IF(AVANCE[[#This Row],[OSB CUBIERTA]]=AK$2,100%,AVANCE[[#This Row],[OSB CUBIERTA]])</f>
        <v>0</v>
      </c>
      <c r="BY636" s="3">
        <f>+IF(AVANCE[[#This Row],[BARANDA BALCON]]=AL$2,100%,AVANCE[[#This Row],[BARANDA BALCON]])</f>
        <v>0</v>
      </c>
      <c r="BZ636" s="3">
        <f>+IF(AVANCE[[#This Row],[OSB EXTERIOR]]=AM$2,100%,AVANCE[[#This Row],[OSB EXTERIOR]])</f>
        <v>0</v>
      </c>
      <c r="CA636" s="3">
        <f>+IF(AVANCE[[#This Row],[SMART PANEL]]=AN$2,100%,AVANCE[[#This Row],[SMART PANEL]])</f>
        <v>0</v>
      </c>
      <c r="CB636" s="3">
        <f>+IF(AVANCE[[#This Row],[PINTURA EXTERIOR]]=AO$2,100%,AVANCE[[#This Row],[PINTURA EXTERIOR]])</f>
        <v>0</v>
      </c>
      <c r="CC636" s="3">
        <f>+IF(AVANCE[[#This Row],[ZOCALOS LOGIA]]=AP$2,100%,AVANCE[[#This Row],[ZOCALOS LOGIA]])</f>
        <v>0</v>
      </c>
      <c r="CD636" s="3">
        <f>+IF(AVANCE[[#This Row],[MOLDURAS]]=AQ$2,100%,AVANCE[[#This Row],[MOLDURAS]])</f>
        <v>0</v>
      </c>
      <c r="CE636" s="3">
        <f>+IF(AVANCE[[#This Row],[PILASTREO]]=AR$2,100%,AVANCE[[#This Row],[PILASTREO]])</f>
        <v>0</v>
      </c>
      <c r="CF636" s="3">
        <f>+IF(AVANCE[[#This Row],[CELOSIAS]]=AS$2,100%,AVANCE[[#This Row],[CELOSIAS]])</f>
        <v>0</v>
      </c>
      <c r="CG636" s="3">
        <f>+IF(AVANCE[[#This Row],[VENTANAS]]=AT$2,100%,AVANCE[[#This Row],[VENTANAS]])</f>
        <v>0</v>
      </c>
      <c r="CH636" s="3">
        <f>+IF(AVANCE[[#This Row],[PUERTAS ACCESO - LOGIA - BANO]]=AU$2,100%,AVANCE[[#This Row],[PUERTAS ACCESO - LOGIA - BANO]])</f>
        <v>0</v>
      </c>
      <c r="CI636" s="3">
        <f>+IF(AVANCE[[#This Row],[CERRADURAS]]=AV$2,100%,AVANCE[[#This Row],[CERRADURAS]])</f>
        <v>0</v>
      </c>
      <c r="CJ636" s="3">
        <f>+IF(AVANCE[[#This Row],[REVESTIMIENTO INTERIOR ZONA SECA]]=AW$2,100%,AVANCE[[#This Row],[REVESTIMIENTO INTERIOR ZONA SECA]])</f>
        <v>0</v>
      </c>
      <c r="CK636" s="3">
        <f>+IF(AVANCE[[#This Row],[REVESTIMIENTO INTERIOR ZONAS HUMEDAS]]=AX$2,100%,AVANCE[[#This Row],[REVESTIMIENTO INTERIOR ZONAS HUMEDAS]])</f>
        <v>0</v>
      </c>
      <c r="CL636" s="3">
        <f>+IF(AVANCE[[#This Row],[MEMBRANA CIELO]]=AY$2,100%,AVANCE[[#This Row],[MEMBRANA CIELO]])</f>
        <v>0</v>
      </c>
      <c r="CM636" s="3">
        <f>+IF(AVANCE[[#This Row],[LIMPIEZA FINAL]]=AZ$2,100%,AVANCE[[#This Row],[LIMPIEZA FINAL]])</f>
        <v>0</v>
      </c>
      <c r="CN636" s="3">
        <f>+IF(AVANCE[[#This Row],[PUERTAS DORMITORIO]]=BA$2,100%,AVANCE[[#This Row],[PUERTAS DORMITORIO]])</f>
        <v>0</v>
      </c>
      <c r="CO636" s="3">
        <f>+IF(AVANCE[[#This Row],[REVESTIMIENTO INTERIOR BANO]]=BB$2,100%,AVANCE[[#This Row],[REVESTIMIENTO INTERIOR BANO]])</f>
        <v>0</v>
      </c>
      <c r="CP636" s="3">
        <f>+IF(AVANCE[[#This Row],[MUEBLE LAVAPLATOS]]=BC$2,100%,AVANCE[[#This Row],[MUEBLE LAVAPLATOS]])</f>
        <v>0</v>
      </c>
      <c r="CQ636" s="3">
        <f>+IF(AVANCE[[#This Row],[IMPERMEABILIZACION BANO - COCINA LOGIA]]=BD$2,100%,AVANCE[[#This Row],[IMPERMEABILIZACION BANO - COCINA LOGIA]])</f>
        <v>0</v>
      </c>
      <c r="CR636" s="40">
        <f ca="1">+IF(AVANCE[[#This Row],[ESTADO MODULO]]="PENDIENTE",(TODAY()-AVANCE[[#This Row],[FECHA TERMINO  PLANIFICADO]]),0)</f>
        <v>0</v>
      </c>
      <c r="CS636" s="42" t="str" cm="1">
        <f t="array" ref="CS636">_xlfn.TEXTJOIN(" | ",TRUE,IF(SUMPRODUCT((BF636:CQ636&lt;1)*(PARTIDAS!$I$2:$AT$2="OBRA GRUESA"))&gt;0,"OBRA GRUESA: "&amp;_xlfn.TEXTJOIN(", ",TRUE,IF((BF636:CQ636&lt;1)*(PARTIDAS!$I$2:$AT$2="OBRA GRUESA"),PARTIDAS!$I$1:$AT$1,"")),""),IF(SUMPRODUCT((BF636:CQ636&lt;1)*(PARTIDAS!$I$2:$AT$2="SANITARIOS"))&gt;0,"SANITARIOS: "&amp;_xlfn.TEXTJOIN(", ",TRUE,IF((BF636:CQ636&lt;1)*(PARTIDAS!$I$2:$AT$2="SANITARIOS"),PARTIDAS!$I$1:$AT$1,"")),""),IF(SUMPRODUCT((BF636:CQ636&lt;1)*(PARTIDAS!$I$2:$AT$2="ELÉCTRICO"))&gt;0,"ELÉCTRICO: "&amp;_xlfn.TEXTJOIN(", ",TRUE,IF((BF636:CQ636&lt;1)*(PARTIDAS!$I$2:$AT$2="ELÉCTRICO"),PARTIDAS!$I$1:$AT$1,"")),""),IF(SUMPRODUCT((BF636:CQ636&lt;1)*(PARTIDAS!$I$2:$AT$2="TERMINACIONES"))&gt;0,"TERMINACIONES: "&amp;_xlfn.TEXTJOIN(", ",TRUE,IF((BF636:CQ636&lt;1)*(PARTIDAS!$I$2:$AT$2="TERMINACIONES"),PARTIDAS!$I$1:$AT$1,"")),""))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6" s="45" t="str" cm="1">
        <f t="array" ref="CT636">_xlfn.TEXTJOIN(", ",TRUE,IF(SUMPRODUCT((BF636:CQ636&lt;1)*(PARTIDAS!$I$2:$AT$2="OBRA GRUESA"))&gt;0,"OBRA GRUESA",""),IF(SUMPRODUCT((BF636:CQ636&lt;1)*(PARTIDAS!$I$2:$AT$2="SANITARIOS"))&gt;0,"SANITARIOS",""),IF(SUMPRODUCT((BF636:CQ636&lt;1)*(PARTIDAS!$I$2:$AT$2="ELÉCTRICO"))&gt;0,"ELÉCTRICO",""),IF(SUMPRODUCT((BF636:CQ636&lt;1)*(PARTIDAS!$I$2:$AT$2="TERMINACIONES"))&gt;0,"TERMINACIONES",""))</f>
        <v>OBRA GRUESA, SANITARIOS, ELÉCTRICO, TERMINACIONES</v>
      </c>
      <c r="CU636" s="46" cm="1">
        <f t="array" ref="CU636">SUMPRODUCT(--(BF636:CQ636&lt;1))</f>
        <v>38</v>
      </c>
    </row>
    <row r="637" spans="1:99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46181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 s="3" t="str">
        <f>+IF(AVANCE[[#This Row],[% AVANCE]]=100%,"MODULO TERMINADO",IF(AVANCE[[#This Row],[FECHA INICIO REAL]]="","MODULO NO INICIADO","PENDIENTE"))</f>
        <v>MODULO NO INICIADO</v>
      </c>
      <c r="BF637" s="3">
        <f>+IF(AVANCE[[#This Row],[VENTANAS]]=8.10810810810811%,100%,AVANCE[[#This Row],[VENTANAS]])</f>
        <v>0</v>
      </c>
      <c r="BG637" s="3">
        <f>+IF(AVANCE[[#This Row],[PISO]]=N$2,100%,AVANCE[[#This Row],[PISO]])</f>
        <v>0</v>
      </c>
      <c r="BH637" s="3">
        <f>+IF(AVANCE[[#This Row],[TABIQUES]]=O$2,100%,AVANCE[[#This Row],[TABIQUES]])</f>
        <v>0</v>
      </c>
      <c r="BI637" s="3">
        <f>+IF(AVANCE[[#This Row],[MUROS]]=P$2,100%,AVANCE[[#This Row],[MUROS]])</f>
        <v>0</v>
      </c>
      <c r="BJ637" s="3">
        <f>+IF(AVANCE[[#This Row],[CIELO]]=Q$2,100%,AVANCE[[#This Row],[CIELO]])</f>
        <v>0</v>
      </c>
      <c r="BK637" s="3">
        <f>+IF(AVANCE[[#This Row],[BALCÓN]]=R$2,100%,AVANCE[[#This Row],[BALCÓN]])</f>
        <v>0</v>
      </c>
      <c r="BL637" s="3">
        <f>+IF(AVANCE[[#This Row],[RED ALCANTARILLADO]]=U$2,100%,AVANCE[[#This Row],[RED ALCANTARILLADO]])</f>
        <v>0</v>
      </c>
      <c r="BM637" s="3">
        <f>+IF(AVANCE[[#This Row],[RED DE AGUA]]=V$2,100%,AVANCE[[#This Row],[RED DE AGUA]])</f>
        <v>0</v>
      </c>
      <c r="BN637" s="3">
        <f>+IF(AVANCE[[#This Row],[VENTILACIONES]]=W$2,100%,AVANCE[[#This Row],[VENTILACIONES]])</f>
        <v>0</v>
      </c>
      <c r="BO637" s="3">
        <f>+IF(AVANCE[[#This Row],[TINA]]=X$2,100%,AVANCE[[#This Row],[TINA]])</f>
        <v>0</v>
      </c>
      <c r="BP637" s="3">
        <f>+IF(AVANCE[[#This Row],[WC]]=Y$2,100%,AVANCE[[#This Row],[WC]])</f>
        <v>0</v>
      </c>
      <c r="BQ637" s="3">
        <f>+IF(AVANCE[[#This Row],[LAVAMANOS / LAVAPLATOS / LAVADERO]]=Z$2,100%,AVANCE[[#This Row],[LAVAMANOS / LAVAPLATOS / LAVADERO]])</f>
        <v>0</v>
      </c>
      <c r="BR637" s="3">
        <f>+IF(AVANCE[[#This Row],[CANALIZACIÓN]]=AC$2,100%,AVANCE[[#This Row],[CANALIZACIÓN]])</f>
        <v>0</v>
      </c>
      <c r="BS637" s="3">
        <f>+IF(AVANCE[[#This Row],[CABLEADO]]=AD$2,100%,AVANCE[[#This Row],[CABLEADO]])</f>
        <v>0</v>
      </c>
      <c r="BT637" s="3">
        <f>+IF(AVANCE[[#This Row],[ARTEFACTOS]]=AE$2,100%,AVANCE[[#This Row],[ARTEFACTOS]])</f>
        <v>0</v>
      </c>
      <c r="BU637" s="3">
        <f>+IF(AVANCE[[#This Row],[TABLERO]]=AF$2,100%,AVANCE[[#This Row],[TABLERO]])</f>
        <v>0</v>
      </c>
      <c r="BV637" s="3">
        <f>+IF(AVANCE[[#This Row],[CAJA PAU]]=AG$2,100%,AVANCE[[#This Row],[CAJA PAU]])</f>
        <v>0</v>
      </c>
      <c r="BW637" s="3">
        <f>+IF(AVANCE[[#This Row],[INSTALACION VINILICO]]=AJ$2,100%,AVANCE[[#This Row],[INSTALACION VINILICO]])</f>
        <v>0</v>
      </c>
      <c r="BX637" s="3">
        <f>+IF(AVANCE[[#This Row],[OSB CUBIERTA]]=AK$2,100%,AVANCE[[#This Row],[OSB CUBIERTA]])</f>
        <v>0</v>
      </c>
      <c r="BY637" s="3">
        <f>+IF(AVANCE[[#This Row],[BARANDA BALCON]]=AL$2,100%,AVANCE[[#This Row],[BARANDA BALCON]])</f>
        <v>0</v>
      </c>
      <c r="BZ637" s="3">
        <f>+IF(AVANCE[[#This Row],[OSB EXTERIOR]]=AM$2,100%,AVANCE[[#This Row],[OSB EXTERIOR]])</f>
        <v>0</v>
      </c>
      <c r="CA637" s="3">
        <f>+IF(AVANCE[[#This Row],[SMART PANEL]]=AN$2,100%,AVANCE[[#This Row],[SMART PANEL]])</f>
        <v>0</v>
      </c>
      <c r="CB637" s="3">
        <f>+IF(AVANCE[[#This Row],[PINTURA EXTERIOR]]=AO$2,100%,AVANCE[[#This Row],[PINTURA EXTERIOR]])</f>
        <v>0</v>
      </c>
      <c r="CC637" s="3">
        <f>+IF(AVANCE[[#This Row],[ZOCALOS LOGIA]]=AP$2,100%,AVANCE[[#This Row],[ZOCALOS LOGIA]])</f>
        <v>0</v>
      </c>
      <c r="CD637" s="3">
        <f>+IF(AVANCE[[#This Row],[MOLDURAS]]=AQ$2,100%,AVANCE[[#This Row],[MOLDURAS]])</f>
        <v>0</v>
      </c>
      <c r="CE637" s="3">
        <f>+IF(AVANCE[[#This Row],[PILASTREO]]=AR$2,100%,AVANCE[[#This Row],[PILASTREO]])</f>
        <v>0</v>
      </c>
      <c r="CF637" s="3">
        <f>+IF(AVANCE[[#This Row],[CELOSIAS]]=AS$2,100%,AVANCE[[#This Row],[CELOSIAS]])</f>
        <v>0</v>
      </c>
      <c r="CG637" s="3">
        <f>+IF(AVANCE[[#This Row],[VENTANAS]]=AT$2,100%,AVANCE[[#This Row],[VENTANAS]])</f>
        <v>0</v>
      </c>
      <c r="CH637" s="3">
        <f>+IF(AVANCE[[#This Row],[PUERTAS ACCESO - LOGIA - BANO]]=AU$2,100%,AVANCE[[#This Row],[PUERTAS ACCESO - LOGIA - BANO]])</f>
        <v>0</v>
      </c>
      <c r="CI637" s="3">
        <f>+IF(AVANCE[[#This Row],[CERRADURAS]]=AV$2,100%,AVANCE[[#This Row],[CERRADURAS]])</f>
        <v>0</v>
      </c>
      <c r="CJ637" s="3">
        <f>+IF(AVANCE[[#This Row],[REVESTIMIENTO INTERIOR ZONA SECA]]=AW$2,100%,AVANCE[[#This Row],[REVESTIMIENTO INTERIOR ZONA SECA]])</f>
        <v>0</v>
      </c>
      <c r="CK637" s="3">
        <f>+IF(AVANCE[[#This Row],[REVESTIMIENTO INTERIOR ZONAS HUMEDAS]]=AX$2,100%,AVANCE[[#This Row],[REVESTIMIENTO INTERIOR ZONAS HUMEDAS]])</f>
        <v>0</v>
      </c>
      <c r="CL637" s="3">
        <f>+IF(AVANCE[[#This Row],[MEMBRANA CIELO]]=AY$2,100%,AVANCE[[#This Row],[MEMBRANA CIELO]])</f>
        <v>0</v>
      </c>
      <c r="CM637" s="3">
        <f>+IF(AVANCE[[#This Row],[LIMPIEZA FINAL]]=AZ$2,100%,AVANCE[[#This Row],[LIMPIEZA FINAL]])</f>
        <v>0</v>
      </c>
      <c r="CN637" s="3">
        <f>+IF(AVANCE[[#This Row],[PUERTAS DORMITORIO]]=BA$2,100%,AVANCE[[#This Row],[PUERTAS DORMITORIO]])</f>
        <v>0</v>
      </c>
      <c r="CO637" s="3">
        <f>+IF(AVANCE[[#This Row],[REVESTIMIENTO INTERIOR BANO]]=BB$2,100%,AVANCE[[#This Row],[REVESTIMIENTO INTERIOR BANO]])</f>
        <v>0</v>
      </c>
      <c r="CP637" s="3">
        <f>+IF(AVANCE[[#This Row],[MUEBLE LAVAPLATOS]]=BC$2,100%,AVANCE[[#This Row],[MUEBLE LAVAPLATOS]])</f>
        <v>0</v>
      </c>
      <c r="CQ637" s="3">
        <f>+IF(AVANCE[[#This Row],[IMPERMEABILIZACION BANO - COCINA LOGIA]]=BD$2,100%,AVANCE[[#This Row],[IMPERMEABILIZACION BANO - COCINA LOGIA]])</f>
        <v>0</v>
      </c>
      <c r="CR637" s="40">
        <f ca="1">+IF(AVANCE[[#This Row],[ESTADO MODULO]]="PENDIENTE",(TODAY()-AVANCE[[#This Row],[FECHA TERMINO  PLANIFICADO]]),0)</f>
        <v>0</v>
      </c>
      <c r="CS637" s="42" t="str" cm="1">
        <f t="array" ref="CS637">_xlfn.TEXTJOIN(" | ",TRUE,IF(SUMPRODUCT((BF637:CQ637&lt;1)*(PARTIDAS!$I$2:$AT$2="OBRA GRUESA"))&gt;0,"OBRA GRUESA: "&amp;_xlfn.TEXTJOIN(", ",TRUE,IF((BF637:CQ637&lt;1)*(PARTIDAS!$I$2:$AT$2="OBRA GRUESA"),PARTIDAS!$I$1:$AT$1,"")),""),IF(SUMPRODUCT((BF637:CQ637&lt;1)*(PARTIDAS!$I$2:$AT$2="SANITARIOS"))&gt;0,"SANITARIOS: "&amp;_xlfn.TEXTJOIN(", ",TRUE,IF((BF637:CQ637&lt;1)*(PARTIDAS!$I$2:$AT$2="SANITARIOS"),PARTIDAS!$I$1:$AT$1,"")),""),IF(SUMPRODUCT((BF637:CQ637&lt;1)*(PARTIDAS!$I$2:$AT$2="ELÉCTRICO"))&gt;0,"ELÉCTRICO: "&amp;_xlfn.TEXTJOIN(", ",TRUE,IF((BF637:CQ637&lt;1)*(PARTIDAS!$I$2:$AT$2="ELÉCTRICO"),PARTIDAS!$I$1:$AT$1,"")),""),IF(SUMPRODUCT((BF637:CQ637&lt;1)*(PARTIDAS!$I$2:$AT$2="TERMINACIONES"))&gt;0,"TERMINACIONES: "&amp;_xlfn.TEXTJOIN(", ",TRUE,IF((BF637:CQ637&lt;1)*(PARTIDAS!$I$2:$AT$2="TERMINACIONES"),PARTIDAS!$I$1:$AT$1,"")),""))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7" s="45" t="str" cm="1">
        <f t="array" ref="CT637">_xlfn.TEXTJOIN(", ",TRUE,IF(SUMPRODUCT((BF637:CQ637&lt;1)*(PARTIDAS!$I$2:$AT$2="OBRA GRUESA"))&gt;0,"OBRA GRUESA",""),IF(SUMPRODUCT((BF637:CQ637&lt;1)*(PARTIDAS!$I$2:$AT$2="SANITARIOS"))&gt;0,"SANITARIOS",""),IF(SUMPRODUCT((BF637:CQ637&lt;1)*(PARTIDAS!$I$2:$AT$2="ELÉCTRICO"))&gt;0,"ELÉCTRICO",""),IF(SUMPRODUCT((BF637:CQ637&lt;1)*(PARTIDAS!$I$2:$AT$2="TERMINACIONES"))&gt;0,"TERMINACIONES",""))</f>
        <v>OBRA GRUESA, SANITARIOS, ELÉCTRICO, TERMINACIONES</v>
      </c>
      <c r="CU637" s="46" cm="1">
        <f t="array" ref="CU637">SUMPRODUCT(--(BF637:CQ637&lt;1))</f>
        <v>38</v>
      </c>
    </row>
    <row r="638" spans="1:99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46181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 s="3" t="str">
        <f>+IF(AVANCE[[#This Row],[% AVANCE]]=100%,"MODULO TERMINADO",IF(AVANCE[[#This Row],[FECHA INICIO REAL]]="","MODULO NO INICIADO","PENDIENTE"))</f>
        <v>MODULO NO INICIADO</v>
      </c>
      <c r="BF638" s="3">
        <f>+IF(AVANCE[[#This Row],[VENTANAS]]=8.10810810810811%,100%,AVANCE[[#This Row],[VENTANAS]])</f>
        <v>0</v>
      </c>
      <c r="BG638" s="3">
        <f>+IF(AVANCE[[#This Row],[PISO]]=N$2,100%,AVANCE[[#This Row],[PISO]])</f>
        <v>0</v>
      </c>
      <c r="BH638" s="3">
        <f>+IF(AVANCE[[#This Row],[TABIQUES]]=O$2,100%,AVANCE[[#This Row],[TABIQUES]])</f>
        <v>0</v>
      </c>
      <c r="BI638" s="3">
        <f>+IF(AVANCE[[#This Row],[MUROS]]=P$2,100%,AVANCE[[#This Row],[MUROS]])</f>
        <v>0</v>
      </c>
      <c r="BJ638" s="3">
        <f>+IF(AVANCE[[#This Row],[CIELO]]=Q$2,100%,AVANCE[[#This Row],[CIELO]])</f>
        <v>0</v>
      </c>
      <c r="BK638" s="3">
        <f>+IF(AVANCE[[#This Row],[BALCÓN]]=R$2,100%,AVANCE[[#This Row],[BALCÓN]])</f>
        <v>0</v>
      </c>
      <c r="BL638" s="3">
        <f>+IF(AVANCE[[#This Row],[RED ALCANTARILLADO]]=U$2,100%,AVANCE[[#This Row],[RED ALCANTARILLADO]])</f>
        <v>0</v>
      </c>
      <c r="BM638" s="3">
        <f>+IF(AVANCE[[#This Row],[RED DE AGUA]]=V$2,100%,AVANCE[[#This Row],[RED DE AGUA]])</f>
        <v>0</v>
      </c>
      <c r="BN638" s="3">
        <f>+IF(AVANCE[[#This Row],[VENTILACIONES]]=W$2,100%,AVANCE[[#This Row],[VENTILACIONES]])</f>
        <v>0</v>
      </c>
      <c r="BO638" s="3">
        <f>+IF(AVANCE[[#This Row],[TINA]]=X$2,100%,AVANCE[[#This Row],[TINA]])</f>
        <v>0</v>
      </c>
      <c r="BP638" s="3">
        <f>+IF(AVANCE[[#This Row],[WC]]=Y$2,100%,AVANCE[[#This Row],[WC]])</f>
        <v>0</v>
      </c>
      <c r="BQ638" s="3">
        <f>+IF(AVANCE[[#This Row],[LAVAMANOS / LAVAPLATOS / LAVADERO]]=Z$2,100%,AVANCE[[#This Row],[LAVAMANOS / LAVAPLATOS / LAVADERO]])</f>
        <v>0</v>
      </c>
      <c r="BR638" s="3">
        <f>+IF(AVANCE[[#This Row],[CANALIZACIÓN]]=AC$2,100%,AVANCE[[#This Row],[CANALIZACIÓN]])</f>
        <v>0</v>
      </c>
      <c r="BS638" s="3">
        <f>+IF(AVANCE[[#This Row],[CABLEADO]]=AD$2,100%,AVANCE[[#This Row],[CABLEADO]])</f>
        <v>0</v>
      </c>
      <c r="BT638" s="3">
        <f>+IF(AVANCE[[#This Row],[ARTEFACTOS]]=AE$2,100%,AVANCE[[#This Row],[ARTEFACTOS]])</f>
        <v>0</v>
      </c>
      <c r="BU638" s="3">
        <f>+IF(AVANCE[[#This Row],[TABLERO]]=AF$2,100%,AVANCE[[#This Row],[TABLERO]])</f>
        <v>0</v>
      </c>
      <c r="BV638" s="3">
        <f>+IF(AVANCE[[#This Row],[CAJA PAU]]=AG$2,100%,AVANCE[[#This Row],[CAJA PAU]])</f>
        <v>0</v>
      </c>
      <c r="BW638" s="3">
        <f>+IF(AVANCE[[#This Row],[INSTALACION VINILICO]]=AJ$2,100%,AVANCE[[#This Row],[INSTALACION VINILICO]])</f>
        <v>0</v>
      </c>
      <c r="BX638" s="3">
        <f>+IF(AVANCE[[#This Row],[OSB CUBIERTA]]=AK$2,100%,AVANCE[[#This Row],[OSB CUBIERTA]])</f>
        <v>0</v>
      </c>
      <c r="BY638" s="3">
        <f>+IF(AVANCE[[#This Row],[BARANDA BALCON]]=AL$2,100%,AVANCE[[#This Row],[BARANDA BALCON]])</f>
        <v>0</v>
      </c>
      <c r="BZ638" s="3">
        <f>+IF(AVANCE[[#This Row],[OSB EXTERIOR]]=AM$2,100%,AVANCE[[#This Row],[OSB EXTERIOR]])</f>
        <v>0</v>
      </c>
      <c r="CA638" s="3">
        <f>+IF(AVANCE[[#This Row],[SMART PANEL]]=AN$2,100%,AVANCE[[#This Row],[SMART PANEL]])</f>
        <v>0</v>
      </c>
      <c r="CB638" s="3">
        <f>+IF(AVANCE[[#This Row],[PINTURA EXTERIOR]]=AO$2,100%,AVANCE[[#This Row],[PINTURA EXTERIOR]])</f>
        <v>0</v>
      </c>
      <c r="CC638" s="3">
        <f>+IF(AVANCE[[#This Row],[ZOCALOS LOGIA]]=AP$2,100%,AVANCE[[#This Row],[ZOCALOS LOGIA]])</f>
        <v>0</v>
      </c>
      <c r="CD638" s="3">
        <f>+IF(AVANCE[[#This Row],[MOLDURAS]]=AQ$2,100%,AVANCE[[#This Row],[MOLDURAS]])</f>
        <v>0</v>
      </c>
      <c r="CE638" s="3">
        <f>+IF(AVANCE[[#This Row],[PILASTREO]]=AR$2,100%,AVANCE[[#This Row],[PILASTREO]])</f>
        <v>0</v>
      </c>
      <c r="CF638" s="3">
        <f>+IF(AVANCE[[#This Row],[CELOSIAS]]=AS$2,100%,AVANCE[[#This Row],[CELOSIAS]])</f>
        <v>0</v>
      </c>
      <c r="CG638" s="3">
        <f>+IF(AVANCE[[#This Row],[VENTANAS]]=AT$2,100%,AVANCE[[#This Row],[VENTANAS]])</f>
        <v>0</v>
      </c>
      <c r="CH638" s="3">
        <f>+IF(AVANCE[[#This Row],[PUERTAS ACCESO - LOGIA - BANO]]=AU$2,100%,AVANCE[[#This Row],[PUERTAS ACCESO - LOGIA - BANO]])</f>
        <v>0</v>
      </c>
      <c r="CI638" s="3">
        <f>+IF(AVANCE[[#This Row],[CERRADURAS]]=AV$2,100%,AVANCE[[#This Row],[CERRADURAS]])</f>
        <v>0</v>
      </c>
      <c r="CJ638" s="3">
        <f>+IF(AVANCE[[#This Row],[REVESTIMIENTO INTERIOR ZONA SECA]]=AW$2,100%,AVANCE[[#This Row],[REVESTIMIENTO INTERIOR ZONA SECA]])</f>
        <v>0</v>
      </c>
      <c r="CK638" s="3">
        <f>+IF(AVANCE[[#This Row],[REVESTIMIENTO INTERIOR ZONAS HUMEDAS]]=AX$2,100%,AVANCE[[#This Row],[REVESTIMIENTO INTERIOR ZONAS HUMEDAS]])</f>
        <v>0</v>
      </c>
      <c r="CL638" s="3">
        <f>+IF(AVANCE[[#This Row],[MEMBRANA CIELO]]=AY$2,100%,AVANCE[[#This Row],[MEMBRANA CIELO]])</f>
        <v>0</v>
      </c>
      <c r="CM638" s="3">
        <f>+IF(AVANCE[[#This Row],[LIMPIEZA FINAL]]=AZ$2,100%,AVANCE[[#This Row],[LIMPIEZA FINAL]])</f>
        <v>0</v>
      </c>
      <c r="CN638" s="3">
        <f>+IF(AVANCE[[#This Row],[PUERTAS DORMITORIO]]=BA$2,100%,AVANCE[[#This Row],[PUERTAS DORMITORIO]])</f>
        <v>0</v>
      </c>
      <c r="CO638" s="3">
        <f>+IF(AVANCE[[#This Row],[REVESTIMIENTO INTERIOR BANO]]=BB$2,100%,AVANCE[[#This Row],[REVESTIMIENTO INTERIOR BANO]])</f>
        <v>0</v>
      </c>
      <c r="CP638" s="3">
        <f>+IF(AVANCE[[#This Row],[MUEBLE LAVAPLATOS]]=BC$2,100%,AVANCE[[#This Row],[MUEBLE LAVAPLATOS]])</f>
        <v>0</v>
      </c>
      <c r="CQ638" s="3">
        <f>+IF(AVANCE[[#This Row],[IMPERMEABILIZACION BANO - COCINA LOGIA]]=BD$2,100%,AVANCE[[#This Row],[IMPERMEABILIZACION BANO - COCINA LOGIA]])</f>
        <v>0</v>
      </c>
      <c r="CR638" s="40">
        <f ca="1">+IF(AVANCE[[#This Row],[ESTADO MODULO]]="PENDIENTE",(TODAY()-AVANCE[[#This Row],[FECHA TERMINO  PLANIFICADO]]),0)</f>
        <v>0</v>
      </c>
      <c r="CS638" s="42" t="str" cm="1">
        <f t="array" ref="CS638">_xlfn.TEXTJOIN(" | ",TRUE,IF(SUMPRODUCT((BF638:CQ638&lt;1)*(PARTIDAS!$I$2:$AT$2="OBRA GRUESA"))&gt;0,"OBRA GRUESA: "&amp;_xlfn.TEXTJOIN(", ",TRUE,IF((BF638:CQ638&lt;1)*(PARTIDAS!$I$2:$AT$2="OBRA GRUESA"),PARTIDAS!$I$1:$AT$1,"")),""),IF(SUMPRODUCT((BF638:CQ638&lt;1)*(PARTIDAS!$I$2:$AT$2="SANITARIOS"))&gt;0,"SANITARIOS: "&amp;_xlfn.TEXTJOIN(", ",TRUE,IF((BF638:CQ638&lt;1)*(PARTIDAS!$I$2:$AT$2="SANITARIOS"),PARTIDAS!$I$1:$AT$1,"")),""),IF(SUMPRODUCT((BF638:CQ638&lt;1)*(PARTIDAS!$I$2:$AT$2="ELÉCTRICO"))&gt;0,"ELÉCTRICO: "&amp;_xlfn.TEXTJOIN(", ",TRUE,IF((BF638:CQ638&lt;1)*(PARTIDAS!$I$2:$AT$2="ELÉCTRICO"),PARTIDAS!$I$1:$AT$1,"")),""),IF(SUMPRODUCT((BF638:CQ638&lt;1)*(PARTIDAS!$I$2:$AT$2="TERMINACIONES"))&gt;0,"TERMINACIONES: "&amp;_xlfn.TEXTJOIN(", ",TRUE,IF((BF638:CQ638&lt;1)*(PARTIDAS!$I$2:$AT$2="TERMINACIONES"),PARTIDAS!$I$1:$AT$1,"")),""))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8" s="45" t="str" cm="1">
        <f t="array" ref="CT638">_xlfn.TEXTJOIN(", ",TRUE,IF(SUMPRODUCT((BF638:CQ638&lt;1)*(PARTIDAS!$I$2:$AT$2="OBRA GRUESA"))&gt;0,"OBRA GRUESA",""),IF(SUMPRODUCT((BF638:CQ638&lt;1)*(PARTIDAS!$I$2:$AT$2="SANITARIOS"))&gt;0,"SANITARIOS",""),IF(SUMPRODUCT((BF638:CQ638&lt;1)*(PARTIDAS!$I$2:$AT$2="ELÉCTRICO"))&gt;0,"ELÉCTRICO",""),IF(SUMPRODUCT((BF638:CQ638&lt;1)*(PARTIDAS!$I$2:$AT$2="TERMINACIONES"))&gt;0,"TERMINACIONES",""))</f>
        <v>OBRA GRUESA, SANITARIOS, ELÉCTRICO, TERMINACIONES</v>
      </c>
      <c r="CU638" s="46" cm="1">
        <f t="array" ref="CU638">SUMPRODUCT(--(BF638:CQ638&lt;1))</f>
        <v>38</v>
      </c>
    </row>
    <row r="639" spans="1:99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46181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 s="3" t="str">
        <f>+IF(AVANCE[[#This Row],[% AVANCE]]=100%,"MODULO TERMINADO",IF(AVANCE[[#This Row],[FECHA INICIO REAL]]="","MODULO NO INICIADO","PENDIENTE"))</f>
        <v>MODULO NO INICIADO</v>
      </c>
      <c r="BF639" s="3">
        <f>+IF(AVANCE[[#This Row],[VENTANAS]]=8.10810810810811%,100%,AVANCE[[#This Row],[VENTANAS]])</f>
        <v>0</v>
      </c>
      <c r="BG639" s="3">
        <f>+IF(AVANCE[[#This Row],[PISO]]=N$2,100%,AVANCE[[#This Row],[PISO]])</f>
        <v>0</v>
      </c>
      <c r="BH639" s="3">
        <f>+IF(AVANCE[[#This Row],[TABIQUES]]=O$2,100%,AVANCE[[#This Row],[TABIQUES]])</f>
        <v>0</v>
      </c>
      <c r="BI639" s="3">
        <f>+IF(AVANCE[[#This Row],[MUROS]]=P$2,100%,AVANCE[[#This Row],[MUROS]])</f>
        <v>0</v>
      </c>
      <c r="BJ639" s="3">
        <f>+IF(AVANCE[[#This Row],[CIELO]]=Q$2,100%,AVANCE[[#This Row],[CIELO]])</f>
        <v>0</v>
      </c>
      <c r="BK639" s="3">
        <f>+IF(AVANCE[[#This Row],[BALCÓN]]=R$2,100%,AVANCE[[#This Row],[BALCÓN]])</f>
        <v>0</v>
      </c>
      <c r="BL639" s="3">
        <f>+IF(AVANCE[[#This Row],[RED ALCANTARILLADO]]=U$2,100%,AVANCE[[#This Row],[RED ALCANTARILLADO]])</f>
        <v>0</v>
      </c>
      <c r="BM639" s="3">
        <f>+IF(AVANCE[[#This Row],[RED DE AGUA]]=V$2,100%,AVANCE[[#This Row],[RED DE AGUA]])</f>
        <v>0</v>
      </c>
      <c r="BN639" s="3">
        <f>+IF(AVANCE[[#This Row],[VENTILACIONES]]=W$2,100%,AVANCE[[#This Row],[VENTILACIONES]])</f>
        <v>0</v>
      </c>
      <c r="BO639" s="3">
        <f>+IF(AVANCE[[#This Row],[TINA]]=X$2,100%,AVANCE[[#This Row],[TINA]])</f>
        <v>0</v>
      </c>
      <c r="BP639" s="3">
        <f>+IF(AVANCE[[#This Row],[WC]]=Y$2,100%,AVANCE[[#This Row],[WC]])</f>
        <v>0</v>
      </c>
      <c r="BQ639" s="3">
        <f>+IF(AVANCE[[#This Row],[LAVAMANOS / LAVAPLATOS / LAVADERO]]=Z$2,100%,AVANCE[[#This Row],[LAVAMANOS / LAVAPLATOS / LAVADERO]])</f>
        <v>0</v>
      </c>
      <c r="BR639" s="3">
        <f>+IF(AVANCE[[#This Row],[CANALIZACIÓN]]=AC$2,100%,AVANCE[[#This Row],[CANALIZACIÓN]])</f>
        <v>0</v>
      </c>
      <c r="BS639" s="3">
        <f>+IF(AVANCE[[#This Row],[CABLEADO]]=AD$2,100%,AVANCE[[#This Row],[CABLEADO]])</f>
        <v>0</v>
      </c>
      <c r="BT639" s="3">
        <f>+IF(AVANCE[[#This Row],[ARTEFACTOS]]=AE$2,100%,AVANCE[[#This Row],[ARTEFACTOS]])</f>
        <v>0</v>
      </c>
      <c r="BU639" s="3">
        <f>+IF(AVANCE[[#This Row],[TABLERO]]=AF$2,100%,AVANCE[[#This Row],[TABLERO]])</f>
        <v>0</v>
      </c>
      <c r="BV639" s="3">
        <f>+IF(AVANCE[[#This Row],[CAJA PAU]]=AG$2,100%,AVANCE[[#This Row],[CAJA PAU]])</f>
        <v>0</v>
      </c>
      <c r="BW639" s="3">
        <f>+IF(AVANCE[[#This Row],[INSTALACION VINILICO]]=AJ$2,100%,AVANCE[[#This Row],[INSTALACION VINILICO]])</f>
        <v>0</v>
      </c>
      <c r="BX639" s="3">
        <f>+IF(AVANCE[[#This Row],[OSB CUBIERTA]]=AK$2,100%,AVANCE[[#This Row],[OSB CUBIERTA]])</f>
        <v>0</v>
      </c>
      <c r="BY639" s="3">
        <f>+IF(AVANCE[[#This Row],[BARANDA BALCON]]=AL$2,100%,AVANCE[[#This Row],[BARANDA BALCON]])</f>
        <v>0</v>
      </c>
      <c r="BZ639" s="3">
        <f>+IF(AVANCE[[#This Row],[OSB EXTERIOR]]=AM$2,100%,AVANCE[[#This Row],[OSB EXTERIOR]])</f>
        <v>0</v>
      </c>
      <c r="CA639" s="3">
        <f>+IF(AVANCE[[#This Row],[SMART PANEL]]=AN$2,100%,AVANCE[[#This Row],[SMART PANEL]])</f>
        <v>0</v>
      </c>
      <c r="CB639" s="3">
        <f>+IF(AVANCE[[#This Row],[PINTURA EXTERIOR]]=AO$2,100%,AVANCE[[#This Row],[PINTURA EXTERIOR]])</f>
        <v>0</v>
      </c>
      <c r="CC639" s="3">
        <f>+IF(AVANCE[[#This Row],[ZOCALOS LOGIA]]=AP$2,100%,AVANCE[[#This Row],[ZOCALOS LOGIA]])</f>
        <v>0</v>
      </c>
      <c r="CD639" s="3">
        <f>+IF(AVANCE[[#This Row],[MOLDURAS]]=AQ$2,100%,AVANCE[[#This Row],[MOLDURAS]])</f>
        <v>0</v>
      </c>
      <c r="CE639" s="3">
        <f>+IF(AVANCE[[#This Row],[PILASTREO]]=AR$2,100%,AVANCE[[#This Row],[PILASTREO]])</f>
        <v>0</v>
      </c>
      <c r="CF639" s="3">
        <f>+IF(AVANCE[[#This Row],[CELOSIAS]]=AS$2,100%,AVANCE[[#This Row],[CELOSIAS]])</f>
        <v>0</v>
      </c>
      <c r="CG639" s="3">
        <f>+IF(AVANCE[[#This Row],[VENTANAS]]=AT$2,100%,AVANCE[[#This Row],[VENTANAS]])</f>
        <v>0</v>
      </c>
      <c r="CH639" s="3">
        <f>+IF(AVANCE[[#This Row],[PUERTAS ACCESO - LOGIA - BANO]]=AU$2,100%,AVANCE[[#This Row],[PUERTAS ACCESO - LOGIA - BANO]])</f>
        <v>0</v>
      </c>
      <c r="CI639" s="3">
        <f>+IF(AVANCE[[#This Row],[CERRADURAS]]=AV$2,100%,AVANCE[[#This Row],[CERRADURAS]])</f>
        <v>0</v>
      </c>
      <c r="CJ639" s="3">
        <f>+IF(AVANCE[[#This Row],[REVESTIMIENTO INTERIOR ZONA SECA]]=AW$2,100%,AVANCE[[#This Row],[REVESTIMIENTO INTERIOR ZONA SECA]])</f>
        <v>0</v>
      </c>
      <c r="CK639" s="3">
        <f>+IF(AVANCE[[#This Row],[REVESTIMIENTO INTERIOR ZONAS HUMEDAS]]=AX$2,100%,AVANCE[[#This Row],[REVESTIMIENTO INTERIOR ZONAS HUMEDAS]])</f>
        <v>0</v>
      </c>
      <c r="CL639" s="3">
        <f>+IF(AVANCE[[#This Row],[MEMBRANA CIELO]]=AY$2,100%,AVANCE[[#This Row],[MEMBRANA CIELO]])</f>
        <v>0</v>
      </c>
      <c r="CM639" s="3">
        <f>+IF(AVANCE[[#This Row],[LIMPIEZA FINAL]]=AZ$2,100%,AVANCE[[#This Row],[LIMPIEZA FINAL]])</f>
        <v>0</v>
      </c>
      <c r="CN639" s="3">
        <f>+IF(AVANCE[[#This Row],[PUERTAS DORMITORIO]]=BA$2,100%,AVANCE[[#This Row],[PUERTAS DORMITORIO]])</f>
        <v>0</v>
      </c>
      <c r="CO639" s="3">
        <f>+IF(AVANCE[[#This Row],[REVESTIMIENTO INTERIOR BANO]]=BB$2,100%,AVANCE[[#This Row],[REVESTIMIENTO INTERIOR BANO]])</f>
        <v>0</v>
      </c>
      <c r="CP639" s="3">
        <f>+IF(AVANCE[[#This Row],[MUEBLE LAVAPLATOS]]=BC$2,100%,AVANCE[[#This Row],[MUEBLE LAVAPLATOS]])</f>
        <v>0</v>
      </c>
      <c r="CQ639" s="3">
        <f>+IF(AVANCE[[#This Row],[IMPERMEABILIZACION BANO - COCINA LOGIA]]=BD$2,100%,AVANCE[[#This Row],[IMPERMEABILIZACION BANO - COCINA LOGIA]])</f>
        <v>0</v>
      </c>
      <c r="CR639" s="40">
        <f ca="1">+IF(AVANCE[[#This Row],[ESTADO MODULO]]="PENDIENTE",(TODAY()-AVANCE[[#This Row],[FECHA TERMINO  PLANIFICADO]]),0)</f>
        <v>0</v>
      </c>
      <c r="CS639" s="42" t="str" cm="1">
        <f t="array" ref="CS639">_xlfn.TEXTJOIN(" | ",TRUE,IF(SUMPRODUCT((BF639:CQ639&lt;1)*(PARTIDAS!$I$2:$AT$2="OBRA GRUESA"))&gt;0,"OBRA GRUESA: "&amp;_xlfn.TEXTJOIN(", ",TRUE,IF((BF639:CQ639&lt;1)*(PARTIDAS!$I$2:$AT$2="OBRA GRUESA"),PARTIDAS!$I$1:$AT$1,"")),""),IF(SUMPRODUCT((BF639:CQ639&lt;1)*(PARTIDAS!$I$2:$AT$2="SANITARIOS"))&gt;0,"SANITARIOS: "&amp;_xlfn.TEXTJOIN(", ",TRUE,IF((BF639:CQ639&lt;1)*(PARTIDAS!$I$2:$AT$2="SANITARIOS"),PARTIDAS!$I$1:$AT$1,"")),""),IF(SUMPRODUCT((BF639:CQ639&lt;1)*(PARTIDAS!$I$2:$AT$2="ELÉCTRICO"))&gt;0,"ELÉCTRICO: "&amp;_xlfn.TEXTJOIN(", ",TRUE,IF((BF639:CQ639&lt;1)*(PARTIDAS!$I$2:$AT$2="ELÉCTRICO"),PARTIDAS!$I$1:$AT$1,"")),""),IF(SUMPRODUCT((BF639:CQ639&lt;1)*(PARTIDAS!$I$2:$AT$2="TERMINACIONES"))&gt;0,"TERMINACIONES: "&amp;_xlfn.TEXTJOIN(", ",TRUE,IF((BF639:CQ639&lt;1)*(PARTIDAS!$I$2:$AT$2="TERMINACIONES"),PARTIDAS!$I$1:$AT$1,"")),""))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39" s="45" t="str" cm="1">
        <f t="array" ref="CT639">_xlfn.TEXTJOIN(", ",TRUE,IF(SUMPRODUCT((BF639:CQ639&lt;1)*(PARTIDAS!$I$2:$AT$2="OBRA GRUESA"))&gt;0,"OBRA GRUESA",""),IF(SUMPRODUCT((BF639:CQ639&lt;1)*(PARTIDAS!$I$2:$AT$2="SANITARIOS"))&gt;0,"SANITARIOS",""),IF(SUMPRODUCT((BF639:CQ639&lt;1)*(PARTIDAS!$I$2:$AT$2="ELÉCTRICO"))&gt;0,"ELÉCTRICO",""),IF(SUMPRODUCT((BF639:CQ639&lt;1)*(PARTIDAS!$I$2:$AT$2="TERMINACIONES"))&gt;0,"TERMINACIONES",""))</f>
        <v>OBRA GRUESA, SANITARIOS, ELÉCTRICO, TERMINACIONES</v>
      </c>
      <c r="CU639" s="46" cm="1">
        <f t="array" ref="CU639">SUMPRODUCT(--(BF639:CQ639&lt;1))</f>
        <v>38</v>
      </c>
    </row>
    <row r="640" spans="1:99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46181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 s="3" t="str">
        <f>+IF(AVANCE[[#This Row],[% AVANCE]]=100%,"MODULO TERMINADO",IF(AVANCE[[#This Row],[FECHA INICIO REAL]]="","MODULO NO INICIADO","PENDIENTE"))</f>
        <v>MODULO NO INICIADO</v>
      </c>
      <c r="BF640" s="3">
        <f>+IF(AVANCE[[#This Row],[VENTANAS]]=8.10810810810811%,100%,AVANCE[[#This Row],[VENTANAS]])</f>
        <v>0</v>
      </c>
      <c r="BG640" s="3">
        <f>+IF(AVANCE[[#This Row],[PISO]]=N$2,100%,AVANCE[[#This Row],[PISO]])</f>
        <v>0</v>
      </c>
      <c r="BH640" s="3">
        <f>+IF(AVANCE[[#This Row],[TABIQUES]]=O$2,100%,AVANCE[[#This Row],[TABIQUES]])</f>
        <v>0</v>
      </c>
      <c r="BI640" s="3">
        <f>+IF(AVANCE[[#This Row],[MUROS]]=P$2,100%,AVANCE[[#This Row],[MUROS]])</f>
        <v>0</v>
      </c>
      <c r="BJ640" s="3">
        <f>+IF(AVANCE[[#This Row],[CIELO]]=Q$2,100%,AVANCE[[#This Row],[CIELO]])</f>
        <v>0</v>
      </c>
      <c r="BK640" s="3">
        <f>+IF(AVANCE[[#This Row],[BALCÓN]]=R$2,100%,AVANCE[[#This Row],[BALCÓN]])</f>
        <v>0</v>
      </c>
      <c r="BL640" s="3">
        <f>+IF(AVANCE[[#This Row],[RED ALCANTARILLADO]]=U$2,100%,AVANCE[[#This Row],[RED ALCANTARILLADO]])</f>
        <v>0</v>
      </c>
      <c r="BM640" s="3">
        <f>+IF(AVANCE[[#This Row],[RED DE AGUA]]=V$2,100%,AVANCE[[#This Row],[RED DE AGUA]])</f>
        <v>0</v>
      </c>
      <c r="BN640" s="3">
        <f>+IF(AVANCE[[#This Row],[VENTILACIONES]]=W$2,100%,AVANCE[[#This Row],[VENTILACIONES]])</f>
        <v>0</v>
      </c>
      <c r="BO640" s="3">
        <f>+IF(AVANCE[[#This Row],[TINA]]=X$2,100%,AVANCE[[#This Row],[TINA]])</f>
        <v>0</v>
      </c>
      <c r="BP640" s="3">
        <f>+IF(AVANCE[[#This Row],[WC]]=Y$2,100%,AVANCE[[#This Row],[WC]])</f>
        <v>0</v>
      </c>
      <c r="BQ640" s="3">
        <f>+IF(AVANCE[[#This Row],[LAVAMANOS / LAVAPLATOS / LAVADERO]]=Z$2,100%,AVANCE[[#This Row],[LAVAMANOS / LAVAPLATOS / LAVADERO]])</f>
        <v>0</v>
      </c>
      <c r="BR640" s="3">
        <f>+IF(AVANCE[[#This Row],[CANALIZACIÓN]]=AC$2,100%,AVANCE[[#This Row],[CANALIZACIÓN]])</f>
        <v>0</v>
      </c>
      <c r="BS640" s="3">
        <f>+IF(AVANCE[[#This Row],[CABLEADO]]=AD$2,100%,AVANCE[[#This Row],[CABLEADO]])</f>
        <v>0</v>
      </c>
      <c r="BT640" s="3">
        <f>+IF(AVANCE[[#This Row],[ARTEFACTOS]]=AE$2,100%,AVANCE[[#This Row],[ARTEFACTOS]])</f>
        <v>0</v>
      </c>
      <c r="BU640" s="3">
        <f>+IF(AVANCE[[#This Row],[TABLERO]]=AF$2,100%,AVANCE[[#This Row],[TABLERO]])</f>
        <v>0</v>
      </c>
      <c r="BV640" s="3">
        <f>+IF(AVANCE[[#This Row],[CAJA PAU]]=AG$2,100%,AVANCE[[#This Row],[CAJA PAU]])</f>
        <v>0</v>
      </c>
      <c r="BW640" s="3">
        <f>+IF(AVANCE[[#This Row],[INSTALACION VINILICO]]=AJ$2,100%,AVANCE[[#This Row],[INSTALACION VINILICO]])</f>
        <v>0</v>
      </c>
      <c r="BX640" s="3">
        <f>+IF(AVANCE[[#This Row],[OSB CUBIERTA]]=AK$2,100%,AVANCE[[#This Row],[OSB CUBIERTA]])</f>
        <v>0</v>
      </c>
      <c r="BY640" s="3">
        <f>+IF(AVANCE[[#This Row],[BARANDA BALCON]]=AL$2,100%,AVANCE[[#This Row],[BARANDA BALCON]])</f>
        <v>0</v>
      </c>
      <c r="BZ640" s="3">
        <f>+IF(AVANCE[[#This Row],[OSB EXTERIOR]]=AM$2,100%,AVANCE[[#This Row],[OSB EXTERIOR]])</f>
        <v>0</v>
      </c>
      <c r="CA640" s="3">
        <f>+IF(AVANCE[[#This Row],[SMART PANEL]]=AN$2,100%,AVANCE[[#This Row],[SMART PANEL]])</f>
        <v>0</v>
      </c>
      <c r="CB640" s="3">
        <f>+IF(AVANCE[[#This Row],[PINTURA EXTERIOR]]=AO$2,100%,AVANCE[[#This Row],[PINTURA EXTERIOR]])</f>
        <v>0</v>
      </c>
      <c r="CC640" s="3">
        <f>+IF(AVANCE[[#This Row],[ZOCALOS LOGIA]]=AP$2,100%,AVANCE[[#This Row],[ZOCALOS LOGIA]])</f>
        <v>0</v>
      </c>
      <c r="CD640" s="3">
        <f>+IF(AVANCE[[#This Row],[MOLDURAS]]=AQ$2,100%,AVANCE[[#This Row],[MOLDURAS]])</f>
        <v>0</v>
      </c>
      <c r="CE640" s="3">
        <f>+IF(AVANCE[[#This Row],[PILASTREO]]=AR$2,100%,AVANCE[[#This Row],[PILASTREO]])</f>
        <v>0</v>
      </c>
      <c r="CF640" s="3">
        <f>+IF(AVANCE[[#This Row],[CELOSIAS]]=AS$2,100%,AVANCE[[#This Row],[CELOSIAS]])</f>
        <v>0</v>
      </c>
      <c r="CG640" s="3">
        <f>+IF(AVANCE[[#This Row],[VENTANAS]]=AT$2,100%,AVANCE[[#This Row],[VENTANAS]])</f>
        <v>0</v>
      </c>
      <c r="CH640" s="3">
        <f>+IF(AVANCE[[#This Row],[PUERTAS ACCESO - LOGIA - BANO]]=AU$2,100%,AVANCE[[#This Row],[PUERTAS ACCESO - LOGIA - BANO]])</f>
        <v>0</v>
      </c>
      <c r="CI640" s="3">
        <f>+IF(AVANCE[[#This Row],[CERRADURAS]]=AV$2,100%,AVANCE[[#This Row],[CERRADURAS]])</f>
        <v>0</v>
      </c>
      <c r="CJ640" s="3">
        <f>+IF(AVANCE[[#This Row],[REVESTIMIENTO INTERIOR ZONA SECA]]=AW$2,100%,AVANCE[[#This Row],[REVESTIMIENTO INTERIOR ZONA SECA]])</f>
        <v>0</v>
      </c>
      <c r="CK640" s="3">
        <f>+IF(AVANCE[[#This Row],[REVESTIMIENTO INTERIOR ZONAS HUMEDAS]]=AX$2,100%,AVANCE[[#This Row],[REVESTIMIENTO INTERIOR ZONAS HUMEDAS]])</f>
        <v>0</v>
      </c>
      <c r="CL640" s="3">
        <f>+IF(AVANCE[[#This Row],[MEMBRANA CIELO]]=AY$2,100%,AVANCE[[#This Row],[MEMBRANA CIELO]])</f>
        <v>0</v>
      </c>
      <c r="CM640" s="3">
        <f>+IF(AVANCE[[#This Row],[LIMPIEZA FINAL]]=AZ$2,100%,AVANCE[[#This Row],[LIMPIEZA FINAL]])</f>
        <v>0</v>
      </c>
      <c r="CN640" s="3">
        <f>+IF(AVANCE[[#This Row],[PUERTAS DORMITORIO]]=BA$2,100%,AVANCE[[#This Row],[PUERTAS DORMITORIO]])</f>
        <v>0</v>
      </c>
      <c r="CO640" s="3">
        <f>+IF(AVANCE[[#This Row],[REVESTIMIENTO INTERIOR BANO]]=BB$2,100%,AVANCE[[#This Row],[REVESTIMIENTO INTERIOR BANO]])</f>
        <v>0</v>
      </c>
      <c r="CP640" s="3">
        <f>+IF(AVANCE[[#This Row],[MUEBLE LAVAPLATOS]]=BC$2,100%,AVANCE[[#This Row],[MUEBLE LAVAPLATOS]])</f>
        <v>0</v>
      </c>
      <c r="CQ640" s="3">
        <f>+IF(AVANCE[[#This Row],[IMPERMEABILIZACION BANO - COCINA LOGIA]]=BD$2,100%,AVANCE[[#This Row],[IMPERMEABILIZACION BANO - COCINA LOGIA]])</f>
        <v>0</v>
      </c>
      <c r="CR640" s="40">
        <f ca="1">+IF(AVANCE[[#This Row],[ESTADO MODULO]]="PENDIENTE",(TODAY()-AVANCE[[#This Row],[FECHA TERMINO  PLANIFICADO]]),0)</f>
        <v>0</v>
      </c>
      <c r="CS640" s="42" t="str" cm="1">
        <f t="array" ref="CS640">_xlfn.TEXTJOIN(" | ",TRUE,IF(SUMPRODUCT((BF640:CQ640&lt;1)*(PARTIDAS!$I$2:$AT$2="OBRA GRUESA"))&gt;0,"OBRA GRUESA: "&amp;_xlfn.TEXTJOIN(", ",TRUE,IF((BF640:CQ640&lt;1)*(PARTIDAS!$I$2:$AT$2="OBRA GRUESA"),PARTIDAS!$I$1:$AT$1,"")),""),IF(SUMPRODUCT((BF640:CQ640&lt;1)*(PARTIDAS!$I$2:$AT$2="SANITARIOS"))&gt;0,"SANITARIOS: "&amp;_xlfn.TEXTJOIN(", ",TRUE,IF((BF640:CQ640&lt;1)*(PARTIDAS!$I$2:$AT$2="SANITARIOS"),PARTIDAS!$I$1:$AT$1,"")),""),IF(SUMPRODUCT((BF640:CQ640&lt;1)*(PARTIDAS!$I$2:$AT$2="ELÉCTRICO"))&gt;0,"ELÉCTRICO: "&amp;_xlfn.TEXTJOIN(", ",TRUE,IF((BF640:CQ640&lt;1)*(PARTIDAS!$I$2:$AT$2="ELÉCTRICO"),PARTIDAS!$I$1:$AT$1,"")),""),IF(SUMPRODUCT((BF640:CQ640&lt;1)*(PARTIDAS!$I$2:$AT$2="TERMINACIONES"))&gt;0,"TERMINACIONES: "&amp;_xlfn.TEXTJOIN(", ",TRUE,IF((BF640:CQ640&lt;1)*(PARTIDAS!$I$2:$AT$2="TERMINACIONES"),PARTIDAS!$I$1:$AT$1,"")),""))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0" s="45" t="str" cm="1">
        <f t="array" ref="CT640">_xlfn.TEXTJOIN(", ",TRUE,IF(SUMPRODUCT((BF640:CQ640&lt;1)*(PARTIDAS!$I$2:$AT$2="OBRA GRUESA"))&gt;0,"OBRA GRUESA",""),IF(SUMPRODUCT((BF640:CQ640&lt;1)*(PARTIDAS!$I$2:$AT$2="SANITARIOS"))&gt;0,"SANITARIOS",""),IF(SUMPRODUCT((BF640:CQ640&lt;1)*(PARTIDAS!$I$2:$AT$2="ELÉCTRICO"))&gt;0,"ELÉCTRICO",""),IF(SUMPRODUCT((BF640:CQ640&lt;1)*(PARTIDAS!$I$2:$AT$2="TERMINACIONES"))&gt;0,"TERMINACIONES",""))</f>
        <v>OBRA GRUESA, SANITARIOS, ELÉCTRICO, TERMINACIONES</v>
      </c>
      <c r="CU640" s="46" cm="1">
        <f t="array" ref="CU640">SUMPRODUCT(--(BF640:CQ640&lt;1))</f>
        <v>38</v>
      </c>
    </row>
    <row r="641" spans="1:99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46181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 s="3" t="str">
        <f>+IF(AVANCE[[#This Row],[% AVANCE]]=100%,"MODULO TERMINADO",IF(AVANCE[[#This Row],[FECHA INICIO REAL]]="","MODULO NO INICIADO","PENDIENTE"))</f>
        <v>MODULO NO INICIADO</v>
      </c>
      <c r="BF641" s="3">
        <f>+IF(AVANCE[[#This Row],[VENTANAS]]=8.10810810810811%,100%,AVANCE[[#This Row],[VENTANAS]])</f>
        <v>0</v>
      </c>
      <c r="BG641" s="3">
        <f>+IF(AVANCE[[#This Row],[PISO]]=N$2,100%,AVANCE[[#This Row],[PISO]])</f>
        <v>0</v>
      </c>
      <c r="BH641" s="3">
        <f>+IF(AVANCE[[#This Row],[TABIQUES]]=O$2,100%,AVANCE[[#This Row],[TABIQUES]])</f>
        <v>0</v>
      </c>
      <c r="BI641" s="3">
        <f>+IF(AVANCE[[#This Row],[MUROS]]=P$2,100%,AVANCE[[#This Row],[MUROS]])</f>
        <v>0</v>
      </c>
      <c r="BJ641" s="3">
        <f>+IF(AVANCE[[#This Row],[CIELO]]=Q$2,100%,AVANCE[[#This Row],[CIELO]])</f>
        <v>0</v>
      </c>
      <c r="BK641" s="3">
        <f>+IF(AVANCE[[#This Row],[BALCÓN]]=R$2,100%,AVANCE[[#This Row],[BALCÓN]])</f>
        <v>0</v>
      </c>
      <c r="BL641" s="3">
        <f>+IF(AVANCE[[#This Row],[RED ALCANTARILLADO]]=U$2,100%,AVANCE[[#This Row],[RED ALCANTARILLADO]])</f>
        <v>0</v>
      </c>
      <c r="BM641" s="3">
        <f>+IF(AVANCE[[#This Row],[RED DE AGUA]]=V$2,100%,AVANCE[[#This Row],[RED DE AGUA]])</f>
        <v>0</v>
      </c>
      <c r="BN641" s="3">
        <f>+IF(AVANCE[[#This Row],[VENTILACIONES]]=W$2,100%,AVANCE[[#This Row],[VENTILACIONES]])</f>
        <v>0</v>
      </c>
      <c r="BO641" s="3">
        <f>+IF(AVANCE[[#This Row],[TINA]]=X$2,100%,AVANCE[[#This Row],[TINA]])</f>
        <v>0</v>
      </c>
      <c r="BP641" s="3">
        <f>+IF(AVANCE[[#This Row],[WC]]=Y$2,100%,AVANCE[[#This Row],[WC]])</f>
        <v>0</v>
      </c>
      <c r="BQ641" s="3">
        <f>+IF(AVANCE[[#This Row],[LAVAMANOS / LAVAPLATOS / LAVADERO]]=Z$2,100%,AVANCE[[#This Row],[LAVAMANOS / LAVAPLATOS / LAVADERO]])</f>
        <v>0</v>
      </c>
      <c r="BR641" s="3">
        <f>+IF(AVANCE[[#This Row],[CANALIZACIÓN]]=AC$2,100%,AVANCE[[#This Row],[CANALIZACIÓN]])</f>
        <v>0</v>
      </c>
      <c r="BS641" s="3">
        <f>+IF(AVANCE[[#This Row],[CABLEADO]]=AD$2,100%,AVANCE[[#This Row],[CABLEADO]])</f>
        <v>0</v>
      </c>
      <c r="BT641" s="3">
        <f>+IF(AVANCE[[#This Row],[ARTEFACTOS]]=AE$2,100%,AVANCE[[#This Row],[ARTEFACTOS]])</f>
        <v>0</v>
      </c>
      <c r="BU641" s="3">
        <f>+IF(AVANCE[[#This Row],[TABLERO]]=AF$2,100%,AVANCE[[#This Row],[TABLERO]])</f>
        <v>0</v>
      </c>
      <c r="BV641" s="3">
        <f>+IF(AVANCE[[#This Row],[CAJA PAU]]=AG$2,100%,AVANCE[[#This Row],[CAJA PAU]])</f>
        <v>0</v>
      </c>
      <c r="BW641" s="3">
        <f>+IF(AVANCE[[#This Row],[INSTALACION VINILICO]]=AJ$2,100%,AVANCE[[#This Row],[INSTALACION VINILICO]])</f>
        <v>0</v>
      </c>
      <c r="BX641" s="3">
        <f>+IF(AVANCE[[#This Row],[OSB CUBIERTA]]=AK$2,100%,AVANCE[[#This Row],[OSB CUBIERTA]])</f>
        <v>0</v>
      </c>
      <c r="BY641" s="3">
        <f>+IF(AVANCE[[#This Row],[BARANDA BALCON]]=AL$2,100%,AVANCE[[#This Row],[BARANDA BALCON]])</f>
        <v>0</v>
      </c>
      <c r="BZ641" s="3">
        <f>+IF(AVANCE[[#This Row],[OSB EXTERIOR]]=AM$2,100%,AVANCE[[#This Row],[OSB EXTERIOR]])</f>
        <v>0</v>
      </c>
      <c r="CA641" s="3">
        <f>+IF(AVANCE[[#This Row],[SMART PANEL]]=AN$2,100%,AVANCE[[#This Row],[SMART PANEL]])</f>
        <v>0</v>
      </c>
      <c r="CB641" s="3">
        <f>+IF(AVANCE[[#This Row],[PINTURA EXTERIOR]]=AO$2,100%,AVANCE[[#This Row],[PINTURA EXTERIOR]])</f>
        <v>0</v>
      </c>
      <c r="CC641" s="3">
        <f>+IF(AVANCE[[#This Row],[ZOCALOS LOGIA]]=AP$2,100%,AVANCE[[#This Row],[ZOCALOS LOGIA]])</f>
        <v>0</v>
      </c>
      <c r="CD641" s="3">
        <f>+IF(AVANCE[[#This Row],[MOLDURAS]]=AQ$2,100%,AVANCE[[#This Row],[MOLDURAS]])</f>
        <v>0</v>
      </c>
      <c r="CE641" s="3">
        <f>+IF(AVANCE[[#This Row],[PILASTREO]]=AR$2,100%,AVANCE[[#This Row],[PILASTREO]])</f>
        <v>0</v>
      </c>
      <c r="CF641" s="3">
        <f>+IF(AVANCE[[#This Row],[CELOSIAS]]=AS$2,100%,AVANCE[[#This Row],[CELOSIAS]])</f>
        <v>0</v>
      </c>
      <c r="CG641" s="3">
        <f>+IF(AVANCE[[#This Row],[VENTANAS]]=AT$2,100%,AVANCE[[#This Row],[VENTANAS]])</f>
        <v>0</v>
      </c>
      <c r="CH641" s="3">
        <f>+IF(AVANCE[[#This Row],[PUERTAS ACCESO - LOGIA - BANO]]=AU$2,100%,AVANCE[[#This Row],[PUERTAS ACCESO - LOGIA - BANO]])</f>
        <v>0</v>
      </c>
      <c r="CI641" s="3">
        <f>+IF(AVANCE[[#This Row],[CERRADURAS]]=AV$2,100%,AVANCE[[#This Row],[CERRADURAS]])</f>
        <v>0</v>
      </c>
      <c r="CJ641" s="3">
        <f>+IF(AVANCE[[#This Row],[REVESTIMIENTO INTERIOR ZONA SECA]]=AW$2,100%,AVANCE[[#This Row],[REVESTIMIENTO INTERIOR ZONA SECA]])</f>
        <v>0</v>
      </c>
      <c r="CK641" s="3">
        <f>+IF(AVANCE[[#This Row],[REVESTIMIENTO INTERIOR ZONAS HUMEDAS]]=AX$2,100%,AVANCE[[#This Row],[REVESTIMIENTO INTERIOR ZONAS HUMEDAS]])</f>
        <v>0</v>
      </c>
      <c r="CL641" s="3">
        <f>+IF(AVANCE[[#This Row],[MEMBRANA CIELO]]=AY$2,100%,AVANCE[[#This Row],[MEMBRANA CIELO]])</f>
        <v>0</v>
      </c>
      <c r="CM641" s="3">
        <f>+IF(AVANCE[[#This Row],[LIMPIEZA FINAL]]=AZ$2,100%,AVANCE[[#This Row],[LIMPIEZA FINAL]])</f>
        <v>0</v>
      </c>
      <c r="CN641" s="3">
        <f>+IF(AVANCE[[#This Row],[PUERTAS DORMITORIO]]=BA$2,100%,AVANCE[[#This Row],[PUERTAS DORMITORIO]])</f>
        <v>0</v>
      </c>
      <c r="CO641" s="3">
        <f>+IF(AVANCE[[#This Row],[REVESTIMIENTO INTERIOR BANO]]=BB$2,100%,AVANCE[[#This Row],[REVESTIMIENTO INTERIOR BANO]])</f>
        <v>0</v>
      </c>
      <c r="CP641" s="3">
        <f>+IF(AVANCE[[#This Row],[MUEBLE LAVAPLATOS]]=BC$2,100%,AVANCE[[#This Row],[MUEBLE LAVAPLATOS]])</f>
        <v>0</v>
      </c>
      <c r="CQ641" s="3">
        <f>+IF(AVANCE[[#This Row],[IMPERMEABILIZACION BANO - COCINA LOGIA]]=BD$2,100%,AVANCE[[#This Row],[IMPERMEABILIZACION BANO - COCINA LOGIA]])</f>
        <v>0</v>
      </c>
      <c r="CR641" s="40">
        <f ca="1">+IF(AVANCE[[#This Row],[ESTADO MODULO]]="PENDIENTE",(TODAY()-AVANCE[[#This Row],[FECHA TERMINO  PLANIFICADO]]),0)</f>
        <v>0</v>
      </c>
      <c r="CS641" s="42" t="str" cm="1">
        <f t="array" ref="CS641">_xlfn.TEXTJOIN(" | ",TRUE,IF(SUMPRODUCT((BF641:CQ641&lt;1)*(PARTIDAS!$I$2:$AT$2="OBRA GRUESA"))&gt;0,"OBRA GRUESA: "&amp;_xlfn.TEXTJOIN(", ",TRUE,IF((BF641:CQ641&lt;1)*(PARTIDAS!$I$2:$AT$2="OBRA GRUESA"),PARTIDAS!$I$1:$AT$1,"")),""),IF(SUMPRODUCT((BF641:CQ641&lt;1)*(PARTIDAS!$I$2:$AT$2="SANITARIOS"))&gt;0,"SANITARIOS: "&amp;_xlfn.TEXTJOIN(", ",TRUE,IF((BF641:CQ641&lt;1)*(PARTIDAS!$I$2:$AT$2="SANITARIOS"),PARTIDAS!$I$1:$AT$1,"")),""),IF(SUMPRODUCT((BF641:CQ641&lt;1)*(PARTIDAS!$I$2:$AT$2="ELÉCTRICO"))&gt;0,"ELÉCTRICO: "&amp;_xlfn.TEXTJOIN(", ",TRUE,IF((BF641:CQ641&lt;1)*(PARTIDAS!$I$2:$AT$2="ELÉCTRICO"),PARTIDAS!$I$1:$AT$1,"")),""),IF(SUMPRODUCT((BF641:CQ641&lt;1)*(PARTIDAS!$I$2:$AT$2="TERMINACIONES"))&gt;0,"TERMINACIONES: "&amp;_xlfn.TEXTJOIN(", ",TRUE,IF((BF641:CQ641&lt;1)*(PARTIDAS!$I$2:$AT$2="TERMINACIONES"),PARTIDAS!$I$1:$AT$1,"")),""))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1" s="45" t="str" cm="1">
        <f t="array" ref="CT641">_xlfn.TEXTJOIN(", ",TRUE,IF(SUMPRODUCT((BF641:CQ641&lt;1)*(PARTIDAS!$I$2:$AT$2="OBRA GRUESA"))&gt;0,"OBRA GRUESA",""),IF(SUMPRODUCT((BF641:CQ641&lt;1)*(PARTIDAS!$I$2:$AT$2="SANITARIOS"))&gt;0,"SANITARIOS",""),IF(SUMPRODUCT((BF641:CQ641&lt;1)*(PARTIDAS!$I$2:$AT$2="ELÉCTRICO"))&gt;0,"ELÉCTRICO",""),IF(SUMPRODUCT((BF641:CQ641&lt;1)*(PARTIDAS!$I$2:$AT$2="TERMINACIONES"))&gt;0,"TERMINACIONES",""))</f>
        <v>OBRA GRUESA, SANITARIOS, ELÉCTRICO, TERMINACIONES</v>
      </c>
      <c r="CU641" s="46" cm="1">
        <f t="array" ref="CU641">SUMPRODUCT(--(BF641:CQ641&lt;1))</f>
        <v>38</v>
      </c>
    </row>
    <row r="642" spans="1:99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46181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 s="3" t="str">
        <f>+IF(AVANCE[[#This Row],[% AVANCE]]=100%,"MODULO TERMINADO",IF(AVANCE[[#This Row],[FECHA INICIO REAL]]="","MODULO NO INICIADO","PENDIENTE"))</f>
        <v>MODULO NO INICIADO</v>
      </c>
      <c r="BF642" s="3">
        <f>+IF(AVANCE[[#This Row],[VENTANAS]]=8.10810810810811%,100%,AVANCE[[#This Row],[VENTANAS]])</f>
        <v>0</v>
      </c>
      <c r="BG642" s="3">
        <f>+IF(AVANCE[[#This Row],[PISO]]=N$2,100%,AVANCE[[#This Row],[PISO]])</f>
        <v>0</v>
      </c>
      <c r="BH642" s="3">
        <f>+IF(AVANCE[[#This Row],[TABIQUES]]=O$2,100%,AVANCE[[#This Row],[TABIQUES]])</f>
        <v>0</v>
      </c>
      <c r="BI642" s="3">
        <f>+IF(AVANCE[[#This Row],[MUROS]]=P$2,100%,AVANCE[[#This Row],[MUROS]])</f>
        <v>0</v>
      </c>
      <c r="BJ642" s="3">
        <f>+IF(AVANCE[[#This Row],[CIELO]]=Q$2,100%,AVANCE[[#This Row],[CIELO]])</f>
        <v>0</v>
      </c>
      <c r="BK642" s="3">
        <f>+IF(AVANCE[[#This Row],[BALCÓN]]=R$2,100%,AVANCE[[#This Row],[BALCÓN]])</f>
        <v>0</v>
      </c>
      <c r="BL642" s="3">
        <f>+IF(AVANCE[[#This Row],[RED ALCANTARILLADO]]=U$2,100%,AVANCE[[#This Row],[RED ALCANTARILLADO]])</f>
        <v>0</v>
      </c>
      <c r="BM642" s="3">
        <f>+IF(AVANCE[[#This Row],[RED DE AGUA]]=V$2,100%,AVANCE[[#This Row],[RED DE AGUA]])</f>
        <v>0</v>
      </c>
      <c r="BN642" s="3">
        <f>+IF(AVANCE[[#This Row],[VENTILACIONES]]=W$2,100%,AVANCE[[#This Row],[VENTILACIONES]])</f>
        <v>0</v>
      </c>
      <c r="BO642" s="3">
        <f>+IF(AVANCE[[#This Row],[TINA]]=X$2,100%,AVANCE[[#This Row],[TINA]])</f>
        <v>0</v>
      </c>
      <c r="BP642" s="3">
        <f>+IF(AVANCE[[#This Row],[WC]]=Y$2,100%,AVANCE[[#This Row],[WC]])</f>
        <v>0</v>
      </c>
      <c r="BQ642" s="3">
        <f>+IF(AVANCE[[#This Row],[LAVAMANOS / LAVAPLATOS / LAVADERO]]=Z$2,100%,AVANCE[[#This Row],[LAVAMANOS / LAVAPLATOS / LAVADERO]])</f>
        <v>0</v>
      </c>
      <c r="BR642" s="3">
        <f>+IF(AVANCE[[#This Row],[CANALIZACIÓN]]=AC$2,100%,AVANCE[[#This Row],[CANALIZACIÓN]])</f>
        <v>0</v>
      </c>
      <c r="BS642" s="3">
        <f>+IF(AVANCE[[#This Row],[CABLEADO]]=AD$2,100%,AVANCE[[#This Row],[CABLEADO]])</f>
        <v>0</v>
      </c>
      <c r="BT642" s="3">
        <f>+IF(AVANCE[[#This Row],[ARTEFACTOS]]=AE$2,100%,AVANCE[[#This Row],[ARTEFACTOS]])</f>
        <v>0</v>
      </c>
      <c r="BU642" s="3">
        <f>+IF(AVANCE[[#This Row],[TABLERO]]=AF$2,100%,AVANCE[[#This Row],[TABLERO]])</f>
        <v>0</v>
      </c>
      <c r="BV642" s="3">
        <f>+IF(AVANCE[[#This Row],[CAJA PAU]]=AG$2,100%,AVANCE[[#This Row],[CAJA PAU]])</f>
        <v>0</v>
      </c>
      <c r="BW642" s="3">
        <f>+IF(AVANCE[[#This Row],[INSTALACION VINILICO]]=AJ$2,100%,AVANCE[[#This Row],[INSTALACION VINILICO]])</f>
        <v>0</v>
      </c>
      <c r="BX642" s="3">
        <f>+IF(AVANCE[[#This Row],[OSB CUBIERTA]]=AK$2,100%,AVANCE[[#This Row],[OSB CUBIERTA]])</f>
        <v>0</v>
      </c>
      <c r="BY642" s="3">
        <f>+IF(AVANCE[[#This Row],[BARANDA BALCON]]=AL$2,100%,AVANCE[[#This Row],[BARANDA BALCON]])</f>
        <v>0</v>
      </c>
      <c r="BZ642" s="3">
        <f>+IF(AVANCE[[#This Row],[OSB EXTERIOR]]=AM$2,100%,AVANCE[[#This Row],[OSB EXTERIOR]])</f>
        <v>0</v>
      </c>
      <c r="CA642" s="3">
        <f>+IF(AVANCE[[#This Row],[SMART PANEL]]=AN$2,100%,AVANCE[[#This Row],[SMART PANEL]])</f>
        <v>0</v>
      </c>
      <c r="CB642" s="3">
        <f>+IF(AVANCE[[#This Row],[PINTURA EXTERIOR]]=AO$2,100%,AVANCE[[#This Row],[PINTURA EXTERIOR]])</f>
        <v>0</v>
      </c>
      <c r="CC642" s="3">
        <f>+IF(AVANCE[[#This Row],[ZOCALOS LOGIA]]=AP$2,100%,AVANCE[[#This Row],[ZOCALOS LOGIA]])</f>
        <v>0</v>
      </c>
      <c r="CD642" s="3">
        <f>+IF(AVANCE[[#This Row],[MOLDURAS]]=AQ$2,100%,AVANCE[[#This Row],[MOLDURAS]])</f>
        <v>0</v>
      </c>
      <c r="CE642" s="3">
        <f>+IF(AVANCE[[#This Row],[PILASTREO]]=AR$2,100%,AVANCE[[#This Row],[PILASTREO]])</f>
        <v>0</v>
      </c>
      <c r="CF642" s="3">
        <f>+IF(AVANCE[[#This Row],[CELOSIAS]]=AS$2,100%,AVANCE[[#This Row],[CELOSIAS]])</f>
        <v>0</v>
      </c>
      <c r="CG642" s="3">
        <f>+IF(AVANCE[[#This Row],[VENTANAS]]=AT$2,100%,AVANCE[[#This Row],[VENTANAS]])</f>
        <v>0</v>
      </c>
      <c r="CH642" s="3">
        <f>+IF(AVANCE[[#This Row],[PUERTAS ACCESO - LOGIA - BANO]]=AU$2,100%,AVANCE[[#This Row],[PUERTAS ACCESO - LOGIA - BANO]])</f>
        <v>0</v>
      </c>
      <c r="CI642" s="3">
        <f>+IF(AVANCE[[#This Row],[CERRADURAS]]=AV$2,100%,AVANCE[[#This Row],[CERRADURAS]])</f>
        <v>0</v>
      </c>
      <c r="CJ642" s="3">
        <f>+IF(AVANCE[[#This Row],[REVESTIMIENTO INTERIOR ZONA SECA]]=AW$2,100%,AVANCE[[#This Row],[REVESTIMIENTO INTERIOR ZONA SECA]])</f>
        <v>0</v>
      </c>
      <c r="CK642" s="3">
        <f>+IF(AVANCE[[#This Row],[REVESTIMIENTO INTERIOR ZONAS HUMEDAS]]=AX$2,100%,AVANCE[[#This Row],[REVESTIMIENTO INTERIOR ZONAS HUMEDAS]])</f>
        <v>0</v>
      </c>
      <c r="CL642" s="3">
        <f>+IF(AVANCE[[#This Row],[MEMBRANA CIELO]]=AY$2,100%,AVANCE[[#This Row],[MEMBRANA CIELO]])</f>
        <v>0</v>
      </c>
      <c r="CM642" s="3">
        <f>+IF(AVANCE[[#This Row],[LIMPIEZA FINAL]]=AZ$2,100%,AVANCE[[#This Row],[LIMPIEZA FINAL]])</f>
        <v>0</v>
      </c>
      <c r="CN642" s="3">
        <f>+IF(AVANCE[[#This Row],[PUERTAS DORMITORIO]]=BA$2,100%,AVANCE[[#This Row],[PUERTAS DORMITORIO]])</f>
        <v>0</v>
      </c>
      <c r="CO642" s="3">
        <f>+IF(AVANCE[[#This Row],[REVESTIMIENTO INTERIOR BANO]]=BB$2,100%,AVANCE[[#This Row],[REVESTIMIENTO INTERIOR BANO]])</f>
        <v>0</v>
      </c>
      <c r="CP642" s="3">
        <f>+IF(AVANCE[[#This Row],[MUEBLE LAVAPLATOS]]=BC$2,100%,AVANCE[[#This Row],[MUEBLE LAVAPLATOS]])</f>
        <v>0</v>
      </c>
      <c r="CQ642" s="3">
        <f>+IF(AVANCE[[#This Row],[IMPERMEABILIZACION BANO - COCINA LOGIA]]=BD$2,100%,AVANCE[[#This Row],[IMPERMEABILIZACION BANO - COCINA LOGIA]])</f>
        <v>0</v>
      </c>
      <c r="CR642" s="40">
        <f ca="1">+IF(AVANCE[[#This Row],[ESTADO MODULO]]="PENDIENTE",(TODAY()-AVANCE[[#This Row],[FECHA TERMINO  PLANIFICADO]]),0)</f>
        <v>0</v>
      </c>
      <c r="CS642" s="42" t="str" cm="1">
        <f t="array" ref="CS642">_xlfn.TEXTJOIN(" | ",TRUE,IF(SUMPRODUCT((BF642:CQ642&lt;1)*(PARTIDAS!$I$2:$AT$2="OBRA GRUESA"))&gt;0,"OBRA GRUESA: "&amp;_xlfn.TEXTJOIN(", ",TRUE,IF((BF642:CQ642&lt;1)*(PARTIDAS!$I$2:$AT$2="OBRA GRUESA"),PARTIDAS!$I$1:$AT$1,"")),""),IF(SUMPRODUCT((BF642:CQ642&lt;1)*(PARTIDAS!$I$2:$AT$2="SANITARIOS"))&gt;0,"SANITARIOS: "&amp;_xlfn.TEXTJOIN(", ",TRUE,IF((BF642:CQ642&lt;1)*(PARTIDAS!$I$2:$AT$2="SANITARIOS"),PARTIDAS!$I$1:$AT$1,"")),""),IF(SUMPRODUCT((BF642:CQ642&lt;1)*(PARTIDAS!$I$2:$AT$2="ELÉCTRICO"))&gt;0,"ELÉCTRICO: "&amp;_xlfn.TEXTJOIN(", ",TRUE,IF((BF642:CQ642&lt;1)*(PARTIDAS!$I$2:$AT$2="ELÉCTRICO"),PARTIDAS!$I$1:$AT$1,"")),""),IF(SUMPRODUCT((BF642:CQ642&lt;1)*(PARTIDAS!$I$2:$AT$2="TERMINACIONES"))&gt;0,"TERMINACIONES: "&amp;_xlfn.TEXTJOIN(", ",TRUE,IF((BF642:CQ642&lt;1)*(PARTIDAS!$I$2:$AT$2="TERMINACIONES"),PARTIDAS!$I$1:$AT$1,"")),""))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2" s="45" t="str" cm="1">
        <f t="array" ref="CT642">_xlfn.TEXTJOIN(", ",TRUE,IF(SUMPRODUCT((BF642:CQ642&lt;1)*(PARTIDAS!$I$2:$AT$2="OBRA GRUESA"))&gt;0,"OBRA GRUESA",""),IF(SUMPRODUCT((BF642:CQ642&lt;1)*(PARTIDAS!$I$2:$AT$2="SANITARIOS"))&gt;0,"SANITARIOS",""),IF(SUMPRODUCT((BF642:CQ642&lt;1)*(PARTIDAS!$I$2:$AT$2="ELÉCTRICO"))&gt;0,"ELÉCTRICO",""),IF(SUMPRODUCT((BF642:CQ642&lt;1)*(PARTIDAS!$I$2:$AT$2="TERMINACIONES"))&gt;0,"TERMINACIONES",""))</f>
        <v>OBRA GRUESA, SANITARIOS, ELÉCTRICO, TERMINACIONES</v>
      </c>
      <c r="CU642" s="46" cm="1">
        <f t="array" ref="CU642">SUMPRODUCT(--(BF642:CQ642&lt;1))</f>
        <v>38</v>
      </c>
    </row>
    <row r="643" spans="1:99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46181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 s="3" t="str">
        <f>+IF(AVANCE[[#This Row],[% AVANCE]]=100%,"MODULO TERMINADO",IF(AVANCE[[#This Row],[FECHA INICIO REAL]]="","MODULO NO INICIADO","PENDIENTE"))</f>
        <v>MODULO NO INICIADO</v>
      </c>
      <c r="BF643" s="3">
        <f>+IF(AVANCE[[#This Row],[VENTANAS]]=8.10810810810811%,100%,AVANCE[[#This Row],[VENTANAS]])</f>
        <v>0</v>
      </c>
      <c r="BG643" s="3">
        <f>+IF(AVANCE[[#This Row],[PISO]]=N$2,100%,AVANCE[[#This Row],[PISO]])</f>
        <v>0</v>
      </c>
      <c r="BH643" s="3">
        <f>+IF(AVANCE[[#This Row],[TABIQUES]]=O$2,100%,AVANCE[[#This Row],[TABIQUES]])</f>
        <v>0</v>
      </c>
      <c r="BI643" s="3">
        <f>+IF(AVANCE[[#This Row],[MUROS]]=P$2,100%,AVANCE[[#This Row],[MUROS]])</f>
        <v>0</v>
      </c>
      <c r="BJ643" s="3">
        <f>+IF(AVANCE[[#This Row],[CIELO]]=Q$2,100%,AVANCE[[#This Row],[CIELO]])</f>
        <v>0</v>
      </c>
      <c r="BK643" s="3">
        <f>+IF(AVANCE[[#This Row],[BALCÓN]]=R$2,100%,AVANCE[[#This Row],[BALCÓN]])</f>
        <v>0</v>
      </c>
      <c r="BL643" s="3">
        <f>+IF(AVANCE[[#This Row],[RED ALCANTARILLADO]]=U$2,100%,AVANCE[[#This Row],[RED ALCANTARILLADO]])</f>
        <v>0</v>
      </c>
      <c r="BM643" s="3">
        <f>+IF(AVANCE[[#This Row],[RED DE AGUA]]=V$2,100%,AVANCE[[#This Row],[RED DE AGUA]])</f>
        <v>0</v>
      </c>
      <c r="BN643" s="3">
        <f>+IF(AVANCE[[#This Row],[VENTILACIONES]]=W$2,100%,AVANCE[[#This Row],[VENTILACIONES]])</f>
        <v>0</v>
      </c>
      <c r="BO643" s="3">
        <f>+IF(AVANCE[[#This Row],[TINA]]=X$2,100%,AVANCE[[#This Row],[TINA]])</f>
        <v>0</v>
      </c>
      <c r="BP643" s="3">
        <f>+IF(AVANCE[[#This Row],[WC]]=Y$2,100%,AVANCE[[#This Row],[WC]])</f>
        <v>0</v>
      </c>
      <c r="BQ643" s="3">
        <f>+IF(AVANCE[[#This Row],[LAVAMANOS / LAVAPLATOS / LAVADERO]]=Z$2,100%,AVANCE[[#This Row],[LAVAMANOS / LAVAPLATOS / LAVADERO]])</f>
        <v>0</v>
      </c>
      <c r="BR643" s="3">
        <f>+IF(AVANCE[[#This Row],[CANALIZACIÓN]]=AC$2,100%,AVANCE[[#This Row],[CANALIZACIÓN]])</f>
        <v>0</v>
      </c>
      <c r="BS643" s="3">
        <f>+IF(AVANCE[[#This Row],[CABLEADO]]=AD$2,100%,AVANCE[[#This Row],[CABLEADO]])</f>
        <v>0</v>
      </c>
      <c r="BT643" s="3">
        <f>+IF(AVANCE[[#This Row],[ARTEFACTOS]]=AE$2,100%,AVANCE[[#This Row],[ARTEFACTOS]])</f>
        <v>0</v>
      </c>
      <c r="BU643" s="3">
        <f>+IF(AVANCE[[#This Row],[TABLERO]]=AF$2,100%,AVANCE[[#This Row],[TABLERO]])</f>
        <v>0</v>
      </c>
      <c r="BV643" s="3">
        <f>+IF(AVANCE[[#This Row],[CAJA PAU]]=AG$2,100%,AVANCE[[#This Row],[CAJA PAU]])</f>
        <v>0</v>
      </c>
      <c r="BW643" s="3">
        <f>+IF(AVANCE[[#This Row],[INSTALACION VINILICO]]=AJ$2,100%,AVANCE[[#This Row],[INSTALACION VINILICO]])</f>
        <v>0</v>
      </c>
      <c r="BX643" s="3">
        <f>+IF(AVANCE[[#This Row],[OSB CUBIERTA]]=AK$2,100%,AVANCE[[#This Row],[OSB CUBIERTA]])</f>
        <v>0</v>
      </c>
      <c r="BY643" s="3">
        <f>+IF(AVANCE[[#This Row],[BARANDA BALCON]]=AL$2,100%,AVANCE[[#This Row],[BARANDA BALCON]])</f>
        <v>0</v>
      </c>
      <c r="BZ643" s="3">
        <f>+IF(AVANCE[[#This Row],[OSB EXTERIOR]]=AM$2,100%,AVANCE[[#This Row],[OSB EXTERIOR]])</f>
        <v>0</v>
      </c>
      <c r="CA643" s="3">
        <f>+IF(AVANCE[[#This Row],[SMART PANEL]]=AN$2,100%,AVANCE[[#This Row],[SMART PANEL]])</f>
        <v>0</v>
      </c>
      <c r="CB643" s="3">
        <f>+IF(AVANCE[[#This Row],[PINTURA EXTERIOR]]=AO$2,100%,AVANCE[[#This Row],[PINTURA EXTERIOR]])</f>
        <v>0</v>
      </c>
      <c r="CC643" s="3">
        <f>+IF(AVANCE[[#This Row],[ZOCALOS LOGIA]]=AP$2,100%,AVANCE[[#This Row],[ZOCALOS LOGIA]])</f>
        <v>0</v>
      </c>
      <c r="CD643" s="3">
        <f>+IF(AVANCE[[#This Row],[MOLDURAS]]=AQ$2,100%,AVANCE[[#This Row],[MOLDURAS]])</f>
        <v>0</v>
      </c>
      <c r="CE643" s="3">
        <f>+IF(AVANCE[[#This Row],[PILASTREO]]=AR$2,100%,AVANCE[[#This Row],[PILASTREO]])</f>
        <v>0</v>
      </c>
      <c r="CF643" s="3">
        <f>+IF(AVANCE[[#This Row],[CELOSIAS]]=AS$2,100%,AVANCE[[#This Row],[CELOSIAS]])</f>
        <v>0</v>
      </c>
      <c r="CG643" s="3">
        <f>+IF(AVANCE[[#This Row],[VENTANAS]]=AT$2,100%,AVANCE[[#This Row],[VENTANAS]])</f>
        <v>0</v>
      </c>
      <c r="CH643" s="3">
        <f>+IF(AVANCE[[#This Row],[PUERTAS ACCESO - LOGIA - BANO]]=AU$2,100%,AVANCE[[#This Row],[PUERTAS ACCESO - LOGIA - BANO]])</f>
        <v>0</v>
      </c>
      <c r="CI643" s="3">
        <f>+IF(AVANCE[[#This Row],[CERRADURAS]]=AV$2,100%,AVANCE[[#This Row],[CERRADURAS]])</f>
        <v>0</v>
      </c>
      <c r="CJ643" s="3">
        <f>+IF(AVANCE[[#This Row],[REVESTIMIENTO INTERIOR ZONA SECA]]=AW$2,100%,AVANCE[[#This Row],[REVESTIMIENTO INTERIOR ZONA SECA]])</f>
        <v>0</v>
      </c>
      <c r="CK643" s="3">
        <f>+IF(AVANCE[[#This Row],[REVESTIMIENTO INTERIOR ZONAS HUMEDAS]]=AX$2,100%,AVANCE[[#This Row],[REVESTIMIENTO INTERIOR ZONAS HUMEDAS]])</f>
        <v>0</v>
      </c>
      <c r="CL643" s="3">
        <f>+IF(AVANCE[[#This Row],[MEMBRANA CIELO]]=AY$2,100%,AVANCE[[#This Row],[MEMBRANA CIELO]])</f>
        <v>0</v>
      </c>
      <c r="CM643" s="3">
        <f>+IF(AVANCE[[#This Row],[LIMPIEZA FINAL]]=AZ$2,100%,AVANCE[[#This Row],[LIMPIEZA FINAL]])</f>
        <v>0</v>
      </c>
      <c r="CN643" s="3">
        <f>+IF(AVANCE[[#This Row],[PUERTAS DORMITORIO]]=BA$2,100%,AVANCE[[#This Row],[PUERTAS DORMITORIO]])</f>
        <v>0</v>
      </c>
      <c r="CO643" s="3">
        <f>+IF(AVANCE[[#This Row],[REVESTIMIENTO INTERIOR BANO]]=BB$2,100%,AVANCE[[#This Row],[REVESTIMIENTO INTERIOR BANO]])</f>
        <v>0</v>
      </c>
      <c r="CP643" s="3">
        <f>+IF(AVANCE[[#This Row],[MUEBLE LAVAPLATOS]]=BC$2,100%,AVANCE[[#This Row],[MUEBLE LAVAPLATOS]])</f>
        <v>0</v>
      </c>
      <c r="CQ643" s="3">
        <f>+IF(AVANCE[[#This Row],[IMPERMEABILIZACION BANO - COCINA LOGIA]]=BD$2,100%,AVANCE[[#This Row],[IMPERMEABILIZACION BANO - COCINA LOGIA]])</f>
        <v>0</v>
      </c>
      <c r="CR643" s="40">
        <f ca="1">+IF(AVANCE[[#This Row],[ESTADO MODULO]]="PENDIENTE",(TODAY()-AVANCE[[#This Row],[FECHA TERMINO  PLANIFICADO]]),0)</f>
        <v>0</v>
      </c>
      <c r="CS643" s="42" t="str" cm="1">
        <f t="array" ref="CS643">_xlfn.TEXTJOIN(" | ",TRUE,IF(SUMPRODUCT((BF643:CQ643&lt;1)*(PARTIDAS!$I$2:$AT$2="OBRA GRUESA"))&gt;0,"OBRA GRUESA: "&amp;_xlfn.TEXTJOIN(", ",TRUE,IF((BF643:CQ643&lt;1)*(PARTIDAS!$I$2:$AT$2="OBRA GRUESA"),PARTIDAS!$I$1:$AT$1,"")),""),IF(SUMPRODUCT((BF643:CQ643&lt;1)*(PARTIDAS!$I$2:$AT$2="SANITARIOS"))&gt;0,"SANITARIOS: "&amp;_xlfn.TEXTJOIN(", ",TRUE,IF((BF643:CQ643&lt;1)*(PARTIDAS!$I$2:$AT$2="SANITARIOS"),PARTIDAS!$I$1:$AT$1,"")),""),IF(SUMPRODUCT((BF643:CQ643&lt;1)*(PARTIDAS!$I$2:$AT$2="ELÉCTRICO"))&gt;0,"ELÉCTRICO: "&amp;_xlfn.TEXTJOIN(", ",TRUE,IF((BF643:CQ643&lt;1)*(PARTIDAS!$I$2:$AT$2="ELÉCTRICO"),PARTIDAS!$I$1:$AT$1,"")),""),IF(SUMPRODUCT((BF643:CQ643&lt;1)*(PARTIDAS!$I$2:$AT$2="TERMINACIONES"))&gt;0,"TERMINACIONES: "&amp;_xlfn.TEXTJOIN(", ",TRUE,IF((BF643:CQ643&lt;1)*(PARTIDAS!$I$2:$AT$2="TERMINACIONES"),PARTIDAS!$I$1:$AT$1,"")),""))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3" s="45" t="str" cm="1">
        <f t="array" ref="CT643">_xlfn.TEXTJOIN(", ",TRUE,IF(SUMPRODUCT((BF643:CQ643&lt;1)*(PARTIDAS!$I$2:$AT$2="OBRA GRUESA"))&gt;0,"OBRA GRUESA",""),IF(SUMPRODUCT((BF643:CQ643&lt;1)*(PARTIDAS!$I$2:$AT$2="SANITARIOS"))&gt;0,"SANITARIOS",""),IF(SUMPRODUCT((BF643:CQ643&lt;1)*(PARTIDAS!$I$2:$AT$2="ELÉCTRICO"))&gt;0,"ELÉCTRICO",""),IF(SUMPRODUCT((BF643:CQ643&lt;1)*(PARTIDAS!$I$2:$AT$2="TERMINACIONES"))&gt;0,"TERMINACIONES",""))</f>
        <v>OBRA GRUESA, SANITARIOS, ELÉCTRICO, TERMINACIONES</v>
      </c>
      <c r="CU643" s="46" cm="1">
        <f t="array" ref="CU643">SUMPRODUCT(--(BF643:CQ643&lt;1))</f>
        <v>38</v>
      </c>
    </row>
    <row r="644" spans="1:99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46181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 s="3" t="str">
        <f>+IF(AVANCE[[#This Row],[% AVANCE]]=100%,"MODULO TERMINADO",IF(AVANCE[[#This Row],[FECHA INICIO REAL]]="","MODULO NO INICIADO","PENDIENTE"))</f>
        <v>MODULO NO INICIADO</v>
      </c>
      <c r="BF644" s="3">
        <f>+IF(AVANCE[[#This Row],[VENTANAS]]=8.10810810810811%,100%,AVANCE[[#This Row],[VENTANAS]])</f>
        <v>0</v>
      </c>
      <c r="BG644" s="3">
        <f>+IF(AVANCE[[#This Row],[PISO]]=N$2,100%,AVANCE[[#This Row],[PISO]])</f>
        <v>0</v>
      </c>
      <c r="BH644" s="3">
        <f>+IF(AVANCE[[#This Row],[TABIQUES]]=O$2,100%,AVANCE[[#This Row],[TABIQUES]])</f>
        <v>0</v>
      </c>
      <c r="BI644" s="3">
        <f>+IF(AVANCE[[#This Row],[MUROS]]=P$2,100%,AVANCE[[#This Row],[MUROS]])</f>
        <v>0</v>
      </c>
      <c r="BJ644" s="3">
        <f>+IF(AVANCE[[#This Row],[CIELO]]=Q$2,100%,AVANCE[[#This Row],[CIELO]])</f>
        <v>0</v>
      </c>
      <c r="BK644" s="3">
        <f>+IF(AVANCE[[#This Row],[BALCÓN]]=R$2,100%,AVANCE[[#This Row],[BALCÓN]])</f>
        <v>0</v>
      </c>
      <c r="BL644" s="3">
        <f>+IF(AVANCE[[#This Row],[RED ALCANTARILLADO]]=U$2,100%,AVANCE[[#This Row],[RED ALCANTARILLADO]])</f>
        <v>0</v>
      </c>
      <c r="BM644" s="3">
        <f>+IF(AVANCE[[#This Row],[RED DE AGUA]]=V$2,100%,AVANCE[[#This Row],[RED DE AGUA]])</f>
        <v>0</v>
      </c>
      <c r="BN644" s="3">
        <f>+IF(AVANCE[[#This Row],[VENTILACIONES]]=W$2,100%,AVANCE[[#This Row],[VENTILACIONES]])</f>
        <v>0</v>
      </c>
      <c r="BO644" s="3">
        <f>+IF(AVANCE[[#This Row],[TINA]]=X$2,100%,AVANCE[[#This Row],[TINA]])</f>
        <v>0</v>
      </c>
      <c r="BP644" s="3">
        <f>+IF(AVANCE[[#This Row],[WC]]=Y$2,100%,AVANCE[[#This Row],[WC]])</f>
        <v>0</v>
      </c>
      <c r="BQ644" s="3">
        <f>+IF(AVANCE[[#This Row],[LAVAMANOS / LAVAPLATOS / LAVADERO]]=Z$2,100%,AVANCE[[#This Row],[LAVAMANOS / LAVAPLATOS / LAVADERO]])</f>
        <v>0</v>
      </c>
      <c r="BR644" s="3">
        <f>+IF(AVANCE[[#This Row],[CANALIZACIÓN]]=AC$2,100%,AVANCE[[#This Row],[CANALIZACIÓN]])</f>
        <v>0</v>
      </c>
      <c r="BS644" s="3">
        <f>+IF(AVANCE[[#This Row],[CABLEADO]]=AD$2,100%,AVANCE[[#This Row],[CABLEADO]])</f>
        <v>0</v>
      </c>
      <c r="BT644" s="3">
        <f>+IF(AVANCE[[#This Row],[ARTEFACTOS]]=AE$2,100%,AVANCE[[#This Row],[ARTEFACTOS]])</f>
        <v>0</v>
      </c>
      <c r="BU644" s="3">
        <f>+IF(AVANCE[[#This Row],[TABLERO]]=AF$2,100%,AVANCE[[#This Row],[TABLERO]])</f>
        <v>0</v>
      </c>
      <c r="BV644" s="3">
        <f>+IF(AVANCE[[#This Row],[CAJA PAU]]=AG$2,100%,AVANCE[[#This Row],[CAJA PAU]])</f>
        <v>0</v>
      </c>
      <c r="BW644" s="3">
        <f>+IF(AVANCE[[#This Row],[INSTALACION VINILICO]]=AJ$2,100%,AVANCE[[#This Row],[INSTALACION VINILICO]])</f>
        <v>0</v>
      </c>
      <c r="BX644" s="3">
        <f>+IF(AVANCE[[#This Row],[OSB CUBIERTA]]=AK$2,100%,AVANCE[[#This Row],[OSB CUBIERTA]])</f>
        <v>0</v>
      </c>
      <c r="BY644" s="3">
        <f>+IF(AVANCE[[#This Row],[BARANDA BALCON]]=AL$2,100%,AVANCE[[#This Row],[BARANDA BALCON]])</f>
        <v>0</v>
      </c>
      <c r="BZ644" s="3">
        <f>+IF(AVANCE[[#This Row],[OSB EXTERIOR]]=AM$2,100%,AVANCE[[#This Row],[OSB EXTERIOR]])</f>
        <v>0</v>
      </c>
      <c r="CA644" s="3">
        <f>+IF(AVANCE[[#This Row],[SMART PANEL]]=AN$2,100%,AVANCE[[#This Row],[SMART PANEL]])</f>
        <v>0</v>
      </c>
      <c r="CB644" s="3">
        <f>+IF(AVANCE[[#This Row],[PINTURA EXTERIOR]]=AO$2,100%,AVANCE[[#This Row],[PINTURA EXTERIOR]])</f>
        <v>0</v>
      </c>
      <c r="CC644" s="3">
        <f>+IF(AVANCE[[#This Row],[ZOCALOS LOGIA]]=AP$2,100%,AVANCE[[#This Row],[ZOCALOS LOGIA]])</f>
        <v>0</v>
      </c>
      <c r="CD644" s="3">
        <f>+IF(AVANCE[[#This Row],[MOLDURAS]]=AQ$2,100%,AVANCE[[#This Row],[MOLDURAS]])</f>
        <v>0</v>
      </c>
      <c r="CE644" s="3">
        <f>+IF(AVANCE[[#This Row],[PILASTREO]]=AR$2,100%,AVANCE[[#This Row],[PILASTREO]])</f>
        <v>0</v>
      </c>
      <c r="CF644" s="3">
        <f>+IF(AVANCE[[#This Row],[CELOSIAS]]=AS$2,100%,AVANCE[[#This Row],[CELOSIAS]])</f>
        <v>0</v>
      </c>
      <c r="CG644" s="3">
        <f>+IF(AVANCE[[#This Row],[VENTANAS]]=AT$2,100%,AVANCE[[#This Row],[VENTANAS]])</f>
        <v>0</v>
      </c>
      <c r="CH644" s="3">
        <f>+IF(AVANCE[[#This Row],[PUERTAS ACCESO - LOGIA - BANO]]=AU$2,100%,AVANCE[[#This Row],[PUERTAS ACCESO - LOGIA - BANO]])</f>
        <v>0</v>
      </c>
      <c r="CI644" s="3">
        <f>+IF(AVANCE[[#This Row],[CERRADURAS]]=AV$2,100%,AVANCE[[#This Row],[CERRADURAS]])</f>
        <v>0</v>
      </c>
      <c r="CJ644" s="3">
        <f>+IF(AVANCE[[#This Row],[REVESTIMIENTO INTERIOR ZONA SECA]]=AW$2,100%,AVANCE[[#This Row],[REVESTIMIENTO INTERIOR ZONA SECA]])</f>
        <v>0</v>
      </c>
      <c r="CK644" s="3">
        <f>+IF(AVANCE[[#This Row],[REVESTIMIENTO INTERIOR ZONAS HUMEDAS]]=AX$2,100%,AVANCE[[#This Row],[REVESTIMIENTO INTERIOR ZONAS HUMEDAS]])</f>
        <v>0</v>
      </c>
      <c r="CL644" s="3">
        <f>+IF(AVANCE[[#This Row],[MEMBRANA CIELO]]=AY$2,100%,AVANCE[[#This Row],[MEMBRANA CIELO]])</f>
        <v>0</v>
      </c>
      <c r="CM644" s="3">
        <f>+IF(AVANCE[[#This Row],[LIMPIEZA FINAL]]=AZ$2,100%,AVANCE[[#This Row],[LIMPIEZA FINAL]])</f>
        <v>0</v>
      </c>
      <c r="CN644" s="3">
        <f>+IF(AVANCE[[#This Row],[PUERTAS DORMITORIO]]=BA$2,100%,AVANCE[[#This Row],[PUERTAS DORMITORIO]])</f>
        <v>0</v>
      </c>
      <c r="CO644" s="3">
        <f>+IF(AVANCE[[#This Row],[REVESTIMIENTO INTERIOR BANO]]=BB$2,100%,AVANCE[[#This Row],[REVESTIMIENTO INTERIOR BANO]])</f>
        <v>0</v>
      </c>
      <c r="CP644" s="3">
        <f>+IF(AVANCE[[#This Row],[MUEBLE LAVAPLATOS]]=BC$2,100%,AVANCE[[#This Row],[MUEBLE LAVAPLATOS]])</f>
        <v>0</v>
      </c>
      <c r="CQ644" s="3">
        <f>+IF(AVANCE[[#This Row],[IMPERMEABILIZACION BANO - COCINA LOGIA]]=BD$2,100%,AVANCE[[#This Row],[IMPERMEABILIZACION BANO - COCINA LOGIA]])</f>
        <v>0</v>
      </c>
      <c r="CR644" s="40">
        <f ca="1">+IF(AVANCE[[#This Row],[ESTADO MODULO]]="PENDIENTE",(TODAY()-AVANCE[[#This Row],[FECHA TERMINO  PLANIFICADO]]),0)</f>
        <v>0</v>
      </c>
      <c r="CS644" s="42" t="str" cm="1">
        <f t="array" ref="CS644">_xlfn.TEXTJOIN(" | ",TRUE,IF(SUMPRODUCT((BF644:CQ644&lt;1)*(PARTIDAS!$I$2:$AT$2="OBRA GRUESA"))&gt;0,"OBRA GRUESA: "&amp;_xlfn.TEXTJOIN(", ",TRUE,IF((BF644:CQ644&lt;1)*(PARTIDAS!$I$2:$AT$2="OBRA GRUESA"),PARTIDAS!$I$1:$AT$1,"")),""),IF(SUMPRODUCT((BF644:CQ644&lt;1)*(PARTIDAS!$I$2:$AT$2="SANITARIOS"))&gt;0,"SANITARIOS: "&amp;_xlfn.TEXTJOIN(", ",TRUE,IF((BF644:CQ644&lt;1)*(PARTIDAS!$I$2:$AT$2="SANITARIOS"),PARTIDAS!$I$1:$AT$1,"")),""),IF(SUMPRODUCT((BF644:CQ644&lt;1)*(PARTIDAS!$I$2:$AT$2="ELÉCTRICO"))&gt;0,"ELÉCTRICO: "&amp;_xlfn.TEXTJOIN(", ",TRUE,IF((BF644:CQ644&lt;1)*(PARTIDAS!$I$2:$AT$2="ELÉCTRICO"),PARTIDAS!$I$1:$AT$1,"")),""),IF(SUMPRODUCT((BF644:CQ644&lt;1)*(PARTIDAS!$I$2:$AT$2="TERMINACIONES"))&gt;0,"TERMINACIONES: "&amp;_xlfn.TEXTJOIN(", ",TRUE,IF((BF644:CQ644&lt;1)*(PARTIDAS!$I$2:$AT$2="TERMINACIONES"),PARTIDAS!$I$1:$AT$1,"")),""))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4" s="45" t="str" cm="1">
        <f t="array" ref="CT644">_xlfn.TEXTJOIN(", ",TRUE,IF(SUMPRODUCT((BF644:CQ644&lt;1)*(PARTIDAS!$I$2:$AT$2="OBRA GRUESA"))&gt;0,"OBRA GRUESA",""),IF(SUMPRODUCT((BF644:CQ644&lt;1)*(PARTIDAS!$I$2:$AT$2="SANITARIOS"))&gt;0,"SANITARIOS",""),IF(SUMPRODUCT((BF644:CQ644&lt;1)*(PARTIDAS!$I$2:$AT$2="ELÉCTRICO"))&gt;0,"ELÉCTRICO",""),IF(SUMPRODUCT((BF644:CQ644&lt;1)*(PARTIDAS!$I$2:$AT$2="TERMINACIONES"))&gt;0,"TERMINACIONES",""))</f>
        <v>OBRA GRUESA, SANITARIOS, ELÉCTRICO, TERMINACIONES</v>
      </c>
      <c r="CU644" s="46" cm="1">
        <f t="array" ref="CU644">SUMPRODUCT(--(BF644:CQ644&lt;1))</f>
        <v>38</v>
      </c>
    </row>
    <row r="645" spans="1:99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46181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 s="3" t="str">
        <f>+IF(AVANCE[[#This Row],[% AVANCE]]=100%,"MODULO TERMINADO",IF(AVANCE[[#This Row],[FECHA INICIO REAL]]="","MODULO NO INICIADO","PENDIENTE"))</f>
        <v>MODULO NO INICIADO</v>
      </c>
      <c r="BF645" s="3">
        <f>+IF(AVANCE[[#This Row],[VENTANAS]]=8.10810810810811%,100%,AVANCE[[#This Row],[VENTANAS]])</f>
        <v>0</v>
      </c>
      <c r="BG645" s="3">
        <f>+IF(AVANCE[[#This Row],[PISO]]=N$2,100%,AVANCE[[#This Row],[PISO]])</f>
        <v>0</v>
      </c>
      <c r="BH645" s="3">
        <f>+IF(AVANCE[[#This Row],[TABIQUES]]=O$2,100%,AVANCE[[#This Row],[TABIQUES]])</f>
        <v>0</v>
      </c>
      <c r="BI645" s="3">
        <f>+IF(AVANCE[[#This Row],[MUROS]]=P$2,100%,AVANCE[[#This Row],[MUROS]])</f>
        <v>0</v>
      </c>
      <c r="BJ645" s="3">
        <f>+IF(AVANCE[[#This Row],[CIELO]]=Q$2,100%,AVANCE[[#This Row],[CIELO]])</f>
        <v>0</v>
      </c>
      <c r="BK645" s="3">
        <f>+IF(AVANCE[[#This Row],[BALCÓN]]=R$2,100%,AVANCE[[#This Row],[BALCÓN]])</f>
        <v>0</v>
      </c>
      <c r="BL645" s="3">
        <f>+IF(AVANCE[[#This Row],[RED ALCANTARILLADO]]=U$2,100%,AVANCE[[#This Row],[RED ALCANTARILLADO]])</f>
        <v>0</v>
      </c>
      <c r="BM645" s="3">
        <f>+IF(AVANCE[[#This Row],[RED DE AGUA]]=V$2,100%,AVANCE[[#This Row],[RED DE AGUA]])</f>
        <v>0</v>
      </c>
      <c r="BN645" s="3">
        <f>+IF(AVANCE[[#This Row],[VENTILACIONES]]=W$2,100%,AVANCE[[#This Row],[VENTILACIONES]])</f>
        <v>0</v>
      </c>
      <c r="BO645" s="3">
        <f>+IF(AVANCE[[#This Row],[TINA]]=X$2,100%,AVANCE[[#This Row],[TINA]])</f>
        <v>0</v>
      </c>
      <c r="BP645" s="3">
        <f>+IF(AVANCE[[#This Row],[WC]]=Y$2,100%,AVANCE[[#This Row],[WC]])</f>
        <v>0</v>
      </c>
      <c r="BQ645" s="3">
        <f>+IF(AVANCE[[#This Row],[LAVAMANOS / LAVAPLATOS / LAVADERO]]=Z$2,100%,AVANCE[[#This Row],[LAVAMANOS / LAVAPLATOS / LAVADERO]])</f>
        <v>0</v>
      </c>
      <c r="BR645" s="3">
        <f>+IF(AVANCE[[#This Row],[CANALIZACIÓN]]=AC$2,100%,AVANCE[[#This Row],[CANALIZACIÓN]])</f>
        <v>0</v>
      </c>
      <c r="BS645" s="3">
        <f>+IF(AVANCE[[#This Row],[CABLEADO]]=AD$2,100%,AVANCE[[#This Row],[CABLEADO]])</f>
        <v>0</v>
      </c>
      <c r="BT645" s="3">
        <f>+IF(AVANCE[[#This Row],[ARTEFACTOS]]=AE$2,100%,AVANCE[[#This Row],[ARTEFACTOS]])</f>
        <v>0</v>
      </c>
      <c r="BU645" s="3">
        <f>+IF(AVANCE[[#This Row],[TABLERO]]=AF$2,100%,AVANCE[[#This Row],[TABLERO]])</f>
        <v>0</v>
      </c>
      <c r="BV645" s="3">
        <f>+IF(AVANCE[[#This Row],[CAJA PAU]]=AG$2,100%,AVANCE[[#This Row],[CAJA PAU]])</f>
        <v>0</v>
      </c>
      <c r="BW645" s="3">
        <f>+IF(AVANCE[[#This Row],[INSTALACION VINILICO]]=AJ$2,100%,AVANCE[[#This Row],[INSTALACION VINILICO]])</f>
        <v>0</v>
      </c>
      <c r="BX645" s="3">
        <f>+IF(AVANCE[[#This Row],[OSB CUBIERTA]]=AK$2,100%,AVANCE[[#This Row],[OSB CUBIERTA]])</f>
        <v>0</v>
      </c>
      <c r="BY645" s="3">
        <f>+IF(AVANCE[[#This Row],[BARANDA BALCON]]=AL$2,100%,AVANCE[[#This Row],[BARANDA BALCON]])</f>
        <v>0</v>
      </c>
      <c r="BZ645" s="3">
        <f>+IF(AVANCE[[#This Row],[OSB EXTERIOR]]=AM$2,100%,AVANCE[[#This Row],[OSB EXTERIOR]])</f>
        <v>0</v>
      </c>
      <c r="CA645" s="3">
        <f>+IF(AVANCE[[#This Row],[SMART PANEL]]=AN$2,100%,AVANCE[[#This Row],[SMART PANEL]])</f>
        <v>0</v>
      </c>
      <c r="CB645" s="3">
        <f>+IF(AVANCE[[#This Row],[PINTURA EXTERIOR]]=AO$2,100%,AVANCE[[#This Row],[PINTURA EXTERIOR]])</f>
        <v>0</v>
      </c>
      <c r="CC645" s="3">
        <f>+IF(AVANCE[[#This Row],[ZOCALOS LOGIA]]=AP$2,100%,AVANCE[[#This Row],[ZOCALOS LOGIA]])</f>
        <v>0</v>
      </c>
      <c r="CD645" s="3">
        <f>+IF(AVANCE[[#This Row],[MOLDURAS]]=AQ$2,100%,AVANCE[[#This Row],[MOLDURAS]])</f>
        <v>0</v>
      </c>
      <c r="CE645" s="3">
        <f>+IF(AVANCE[[#This Row],[PILASTREO]]=AR$2,100%,AVANCE[[#This Row],[PILASTREO]])</f>
        <v>0</v>
      </c>
      <c r="CF645" s="3">
        <f>+IF(AVANCE[[#This Row],[CELOSIAS]]=AS$2,100%,AVANCE[[#This Row],[CELOSIAS]])</f>
        <v>0</v>
      </c>
      <c r="CG645" s="3">
        <f>+IF(AVANCE[[#This Row],[VENTANAS]]=AT$2,100%,AVANCE[[#This Row],[VENTANAS]])</f>
        <v>0</v>
      </c>
      <c r="CH645" s="3">
        <f>+IF(AVANCE[[#This Row],[PUERTAS ACCESO - LOGIA - BANO]]=AU$2,100%,AVANCE[[#This Row],[PUERTAS ACCESO - LOGIA - BANO]])</f>
        <v>0</v>
      </c>
      <c r="CI645" s="3">
        <f>+IF(AVANCE[[#This Row],[CERRADURAS]]=AV$2,100%,AVANCE[[#This Row],[CERRADURAS]])</f>
        <v>0</v>
      </c>
      <c r="CJ645" s="3">
        <f>+IF(AVANCE[[#This Row],[REVESTIMIENTO INTERIOR ZONA SECA]]=AW$2,100%,AVANCE[[#This Row],[REVESTIMIENTO INTERIOR ZONA SECA]])</f>
        <v>0</v>
      </c>
      <c r="CK645" s="3">
        <f>+IF(AVANCE[[#This Row],[REVESTIMIENTO INTERIOR ZONAS HUMEDAS]]=AX$2,100%,AVANCE[[#This Row],[REVESTIMIENTO INTERIOR ZONAS HUMEDAS]])</f>
        <v>0</v>
      </c>
      <c r="CL645" s="3">
        <f>+IF(AVANCE[[#This Row],[MEMBRANA CIELO]]=AY$2,100%,AVANCE[[#This Row],[MEMBRANA CIELO]])</f>
        <v>0</v>
      </c>
      <c r="CM645" s="3">
        <f>+IF(AVANCE[[#This Row],[LIMPIEZA FINAL]]=AZ$2,100%,AVANCE[[#This Row],[LIMPIEZA FINAL]])</f>
        <v>0</v>
      </c>
      <c r="CN645" s="3">
        <f>+IF(AVANCE[[#This Row],[PUERTAS DORMITORIO]]=BA$2,100%,AVANCE[[#This Row],[PUERTAS DORMITORIO]])</f>
        <v>0</v>
      </c>
      <c r="CO645" s="3">
        <f>+IF(AVANCE[[#This Row],[REVESTIMIENTO INTERIOR BANO]]=BB$2,100%,AVANCE[[#This Row],[REVESTIMIENTO INTERIOR BANO]])</f>
        <v>0</v>
      </c>
      <c r="CP645" s="3">
        <f>+IF(AVANCE[[#This Row],[MUEBLE LAVAPLATOS]]=BC$2,100%,AVANCE[[#This Row],[MUEBLE LAVAPLATOS]])</f>
        <v>0</v>
      </c>
      <c r="CQ645" s="3">
        <f>+IF(AVANCE[[#This Row],[IMPERMEABILIZACION BANO - COCINA LOGIA]]=BD$2,100%,AVANCE[[#This Row],[IMPERMEABILIZACION BANO - COCINA LOGIA]])</f>
        <v>0</v>
      </c>
      <c r="CR645" s="40">
        <f ca="1">+IF(AVANCE[[#This Row],[ESTADO MODULO]]="PENDIENTE",(TODAY()-AVANCE[[#This Row],[FECHA TERMINO  PLANIFICADO]]),0)</f>
        <v>0</v>
      </c>
      <c r="CS645" s="42" t="str" cm="1">
        <f t="array" ref="CS645">_xlfn.TEXTJOIN(" | ",TRUE,IF(SUMPRODUCT((BF645:CQ645&lt;1)*(PARTIDAS!$I$2:$AT$2="OBRA GRUESA"))&gt;0,"OBRA GRUESA: "&amp;_xlfn.TEXTJOIN(", ",TRUE,IF((BF645:CQ645&lt;1)*(PARTIDAS!$I$2:$AT$2="OBRA GRUESA"),PARTIDAS!$I$1:$AT$1,"")),""),IF(SUMPRODUCT((BF645:CQ645&lt;1)*(PARTIDAS!$I$2:$AT$2="SANITARIOS"))&gt;0,"SANITARIOS: "&amp;_xlfn.TEXTJOIN(", ",TRUE,IF((BF645:CQ645&lt;1)*(PARTIDAS!$I$2:$AT$2="SANITARIOS"),PARTIDAS!$I$1:$AT$1,"")),""),IF(SUMPRODUCT((BF645:CQ645&lt;1)*(PARTIDAS!$I$2:$AT$2="ELÉCTRICO"))&gt;0,"ELÉCTRICO: "&amp;_xlfn.TEXTJOIN(", ",TRUE,IF((BF645:CQ645&lt;1)*(PARTIDAS!$I$2:$AT$2="ELÉCTRICO"),PARTIDAS!$I$1:$AT$1,"")),""),IF(SUMPRODUCT((BF645:CQ645&lt;1)*(PARTIDAS!$I$2:$AT$2="TERMINACIONES"))&gt;0,"TERMINACIONES: "&amp;_xlfn.TEXTJOIN(", ",TRUE,IF((BF645:CQ645&lt;1)*(PARTIDAS!$I$2:$AT$2="TERMINACIONES"),PARTIDAS!$I$1:$AT$1,"")),""))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5" s="45" t="str" cm="1">
        <f t="array" ref="CT645">_xlfn.TEXTJOIN(", ",TRUE,IF(SUMPRODUCT((BF645:CQ645&lt;1)*(PARTIDAS!$I$2:$AT$2="OBRA GRUESA"))&gt;0,"OBRA GRUESA",""),IF(SUMPRODUCT((BF645:CQ645&lt;1)*(PARTIDAS!$I$2:$AT$2="SANITARIOS"))&gt;0,"SANITARIOS",""),IF(SUMPRODUCT((BF645:CQ645&lt;1)*(PARTIDAS!$I$2:$AT$2="ELÉCTRICO"))&gt;0,"ELÉCTRICO",""),IF(SUMPRODUCT((BF645:CQ645&lt;1)*(PARTIDAS!$I$2:$AT$2="TERMINACIONES"))&gt;0,"TERMINACIONES",""))</f>
        <v>OBRA GRUESA, SANITARIOS, ELÉCTRICO, TERMINACIONES</v>
      </c>
      <c r="CU645" s="46" cm="1">
        <f t="array" ref="CU645">SUMPRODUCT(--(BF645:CQ645&lt;1))</f>
        <v>38</v>
      </c>
    </row>
    <row r="646" spans="1:99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46181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 s="3" t="str">
        <f>+IF(AVANCE[[#This Row],[% AVANCE]]=100%,"MODULO TERMINADO",IF(AVANCE[[#This Row],[FECHA INICIO REAL]]="","MODULO NO INICIADO","PENDIENTE"))</f>
        <v>MODULO NO INICIADO</v>
      </c>
      <c r="BF646" s="3">
        <f>+IF(AVANCE[[#This Row],[VENTANAS]]=8.10810810810811%,100%,AVANCE[[#This Row],[VENTANAS]])</f>
        <v>0</v>
      </c>
      <c r="BG646" s="3">
        <f>+IF(AVANCE[[#This Row],[PISO]]=N$2,100%,AVANCE[[#This Row],[PISO]])</f>
        <v>0</v>
      </c>
      <c r="BH646" s="3">
        <f>+IF(AVANCE[[#This Row],[TABIQUES]]=O$2,100%,AVANCE[[#This Row],[TABIQUES]])</f>
        <v>0</v>
      </c>
      <c r="BI646" s="3">
        <f>+IF(AVANCE[[#This Row],[MUROS]]=P$2,100%,AVANCE[[#This Row],[MUROS]])</f>
        <v>0</v>
      </c>
      <c r="BJ646" s="3">
        <f>+IF(AVANCE[[#This Row],[CIELO]]=Q$2,100%,AVANCE[[#This Row],[CIELO]])</f>
        <v>0</v>
      </c>
      <c r="BK646" s="3">
        <f>+IF(AVANCE[[#This Row],[BALCÓN]]=R$2,100%,AVANCE[[#This Row],[BALCÓN]])</f>
        <v>0</v>
      </c>
      <c r="BL646" s="3">
        <f>+IF(AVANCE[[#This Row],[RED ALCANTARILLADO]]=U$2,100%,AVANCE[[#This Row],[RED ALCANTARILLADO]])</f>
        <v>0</v>
      </c>
      <c r="BM646" s="3">
        <f>+IF(AVANCE[[#This Row],[RED DE AGUA]]=V$2,100%,AVANCE[[#This Row],[RED DE AGUA]])</f>
        <v>0</v>
      </c>
      <c r="BN646" s="3">
        <f>+IF(AVANCE[[#This Row],[VENTILACIONES]]=W$2,100%,AVANCE[[#This Row],[VENTILACIONES]])</f>
        <v>0</v>
      </c>
      <c r="BO646" s="3">
        <f>+IF(AVANCE[[#This Row],[TINA]]=X$2,100%,AVANCE[[#This Row],[TINA]])</f>
        <v>0</v>
      </c>
      <c r="BP646" s="3">
        <f>+IF(AVANCE[[#This Row],[WC]]=Y$2,100%,AVANCE[[#This Row],[WC]])</f>
        <v>0</v>
      </c>
      <c r="BQ646" s="3">
        <f>+IF(AVANCE[[#This Row],[LAVAMANOS / LAVAPLATOS / LAVADERO]]=Z$2,100%,AVANCE[[#This Row],[LAVAMANOS / LAVAPLATOS / LAVADERO]])</f>
        <v>0</v>
      </c>
      <c r="BR646" s="3">
        <f>+IF(AVANCE[[#This Row],[CANALIZACIÓN]]=AC$2,100%,AVANCE[[#This Row],[CANALIZACIÓN]])</f>
        <v>0</v>
      </c>
      <c r="BS646" s="3">
        <f>+IF(AVANCE[[#This Row],[CABLEADO]]=AD$2,100%,AVANCE[[#This Row],[CABLEADO]])</f>
        <v>0</v>
      </c>
      <c r="BT646" s="3">
        <f>+IF(AVANCE[[#This Row],[ARTEFACTOS]]=AE$2,100%,AVANCE[[#This Row],[ARTEFACTOS]])</f>
        <v>0</v>
      </c>
      <c r="BU646" s="3">
        <f>+IF(AVANCE[[#This Row],[TABLERO]]=AF$2,100%,AVANCE[[#This Row],[TABLERO]])</f>
        <v>0</v>
      </c>
      <c r="BV646" s="3">
        <f>+IF(AVANCE[[#This Row],[CAJA PAU]]=AG$2,100%,AVANCE[[#This Row],[CAJA PAU]])</f>
        <v>0</v>
      </c>
      <c r="BW646" s="3">
        <f>+IF(AVANCE[[#This Row],[INSTALACION VINILICO]]=AJ$2,100%,AVANCE[[#This Row],[INSTALACION VINILICO]])</f>
        <v>0</v>
      </c>
      <c r="BX646" s="3">
        <f>+IF(AVANCE[[#This Row],[OSB CUBIERTA]]=AK$2,100%,AVANCE[[#This Row],[OSB CUBIERTA]])</f>
        <v>0</v>
      </c>
      <c r="BY646" s="3">
        <f>+IF(AVANCE[[#This Row],[BARANDA BALCON]]=AL$2,100%,AVANCE[[#This Row],[BARANDA BALCON]])</f>
        <v>0</v>
      </c>
      <c r="BZ646" s="3">
        <f>+IF(AVANCE[[#This Row],[OSB EXTERIOR]]=AM$2,100%,AVANCE[[#This Row],[OSB EXTERIOR]])</f>
        <v>0</v>
      </c>
      <c r="CA646" s="3">
        <f>+IF(AVANCE[[#This Row],[SMART PANEL]]=AN$2,100%,AVANCE[[#This Row],[SMART PANEL]])</f>
        <v>0</v>
      </c>
      <c r="CB646" s="3">
        <f>+IF(AVANCE[[#This Row],[PINTURA EXTERIOR]]=AO$2,100%,AVANCE[[#This Row],[PINTURA EXTERIOR]])</f>
        <v>0</v>
      </c>
      <c r="CC646" s="3">
        <f>+IF(AVANCE[[#This Row],[ZOCALOS LOGIA]]=AP$2,100%,AVANCE[[#This Row],[ZOCALOS LOGIA]])</f>
        <v>0</v>
      </c>
      <c r="CD646" s="3">
        <f>+IF(AVANCE[[#This Row],[MOLDURAS]]=AQ$2,100%,AVANCE[[#This Row],[MOLDURAS]])</f>
        <v>0</v>
      </c>
      <c r="CE646" s="3">
        <f>+IF(AVANCE[[#This Row],[PILASTREO]]=AR$2,100%,AVANCE[[#This Row],[PILASTREO]])</f>
        <v>0</v>
      </c>
      <c r="CF646" s="3">
        <f>+IF(AVANCE[[#This Row],[CELOSIAS]]=AS$2,100%,AVANCE[[#This Row],[CELOSIAS]])</f>
        <v>0</v>
      </c>
      <c r="CG646" s="3">
        <f>+IF(AVANCE[[#This Row],[VENTANAS]]=AT$2,100%,AVANCE[[#This Row],[VENTANAS]])</f>
        <v>0</v>
      </c>
      <c r="CH646" s="3">
        <f>+IF(AVANCE[[#This Row],[PUERTAS ACCESO - LOGIA - BANO]]=AU$2,100%,AVANCE[[#This Row],[PUERTAS ACCESO - LOGIA - BANO]])</f>
        <v>0</v>
      </c>
      <c r="CI646" s="3">
        <f>+IF(AVANCE[[#This Row],[CERRADURAS]]=AV$2,100%,AVANCE[[#This Row],[CERRADURAS]])</f>
        <v>0</v>
      </c>
      <c r="CJ646" s="3">
        <f>+IF(AVANCE[[#This Row],[REVESTIMIENTO INTERIOR ZONA SECA]]=AW$2,100%,AVANCE[[#This Row],[REVESTIMIENTO INTERIOR ZONA SECA]])</f>
        <v>0</v>
      </c>
      <c r="CK646" s="3">
        <f>+IF(AVANCE[[#This Row],[REVESTIMIENTO INTERIOR ZONAS HUMEDAS]]=AX$2,100%,AVANCE[[#This Row],[REVESTIMIENTO INTERIOR ZONAS HUMEDAS]])</f>
        <v>0</v>
      </c>
      <c r="CL646" s="3">
        <f>+IF(AVANCE[[#This Row],[MEMBRANA CIELO]]=AY$2,100%,AVANCE[[#This Row],[MEMBRANA CIELO]])</f>
        <v>0</v>
      </c>
      <c r="CM646" s="3">
        <f>+IF(AVANCE[[#This Row],[LIMPIEZA FINAL]]=AZ$2,100%,AVANCE[[#This Row],[LIMPIEZA FINAL]])</f>
        <v>0</v>
      </c>
      <c r="CN646" s="3">
        <f>+IF(AVANCE[[#This Row],[PUERTAS DORMITORIO]]=BA$2,100%,AVANCE[[#This Row],[PUERTAS DORMITORIO]])</f>
        <v>0</v>
      </c>
      <c r="CO646" s="3">
        <f>+IF(AVANCE[[#This Row],[REVESTIMIENTO INTERIOR BANO]]=BB$2,100%,AVANCE[[#This Row],[REVESTIMIENTO INTERIOR BANO]])</f>
        <v>0</v>
      </c>
      <c r="CP646" s="3">
        <f>+IF(AVANCE[[#This Row],[MUEBLE LAVAPLATOS]]=BC$2,100%,AVANCE[[#This Row],[MUEBLE LAVAPLATOS]])</f>
        <v>0</v>
      </c>
      <c r="CQ646" s="3">
        <f>+IF(AVANCE[[#This Row],[IMPERMEABILIZACION BANO - COCINA LOGIA]]=BD$2,100%,AVANCE[[#This Row],[IMPERMEABILIZACION BANO - COCINA LOGIA]])</f>
        <v>0</v>
      </c>
      <c r="CR646" s="40">
        <f ca="1">+IF(AVANCE[[#This Row],[ESTADO MODULO]]="PENDIENTE",(TODAY()-AVANCE[[#This Row],[FECHA TERMINO  PLANIFICADO]]),0)</f>
        <v>0</v>
      </c>
      <c r="CS646" s="42" t="str" cm="1">
        <f t="array" ref="CS646">_xlfn.TEXTJOIN(" | ",TRUE,IF(SUMPRODUCT((BF646:CQ646&lt;1)*(PARTIDAS!$I$2:$AT$2="OBRA GRUESA"))&gt;0,"OBRA GRUESA: "&amp;_xlfn.TEXTJOIN(", ",TRUE,IF((BF646:CQ646&lt;1)*(PARTIDAS!$I$2:$AT$2="OBRA GRUESA"),PARTIDAS!$I$1:$AT$1,"")),""),IF(SUMPRODUCT((BF646:CQ646&lt;1)*(PARTIDAS!$I$2:$AT$2="SANITARIOS"))&gt;0,"SANITARIOS: "&amp;_xlfn.TEXTJOIN(", ",TRUE,IF((BF646:CQ646&lt;1)*(PARTIDAS!$I$2:$AT$2="SANITARIOS"),PARTIDAS!$I$1:$AT$1,"")),""),IF(SUMPRODUCT((BF646:CQ646&lt;1)*(PARTIDAS!$I$2:$AT$2="ELÉCTRICO"))&gt;0,"ELÉCTRICO: "&amp;_xlfn.TEXTJOIN(", ",TRUE,IF((BF646:CQ646&lt;1)*(PARTIDAS!$I$2:$AT$2="ELÉCTRICO"),PARTIDAS!$I$1:$AT$1,"")),""),IF(SUMPRODUCT((BF646:CQ646&lt;1)*(PARTIDAS!$I$2:$AT$2="TERMINACIONES"))&gt;0,"TERMINACIONES: "&amp;_xlfn.TEXTJOIN(", ",TRUE,IF((BF646:CQ646&lt;1)*(PARTIDAS!$I$2:$AT$2="TERMINACIONES"),PARTIDAS!$I$1:$AT$1,"")),""))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6" s="45" t="str" cm="1">
        <f t="array" ref="CT646">_xlfn.TEXTJOIN(", ",TRUE,IF(SUMPRODUCT((BF646:CQ646&lt;1)*(PARTIDAS!$I$2:$AT$2="OBRA GRUESA"))&gt;0,"OBRA GRUESA",""),IF(SUMPRODUCT((BF646:CQ646&lt;1)*(PARTIDAS!$I$2:$AT$2="SANITARIOS"))&gt;0,"SANITARIOS",""),IF(SUMPRODUCT((BF646:CQ646&lt;1)*(PARTIDAS!$I$2:$AT$2="ELÉCTRICO"))&gt;0,"ELÉCTRICO",""),IF(SUMPRODUCT((BF646:CQ646&lt;1)*(PARTIDAS!$I$2:$AT$2="TERMINACIONES"))&gt;0,"TERMINACIONES",""))</f>
        <v>OBRA GRUESA, SANITARIOS, ELÉCTRICO, TERMINACIONES</v>
      </c>
      <c r="CU646" s="46" cm="1">
        <f t="array" ref="CU646">SUMPRODUCT(--(BF646:CQ646&lt;1))</f>
        <v>38</v>
      </c>
    </row>
    <row r="647" spans="1:99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46181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 s="3" t="str">
        <f>+IF(AVANCE[[#This Row],[% AVANCE]]=100%,"MODULO TERMINADO",IF(AVANCE[[#This Row],[FECHA INICIO REAL]]="","MODULO NO INICIADO","PENDIENTE"))</f>
        <v>MODULO NO INICIADO</v>
      </c>
      <c r="BF647" s="3">
        <f>+IF(AVANCE[[#This Row],[VENTANAS]]=8.10810810810811%,100%,AVANCE[[#This Row],[VENTANAS]])</f>
        <v>0</v>
      </c>
      <c r="BG647" s="3">
        <f>+IF(AVANCE[[#This Row],[PISO]]=N$2,100%,AVANCE[[#This Row],[PISO]])</f>
        <v>0</v>
      </c>
      <c r="BH647" s="3">
        <f>+IF(AVANCE[[#This Row],[TABIQUES]]=O$2,100%,AVANCE[[#This Row],[TABIQUES]])</f>
        <v>0</v>
      </c>
      <c r="BI647" s="3">
        <f>+IF(AVANCE[[#This Row],[MUROS]]=P$2,100%,AVANCE[[#This Row],[MUROS]])</f>
        <v>0</v>
      </c>
      <c r="BJ647" s="3">
        <f>+IF(AVANCE[[#This Row],[CIELO]]=Q$2,100%,AVANCE[[#This Row],[CIELO]])</f>
        <v>0</v>
      </c>
      <c r="BK647" s="3">
        <f>+IF(AVANCE[[#This Row],[BALCÓN]]=R$2,100%,AVANCE[[#This Row],[BALCÓN]])</f>
        <v>0</v>
      </c>
      <c r="BL647" s="3">
        <f>+IF(AVANCE[[#This Row],[RED ALCANTARILLADO]]=U$2,100%,AVANCE[[#This Row],[RED ALCANTARILLADO]])</f>
        <v>0</v>
      </c>
      <c r="BM647" s="3">
        <f>+IF(AVANCE[[#This Row],[RED DE AGUA]]=V$2,100%,AVANCE[[#This Row],[RED DE AGUA]])</f>
        <v>0</v>
      </c>
      <c r="BN647" s="3">
        <f>+IF(AVANCE[[#This Row],[VENTILACIONES]]=W$2,100%,AVANCE[[#This Row],[VENTILACIONES]])</f>
        <v>0</v>
      </c>
      <c r="BO647" s="3">
        <f>+IF(AVANCE[[#This Row],[TINA]]=X$2,100%,AVANCE[[#This Row],[TINA]])</f>
        <v>0</v>
      </c>
      <c r="BP647" s="3">
        <f>+IF(AVANCE[[#This Row],[WC]]=Y$2,100%,AVANCE[[#This Row],[WC]])</f>
        <v>0</v>
      </c>
      <c r="BQ647" s="3">
        <f>+IF(AVANCE[[#This Row],[LAVAMANOS / LAVAPLATOS / LAVADERO]]=Z$2,100%,AVANCE[[#This Row],[LAVAMANOS / LAVAPLATOS / LAVADERO]])</f>
        <v>0</v>
      </c>
      <c r="BR647" s="3">
        <f>+IF(AVANCE[[#This Row],[CANALIZACIÓN]]=AC$2,100%,AVANCE[[#This Row],[CANALIZACIÓN]])</f>
        <v>0</v>
      </c>
      <c r="BS647" s="3">
        <f>+IF(AVANCE[[#This Row],[CABLEADO]]=AD$2,100%,AVANCE[[#This Row],[CABLEADO]])</f>
        <v>0</v>
      </c>
      <c r="BT647" s="3">
        <f>+IF(AVANCE[[#This Row],[ARTEFACTOS]]=AE$2,100%,AVANCE[[#This Row],[ARTEFACTOS]])</f>
        <v>0</v>
      </c>
      <c r="BU647" s="3">
        <f>+IF(AVANCE[[#This Row],[TABLERO]]=AF$2,100%,AVANCE[[#This Row],[TABLERO]])</f>
        <v>0</v>
      </c>
      <c r="BV647" s="3">
        <f>+IF(AVANCE[[#This Row],[CAJA PAU]]=AG$2,100%,AVANCE[[#This Row],[CAJA PAU]])</f>
        <v>0</v>
      </c>
      <c r="BW647" s="3">
        <f>+IF(AVANCE[[#This Row],[INSTALACION VINILICO]]=AJ$2,100%,AVANCE[[#This Row],[INSTALACION VINILICO]])</f>
        <v>0</v>
      </c>
      <c r="BX647" s="3">
        <f>+IF(AVANCE[[#This Row],[OSB CUBIERTA]]=AK$2,100%,AVANCE[[#This Row],[OSB CUBIERTA]])</f>
        <v>0</v>
      </c>
      <c r="BY647" s="3">
        <f>+IF(AVANCE[[#This Row],[BARANDA BALCON]]=AL$2,100%,AVANCE[[#This Row],[BARANDA BALCON]])</f>
        <v>0</v>
      </c>
      <c r="BZ647" s="3">
        <f>+IF(AVANCE[[#This Row],[OSB EXTERIOR]]=AM$2,100%,AVANCE[[#This Row],[OSB EXTERIOR]])</f>
        <v>0</v>
      </c>
      <c r="CA647" s="3">
        <f>+IF(AVANCE[[#This Row],[SMART PANEL]]=AN$2,100%,AVANCE[[#This Row],[SMART PANEL]])</f>
        <v>0</v>
      </c>
      <c r="CB647" s="3">
        <f>+IF(AVANCE[[#This Row],[PINTURA EXTERIOR]]=AO$2,100%,AVANCE[[#This Row],[PINTURA EXTERIOR]])</f>
        <v>0</v>
      </c>
      <c r="CC647" s="3">
        <f>+IF(AVANCE[[#This Row],[ZOCALOS LOGIA]]=AP$2,100%,AVANCE[[#This Row],[ZOCALOS LOGIA]])</f>
        <v>0</v>
      </c>
      <c r="CD647" s="3">
        <f>+IF(AVANCE[[#This Row],[MOLDURAS]]=AQ$2,100%,AVANCE[[#This Row],[MOLDURAS]])</f>
        <v>0</v>
      </c>
      <c r="CE647" s="3">
        <f>+IF(AVANCE[[#This Row],[PILASTREO]]=AR$2,100%,AVANCE[[#This Row],[PILASTREO]])</f>
        <v>0</v>
      </c>
      <c r="CF647" s="3">
        <f>+IF(AVANCE[[#This Row],[CELOSIAS]]=AS$2,100%,AVANCE[[#This Row],[CELOSIAS]])</f>
        <v>0</v>
      </c>
      <c r="CG647" s="3">
        <f>+IF(AVANCE[[#This Row],[VENTANAS]]=AT$2,100%,AVANCE[[#This Row],[VENTANAS]])</f>
        <v>0</v>
      </c>
      <c r="CH647" s="3">
        <f>+IF(AVANCE[[#This Row],[PUERTAS ACCESO - LOGIA - BANO]]=AU$2,100%,AVANCE[[#This Row],[PUERTAS ACCESO - LOGIA - BANO]])</f>
        <v>0</v>
      </c>
      <c r="CI647" s="3">
        <f>+IF(AVANCE[[#This Row],[CERRADURAS]]=AV$2,100%,AVANCE[[#This Row],[CERRADURAS]])</f>
        <v>0</v>
      </c>
      <c r="CJ647" s="3">
        <f>+IF(AVANCE[[#This Row],[REVESTIMIENTO INTERIOR ZONA SECA]]=AW$2,100%,AVANCE[[#This Row],[REVESTIMIENTO INTERIOR ZONA SECA]])</f>
        <v>0</v>
      </c>
      <c r="CK647" s="3">
        <f>+IF(AVANCE[[#This Row],[REVESTIMIENTO INTERIOR ZONAS HUMEDAS]]=AX$2,100%,AVANCE[[#This Row],[REVESTIMIENTO INTERIOR ZONAS HUMEDAS]])</f>
        <v>0</v>
      </c>
      <c r="CL647" s="3">
        <f>+IF(AVANCE[[#This Row],[MEMBRANA CIELO]]=AY$2,100%,AVANCE[[#This Row],[MEMBRANA CIELO]])</f>
        <v>0</v>
      </c>
      <c r="CM647" s="3">
        <f>+IF(AVANCE[[#This Row],[LIMPIEZA FINAL]]=AZ$2,100%,AVANCE[[#This Row],[LIMPIEZA FINAL]])</f>
        <v>0</v>
      </c>
      <c r="CN647" s="3">
        <f>+IF(AVANCE[[#This Row],[PUERTAS DORMITORIO]]=BA$2,100%,AVANCE[[#This Row],[PUERTAS DORMITORIO]])</f>
        <v>0</v>
      </c>
      <c r="CO647" s="3">
        <f>+IF(AVANCE[[#This Row],[REVESTIMIENTO INTERIOR BANO]]=BB$2,100%,AVANCE[[#This Row],[REVESTIMIENTO INTERIOR BANO]])</f>
        <v>0</v>
      </c>
      <c r="CP647" s="3">
        <f>+IF(AVANCE[[#This Row],[MUEBLE LAVAPLATOS]]=BC$2,100%,AVANCE[[#This Row],[MUEBLE LAVAPLATOS]])</f>
        <v>0</v>
      </c>
      <c r="CQ647" s="3">
        <f>+IF(AVANCE[[#This Row],[IMPERMEABILIZACION BANO - COCINA LOGIA]]=BD$2,100%,AVANCE[[#This Row],[IMPERMEABILIZACION BANO - COCINA LOGIA]])</f>
        <v>0</v>
      </c>
      <c r="CR647" s="40">
        <f ca="1">+IF(AVANCE[[#This Row],[ESTADO MODULO]]="PENDIENTE",(TODAY()-AVANCE[[#This Row],[FECHA TERMINO  PLANIFICADO]]),0)</f>
        <v>0</v>
      </c>
      <c r="CS647" s="42" t="str" cm="1">
        <f t="array" ref="CS647">_xlfn.TEXTJOIN(" | ",TRUE,IF(SUMPRODUCT((BF647:CQ647&lt;1)*(PARTIDAS!$I$2:$AT$2="OBRA GRUESA"))&gt;0,"OBRA GRUESA: "&amp;_xlfn.TEXTJOIN(", ",TRUE,IF((BF647:CQ647&lt;1)*(PARTIDAS!$I$2:$AT$2="OBRA GRUESA"),PARTIDAS!$I$1:$AT$1,"")),""),IF(SUMPRODUCT((BF647:CQ647&lt;1)*(PARTIDAS!$I$2:$AT$2="SANITARIOS"))&gt;0,"SANITARIOS: "&amp;_xlfn.TEXTJOIN(", ",TRUE,IF((BF647:CQ647&lt;1)*(PARTIDAS!$I$2:$AT$2="SANITARIOS"),PARTIDAS!$I$1:$AT$1,"")),""),IF(SUMPRODUCT((BF647:CQ647&lt;1)*(PARTIDAS!$I$2:$AT$2="ELÉCTRICO"))&gt;0,"ELÉCTRICO: "&amp;_xlfn.TEXTJOIN(", ",TRUE,IF((BF647:CQ647&lt;1)*(PARTIDAS!$I$2:$AT$2="ELÉCTRICO"),PARTIDAS!$I$1:$AT$1,"")),""),IF(SUMPRODUCT((BF647:CQ647&lt;1)*(PARTIDAS!$I$2:$AT$2="TERMINACIONES"))&gt;0,"TERMINACIONES: "&amp;_xlfn.TEXTJOIN(", ",TRUE,IF((BF647:CQ647&lt;1)*(PARTIDAS!$I$2:$AT$2="TERMINACIONES"),PARTIDAS!$I$1:$AT$1,"")),""))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7" s="45" t="str" cm="1">
        <f t="array" ref="CT647">_xlfn.TEXTJOIN(", ",TRUE,IF(SUMPRODUCT((BF647:CQ647&lt;1)*(PARTIDAS!$I$2:$AT$2="OBRA GRUESA"))&gt;0,"OBRA GRUESA",""),IF(SUMPRODUCT((BF647:CQ647&lt;1)*(PARTIDAS!$I$2:$AT$2="SANITARIOS"))&gt;0,"SANITARIOS",""),IF(SUMPRODUCT((BF647:CQ647&lt;1)*(PARTIDAS!$I$2:$AT$2="ELÉCTRICO"))&gt;0,"ELÉCTRICO",""),IF(SUMPRODUCT((BF647:CQ647&lt;1)*(PARTIDAS!$I$2:$AT$2="TERMINACIONES"))&gt;0,"TERMINACIONES",""))</f>
        <v>OBRA GRUESA, SANITARIOS, ELÉCTRICO, TERMINACIONES</v>
      </c>
      <c r="CU647" s="46" cm="1">
        <f t="array" ref="CU647">SUMPRODUCT(--(BF647:CQ647&lt;1))</f>
        <v>38</v>
      </c>
    </row>
    <row r="648" spans="1:99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46181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 s="3" t="str">
        <f>+IF(AVANCE[[#This Row],[% AVANCE]]=100%,"MODULO TERMINADO",IF(AVANCE[[#This Row],[FECHA INICIO REAL]]="","MODULO NO INICIADO","PENDIENTE"))</f>
        <v>MODULO NO INICIADO</v>
      </c>
      <c r="BF648" s="3">
        <f>+IF(AVANCE[[#This Row],[VENTANAS]]=8.10810810810811%,100%,AVANCE[[#This Row],[VENTANAS]])</f>
        <v>0</v>
      </c>
      <c r="BG648" s="3">
        <f>+IF(AVANCE[[#This Row],[PISO]]=N$2,100%,AVANCE[[#This Row],[PISO]])</f>
        <v>0</v>
      </c>
      <c r="BH648" s="3">
        <f>+IF(AVANCE[[#This Row],[TABIQUES]]=O$2,100%,AVANCE[[#This Row],[TABIQUES]])</f>
        <v>0</v>
      </c>
      <c r="BI648" s="3">
        <f>+IF(AVANCE[[#This Row],[MUROS]]=P$2,100%,AVANCE[[#This Row],[MUROS]])</f>
        <v>0</v>
      </c>
      <c r="BJ648" s="3">
        <f>+IF(AVANCE[[#This Row],[CIELO]]=Q$2,100%,AVANCE[[#This Row],[CIELO]])</f>
        <v>0</v>
      </c>
      <c r="BK648" s="3">
        <f>+IF(AVANCE[[#This Row],[BALCÓN]]=R$2,100%,AVANCE[[#This Row],[BALCÓN]])</f>
        <v>0</v>
      </c>
      <c r="BL648" s="3">
        <f>+IF(AVANCE[[#This Row],[RED ALCANTARILLADO]]=U$2,100%,AVANCE[[#This Row],[RED ALCANTARILLADO]])</f>
        <v>0</v>
      </c>
      <c r="BM648" s="3">
        <f>+IF(AVANCE[[#This Row],[RED DE AGUA]]=V$2,100%,AVANCE[[#This Row],[RED DE AGUA]])</f>
        <v>0</v>
      </c>
      <c r="BN648" s="3">
        <f>+IF(AVANCE[[#This Row],[VENTILACIONES]]=W$2,100%,AVANCE[[#This Row],[VENTILACIONES]])</f>
        <v>0</v>
      </c>
      <c r="BO648" s="3">
        <f>+IF(AVANCE[[#This Row],[TINA]]=X$2,100%,AVANCE[[#This Row],[TINA]])</f>
        <v>0</v>
      </c>
      <c r="BP648" s="3">
        <f>+IF(AVANCE[[#This Row],[WC]]=Y$2,100%,AVANCE[[#This Row],[WC]])</f>
        <v>0</v>
      </c>
      <c r="BQ648" s="3">
        <f>+IF(AVANCE[[#This Row],[LAVAMANOS / LAVAPLATOS / LAVADERO]]=Z$2,100%,AVANCE[[#This Row],[LAVAMANOS / LAVAPLATOS / LAVADERO]])</f>
        <v>0</v>
      </c>
      <c r="BR648" s="3">
        <f>+IF(AVANCE[[#This Row],[CANALIZACIÓN]]=AC$2,100%,AVANCE[[#This Row],[CANALIZACIÓN]])</f>
        <v>0</v>
      </c>
      <c r="BS648" s="3">
        <f>+IF(AVANCE[[#This Row],[CABLEADO]]=AD$2,100%,AVANCE[[#This Row],[CABLEADO]])</f>
        <v>0</v>
      </c>
      <c r="BT648" s="3">
        <f>+IF(AVANCE[[#This Row],[ARTEFACTOS]]=AE$2,100%,AVANCE[[#This Row],[ARTEFACTOS]])</f>
        <v>0</v>
      </c>
      <c r="BU648" s="3">
        <f>+IF(AVANCE[[#This Row],[TABLERO]]=AF$2,100%,AVANCE[[#This Row],[TABLERO]])</f>
        <v>0</v>
      </c>
      <c r="BV648" s="3">
        <f>+IF(AVANCE[[#This Row],[CAJA PAU]]=AG$2,100%,AVANCE[[#This Row],[CAJA PAU]])</f>
        <v>0</v>
      </c>
      <c r="BW648" s="3">
        <f>+IF(AVANCE[[#This Row],[INSTALACION VINILICO]]=AJ$2,100%,AVANCE[[#This Row],[INSTALACION VINILICO]])</f>
        <v>0</v>
      </c>
      <c r="BX648" s="3">
        <f>+IF(AVANCE[[#This Row],[OSB CUBIERTA]]=AK$2,100%,AVANCE[[#This Row],[OSB CUBIERTA]])</f>
        <v>0</v>
      </c>
      <c r="BY648" s="3">
        <f>+IF(AVANCE[[#This Row],[BARANDA BALCON]]=AL$2,100%,AVANCE[[#This Row],[BARANDA BALCON]])</f>
        <v>0</v>
      </c>
      <c r="BZ648" s="3">
        <f>+IF(AVANCE[[#This Row],[OSB EXTERIOR]]=AM$2,100%,AVANCE[[#This Row],[OSB EXTERIOR]])</f>
        <v>0</v>
      </c>
      <c r="CA648" s="3">
        <f>+IF(AVANCE[[#This Row],[SMART PANEL]]=AN$2,100%,AVANCE[[#This Row],[SMART PANEL]])</f>
        <v>0</v>
      </c>
      <c r="CB648" s="3">
        <f>+IF(AVANCE[[#This Row],[PINTURA EXTERIOR]]=AO$2,100%,AVANCE[[#This Row],[PINTURA EXTERIOR]])</f>
        <v>0</v>
      </c>
      <c r="CC648" s="3">
        <f>+IF(AVANCE[[#This Row],[ZOCALOS LOGIA]]=AP$2,100%,AVANCE[[#This Row],[ZOCALOS LOGIA]])</f>
        <v>0</v>
      </c>
      <c r="CD648" s="3">
        <f>+IF(AVANCE[[#This Row],[MOLDURAS]]=AQ$2,100%,AVANCE[[#This Row],[MOLDURAS]])</f>
        <v>0</v>
      </c>
      <c r="CE648" s="3">
        <f>+IF(AVANCE[[#This Row],[PILASTREO]]=AR$2,100%,AVANCE[[#This Row],[PILASTREO]])</f>
        <v>0</v>
      </c>
      <c r="CF648" s="3">
        <f>+IF(AVANCE[[#This Row],[CELOSIAS]]=AS$2,100%,AVANCE[[#This Row],[CELOSIAS]])</f>
        <v>0</v>
      </c>
      <c r="CG648" s="3">
        <f>+IF(AVANCE[[#This Row],[VENTANAS]]=AT$2,100%,AVANCE[[#This Row],[VENTANAS]])</f>
        <v>0</v>
      </c>
      <c r="CH648" s="3">
        <f>+IF(AVANCE[[#This Row],[PUERTAS ACCESO - LOGIA - BANO]]=AU$2,100%,AVANCE[[#This Row],[PUERTAS ACCESO - LOGIA - BANO]])</f>
        <v>0</v>
      </c>
      <c r="CI648" s="3">
        <f>+IF(AVANCE[[#This Row],[CERRADURAS]]=AV$2,100%,AVANCE[[#This Row],[CERRADURAS]])</f>
        <v>0</v>
      </c>
      <c r="CJ648" s="3">
        <f>+IF(AVANCE[[#This Row],[REVESTIMIENTO INTERIOR ZONA SECA]]=AW$2,100%,AVANCE[[#This Row],[REVESTIMIENTO INTERIOR ZONA SECA]])</f>
        <v>0</v>
      </c>
      <c r="CK648" s="3">
        <f>+IF(AVANCE[[#This Row],[REVESTIMIENTO INTERIOR ZONAS HUMEDAS]]=AX$2,100%,AVANCE[[#This Row],[REVESTIMIENTO INTERIOR ZONAS HUMEDAS]])</f>
        <v>0</v>
      </c>
      <c r="CL648" s="3">
        <f>+IF(AVANCE[[#This Row],[MEMBRANA CIELO]]=AY$2,100%,AVANCE[[#This Row],[MEMBRANA CIELO]])</f>
        <v>0</v>
      </c>
      <c r="CM648" s="3">
        <f>+IF(AVANCE[[#This Row],[LIMPIEZA FINAL]]=AZ$2,100%,AVANCE[[#This Row],[LIMPIEZA FINAL]])</f>
        <v>0</v>
      </c>
      <c r="CN648" s="3">
        <f>+IF(AVANCE[[#This Row],[PUERTAS DORMITORIO]]=BA$2,100%,AVANCE[[#This Row],[PUERTAS DORMITORIO]])</f>
        <v>0</v>
      </c>
      <c r="CO648" s="3">
        <f>+IF(AVANCE[[#This Row],[REVESTIMIENTO INTERIOR BANO]]=BB$2,100%,AVANCE[[#This Row],[REVESTIMIENTO INTERIOR BANO]])</f>
        <v>0</v>
      </c>
      <c r="CP648" s="3">
        <f>+IF(AVANCE[[#This Row],[MUEBLE LAVAPLATOS]]=BC$2,100%,AVANCE[[#This Row],[MUEBLE LAVAPLATOS]])</f>
        <v>0</v>
      </c>
      <c r="CQ648" s="3">
        <f>+IF(AVANCE[[#This Row],[IMPERMEABILIZACION BANO - COCINA LOGIA]]=BD$2,100%,AVANCE[[#This Row],[IMPERMEABILIZACION BANO - COCINA LOGIA]])</f>
        <v>0</v>
      </c>
      <c r="CR648" s="40">
        <f ca="1">+IF(AVANCE[[#This Row],[ESTADO MODULO]]="PENDIENTE",(TODAY()-AVANCE[[#This Row],[FECHA TERMINO  PLANIFICADO]]),0)</f>
        <v>0</v>
      </c>
      <c r="CS648" s="42" t="str" cm="1">
        <f t="array" ref="CS648">_xlfn.TEXTJOIN(" | ",TRUE,IF(SUMPRODUCT((BF648:CQ648&lt;1)*(PARTIDAS!$I$2:$AT$2="OBRA GRUESA"))&gt;0,"OBRA GRUESA: "&amp;_xlfn.TEXTJOIN(", ",TRUE,IF((BF648:CQ648&lt;1)*(PARTIDAS!$I$2:$AT$2="OBRA GRUESA"),PARTIDAS!$I$1:$AT$1,"")),""),IF(SUMPRODUCT((BF648:CQ648&lt;1)*(PARTIDAS!$I$2:$AT$2="SANITARIOS"))&gt;0,"SANITARIOS: "&amp;_xlfn.TEXTJOIN(", ",TRUE,IF((BF648:CQ648&lt;1)*(PARTIDAS!$I$2:$AT$2="SANITARIOS"),PARTIDAS!$I$1:$AT$1,"")),""),IF(SUMPRODUCT((BF648:CQ648&lt;1)*(PARTIDAS!$I$2:$AT$2="ELÉCTRICO"))&gt;0,"ELÉCTRICO: "&amp;_xlfn.TEXTJOIN(", ",TRUE,IF((BF648:CQ648&lt;1)*(PARTIDAS!$I$2:$AT$2="ELÉCTRICO"),PARTIDAS!$I$1:$AT$1,"")),""),IF(SUMPRODUCT((BF648:CQ648&lt;1)*(PARTIDAS!$I$2:$AT$2="TERMINACIONES"))&gt;0,"TERMINACIONES: "&amp;_xlfn.TEXTJOIN(", ",TRUE,IF((BF648:CQ648&lt;1)*(PARTIDAS!$I$2:$AT$2="TERMINACIONES"),PARTIDAS!$I$1:$AT$1,"")),""))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8" s="45" t="str" cm="1">
        <f t="array" ref="CT648">_xlfn.TEXTJOIN(", ",TRUE,IF(SUMPRODUCT((BF648:CQ648&lt;1)*(PARTIDAS!$I$2:$AT$2="OBRA GRUESA"))&gt;0,"OBRA GRUESA",""),IF(SUMPRODUCT((BF648:CQ648&lt;1)*(PARTIDAS!$I$2:$AT$2="SANITARIOS"))&gt;0,"SANITARIOS",""),IF(SUMPRODUCT((BF648:CQ648&lt;1)*(PARTIDAS!$I$2:$AT$2="ELÉCTRICO"))&gt;0,"ELÉCTRICO",""),IF(SUMPRODUCT((BF648:CQ648&lt;1)*(PARTIDAS!$I$2:$AT$2="TERMINACIONES"))&gt;0,"TERMINACIONES",""))</f>
        <v>OBRA GRUESA, SANITARIOS, ELÉCTRICO, TERMINACIONES</v>
      </c>
      <c r="CU648" s="46" cm="1">
        <f t="array" ref="CU648">SUMPRODUCT(--(BF648:CQ648&lt;1))</f>
        <v>38</v>
      </c>
    </row>
    <row r="649" spans="1:99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46181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 s="3" t="str">
        <f>+IF(AVANCE[[#This Row],[% AVANCE]]=100%,"MODULO TERMINADO",IF(AVANCE[[#This Row],[FECHA INICIO REAL]]="","MODULO NO INICIADO","PENDIENTE"))</f>
        <v>MODULO NO INICIADO</v>
      </c>
      <c r="BF649" s="3">
        <f>+IF(AVANCE[[#This Row],[VENTANAS]]=8.10810810810811%,100%,AVANCE[[#This Row],[VENTANAS]])</f>
        <v>0</v>
      </c>
      <c r="BG649" s="3">
        <f>+IF(AVANCE[[#This Row],[PISO]]=N$2,100%,AVANCE[[#This Row],[PISO]])</f>
        <v>0</v>
      </c>
      <c r="BH649" s="3">
        <f>+IF(AVANCE[[#This Row],[TABIQUES]]=O$2,100%,AVANCE[[#This Row],[TABIQUES]])</f>
        <v>0</v>
      </c>
      <c r="BI649" s="3">
        <f>+IF(AVANCE[[#This Row],[MUROS]]=P$2,100%,AVANCE[[#This Row],[MUROS]])</f>
        <v>0</v>
      </c>
      <c r="BJ649" s="3">
        <f>+IF(AVANCE[[#This Row],[CIELO]]=Q$2,100%,AVANCE[[#This Row],[CIELO]])</f>
        <v>0</v>
      </c>
      <c r="BK649" s="3">
        <f>+IF(AVANCE[[#This Row],[BALCÓN]]=R$2,100%,AVANCE[[#This Row],[BALCÓN]])</f>
        <v>0</v>
      </c>
      <c r="BL649" s="3">
        <f>+IF(AVANCE[[#This Row],[RED ALCANTARILLADO]]=U$2,100%,AVANCE[[#This Row],[RED ALCANTARILLADO]])</f>
        <v>0</v>
      </c>
      <c r="BM649" s="3">
        <f>+IF(AVANCE[[#This Row],[RED DE AGUA]]=V$2,100%,AVANCE[[#This Row],[RED DE AGUA]])</f>
        <v>0</v>
      </c>
      <c r="BN649" s="3">
        <f>+IF(AVANCE[[#This Row],[VENTILACIONES]]=W$2,100%,AVANCE[[#This Row],[VENTILACIONES]])</f>
        <v>0</v>
      </c>
      <c r="BO649" s="3">
        <f>+IF(AVANCE[[#This Row],[TINA]]=X$2,100%,AVANCE[[#This Row],[TINA]])</f>
        <v>0</v>
      </c>
      <c r="BP649" s="3">
        <f>+IF(AVANCE[[#This Row],[WC]]=Y$2,100%,AVANCE[[#This Row],[WC]])</f>
        <v>0</v>
      </c>
      <c r="BQ649" s="3">
        <f>+IF(AVANCE[[#This Row],[LAVAMANOS / LAVAPLATOS / LAVADERO]]=Z$2,100%,AVANCE[[#This Row],[LAVAMANOS / LAVAPLATOS / LAVADERO]])</f>
        <v>0</v>
      </c>
      <c r="BR649" s="3">
        <f>+IF(AVANCE[[#This Row],[CANALIZACIÓN]]=AC$2,100%,AVANCE[[#This Row],[CANALIZACIÓN]])</f>
        <v>0</v>
      </c>
      <c r="BS649" s="3">
        <f>+IF(AVANCE[[#This Row],[CABLEADO]]=AD$2,100%,AVANCE[[#This Row],[CABLEADO]])</f>
        <v>0</v>
      </c>
      <c r="BT649" s="3">
        <f>+IF(AVANCE[[#This Row],[ARTEFACTOS]]=AE$2,100%,AVANCE[[#This Row],[ARTEFACTOS]])</f>
        <v>0</v>
      </c>
      <c r="BU649" s="3">
        <f>+IF(AVANCE[[#This Row],[TABLERO]]=AF$2,100%,AVANCE[[#This Row],[TABLERO]])</f>
        <v>0</v>
      </c>
      <c r="BV649" s="3">
        <f>+IF(AVANCE[[#This Row],[CAJA PAU]]=AG$2,100%,AVANCE[[#This Row],[CAJA PAU]])</f>
        <v>0</v>
      </c>
      <c r="BW649" s="3">
        <f>+IF(AVANCE[[#This Row],[INSTALACION VINILICO]]=AJ$2,100%,AVANCE[[#This Row],[INSTALACION VINILICO]])</f>
        <v>0</v>
      </c>
      <c r="BX649" s="3">
        <f>+IF(AVANCE[[#This Row],[OSB CUBIERTA]]=AK$2,100%,AVANCE[[#This Row],[OSB CUBIERTA]])</f>
        <v>0</v>
      </c>
      <c r="BY649" s="3">
        <f>+IF(AVANCE[[#This Row],[BARANDA BALCON]]=AL$2,100%,AVANCE[[#This Row],[BARANDA BALCON]])</f>
        <v>0</v>
      </c>
      <c r="BZ649" s="3">
        <f>+IF(AVANCE[[#This Row],[OSB EXTERIOR]]=AM$2,100%,AVANCE[[#This Row],[OSB EXTERIOR]])</f>
        <v>0</v>
      </c>
      <c r="CA649" s="3">
        <f>+IF(AVANCE[[#This Row],[SMART PANEL]]=AN$2,100%,AVANCE[[#This Row],[SMART PANEL]])</f>
        <v>0</v>
      </c>
      <c r="CB649" s="3">
        <f>+IF(AVANCE[[#This Row],[PINTURA EXTERIOR]]=AO$2,100%,AVANCE[[#This Row],[PINTURA EXTERIOR]])</f>
        <v>0</v>
      </c>
      <c r="CC649" s="3">
        <f>+IF(AVANCE[[#This Row],[ZOCALOS LOGIA]]=AP$2,100%,AVANCE[[#This Row],[ZOCALOS LOGIA]])</f>
        <v>0</v>
      </c>
      <c r="CD649" s="3">
        <f>+IF(AVANCE[[#This Row],[MOLDURAS]]=AQ$2,100%,AVANCE[[#This Row],[MOLDURAS]])</f>
        <v>0</v>
      </c>
      <c r="CE649" s="3">
        <f>+IF(AVANCE[[#This Row],[PILASTREO]]=AR$2,100%,AVANCE[[#This Row],[PILASTREO]])</f>
        <v>0</v>
      </c>
      <c r="CF649" s="3">
        <f>+IF(AVANCE[[#This Row],[CELOSIAS]]=AS$2,100%,AVANCE[[#This Row],[CELOSIAS]])</f>
        <v>0</v>
      </c>
      <c r="CG649" s="3">
        <f>+IF(AVANCE[[#This Row],[VENTANAS]]=AT$2,100%,AVANCE[[#This Row],[VENTANAS]])</f>
        <v>0</v>
      </c>
      <c r="CH649" s="3">
        <f>+IF(AVANCE[[#This Row],[PUERTAS ACCESO - LOGIA - BANO]]=AU$2,100%,AVANCE[[#This Row],[PUERTAS ACCESO - LOGIA - BANO]])</f>
        <v>0</v>
      </c>
      <c r="CI649" s="3">
        <f>+IF(AVANCE[[#This Row],[CERRADURAS]]=AV$2,100%,AVANCE[[#This Row],[CERRADURAS]])</f>
        <v>0</v>
      </c>
      <c r="CJ649" s="3">
        <f>+IF(AVANCE[[#This Row],[REVESTIMIENTO INTERIOR ZONA SECA]]=AW$2,100%,AVANCE[[#This Row],[REVESTIMIENTO INTERIOR ZONA SECA]])</f>
        <v>0</v>
      </c>
      <c r="CK649" s="3">
        <f>+IF(AVANCE[[#This Row],[REVESTIMIENTO INTERIOR ZONAS HUMEDAS]]=AX$2,100%,AVANCE[[#This Row],[REVESTIMIENTO INTERIOR ZONAS HUMEDAS]])</f>
        <v>0</v>
      </c>
      <c r="CL649" s="3">
        <f>+IF(AVANCE[[#This Row],[MEMBRANA CIELO]]=AY$2,100%,AVANCE[[#This Row],[MEMBRANA CIELO]])</f>
        <v>0</v>
      </c>
      <c r="CM649" s="3">
        <f>+IF(AVANCE[[#This Row],[LIMPIEZA FINAL]]=AZ$2,100%,AVANCE[[#This Row],[LIMPIEZA FINAL]])</f>
        <v>0</v>
      </c>
      <c r="CN649" s="3">
        <f>+IF(AVANCE[[#This Row],[PUERTAS DORMITORIO]]=BA$2,100%,AVANCE[[#This Row],[PUERTAS DORMITORIO]])</f>
        <v>0</v>
      </c>
      <c r="CO649" s="3">
        <f>+IF(AVANCE[[#This Row],[REVESTIMIENTO INTERIOR BANO]]=BB$2,100%,AVANCE[[#This Row],[REVESTIMIENTO INTERIOR BANO]])</f>
        <v>0</v>
      </c>
      <c r="CP649" s="3">
        <f>+IF(AVANCE[[#This Row],[MUEBLE LAVAPLATOS]]=BC$2,100%,AVANCE[[#This Row],[MUEBLE LAVAPLATOS]])</f>
        <v>0</v>
      </c>
      <c r="CQ649" s="3">
        <f>+IF(AVANCE[[#This Row],[IMPERMEABILIZACION BANO - COCINA LOGIA]]=BD$2,100%,AVANCE[[#This Row],[IMPERMEABILIZACION BANO - COCINA LOGIA]])</f>
        <v>0</v>
      </c>
      <c r="CR649" s="40">
        <f ca="1">+IF(AVANCE[[#This Row],[ESTADO MODULO]]="PENDIENTE",(TODAY()-AVANCE[[#This Row],[FECHA TERMINO  PLANIFICADO]]),0)</f>
        <v>0</v>
      </c>
      <c r="CS649" s="42" t="str" cm="1">
        <f t="array" ref="CS649">_xlfn.TEXTJOIN(" | ",TRUE,IF(SUMPRODUCT((BF649:CQ649&lt;1)*(PARTIDAS!$I$2:$AT$2="OBRA GRUESA"))&gt;0,"OBRA GRUESA: "&amp;_xlfn.TEXTJOIN(", ",TRUE,IF((BF649:CQ649&lt;1)*(PARTIDAS!$I$2:$AT$2="OBRA GRUESA"),PARTIDAS!$I$1:$AT$1,"")),""),IF(SUMPRODUCT((BF649:CQ649&lt;1)*(PARTIDAS!$I$2:$AT$2="SANITARIOS"))&gt;0,"SANITARIOS: "&amp;_xlfn.TEXTJOIN(", ",TRUE,IF((BF649:CQ649&lt;1)*(PARTIDAS!$I$2:$AT$2="SANITARIOS"),PARTIDAS!$I$1:$AT$1,"")),""),IF(SUMPRODUCT((BF649:CQ649&lt;1)*(PARTIDAS!$I$2:$AT$2="ELÉCTRICO"))&gt;0,"ELÉCTRICO: "&amp;_xlfn.TEXTJOIN(", ",TRUE,IF((BF649:CQ649&lt;1)*(PARTIDAS!$I$2:$AT$2="ELÉCTRICO"),PARTIDAS!$I$1:$AT$1,"")),""),IF(SUMPRODUCT((BF649:CQ649&lt;1)*(PARTIDAS!$I$2:$AT$2="TERMINACIONES"))&gt;0,"TERMINACIONES: "&amp;_xlfn.TEXTJOIN(", ",TRUE,IF((BF649:CQ649&lt;1)*(PARTIDAS!$I$2:$AT$2="TERMINACIONES"),PARTIDAS!$I$1:$AT$1,"")),""))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49" s="45" t="str" cm="1">
        <f t="array" ref="CT649">_xlfn.TEXTJOIN(", ",TRUE,IF(SUMPRODUCT((BF649:CQ649&lt;1)*(PARTIDAS!$I$2:$AT$2="OBRA GRUESA"))&gt;0,"OBRA GRUESA",""),IF(SUMPRODUCT((BF649:CQ649&lt;1)*(PARTIDAS!$I$2:$AT$2="SANITARIOS"))&gt;0,"SANITARIOS",""),IF(SUMPRODUCT((BF649:CQ649&lt;1)*(PARTIDAS!$I$2:$AT$2="ELÉCTRICO"))&gt;0,"ELÉCTRICO",""),IF(SUMPRODUCT((BF649:CQ649&lt;1)*(PARTIDAS!$I$2:$AT$2="TERMINACIONES"))&gt;0,"TERMINACIONES",""))</f>
        <v>OBRA GRUESA, SANITARIOS, ELÉCTRICO, TERMINACIONES</v>
      </c>
      <c r="CU649" s="46" cm="1">
        <f t="array" ref="CU649">SUMPRODUCT(--(BF649:CQ649&lt;1))</f>
        <v>38</v>
      </c>
    </row>
    <row r="650" spans="1:99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46181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 s="3" t="str">
        <f>+IF(AVANCE[[#This Row],[% AVANCE]]=100%,"MODULO TERMINADO",IF(AVANCE[[#This Row],[FECHA INICIO REAL]]="","MODULO NO INICIADO","PENDIENTE"))</f>
        <v>MODULO NO INICIADO</v>
      </c>
      <c r="BF650" s="3">
        <f>+IF(AVANCE[[#This Row],[VENTANAS]]=8.10810810810811%,100%,AVANCE[[#This Row],[VENTANAS]])</f>
        <v>0</v>
      </c>
      <c r="BG650" s="3">
        <f>+IF(AVANCE[[#This Row],[PISO]]=N$2,100%,AVANCE[[#This Row],[PISO]])</f>
        <v>0</v>
      </c>
      <c r="BH650" s="3">
        <f>+IF(AVANCE[[#This Row],[TABIQUES]]=O$2,100%,AVANCE[[#This Row],[TABIQUES]])</f>
        <v>0</v>
      </c>
      <c r="BI650" s="3">
        <f>+IF(AVANCE[[#This Row],[MUROS]]=P$2,100%,AVANCE[[#This Row],[MUROS]])</f>
        <v>0</v>
      </c>
      <c r="BJ650" s="3">
        <f>+IF(AVANCE[[#This Row],[CIELO]]=Q$2,100%,AVANCE[[#This Row],[CIELO]])</f>
        <v>0</v>
      </c>
      <c r="BK650" s="3">
        <f>+IF(AVANCE[[#This Row],[BALCÓN]]=R$2,100%,AVANCE[[#This Row],[BALCÓN]])</f>
        <v>0</v>
      </c>
      <c r="BL650" s="3">
        <f>+IF(AVANCE[[#This Row],[RED ALCANTARILLADO]]=U$2,100%,AVANCE[[#This Row],[RED ALCANTARILLADO]])</f>
        <v>0</v>
      </c>
      <c r="BM650" s="3">
        <f>+IF(AVANCE[[#This Row],[RED DE AGUA]]=V$2,100%,AVANCE[[#This Row],[RED DE AGUA]])</f>
        <v>0</v>
      </c>
      <c r="BN650" s="3">
        <f>+IF(AVANCE[[#This Row],[VENTILACIONES]]=W$2,100%,AVANCE[[#This Row],[VENTILACIONES]])</f>
        <v>0</v>
      </c>
      <c r="BO650" s="3">
        <f>+IF(AVANCE[[#This Row],[TINA]]=X$2,100%,AVANCE[[#This Row],[TINA]])</f>
        <v>0</v>
      </c>
      <c r="BP650" s="3">
        <f>+IF(AVANCE[[#This Row],[WC]]=Y$2,100%,AVANCE[[#This Row],[WC]])</f>
        <v>0</v>
      </c>
      <c r="BQ650" s="3">
        <f>+IF(AVANCE[[#This Row],[LAVAMANOS / LAVAPLATOS / LAVADERO]]=Z$2,100%,AVANCE[[#This Row],[LAVAMANOS / LAVAPLATOS / LAVADERO]])</f>
        <v>0</v>
      </c>
      <c r="BR650" s="3">
        <f>+IF(AVANCE[[#This Row],[CANALIZACIÓN]]=AC$2,100%,AVANCE[[#This Row],[CANALIZACIÓN]])</f>
        <v>0</v>
      </c>
      <c r="BS650" s="3">
        <f>+IF(AVANCE[[#This Row],[CABLEADO]]=AD$2,100%,AVANCE[[#This Row],[CABLEADO]])</f>
        <v>0</v>
      </c>
      <c r="BT650" s="3">
        <f>+IF(AVANCE[[#This Row],[ARTEFACTOS]]=AE$2,100%,AVANCE[[#This Row],[ARTEFACTOS]])</f>
        <v>0</v>
      </c>
      <c r="BU650" s="3">
        <f>+IF(AVANCE[[#This Row],[TABLERO]]=AF$2,100%,AVANCE[[#This Row],[TABLERO]])</f>
        <v>0</v>
      </c>
      <c r="BV650" s="3">
        <f>+IF(AVANCE[[#This Row],[CAJA PAU]]=AG$2,100%,AVANCE[[#This Row],[CAJA PAU]])</f>
        <v>0</v>
      </c>
      <c r="BW650" s="3">
        <f>+IF(AVANCE[[#This Row],[INSTALACION VINILICO]]=AJ$2,100%,AVANCE[[#This Row],[INSTALACION VINILICO]])</f>
        <v>0</v>
      </c>
      <c r="BX650" s="3">
        <f>+IF(AVANCE[[#This Row],[OSB CUBIERTA]]=AK$2,100%,AVANCE[[#This Row],[OSB CUBIERTA]])</f>
        <v>0</v>
      </c>
      <c r="BY650" s="3">
        <f>+IF(AVANCE[[#This Row],[BARANDA BALCON]]=AL$2,100%,AVANCE[[#This Row],[BARANDA BALCON]])</f>
        <v>0</v>
      </c>
      <c r="BZ650" s="3">
        <f>+IF(AVANCE[[#This Row],[OSB EXTERIOR]]=AM$2,100%,AVANCE[[#This Row],[OSB EXTERIOR]])</f>
        <v>0</v>
      </c>
      <c r="CA650" s="3">
        <f>+IF(AVANCE[[#This Row],[SMART PANEL]]=AN$2,100%,AVANCE[[#This Row],[SMART PANEL]])</f>
        <v>0</v>
      </c>
      <c r="CB650" s="3">
        <f>+IF(AVANCE[[#This Row],[PINTURA EXTERIOR]]=AO$2,100%,AVANCE[[#This Row],[PINTURA EXTERIOR]])</f>
        <v>0</v>
      </c>
      <c r="CC650" s="3">
        <f>+IF(AVANCE[[#This Row],[ZOCALOS LOGIA]]=AP$2,100%,AVANCE[[#This Row],[ZOCALOS LOGIA]])</f>
        <v>0</v>
      </c>
      <c r="CD650" s="3">
        <f>+IF(AVANCE[[#This Row],[MOLDURAS]]=AQ$2,100%,AVANCE[[#This Row],[MOLDURAS]])</f>
        <v>0</v>
      </c>
      <c r="CE650" s="3">
        <f>+IF(AVANCE[[#This Row],[PILASTREO]]=AR$2,100%,AVANCE[[#This Row],[PILASTREO]])</f>
        <v>0</v>
      </c>
      <c r="CF650" s="3">
        <f>+IF(AVANCE[[#This Row],[CELOSIAS]]=AS$2,100%,AVANCE[[#This Row],[CELOSIAS]])</f>
        <v>0</v>
      </c>
      <c r="CG650" s="3">
        <f>+IF(AVANCE[[#This Row],[VENTANAS]]=AT$2,100%,AVANCE[[#This Row],[VENTANAS]])</f>
        <v>0</v>
      </c>
      <c r="CH650" s="3">
        <f>+IF(AVANCE[[#This Row],[PUERTAS ACCESO - LOGIA - BANO]]=AU$2,100%,AVANCE[[#This Row],[PUERTAS ACCESO - LOGIA - BANO]])</f>
        <v>0</v>
      </c>
      <c r="CI650" s="3">
        <f>+IF(AVANCE[[#This Row],[CERRADURAS]]=AV$2,100%,AVANCE[[#This Row],[CERRADURAS]])</f>
        <v>0</v>
      </c>
      <c r="CJ650" s="3">
        <f>+IF(AVANCE[[#This Row],[REVESTIMIENTO INTERIOR ZONA SECA]]=AW$2,100%,AVANCE[[#This Row],[REVESTIMIENTO INTERIOR ZONA SECA]])</f>
        <v>0</v>
      </c>
      <c r="CK650" s="3">
        <f>+IF(AVANCE[[#This Row],[REVESTIMIENTO INTERIOR ZONAS HUMEDAS]]=AX$2,100%,AVANCE[[#This Row],[REVESTIMIENTO INTERIOR ZONAS HUMEDAS]])</f>
        <v>0</v>
      </c>
      <c r="CL650" s="3">
        <f>+IF(AVANCE[[#This Row],[MEMBRANA CIELO]]=AY$2,100%,AVANCE[[#This Row],[MEMBRANA CIELO]])</f>
        <v>0</v>
      </c>
      <c r="CM650" s="3">
        <f>+IF(AVANCE[[#This Row],[LIMPIEZA FINAL]]=AZ$2,100%,AVANCE[[#This Row],[LIMPIEZA FINAL]])</f>
        <v>0</v>
      </c>
      <c r="CN650" s="3">
        <f>+IF(AVANCE[[#This Row],[PUERTAS DORMITORIO]]=BA$2,100%,AVANCE[[#This Row],[PUERTAS DORMITORIO]])</f>
        <v>0</v>
      </c>
      <c r="CO650" s="3">
        <f>+IF(AVANCE[[#This Row],[REVESTIMIENTO INTERIOR BANO]]=BB$2,100%,AVANCE[[#This Row],[REVESTIMIENTO INTERIOR BANO]])</f>
        <v>0</v>
      </c>
      <c r="CP650" s="3">
        <f>+IF(AVANCE[[#This Row],[MUEBLE LAVAPLATOS]]=BC$2,100%,AVANCE[[#This Row],[MUEBLE LAVAPLATOS]])</f>
        <v>0</v>
      </c>
      <c r="CQ650" s="3">
        <f>+IF(AVANCE[[#This Row],[IMPERMEABILIZACION BANO - COCINA LOGIA]]=BD$2,100%,AVANCE[[#This Row],[IMPERMEABILIZACION BANO - COCINA LOGIA]])</f>
        <v>0</v>
      </c>
      <c r="CR650" s="40">
        <f ca="1">+IF(AVANCE[[#This Row],[ESTADO MODULO]]="PENDIENTE",(TODAY()-AVANCE[[#This Row],[FECHA TERMINO  PLANIFICADO]]),0)</f>
        <v>0</v>
      </c>
      <c r="CS650" s="42" t="str" cm="1">
        <f t="array" ref="CS650">_xlfn.TEXTJOIN(" | ",TRUE,IF(SUMPRODUCT((BF650:CQ650&lt;1)*(PARTIDAS!$I$2:$AT$2="OBRA GRUESA"))&gt;0,"OBRA GRUESA: "&amp;_xlfn.TEXTJOIN(", ",TRUE,IF((BF650:CQ650&lt;1)*(PARTIDAS!$I$2:$AT$2="OBRA GRUESA"),PARTIDAS!$I$1:$AT$1,"")),""),IF(SUMPRODUCT((BF650:CQ650&lt;1)*(PARTIDAS!$I$2:$AT$2="SANITARIOS"))&gt;0,"SANITARIOS: "&amp;_xlfn.TEXTJOIN(", ",TRUE,IF((BF650:CQ650&lt;1)*(PARTIDAS!$I$2:$AT$2="SANITARIOS"),PARTIDAS!$I$1:$AT$1,"")),""),IF(SUMPRODUCT((BF650:CQ650&lt;1)*(PARTIDAS!$I$2:$AT$2="ELÉCTRICO"))&gt;0,"ELÉCTRICO: "&amp;_xlfn.TEXTJOIN(", ",TRUE,IF((BF650:CQ650&lt;1)*(PARTIDAS!$I$2:$AT$2="ELÉCTRICO"),PARTIDAS!$I$1:$AT$1,"")),""),IF(SUMPRODUCT((BF650:CQ650&lt;1)*(PARTIDAS!$I$2:$AT$2="TERMINACIONES"))&gt;0,"TERMINACIONES: "&amp;_xlfn.TEXTJOIN(", ",TRUE,IF((BF650:CQ650&lt;1)*(PARTIDAS!$I$2:$AT$2="TERMINACIONES"),PARTIDAS!$I$1:$AT$1,"")),""))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0" s="45" t="str" cm="1">
        <f t="array" ref="CT650">_xlfn.TEXTJOIN(", ",TRUE,IF(SUMPRODUCT((BF650:CQ650&lt;1)*(PARTIDAS!$I$2:$AT$2="OBRA GRUESA"))&gt;0,"OBRA GRUESA",""),IF(SUMPRODUCT((BF650:CQ650&lt;1)*(PARTIDAS!$I$2:$AT$2="SANITARIOS"))&gt;0,"SANITARIOS",""),IF(SUMPRODUCT((BF650:CQ650&lt;1)*(PARTIDAS!$I$2:$AT$2="ELÉCTRICO"))&gt;0,"ELÉCTRICO",""),IF(SUMPRODUCT((BF650:CQ650&lt;1)*(PARTIDAS!$I$2:$AT$2="TERMINACIONES"))&gt;0,"TERMINACIONES",""))</f>
        <v>OBRA GRUESA, SANITARIOS, ELÉCTRICO, TERMINACIONES</v>
      </c>
      <c r="CU650" s="46" cm="1">
        <f t="array" ref="CU650">SUMPRODUCT(--(BF650:CQ650&lt;1))</f>
        <v>38</v>
      </c>
    </row>
    <row r="651" spans="1:99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46181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 s="3" t="str">
        <f>+IF(AVANCE[[#This Row],[% AVANCE]]=100%,"MODULO TERMINADO",IF(AVANCE[[#This Row],[FECHA INICIO REAL]]="","MODULO NO INICIADO","PENDIENTE"))</f>
        <v>MODULO NO INICIADO</v>
      </c>
      <c r="BF651" s="3">
        <f>+IF(AVANCE[[#This Row],[VENTANAS]]=8.10810810810811%,100%,AVANCE[[#This Row],[VENTANAS]])</f>
        <v>0</v>
      </c>
      <c r="BG651" s="3">
        <f>+IF(AVANCE[[#This Row],[PISO]]=N$2,100%,AVANCE[[#This Row],[PISO]])</f>
        <v>0</v>
      </c>
      <c r="BH651" s="3">
        <f>+IF(AVANCE[[#This Row],[TABIQUES]]=O$2,100%,AVANCE[[#This Row],[TABIQUES]])</f>
        <v>0</v>
      </c>
      <c r="BI651" s="3">
        <f>+IF(AVANCE[[#This Row],[MUROS]]=P$2,100%,AVANCE[[#This Row],[MUROS]])</f>
        <v>0</v>
      </c>
      <c r="BJ651" s="3">
        <f>+IF(AVANCE[[#This Row],[CIELO]]=Q$2,100%,AVANCE[[#This Row],[CIELO]])</f>
        <v>0</v>
      </c>
      <c r="BK651" s="3">
        <f>+IF(AVANCE[[#This Row],[BALCÓN]]=R$2,100%,AVANCE[[#This Row],[BALCÓN]])</f>
        <v>0</v>
      </c>
      <c r="BL651" s="3">
        <f>+IF(AVANCE[[#This Row],[RED ALCANTARILLADO]]=U$2,100%,AVANCE[[#This Row],[RED ALCANTARILLADO]])</f>
        <v>0</v>
      </c>
      <c r="BM651" s="3">
        <f>+IF(AVANCE[[#This Row],[RED DE AGUA]]=V$2,100%,AVANCE[[#This Row],[RED DE AGUA]])</f>
        <v>0</v>
      </c>
      <c r="BN651" s="3">
        <f>+IF(AVANCE[[#This Row],[VENTILACIONES]]=W$2,100%,AVANCE[[#This Row],[VENTILACIONES]])</f>
        <v>0</v>
      </c>
      <c r="BO651" s="3">
        <f>+IF(AVANCE[[#This Row],[TINA]]=X$2,100%,AVANCE[[#This Row],[TINA]])</f>
        <v>0</v>
      </c>
      <c r="BP651" s="3">
        <f>+IF(AVANCE[[#This Row],[WC]]=Y$2,100%,AVANCE[[#This Row],[WC]])</f>
        <v>0</v>
      </c>
      <c r="BQ651" s="3">
        <f>+IF(AVANCE[[#This Row],[LAVAMANOS / LAVAPLATOS / LAVADERO]]=Z$2,100%,AVANCE[[#This Row],[LAVAMANOS / LAVAPLATOS / LAVADERO]])</f>
        <v>0</v>
      </c>
      <c r="BR651" s="3">
        <f>+IF(AVANCE[[#This Row],[CANALIZACIÓN]]=AC$2,100%,AVANCE[[#This Row],[CANALIZACIÓN]])</f>
        <v>0</v>
      </c>
      <c r="BS651" s="3">
        <f>+IF(AVANCE[[#This Row],[CABLEADO]]=AD$2,100%,AVANCE[[#This Row],[CABLEADO]])</f>
        <v>0</v>
      </c>
      <c r="BT651" s="3">
        <f>+IF(AVANCE[[#This Row],[ARTEFACTOS]]=AE$2,100%,AVANCE[[#This Row],[ARTEFACTOS]])</f>
        <v>0</v>
      </c>
      <c r="BU651" s="3">
        <f>+IF(AVANCE[[#This Row],[TABLERO]]=AF$2,100%,AVANCE[[#This Row],[TABLERO]])</f>
        <v>0</v>
      </c>
      <c r="BV651" s="3">
        <f>+IF(AVANCE[[#This Row],[CAJA PAU]]=AG$2,100%,AVANCE[[#This Row],[CAJA PAU]])</f>
        <v>0</v>
      </c>
      <c r="BW651" s="3">
        <f>+IF(AVANCE[[#This Row],[INSTALACION VINILICO]]=AJ$2,100%,AVANCE[[#This Row],[INSTALACION VINILICO]])</f>
        <v>0</v>
      </c>
      <c r="BX651" s="3">
        <f>+IF(AVANCE[[#This Row],[OSB CUBIERTA]]=AK$2,100%,AVANCE[[#This Row],[OSB CUBIERTA]])</f>
        <v>0</v>
      </c>
      <c r="BY651" s="3">
        <f>+IF(AVANCE[[#This Row],[BARANDA BALCON]]=AL$2,100%,AVANCE[[#This Row],[BARANDA BALCON]])</f>
        <v>0</v>
      </c>
      <c r="BZ651" s="3">
        <f>+IF(AVANCE[[#This Row],[OSB EXTERIOR]]=AM$2,100%,AVANCE[[#This Row],[OSB EXTERIOR]])</f>
        <v>0</v>
      </c>
      <c r="CA651" s="3">
        <f>+IF(AVANCE[[#This Row],[SMART PANEL]]=AN$2,100%,AVANCE[[#This Row],[SMART PANEL]])</f>
        <v>0</v>
      </c>
      <c r="CB651" s="3">
        <f>+IF(AVANCE[[#This Row],[PINTURA EXTERIOR]]=AO$2,100%,AVANCE[[#This Row],[PINTURA EXTERIOR]])</f>
        <v>0</v>
      </c>
      <c r="CC651" s="3">
        <f>+IF(AVANCE[[#This Row],[ZOCALOS LOGIA]]=AP$2,100%,AVANCE[[#This Row],[ZOCALOS LOGIA]])</f>
        <v>0</v>
      </c>
      <c r="CD651" s="3">
        <f>+IF(AVANCE[[#This Row],[MOLDURAS]]=AQ$2,100%,AVANCE[[#This Row],[MOLDURAS]])</f>
        <v>0</v>
      </c>
      <c r="CE651" s="3">
        <f>+IF(AVANCE[[#This Row],[PILASTREO]]=AR$2,100%,AVANCE[[#This Row],[PILASTREO]])</f>
        <v>0</v>
      </c>
      <c r="CF651" s="3">
        <f>+IF(AVANCE[[#This Row],[CELOSIAS]]=AS$2,100%,AVANCE[[#This Row],[CELOSIAS]])</f>
        <v>0</v>
      </c>
      <c r="CG651" s="3">
        <f>+IF(AVANCE[[#This Row],[VENTANAS]]=AT$2,100%,AVANCE[[#This Row],[VENTANAS]])</f>
        <v>0</v>
      </c>
      <c r="CH651" s="3">
        <f>+IF(AVANCE[[#This Row],[PUERTAS ACCESO - LOGIA - BANO]]=AU$2,100%,AVANCE[[#This Row],[PUERTAS ACCESO - LOGIA - BANO]])</f>
        <v>0</v>
      </c>
      <c r="CI651" s="3">
        <f>+IF(AVANCE[[#This Row],[CERRADURAS]]=AV$2,100%,AVANCE[[#This Row],[CERRADURAS]])</f>
        <v>0</v>
      </c>
      <c r="CJ651" s="3">
        <f>+IF(AVANCE[[#This Row],[REVESTIMIENTO INTERIOR ZONA SECA]]=AW$2,100%,AVANCE[[#This Row],[REVESTIMIENTO INTERIOR ZONA SECA]])</f>
        <v>0</v>
      </c>
      <c r="CK651" s="3">
        <f>+IF(AVANCE[[#This Row],[REVESTIMIENTO INTERIOR ZONAS HUMEDAS]]=AX$2,100%,AVANCE[[#This Row],[REVESTIMIENTO INTERIOR ZONAS HUMEDAS]])</f>
        <v>0</v>
      </c>
      <c r="CL651" s="3">
        <f>+IF(AVANCE[[#This Row],[MEMBRANA CIELO]]=AY$2,100%,AVANCE[[#This Row],[MEMBRANA CIELO]])</f>
        <v>0</v>
      </c>
      <c r="CM651" s="3">
        <f>+IF(AVANCE[[#This Row],[LIMPIEZA FINAL]]=AZ$2,100%,AVANCE[[#This Row],[LIMPIEZA FINAL]])</f>
        <v>0</v>
      </c>
      <c r="CN651" s="3">
        <f>+IF(AVANCE[[#This Row],[PUERTAS DORMITORIO]]=BA$2,100%,AVANCE[[#This Row],[PUERTAS DORMITORIO]])</f>
        <v>0</v>
      </c>
      <c r="CO651" s="3">
        <f>+IF(AVANCE[[#This Row],[REVESTIMIENTO INTERIOR BANO]]=BB$2,100%,AVANCE[[#This Row],[REVESTIMIENTO INTERIOR BANO]])</f>
        <v>0</v>
      </c>
      <c r="CP651" s="3">
        <f>+IF(AVANCE[[#This Row],[MUEBLE LAVAPLATOS]]=BC$2,100%,AVANCE[[#This Row],[MUEBLE LAVAPLATOS]])</f>
        <v>0</v>
      </c>
      <c r="CQ651" s="3">
        <f>+IF(AVANCE[[#This Row],[IMPERMEABILIZACION BANO - COCINA LOGIA]]=BD$2,100%,AVANCE[[#This Row],[IMPERMEABILIZACION BANO - COCINA LOGIA]])</f>
        <v>0</v>
      </c>
      <c r="CR651" s="40">
        <f ca="1">+IF(AVANCE[[#This Row],[ESTADO MODULO]]="PENDIENTE",(TODAY()-AVANCE[[#This Row],[FECHA TERMINO  PLANIFICADO]]),0)</f>
        <v>0</v>
      </c>
      <c r="CS651" s="42" t="str" cm="1">
        <f t="array" ref="CS651">_xlfn.TEXTJOIN(" | ",TRUE,IF(SUMPRODUCT((BF651:CQ651&lt;1)*(PARTIDAS!$I$2:$AT$2="OBRA GRUESA"))&gt;0,"OBRA GRUESA: "&amp;_xlfn.TEXTJOIN(", ",TRUE,IF((BF651:CQ651&lt;1)*(PARTIDAS!$I$2:$AT$2="OBRA GRUESA"),PARTIDAS!$I$1:$AT$1,"")),""),IF(SUMPRODUCT((BF651:CQ651&lt;1)*(PARTIDAS!$I$2:$AT$2="SANITARIOS"))&gt;0,"SANITARIOS: "&amp;_xlfn.TEXTJOIN(", ",TRUE,IF((BF651:CQ651&lt;1)*(PARTIDAS!$I$2:$AT$2="SANITARIOS"),PARTIDAS!$I$1:$AT$1,"")),""),IF(SUMPRODUCT((BF651:CQ651&lt;1)*(PARTIDAS!$I$2:$AT$2="ELÉCTRICO"))&gt;0,"ELÉCTRICO: "&amp;_xlfn.TEXTJOIN(", ",TRUE,IF((BF651:CQ651&lt;1)*(PARTIDAS!$I$2:$AT$2="ELÉCTRICO"),PARTIDAS!$I$1:$AT$1,"")),""),IF(SUMPRODUCT((BF651:CQ651&lt;1)*(PARTIDAS!$I$2:$AT$2="TERMINACIONES"))&gt;0,"TERMINACIONES: "&amp;_xlfn.TEXTJOIN(", ",TRUE,IF((BF651:CQ651&lt;1)*(PARTIDAS!$I$2:$AT$2="TERMINACIONES"),PARTIDAS!$I$1:$AT$1,"")),""))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1" s="45" t="str" cm="1">
        <f t="array" ref="CT651">_xlfn.TEXTJOIN(", ",TRUE,IF(SUMPRODUCT((BF651:CQ651&lt;1)*(PARTIDAS!$I$2:$AT$2="OBRA GRUESA"))&gt;0,"OBRA GRUESA",""),IF(SUMPRODUCT((BF651:CQ651&lt;1)*(PARTIDAS!$I$2:$AT$2="SANITARIOS"))&gt;0,"SANITARIOS",""),IF(SUMPRODUCT((BF651:CQ651&lt;1)*(PARTIDAS!$I$2:$AT$2="ELÉCTRICO"))&gt;0,"ELÉCTRICO",""),IF(SUMPRODUCT((BF651:CQ651&lt;1)*(PARTIDAS!$I$2:$AT$2="TERMINACIONES"))&gt;0,"TERMINACIONES",""))</f>
        <v>OBRA GRUESA, SANITARIOS, ELÉCTRICO, TERMINACIONES</v>
      </c>
      <c r="CU651" s="46" cm="1">
        <f t="array" ref="CU651">SUMPRODUCT(--(BF651:CQ651&lt;1))</f>
        <v>38</v>
      </c>
    </row>
    <row r="652" spans="1:99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46181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 s="3" t="str">
        <f>+IF(AVANCE[[#This Row],[% AVANCE]]=100%,"MODULO TERMINADO",IF(AVANCE[[#This Row],[FECHA INICIO REAL]]="","MODULO NO INICIADO","PENDIENTE"))</f>
        <v>MODULO NO INICIADO</v>
      </c>
      <c r="BF652" s="3">
        <f>+IF(AVANCE[[#This Row],[VENTANAS]]=8.10810810810811%,100%,AVANCE[[#This Row],[VENTANAS]])</f>
        <v>0</v>
      </c>
      <c r="BG652" s="3">
        <f>+IF(AVANCE[[#This Row],[PISO]]=N$2,100%,AVANCE[[#This Row],[PISO]])</f>
        <v>0</v>
      </c>
      <c r="BH652" s="3">
        <f>+IF(AVANCE[[#This Row],[TABIQUES]]=O$2,100%,AVANCE[[#This Row],[TABIQUES]])</f>
        <v>0</v>
      </c>
      <c r="BI652" s="3">
        <f>+IF(AVANCE[[#This Row],[MUROS]]=P$2,100%,AVANCE[[#This Row],[MUROS]])</f>
        <v>0</v>
      </c>
      <c r="BJ652" s="3">
        <f>+IF(AVANCE[[#This Row],[CIELO]]=Q$2,100%,AVANCE[[#This Row],[CIELO]])</f>
        <v>0</v>
      </c>
      <c r="BK652" s="3">
        <f>+IF(AVANCE[[#This Row],[BALCÓN]]=R$2,100%,AVANCE[[#This Row],[BALCÓN]])</f>
        <v>0</v>
      </c>
      <c r="BL652" s="3">
        <f>+IF(AVANCE[[#This Row],[RED ALCANTARILLADO]]=U$2,100%,AVANCE[[#This Row],[RED ALCANTARILLADO]])</f>
        <v>0</v>
      </c>
      <c r="BM652" s="3">
        <f>+IF(AVANCE[[#This Row],[RED DE AGUA]]=V$2,100%,AVANCE[[#This Row],[RED DE AGUA]])</f>
        <v>0</v>
      </c>
      <c r="BN652" s="3">
        <f>+IF(AVANCE[[#This Row],[VENTILACIONES]]=W$2,100%,AVANCE[[#This Row],[VENTILACIONES]])</f>
        <v>0</v>
      </c>
      <c r="BO652" s="3">
        <f>+IF(AVANCE[[#This Row],[TINA]]=X$2,100%,AVANCE[[#This Row],[TINA]])</f>
        <v>0</v>
      </c>
      <c r="BP652" s="3">
        <f>+IF(AVANCE[[#This Row],[WC]]=Y$2,100%,AVANCE[[#This Row],[WC]])</f>
        <v>0</v>
      </c>
      <c r="BQ652" s="3">
        <f>+IF(AVANCE[[#This Row],[LAVAMANOS / LAVAPLATOS / LAVADERO]]=Z$2,100%,AVANCE[[#This Row],[LAVAMANOS / LAVAPLATOS / LAVADERO]])</f>
        <v>0</v>
      </c>
      <c r="BR652" s="3">
        <f>+IF(AVANCE[[#This Row],[CANALIZACIÓN]]=AC$2,100%,AVANCE[[#This Row],[CANALIZACIÓN]])</f>
        <v>0</v>
      </c>
      <c r="BS652" s="3">
        <f>+IF(AVANCE[[#This Row],[CABLEADO]]=AD$2,100%,AVANCE[[#This Row],[CABLEADO]])</f>
        <v>0</v>
      </c>
      <c r="BT652" s="3">
        <f>+IF(AVANCE[[#This Row],[ARTEFACTOS]]=AE$2,100%,AVANCE[[#This Row],[ARTEFACTOS]])</f>
        <v>0</v>
      </c>
      <c r="BU652" s="3">
        <f>+IF(AVANCE[[#This Row],[TABLERO]]=AF$2,100%,AVANCE[[#This Row],[TABLERO]])</f>
        <v>0</v>
      </c>
      <c r="BV652" s="3">
        <f>+IF(AVANCE[[#This Row],[CAJA PAU]]=AG$2,100%,AVANCE[[#This Row],[CAJA PAU]])</f>
        <v>0</v>
      </c>
      <c r="BW652" s="3">
        <f>+IF(AVANCE[[#This Row],[INSTALACION VINILICO]]=AJ$2,100%,AVANCE[[#This Row],[INSTALACION VINILICO]])</f>
        <v>0</v>
      </c>
      <c r="BX652" s="3">
        <f>+IF(AVANCE[[#This Row],[OSB CUBIERTA]]=AK$2,100%,AVANCE[[#This Row],[OSB CUBIERTA]])</f>
        <v>0</v>
      </c>
      <c r="BY652" s="3">
        <f>+IF(AVANCE[[#This Row],[BARANDA BALCON]]=AL$2,100%,AVANCE[[#This Row],[BARANDA BALCON]])</f>
        <v>0</v>
      </c>
      <c r="BZ652" s="3">
        <f>+IF(AVANCE[[#This Row],[OSB EXTERIOR]]=AM$2,100%,AVANCE[[#This Row],[OSB EXTERIOR]])</f>
        <v>0</v>
      </c>
      <c r="CA652" s="3">
        <f>+IF(AVANCE[[#This Row],[SMART PANEL]]=AN$2,100%,AVANCE[[#This Row],[SMART PANEL]])</f>
        <v>0</v>
      </c>
      <c r="CB652" s="3">
        <f>+IF(AVANCE[[#This Row],[PINTURA EXTERIOR]]=AO$2,100%,AVANCE[[#This Row],[PINTURA EXTERIOR]])</f>
        <v>0</v>
      </c>
      <c r="CC652" s="3">
        <f>+IF(AVANCE[[#This Row],[ZOCALOS LOGIA]]=AP$2,100%,AVANCE[[#This Row],[ZOCALOS LOGIA]])</f>
        <v>0</v>
      </c>
      <c r="CD652" s="3">
        <f>+IF(AVANCE[[#This Row],[MOLDURAS]]=AQ$2,100%,AVANCE[[#This Row],[MOLDURAS]])</f>
        <v>0</v>
      </c>
      <c r="CE652" s="3">
        <f>+IF(AVANCE[[#This Row],[PILASTREO]]=AR$2,100%,AVANCE[[#This Row],[PILASTREO]])</f>
        <v>0</v>
      </c>
      <c r="CF652" s="3">
        <f>+IF(AVANCE[[#This Row],[CELOSIAS]]=AS$2,100%,AVANCE[[#This Row],[CELOSIAS]])</f>
        <v>0</v>
      </c>
      <c r="CG652" s="3">
        <f>+IF(AVANCE[[#This Row],[VENTANAS]]=AT$2,100%,AVANCE[[#This Row],[VENTANAS]])</f>
        <v>0</v>
      </c>
      <c r="CH652" s="3">
        <f>+IF(AVANCE[[#This Row],[PUERTAS ACCESO - LOGIA - BANO]]=AU$2,100%,AVANCE[[#This Row],[PUERTAS ACCESO - LOGIA - BANO]])</f>
        <v>0</v>
      </c>
      <c r="CI652" s="3">
        <f>+IF(AVANCE[[#This Row],[CERRADURAS]]=AV$2,100%,AVANCE[[#This Row],[CERRADURAS]])</f>
        <v>0</v>
      </c>
      <c r="CJ652" s="3">
        <f>+IF(AVANCE[[#This Row],[REVESTIMIENTO INTERIOR ZONA SECA]]=AW$2,100%,AVANCE[[#This Row],[REVESTIMIENTO INTERIOR ZONA SECA]])</f>
        <v>0</v>
      </c>
      <c r="CK652" s="3">
        <f>+IF(AVANCE[[#This Row],[REVESTIMIENTO INTERIOR ZONAS HUMEDAS]]=AX$2,100%,AVANCE[[#This Row],[REVESTIMIENTO INTERIOR ZONAS HUMEDAS]])</f>
        <v>0</v>
      </c>
      <c r="CL652" s="3">
        <f>+IF(AVANCE[[#This Row],[MEMBRANA CIELO]]=AY$2,100%,AVANCE[[#This Row],[MEMBRANA CIELO]])</f>
        <v>0</v>
      </c>
      <c r="CM652" s="3">
        <f>+IF(AVANCE[[#This Row],[LIMPIEZA FINAL]]=AZ$2,100%,AVANCE[[#This Row],[LIMPIEZA FINAL]])</f>
        <v>0</v>
      </c>
      <c r="CN652" s="3">
        <f>+IF(AVANCE[[#This Row],[PUERTAS DORMITORIO]]=BA$2,100%,AVANCE[[#This Row],[PUERTAS DORMITORIO]])</f>
        <v>0</v>
      </c>
      <c r="CO652" s="3">
        <f>+IF(AVANCE[[#This Row],[REVESTIMIENTO INTERIOR BANO]]=BB$2,100%,AVANCE[[#This Row],[REVESTIMIENTO INTERIOR BANO]])</f>
        <v>0</v>
      </c>
      <c r="CP652" s="3">
        <f>+IF(AVANCE[[#This Row],[MUEBLE LAVAPLATOS]]=BC$2,100%,AVANCE[[#This Row],[MUEBLE LAVAPLATOS]])</f>
        <v>0</v>
      </c>
      <c r="CQ652" s="3">
        <f>+IF(AVANCE[[#This Row],[IMPERMEABILIZACION BANO - COCINA LOGIA]]=BD$2,100%,AVANCE[[#This Row],[IMPERMEABILIZACION BANO - COCINA LOGIA]])</f>
        <v>0</v>
      </c>
      <c r="CR652" s="40">
        <f ca="1">+IF(AVANCE[[#This Row],[ESTADO MODULO]]="PENDIENTE",(TODAY()-AVANCE[[#This Row],[FECHA TERMINO  PLANIFICADO]]),0)</f>
        <v>0</v>
      </c>
      <c r="CS652" s="42" t="str" cm="1">
        <f t="array" ref="CS652">_xlfn.TEXTJOIN(" | ",TRUE,IF(SUMPRODUCT((BF652:CQ652&lt;1)*(PARTIDAS!$I$2:$AT$2="OBRA GRUESA"))&gt;0,"OBRA GRUESA: "&amp;_xlfn.TEXTJOIN(", ",TRUE,IF((BF652:CQ652&lt;1)*(PARTIDAS!$I$2:$AT$2="OBRA GRUESA"),PARTIDAS!$I$1:$AT$1,"")),""),IF(SUMPRODUCT((BF652:CQ652&lt;1)*(PARTIDAS!$I$2:$AT$2="SANITARIOS"))&gt;0,"SANITARIOS: "&amp;_xlfn.TEXTJOIN(", ",TRUE,IF((BF652:CQ652&lt;1)*(PARTIDAS!$I$2:$AT$2="SANITARIOS"),PARTIDAS!$I$1:$AT$1,"")),""),IF(SUMPRODUCT((BF652:CQ652&lt;1)*(PARTIDAS!$I$2:$AT$2="ELÉCTRICO"))&gt;0,"ELÉCTRICO: "&amp;_xlfn.TEXTJOIN(", ",TRUE,IF((BF652:CQ652&lt;1)*(PARTIDAS!$I$2:$AT$2="ELÉCTRICO"),PARTIDAS!$I$1:$AT$1,"")),""),IF(SUMPRODUCT((BF652:CQ652&lt;1)*(PARTIDAS!$I$2:$AT$2="TERMINACIONES"))&gt;0,"TERMINACIONES: "&amp;_xlfn.TEXTJOIN(", ",TRUE,IF((BF652:CQ652&lt;1)*(PARTIDAS!$I$2:$AT$2="TERMINACIONES"),PARTIDAS!$I$1:$AT$1,"")),""))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2" s="45" t="str" cm="1">
        <f t="array" ref="CT652">_xlfn.TEXTJOIN(", ",TRUE,IF(SUMPRODUCT((BF652:CQ652&lt;1)*(PARTIDAS!$I$2:$AT$2="OBRA GRUESA"))&gt;0,"OBRA GRUESA",""),IF(SUMPRODUCT((BF652:CQ652&lt;1)*(PARTIDAS!$I$2:$AT$2="SANITARIOS"))&gt;0,"SANITARIOS",""),IF(SUMPRODUCT((BF652:CQ652&lt;1)*(PARTIDAS!$I$2:$AT$2="ELÉCTRICO"))&gt;0,"ELÉCTRICO",""),IF(SUMPRODUCT((BF652:CQ652&lt;1)*(PARTIDAS!$I$2:$AT$2="TERMINACIONES"))&gt;0,"TERMINACIONES",""))</f>
        <v>OBRA GRUESA, SANITARIOS, ELÉCTRICO, TERMINACIONES</v>
      </c>
      <c r="CU652" s="46" cm="1">
        <f t="array" ref="CU652">SUMPRODUCT(--(BF652:CQ652&lt;1))</f>
        <v>38</v>
      </c>
    </row>
    <row r="653" spans="1:99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46181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 s="3" t="str">
        <f>+IF(AVANCE[[#This Row],[% AVANCE]]=100%,"MODULO TERMINADO",IF(AVANCE[[#This Row],[FECHA INICIO REAL]]="","MODULO NO INICIADO","PENDIENTE"))</f>
        <v>MODULO NO INICIADO</v>
      </c>
      <c r="BF653" s="3">
        <f>+IF(AVANCE[[#This Row],[VENTANAS]]=8.10810810810811%,100%,AVANCE[[#This Row],[VENTANAS]])</f>
        <v>0</v>
      </c>
      <c r="BG653" s="3">
        <f>+IF(AVANCE[[#This Row],[PISO]]=N$2,100%,AVANCE[[#This Row],[PISO]])</f>
        <v>0</v>
      </c>
      <c r="BH653" s="3">
        <f>+IF(AVANCE[[#This Row],[TABIQUES]]=O$2,100%,AVANCE[[#This Row],[TABIQUES]])</f>
        <v>0</v>
      </c>
      <c r="BI653" s="3">
        <f>+IF(AVANCE[[#This Row],[MUROS]]=P$2,100%,AVANCE[[#This Row],[MUROS]])</f>
        <v>0</v>
      </c>
      <c r="BJ653" s="3">
        <f>+IF(AVANCE[[#This Row],[CIELO]]=Q$2,100%,AVANCE[[#This Row],[CIELO]])</f>
        <v>0</v>
      </c>
      <c r="BK653" s="3">
        <f>+IF(AVANCE[[#This Row],[BALCÓN]]=R$2,100%,AVANCE[[#This Row],[BALCÓN]])</f>
        <v>0</v>
      </c>
      <c r="BL653" s="3">
        <f>+IF(AVANCE[[#This Row],[RED ALCANTARILLADO]]=U$2,100%,AVANCE[[#This Row],[RED ALCANTARILLADO]])</f>
        <v>0</v>
      </c>
      <c r="BM653" s="3">
        <f>+IF(AVANCE[[#This Row],[RED DE AGUA]]=V$2,100%,AVANCE[[#This Row],[RED DE AGUA]])</f>
        <v>0</v>
      </c>
      <c r="BN653" s="3">
        <f>+IF(AVANCE[[#This Row],[VENTILACIONES]]=W$2,100%,AVANCE[[#This Row],[VENTILACIONES]])</f>
        <v>0</v>
      </c>
      <c r="BO653" s="3">
        <f>+IF(AVANCE[[#This Row],[TINA]]=X$2,100%,AVANCE[[#This Row],[TINA]])</f>
        <v>0</v>
      </c>
      <c r="BP653" s="3">
        <f>+IF(AVANCE[[#This Row],[WC]]=Y$2,100%,AVANCE[[#This Row],[WC]])</f>
        <v>0</v>
      </c>
      <c r="BQ653" s="3">
        <f>+IF(AVANCE[[#This Row],[LAVAMANOS / LAVAPLATOS / LAVADERO]]=Z$2,100%,AVANCE[[#This Row],[LAVAMANOS / LAVAPLATOS / LAVADERO]])</f>
        <v>0</v>
      </c>
      <c r="BR653" s="3">
        <f>+IF(AVANCE[[#This Row],[CANALIZACIÓN]]=AC$2,100%,AVANCE[[#This Row],[CANALIZACIÓN]])</f>
        <v>0</v>
      </c>
      <c r="BS653" s="3">
        <f>+IF(AVANCE[[#This Row],[CABLEADO]]=AD$2,100%,AVANCE[[#This Row],[CABLEADO]])</f>
        <v>0</v>
      </c>
      <c r="BT653" s="3">
        <f>+IF(AVANCE[[#This Row],[ARTEFACTOS]]=AE$2,100%,AVANCE[[#This Row],[ARTEFACTOS]])</f>
        <v>0</v>
      </c>
      <c r="BU653" s="3">
        <f>+IF(AVANCE[[#This Row],[TABLERO]]=AF$2,100%,AVANCE[[#This Row],[TABLERO]])</f>
        <v>0</v>
      </c>
      <c r="BV653" s="3">
        <f>+IF(AVANCE[[#This Row],[CAJA PAU]]=AG$2,100%,AVANCE[[#This Row],[CAJA PAU]])</f>
        <v>0</v>
      </c>
      <c r="BW653" s="3">
        <f>+IF(AVANCE[[#This Row],[INSTALACION VINILICO]]=AJ$2,100%,AVANCE[[#This Row],[INSTALACION VINILICO]])</f>
        <v>0</v>
      </c>
      <c r="BX653" s="3">
        <f>+IF(AVANCE[[#This Row],[OSB CUBIERTA]]=AK$2,100%,AVANCE[[#This Row],[OSB CUBIERTA]])</f>
        <v>0</v>
      </c>
      <c r="BY653" s="3">
        <f>+IF(AVANCE[[#This Row],[BARANDA BALCON]]=AL$2,100%,AVANCE[[#This Row],[BARANDA BALCON]])</f>
        <v>0</v>
      </c>
      <c r="BZ653" s="3">
        <f>+IF(AVANCE[[#This Row],[OSB EXTERIOR]]=AM$2,100%,AVANCE[[#This Row],[OSB EXTERIOR]])</f>
        <v>0</v>
      </c>
      <c r="CA653" s="3">
        <f>+IF(AVANCE[[#This Row],[SMART PANEL]]=AN$2,100%,AVANCE[[#This Row],[SMART PANEL]])</f>
        <v>0</v>
      </c>
      <c r="CB653" s="3">
        <f>+IF(AVANCE[[#This Row],[PINTURA EXTERIOR]]=AO$2,100%,AVANCE[[#This Row],[PINTURA EXTERIOR]])</f>
        <v>0</v>
      </c>
      <c r="CC653" s="3">
        <f>+IF(AVANCE[[#This Row],[ZOCALOS LOGIA]]=AP$2,100%,AVANCE[[#This Row],[ZOCALOS LOGIA]])</f>
        <v>0</v>
      </c>
      <c r="CD653" s="3">
        <f>+IF(AVANCE[[#This Row],[MOLDURAS]]=AQ$2,100%,AVANCE[[#This Row],[MOLDURAS]])</f>
        <v>0</v>
      </c>
      <c r="CE653" s="3">
        <f>+IF(AVANCE[[#This Row],[PILASTREO]]=AR$2,100%,AVANCE[[#This Row],[PILASTREO]])</f>
        <v>0</v>
      </c>
      <c r="CF653" s="3">
        <f>+IF(AVANCE[[#This Row],[CELOSIAS]]=AS$2,100%,AVANCE[[#This Row],[CELOSIAS]])</f>
        <v>0</v>
      </c>
      <c r="CG653" s="3">
        <f>+IF(AVANCE[[#This Row],[VENTANAS]]=AT$2,100%,AVANCE[[#This Row],[VENTANAS]])</f>
        <v>0</v>
      </c>
      <c r="CH653" s="3">
        <f>+IF(AVANCE[[#This Row],[PUERTAS ACCESO - LOGIA - BANO]]=AU$2,100%,AVANCE[[#This Row],[PUERTAS ACCESO - LOGIA - BANO]])</f>
        <v>0</v>
      </c>
      <c r="CI653" s="3">
        <f>+IF(AVANCE[[#This Row],[CERRADURAS]]=AV$2,100%,AVANCE[[#This Row],[CERRADURAS]])</f>
        <v>0</v>
      </c>
      <c r="CJ653" s="3">
        <f>+IF(AVANCE[[#This Row],[REVESTIMIENTO INTERIOR ZONA SECA]]=AW$2,100%,AVANCE[[#This Row],[REVESTIMIENTO INTERIOR ZONA SECA]])</f>
        <v>0</v>
      </c>
      <c r="CK653" s="3">
        <f>+IF(AVANCE[[#This Row],[REVESTIMIENTO INTERIOR ZONAS HUMEDAS]]=AX$2,100%,AVANCE[[#This Row],[REVESTIMIENTO INTERIOR ZONAS HUMEDAS]])</f>
        <v>0</v>
      </c>
      <c r="CL653" s="3">
        <f>+IF(AVANCE[[#This Row],[MEMBRANA CIELO]]=AY$2,100%,AVANCE[[#This Row],[MEMBRANA CIELO]])</f>
        <v>0</v>
      </c>
      <c r="CM653" s="3">
        <f>+IF(AVANCE[[#This Row],[LIMPIEZA FINAL]]=AZ$2,100%,AVANCE[[#This Row],[LIMPIEZA FINAL]])</f>
        <v>0</v>
      </c>
      <c r="CN653" s="3">
        <f>+IF(AVANCE[[#This Row],[PUERTAS DORMITORIO]]=BA$2,100%,AVANCE[[#This Row],[PUERTAS DORMITORIO]])</f>
        <v>0</v>
      </c>
      <c r="CO653" s="3">
        <f>+IF(AVANCE[[#This Row],[REVESTIMIENTO INTERIOR BANO]]=BB$2,100%,AVANCE[[#This Row],[REVESTIMIENTO INTERIOR BANO]])</f>
        <v>0</v>
      </c>
      <c r="CP653" s="3">
        <f>+IF(AVANCE[[#This Row],[MUEBLE LAVAPLATOS]]=BC$2,100%,AVANCE[[#This Row],[MUEBLE LAVAPLATOS]])</f>
        <v>0</v>
      </c>
      <c r="CQ653" s="3">
        <f>+IF(AVANCE[[#This Row],[IMPERMEABILIZACION BANO - COCINA LOGIA]]=BD$2,100%,AVANCE[[#This Row],[IMPERMEABILIZACION BANO - COCINA LOGIA]])</f>
        <v>0</v>
      </c>
      <c r="CR653" s="40">
        <f ca="1">+IF(AVANCE[[#This Row],[ESTADO MODULO]]="PENDIENTE",(TODAY()-AVANCE[[#This Row],[FECHA TERMINO  PLANIFICADO]]),0)</f>
        <v>0</v>
      </c>
      <c r="CS653" s="42" t="str" cm="1">
        <f t="array" ref="CS653">_xlfn.TEXTJOIN(" | ",TRUE,IF(SUMPRODUCT((BF653:CQ653&lt;1)*(PARTIDAS!$I$2:$AT$2="OBRA GRUESA"))&gt;0,"OBRA GRUESA: "&amp;_xlfn.TEXTJOIN(", ",TRUE,IF((BF653:CQ653&lt;1)*(PARTIDAS!$I$2:$AT$2="OBRA GRUESA"),PARTIDAS!$I$1:$AT$1,"")),""),IF(SUMPRODUCT((BF653:CQ653&lt;1)*(PARTIDAS!$I$2:$AT$2="SANITARIOS"))&gt;0,"SANITARIOS: "&amp;_xlfn.TEXTJOIN(", ",TRUE,IF((BF653:CQ653&lt;1)*(PARTIDAS!$I$2:$AT$2="SANITARIOS"),PARTIDAS!$I$1:$AT$1,"")),""),IF(SUMPRODUCT((BF653:CQ653&lt;1)*(PARTIDAS!$I$2:$AT$2="ELÉCTRICO"))&gt;0,"ELÉCTRICO: "&amp;_xlfn.TEXTJOIN(", ",TRUE,IF((BF653:CQ653&lt;1)*(PARTIDAS!$I$2:$AT$2="ELÉCTRICO"),PARTIDAS!$I$1:$AT$1,"")),""),IF(SUMPRODUCT((BF653:CQ653&lt;1)*(PARTIDAS!$I$2:$AT$2="TERMINACIONES"))&gt;0,"TERMINACIONES: "&amp;_xlfn.TEXTJOIN(", ",TRUE,IF((BF653:CQ653&lt;1)*(PARTIDAS!$I$2:$AT$2="TERMINACIONES"),PARTIDAS!$I$1:$AT$1,"")),""))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3" s="45" t="str" cm="1">
        <f t="array" ref="CT653">_xlfn.TEXTJOIN(", ",TRUE,IF(SUMPRODUCT((BF653:CQ653&lt;1)*(PARTIDAS!$I$2:$AT$2="OBRA GRUESA"))&gt;0,"OBRA GRUESA",""),IF(SUMPRODUCT((BF653:CQ653&lt;1)*(PARTIDAS!$I$2:$AT$2="SANITARIOS"))&gt;0,"SANITARIOS",""),IF(SUMPRODUCT((BF653:CQ653&lt;1)*(PARTIDAS!$I$2:$AT$2="ELÉCTRICO"))&gt;0,"ELÉCTRICO",""),IF(SUMPRODUCT((BF653:CQ653&lt;1)*(PARTIDAS!$I$2:$AT$2="TERMINACIONES"))&gt;0,"TERMINACIONES",""))</f>
        <v>OBRA GRUESA, SANITARIOS, ELÉCTRICO, TERMINACIONES</v>
      </c>
      <c r="CU653" s="46" cm="1">
        <f t="array" ref="CU653">SUMPRODUCT(--(BF653:CQ653&lt;1))</f>
        <v>38</v>
      </c>
    </row>
    <row r="654" spans="1:99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46181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 s="3" t="str">
        <f>+IF(AVANCE[[#This Row],[% AVANCE]]=100%,"MODULO TERMINADO",IF(AVANCE[[#This Row],[FECHA INICIO REAL]]="","MODULO NO INICIADO","PENDIENTE"))</f>
        <v>MODULO NO INICIADO</v>
      </c>
      <c r="BF654" s="3">
        <f>+IF(AVANCE[[#This Row],[VENTANAS]]=8.10810810810811%,100%,AVANCE[[#This Row],[VENTANAS]])</f>
        <v>0</v>
      </c>
      <c r="BG654" s="3">
        <f>+IF(AVANCE[[#This Row],[PISO]]=N$2,100%,AVANCE[[#This Row],[PISO]])</f>
        <v>0</v>
      </c>
      <c r="BH654" s="3">
        <f>+IF(AVANCE[[#This Row],[TABIQUES]]=O$2,100%,AVANCE[[#This Row],[TABIQUES]])</f>
        <v>0</v>
      </c>
      <c r="BI654" s="3">
        <f>+IF(AVANCE[[#This Row],[MUROS]]=P$2,100%,AVANCE[[#This Row],[MUROS]])</f>
        <v>0</v>
      </c>
      <c r="BJ654" s="3">
        <f>+IF(AVANCE[[#This Row],[CIELO]]=Q$2,100%,AVANCE[[#This Row],[CIELO]])</f>
        <v>0</v>
      </c>
      <c r="BK654" s="3">
        <f>+IF(AVANCE[[#This Row],[BALCÓN]]=R$2,100%,AVANCE[[#This Row],[BALCÓN]])</f>
        <v>0</v>
      </c>
      <c r="BL654" s="3">
        <f>+IF(AVANCE[[#This Row],[RED ALCANTARILLADO]]=U$2,100%,AVANCE[[#This Row],[RED ALCANTARILLADO]])</f>
        <v>0</v>
      </c>
      <c r="BM654" s="3">
        <f>+IF(AVANCE[[#This Row],[RED DE AGUA]]=V$2,100%,AVANCE[[#This Row],[RED DE AGUA]])</f>
        <v>0</v>
      </c>
      <c r="BN654" s="3">
        <f>+IF(AVANCE[[#This Row],[VENTILACIONES]]=W$2,100%,AVANCE[[#This Row],[VENTILACIONES]])</f>
        <v>0</v>
      </c>
      <c r="BO654" s="3">
        <f>+IF(AVANCE[[#This Row],[TINA]]=X$2,100%,AVANCE[[#This Row],[TINA]])</f>
        <v>0</v>
      </c>
      <c r="BP654" s="3">
        <f>+IF(AVANCE[[#This Row],[WC]]=Y$2,100%,AVANCE[[#This Row],[WC]])</f>
        <v>0</v>
      </c>
      <c r="BQ654" s="3">
        <f>+IF(AVANCE[[#This Row],[LAVAMANOS / LAVAPLATOS / LAVADERO]]=Z$2,100%,AVANCE[[#This Row],[LAVAMANOS / LAVAPLATOS / LAVADERO]])</f>
        <v>0</v>
      </c>
      <c r="BR654" s="3">
        <f>+IF(AVANCE[[#This Row],[CANALIZACIÓN]]=AC$2,100%,AVANCE[[#This Row],[CANALIZACIÓN]])</f>
        <v>0</v>
      </c>
      <c r="BS654" s="3">
        <f>+IF(AVANCE[[#This Row],[CABLEADO]]=AD$2,100%,AVANCE[[#This Row],[CABLEADO]])</f>
        <v>0</v>
      </c>
      <c r="BT654" s="3">
        <f>+IF(AVANCE[[#This Row],[ARTEFACTOS]]=AE$2,100%,AVANCE[[#This Row],[ARTEFACTOS]])</f>
        <v>0</v>
      </c>
      <c r="BU654" s="3">
        <f>+IF(AVANCE[[#This Row],[TABLERO]]=AF$2,100%,AVANCE[[#This Row],[TABLERO]])</f>
        <v>0</v>
      </c>
      <c r="BV654" s="3">
        <f>+IF(AVANCE[[#This Row],[CAJA PAU]]=AG$2,100%,AVANCE[[#This Row],[CAJA PAU]])</f>
        <v>0</v>
      </c>
      <c r="BW654" s="3">
        <f>+IF(AVANCE[[#This Row],[INSTALACION VINILICO]]=AJ$2,100%,AVANCE[[#This Row],[INSTALACION VINILICO]])</f>
        <v>0</v>
      </c>
      <c r="BX654" s="3">
        <f>+IF(AVANCE[[#This Row],[OSB CUBIERTA]]=AK$2,100%,AVANCE[[#This Row],[OSB CUBIERTA]])</f>
        <v>0</v>
      </c>
      <c r="BY654" s="3">
        <f>+IF(AVANCE[[#This Row],[BARANDA BALCON]]=AL$2,100%,AVANCE[[#This Row],[BARANDA BALCON]])</f>
        <v>0</v>
      </c>
      <c r="BZ654" s="3">
        <f>+IF(AVANCE[[#This Row],[OSB EXTERIOR]]=AM$2,100%,AVANCE[[#This Row],[OSB EXTERIOR]])</f>
        <v>0</v>
      </c>
      <c r="CA654" s="3">
        <f>+IF(AVANCE[[#This Row],[SMART PANEL]]=AN$2,100%,AVANCE[[#This Row],[SMART PANEL]])</f>
        <v>0</v>
      </c>
      <c r="CB654" s="3">
        <f>+IF(AVANCE[[#This Row],[PINTURA EXTERIOR]]=AO$2,100%,AVANCE[[#This Row],[PINTURA EXTERIOR]])</f>
        <v>0</v>
      </c>
      <c r="CC654" s="3">
        <f>+IF(AVANCE[[#This Row],[ZOCALOS LOGIA]]=AP$2,100%,AVANCE[[#This Row],[ZOCALOS LOGIA]])</f>
        <v>0</v>
      </c>
      <c r="CD654" s="3">
        <f>+IF(AVANCE[[#This Row],[MOLDURAS]]=AQ$2,100%,AVANCE[[#This Row],[MOLDURAS]])</f>
        <v>0</v>
      </c>
      <c r="CE654" s="3">
        <f>+IF(AVANCE[[#This Row],[PILASTREO]]=AR$2,100%,AVANCE[[#This Row],[PILASTREO]])</f>
        <v>0</v>
      </c>
      <c r="CF654" s="3">
        <f>+IF(AVANCE[[#This Row],[CELOSIAS]]=AS$2,100%,AVANCE[[#This Row],[CELOSIAS]])</f>
        <v>0</v>
      </c>
      <c r="CG654" s="3">
        <f>+IF(AVANCE[[#This Row],[VENTANAS]]=AT$2,100%,AVANCE[[#This Row],[VENTANAS]])</f>
        <v>0</v>
      </c>
      <c r="CH654" s="3">
        <f>+IF(AVANCE[[#This Row],[PUERTAS ACCESO - LOGIA - BANO]]=AU$2,100%,AVANCE[[#This Row],[PUERTAS ACCESO - LOGIA - BANO]])</f>
        <v>0</v>
      </c>
      <c r="CI654" s="3">
        <f>+IF(AVANCE[[#This Row],[CERRADURAS]]=AV$2,100%,AVANCE[[#This Row],[CERRADURAS]])</f>
        <v>0</v>
      </c>
      <c r="CJ654" s="3">
        <f>+IF(AVANCE[[#This Row],[REVESTIMIENTO INTERIOR ZONA SECA]]=AW$2,100%,AVANCE[[#This Row],[REVESTIMIENTO INTERIOR ZONA SECA]])</f>
        <v>0</v>
      </c>
      <c r="CK654" s="3">
        <f>+IF(AVANCE[[#This Row],[REVESTIMIENTO INTERIOR ZONAS HUMEDAS]]=AX$2,100%,AVANCE[[#This Row],[REVESTIMIENTO INTERIOR ZONAS HUMEDAS]])</f>
        <v>0</v>
      </c>
      <c r="CL654" s="3">
        <f>+IF(AVANCE[[#This Row],[MEMBRANA CIELO]]=AY$2,100%,AVANCE[[#This Row],[MEMBRANA CIELO]])</f>
        <v>0</v>
      </c>
      <c r="CM654" s="3">
        <f>+IF(AVANCE[[#This Row],[LIMPIEZA FINAL]]=AZ$2,100%,AVANCE[[#This Row],[LIMPIEZA FINAL]])</f>
        <v>0</v>
      </c>
      <c r="CN654" s="3">
        <f>+IF(AVANCE[[#This Row],[PUERTAS DORMITORIO]]=BA$2,100%,AVANCE[[#This Row],[PUERTAS DORMITORIO]])</f>
        <v>0</v>
      </c>
      <c r="CO654" s="3">
        <f>+IF(AVANCE[[#This Row],[REVESTIMIENTO INTERIOR BANO]]=BB$2,100%,AVANCE[[#This Row],[REVESTIMIENTO INTERIOR BANO]])</f>
        <v>0</v>
      </c>
      <c r="CP654" s="3">
        <f>+IF(AVANCE[[#This Row],[MUEBLE LAVAPLATOS]]=BC$2,100%,AVANCE[[#This Row],[MUEBLE LAVAPLATOS]])</f>
        <v>0</v>
      </c>
      <c r="CQ654" s="3">
        <f>+IF(AVANCE[[#This Row],[IMPERMEABILIZACION BANO - COCINA LOGIA]]=BD$2,100%,AVANCE[[#This Row],[IMPERMEABILIZACION BANO - COCINA LOGIA]])</f>
        <v>0</v>
      </c>
      <c r="CR654" s="40">
        <f ca="1">+IF(AVANCE[[#This Row],[ESTADO MODULO]]="PENDIENTE",(TODAY()-AVANCE[[#This Row],[FECHA TERMINO  PLANIFICADO]]),0)</f>
        <v>0</v>
      </c>
      <c r="CS654" s="42" t="str" cm="1">
        <f t="array" ref="CS654">_xlfn.TEXTJOIN(" | ",TRUE,IF(SUMPRODUCT((BF654:CQ654&lt;1)*(PARTIDAS!$I$2:$AT$2="OBRA GRUESA"))&gt;0,"OBRA GRUESA: "&amp;_xlfn.TEXTJOIN(", ",TRUE,IF((BF654:CQ654&lt;1)*(PARTIDAS!$I$2:$AT$2="OBRA GRUESA"),PARTIDAS!$I$1:$AT$1,"")),""),IF(SUMPRODUCT((BF654:CQ654&lt;1)*(PARTIDAS!$I$2:$AT$2="SANITARIOS"))&gt;0,"SANITARIOS: "&amp;_xlfn.TEXTJOIN(", ",TRUE,IF((BF654:CQ654&lt;1)*(PARTIDAS!$I$2:$AT$2="SANITARIOS"),PARTIDAS!$I$1:$AT$1,"")),""),IF(SUMPRODUCT((BF654:CQ654&lt;1)*(PARTIDAS!$I$2:$AT$2="ELÉCTRICO"))&gt;0,"ELÉCTRICO: "&amp;_xlfn.TEXTJOIN(", ",TRUE,IF((BF654:CQ654&lt;1)*(PARTIDAS!$I$2:$AT$2="ELÉCTRICO"),PARTIDAS!$I$1:$AT$1,"")),""),IF(SUMPRODUCT((BF654:CQ654&lt;1)*(PARTIDAS!$I$2:$AT$2="TERMINACIONES"))&gt;0,"TERMINACIONES: "&amp;_xlfn.TEXTJOIN(", ",TRUE,IF((BF654:CQ654&lt;1)*(PARTIDAS!$I$2:$AT$2="TERMINACIONES"),PARTIDAS!$I$1:$AT$1,"")),""))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4" s="45" t="str" cm="1">
        <f t="array" ref="CT654">_xlfn.TEXTJOIN(", ",TRUE,IF(SUMPRODUCT((BF654:CQ654&lt;1)*(PARTIDAS!$I$2:$AT$2="OBRA GRUESA"))&gt;0,"OBRA GRUESA",""),IF(SUMPRODUCT((BF654:CQ654&lt;1)*(PARTIDAS!$I$2:$AT$2="SANITARIOS"))&gt;0,"SANITARIOS",""),IF(SUMPRODUCT((BF654:CQ654&lt;1)*(PARTIDAS!$I$2:$AT$2="ELÉCTRICO"))&gt;0,"ELÉCTRICO",""),IF(SUMPRODUCT((BF654:CQ654&lt;1)*(PARTIDAS!$I$2:$AT$2="TERMINACIONES"))&gt;0,"TERMINACIONES",""))</f>
        <v>OBRA GRUESA, SANITARIOS, ELÉCTRICO, TERMINACIONES</v>
      </c>
      <c r="CU654" s="46" cm="1">
        <f t="array" ref="CU654">SUMPRODUCT(--(BF654:CQ654&lt;1))</f>
        <v>38</v>
      </c>
    </row>
    <row r="655" spans="1:99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46181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 s="3" t="str">
        <f>+IF(AVANCE[[#This Row],[% AVANCE]]=100%,"MODULO TERMINADO",IF(AVANCE[[#This Row],[FECHA INICIO REAL]]="","MODULO NO INICIADO","PENDIENTE"))</f>
        <v>MODULO NO INICIADO</v>
      </c>
      <c r="BF655" s="3">
        <f>+IF(AVANCE[[#This Row],[VENTANAS]]=8.10810810810811%,100%,AVANCE[[#This Row],[VENTANAS]])</f>
        <v>0</v>
      </c>
      <c r="BG655" s="3">
        <f>+IF(AVANCE[[#This Row],[PISO]]=N$2,100%,AVANCE[[#This Row],[PISO]])</f>
        <v>0</v>
      </c>
      <c r="BH655" s="3">
        <f>+IF(AVANCE[[#This Row],[TABIQUES]]=O$2,100%,AVANCE[[#This Row],[TABIQUES]])</f>
        <v>0</v>
      </c>
      <c r="BI655" s="3">
        <f>+IF(AVANCE[[#This Row],[MUROS]]=P$2,100%,AVANCE[[#This Row],[MUROS]])</f>
        <v>0</v>
      </c>
      <c r="BJ655" s="3">
        <f>+IF(AVANCE[[#This Row],[CIELO]]=Q$2,100%,AVANCE[[#This Row],[CIELO]])</f>
        <v>0</v>
      </c>
      <c r="BK655" s="3">
        <f>+IF(AVANCE[[#This Row],[BALCÓN]]=R$2,100%,AVANCE[[#This Row],[BALCÓN]])</f>
        <v>0</v>
      </c>
      <c r="BL655" s="3">
        <f>+IF(AVANCE[[#This Row],[RED ALCANTARILLADO]]=U$2,100%,AVANCE[[#This Row],[RED ALCANTARILLADO]])</f>
        <v>0</v>
      </c>
      <c r="BM655" s="3">
        <f>+IF(AVANCE[[#This Row],[RED DE AGUA]]=V$2,100%,AVANCE[[#This Row],[RED DE AGUA]])</f>
        <v>0</v>
      </c>
      <c r="BN655" s="3">
        <f>+IF(AVANCE[[#This Row],[VENTILACIONES]]=W$2,100%,AVANCE[[#This Row],[VENTILACIONES]])</f>
        <v>0</v>
      </c>
      <c r="BO655" s="3">
        <f>+IF(AVANCE[[#This Row],[TINA]]=X$2,100%,AVANCE[[#This Row],[TINA]])</f>
        <v>0</v>
      </c>
      <c r="BP655" s="3">
        <f>+IF(AVANCE[[#This Row],[WC]]=Y$2,100%,AVANCE[[#This Row],[WC]])</f>
        <v>0</v>
      </c>
      <c r="BQ655" s="3">
        <f>+IF(AVANCE[[#This Row],[LAVAMANOS / LAVAPLATOS / LAVADERO]]=Z$2,100%,AVANCE[[#This Row],[LAVAMANOS / LAVAPLATOS / LAVADERO]])</f>
        <v>0</v>
      </c>
      <c r="BR655" s="3">
        <f>+IF(AVANCE[[#This Row],[CANALIZACIÓN]]=AC$2,100%,AVANCE[[#This Row],[CANALIZACIÓN]])</f>
        <v>0</v>
      </c>
      <c r="BS655" s="3">
        <f>+IF(AVANCE[[#This Row],[CABLEADO]]=AD$2,100%,AVANCE[[#This Row],[CABLEADO]])</f>
        <v>0</v>
      </c>
      <c r="BT655" s="3">
        <f>+IF(AVANCE[[#This Row],[ARTEFACTOS]]=AE$2,100%,AVANCE[[#This Row],[ARTEFACTOS]])</f>
        <v>0</v>
      </c>
      <c r="BU655" s="3">
        <f>+IF(AVANCE[[#This Row],[TABLERO]]=AF$2,100%,AVANCE[[#This Row],[TABLERO]])</f>
        <v>0</v>
      </c>
      <c r="BV655" s="3">
        <f>+IF(AVANCE[[#This Row],[CAJA PAU]]=AG$2,100%,AVANCE[[#This Row],[CAJA PAU]])</f>
        <v>0</v>
      </c>
      <c r="BW655" s="3">
        <f>+IF(AVANCE[[#This Row],[INSTALACION VINILICO]]=AJ$2,100%,AVANCE[[#This Row],[INSTALACION VINILICO]])</f>
        <v>0</v>
      </c>
      <c r="BX655" s="3">
        <f>+IF(AVANCE[[#This Row],[OSB CUBIERTA]]=AK$2,100%,AVANCE[[#This Row],[OSB CUBIERTA]])</f>
        <v>0</v>
      </c>
      <c r="BY655" s="3">
        <f>+IF(AVANCE[[#This Row],[BARANDA BALCON]]=AL$2,100%,AVANCE[[#This Row],[BARANDA BALCON]])</f>
        <v>0</v>
      </c>
      <c r="BZ655" s="3">
        <f>+IF(AVANCE[[#This Row],[OSB EXTERIOR]]=AM$2,100%,AVANCE[[#This Row],[OSB EXTERIOR]])</f>
        <v>0</v>
      </c>
      <c r="CA655" s="3">
        <f>+IF(AVANCE[[#This Row],[SMART PANEL]]=AN$2,100%,AVANCE[[#This Row],[SMART PANEL]])</f>
        <v>0</v>
      </c>
      <c r="CB655" s="3">
        <f>+IF(AVANCE[[#This Row],[PINTURA EXTERIOR]]=AO$2,100%,AVANCE[[#This Row],[PINTURA EXTERIOR]])</f>
        <v>0</v>
      </c>
      <c r="CC655" s="3">
        <f>+IF(AVANCE[[#This Row],[ZOCALOS LOGIA]]=AP$2,100%,AVANCE[[#This Row],[ZOCALOS LOGIA]])</f>
        <v>0</v>
      </c>
      <c r="CD655" s="3">
        <f>+IF(AVANCE[[#This Row],[MOLDURAS]]=AQ$2,100%,AVANCE[[#This Row],[MOLDURAS]])</f>
        <v>0</v>
      </c>
      <c r="CE655" s="3">
        <f>+IF(AVANCE[[#This Row],[PILASTREO]]=AR$2,100%,AVANCE[[#This Row],[PILASTREO]])</f>
        <v>0</v>
      </c>
      <c r="CF655" s="3">
        <f>+IF(AVANCE[[#This Row],[CELOSIAS]]=AS$2,100%,AVANCE[[#This Row],[CELOSIAS]])</f>
        <v>0</v>
      </c>
      <c r="CG655" s="3">
        <f>+IF(AVANCE[[#This Row],[VENTANAS]]=AT$2,100%,AVANCE[[#This Row],[VENTANAS]])</f>
        <v>0</v>
      </c>
      <c r="CH655" s="3">
        <f>+IF(AVANCE[[#This Row],[PUERTAS ACCESO - LOGIA - BANO]]=AU$2,100%,AVANCE[[#This Row],[PUERTAS ACCESO - LOGIA - BANO]])</f>
        <v>0</v>
      </c>
      <c r="CI655" s="3">
        <f>+IF(AVANCE[[#This Row],[CERRADURAS]]=AV$2,100%,AVANCE[[#This Row],[CERRADURAS]])</f>
        <v>0</v>
      </c>
      <c r="CJ655" s="3">
        <f>+IF(AVANCE[[#This Row],[REVESTIMIENTO INTERIOR ZONA SECA]]=AW$2,100%,AVANCE[[#This Row],[REVESTIMIENTO INTERIOR ZONA SECA]])</f>
        <v>0</v>
      </c>
      <c r="CK655" s="3">
        <f>+IF(AVANCE[[#This Row],[REVESTIMIENTO INTERIOR ZONAS HUMEDAS]]=AX$2,100%,AVANCE[[#This Row],[REVESTIMIENTO INTERIOR ZONAS HUMEDAS]])</f>
        <v>0</v>
      </c>
      <c r="CL655" s="3">
        <f>+IF(AVANCE[[#This Row],[MEMBRANA CIELO]]=AY$2,100%,AVANCE[[#This Row],[MEMBRANA CIELO]])</f>
        <v>0</v>
      </c>
      <c r="CM655" s="3">
        <f>+IF(AVANCE[[#This Row],[LIMPIEZA FINAL]]=AZ$2,100%,AVANCE[[#This Row],[LIMPIEZA FINAL]])</f>
        <v>0</v>
      </c>
      <c r="CN655" s="3">
        <f>+IF(AVANCE[[#This Row],[PUERTAS DORMITORIO]]=BA$2,100%,AVANCE[[#This Row],[PUERTAS DORMITORIO]])</f>
        <v>0</v>
      </c>
      <c r="CO655" s="3">
        <f>+IF(AVANCE[[#This Row],[REVESTIMIENTO INTERIOR BANO]]=BB$2,100%,AVANCE[[#This Row],[REVESTIMIENTO INTERIOR BANO]])</f>
        <v>0</v>
      </c>
      <c r="CP655" s="3">
        <f>+IF(AVANCE[[#This Row],[MUEBLE LAVAPLATOS]]=BC$2,100%,AVANCE[[#This Row],[MUEBLE LAVAPLATOS]])</f>
        <v>0</v>
      </c>
      <c r="CQ655" s="3">
        <f>+IF(AVANCE[[#This Row],[IMPERMEABILIZACION BANO - COCINA LOGIA]]=BD$2,100%,AVANCE[[#This Row],[IMPERMEABILIZACION BANO - COCINA LOGIA]])</f>
        <v>0</v>
      </c>
      <c r="CR655" s="40">
        <f ca="1">+IF(AVANCE[[#This Row],[ESTADO MODULO]]="PENDIENTE",(TODAY()-AVANCE[[#This Row],[FECHA TERMINO  PLANIFICADO]]),0)</f>
        <v>0</v>
      </c>
      <c r="CS655" s="42" t="str" cm="1">
        <f t="array" ref="CS655">_xlfn.TEXTJOIN(" | ",TRUE,IF(SUMPRODUCT((BF655:CQ655&lt;1)*(PARTIDAS!$I$2:$AT$2="OBRA GRUESA"))&gt;0,"OBRA GRUESA: "&amp;_xlfn.TEXTJOIN(", ",TRUE,IF((BF655:CQ655&lt;1)*(PARTIDAS!$I$2:$AT$2="OBRA GRUESA"),PARTIDAS!$I$1:$AT$1,"")),""),IF(SUMPRODUCT((BF655:CQ655&lt;1)*(PARTIDAS!$I$2:$AT$2="SANITARIOS"))&gt;0,"SANITARIOS: "&amp;_xlfn.TEXTJOIN(", ",TRUE,IF((BF655:CQ655&lt;1)*(PARTIDAS!$I$2:$AT$2="SANITARIOS"),PARTIDAS!$I$1:$AT$1,"")),""),IF(SUMPRODUCT((BF655:CQ655&lt;1)*(PARTIDAS!$I$2:$AT$2="ELÉCTRICO"))&gt;0,"ELÉCTRICO: "&amp;_xlfn.TEXTJOIN(", ",TRUE,IF((BF655:CQ655&lt;1)*(PARTIDAS!$I$2:$AT$2="ELÉCTRICO"),PARTIDAS!$I$1:$AT$1,"")),""),IF(SUMPRODUCT((BF655:CQ655&lt;1)*(PARTIDAS!$I$2:$AT$2="TERMINACIONES"))&gt;0,"TERMINACIONES: "&amp;_xlfn.TEXTJOIN(", ",TRUE,IF((BF655:CQ655&lt;1)*(PARTIDAS!$I$2:$AT$2="TERMINACIONES"),PARTIDAS!$I$1:$AT$1,"")),""))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5" s="45" t="str" cm="1">
        <f t="array" ref="CT655">_xlfn.TEXTJOIN(", ",TRUE,IF(SUMPRODUCT((BF655:CQ655&lt;1)*(PARTIDAS!$I$2:$AT$2="OBRA GRUESA"))&gt;0,"OBRA GRUESA",""),IF(SUMPRODUCT((BF655:CQ655&lt;1)*(PARTIDAS!$I$2:$AT$2="SANITARIOS"))&gt;0,"SANITARIOS",""),IF(SUMPRODUCT((BF655:CQ655&lt;1)*(PARTIDAS!$I$2:$AT$2="ELÉCTRICO"))&gt;0,"ELÉCTRICO",""),IF(SUMPRODUCT((BF655:CQ655&lt;1)*(PARTIDAS!$I$2:$AT$2="TERMINACIONES"))&gt;0,"TERMINACIONES",""))</f>
        <v>OBRA GRUESA, SANITARIOS, ELÉCTRICO, TERMINACIONES</v>
      </c>
      <c r="CU655" s="46" cm="1">
        <f t="array" ref="CU655">SUMPRODUCT(--(BF655:CQ655&lt;1))</f>
        <v>38</v>
      </c>
    </row>
    <row r="656" spans="1:99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46181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 s="3" t="str">
        <f>+IF(AVANCE[[#This Row],[% AVANCE]]=100%,"MODULO TERMINADO",IF(AVANCE[[#This Row],[FECHA INICIO REAL]]="","MODULO NO INICIADO","PENDIENTE"))</f>
        <v>MODULO NO INICIADO</v>
      </c>
      <c r="BF656" s="3">
        <f>+IF(AVANCE[[#This Row],[VENTANAS]]=8.10810810810811%,100%,AVANCE[[#This Row],[VENTANAS]])</f>
        <v>0</v>
      </c>
      <c r="BG656" s="3">
        <f>+IF(AVANCE[[#This Row],[PISO]]=N$2,100%,AVANCE[[#This Row],[PISO]])</f>
        <v>0</v>
      </c>
      <c r="BH656" s="3">
        <f>+IF(AVANCE[[#This Row],[TABIQUES]]=O$2,100%,AVANCE[[#This Row],[TABIQUES]])</f>
        <v>0</v>
      </c>
      <c r="BI656" s="3">
        <f>+IF(AVANCE[[#This Row],[MUROS]]=P$2,100%,AVANCE[[#This Row],[MUROS]])</f>
        <v>0</v>
      </c>
      <c r="BJ656" s="3">
        <f>+IF(AVANCE[[#This Row],[CIELO]]=Q$2,100%,AVANCE[[#This Row],[CIELO]])</f>
        <v>0</v>
      </c>
      <c r="BK656" s="3">
        <f>+IF(AVANCE[[#This Row],[BALCÓN]]=R$2,100%,AVANCE[[#This Row],[BALCÓN]])</f>
        <v>0</v>
      </c>
      <c r="BL656" s="3">
        <f>+IF(AVANCE[[#This Row],[RED ALCANTARILLADO]]=U$2,100%,AVANCE[[#This Row],[RED ALCANTARILLADO]])</f>
        <v>0</v>
      </c>
      <c r="BM656" s="3">
        <f>+IF(AVANCE[[#This Row],[RED DE AGUA]]=V$2,100%,AVANCE[[#This Row],[RED DE AGUA]])</f>
        <v>0</v>
      </c>
      <c r="BN656" s="3">
        <f>+IF(AVANCE[[#This Row],[VENTILACIONES]]=W$2,100%,AVANCE[[#This Row],[VENTILACIONES]])</f>
        <v>0</v>
      </c>
      <c r="BO656" s="3">
        <f>+IF(AVANCE[[#This Row],[TINA]]=X$2,100%,AVANCE[[#This Row],[TINA]])</f>
        <v>0</v>
      </c>
      <c r="BP656" s="3">
        <f>+IF(AVANCE[[#This Row],[WC]]=Y$2,100%,AVANCE[[#This Row],[WC]])</f>
        <v>0</v>
      </c>
      <c r="BQ656" s="3">
        <f>+IF(AVANCE[[#This Row],[LAVAMANOS / LAVAPLATOS / LAVADERO]]=Z$2,100%,AVANCE[[#This Row],[LAVAMANOS / LAVAPLATOS / LAVADERO]])</f>
        <v>0</v>
      </c>
      <c r="BR656" s="3">
        <f>+IF(AVANCE[[#This Row],[CANALIZACIÓN]]=AC$2,100%,AVANCE[[#This Row],[CANALIZACIÓN]])</f>
        <v>0</v>
      </c>
      <c r="BS656" s="3">
        <f>+IF(AVANCE[[#This Row],[CABLEADO]]=AD$2,100%,AVANCE[[#This Row],[CABLEADO]])</f>
        <v>0</v>
      </c>
      <c r="BT656" s="3">
        <f>+IF(AVANCE[[#This Row],[ARTEFACTOS]]=AE$2,100%,AVANCE[[#This Row],[ARTEFACTOS]])</f>
        <v>0</v>
      </c>
      <c r="BU656" s="3">
        <f>+IF(AVANCE[[#This Row],[TABLERO]]=AF$2,100%,AVANCE[[#This Row],[TABLERO]])</f>
        <v>0</v>
      </c>
      <c r="BV656" s="3">
        <f>+IF(AVANCE[[#This Row],[CAJA PAU]]=AG$2,100%,AVANCE[[#This Row],[CAJA PAU]])</f>
        <v>0</v>
      </c>
      <c r="BW656" s="3">
        <f>+IF(AVANCE[[#This Row],[INSTALACION VINILICO]]=AJ$2,100%,AVANCE[[#This Row],[INSTALACION VINILICO]])</f>
        <v>0</v>
      </c>
      <c r="BX656" s="3">
        <f>+IF(AVANCE[[#This Row],[OSB CUBIERTA]]=AK$2,100%,AVANCE[[#This Row],[OSB CUBIERTA]])</f>
        <v>0</v>
      </c>
      <c r="BY656" s="3">
        <f>+IF(AVANCE[[#This Row],[BARANDA BALCON]]=AL$2,100%,AVANCE[[#This Row],[BARANDA BALCON]])</f>
        <v>0</v>
      </c>
      <c r="BZ656" s="3">
        <f>+IF(AVANCE[[#This Row],[OSB EXTERIOR]]=AM$2,100%,AVANCE[[#This Row],[OSB EXTERIOR]])</f>
        <v>0</v>
      </c>
      <c r="CA656" s="3">
        <f>+IF(AVANCE[[#This Row],[SMART PANEL]]=AN$2,100%,AVANCE[[#This Row],[SMART PANEL]])</f>
        <v>0</v>
      </c>
      <c r="CB656" s="3">
        <f>+IF(AVANCE[[#This Row],[PINTURA EXTERIOR]]=AO$2,100%,AVANCE[[#This Row],[PINTURA EXTERIOR]])</f>
        <v>0</v>
      </c>
      <c r="CC656" s="3">
        <f>+IF(AVANCE[[#This Row],[ZOCALOS LOGIA]]=AP$2,100%,AVANCE[[#This Row],[ZOCALOS LOGIA]])</f>
        <v>0</v>
      </c>
      <c r="CD656" s="3">
        <f>+IF(AVANCE[[#This Row],[MOLDURAS]]=AQ$2,100%,AVANCE[[#This Row],[MOLDURAS]])</f>
        <v>0</v>
      </c>
      <c r="CE656" s="3">
        <f>+IF(AVANCE[[#This Row],[PILASTREO]]=AR$2,100%,AVANCE[[#This Row],[PILASTREO]])</f>
        <v>0</v>
      </c>
      <c r="CF656" s="3">
        <f>+IF(AVANCE[[#This Row],[CELOSIAS]]=AS$2,100%,AVANCE[[#This Row],[CELOSIAS]])</f>
        <v>0</v>
      </c>
      <c r="CG656" s="3">
        <f>+IF(AVANCE[[#This Row],[VENTANAS]]=AT$2,100%,AVANCE[[#This Row],[VENTANAS]])</f>
        <v>0</v>
      </c>
      <c r="CH656" s="3">
        <f>+IF(AVANCE[[#This Row],[PUERTAS ACCESO - LOGIA - BANO]]=AU$2,100%,AVANCE[[#This Row],[PUERTAS ACCESO - LOGIA - BANO]])</f>
        <v>0</v>
      </c>
      <c r="CI656" s="3">
        <f>+IF(AVANCE[[#This Row],[CERRADURAS]]=AV$2,100%,AVANCE[[#This Row],[CERRADURAS]])</f>
        <v>0</v>
      </c>
      <c r="CJ656" s="3">
        <f>+IF(AVANCE[[#This Row],[REVESTIMIENTO INTERIOR ZONA SECA]]=AW$2,100%,AVANCE[[#This Row],[REVESTIMIENTO INTERIOR ZONA SECA]])</f>
        <v>0</v>
      </c>
      <c r="CK656" s="3">
        <f>+IF(AVANCE[[#This Row],[REVESTIMIENTO INTERIOR ZONAS HUMEDAS]]=AX$2,100%,AVANCE[[#This Row],[REVESTIMIENTO INTERIOR ZONAS HUMEDAS]])</f>
        <v>0</v>
      </c>
      <c r="CL656" s="3">
        <f>+IF(AVANCE[[#This Row],[MEMBRANA CIELO]]=AY$2,100%,AVANCE[[#This Row],[MEMBRANA CIELO]])</f>
        <v>0</v>
      </c>
      <c r="CM656" s="3">
        <f>+IF(AVANCE[[#This Row],[LIMPIEZA FINAL]]=AZ$2,100%,AVANCE[[#This Row],[LIMPIEZA FINAL]])</f>
        <v>0</v>
      </c>
      <c r="CN656" s="3">
        <f>+IF(AVANCE[[#This Row],[PUERTAS DORMITORIO]]=BA$2,100%,AVANCE[[#This Row],[PUERTAS DORMITORIO]])</f>
        <v>0</v>
      </c>
      <c r="CO656" s="3">
        <f>+IF(AVANCE[[#This Row],[REVESTIMIENTO INTERIOR BANO]]=BB$2,100%,AVANCE[[#This Row],[REVESTIMIENTO INTERIOR BANO]])</f>
        <v>0</v>
      </c>
      <c r="CP656" s="3">
        <f>+IF(AVANCE[[#This Row],[MUEBLE LAVAPLATOS]]=BC$2,100%,AVANCE[[#This Row],[MUEBLE LAVAPLATOS]])</f>
        <v>0</v>
      </c>
      <c r="CQ656" s="3">
        <f>+IF(AVANCE[[#This Row],[IMPERMEABILIZACION BANO - COCINA LOGIA]]=BD$2,100%,AVANCE[[#This Row],[IMPERMEABILIZACION BANO - COCINA LOGIA]])</f>
        <v>0</v>
      </c>
      <c r="CR656" s="40">
        <f ca="1">+IF(AVANCE[[#This Row],[ESTADO MODULO]]="PENDIENTE",(TODAY()-AVANCE[[#This Row],[FECHA TERMINO  PLANIFICADO]]),0)</f>
        <v>0</v>
      </c>
      <c r="CS656" s="42" t="str" cm="1">
        <f t="array" ref="CS656">_xlfn.TEXTJOIN(" | ",TRUE,IF(SUMPRODUCT((BF656:CQ656&lt;1)*(PARTIDAS!$I$2:$AT$2="OBRA GRUESA"))&gt;0,"OBRA GRUESA: "&amp;_xlfn.TEXTJOIN(", ",TRUE,IF((BF656:CQ656&lt;1)*(PARTIDAS!$I$2:$AT$2="OBRA GRUESA"),PARTIDAS!$I$1:$AT$1,"")),""),IF(SUMPRODUCT((BF656:CQ656&lt;1)*(PARTIDAS!$I$2:$AT$2="SANITARIOS"))&gt;0,"SANITARIOS: "&amp;_xlfn.TEXTJOIN(", ",TRUE,IF((BF656:CQ656&lt;1)*(PARTIDAS!$I$2:$AT$2="SANITARIOS"),PARTIDAS!$I$1:$AT$1,"")),""),IF(SUMPRODUCT((BF656:CQ656&lt;1)*(PARTIDAS!$I$2:$AT$2="ELÉCTRICO"))&gt;0,"ELÉCTRICO: "&amp;_xlfn.TEXTJOIN(", ",TRUE,IF((BF656:CQ656&lt;1)*(PARTIDAS!$I$2:$AT$2="ELÉCTRICO"),PARTIDAS!$I$1:$AT$1,"")),""),IF(SUMPRODUCT((BF656:CQ656&lt;1)*(PARTIDAS!$I$2:$AT$2="TERMINACIONES"))&gt;0,"TERMINACIONES: "&amp;_xlfn.TEXTJOIN(", ",TRUE,IF((BF656:CQ656&lt;1)*(PARTIDAS!$I$2:$AT$2="TERMINACIONES"),PARTIDAS!$I$1:$AT$1,"")),""))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6" s="45" t="str" cm="1">
        <f t="array" ref="CT656">_xlfn.TEXTJOIN(", ",TRUE,IF(SUMPRODUCT((BF656:CQ656&lt;1)*(PARTIDAS!$I$2:$AT$2="OBRA GRUESA"))&gt;0,"OBRA GRUESA",""),IF(SUMPRODUCT((BF656:CQ656&lt;1)*(PARTIDAS!$I$2:$AT$2="SANITARIOS"))&gt;0,"SANITARIOS",""),IF(SUMPRODUCT((BF656:CQ656&lt;1)*(PARTIDAS!$I$2:$AT$2="ELÉCTRICO"))&gt;0,"ELÉCTRICO",""),IF(SUMPRODUCT((BF656:CQ656&lt;1)*(PARTIDAS!$I$2:$AT$2="TERMINACIONES"))&gt;0,"TERMINACIONES",""))</f>
        <v>OBRA GRUESA, SANITARIOS, ELÉCTRICO, TERMINACIONES</v>
      </c>
      <c r="CU656" s="46" cm="1">
        <f t="array" ref="CU656">SUMPRODUCT(--(BF656:CQ656&lt;1))</f>
        <v>38</v>
      </c>
    </row>
    <row r="657" spans="1:99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46181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 s="3" t="str">
        <f>+IF(AVANCE[[#This Row],[% AVANCE]]=100%,"MODULO TERMINADO",IF(AVANCE[[#This Row],[FECHA INICIO REAL]]="","MODULO NO INICIADO","PENDIENTE"))</f>
        <v>MODULO NO INICIADO</v>
      </c>
      <c r="BF657" s="3">
        <f>+IF(AVANCE[[#This Row],[VENTANAS]]=8.10810810810811%,100%,AVANCE[[#This Row],[VENTANAS]])</f>
        <v>0</v>
      </c>
      <c r="BG657" s="3">
        <f>+IF(AVANCE[[#This Row],[PISO]]=N$2,100%,AVANCE[[#This Row],[PISO]])</f>
        <v>0</v>
      </c>
      <c r="BH657" s="3">
        <f>+IF(AVANCE[[#This Row],[TABIQUES]]=O$2,100%,AVANCE[[#This Row],[TABIQUES]])</f>
        <v>0</v>
      </c>
      <c r="BI657" s="3">
        <f>+IF(AVANCE[[#This Row],[MUROS]]=P$2,100%,AVANCE[[#This Row],[MUROS]])</f>
        <v>0</v>
      </c>
      <c r="BJ657" s="3">
        <f>+IF(AVANCE[[#This Row],[CIELO]]=Q$2,100%,AVANCE[[#This Row],[CIELO]])</f>
        <v>0</v>
      </c>
      <c r="BK657" s="3">
        <f>+IF(AVANCE[[#This Row],[BALCÓN]]=R$2,100%,AVANCE[[#This Row],[BALCÓN]])</f>
        <v>0</v>
      </c>
      <c r="BL657" s="3">
        <f>+IF(AVANCE[[#This Row],[RED ALCANTARILLADO]]=U$2,100%,AVANCE[[#This Row],[RED ALCANTARILLADO]])</f>
        <v>0</v>
      </c>
      <c r="BM657" s="3">
        <f>+IF(AVANCE[[#This Row],[RED DE AGUA]]=V$2,100%,AVANCE[[#This Row],[RED DE AGUA]])</f>
        <v>0</v>
      </c>
      <c r="BN657" s="3">
        <f>+IF(AVANCE[[#This Row],[VENTILACIONES]]=W$2,100%,AVANCE[[#This Row],[VENTILACIONES]])</f>
        <v>0</v>
      </c>
      <c r="BO657" s="3">
        <f>+IF(AVANCE[[#This Row],[TINA]]=X$2,100%,AVANCE[[#This Row],[TINA]])</f>
        <v>0</v>
      </c>
      <c r="BP657" s="3">
        <f>+IF(AVANCE[[#This Row],[WC]]=Y$2,100%,AVANCE[[#This Row],[WC]])</f>
        <v>0</v>
      </c>
      <c r="BQ657" s="3">
        <f>+IF(AVANCE[[#This Row],[LAVAMANOS / LAVAPLATOS / LAVADERO]]=Z$2,100%,AVANCE[[#This Row],[LAVAMANOS / LAVAPLATOS / LAVADERO]])</f>
        <v>0</v>
      </c>
      <c r="BR657" s="3">
        <f>+IF(AVANCE[[#This Row],[CANALIZACIÓN]]=AC$2,100%,AVANCE[[#This Row],[CANALIZACIÓN]])</f>
        <v>0</v>
      </c>
      <c r="BS657" s="3">
        <f>+IF(AVANCE[[#This Row],[CABLEADO]]=AD$2,100%,AVANCE[[#This Row],[CABLEADO]])</f>
        <v>0</v>
      </c>
      <c r="BT657" s="3">
        <f>+IF(AVANCE[[#This Row],[ARTEFACTOS]]=AE$2,100%,AVANCE[[#This Row],[ARTEFACTOS]])</f>
        <v>0</v>
      </c>
      <c r="BU657" s="3">
        <f>+IF(AVANCE[[#This Row],[TABLERO]]=AF$2,100%,AVANCE[[#This Row],[TABLERO]])</f>
        <v>0</v>
      </c>
      <c r="BV657" s="3">
        <f>+IF(AVANCE[[#This Row],[CAJA PAU]]=AG$2,100%,AVANCE[[#This Row],[CAJA PAU]])</f>
        <v>0</v>
      </c>
      <c r="BW657" s="3">
        <f>+IF(AVANCE[[#This Row],[INSTALACION VINILICO]]=AJ$2,100%,AVANCE[[#This Row],[INSTALACION VINILICO]])</f>
        <v>0</v>
      </c>
      <c r="BX657" s="3">
        <f>+IF(AVANCE[[#This Row],[OSB CUBIERTA]]=AK$2,100%,AVANCE[[#This Row],[OSB CUBIERTA]])</f>
        <v>0</v>
      </c>
      <c r="BY657" s="3">
        <f>+IF(AVANCE[[#This Row],[BARANDA BALCON]]=AL$2,100%,AVANCE[[#This Row],[BARANDA BALCON]])</f>
        <v>0</v>
      </c>
      <c r="BZ657" s="3">
        <f>+IF(AVANCE[[#This Row],[OSB EXTERIOR]]=AM$2,100%,AVANCE[[#This Row],[OSB EXTERIOR]])</f>
        <v>0</v>
      </c>
      <c r="CA657" s="3">
        <f>+IF(AVANCE[[#This Row],[SMART PANEL]]=AN$2,100%,AVANCE[[#This Row],[SMART PANEL]])</f>
        <v>0</v>
      </c>
      <c r="CB657" s="3">
        <f>+IF(AVANCE[[#This Row],[PINTURA EXTERIOR]]=AO$2,100%,AVANCE[[#This Row],[PINTURA EXTERIOR]])</f>
        <v>0</v>
      </c>
      <c r="CC657" s="3">
        <f>+IF(AVANCE[[#This Row],[ZOCALOS LOGIA]]=AP$2,100%,AVANCE[[#This Row],[ZOCALOS LOGIA]])</f>
        <v>0</v>
      </c>
      <c r="CD657" s="3">
        <f>+IF(AVANCE[[#This Row],[MOLDURAS]]=AQ$2,100%,AVANCE[[#This Row],[MOLDURAS]])</f>
        <v>0</v>
      </c>
      <c r="CE657" s="3">
        <f>+IF(AVANCE[[#This Row],[PILASTREO]]=AR$2,100%,AVANCE[[#This Row],[PILASTREO]])</f>
        <v>0</v>
      </c>
      <c r="CF657" s="3">
        <f>+IF(AVANCE[[#This Row],[CELOSIAS]]=AS$2,100%,AVANCE[[#This Row],[CELOSIAS]])</f>
        <v>0</v>
      </c>
      <c r="CG657" s="3">
        <f>+IF(AVANCE[[#This Row],[VENTANAS]]=AT$2,100%,AVANCE[[#This Row],[VENTANAS]])</f>
        <v>0</v>
      </c>
      <c r="CH657" s="3">
        <f>+IF(AVANCE[[#This Row],[PUERTAS ACCESO - LOGIA - BANO]]=AU$2,100%,AVANCE[[#This Row],[PUERTAS ACCESO - LOGIA - BANO]])</f>
        <v>0</v>
      </c>
      <c r="CI657" s="3">
        <f>+IF(AVANCE[[#This Row],[CERRADURAS]]=AV$2,100%,AVANCE[[#This Row],[CERRADURAS]])</f>
        <v>0</v>
      </c>
      <c r="CJ657" s="3">
        <f>+IF(AVANCE[[#This Row],[REVESTIMIENTO INTERIOR ZONA SECA]]=AW$2,100%,AVANCE[[#This Row],[REVESTIMIENTO INTERIOR ZONA SECA]])</f>
        <v>0</v>
      </c>
      <c r="CK657" s="3">
        <f>+IF(AVANCE[[#This Row],[REVESTIMIENTO INTERIOR ZONAS HUMEDAS]]=AX$2,100%,AVANCE[[#This Row],[REVESTIMIENTO INTERIOR ZONAS HUMEDAS]])</f>
        <v>0</v>
      </c>
      <c r="CL657" s="3">
        <f>+IF(AVANCE[[#This Row],[MEMBRANA CIELO]]=AY$2,100%,AVANCE[[#This Row],[MEMBRANA CIELO]])</f>
        <v>0</v>
      </c>
      <c r="CM657" s="3">
        <f>+IF(AVANCE[[#This Row],[LIMPIEZA FINAL]]=AZ$2,100%,AVANCE[[#This Row],[LIMPIEZA FINAL]])</f>
        <v>0</v>
      </c>
      <c r="CN657" s="3">
        <f>+IF(AVANCE[[#This Row],[PUERTAS DORMITORIO]]=BA$2,100%,AVANCE[[#This Row],[PUERTAS DORMITORIO]])</f>
        <v>0</v>
      </c>
      <c r="CO657" s="3">
        <f>+IF(AVANCE[[#This Row],[REVESTIMIENTO INTERIOR BANO]]=BB$2,100%,AVANCE[[#This Row],[REVESTIMIENTO INTERIOR BANO]])</f>
        <v>0</v>
      </c>
      <c r="CP657" s="3">
        <f>+IF(AVANCE[[#This Row],[MUEBLE LAVAPLATOS]]=BC$2,100%,AVANCE[[#This Row],[MUEBLE LAVAPLATOS]])</f>
        <v>0</v>
      </c>
      <c r="CQ657" s="3">
        <f>+IF(AVANCE[[#This Row],[IMPERMEABILIZACION BANO - COCINA LOGIA]]=BD$2,100%,AVANCE[[#This Row],[IMPERMEABILIZACION BANO - COCINA LOGIA]])</f>
        <v>0</v>
      </c>
      <c r="CR657" s="40">
        <f ca="1">+IF(AVANCE[[#This Row],[ESTADO MODULO]]="PENDIENTE",(TODAY()-AVANCE[[#This Row],[FECHA TERMINO  PLANIFICADO]]),0)</f>
        <v>0</v>
      </c>
      <c r="CS657" s="42" t="str" cm="1">
        <f t="array" ref="CS657">_xlfn.TEXTJOIN(" | ",TRUE,IF(SUMPRODUCT((BF657:CQ657&lt;1)*(PARTIDAS!$I$2:$AT$2="OBRA GRUESA"))&gt;0,"OBRA GRUESA: "&amp;_xlfn.TEXTJOIN(", ",TRUE,IF((BF657:CQ657&lt;1)*(PARTIDAS!$I$2:$AT$2="OBRA GRUESA"),PARTIDAS!$I$1:$AT$1,"")),""),IF(SUMPRODUCT((BF657:CQ657&lt;1)*(PARTIDAS!$I$2:$AT$2="SANITARIOS"))&gt;0,"SANITARIOS: "&amp;_xlfn.TEXTJOIN(", ",TRUE,IF((BF657:CQ657&lt;1)*(PARTIDAS!$I$2:$AT$2="SANITARIOS"),PARTIDAS!$I$1:$AT$1,"")),""),IF(SUMPRODUCT((BF657:CQ657&lt;1)*(PARTIDAS!$I$2:$AT$2="ELÉCTRICO"))&gt;0,"ELÉCTRICO: "&amp;_xlfn.TEXTJOIN(", ",TRUE,IF((BF657:CQ657&lt;1)*(PARTIDAS!$I$2:$AT$2="ELÉCTRICO"),PARTIDAS!$I$1:$AT$1,"")),""),IF(SUMPRODUCT((BF657:CQ657&lt;1)*(PARTIDAS!$I$2:$AT$2="TERMINACIONES"))&gt;0,"TERMINACIONES: "&amp;_xlfn.TEXTJOIN(", ",TRUE,IF((BF657:CQ657&lt;1)*(PARTIDAS!$I$2:$AT$2="TERMINACIONES"),PARTIDAS!$I$1:$AT$1,"")),""))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7" s="45" t="str" cm="1">
        <f t="array" ref="CT657">_xlfn.TEXTJOIN(", ",TRUE,IF(SUMPRODUCT((BF657:CQ657&lt;1)*(PARTIDAS!$I$2:$AT$2="OBRA GRUESA"))&gt;0,"OBRA GRUESA",""),IF(SUMPRODUCT((BF657:CQ657&lt;1)*(PARTIDAS!$I$2:$AT$2="SANITARIOS"))&gt;0,"SANITARIOS",""),IF(SUMPRODUCT((BF657:CQ657&lt;1)*(PARTIDAS!$I$2:$AT$2="ELÉCTRICO"))&gt;0,"ELÉCTRICO",""),IF(SUMPRODUCT((BF657:CQ657&lt;1)*(PARTIDAS!$I$2:$AT$2="TERMINACIONES"))&gt;0,"TERMINACIONES",""))</f>
        <v>OBRA GRUESA, SANITARIOS, ELÉCTRICO, TERMINACIONES</v>
      </c>
      <c r="CU657" s="46" cm="1">
        <f t="array" ref="CU657">SUMPRODUCT(--(BF657:CQ657&lt;1))</f>
        <v>38</v>
      </c>
    </row>
    <row r="658" spans="1:99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46181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 s="3" t="str">
        <f>+IF(AVANCE[[#This Row],[% AVANCE]]=100%,"MODULO TERMINADO",IF(AVANCE[[#This Row],[FECHA INICIO REAL]]="","MODULO NO INICIADO","PENDIENTE"))</f>
        <v>MODULO NO INICIADO</v>
      </c>
      <c r="BF658" s="3">
        <f>+IF(AVANCE[[#This Row],[VENTANAS]]=8.10810810810811%,100%,AVANCE[[#This Row],[VENTANAS]])</f>
        <v>0</v>
      </c>
      <c r="BG658" s="3">
        <f>+IF(AVANCE[[#This Row],[PISO]]=N$2,100%,AVANCE[[#This Row],[PISO]])</f>
        <v>0</v>
      </c>
      <c r="BH658" s="3">
        <f>+IF(AVANCE[[#This Row],[TABIQUES]]=O$2,100%,AVANCE[[#This Row],[TABIQUES]])</f>
        <v>0</v>
      </c>
      <c r="BI658" s="3">
        <f>+IF(AVANCE[[#This Row],[MUROS]]=P$2,100%,AVANCE[[#This Row],[MUROS]])</f>
        <v>0</v>
      </c>
      <c r="BJ658" s="3">
        <f>+IF(AVANCE[[#This Row],[CIELO]]=Q$2,100%,AVANCE[[#This Row],[CIELO]])</f>
        <v>0</v>
      </c>
      <c r="BK658" s="3">
        <f>+IF(AVANCE[[#This Row],[BALCÓN]]=R$2,100%,AVANCE[[#This Row],[BALCÓN]])</f>
        <v>0</v>
      </c>
      <c r="BL658" s="3">
        <f>+IF(AVANCE[[#This Row],[RED ALCANTARILLADO]]=U$2,100%,AVANCE[[#This Row],[RED ALCANTARILLADO]])</f>
        <v>0</v>
      </c>
      <c r="BM658" s="3">
        <f>+IF(AVANCE[[#This Row],[RED DE AGUA]]=V$2,100%,AVANCE[[#This Row],[RED DE AGUA]])</f>
        <v>0</v>
      </c>
      <c r="BN658" s="3">
        <f>+IF(AVANCE[[#This Row],[VENTILACIONES]]=W$2,100%,AVANCE[[#This Row],[VENTILACIONES]])</f>
        <v>0</v>
      </c>
      <c r="BO658" s="3">
        <f>+IF(AVANCE[[#This Row],[TINA]]=X$2,100%,AVANCE[[#This Row],[TINA]])</f>
        <v>0</v>
      </c>
      <c r="BP658" s="3">
        <f>+IF(AVANCE[[#This Row],[WC]]=Y$2,100%,AVANCE[[#This Row],[WC]])</f>
        <v>0</v>
      </c>
      <c r="BQ658" s="3">
        <f>+IF(AVANCE[[#This Row],[LAVAMANOS / LAVAPLATOS / LAVADERO]]=Z$2,100%,AVANCE[[#This Row],[LAVAMANOS / LAVAPLATOS / LAVADERO]])</f>
        <v>0</v>
      </c>
      <c r="BR658" s="3">
        <f>+IF(AVANCE[[#This Row],[CANALIZACIÓN]]=AC$2,100%,AVANCE[[#This Row],[CANALIZACIÓN]])</f>
        <v>0</v>
      </c>
      <c r="BS658" s="3">
        <f>+IF(AVANCE[[#This Row],[CABLEADO]]=AD$2,100%,AVANCE[[#This Row],[CABLEADO]])</f>
        <v>0</v>
      </c>
      <c r="BT658" s="3">
        <f>+IF(AVANCE[[#This Row],[ARTEFACTOS]]=AE$2,100%,AVANCE[[#This Row],[ARTEFACTOS]])</f>
        <v>0</v>
      </c>
      <c r="BU658" s="3">
        <f>+IF(AVANCE[[#This Row],[TABLERO]]=AF$2,100%,AVANCE[[#This Row],[TABLERO]])</f>
        <v>0</v>
      </c>
      <c r="BV658" s="3">
        <f>+IF(AVANCE[[#This Row],[CAJA PAU]]=AG$2,100%,AVANCE[[#This Row],[CAJA PAU]])</f>
        <v>0</v>
      </c>
      <c r="BW658" s="3">
        <f>+IF(AVANCE[[#This Row],[INSTALACION VINILICO]]=AJ$2,100%,AVANCE[[#This Row],[INSTALACION VINILICO]])</f>
        <v>0</v>
      </c>
      <c r="BX658" s="3">
        <f>+IF(AVANCE[[#This Row],[OSB CUBIERTA]]=AK$2,100%,AVANCE[[#This Row],[OSB CUBIERTA]])</f>
        <v>0</v>
      </c>
      <c r="BY658" s="3">
        <f>+IF(AVANCE[[#This Row],[BARANDA BALCON]]=AL$2,100%,AVANCE[[#This Row],[BARANDA BALCON]])</f>
        <v>0</v>
      </c>
      <c r="BZ658" s="3">
        <f>+IF(AVANCE[[#This Row],[OSB EXTERIOR]]=AM$2,100%,AVANCE[[#This Row],[OSB EXTERIOR]])</f>
        <v>0</v>
      </c>
      <c r="CA658" s="3">
        <f>+IF(AVANCE[[#This Row],[SMART PANEL]]=AN$2,100%,AVANCE[[#This Row],[SMART PANEL]])</f>
        <v>0</v>
      </c>
      <c r="CB658" s="3">
        <f>+IF(AVANCE[[#This Row],[PINTURA EXTERIOR]]=AO$2,100%,AVANCE[[#This Row],[PINTURA EXTERIOR]])</f>
        <v>0</v>
      </c>
      <c r="CC658" s="3">
        <f>+IF(AVANCE[[#This Row],[ZOCALOS LOGIA]]=AP$2,100%,AVANCE[[#This Row],[ZOCALOS LOGIA]])</f>
        <v>0</v>
      </c>
      <c r="CD658" s="3">
        <f>+IF(AVANCE[[#This Row],[MOLDURAS]]=AQ$2,100%,AVANCE[[#This Row],[MOLDURAS]])</f>
        <v>0</v>
      </c>
      <c r="CE658" s="3">
        <f>+IF(AVANCE[[#This Row],[PILASTREO]]=AR$2,100%,AVANCE[[#This Row],[PILASTREO]])</f>
        <v>0</v>
      </c>
      <c r="CF658" s="3">
        <f>+IF(AVANCE[[#This Row],[CELOSIAS]]=AS$2,100%,AVANCE[[#This Row],[CELOSIAS]])</f>
        <v>0</v>
      </c>
      <c r="CG658" s="3">
        <f>+IF(AVANCE[[#This Row],[VENTANAS]]=AT$2,100%,AVANCE[[#This Row],[VENTANAS]])</f>
        <v>0</v>
      </c>
      <c r="CH658" s="3">
        <f>+IF(AVANCE[[#This Row],[PUERTAS ACCESO - LOGIA - BANO]]=AU$2,100%,AVANCE[[#This Row],[PUERTAS ACCESO - LOGIA - BANO]])</f>
        <v>0</v>
      </c>
      <c r="CI658" s="3">
        <f>+IF(AVANCE[[#This Row],[CERRADURAS]]=AV$2,100%,AVANCE[[#This Row],[CERRADURAS]])</f>
        <v>0</v>
      </c>
      <c r="CJ658" s="3">
        <f>+IF(AVANCE[[#This Row],[REVESTIMIENTO INTERIOR ZONA SECA]]=AW$2,100%,AVANCE[[#This Row],[REVESTIMIENTO INTERIOR ZONA SECA]])</f>
        <v>0</v>
      </c>
      <c r="CK658" s="3">
        <f>+IF(AVANCE[[#This Row],[REVESTIMIENTO INTERIOR ZONAS HUMEDAS]]=AX$2,100%,AVANCE[[#This Row],[REVESTIMIENTO INTERIOR ZONAS HUMEDAS]])</f>
        <v>0</v>
      </c>
      <c r="CL658" s="3">
        <f>+IF(AVANCE[[#This Row],[MEMBRANA CIELO]]=AY$2,100%,AVANCE[[#This Row],[MEMBRANA CIELO]])</f>
        <v>0</v>
      </c>
      <c r="CM658" s="3">
        <f>+IF(AVANCE[[#This Row],[LIMPIEZA FINAL]]=AZ$2,100%,AVANCE[[#This Row],[LIMPIEZA FINAL]])</f>
        <v>0</v>
      </c>
      <c r="CN658" s="3">
        <f>+IF(AVANCE[[#This Row],[PUERTAS DORMITORIO]]=BA$2,100%,AVANCE[[#This Row],[PUERTAS DORMITORIO]])</f>
        <v>0</v>
      </c>
      <c r="CO658" s="3">
        <f>+IF(AVANCE[[#This Row],[REVESTIMIENTO INTERIOR BANO]]=BB$2,100%,AVANCE[[#This Row],[REVESTIMIENTO INTERIOR BANO]])</f>
        <v>0</v>
      </c>
      <c r="CP658" s="3">
        <f>+IF(AVANCE[[#This Row],[MUEBLE LAVAPLATOS]]=BC$2,100%,AVANCE[[#This Row],[MUEBLE LAVAPLATOS]])</f>
        <v>0</v>
      </c>
      <c r="CQ658" s="3">
        <f>+IF(AVANCE[[#This Row],[IMPERMEABILIZACION BANO - COCINA LOGIA]]=BD$2,100%,AVANCE[[#This Row],[IMPERMEABILIZACION BANO - COCINA LOGIA]])</f>
        <v>0</v>
      </c>
      <c r="CR658" s="40">
        <f ca="1">+IF(AVANCE[[#This Row],[ESTADO MODULO]]="PENDIENTE",(TODAY()-AVANCE[[#This Row],[FECHA TERMINO  PLANIFICADO]]),0)</f>
        <v>0</v>
      </c>
      <c r="CS658" s="42" t="str" cm="1">
        <f t="array" ref="CS658">_xlfn.TEXTJOIN(" | ",TRUE,IF(SUMPRODUCT((BF658:CQ658&lt;1)*(PARTIDAS!$I$2:$AT$2="OBRA GRUESA"))&gt;0,"OBRA GRUESA: "&amp;_xlfn.TEXTJOIN(", ",TRUE,IF((BF658:CQ658&lt;1)*(PARTIDAS!$I$2:$AT$2="OBRA GRUESA"),PARTIDAS!$I$1:$AT$1,"")),""),IF(SUMPRODUCT((BF658:CQ658&lt;1)*(PARTIDAS!$I$2:$AT$2="SANITARIOS"))&gt;0,"SANITARIOS: "&amp;_xlfn.TEXTJOIN(", ",TRUE,IF((BF658:CQ658&lt;1)*(PARTIDAS!$I$2:$AT$2="SANITARIOS"),PARTIDAS!$I$1:$AT$1,"")),""),IF(SUMPRODUCT((BF658:CQ658&lt;1)*(PARTIDAS!$I$2:$AT$2="ELÉCTRICO"))&gt;0,"ELÉCTRICO: "&amp;_xlfn.TEXTJOIN(", ",TRUE,IF((BF658:CQ658&lt;1)*(PARTIDAS!$I$2:$AT$2="ELÉCTRICO"),PARTIDAS!$I$1:$AT$1,"")),""),IF(SUMPRODUCT((BF658:CQ658&lt;1)*(PARTIDAS!$I$2:$AT$2="TERMINACIONES"))&gt;0,"TERMINACIONES: "&amp;_xlfn.TEXTJOIN(", ",TRUE,IF((BF658:CQ658&lt;1)*(PARTIDAS!$I$2:$AT$2="TERMINACIONES"),PARTIDAS!$I$1:$AT$1,"")),""))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8" s="45" t="str" cm="1">
        <f t="array" ref="CT658">_xlfn.TEXTJOIN(", ",TRUE,IF(SUMPRODUCT((BF658:CQ658&lt;1)*(PARTIDAS!$I$2:$AT$2="OBRA GRUESA"))&gt;0,"OBRA GRUESA",""),IF(SUMPRODUCT((BF658:CQ658&lt;1)*(PARTIDAS!$I$2:$AT$2="SANITARIOS"))&gt;0,"SANITARIOS",""),IF(SUMPRODUCT((BF658:CQ658&lt;1)*(PARTIDAS!$I$2:$AT$2="ELÉCTRICO"))&gt;0,"ELÉCTRICO",""),IF(SUMPRODUCT((BF658:CQ658&lt;1)*(PARTIDAS!$I$2:$AT$2="TERMINACIONES"))&gt;0,"TERMINACIONES",""))</f>
        <v>OBRA GRUESA, SANITARIOS, ELÉCTRICO, TERMINACIONES</v>
      </c>
      <c r="CU658" s="46" cm="1">
        <f t="array" ref="CU658">SUMPRODUCT(--(BF658:CQ658&lt;1))</f>
        <v>38</v>
      </c>
    </row>
    <row r="659" spans="1:99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46181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 s="3" t="str">
        <f>+IF(AVANCE[[#This Row],[% AVANCE]]=100%,"MODULO TERMINADO",IF(AVANCE[[#This Row],[FECHA INICIO REAL]]="","MODULO NO INICIADO","PENDIENTE"))</f>
        <v>MODULO NO INICIADO</v>
      </c>
      <c r="BF659" s="3">
        <f>+IF(AVANCE[[#This Row],[VENTANAS]]=8.10810810810811%,100%,AVANCE[[#This Row],[VENTANAS]])</f>
        <v>0</v>
      </c>
      <c r="BG659" s="3">
        <f>+IF(AVANCE[[#This Row],[PISO]]=N$2,100%,AVANCE[[#This Row],[PISO]])</f>
        <v>0</v>
      </c>
      <c r="BH659" s="3">
        <f>+IF(AVANCE[[#This Row],[TABIQUES]]=O$2,100%,AVANCE[[#This Row],[TABIQUES]])</f>
        <v>0</v>
      </c>
      <c r="BI659" s="3">
        <f>+IF(AVANCE[[#This Row],[MUROS]]=P$2,100%,AVANCE[[#This Row],[MUROS]])</f>
        <v>0</v>
      </c>
      <c r="BJ659" s="3">
        <f>+IF(AVANCE[[#This Row],[CIELO]]=Q$2,100%,AVANCE[[#This Row],[CIELO]])</f>
        <v>0</v>
      </c>
      <c r="BK659" s="3">
        <f>+IF(AVANCE[[#This Row],[BALCÓN]]=R$2,100%,AVANCE[[#This Row],[BALCÓN]])</f>
        <v>0</v>
      </c>
      <c r="BL659" s="3">
        <f>+IF(AVANCE[[#This Row],[RED ALCANTARILLADO]]=U$2,100%,AVANCE[[#This Row],[RED ALCANTARILLADO]])</f>
        <v>0</v>
      </c>
      <c r="BM659" s="3">
        <f>+IF(AVANCE[[#This Row],[RED DE AGUA]]=V$2,100%,AVANCE[[#This Row],[RED DE AGUA]])</f>
        <v>0</v>
      </c>
      <c r="BN659" s="3">
        <f>+IF(AVANCE[[#This Row],[VENTILACIONES]]=W$2,100%,AVANCE[[#This Row],[VENTILACIONES]])</f>
        <v>0</v>
      </c>
      <c r="BO659" s="3">
        <f>+IF(AVANCE[[#This Row],[TINA]]=X$2,100%,AVANCE[[#This Row],[TINA]])</f>
        <v>0</v>
      </c>
      <c r="BP659" s="3">
        <f>+IF(AVANCE[[#This Row],[WC]]=Y$2,100%,AVANCE[[#This Row],[WC]])</f>
        <v>0</v>
      </c>
      <c r="BQ659" s="3">
        <f>+IF(AVANCE[[#This Row],[LAVAMANOS / LAVAPLATOS / LAVADERO]]=Z$2,100%,AVANCE[[#This Row],[LAVAMANOS / LAVAPLATOS / LAVADERO]])</f>
        <v>0</v>
      </c>
      <c r="BR659" s="3">
        <f>+IF(AVANCE[[#This Row],[CANALIZACIÓN]]=AC$2,100%,AVANCE[[#This Row],[CANALIZACIÓN]])</f>
        <v>0</v>
      </c>
      <c r="BS659" s="3">
        <f>+IF(AVANCE[[#This Row],[CABLEADO]]=AD$2,100%,AVANCE[[#This Row],[CABLEADO]])</f>
        <v>0</v>
      </c>
      <c r="BT659" s="3">
        <f>+IF(AVANCE[[#This Row],[ARTEFACTOS]]=AE$2,100%,AVANCE[[#This Row],[ARTEFACTOS]])</f>
        <v>0</v>
      </c>
      <c r="BU659" s="3">
        <f>+IF(AVANCE[[#This Row],[TABLERO]]=AF$2,100%,AVANCE[[#This Row],[TABLERO]])</f>
        <v>0</v>
      </c>
      <c r="BV659" s="3">
        <f>+IF(AVANCE[[#This Row],[CAJA PAU]]=AG$2,100%,AVANCE[[#This Row],[CAJA PAU]])</f>
        <v>0</v>
      </c>
      <c r="BW659" s="3">
        <f>+IF(AVANCE[[#This Row],[INSTALACION VINILICO]]=AJ$2,100%,AVANCE[[#This Row],[INSTALACION VINILICO]])</f>
        <v>0</v>
      </c>
      <c r="BX659" s="3">
        <f>+IF(AVANCE[[#This Row],[OSB CUBIERTA]]=AK$2,100%,AVANCE[[#This Row],[OSB CUBIERTA]])</f>
        <v>0</v>
      </c>
      <c r="BY659" s="3">
        <f>+IF(AVANCE[[#This Row],[BARANDA BALCON]]=AL$2,100%,AVANCE[[#This Row],[BARANDA BALCON]])</f>
        <v>0</v>
      </c>
      <c r="BZ659" s="3">
        <f>+IF(AVANCE[[#This Row],[OSB EXTERIOR]]=AM$2,100%,AVANCE[[#This Row],[OSB EXTERIOR]])</f>
        <v>0</v>
      </c>
      <c r="CA659" s="3">
        <f>+IF(AVANCE[[#This Row],[SMART PANEL]]=AN$2,100%,AVANCE[[#This Row],[SMART PANEL]])</f>
        <v>0</v>
      </c>
      <c r="CB659" s="3">
        <f>+IF(AVANCE[[#This Row],[PINTURA EXTERIOR]]=AO$2,100%,AVANCE[[#This Row],[PINTURA EXTERIOR]])</f>
        <v>0</v>
      </c>
      <c r="CC659" s="3">
        <f>+IF(AVANCE[[#This Row],[ZOCALOS LOGIA]]=AP$2,100%,AVANCE[[#This Row],[ZOCALOS LOGIA]])</f>
        <v>0</v>
      </c>
      <c r="CD659" s="3">
        <f>+IF(AVANCE[[#This Row],[MOLDURAS]]=AQ$2,100%,AVANCE[[#This Row],[MOLDURAS]])</f>
        <v>0</v>
      </c>
      <c r="CE659" s="3">
        <f>+IF(AVANCE[[#This Row],[PILASTREO]]=AR$2,100%,AVANCE[[#This Row],[PILASTREO]])</f>
        <v>0</v>
      </c>
      <c r="CF659" s="3">
        <f>+IF(AVANCE[[#This Row],[CELOSIAS]]=AS$2,100%,AVANCE[[#This Row],[CELOSIAS]])</f>
        <v>0</v>
      </c>
      <c r="CG659" s="3">
        <f>+IF(AVANCE[[#This Row],[VENTANAS]]=AT$2,100%,AVANCE[[#This Row],[VENTANAS]])</f>
        <v>0</v>
      </c>
      <c r="CH659" s="3">
        <f>+IF(AVANCE[[#This Row],[PUERTAS ACCESO - LOGIA - BANO]]=AU$2,100%,AVANCE[[#This Row],[PUERTAS ACCESO - LOGIA - BANO]])</f>
        <v>0</v>
      </c>
      <c r="CI659" s="3">
        <f>+IF(AVANCE[[#This Row],[CERRADURAS]]=AV$2,100%,AVANCE[[#This Row],[CERRADURAS]])</f>
        <v>0</v>
      </c>
      <c r="CJ659" s="3">
        <f>+IF(AVANCE[[#This Row],[REVESTIMIENTO INTERIOR ZONA SECA]]=AW$2,100%,AVANCE[[#This Row],[REVESTIMIENTO INTERIOR ZONA SECA]])</f>
        <v>0</v>
      </c>
      <c r="CK659" s="3">
        <f>+IF(AVANCE[[#This Row],[REVESTIMIENTO INTERIOR ZONAS HUMEDAS]]=AX$2,100%,AVANCE[[#This Row],[REVESTIMIENTO INTERIOR ZONAS HUMEDAS]])</f>
        <v>0</v>
      </c>
      <c r="CL659" s="3">
        <f>+IF(AVANCE[[#This Row],[MEMBRANA CIELO]]=AY$2,100%,AVANCE[[#This Row],[MEMBRANA CIELO]])</f>
        <v>0</v>
      </c>
      <c r="CM659" s="3">
        <f>+IF(AVANCE[[#This Row],[LIMPIEZA FINAL]]=AZ$2,100%,AVANCE[[#This Row],[LIMPIEZA FINAL]])</f>
        <v>0</v>
      </c>
      <c r="CN659" s="3">
        <f>+IF(AVANCE[[#This Row],[PUERTAS DORMITORIO]]=BA$2,100%,AVANCE[[#This Row],[PUERTAS DORMITORIO]])</f>
        <v>0</v>
      </c>
      <c r="CO659" s="3">
        <f>+IF(AVANCE[[#This Row],[REVESTIMIENTO INTERIOR BANO]]=BB$2,100%,AVANCE[[#This Row],[REVESTIMIENTO INTERIOR BANO]])</f>
        <v>0</v>
      </c>
      <c r="CP659" s="3">
        <f>+IF(AVANCE[[#This Row],[MUEBLE LAVAPLATOS]]=BC$2,100%,AVANCE[[#This Row],[MUEBLE LAVAPLATOS]])</f>
        <v>0</v>
      </c>
      <c r="CQ659" s="3">
        <f>+IF(AVANCE[[#This Row],[IMPERMEABILIZACION BANO - COCINA LOGIA]]=BD$2,100%,AVANCE[[#This Row],[IMPERMEABILIZACION BANO - COCINA LOGIA]])</f>
        <v>0</v>
      </c>
      <c r="CR659" s="40">
        <f ca="1">+IF(AVANCE[[#This Row],[ESTADO MODULO]]="PENDIENTE",(TODAY()-AVANCE[[#This Row],[FECHA TERMINO  PLANIFICADO]]),0)</f>
        <v>0</v>
      </c>
      <c r="CS659" s="42" t="str" cm="1">
        <f t="array" ref="CS659">_xlfn.TEXTJOIN(" | ",TRUE,IF(SUMPRODUCT((BF659:CQ659&lt;1)*(PARTIDAS!$I$2:$AT$2="OBRA GRUESA"))&gt;0,"OBRA GRUESA: "&amp;_xlfn.TEXTJOIN(", ",TRUE,IF((BF659:CQ659&lt;1)*(PARTIDAS!$I$2:$AT$2="OBRA GRUESA"),PARTIDAS!$I$1:$AT$1,"")),""),IF(SUMPRODUCT((BF659:CQ659&lt;1)*(PARTIDAS!$I$2:$AT$2="SANITARIOS"))&gt;0,"SANITARIOS: "&amp;_xlfn.TEXTJOIN(", ",TRUE,IF((BF659:CQ659&lt;1)*(PARTIDAS!$I$2:$AT$2="SANITARIOS"),PARTIDAS!$I$1:$AT$1,"")),""),IF(SUMPRODUCT((BF659:CQ659&lt;1)*(PARTIDAS!$I$2:$AT$2="ELÉCTRICO"))&gt;0,"ELÉCTRICO: "&amp;_xlfn.TEXTJOIN(", ",TRUE,IF((BF659:CQ659&lt;1)*(PARTIDAS!$I$2:$AT$2="ELÉCTRICO"),PARTIDAS!$I$1:$AT$1,"")),""),IF(SUMPRODUCT((BF659:CQ659&lt;1)*(PARTIDAS!$I$2:$AT$2="TERMINACIONES"))&gt;0,"TERMINACIONES: "&amp;_xlfn.TEXTJOIN(", ",TRUE,IF((BF659:CQ659&lt;1)*(PARTIDAS!$I$2:$AT$2="TERMINACIONES"),PARTIDAS!$I$1:$AT$1,"")),""))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59" s="45" t="str" cm="1">
        <f t="array" ref="CT659">_xlfn.TEXTJOIN(", ",TRUE,IF(SUMPRODUCT((BF659:CQ659&lt;1)*(PARTIDAS!$I$2:$AT$2="OBRA GRUESA"))&gt;0,"OBRA GRUESA",""),IF(SUMPRODUCT((BF659:CQ659&lt;1)*(PARTIDAS!$I$2:$AT$2="SANITARIOS"))&gt;0,"SANITARIOS",""),IF(SUMPRODUCT((BF659:CQ659&lt;1)*(PARTIDAS!$I$2:$AT$2="ELÉCTRICO"))&gt;0,"ELÉCTRICO",""),IF(SUMPRODUCT((BF659:CQ659&lt;1)*(PARTIDAS!$I$2:$AT$2="TERMINACIONES"))&gt;0,"TERMINACIONES",""))</f>
        <v>OBRA GRUESA, SANITARIOS, ELÉCTRICO, TERMINACIONES</v>
      </c>
      <c r="CU659" s="46" cm="1">
        <f t="array" ref="CU659">SUMPRODUCT(--(BF659:CQ659&lt;1))</f>
        <v>38</v>
      </c>
    </row>
    <row r="660" spans="1:99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46181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 s="3" t="str">
        <f>+IF(AVANCE[[#This Row],[% AVANCE]]=100%,"MODULO TERMINADO",IF(AVANCE[[#This Row],[FECHA INICIO REAL]]="","MODULO NO INICIADO","PENDIENTE"))</f>
        <v>MODULO NO INICIADO</v>
      </c>
      <c r="BF660" s="3">
        <f>+IF(AVANCE[[#This Row],[VENTANAS]]=8.10810810810811%,100%,AVANCE[[#This Row],[VENTANAS]])</f>
        <v>0</v>
      </c>
      <c r="BG660" s="3">
        <f>+IF(AVANCE[[#This Row],[PISO]]=N$2,100%,AVANCE[[#This Row],[PISO]])</f>
        <v>0</v>
      </c>
      <c r="BH660" s="3">
        <f>+IF(AVANCE[[#This Row],[TABIQUES]]=O$2,100%,AVANCE[[#This Row],[TABIQUES]])</f>
        <v>0</v>
      </c>
      <c r="BI660" s="3">
        <f>+IF(AVANCE[[#This Row],[MUROS]]=P$2,100%,AVANCE[[#This Row],[MUROS]])</f>
        <v>0</v>
      </c>
      <c r="BJ660" s="3">
        <f>+IF(AVANCE[[#This Row],[CIELO]]=Q$2,100%,AVANCE[[#This Row],[CIELO]])</f>
        <v>0</v>
      </c>
      <c r="BK660" s="3">
        <f>+IF(AVANCE[[#This Row],[BALCÓN]]=R$2,100%,AVANCE[[#This Row],[BALCÓN]])</f>
        <v>0</v>
      </c>
      <c r="BL660" s="3">
        <f>+IF(AVANCE[[#This Row],[RED ALCANTARILLADO]]=U$2,100%,AVANCE[[#This Row],[RED ALCANTARILLADO]])</f>
        <v>0</v>
      </c>
      <c r="BM660" s="3">
        <f>+IF(AVANCE[[#This Row],[RED DE AGUA]]=V$2,100%,AVANCE[[#This Row],[RED DE AGUA]])</f>
        <v>0</v>
      </c>
      <c r="BN660" s="3">
        <f>+IF(AVANCE[[#This Row],[VENTILACIONES]]=W$2,100%,AVANCE[[#This Row],[VENTILACIONES]])</f>
        <v>0</v>
      </c>
      <c r="BO660" s="3">
        <f>+IF(AVANCE[[#This Row],[TINA]]=X$2,100%,AVANCE[[#This Row],[TINA]])</f>
        <v>0</v>
      </c>
      <c r="BP660" s="3">
        <f>+IF(AVANCE[[#This Row],[WC]]=Y$2,100%,AVANCE[[#This Row],[WC]])</f>
        <v>0</v>
      </c>
      <c r="BQ660" s="3">
        <f>+IF(AVANCE[[#This Row],[LAVAMANOS / LAVAPLATOS / LAVADERO]]=Z$2,100%,AVANCE[[#This Row],[LAVAMANOS / LAVAPLATOS / LAVADERO]])</f>
        <v>0</v>
      </c>
      <c r="BR660" s="3">
        <f>+IF(AVANCE[[#This Row],[CANALIZACIÓN]]=AC$2,100%,AVANCE[[#This Row],[CANALIZACIÓN]])</f>
        <v>0</v>
      </c>
      <c r="BS660" s="3">
        <f>+IF(AVANCE[[#This Row],[CABLEADO]]=AD$2,100%,AVANCE[[#This Row],[CABLEADO]])</f>
        <v>0</v>
      </c>
      <c r="BT660" s="3">
        <f>+IF(AVANCE[[#This Row],[ARTEFACTOS]]=AE$2,100%,AVANCE[[#This Row],[ARTEFACTOS]])</f>
        <v>0</v>
      </c>
      <c r="BU660" s="3">
        <f>+IF(AVANCE[[#This Row],[TABLERO]]=AF$2,100%,AVANCE[[#This Row],[TABLERO]])</f>
        <v>0</v>
      </c>
      <c r="BV660" s="3">
        <f>+IF(AVANCE[[#This Row],[CAJA PAU]]=AG$2,100%,AVANCE[[#This Row],[CAJA PAU]])</f>
        <v>0</v>
      </c>
      <c r="BW660" s="3">
        <f>+IF(AVANCE[[#This Row],[INSTALACION VINILICO]]=AJ$2,100%,AVANCE[[#This Row],[INSTALACION VINILICO]])</f>
        <v>0</v>
      </c>
      <c r="BX660" s="3">
        <f>+IF(AVANCE[[#This Row],[OSB CUBIERTA]]=AK$2,100%,AVANCE[[#This Row],[OSB CUBIERTA]])</f>
        <v>0</v>
      </c>
      <c r="BY660" s="3">
        <f>+IF(AVANCE[[#This Row],[BARANDA BALCON]]=AL$2,100%,AVANCE[[#This Row],[BARANDA BALCON]])</f>
        <v>0</v>
      </c>
      <c r="BZ660" s="3">
        <f>+IF(AVANCE[[#This Row],[OSB EXTERIOR]]=AM$2,100%,AVANCE[[#This Row],[OSB EXTERIOR]])</f>
        <v>0</v>
      </c>
      <c r="CA660" s="3">
        <f>+IF(AVANCE[[#This Row],[SMART PANEL]]=AN$2,100%,AVANCE[[#This Row],[SMART PANEL]])</f>
        <v>0</v>
      </c>
      <c r="CB660" s="3">
        <f>+IF(AVANCE[[#This Row],[PINTURA EXTERIOR]]=AO$2,100%,AVANCE[[#This Row],[PINTURA EXTERIOR]])</f>
        <v>0</v>
      </c>
      <c r="CC660" s="3">
        <f>+IF(AVANCE[[#This Row],[ZOCALOS LOGIA]]=AP$2,100%,AVANCE[[#This Row],[ZOCALOS LOGIA]])</f>
        <v>0</v>
      </c>
      <c r="CD660" s="3">
        <f>+IF(AVANCE[[#This Row],[MOLDURAS]]=AQ$2,100%,AVANCE[[#This Row],[MOLDURAS]])</f>
        <v>0</v>
      </c>
      <c r="CE660" s="3">
        <f>+IF(AVANCE[[#This Row],[PILASTREO]]=AR$2,100%,AVANCE[[#This Row],[PILASTREO]])</f>
        <v>0</v>
      </c>
      <c r="CF660" s="3">
        <f>+IF(AVANCE[[#This Row],[CELOSIAS]]=AS$2,100%,AVANCE[[#This Row],[CELOSIAS]])</f>
        <v>0</v>
      </c>
      <c r="CG660" s="3">
        <f>+IF(AVANCE[[#This Row],[VENTANAS]]=AT$2,100%,AVANCE[[#This Row],[VENTANAS]])</f>
        <v>0</v>
      </c>
      <c r="CH660" s="3">
        <f>+IF(AVANCE[[#This Row],[PUERTAS ACCESO - LOGIA - BANO]]=AU$2,100%,AVANCE[[#This Row],[PUERTAS ACCESO - LOGIA - BANO]])</f>
        <v>0</v>
      </c>
      <c r="CI660" s="3">
        <f>+IF(AVANCE[[#This Row],[CERRADURAS]]=AV$2,100%,AVANCE[[#This Row],[CERRADURAS]])</f>
        <v>0</v>
      </c>
      <c r="CJ660" s="3">
        <f>+IF(AVANCE[[#This Row],[REVESTIMIENTO INTERIOR ZONA SECA]]=AW$2,100%,AVANCE[[#This Row],[REVESTIMIENTO INTERIOR ZONA SECA]])</f>
        <v>0</v>
      </c>
      <c r="CK660" s="3">
        <f>+IF(AVANCE[[#This Row],[REVESTIMIENTO INTERIOR ZONAS HUMEDAS]]=AX$2,100%,AVANCE[[#This Row],[REVESTIMIENTO INTERIOR ZONAS HUMEDAS]])</f>
        <v>0</v>
      </c>
      <c r="CL660" s="3">
        <f>+IF(AVANCE[[#This Row],[MEMBRANA CIELO]]=AY$2,100%,AVANCE[[#This Row],[MEMBRANA CIELO]])</f>
        <v>0</v>
      </c>
      <c r="CM660" s="3">
        <f>+IF(AVANCE[[#This Row],[LIMPIEZA FINAL]]=AZ$2,100%,AVANCE[[#This Row],[LIMPIEZA FINAL]])</f>
        <v>0</v>
      </c>
      <c r="CN660" s="3">
        <f>+IF(AVANCE[[#This Row],[PUERTAS DORMITORIO]]=BA$2,100%,AVANCE[[#This Row],[PUERTAS DORMITORIO]])</f>
        <v>0</v>
      </c>
      <c r="CO660" s="3">
        <f>+IF(AVANCE[[#This Row],[REVESTIMIENTO INTERIOR BANO]]=BB$2,100%,AVANCE[[#This Row],[REVESTIMIENTO INTERIOR BANO]])</f>
        <v>0</v>
      </c>
      <c r="CP660" s="3">
        <f>+IF(AVANCE[[#This Row],[MUEBLE LAVAPLATOS]]=BC$2,100%,AVANCE[[#This Row],[MUEBLE LAVAPLATOS]])</f>
        <v>0</v>
      </c>
      <c r="CQ660" s="3">
        <f>+IF(AVANCE[[#This Row],[IMPERMEABILIZACION BANO - COCINA LOGIA]]=BD$2,100%,AVANCE[[#This Row],[IMPERMEABILIZACION BANO - COCINA LOGIA]])</f>
        <v>0</v>
      </c>
      <c r="CR660" s="40">
        <f ca="1">+IF(AVANCE[[#This Row],[ESTADO MODULO]]="PENDIENTE",(TODAY()-AVANCE[[#This Row],[FECHA TERMINO  PLANIFICADO]]),0)</f>
        <v>0</v>
      </c>
      <c r="CS660" s="42" t="str" cm="1">
        <f t="array" ref="CS660">_xlfn.TEXTJOIN(" | ",TRUE,IF(SUMPRODUCT((BF660:CQ660&lt;1)*(PARTIDAS!$I$2:$AT$2="OBRA GRUESA"))&gt;0,"OBRA GRUESA: "&amp;_xlfn.TEXTJOIN(", ",TRUE,IF((BF660:CQ660&lt;1)*(PARTIDAS!$I$2:$AT$2="OBRA GRUESA"),PARTIDAS!$I$1:$AT$1,"")),""),IF(SUMPRODUCT((BF660:CQ660&lt;1)*(PARTIDAS!$I$2:$AT$2="SANITARIOS"))&gt;0,"SANITARIOS: "&amp;_xlfn.TEXTJOIN(", ",TRUE,IF((BF660:CQ660&lt;1)*(PARTIDAS!$I$2:$AT$2="SANITARIOS"),PARTIDAS!$I$1:$AT$1,"")),""),IF(SUMPRODUCT((BF660:CQ660&lt;1)*(PARTIDAS!$I$2:$AT$2="ELÉCTRICO"))&gt;0,"ELÉCTRICO: "&amp;_xlfn.TEXTJOIN(", ",TRUE,IF((BF660:CQ660&lt;1)*(PARTIDAS!$I$2:$AT$2="ELÉCTRICO"),PARTIDAS!$I$1:$AT$1,"")),""),IF(SUMPRODUCT((BF660:CQ660&lt;1)*(PARTIDAS!$I$2:$AT$2="TERMINACIONES"))&gt;0,"TERMINACIONES: "&amp;_xlfn.TEXTJOIN(", ",TRUE,IF((BF660:CQ660&lt;1)*(PARTIDAS!$I$2:$AT$2="TERMINACIONES"),PARTIDAS!$I$1:$AT$1,"")),""))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0" s="45" t="str" cm="1">
        <f t="array" ref="CT660">_xlfn.TEXTJOIN(", ",TRUE,IF(SUMPRODUCT((BF660:CQ660&lt;1)*(PARTIDAS!$I$2:$AT$2="OBRA GRUESA"))&gt;0,"OBRA GRUESA",""),IF(SUMPRODUCT((BF660:CQ660&lt;1)*(PARTIDAS!$I$2:$AT$2="SANITARIOS"))&gt;0,"SANITARIOS",""),IF(SUMPRODUCT((BF660:CQ660&lt;1)*(PARTIDAS!$I$2:$AT$2="ELÉCTRICO"))&gt;0,"ELÉCTRICO",""),IF(SUMPRODUCT((BF660:CQ660&lt;1)*(PARTIDAS!$I$2:$AT$2="TERMINACIONES"))&gt;0,"TERMINACIONES",""))</f>
        <v>OBRA GRUESA, SANITARIOS, ELÉCTRICO, TERMINACIONES</v>
      </c>
      <c r="CU660" s="46" cm="1">
        <f t="array" ref="CU660">SUMPRODUCT(--(BF660:CQ660&lt;1))</f>
        <v>38</v>
      </c>
    </row>
    <row r="661" spans="1:99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46181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 s="3" t="str">
        <f>+IF(AVANCE[[#This Row],[% AVANCE]]=100%,"MODULO TERMINADO",IF(AVANCE[[#This Row],[FECHA INICIO REAL]]="","MODULO NO INICIADO","PENDIENTE"))</f>
        <v>MODULO NO INICIADO</v>
      </c>
      <c r="BF661" s="3">
        <f>+IF(AVANCE[[#This Row],[VENTANAS]]=8.10810810810811%,100%,AVANCE[[#This Row],[VENTANAS]])</f>
        <v>0</v>
      </c>
      <c r="BG661" s="3">
        <f>+IF(AVANCE[[#This Row],[PISO]]=N$2,100%,AVANCE[[#This Row],[PISO]])</f>
        <v>0</v>
      </c>
      <c r="BH661" s="3">
        <f>+IF(AVANCE[[#This Row],[TABIQUES]]=O$2,100%,AVANCE[[#This Row],[TABIQUES]])</f>
        <v>0</v>
      </c>
      <c r="BI661" s="3">
        <f>+IF(AVANCE[[#This Row],[MUROS]]=P$2,100%,AVANCE[[#This Row],[MUROS]])</f>
        <v>0</v>
      </c>
      <c r="BJ661" s="3">
        <f>+IF(AVANCE[[#This Row],[CIELO]]=Q$2,100%,AVANCE[[#This Row],[CIELO]])</f>
        <v>0</v>
      </c>
      <c r="BK661" s="3">
        <f>+IF(AVANCE[[#This Row],[BALCÓN]]=R$2,100%,AVANCE[[#This Row],[BALCÓN]])</f>
        <v>0</v>
      </c>
      <c r="BL661" s="3">
        <f>+IF(AVANCE[[#This Row],[RED ALCANTARILLADO]]=U$2,100%,AVANCE[[#This Row],[RED ALCANTARILLADO]])</f>
        <v>0</v>
      </c>
      <c r="BM661" s="3">
        <f>+IF(AVANCE[[#This Row],[RED DE AGUA]]=V$2,100%,AVANCE[[#This Row],[RED DE AGUA]])</f>
        <v>0</v>
      </c>
      <c r="BN661" s="3">
        <f>+IF(AVANCE[[#This Row],[VENTILACIONES]]=W$2,100%,AVANCE[[#This Row],[VENTILACIONES]])</f>
        <v>0</v>
      </c>
      <c r="BO661" s="3">
        <f>+IF(AVANCE[[#This Row],[TINA]]=X$2,100%,AVANCE[[#This Row],[TINA]])</f>
        <v>0</v>
      </c>
      <c r="BP661" s="3">
        <f>+IF(AVANCE[[#This Row],[WC]]=Y$2,100%,AVANCE[[#This Row],[WC]])</f>
        <v>0</v>
      </c>
      <c r="BQ661" s="3">
        <f>+IF(AVANCE[[#This Row],[LAVAMANOS / LAVAPLATOS / LAVADERO]]=Z$2,100%,AVANCE[[#This Row],[LAVAMANOS / LAVAPLATOS / LAVADERO]])</f>
        <v>0</v>
      </c>
      <c r="BR661" s="3">
        <f>+IF(AVANCE[[#This Row],[CANALIZACIÓN]]=AC$2,100%,AVANCE[[#This Row],[CANALIZACIÓN]])</f>
        <v>0</v>
      </c>
      <c r="BS661" s="3">
        <f>+IF(AVANCE[[#This Row],[CABLEADO]]=AD$2,100%,AVANCE[[#This Row],[CABLEADO]])</f>
        <v>0</v>
      </c>
      <c r="BT661" s="3">
        <f>+IF(AVANCE[[#This Row],[ARTEFACTOS]]=AE$2,100%,AVANCE[[#This Row],[ARTEFACTOS]])</f>
        <v>0</v>
      </c>
      <c r="BU661" s="3">
        <f>+IF(AVANCE[[#This Row],[TABLERO]]=AF$2,100%,AVANCE[[#This Row],[TABLERO]])</f>
        <v>0</v>
      </c>
      <c r="BV661" s="3">
        <f>+IF(AVANCE[[#This Row],[CAJA PAU]]=AG$2,100%,AVANCE[[#This Row],[CAJA PAU]])</f>
        <v>0</v>
      </c>
      <c r="BW661" s="3">
        <f>+IF(AVANCE[[#This Row],[INSTALACION VINILICO]]=AJ$2,100%,AVANCE[[#This Row],[INSTALACION VINILICO]])</f>
        <v>0</v>
      </c>
      <c r="BX661" s="3">
        <f>+IF(AVANCE[[#This Row],[OSB CUBIERTA]]=AK$2,100%,AVANCE[[#This Row],[OSB CUBIERTA]])</f>
        <v>0</v>
      </c>
      <c r="BY661" s="3">
        <f>+IF(AVANCE[[#This Row],[BARANDA BALCON]]=AL$2,100%,AVANCE[[#This Row],[BARANDA BALCON]])</f>
        <v>0</v>
      </c>
      <c r="BZ661" s="3">
        <f>+IF(AVANCE[[#This Row],[OSB EXTERIOR]]=AM$2,100%,AVANCE[[#This Row],[OSB EXTERIOR]])</f>
        <v>0</v>
      </c>
      <c r="CA661" s="3">
        <f>+IF(AVANCE[[#This Row],[SMART PANEL]]=AN$2,100%,AVANCE[[#This Row],[SMART PANEL]])</f>
        <v>0</v>
      </c>
      <c r="CB661" s="3">
        <f>+IF(AVANCE[[#This Row],[PINTURA EXTERIOR]]=AO$2,100%,AVANCE[[#This Row],[PINTURA EXTERIOR]])</f>
        <v>0</v>
      </c>
      <c r="CC661" s="3">
        <f>+IF(AVANCE[[#This Row],[ZOCALOS LOGIA]]=AP$2,100%,AVANCE[[#This Row],[ZOCALOS LOGIA]])</f>
        <v>0</v>
      </c>
      <c r="CD661" s="3">
        <f>+IF(AVANCE[[#This Row],[MOLDURAS]]=AQ$2,100%,AVANCE[[#This Row],[MOLDURAS]])</f>
        <v>0</v>
      </c>
      <c r="CE661" s="3">
        <f>+IF(AVANCE[[#This Row],[PILASTREO]]=AR$2,100%,AVANCE[[#This Row],[PILASTREO]])</f>
        <v>0</v>
      </c>
      <c r="CF661" s="3">
        <f>+IF(AVANCE[[#This Row],[CELOSIAS]]=AS$2,100%,AVANCE[[#This Row],[CELOSIAS]])</f>
        <v>0</v>
      </c>
      <c r="CG661" s="3">
        <f>+IF(AVANCE[[#This Row],[VENTANAS]]=AT$2,100%,AVANCE[[#This Row],[VENTANAS]])</f>
        <v>0</v>
      </c>
      <c r="CH661" s="3">
        <f>+IF(AVANCE[[#This Row],[PUERTAS ACCESO - LOGIA - BANO]]=AU$2,100%,AVANCE[[#This Row],[PUERTAS ACCESO - LOGIA - BANO]])</f>
        <v>0</v>
      </c>
      <c r="CI661" s="3">
        <f>+IF(AVANCE[[#This Row],[CERRADURAS]]=AV$2,100%,AVANCE[[#This Row],[CERRADURAS]])</f>
        <v>0</v>
      </c>
      <c r="CJ661" s="3">
        <f>+IF(AVANCE[[#This Row],[REVESTIMIENTO INTERIOR ZONA SECA]]=AW$2,100%,AVANCE[[#This Row],[REVESTIMIENTO INTERIOR ZONA SECA]])</f>
        <v>0</v>
      </c>
      <c r="CK661" s="3">
        <f>+IF(AVANCE[[#This Row],[REVESTIMIENTO INTERIOR ZONAS HUMEDAS]]=AX$2,100%,AVANCE[[#This Row],[REVESTIMIENTO INTERIOR ZONAS HUMEDAS]])</f>
        <v>0</v>
      </c>
      <c r="CL661" s="3">
        <f>+IF(AVANCE[[#This Row],[MEMBRANA CIELO]]=AY$2,100%,AVANCE[[#This Row],[MEMBRANA CIELO]])</f>
        <v>0</v>
      </c>
      <c r="CM661" s="3">
        <f>+IF(AVANCE[[#This Row],[LIMPIEZA FINAL]]=AZ$2,100%,AVANCE[[#This Row],[LIMPIEZA FINAL]])</f>
        <v>0</v>
      </c>
      <c r="CN661" s="3">
        <f>+IF(AVANCE[[#This Row],[PUERTAS DORMITORIO]]=BA$2,100%,AVANCE[[#This Row],[PUERTAS DORMITORIO]])</f>
        <v>0</v>
      </c>
      <c r="CO661" s="3">
        <f>+IF(AVANCE[[#This Row],[REVESTIMIENTO INTERIOR BANO]]=BB$2,100%,AVANCE[[#This Row],[REVESTIMIENTO INTERIOR BANO]])</f>
        <v>0</v>
      </c>
      <c r="CP661" s="3">
        <f>+IF(AVANCE[[#This Row],[MUEBLE LAVAPLATOS]]=BC$2,100%,AVANCE[[#This Row],[MUEBLE LAVAPLATOS]])</f>
        <v>0</v>
      </c>
      <c r="CQ661" s="3">
        <f>+IF(AVANCE[[#This Row],[IMPERMEABILIZACION BANO - COCINA LOGIA]]=BD$2,100%,AVANCE[[#This Row],[IMPERMEABILIZACION BANO - COCINA LOGIA]])</f>
        <v>0</v>
      </c>
      <c r="CR661" s="40">
        <f ca="1">+IF(AVANCE[[#This Row],[ESTADO MODULO]]="PENDIENTE",(TODAY()-AVANCE[[#This Row],[FECHA TERMINO  PLANIFICADO]]),0)</f>
        <v>0</v>
      </c>
      <c r="CS661" s="42" t="str" cm="1">
        <f t="array" ref="CS661">_xlfn.TEXTJOIN(" | ",TRUE,IF(SUMPRODUCT((BF661:CQ661&lt;1)*(PARTIDAS!$I$2:$AT$2="OBRA GRUESA"))&gt;0,"OBRA GRUESA: "&amp;_xlfn.TEXTJOIN(", ",TRUE,IF((BF661:CQ661&lt;1)*(PARTIDAS!$I$2:$AT$2="OBRA GRUESA"),PARTIDAS!$I$1:$AT$1,"")),""),IF(SUMPRODUCT((BF661:CQ661&lt;1)*(PARTIDAS!$I$2:$AT$2="SANITARIOS"))&gt;0,"SANITARIOS: "&amp;_xlfn.TEXTJOIN(", ",TRUE,IF((BF661:CQ661&lt;1)*(PARTIDAS!$I$2:$AT$2="SANITARIOS"),PARTIDAS!$I$1:$AT$1,"")),""),IF(SUMPRODUCT((BF661:CQ661&lt;1)*(PARTIDAS!$I$2:$AT$2="ELÉCTRICO"))&gt;0,"ELÉCTRICO: "&amp;_xlfn.TEXTJOIN(", ",TRUE,IF((BF661:CQ661&lt;1)*(PARTIDAS!$I$2:$AT$2="ELÉCTRICO"),PARTIDAS!$I$1:$AT$1,"")),""),IF(SUMPRODUCT((BF661:CQ661&lt;1)*(PARTIDAS!$I$2:$AT$2="TERMINACIONES"))&gt;0,"TERMINACIONES: "&amp;_xlfn.TEXTJOIN(", ",TRUE,IF((BF661:CQ661&lt;1)*(PARTIDAS!$I$2:$AT$2="TERMINACIONES"),PARTIDAS!$I$1:$AT$1,"")),""))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1" s="45" t="str" cm="1">
        <f t="array" ref="CT661">_xlfn.TEXTJOIN(", ",TRUE,IF(SUMPRODUCT((BF661:CQ661&lt;1)*(PARTIDAS!$I$2:$AT$2="OBRA GRUESA"))&gt;0,"OBRA GRUESA",""),IF(SUMPRODUCT((BF661:CQ661&lt;1)*(PARTIDAS!$I$2:$AT$2="SANITARIOS"))&gt;0,"SANITARIOS",""),IF(SUMPRODUCT((BF661:CQ661&lt;1)*(PARTIDAS!$I$2:$AT$2="ELÉCTRICO"))&gt;0,"ELÉCTRICO",""),IF(SUMPRODUCT((BF661:CQ661&lt;1)*(PARTIDAS!$I$2:$AT$2="TERMINACIONES"))&gt;0,"TERMINACIONES",""))</f>
        <v>OBRA GRUESA, SANITARIOS, ELÉCTRICO, TERMINACIONES</v>
      </c>
      <c r="CU661" s="46" cm="1">
        <f t="array" ref="CU661">SUMPRODUCT(--(BF661:CQ661&lt;1))</f>
        <v>38</v>
      </c>
    </row>
    <row r="662" spans="1:99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46181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 s="3" t="str">
        <f>+IF(AVANCE[[#This Row],[% AVANCE]]=100%,"MODULO TERMINADO",IF(AVANCE[[#This Row],[FECHA INICIO REAL]]="","MODULO NO INICIADO","PENDIENTE"))</f>
        <v>MODULO NO INICIADO</v>
      </c>
      <c r="BF662" s="3">
        <f>+IF(AVANCE[[#This Row],[VENTANAS]]=8.10810810810811%,100%,AVANCE[[#This Row],[VENTANAS]])</f>
        <v>0</v>
      </c>
      <c r="BG662" s="3">
        <f>+IF(AVANCE[[#This Row],[PISO]]=N$2,100%,AVANCE[[#This Row],[PISO]])</f>
        <v>0</v>
      </c>
      <c r="BH662" s="3">
        <f>+IF(AVANCE[[#This Row],[TABIQUES]]=O$2,100%,AVANCE[[#This Row],[TABIQUES]])</f>
        <v>0</v>
      </c>
      <c r="BI662" s="3">
        <f>+IF(AVANCE[[#This Row],[MUROS]]=P$2,100%,AVANCE[[#This Row],[MUROS]])</f>
        <v>0</v>
      </c>
      <c r="BJ662" s="3">
        <f>+IF(AVANCE[[#This Row],[CIELO]]=Q$2,100%,AVANCE[[#This Row],[CIELO]])</f>
        <v>0</v>
      </c>
      <c r="BK662" s="3">
        <f>+IF(AVANCE[[#This Row],[BALCÓN]]=R$2,100%,AVANCE[[#This Row],[BALCÓN]])</f>
        <v>0</v>
      </c>
      <c r="BL662" s="3">
        <f>+IF(AVANCE[[#This Row],[RED ALCANTARILLADO]]=U$2,100%,AVANCE[[#This Row],[RED ALCANTARILLADO]])</f>
        <v>0</v>
      </c>
      <c r="BM662" s="3">
        <f>+IF(AVANCE[[#This Row],[RED DE AGUA]]=V$2,100%,AVANCE[[#This Row],[RED DE AGUA]])</f>
        <v>0</v>
      </c>
      <c r="BN662" s="3">
        <f>+IF(AVANCE[[#This Row],[VENTILACIONES]]=W$2,100%,AVANCE[[#This Row],[VENTILACIONES]])</f>
        <v>0</v>
      </c>
      <c r="BO662" s="3">
        <f>+IF(AVANCE[[#This Row],[TINA]]=X$2,100%,AVANCE[[#This Row],[TINA]])</f>
        <v>0</v>
      </c>
      <c r="BP662" s="3">
        <f>+IF(AVANCE[[#This Row],[WC]]=Y$2,100%,AVANCE[[#This Row],[WC]])</f>
        <v>0</v>
      </c>
      <c r="BQ662" s="3">
        <f>+IF(AVANCE[[#This Row],[LAVAMANOS / LAVAPLATOS / LAVADERO]]=Z$2,100%,AVANCE[[#This Row],[LAVAMANOS / LAVAPLATOS / LAVADERO]])</f>
        <v>0</v>
      </c>
      <c r="BR662" s="3">
        <f>+IF(AVANCE[[#This Row],[CANALIZACIÓN]]=AC$2,100%,AVANCE[[#This Row],[CANALIZACIÓN]])</f>
        <v>0</v>
      </c>
      <c r="BS662" s="3">
        <f>+IF(AVANCE[[#This Row],[CABLEADO]]=AD$2,100%,AVANCE[[#This Row],[CABLEADO]])</f>
        <v>0</v>
      </c>
      <c r="BT662" s="3">
        <f>+IF(AVANCE[[#This Row],[ARTEFACTOS]]=AE$2,100%,AVANCE[[#This Row],[ARTEFACTOS]])</f>
        <v>0</v>
      </c>
      <c r="BU662" s="3">
        <f>+IF(AVANCE[[#This Row],[TABLERO]]=AF$2,100%,AVANCE[[#This Row],[TABLERO]])</f>
        <v>0</v>
      </c>
      <c r="BV662" s="3">
        <f>+IF(AVANCE[[#This Row],[CAJA PAU]]=AG$2,100%,AVANCE[[#This Row],[CAJA PAU]])</f>
        <v>0</v>
      </c>
      <c r="BW662" s="3">
        <f>+IF(AVANCE[[#This Row],[INSTALACION VINILICO]]=AJ$2,100%,AVANCE[[#This Row],[INSTALACION VINILICO]])</f>
        <v>0</v>
      </c>
      <c r="BX662" s="3">
        <f>+IF(AVANCE[[#This Row],[OSB CUBIERTA]]=AK$2,100%,AVANCE[[#This Row],[OSB CUBIERTA]])</f>
        <v>0</v>
      </c>
      <c r="BY662" s="3">
        <f>+IF(AVANCE[[#This Row],[BARANDA BALCON]]=AL$2,100%,AVANCE[[#This Row],[BARANDA BALCON]])</f>
        <v>0</v>
      </c>
      <c r="BZ662" s="3">
        <f>+IF(AVANCE[[#This Row],[OSB EXTERIOR]]=AM$2,100%,AVANCE[[#This Row],[OSB EXTERIOR]])</f>
        <v>0</v>
      </c>
      <c r="CA662" s="3">
        <f>+IF(AVANCE[[#This Row],[SMART PANEL]]=AN$2,100%,AVANCE[[#This Row],[SMART PANEL]])</f>
        <v>0</v>
      </c>
      <c r="CB662" s="3">
        <f>+IF(AVANCE[[#This Row],[PINTURA EXTERIOR]]=AO$2,100%,AVANCE[[#This Row],[PINTURA EXTERIOR]])</f>
        <v>0</v>
      </c>
      <c r="CC662" s="3">
        <f>+IF(AVANCE[[#This Row],[ZOCALOS LOGIA]]=AP$2,100%,AVANCE[[#This Row],[ZOCALOS LOGIA]])</f>
        <v>0</v>
      </c>
      <c r="CD662" s="3">
        <f>+IF(AVANCE[[#This Row],[MOLDURAS]]=AQ$2,100%,AVANCE[[#This Row],[MOLDURAS]])</f>
        <v>0</v>
      </c>
      <c r="CE662" s="3">
        <f>+IF(AVANCE[[#This Row],[PILASTREO]]=AR$2,100%,AVANCE[[#This Row],[PILASTREO]])</f>
        <v>0</v>
      </c>
      <c r="CF662" s="3">
        <f>+IF(AVANCE[[#This Row],[CELOSIAS]]=AS$2,100%,AVANCE[[#This Row],[CELOSIAS]])</f>
        <v>0</v>
      </c>
      <c r="CG662" s="3">
        <f>+IF(AVANCE[[#This Row],[VENTANAS]]=AT$2,100%,AVANCE[[#This Row],[VENTANAS]])</f>
        <v>0</v>
      </c>
      <c r="CH662" s="3">
        <f>+IF(AVANCE[[#This Row],[PUERTAS ACCESO - LOGIA - BANO]]=AU$2,100%,AVANCE[[#This Row],[PUERTAS ACCESO - LOGIA - BANO]])</f>
        <v>0</v>
      </c>
      <c r="CI662" s="3">
        <f>+IF(AVANCE[[#This Row],[CERRADURAS]]=AV$2,100%,AVANCE[[#This Row],[CERRADURAS]])</f>
        <v>0</v>
      </c>
      <c r="CJ662" s="3">
        <f>+IF(AVANCE[[#This Row],[REVESTIMIENTO INTERIOR ZONA SECA]]=AW$2,100%,AVANCE[[#This Row],[REVESTIMIENTO INTERIOR ZONA SECA]])</f>
        <v>0</v>
      </c>
      <c r="CK662" s="3">
        <f>+IF(AVANCE[[#This Row],[REVESTIMIENTO INTERIOR ZONAS HUMEDAS]]=AX$2,100%,AVANCE[[#This Row],[REVESTIMIENTO INTERIOR ZONAS HUMEDAS]])</f>
        <v>0</v>
      </c>
      <c r="CL662" s="3">
        <f>+IF(AVANCE[[#This Row],[MEMBRANA CIELO]]=AY$2,100%,AVANCE[[#This Row],[MEMBRANA CIELO]])</f>
        <v>0</v>
      </c>
      <c r="CM662" s="3">
        <f>+IF(AVANCE[[#This Row],[LIMPIEZA FINAL]]=AZ$2,100%,AVANCE[[#This Row],[LIMPIEZA FINAL]])</f>
        <v>0</v>
      </c>
      <c r="CN662" s="3">
        <f>+IF(AVANCE[[#This Row],[PUERTAS DORMITORIO]]=BA$2,100%,AVANCE[[#This Row],[PUERTAS DORMITORIO]])</f>
        <v>0</v>
      </c>
      <c r="CO662" s="3">
        <f>+IF(AVANCE[[#This Row],[REVESTIMIENTO INTERIOR BANO]]=BB$2,100%,AVANCE[[#This Row],[REVESTIMIENTO INTERIOR BANO]])</f>
        <v>0</v>
      </c>
      <c r="CP662" s="3">
        <f>+IF(AVANCE[[#This Row],[MUEBLE LAVAPLATOS]]=BC$2,100%,AVANCE[[#This Row],[MUEBLE LAVAPLATOS]])</f>
        <v>0</v>
      </c>
      <c r="CQ662" s="3">
        <f>+IF(AVANCE[[#This Row],[IMPERMEABILIZACION BANO - COCINA LOGIA]]=BD$2,100%,AVANCE[[#This Row],[IMPERMEABILIZACION BANO - COCINA LOGIA]])</f>
        <v>0</v>
      </c>
      <c r="CR662" s="40">
        <f ca="1">+IF(AVANCE[[#This Row],[ESTADO MODULO]]="PENDIENTE",(TODAY()-AVANCE[[#This Row],[FECHA TERMINO  PLANIFICADO]]),0)</f>
        <v>0</v>
      </c>
      <c r="CS662" s="42" t="str" cm="1">
        <f t="array" ref="CS662">_xlfn.TEXTJOIN(" | ",TRUE,IF(SUMPRODUCT((BF662:CQ662&lt;1)*(PARTIDAS!$I$2:$AT$2="OBRA GRUESA"))&gt;0,"OBRA GRUESA: "&amp;_xlfn.TEXTJOIN(", ",TRUE,IF((BF662:CQ662&lt;1)*(PARTIDAS!$I$2:$AT$2="OBRA GRUESA"),PARTIDAS!$I$1:$AT$1,"")),""),IF(SUMPRODUCT((BF662:CQ662&lt;1)*(PARTIDAS!$I$2:$AT$2="SANITARIOS"))&gt;0,"SANITARIOS: "&amp;_xlfn.TEXTJOIN(", ",TRUE,IF((BF662:CQ662&lt;1)*(PARTIDAS!$I$2:$AT$2="SANITARIOS"),PARTIDAS!$I$1:$AT$1,"")),""),IF(SUMPRODUCT((BF662:CQ662&lt;1)*(PARTIDAS!$I$2:$AT$2="ELÉCTRICO"))&gt;0,"ELÉCTRICO: "&amp;_xlfn.TEXTJOIN(", ",TRUE,IF((BF662:CQ662&lt;1)*(PARTIDAS!$I$2:$AT$2="ELÉCTRICO"),PARTIDAS!$I$1:$AT$1,"")),""),IF(SUMPRODUCT((BF662:CQ662&lt;1)*(PARTIDAS!$I$2:$AT$2="TERMINACIONES"))&gt;0,"TERMINACIONES: "&amp;_xlfn.TEXTJOIN(", ",TRUE,IF((BF662:CQ662&lt;1)*(PARTIDAS!$I$2:$AT$2="TERMINACIONES"),PARTIDAS!$I$1:$AT$1,"")),""))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2" s="45" t="str" cm="1">
        <f t="array" ref="CT662">_xlfn.TEXTJOIN(", ",TRUE,IF(SUMPRODUCT((BF662:CQ662&lt;1)*(PARTIDAS!$I$2:$AT$2="OBRA GRUESA"))&gt;0,"OBRA GRUESA",""),IF(SUMPRODUCT((BF662:CQ662&lt;1)*(PARTIDAS!$I$2:$AT$2="SANITARIOS"))&gt;0,"SANITARIOS",""),IF(SUMPRODUCT((BF662:CQ662&lt;1)*(PARTIDAS!$I$2:$AT$2="ELÉCTRICO"))&gt;0,"ELÉCTRICO",""),IF(SUMPRODUCT((BF662:CQ662&lt;1)*(PARTIDAS!$I$2:$AT$2="TERMINACIONES"))&gt;0,"TERMINACIONES",""))</f>
        <v>OBRA GRUESA, SANITARIOS, ELÉCTRICO, TERMINACIONES</v>
      </c>
      <c r="CU662" s="46" cm="1">
        <f t="array" ref="CU662">SUMPRODUCT(--(BF662:CQ662&lt;1))</f>
        <v>38</v>
      </c>
    </row>
    <row r="663" spans="1:99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46181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 s="3" t="str">
        <f>+IF(AVANCE[[#This Row],[% AVANCE]]=100%,"MODULO TERMINADO",IF(AVANCE[[#This Row],[FECHA INICIO REAL]]="","MODULO NO INICIADO","PENDIENTE"))</f>
        <v>MODULO NO INICIADO</v>
      </c>
      <c r="BF663" s="3">
        <f>+IF(AVANCE[[#This Row],[VENTANAS]]=8.10810810810811%,100%,AVANCE[[#This Row],[VENTANAS]])</f>
        <v>0</v>
      </c>
      <c r="BG663" s="3">
        <f>+IF(AVANCE[[#This Row],[PISO]]=N$2,100%,AVANCE[[#This Row],[PISO]])</f>
        <v>0</v>
      </c>
      <c r="BH663" s="3">
        <f>+IF(AVANCE[[#This Row],[TABIQUES]]=O$2,100%,AVANCE[[#This Row],[TABIQUES]])</f>
        <v>0</v>
      </c>
      <c r="BI663" s="3">
        <f>+IF(AVANCE[[#This Row],[MUROS]]=P$2,100%,AVANCE[[#This Row],[MUROS]])</f>
        <v>0</v>
      </c>
      <c r="BJ663" s="3">
        <f>+IF(AVANCE[[#This Row],[CIELO]]=Q$2,100%,AVANCE[[#This Row],[CIELO]])</f>
        <v>0</v>
      </c>
      <c r="BK663" s="3">
        <f>+IF(AVANCE[[#This Row],[BALCÓN]]=R$2,100%,AVANCE[[#This Row],[BALCÓN]])</f>
        <v>0</v>
      </c>
      <c r="BL663" s="3">
        <f>+IF(AVANCE[[#This Row],[RED ALCANTARILLADO]]=U$2,100%,AVANCE[[#This Row],[RED ALCANTARILLADO]])</f>
        <v>0</v>
      </c>
      <c r="BM663" s="3">
        <f>+IF(AVANCE[[#This Row],[RED DE AGUA]]=V$2,100%,AVANCE[[#This Row],[RED DE AGUA]])</f>
        <v>0</v>
      </c>
      <c r="BN663" s="3">
        <f>+IF(AVANCE[[#This Row],[VENTILACIONES]]=W$2,100%,AVANCE[[#This Row],[VENTILACIONES]])</f>
        <v>0</v>
      </c>
      <c r="BO663" s="3">
        <f>+IF(AVANCE[[#This Row],[TINA]]=X$2,100%,AVANCE[[#This Row],[TINA]])</f>
        <v>0</v>
      </c>
      <c r="BP663" s="3">
        <f>+IF(AVANCE[[#This Row],[WC]]=Y$2,100%,AVANCE[[#This Row],[WC]])</f>
        <v>0</v>
      </c>
      <c r="BQ663" s="3">
        <f>+IF(AVANCE[[#This Row],[LAVAMANOS / LAVAPLATOS / LAVADERO]]=Z$2,100%,AVANCE[[#This Row],[LAVAMANOS / LAVAPLATOS / LAVADERO]])</f>
        <v>0</v>
      </c>
      <c r="BR663" s="3">
        <f>+IF(AVANCE[[#This Row],[CANALIZACIÓN]]=AC$2,100%,AVANCE[[#This Row],[CANALIZACIÓN]])</f>
        <v>0</v>
      </c>
      <c r="BS663" s="3">
        <f>+IF(AVANCE[[#This Row],[CABLEADO]]=AD$2,100%,AVANCE[[#This Row],[CABLEADO]])</f>
        <v>0</v>
      </c>
      <c r="BT663" s="3">
        <f>+IF(AVANCE[[#This Row],[ARTEFACTOS]]=AE$2,100%,AVANCE[[#This Row],[ARTEFACTOS]])</f>
        <v>0</v>
      </c>
      <c r="BU663" s="3">
        <f>+IF(AVANCE[[#This Row],[TABLERO]]=AF$2,100%,AVANCE[[#This Row],[TABLERO]])</f>
        <v>0</v>
      </c>
      <c r="BV663" s="3">
        <f>+IF(AVANCE[[#This Row],[CAJA PAU]]=AG$2,100%,AVANCE[[#This Row],[CAJA PAU]])</f>
        <v>0</v>
      </c>
      <c r="BW663" s="3">
        <f>+IF(AVANCE[[#This Row],[INSTALACION VINILICO]]=AJ$2,100%,AVANCE[[#This Row],[INSTALACION VINILICO]])</f>
        <v>0</v>
      </c>
      <c r="BX663" s="3">
        <f>+IF(AVANCE[[#This Row],[OSB CUBIERTA]]=AK$2,100%,AVANCE[[#This Row],[OSB CUBIERTA]])</f>
        <v>0</v>
      </c>
      <c r="BY663" s="3">
        <f>+IF(AVANCE[[#This Row],[BARANDA BALCON]]=AL$2,100%,AVANCE[[#This Row],[BARANDA BALCON]])</f>
        <v>0</v>
      </c>
      <c r="BZ663" s="3">
        <f>+IF(AVANCE[[#This Row],[OSB EXTERIOR]]=AM$2,100%,AVANCE[[#This Row],[OSB EXTERIOR]])</f>
        <v>0</v>
      </c>
      <c r="CA663" s="3">
        <f>+IF(AVANCE[[#This Row],[SMART PANEL]]=AN$2,100%,AVANCE[[#This Row],[SMART PANEL]])</f>
        <v>0</v>
      </c>
      <c r="CB663" s="3">
        <f>+IF(AVANCE[[#This Row],[PINTURA EXTERIOR]]=AO$2,100%,AVANCE[[#This Row],[PINTURA EXTERIOR]])</f>
        <v>0</v>
      </c>
      <c r="CC663" s="3">
        <f>+IF(AVANCE[[#This Row],[ZOCALOS LOGIA]]=AP$2,100%,AVANCE[[#This Row],[ZOCALOS LOGIA]])</f>
        <v>0</v>
      </c>
      <c r="CD663" s="3">
        <f>+IF(AVANCE[[#This Row],[MOLDURAS]]=AQ$2,100%,AVANCE[[#This Row],[MOLDURAS]])</f>
        <v>0</v>
      </c>
      <c r="CE663" s="3">
        <f>+IF(AVANCE[[#This Row],[PILASTREO]]=AR$2,100%,AVANCE[[#This Row],[PILASTREO]])</f>
        <v>0</v>
      </c>
      <c r="CF663" s="3">
        <f>+IF(AVANCE[[#This Row],[CELOSIAS]]=AS$2,100%,AVANCE[[#This Row],[CELOSIAS]])</f>
        <v>0</v>
      </c>
      <c r="CG663" s="3">
        <f>+IF(AVANCE[[#This Row],[VENTANAS]]=AT$2,100%,AVANCE[[#This Row],[VENTANAS]])</f>
        <v>0</v>
      </c>
      <c r="CH663" s="3">
        <f>+IF(AVANCE[[#This Row],[PUERTAS ACCESO - LOGIA - BANO]]=AU$2,100%,AVANCE[[#This Row],[PUERTAS ACCESO - LOGIA - BANO]])</f>
        <v>0</v>
      </c>
      <c r="CI663" s="3">
        <f>+IF(AVANCE[[#This Row],[CERRADURAS]]=AV$2,100%,AVANCE[[#This Row],[CERRADURAS]])</f>
        <v>0</v>
      </c>
      <c r="CJ663" s="3">
        <f>+IF(AVANCE[[#This Row],[REVESTIMIENTO INTERIOR ZONA SECA]]=AW$2,100%,AVANCE[[#This Row],[REVESTIMIENTO INTERIOR ZONA SECA]])</f>
        <v>0</v>
      </c>
      <c r="CK663" s="3">
        <f>+IF(AVANCE[[#This Row],[REVESTIMIENTO INTERIOR ZONAS HUMEDAS]]=AX$2,100%,AVANCE[[#This Row],[REVESTIMIENTO INTERIOR ZONAS HUMEDAS]])</f>
        <v>0</v>
      </c>
      <c r="CL663" s="3">
        <f>+IF(AVANCE[[#This Row],[MEMBRANA CIELO]]=AY$2,100%,AVANCE[[#This Row],[MEMBRANA CIELO]])</f>
        <v>0</v>
      </c>
      <c r="CM663" s="3">
        <f>+IF(AVANCE[[#This Row],[LIMPIEZA FINAL]]=AZ$2,100%,AVANCE[[#This Row],[LIMPIEZA FINAL]])</f>
        <v>0</v>
      </c>
      <c r="CN663" s="3">
        <f>+IF(AVANCE[[#This Row],[PUERTAS DORMITORIO]]=BA$2,100%,AVANCE[[#This Row],[PUERTAS DORMITORIO]])</f>
        <v>0</v>
      </c>
      <c r="CO663" s="3">
        <f>+IF(AVANCE[[#This Row],[REVESTIMIENTO INTERIOR BANO]]=BB$2,100%,AVANCE[[#This Row],[REVESTIMIENTO INTERIOR BANO]])</f>
        <v>0</v>
      </c>
      <c r="CP663" s="3">
        <f>+IF(AVANCE[[#This Row],[MUEBLE LAVAPLATOS]]=BC$2,100%,AVANCE[[#This Row],[MUEBLE LAVAPLATOS]])</f>
        <v>0</v>
      </c>
      <c r="CQ663" s="3">
        <f>+IF(AVANCE[[#This Row],[IMPERMEABILIZACION BANO - COCINA LOGIA]]=BD$2,100%,AVANCE[[#This Row],[IMPERMEABILIZACION BANO - COCINA LOGIA]])</f>
        <v>0</v>
      </c>
      <c r="CR663" s="40">
        <f ca="1">+IF(AVANCE[[#This Row],[ESTADO MODULO]]="PENDIENTE",(TODAY()-AVANCE[[#This Row],[FECHA TERMINO  PLANIFICADO]]),0)</f>
        <v>0</v>
      </c>
      <c r="CS663" s="42" t="str" cm="1">
        <f t="array" ref="CS663">_xlfn.TEXTJOIN(" | ",TRUE,IF(SUMPRODUCT((BF663:CQ663&lt;1)*(PARTIDAS!$I$2:$AT$2="OBRA GRUESA"))&gt;0,"OBRA GRUESA: "&amp;_xlfn.TEXTJOIN(", ",TRUE,IF((BF663:CQ663&lt;1)*(PARTIDAS!$I$2:$AT$2="OBRA GRUESA"),PARTIDAS!$I$1:$AT$1,"")),""),IF(SUMPRODUCT((BF663:CQ663&lt;1)*(PARTIDAS!$I$2:$AT$2="SANITARIOS"))&gt;0,"SANITARIOS: "&amp;_xlfn.TEXTJOIN(", ",TRUE,IF((BF663:CQ663&lt;1)*(PARTIDAS!$I$2:$AT$2="SANITARIOS"),PARTIDAS!$I$1:$AT$1,"")),""),IF(SUMPRODUCT((BF663:CQ663&lt;1)*(PARTIDAS!$I$2:$AT$2="ELÉCTRICO"))&gt;0,"ELÉCTRICO: "&amp;_xlfn.TEXTJOIN(", ",TRUE,IF((BF663:CQ663&lt;1)*(PARTIDAS!$I$2:$AT$2="ELÉCTRICO"),PARTIDAS!$I$1:$AT$1,"")),""),IF(SUMPRODUCT((BF663:CQ663&lt;1)*(PARTIDAS!$I$2:$AT$2="TERMINACIONES"))&gt;0,"TERMINACIONES: "&amp;_xlfn.TEXTJOIN(", ",TRUE,IF((BF663:CQ663&lt;1)*(PARTIDAS!$I$2:$AT$2="TERMINACIONES"),PARTIDAS!$I$1:$AT$1,"")),""))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3" s="45" t="str" cm="1">
        <f t="array" ref="CT663">_xlfn.TEXTJOIN(", ",TRUE,IF(SUMPRODUCT((BF663:CQ663&lt;1)*(PARTIDAS!$I$2:$AT$2="OBRA GRUESA"))&gt;0,"OBRA GRUESA",""),IF(SUMPRODUCT((BF663:CQ663&lt;1)*(PARTIDAS!$I$2:$AT$2="SANITARIOS"))&gt;0,"SANITARIOS",""),IF(SUMPRODUCT((BF663:CQ663&lt;1)*(PARTIDAS!$I$2:$AT$2="ELÉCTRICO"))&gt;0,"ELÉCTRICO",""),IF(SUMPRODUCT((BF663:CQ663&lt;1)*(PARTIDAS!$I$2:$AT$2="TERMINACIONES"))&gt;0,"TERMINACIONES",""))</f>
        <v>OBRA GRUESA, SANITARIOS, ELÉCTRICO, TERMINACIONES</v>
      </c>
      <c r="CU663" s="46" cm="1">
        <f t="array" ref="CU663">SUMPRODUCT(--(BF663:CQ663&lt;1))</f>
        <v>38</v>
      </c>
    </row>
    <row r="664" spans="1:99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46181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 s="3" t="str">
        <f>+IF(AVANCE[[#This Row],[% AVANCE]]=100%,"MODULO TERMINADO",IF(AVANCE[[#This Row],[FECHA INICIO REAL]]="","MODULO NO INICIADO","PENDIENTE"))</f>
        <v>MODULO NO INICIADO</v>
      </c>
      <c r="BF664" s="3">
        <f>+IF(AVANCE[[#This Row],[VENTANAS]]=8.10810810810811%,100%,AVANCE[[#This Row],[VENTANAS]])</f>
        <v>0</v>
      </c>
      <c r="BG664" s="3">
        <f>+IF(AVANCE[[#This Row],[PISO]]=N$2,100%,AVANCE[[#This Row],[PISO]])</f>
        <v>0</v>
      </c>
      <c r="BH664" s="3">
        <f>+IF(AVANCE[[#This Row],[TABIQUES]]=O$2,100%,AVANCE[[#This Row],[TABIQUES]])</f>
        <v>0</v>
      </c>
      <c r="BI664" s="3">
        <f>+IF(AVANCE[[#This Row],[MUROS]]=P$2,100%,AVANCE[[#This Row],[MUROS]])</f>
        <v>0</v>
      </c>
      <c r="BJ664" s="3">
        <f>+IF(AVANCE[[#This Row],[CIELO]]=Q$2,100%,AVANCE[[#This Row],[CIELO]])</f>
        <v>0</v>
      </c>
      <c r="BK664" s="3">
        <f>+IF(AVANCE[[#This Row],[BALCÓN]]=R$2,100%,AVANCE[[#This Row],[BALCÓN]])</f>
        <v>0</v>
      </c>
      <c r="BL664" s="3">
        <f>+IF(AVANCE[[#This Row],[RED ALCANTARILLADO]]=U$2,100%,AVANCE[[#This Row],[RED ALCANTARILLADO]])</f>
        <v>0</v>
      </c>
      <c r="BM664" s="3">
        <f>+IF(AVANCE[[#This Row],[RED DE AGUA]]=V$2,100%,AVANCE[[#This Row],[RED DE AGUA]])</f>
        <v>0</v>
      </c>
      <c r="BN664" s="3">
        <f>+IF(AVANCE[[#This Row],[VENTILACIONES]]=W$2,100%,AVANCE[[#This Row],[VENTILACIONES]])</f>
        <v>0</v>
      </c>
      <c r="BO664" s="3">
        <f>+IF(AVANCE[[#This Row],[TINA]]=X$2,100%,AVANCE[[#This Row],[TINA]])</f>
        <v>0</v>
      </c>
      <c r="BP664" s="3">
        <f>+IF(AVANCE[[#This Row],[WC]]=Y$2,100%,AVANCE[[#This Row],[WC]])</f>
        <v>0</v>
      </c>
      <c r="BQ664" s="3">
        <f>+IF(AVANCE[[#This Row],[LAVAMANOS / LAVAPLATOS / LAVADERO]]=Z$2,100%,AVANCE[[#This Row],[LAVAMANOS / LAVAPLATOS / LAVADERO]])</f>
        <v>0</v>
      </c>
      <c r="BR664" s="3">
        <f>+IF(AVANCE[[#This Row],[CANALIZACIÓN]]=AC$2,100%,AVANCE[[#This Row],[CANALIZACIÓN]])</f>
        <v>0</v>
      </c>
      <c r="BS664" s="3">
        <f>+IF(AVANCE[[#This Row],[CABLEADO]]=AD$2,100%,AVANCE[[#This Row],[CABLEADO]])</f>
        <v>0</v>
      </c>
      <c r="BT664" s="3">
        <f>+IF(AVANCE[[#This Row],[ARTEFACTOS]]=AE$2,100%,AVANCE[[#This Row],[ARTEFACTOS]])</f>
        <v>0</v>
      </c>
      <c r="BU664" s="3">
        <f>+IF(AVANCE[[#This Row],[TABLERO]]=AF$2,100%,AVANCE[[#This Row],[TABLERO]])</f>
        <v>0</v>
      </c>
      <c r="BV664" s="3">
        <f>+IF(AVANCE[[#This Row],[CAJA PAU]]=AG$2,100%,AVANCE[[#This Row],[CAJA PAU]])</f>
        <v>0</v>
      </c>
      <c r="BW664" s="3">
        <f>+IF(AVANCE[[#This Row],[INSTALACION VINILICO]]=AJ$2,100%,AVANCE[[#This Row],[INSTALACION VINILICO]])</f>
        <v>0</v>
      </c>
      <c r="BX664" s="3">
        <f>+IF(AVANCE[[#This Row],[OSB CUBIERTA]]=AK$2,100%,AVANCE[[#This Row],[OSB CUBIERTA]])</f>
        <v>0</v>
      </c>
      <c r="BY664" s="3">
        <f>+IF(AVANCE[[#This Row],[BARANDA BALCON]]=AL$2,100%,AVANCE[[#This Row],[BARANDA BALCON]])</f>
        <v>0</v>
      </c>
      <c r="BZ664" s="3">
        <f>+IF(AVANCE[[#This Row],[OSB EXTERIOR]]=AM$2,100%,AVANCE[[#This Row],[OSB EXTERIOR]])</f>
        <v>0</v>
      </c>
      <c r="CA664" s="3">
        <f>+IF(AVANCE[[#This Row],[SMART PANEL]]=AN$2,100%,AVANCE[[#This Row],[SMART PANEL]])</f>
        <v>0</v>
      </c>
      <c r="CB664" s="3">
        <f>+IF(AVANCE[[#This Row],[PINTURA EXTERIOR]]=AO$2,100%,AVANCE[[#This Row],[PINTURA EXTERIOR]])</f>
        <v>0</v>
      </c>
      <c r="CC664" s="3">
        <f>+IF(AVANCE[[#This Row],[ZOCALOS LOGIA]]=AP$2,100%,AVANCE[[#This Row],[ZOCALOS LOGIA]])</f>
        <v>0</v>
      </c>
      <c r="CD664" s="3">
        <f>+IF(AVANCE[[#This Row],[MOLDURAS]]=AQ$2,100%,AVANCE[[#This Row],[MOLDURAS]])</f>
        <v>0</v>
      </c>
      <c r="CE664" s="3">
        <f>+IF(AVANCE[[#This Row],[PILASTREO]]=AR$2,100%,AVANCE[[#This Row],[PILASTREO]])</f>
        <v>0</v>
      </c>
      <c r="CF664" s="3">
        <f>+IF(AVANCE[[#This Row],[CELOSIAS]]=AS$2,100%,AVANCE[[#This Row],[CELOSIAS]])</f>
        <v>0</v>
      </c>
      <c r="CG664" s="3">
        <f>+IF(AVANCE[[#This Row],[VENTANAS]]=AT$2,100%,AVANCE[[#This Row],[VENTANAS]])</f>
        <v>0</v>
      </c>
      <c r="CH664" s="3">
        <f>+IF(AVANCE[[#This Row],[PUERTAS ACCESO - LOGIA - BANO]]=AU$2,100%,AVANCE[[#This Row],[PUERTAS ACCESO - LOGIA - BANO]])</f>
        <v>0</v>
      </c>
      <c r="CI664" s="3">
        <f>+IF(AVANCE[[#This Row],[CERRADURAS]]=AV$2,100%,AVANCE[[#This Row],[CERRADURAS]])</f>
        <v>0</v>
      </c>
      <c r="CJ664" s="3">
        <f>+IF(AVANCE[[#This Row],[REVESTIMIENTO INTERIOR ZONA SECA]]=AW$2,100%,AVANCE[[#This Row],[REVESTIMIENTO INTERIOR ZONA SECA]])</f>
        <v>0</v>
      </c>
      <c r="CK664" s="3">
        <f>+IF(AVANCE[[#This Row],[REVESTIMIENTO INTERIOR ZONAS HUMEDAS]]=AX$2,100%,AVANCE[[#This Row],[REVESTIMIENTO INTERIOR ZONAS HUMEDAS]])</f>
        <v>0</v>
      </c>
      <c r="CL664" s="3">
        <f>+IF(AVANCE[[#This Row],[MEMBRANA CIELO]]=AY$2,100%,AVANCE[[#This Row],[MEMBRANA CIELO]])</f>
        <v>0</v>
      </c>
      <c r="CM664" s="3">
        <f>+IF(AVANCE[[#This Row],[LIMPIEZA FINAL]]=AZ$2,100%,AVANCE[[#This Row],[LIMPIEZA FINAL]])</f>
        <v>0</v>
      </c>
      <c r="CN664" s="3">
        <f>+IF(AVANCE[[#This Row],[PUERTAS DORMITORIO]]=BA$2,100%,AVANCE[[#This Row],[PUERTAS DORMITORIO]])</f>
        <v>0</v>
      </c>
      <c r="CO664" s="3">
        <f>+IF(AVANCE[[#This Row],[REVESTIMIENTO INTERIOR BANO]]=BB$2,100%,AVANCE[[#This Row],[REVESTIMIENTO INTERIOR BANO]])</f>
        <v>0</v>
      </c>
      <c r="CP664" s="3">
        <f>+IF(AVANCE[[#This Row],[MUEBLE LAVAPLATOS]]=BC$2,100%,AVANCE[[#This Row],[MUEBLE LAVAPLATOS]])</f>
        <v>0</v>
      </c>
      <c r="CQ664" s="3">
        <f>+IF(AVANCE[[#This Row],[IMPERMEABILIZACION BANO - COCINA LOGIA]]=BD$2,100%,AVANCE[[#This Row],[IMPERMEABILIZACION BANO - COCINA LOGIA]])</f>
        <v>0</v>
      </c>
      <c r="CR664" s="40">
        <f ca="1">+IF(AVANCE[[#This Row],[ESTADO MODULO]]="PENDIENTE",(TODAY()-AVANCE[[#This Row],[FECHA TERMINO  PLANIFICADO]]),0)</f>
        <v>0</v>
      </c>
      <c r="CS664" s="42" t="str" cm="1">
        <f t="array" ref="CS664">_xlfn.TEXTJOIN(" | ",TRUE,IF(SUMPRODUCT((BF664:CQ664&lt;1)*(PARTIDAS!$I$2:$AT$2="OBRA GRUESA"))&gt;0,"OBRA GRUESA: "&amp;_xlfn.TEXTJOIN(", ",TRUE,IF((BF664:CQ664&lt;1)*(PARTIDAS!$I$2:$AT$2="OBRA GRUESA"),PARTIDAS!$I$1:$AT$1,"")),""),IF(SUMPRODUCT((BF664:CQ664&lt;1)*(PARTIDAS!$I$2:$AT$2="SANITARIOS"))&gt;0,"SANITARIOS: "&amp;_xlfn.TEXTJOIN(", ",TRUE,IF((BF664:CQ664&lt;1)*(PARTIDAS!$I$2:$AT$2="SANITARIOS"),PARTIDAS!$I$1:$AT$1,"")),""),IF(SUMPRODUCT((BF664:CQ664&lt;1)*(PARTIDAS!$I$2:$AT$2="ELÉCTRICO"))&gt;0,"ELÉCTRICO: "&amp;_xlfn.TEXTJOIN(", ",TRUE,IF((BF664:CQ664&lt;1)*(PARTIDAS!$I$2:$AT$2="ELÉCTRICO"),PARTIDAS!$I$1:$AT$1,"")),""),IF(SUMPRODUCT((BF664:CQ664&lt;1)*(PARTIDAS!$I$2:$AT$2="TERMINACIONES"))&gt;0,"TERMINACIONES: "&amp;_xlfn.TEXTJOIN(", ",TRUE,IF((BF664:CQ664&lt;1)*(PARTIDAS!$I$2:$AT$2="TERMINACIONES"),PARTIDAS!$I$1:$AT$1,"")),""))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4" s="45" t="str" cm="1">
        <f t="array" ref="CT664">_xlfn.TEXTJOIN(", ",TRUE,IF(SUMPRODUCT((BF664:CQ664&lt;1)*(PARTIDAS!$I$2:$AT$2="OBRA GRUESA"))&gt;0,"OBRA GRUESA",""),IF(SUMPRODUCT((BF664:CQ664&lt;1)*(PARTIDAS!$I$2:$AT$2="SANITARIOS"))&gt;0,"SANITARIOS",""),IF(SUMPRODUCT((BF664:CQ664&lt;1)*(PARTIDAS!$I$2:$AT$2="ELÉCTRICO"))&gt;0,"ELÉCTRICO",""),IF(SUMPRODUCT((BF664:CQ664&lt;1)*(PARTIDAS!$I$2:$AT$2="TERMINACIONES"))&gt;0,"TERMINACIONES",""))</f>
        <v>OBRA GRUESA, SANITARIOS, ELÉCTRICO, TERMINACIONES</v>
      </c>
      <c r="CU664" s="46" cm="1">
        <f t="array" ref="CU664">SUMPRODUCT(--(BF664:CQ664&lt;1))</f>
        <v>38</v>
      </c>
    </row>
    <row r="665" spans="1:99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46181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 s="3" t="str">
        <f>+IF(AVANCE[[#This Row],[% AVANCE]]=100%,"MODULO TERMINADO",IF(AVANCE[[#This Row],[FECHA INICIO REAL]]="","MODULO NO INICIADO","PENDIENTE"))</f>
        <v>MODULO NO INICIADO</v>
      </c>
      <c r="BF665" s="3">
        <f>+IF(AVANCE[[#This Row],[VENTANAS]]=8.10810810810811%,100%,AVANCE[[#This Row],[VENTANAS]])</f>
        <v>0</v>
      </c>
      <c r="BG665" s="3">
        <f>+IF(AVANCE[[#This Row],[PISO]]=N$2,100%,AVANCE[[#This Row],[PISO]])</f>
        <v>0</v>
      </c>
      <c r="BH665" s="3">
        <f>+IF(AVANCE[[#This Row],[TABIQUES]]=O$2,100%,AVANCE[[#This Row],[TABIQUES]])</f>
        <v>0</v>
      </c>
      <c r="BI665" s="3">
        <f>+IF(AVANCE[[#This Row],[MUROS]]=P$2,100%,AVANCE[[#This Row],[MUROS]])</f>
        <v>0</v>
      </c>
      <c r="BJ665" s="3">
        <f>+IF(AVANCE[[#This Row],[CIELO]]=Q$2,100%,AVANCE[[#This Row],[CIELO]])</f>
        <v>0</v>
      </c>
      <c r="BK665" s="3">
        <f>+IF(AVANCE[[#This Row],[BALCÓN]]=R$2,100%,AVANCE[[#This Row],[BALCÓN]])</f>
        <v>0</v>
      </c>
      <c r="BL665" s="3">
        <f>+IF(AVANCE[[#This Row],[RED ALCANTARILLADO]]=U$2,100%,AVANCE[[#This Row],[RED ALCANTARILLADO]])</f>
        <v>0</v>
      </c>
      <c r="BM665" s="3">
        <f>+IF(AVANCE[[#This Row],[RED DE AGUA]]=V$2,100%,AVANCE[[#This Row],[RED DE AGUA]])</f>
        <v>0</v>
      </c>
      <c r="BN665" s="3">
        <f>+IF(AVANCE[[#This Row],[VENTILACIONES]]=W$2,100%,AVANCE[[#This Row],[VENTILACIONES]])</f>
        <v>0</v>
      </c>
      <c r="BO665" s="3">
        <f>+IF(AVANCE[[#This Row],[TINA]]=X$2,100%,AVANCE[[#This Row],[TINA]])</f>
        <v>0</v>
      </c>
      <c r="BP665" s="3">
        <f>+IF(AVANCE[[#This Row],[WC]]=Y$2,100%,AVANCE[[#This Row],[WC]])</f>
        <v>0</v>
      </c>
      <c r="BQ665" s="3">
        <f>+IF(AVANCE[[#This Row],[LAVAMANOS / LAVAPLATOS / LAVADERO]]=Z$2,100%,AVANCE[[#This Row],[LAVAMANOS / LAVAPLATOS / LAVADERO]])</f>
        <v>0</v>
      </c>
      <c r="BR665" s="3">
        <f>+IF(AVANCE[[#This Row],[CANALIZACIÓN]]=AC$2,100%,AVANCE[[#This Row],[CANALIZACIÓN]])</f>
        <v>0</v>
      </c>
      <c r="BS665" s="3">
        <f>+IF(AVANCE[[#This Row],[CABLEADO]]=AD$2,100%,AVANCE[[#This Row],[CABLEADO]])</f>
        <v>0</v>
      </c>
      <c r="BT665" s="3">
        <f>+IF(AVANCE[[#This Row],[ARTEFACTOS]]=AE$2,100%,AVANCE[[#This Row],[ARTEFACTOS]])</f>
        <v>0</v>
      </c>
      <c r="BU665" s="3">
        <f>+IF(AVANCE[[#This Row],[TABLERO]]=AF$2,100%,AVANCE[[#This Row],[TABLERO]])</f>
        <v>0</v>
      </c>
      <c r="BV665" s="3">
        <f>+IF(AVANCE[[#This Row],[CAJA PAU]]=AG$2,100%,AVANCE[[#This Row],[CAJA PAU]])</f>
        <v>0</v>
      </c>
      <c r="BW665" s="3">
        <f>+IF(AVANCE[[#This Row],[INSTALACION VINILICO]]=AJ$2,100%,AVANCE[[#This Row],[INSTALACION VINILICO]])</f>
        <v>0</v>
      </c>
      <c r="BX665" s="3">
        <f>+IF(AVANCE[[#This Row],[OSB CUBIERTA]]=AK$2,100%,AVANCE[[#This Row],[OSB CUBIERTA]])</f>
        <v>0</v>
      </c>
      <c r="BY665" s="3">
        <f>+IF(AVANCE[[#This Row],[BARANDA BALCON]]=AL$2,100%,AVANCE[[#This Row],[BARANDA BALCON]])</f>
        <v>0</v>
      </c>
      <c r="BZ665" s="3">
        <f>+IF(AVANCE[[#This Row],[OSB EXTERIOR]]=AM$2,100%,AVANCE[[#This Row],[OSB EXTERIOR]])</f>
        <v>0</v>
      </c>
      <c r="CA665" s="3">
        <f>+IF(AVANCE[[#This Row],[SMART PANEL]]=AN$2,100%,AVANCE[[#This Row],[SMART PANEL]])</f>
        <v>0</v>
      </c>
      <c r="CB665" s="3">
        <f>+IF(AVANCE[[#This Row],[PINTURA EXTERIOR]]=AO$2,100%,AVANCE[[#This Row],[PINTURA EXTERIOR]])</f>
        <v>0</v>
      </c>
      <c r="CC665" s="3">
        <f>+IF(AVANCE[[#This Row],[ZOCALOS LOGIA]]=AP$2,100%,AVANCE[[#This Row],[ZOCALOS LOGIA]])</f>
        <v>0</v>
      </c>
      <c r="CD665" s="3">
        <f>+IF(AVANCE[[#This Row],[MOLDURAS]]=AQ$2,100%,AVANCE[[#This Row],[MOLDURAS]])</f>
        <v>0</v>
      </c>
      <c r="CE665" s="3">
        <f>+IF(AVANCE[[#This Row],[PILASTREO]]=AR$2,100%,AVANCE[[#This Row],[PILASTREO]])</f>
        <v>0</v>
      </c>
      <c r="CF665" s="3">
        <f>+IF(AVANCE[[#This Row],[CELOSIAS]]=AS$2,100%,AVANCE[[#This Row],[CELOSIAS]])</f>
        <v>0</v>
      </c>
      <c r="CG665" s="3">
        <f>+IF(AVANCE[[#This Row],[VENTANAS]]=AT$2,100%,AVANCE[[#This Row],[VENTANAS]])</f>
        <v>0</v>
      </c>
      <c r="CH665" s="3">
        <f>+IF(AVANCE[[#This Row],[PUERTAS ACCESO - LOGIA - BANO]]=AU$2,100%,AVANCE[[#This Row],[PUERTAS ACCESO - LOGIA - BANO]])</f>
        <v>0</v>
      </c>
      <c r="CI665" s="3">
        <f>+IF(AVANCE[[#This Row],[CERRADURAS]]=AV$2,100%,AVANCE[[#This Row],[CERRADURAS]])</f>
        <v>0</v>
      </c>
      <c r="CJ665" s="3">
        <f>+IF(AVANCE[[#This Row],[REVESTIMIENTO INTERIOR ZONA SECA]]=AW$2,100%,AVANCE[[#This Row],[REVESTIMIENTO INTERIOR ZONA SECA]])</f>
        <v>0</v>
      </c>
      <c r="CK665" s="3">
        <f>+IF(AVANCE[[#This Row],[REVESTIMIENTO INTERIOR ZONAS HUMEDAS]]=AX$2,100%,AVANCE[[#This Row],[REVESTIMIENTO INTERIOR ZONAS HUMEDAS]])</f>
        <v>0</v>
      </c>
      <c r="CL665" s="3">
        <f>+IF(AVANCE[[#This Row],[MEMBRANA CIELO]]=AY$2,100%,AVANCE[[#This Row],[MEMBRANA CIELO]])</f>
        <v>0</v>
      </c>
      <c r="CM665" s="3">
        <f>+IF(AVANCE[[#This Row],[LIMPIEZA FINAL]]=AZ$2,100%,AVANCE[[#This Row],[LIMPIEZA FINAL]])</f>
        <v>0</v>
      </c>
      <c r="CN665" s="3">
        <f>+IF(AVANCE[[#This Row],[PUERTAS DORMITORIO]]=BA$2,100%,AVANCE[[#This Row],[PUERTAS DORMITORIO]])</f>
        <v>0</v>
      </c>
      <c r="CO665" s="3">
        <f>+IF(AVANCE[[#This Row],[REVESTIMIENTO INTERIOR BANO]]=BB$2,100%,AVANCE[[#This Row],[REVESTIMIENTO INTERIOR BANO]])</f>
        <v>0</v>
      </c>
      <c r="CP665" s="3">
        <f>+IF(AVANCE[[#This Row],[MUEBLE LAVAPLATOS]]=BC$2,100%,AVANCE[[#This Row],[MUEBLE LAVAPLATOS]])</f>
        <v>0</v>
      </c>
      <c r="CQ665" s="3">
        <f>+IF(AVANCE[[#This Row],[IMPERMEABILIZACION BANO - COCINA LOGIA]]=BD$2,100%,AVANCE[[#This Row],[IMPERMEABILIZACION BANO - COCINA LOGIA]])</f>
        <v>0</v>
      </c>
      <c r="CR665" s="40">
        <f ca="1">+IF(AVANCE[[#This Row],[ESTADO MODULO]]="PENDIENTE",(TODAY()-AVANCE[[#This Row],[FECHA TERMINO  PLANIFICADO]]),0)</f>
        <v>0</v>
      </c>
      <c r="CS665" s="42" t="str" cm="1">
        <f t="array" ref="CS665">_xlfn.TEXTJOIN(" | ",TRUE,IF(SUMPRODUCT((BF665:CQ665&lt;1)*(PARTIDAS!$I$2:$AT$2="OBRA GRUESA"))&gt;0,"OBRA GRUESA: "&amp;_xlfn.TEXTJOIN(", ",TRUE,IF((BF665:CQ665&lt;1)*(PARTIDAS!$I$2:$AT$2="OBRA GRUESA"),PARTIDAS!$I$1:$AT$1,"")),""),IF(SUMPRODUCT((BF665:CQ665&lt;1)*(PARTIDAS!$I$2:$AT$2="SANITARIOS"))&gt;0,"SANITARIOS: "&amp;_xlfn.TEXTJOIN(", ",TRUE,IF((BF665:CQ665&lt;1)*(PARTIDAS!$I$2:$AT$2="SANITARIOS"),PARTIDAS!$I$1:$AT$1,"")),""),IF(SUMPRODUCT((BF665:CQ665&lt;1)*(PARTIDAS!$I$2:$AT$2="ELÉCTRICO"))&gt;0,"ELÉCTRICO: "&amp;_xlfn.TEXTJOIN(", ",TRUE,IF((BF665:CQ665&lt;1)*(PARTIDAS!$I$2:$AT$2="ELÉCTRICO"),PARTIDAS!$I$1:$AT$1,"")),""),IF(SUMPRODUCT((BF665:CQ665&lt;1)*(PARTIDAS!$I$2:$AT$2="TERMINACIONES"))&gt;0,"TERMINACIONES: "&amp;_xlfn.TEXTJOIN(", ",TRUE,IF((BF665:CQ665&lt;1)*(PARTIDAS!$I$2:$AT$2="TERMINACIONES"),PARTIDAS!$I$1:$AT$1,"")),""))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5" s="45" t="str" cm="1">
        <f t="array" ref="CT665">_xlfn.TEXTJOIN(", ",TRUE,IF(SUMPRODUCT((BF665:CQ665&lt;1)*(PARTIDAS!$I$2:$AT$2="OBRA GRUESA"))&gt;0,"OBRA GRUESA",""),IF(SUMPRODUCT((BF665:CQ665&lt;1)*(PARTIDAS!$I$2:$AT$2="SANITARIOS"))&gt;0,"SANITARIOS",""),IF(SUMPRODUCT((BF665:CQ665&lt;1)*(PARTIDAS!$I$2:$AT$2="ELÉCTRICO"))&gt;0,"ELÉCTRICO",""),IF(SUMPRODUCT((BF665:CQ665&lt;1)*(PARTIDAS!$I$2:$AT$2="TERMINACIONES"))&gt;0,"TERMINACIONES",""))</f>
        <v>OBRA GRUESA, SANITARIOS, ELÉCTRICO, TERMINACIONES</v>
      </c>
      <c r="CU665" s="46" cm="1">
        <f t="array" ref="CU665">SUMPRODUCT(--(BF665:CQ665&lt;1))</f>
        <v>38</v>
      </c>
    </row>
    <row r="666" spans="1:99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46181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 s="3" t="str">
        <f>+IF(AVANCE[[#This Row],[% AVANCE]]=100%,"MODULO TERMINADO",IF(AVANCE[[#This Row],[FECHA INICIO REAL]]="","MODULO NO INICIADO","PENDIENTE"))</f>
        <v>MODULO NO INICIADO</v>
      </c>
      <c r="BF666" s="3">
        <f>+IF(AVANCE[[#This Row],[VENTANAS]]=8.10810810810811%,100%,AVANCE[[#This Row],[VENTANAS]])</f>
        <v>0</v>
      </c>
      <c r="BG666" s="3">
        <f>+IF(AVANCE[[#This Row],[PISO]]=N$2,100%,AVANCE[[#This Row],[PISO]])</f>
        <v>0</v>
      </c>
      <c r="BH666" s="3">
        <f>+IF(AVANCE[[#This Row],[TABIQUES]]=O$2,100%,AVANCE[[#This Row],[TABIQUES]])</f>
        <v>0</v>
      </c>
      <c r="BI666" s="3">
        <f>+IF(AVANCE[[#This Row],[MUROS]]=P$2,100%,AVANCE[[#This Row],[MUROS]])</f>
        <v>0</v>
      </c>
      <c r="BJ666" s="3">
        <f>+IF(AVANCE[[#This Row],[CIELO]]=Q$2,100%,AVANCE[[#This Row],[CIELO]])</f>
        <v>0</v>
      </c>
      <c r="BK666" s="3">
        <f>+IF(AVANCE[[#This Row],[BALCÓN]]=R$2,100%,AVANCE[[#This Row],[BALCÓN]])</f>
        <v>0</v>
      </c>
      <c r="BL666" s="3">
        <f>+IF(AVANCE[[#This Row],[RED ALCANTARILLADO]]=U$2,100%,AVANCE[[#This Row],[RED ALCANTARILLADO]])</f>
        <v>0</v>
      </c>
      <c r="BM666" s="3">
        <f>+IF(AVANCE[[#This Row],[RED DE AGUA]]=V$2,100%,AVANCE[[#This Row],[RED DE AGUA]])</f>
        <v>0</v>
      </c>
      <c r="BN666" s="3">
        <f>+IF(AVANCE[[#This Row],[VENTILACIONES]]=W$2,100%,AVANCE[[#This Row],[VENTILACIONES]])</f>
        <v>0</v>
      </c>
      <c r="BO666" s="3">
        <f>+IF(AVANCE[[#This Row],[TINA]]=X$2,100%,AVANCE[[#This Row],[TINA]])</f>
        <v>0</v>
      </c>
      <c r="BP666" s="3">
        <f>+IF(AVANCE[[#This Row],[WC]]=Y$2,100%,AVANCE[[#This Row],[WC]])</f>
        <v>0</v>
      </c>
      <c r="BQ666" s="3">
        <f>+IF(AVANCE[[#This Row],[LAVAMANOS / LAVAPLATOS / LAVADERO]]=Z$2,100%,AVANCE[[#This Row],[LAVAMANOS / LAVAPLATOS / LAVADERO]])</f>
        <v>0</v>
      </c>
      <c r="BR666" s="3">
        <f>+IF(AVANCE[[#This Row],[CANALIZACIÓN]]=AC$2,100%,AVANCE[[#This Row],[CANALIZACIÓN]])</f>
        <v>0</v>
      </c>
      <c r="BS666" s="3">
        <f>+IF(AVANCE[[#This Row],[CABLEADO]]=AD$2,100%,AVANCE[[#This Row],[CABLEADO]])</f>
        <v>0</v>
      </c>
      <c r="BT666" s="3">
        <f>+IF(AVANCE[[#This Row],[ARTEFACTOS]]=AE$2,100%,AVANCE[[#This Row],[ARTEFACTOS]])</f>
        <v>0</v>
      </c>
      <c r="BU666" s="3">
        <f>+IF(AVANCE[[#This Row],[TABLERO]]=AF$2,100%,AVANCE[[#This Row],[TABLERO]])</f>
        <v>0</v>
      </c>
      <c r="BV666" s="3">
        <f>+IF(AVANCE[[#This Row],[CAJA PAU]]=AG$2,100%,AVANCE[[#This Row],[CAJA PAU]])</f>
        <v>0</v>
      </c>
      <c r="BW666" s="3">
        <f>+IF(AVANCE[[#This Row],[INSTALACION VINILICO]]=AJ$2,100%,AVANCE[[#This Row],[INSTALACION VINILICO]])</f>
        <v>0</v>
      </c>
      <c r="BX666" s="3">
        <f>+IF(AVANCE[[#This Row],[OSB CUBIERTA]]=AK$2,100%,AVANCE[[#This Row],[OSB CUBIERTA]])</f>
        <v>0</v>
      </c>
      <c r="BY666" s="3">
        <f>+IF(AVANCE[[#This Row],[BARANDA BALCON]]=AL$2,100%,AVANCE[[#This Row],[BARANDA BALCON]])</f>
        <v>0</v>
      </c>
      <c r="BZ666" s="3">
        <f>+IF(AVANCE[[#This Row],[OSB EXTERIOR]]=AM$2,100%,AVANCE[[#This Row],[OSB EXTERIOR]])</f>
        <v>0</v>
      </c>
      <c r="CA666" s="3">
        <f>+IF(AVANCE[[#This Row],[SMART PANEL]]=AN$2,100%,AVANCE[[#This Row],[SMART PANEL]])</f>
        <v>0</v>
      </c>
      <c r="CB666" s="3">
        <f>+IF(AVANCE[[#This Row],[PINTURA EXTERIOR]]=AO$2,100%,AVANCE[[#This Row],[PINTURA EXTERIOR]])</f>
        <v>0</v>
      </c>
      <c r="CC666" s="3">
        <f>+IF(AVANCE[[#This Row],[ZOCALOS LOGIA]]=AP$2,100%,AVANCE[[#This Row],[ZOCALOS LOGIA]])</f>
        <v>0</v>
      </c>
      <c r="CD666" s="3">
        <f>+IF(AVANCE[[#This Row],[MOLDURAS]]=AQ$2,100%,AVANCE[[#This Row],[MOLDURAS]])</f>
        <v>0</v>
      </c>
      <c r="CE666" s="3">
        <f>+IF(AVANCE[[#This Row],[PILASTREO]]=AR$2,100%,AVANCE[[#This Row],[PILASTREO]])</f>
        <v>0</v>
      </c>
      <c r="CF666" s="3">
        <f>+IF(AVANCE[[#This Row],[CELOSIAS]]=AS$2,100%,AVANCE[[#This Row],[CELOSIAS]])</f>
        <v>0</v>
      </c>
      <c r="CG666" s="3">
        <f>+IF(AVANCE[[#This Row],[VENTANAS]]=AT$2,100%,AVANCE[[#This Row],[VENTANAS]])</f>
        <v>0</v>
      </c>
      <c r="CH666" s="3">
        <f>+IF(AVANCE[[#This Row],[PUERTAS ACCESO - LOGIA - BANO]]=AU$2,100%,AVANCE[[#This Row],[PUERTAS ACCESO - LOGIA - BANO]])</f>
        <v>0</v>
      </c>
      <c r="CI666" s="3">
        <f>+IF(AVANCE[[#This Row],[CERRADURAS]]=AV$2,100%,AVANCE[[#This Row],[CERRADURAS]])</f>
        <v>0</v>
      </c>
      <c r="CJ666" s="3">
        <f>+IF(AVANCE[[#This Row],[REVESTIMIENTO INTERIOR ZONA SECA]]=AW$2,100%,AVANCE[[#This Row],[REVESTIMIENTO INTERIOR ZONA SECA]])</f>
        <v>0</v>
      </c>
      <c r="CK666" s="3">
        <f>+IF(AVANCE[[#This Row],[REVESTIMIENTO INTERIOR ZONAS HUMEDAS]]=AX$2,100%,AVANCE[[#This Row],[REVESTIMIENTO INTERIOR ZONAS HUMEDAS]])</f>
        <v>0</v>
      </c>
      <c r="CL666" s="3">
        <f>+IF(AVANCE[[#This Row],[MEMBRANA CIELO]]=AY$2,100%,AVANCE[[#This Row],[MEMBRANA CIELO]])</f>
        <v>0</v>
      </c>
      <c r="CM666" s="3">
        <f>+IF(AVANCE[[#This Row],[LIMPIEZA FINAL]]=AZ$2,100%,AVANCE[[#This Row],[LIMPIEZA FINAL]])</f>
        <v>0</v>
      </c>
      <c r="CN666" s="3">
        <f>+IF(AVANCE[[#This Row],[PUERTAS DORMITORIO]]=BA$2,100%,AVANCE[[#This Row],[PUERTAS DORMITORIO]])</f>
        <v>0</v>
      </c>
      <c r="CO666" s="3">
        <f>+IF(AVANCE[[#This Row],[REVESTIMIENTO INTERIOR BANO]]=BB$2,100%,AVANCE[[#This Row],[REVESTIMIENTO INTERIOR BANO]])</f>
        <v>0</v>
      </c>
      <c r="CP666" s="3">
        <f>+IF(AVANCE[[#This Row],[MUEBLE LAVAPLATOS]]=BC$2,100%,AVANCE[[#This Row],[MUEBLE LAVAPLATOS]])</f>
        <v>0</v>
      </c>
      <c r="CQ666" s="3">
        <f>+IF(AVANCE[[#This Row],[IMPERMEABILIZACION BANO - COCINA LOGIA]]=BD$2,100%,AVANCE[[#This Row],[IMPERMEABILIZACION BANO - COCINA LOGIA]])</f>
        <v>0</v>
      </c>
      <c r="CR666" s="40">
        <f ca="1">+IF(AVANCE[[#This Row],[ESTADO MODULO]]="PENDIENTE",(TODAY()-AVANCE[[#This Row],[FECHA TERMINO  PLANIFICADO]]),0)</f>
        <v>0</v>
      </c>
      <c r="CS666" s="42" t="str" cm="1">
        <f t="array" ref="CS666">_xlfn.TEXTJOIN(" | ",TRUE,IF(SUMPRODUCT((BF666:CQ666&lt;1)*(PARTIDAS!$I$2:$AT$2="OBRA GRUESA"))&gt;0,"OBRA GRUESA: "&amp;_xlfn.TEXTJOIN(", ",TRUE,IF((BF666:CQ666&lt;1)*(PARTIDAS!$I$2:$AT$2="OBRA GRUESA"),PARTIDAS!$I$1:$AT$1,"")),""),IF(SUMPRODUCT((BF666:CQ666&lt;1)*(PARTIDAS!$I$2:$AT$2="SANITARIOS"))&gt;0,"SANITARIOS: "&amp;_xlfn.TEXTJOIN(", ",TRUE,IF((BF666:CQ666&lt;1)*(PARTIDAS!$I$2:$AT$2="SANITARIOS"),PARTIDAS!$I$1:$AT$1,"")),""),IF(SUMPRODUCT((BF666:CQ666&lt;1)*(PARTIDAS!$I$2:$AT$2="ELÉCTRICO"))&gt;0,"ELÉCTRICO: "&amp;_xlfn.TEXTJOIN(", ",TRUE,IF((BF666:CQ666&lt;1)*(PARTIDAS!$I$2:$AT$2="ELÉCTRICO"),PARTIDAS!$I$1:$AT$1,"")),""),IF(SUMPRODUCT((BF666:CQ666&lt;1)*(PARTIDAS!$I$2:$AT$2="TERMINACIONES"))&gt;0,"TERMINACIONES: "&amp;_xlfn.TEXTJOIN(", ",TRUE,IF((BF666:CQ666&lt;1)*(PARTIDAS!$I$2:$AT$2="TERMINACIONES"),PARTIDAS!$I$1:$AT$1,"")),""))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6" s="45" t="str" cm="1">
        <f t="array" ref="CT666">_xlfn.TEXTJOIN(", ",TRUE,IF(SUMPRODUCT((BF666:CQ666&lt;1)*(PARTIDAS!$I$2:$AT$2="OBRA GRUESA"))&gt;0,"OBRA GRUESA",""),IF(SUMPRODUCT((BF666:CQ666&lt;1)*(PARTIDAS!$I$2:$AT$2="SANITARIOS"))&gt;0,"SANITARIOS",""),IF(SUMPRODUCT((BF666:CQ666&lt;1)*(PARTIDAS!$I$2:$AT$2="ELÉCTRICO"))&gt;0,"ELÉCTRICO",""),IF(SUMPRODUCT((BF666:CQ666&lt;1)*(PARTIDAS!$I$2:$AT$2="TERMINACIONES"))&gt;0,"TERMINACIONES",""))</f>
        <v>OBRA GRUESA, SANITARIOS, ELÉCTRICO, TERMINACIONES</v>
      </c>
      <c r="CU666" s="46" cm="1">
        <f t="array" ref="CU666">SUMPRODUCT(--(BF666:CQ666&lt;1))</f>
        <v>38</v>
      </c>
    </row>
    <row r="667" spans="1:99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46181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 s="3" t="str">
        <f>+IF(AVANCE[[#This Row],[% AVANCE]]=100%,"MODULO TERMINADO",IF(AVANCE[[#This Row],[FECHA INICIO REAL]]="","MODULO NO INICIADO","PENDIENTE"))</f>
        <v>MODULO NO INICIADO</v>
      </c>
      <c r="BF667" s="3">
        <f>+IF(AVANCE[[#This Row],[VENTANAS]]=8.10810810810811%,100%,AVANCE[[#This Row],[VENTANAS]])</f>
        <v>0</v>
      </c>
      <c r="BG667" s="3">
        <f>+IF(AVANCE[[#This Row],[PISO]]=N$2,100%,AVANCE[[#This Row],[PISO]])</f>
        <v>0</v>
      </c>
      <c r="BH667" s="3">
        <f>+IF(AVANCE[[#This Row],[TABIQUES]]=O$2,100%,AVANCE[[#This Row],[TABIQUES]])</f>
        <v>0</v>
      </c>
      <c r="BI667" s="3">
        <f>+IF(AVANCE[[#This Row],[MUROS]]=P$2,100%,AVANCE[[#This Row],[MUROS]])</f>
        <v>0</v>
      </c>
      <c r="BJ667" s="3">
        <f>+IF(AVANCE[[#This Row],[CIELO]]=Q$2,100%,AVANCE[[#This Row],[CIELO]])</f>
        <v>0</v>
      </c>
      <c r="BK667" s="3">
        <f>+IF(AVANCE[[#This Row],[BALCÓN]]=R$2,100%,AVANCE[[#This Row],[BALCÓN]])</f>
        <v>0</v>
      </c>
      <c r="BL667" s="3">
        <f>+IF(AVANCE[[#This Row],[RED ALCANTARILLADO]]=U$2,100%,AVANCE[[#This Row],[RED ALCANTARILLADO]])</f>
        <v>0</v>
      </c>
      <c r="BM667" s="3">
        <f>+IF(AVANCE[[#This Row],[RED DE AGUA]]=V$2,100%,AVANCE[[#This Row],[RED DE AGUA]])</f>
        <v>0</v>
      </c>
      <c r="BN667" s="3">
        <f>+IF(AVANCE[[#This Row],[VENTILACIONES]]=W$2,100%,AVANCE[[#This Row],[VENTILACIONES]])</f>
        <v>0</v>
      </c>
      <c r="BO667" s="3">
        <f>+IF(AVANCE[[#This Row],[TINA]]=X$2,100%,AVANCE[[#This Row],[TINA]])</f>
        <v>0</v>
      </c>
      <c r="BP667" s="3">
        <f>+IF(AVANCE[[#This Row],[WC]]=Y$2,100%,AVANCE[[#This Row],[WC]])</f>
        <v>0</v>
      </c>
      <c r="BQ667" s="3">
        <f>+IF(AVANCE[[#This Row],[LAVAMANOS / LAVAPLATOS / LAVADERO]]=Z$2,100%,AVANCE[[#This Row],[LAVAMANOS / LAVAPLATOS / LAVADERO]])</f>
        <v>0</v>
      </c>
      <c r="BR667" s="3">
        <f>+IF(AVANCE[[#This Row],[CANALIZACIÓN]]=AC$2,100%,AVANCE[[#This Row],[CANALIZACIÓN]])</f>
        <v>0</v>
      </c>
      <c r="BS667" s="3">
        <f>+IF(AVANCE[[#This Row],[CABLEADO]]=AD$2,100%,AVANCE[[#This Row],[CABLEADO]])</f>
        <v>0</v>
      </c>
      <c r="BT667" s="3">
        <f>+IF(AVANCE[[#This Row],[ARTEFACTOS]]=AE$2,100%,AVANCE[[#This Row],[ARTEFACTOS]])</f>
        <v>0</v>
      </c>
      <c r="BU667" s="3">
        <f>+IF(AVANCE[[#This Row],[TABLERO]]=AF$2,100%,AVANCE[[#This Row],[TABLERO]])</f>
        <v>0</v>
      </c>
      <c r="BV667" s="3">
        <f>+IF(AVANCE[[#This Row],[CAJA PAU]]=AG$2,100%,AVANCE[[#This Row],[CAJA PAU]])</f>
        <v>0</v>
      </c>
      <c r="BW667" s="3">
        <f>+IF(AVANCE[[#This Row],[INSTALACION VINILICO]]=AJ$2,100%,AVANCE[[#This Row],[INSTALACION VINILICO]])</f>
        <v>0</v>
      </c>
      <c r="BX667" s="3">
        <f>+IF(AVANCE[[#This Row],[OSB CUBIERTA]]=AK$2,100%,AVANCE[[#This Row],[OSB CUBIERTA]])</f>
        <v>0</v>
      </c>
      <c r="BY667" s="3">
        <f>+IF(AVANCE[[#This Row],[BARANDA BALCON]]=AL$2,100%,AVANCE[[#This Row],[BARANDA BALCON]])</f>
        <v>0</v>
      </c>
      <c r="BZ667" s="3">
        <f>+IF(AVANCE[[#This Row],[OSB EXTERIOR]]=AM$2,100%,AVANCE[[#This Row],[OSB EXTERIOR]])</f>
        <v>0</v>
      </c>
      <c r="CA667" s="3">
        <f>+IF(AVANCE[[#This Row],[SMART PANEL]]=AN$2,100%,AVANCE[[#This Row],[SMART PANEL]])</f>
        <v>0</v>
      </c>
      <c r="CB667" s="3">
        <f>+IF(AVANCE[[#This Row],[PINTURA EXTERIOR]]=AO$2,100%,AVANCE[[#This Row],[PINTURA EXTERIOR]])</f>
        <v>0</v>
      </c>
      <c r="CC667" s="3">
        <f>+IF(AVANCE[[#This Row],[ZOCALOS LOGIA]]=AP$2,100%,AVANCE[[#This Row],[ZOCALOS LOGIA]])</f>
        <v>0</v>
      </c>
      <c r="CD667" s="3">
        <f>+IF(AVANCE[[#This Row],[MOLDURAS]]=AQ$2,100%,AVANCE[[#This Row],[MOLDURAS]])</f>
        <v>0</v>
      </c>
      <c r="CE667" s="3">
        <f>+IF(AVANCE[[#This Row],[PILASTREO]]=AR$2,100%,AVANCE[[#This Row],[PILASTREO]])</f>
        <v>0</v>
      </c>
      <c r="CF667" s="3">
        <f>+IF(AVANCE[[#This Row],[CELOSIAS]]=AS$2,100%,AVANCE[[#This Row],[CELOSIAS]])</f>
        <v>0</v>
      </c>
      <c r="CG667" s="3">
        <f>+IF(AVANCE[[#This Row],[VENTANAS]]=AT$2,100%,AVANCE[[#This Row],[VENTANAS]])</f>
        <v>0</v>
      </c>
      <c r="CH667" s="3">
        <f>+IF(AVANCE[[#This Row],[PUERTAS ACCESO - LOGIA - BANO]]=AU$2,100%,AVANCE[[#This Row],[PUERTAS ACCESO - LOGIA - BANO]])</f>
        <v>0</v>
      </c>
      <c r="CI667" s="3">
        <f>+IF(AVANCE[[#This Row],[CERRADURAS]]=AV$2,100%,AVANCE[[#This Row],[CERRADURAS]])</f>
        <v>0</v>
      </c>
      <c r="CJ667" s="3">
        <f>+IF(AVANCE[[#This Row],[REVESTIMIENTO INTERIOR ZONA SECA]]=AW$2,100%,AVANCE[[#This Row],[REVESTIMIENTO INTERIOR ZONA SECA]])</f>
        <v>0</v>
      </c>
      <c r="CK667" s="3">
        <f>+IF(AVANCE[[#This Row],[REVESTIMIENTO INTERIOR ZONAS HUMEDAS]]=AX$2,100%,AVANCE[[#This Row],[REVESTIMIENTO INTERIOR ZONAS HUMEDAS]])</f>
        <v>0</v>
      </c>
      <c r="CL667" s="3">
        <f>+IF(AVANCE[[#This Row],[MEMBRANA CIELO]]=AY$2,100%,AVANCE[[#This Row],[MEMBRANA CIELO]])</f>
        <v>0</v>
      </c>
      <c r="CM667" s="3">
        <f>+IF(AVANCE[[#This Row],[LIMPIEZA FINAL]]=AZ$2,100%,AVANCE[[#This Row],[LIMPIEZA FINAL]])</f>
        <v>0</v>
      </c>
      <c r="CN667" s="3">
        <f>+IF(AVANCE[[#This Row],[PUERTAS DORMITORIO]]=BA$2,100%,AVANCE[[#This Row],[PUERTAS DORMITORIO]])</f>
        <v>0</v>
      </c>
      <c r="CO667" s="3">
        <f>+IF(AVANCE[[#This Row],[REVESTIMIENTO INTERIOR BANO]]=BB$2,100%,AVANCE[[#This Row],[REVESTIMIENTO INTERIOR BANO]])</f>
        <v>0</v>
      </c>
      <c r="CP667" s="3">
        <f>+IF(AVANCE[[#This Row],[MUEBLE LAVAPLATOS]]=BC$2,100%,AVANCE[[#This Row],[MUEBLE LAVAPLATOS]])</f>
        <v>0</v>
      </c>
      <c r="CQ667" s="3">
        <f>+IF(AVANCE[[#This Row],[IMPERMEABILIZACION BANO - COCINA LOGIA]]=BD$2,100%,AVANCE[[#This Row],[IMPERMEABILIZACION BANO - COCINA LOGIA]])</f>
        <v>0</v>
      </c>
      <c r="CR667" s="40">
        <f ca="1">+IF(AVANCE[[#This Row],[ESTADO MODULO]]="PENDIENTE",(TODAY()-AVANCE[[#This Row],[FECHA TERMINO  PLANIFICADO]]),0)</f>
        <v>0</v>
      </c>
      <c r="CS667" s="42" t="str" cm="1">
        <f t="array" ref="CS667">_xlfn.TEXTJOIN(" | ",TRUE,IF(SUMPRODUCT((BF667:CQ667&lt;1)*(PARTIDAS!$I$2:$AT$2="OBRA GRUESA"))&gt;0,"OBRA GRUESA: "&amp;_xlfn.TEXTJOIN(", ",TRUE,IF((BF667:CQ667&lt;1)*(PARTIDAS!$I$2:$AT$2="OBRA GRUESA"),PARTIDAS!$I$1:$AT$1,"")),""),IF(SUMPRODUCT((BF667:CQ667&lt;1)*(PARTIDAS!$I$2:$AT$2="SANITARIOS"))&gt;0,"SANITARIOS: "&amp;_xlfn.TEXTJOIN(", ",TRUE,IF((BF667:CQ667&lt;1)*(PARTIDAS!$I$2:$AT$2="SANITARIOS"),PARTIDAS!$I$1:$AT$1,"")),""),IF(SUMPRODUCT((BF667:CQ667&lt;1)*(PARTIDAS!$I$2:$AT$2="ELÉCTRICO"))&gt;0,"ELÉCTRICO: "&amp;_xlfn.TEXTJOIN(", ",TRUE,IF((BF667:CQ667&lt;1)*(PARTIDAS!$I$2:$AT$2="ELÉCTRICO"),PARTIDAS!$I$1:$AT$1,"")),""),IF(SUMPRODUCT((BF667:CQ667&lt;1)*(PARTIDAS!$I$2:$AT$2="TERMINACIONES"))&gt;0,"TERMINACIONES: "&amp;_xlfn.TEXTJOIN(", ",TRUE,IF((BF667:CQ667&lt;1)*(PARTIDAS!$I$2:$AT$2="TERMINACIONES"),PARTIDAS!$I$1:$AT$1,"")),""))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7" s="45" t="str" cm="1">
        <f t="array" ref="CT667">_xlfn.TEXTJOIN(", ",TRUE,IF(SUMPRODUCT((BF667:CQ667&lt;1)*(PARTIDAS!$I$2:$AT$2="OBRA GRUESA"))&gt;0,"OBRA GRUESA",""),IF(SUMPRODUCT((BF667:CQ667&lt;1)*(PARTIDAS!$I$2:$AT$2="SANITARIOS"))&gt;0,"SANITARIOS",""),IF(SUMPRODUCT((BF667:CQ667&lt;1)*(PARTIDAS!$I$2:$AT$2="ELÉCTRICO"))&gt;0,"ELÉCTRICO",""),IF(SUMPRODUCT((BF667:CQ667&lt;1)*(PARTIDAS!$I$2:$AT$2="TERMINACIONES"))&gt;0,"TERMINACIONES",""))</f>
        <v>OBRA GRUESA, SANITARIOS, ELÉCTRICO, TERMINACIONES</v>
      </c>
      <c r="CU667" s="46" cm="1">
        <f t="array" ref="CU667">SUMPRODUCT(--(BF667:CQ667&lt;1))</f>
        <v>38</v>
      </c>
    </row>
    <row r="668" spans="1:99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46181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 s="3" t="str">
        <f>+IF(AVANCE[[#This Row],[% AVANCE]]=100%,"MODULO TERMINADO",IF(AVANCE[[#This Row],[FECHA INICIO REAL]]="","MODULO NO INICIADO","PENDIENTE"))</f>
        <v>MODULO NO INICIADO</v>
      </c>
      <c r="BF668" s="3">
        <f>+IF(AVANCE[[#This Row],[VENTANAS]]=8.10810810810811%,100%,AVANCE[[#This Row],[VENTANAS]])</f>
        <v>0</v>
      </c>
      <c r="BG668" s="3">
        <f>+IF(AVANCE[[#This Row],[PISO]]=N$2,100%,AVANCE[[#This Row],[PISO]])</f>
        <v>0</v>
      </c>
      <c r="BH668" s="3">
        <f>+IF(AVANCE[[#This Row],[TABIQUES]]=O$2,100%,AVANCE[[#This Row],[TABIQUES]])</f>
        <v>0</v>
      </c>
      <c r="BI668" s="3">
        <f>+IF(AVANCE[[#This Row],[MUROS]]=P$2,100%,AVANCE[[#This Row],[MUROS]])</f>
        <v>0</v>
      </c>
      <c r="BJ668" s="3">
        <f>+IF(AVANCE[[#This Row],[CIELO]]=Q$2,100%,AVANCE[[#This Row],[CIELO]])</f>
        <v>0</v>
      </c>
      <c r="BK668" s="3">
        <f>+IF(AVANCE[[#This Row],[BALCÓN]]=R$2,100%,AVANCE[[#This Row],[BALCÓN]])</f>
        <v>0</v>
      </c>
      <c r="BL668" s="3">
        <f>+IF(AVANCE[[#This Row],[RED ALCANTARILLADO]]=U$2,100%,AVANCE[[#This Row],[RED ALCANTARILLADO]])</f>
        <v>0</v>
      </c>
      <c r="BM668" s="3">
        <f>+IF(AVANCE[[#This Row],[RED DE AGUA]]=V$2,100%,AVANCE[[#This Row],[RED DE AGUA]])</f>
        <v>0</v>
      </c>
      <c r="BN668" s="3">
        <f>+IF(AVANCE[[#This Row],[VENTILACIONES]]=W$2,100%,AVANCE[[#This Row],[VENTILACIONES]])</f>
        <v>0</v>
      </c>
      <c r="BO668" s="3">
        <f>+IF(AVANCE[[#This Row],[TINA]]=X$2,100%,AVANCE[[#This Row],[TINA]])</f>
        <v>0</v>
      </c>
      <c r="BP668" s="3">
        <f>+IF(AVANCE[[#This Row],[WC]]=Y$2,100%,AVANCE[[#This Row],[WC]])</f>
        <v>0</v>
      </c>
      <c r="BQ668" s="3">
        <f>+IF(AVANCE[[#This Row],[LAVAMANOS / LAVAPLATOS / LAVADERO]]=Z$2,100%,AVANCE[[#This Row],[LAVAMANOS / LAVAPLATOS / LAVADERO]])</f>
        <v>0</v>
      </c>
      <c r="BR668" s="3">
        <f>+IF(AVANCE[[#This Row],[CANALIZACIÓN]]=AC$2,100%,AVANCE[[#This Row],[CANALIZACIÓN]])</f>
        <v>0</v>
      </c>
      <c r="BS668" s="3">
        <f>+IF(AVANCE[[#This Row],[CABLEADO]]=AD$2,100%,AVANCE[[#This Row],[CABLEADO]])</f>
        <v>0</v>
      </c>
      <c r="BT668" s="3">
        <f>+IF(AVANCE[[#This Row],[ARTEFACTOS]]=AE$2,100%,AVANCE[[#This Row],[ARTEFACTOS]])</f>
        <v>0</v>
      </c>
      <c r="BU668" s="3">
        <f>+IF(AVANCE[[#This Row],[TABLERO]]=AF$2,100%,AVANCE[[#This Row],[TABLERO]])</f>
        <v>0</v>
      </c>
      <c r="BV668" s="3">
        <f>+IF(AVANCE[[#This Row],[CAJA PAU]]=AG$2,100%,AVANCE[[#This Row],[CAJA PAU]])</f>
        <v>0</v>
      </c>
      <c r="BW668" s="3">
        <f>+IF(AVANCE[[#This Row],[INSTALACION VINILICO]]=AJ$2,100%,AVANCE[[#This Row],[INSTALACION VINILICO]])</f>
        <v>0</v>
      </c>
      <c r="BX668" s="3">
        <f>+IF(AVANCE[[#This Row],[OSB CUBIERTA]]=AK$2,100%,AVANCE[[#This Row],[OSB CUBIERTA]])</f>
        <v>0</v>
      </c>
      <c r="BY668" s="3">
        <f>+IF(AVANCE[[#This Row],[BARANDA BALCON]]=AL$2,100%,AVANCE[[#This Row],[BARANDA BALCON]])</f>
        <v>0</v>
      </c>
      <c r="BZ668" s="3">
        <f>+IF(AVANCE[[#This Row],[OSB EXTERIOR]]=AM$2,100%,AVANCE[[#This Row],[OSB EXTERIOR]])</f>
        <v>0</v>
      </c>
      <c r="CA668" s="3">
        <f>+IF(AVANCE[[#This Row],[SMART PANEL]]=AN$2,100%,AVANCE[[#This Row],[SMART PANEL]])</f>
        <v>0</v>
      </c>
      <c r="CB668" s="3">
        <f>+IF(AVANCE[[#This Row],[PINTURA EXTERIOR]]=AO$2,100%,AVANCE[[#This Row],[PINTURA EXTERIOR]])</f>
        <v>0</v>
      </c>
      <c r="CC668" s="3">
        <f>+IF(AVANCE[[#This Row],[ZOCALOS LOGIA]]=AP$2,100%,AVANCE[[#This Row],[ZOCALOS LOGIA]])</f>
        <v>0</v>
      </c>
      <c r="CD668" s="3">
        <f>+IF(AVANCE[[#This Row],[MOLDURAS]]=AQ$2,100%,AVANCE[[#This Row],[MOLDURAS]])</f>
        <v>0</v>
      </c>
      <c r="CE668" s="3">
        <f>+IF(AVANCE[[#This Row],[PILASTREO]]=AR$2,100%,AVANCE[[#This Row],[PILASTREO]])</f>
        <v>0</v>
      </c>
      <c r="CF668" s="3">
        <f>+IF(AVANCE[[#This Row],[CELOSIAS]]=AS$2,100%,AVANCE[[#This Row],[CELOSIAS]])</f>
        <v>0</v>
      </c>
      <c r="CG668" s="3">
        <f>+IF(AVANCE[[#This Row],[VENTANAS]]=AT$2,100%,AVANCE[[#This Row],[VENTANAS]])</f>
        <v>0</v>
      </c>
      <c r="CH668" s="3">
        <f>+IF(AVANCE[[#This Row],[PUERTAS ACCESO - LOGIA - BANO]]=AU$2,100%,AVANCE[[#This Row],[PUERTAS ACCESO - LOGIA - BANO]])</f>
        <v>0</v>
      </c>
      <c r="CI668" s="3">
        <f>+IF(AVANCE[[#This Row],[CERRADURAS]]=AV$2,100%,AVANCE[[#This Row],[CERRADURAS]])</f>
        <v>0</v>
      </c>
      <c r="CJ668" s="3">
        <f>+IF(AVANCE[[#This Row],[REVESTIMIENTO INTERIOR ZONA SECA]]=AW$2,100%,AVANCE[[#This Row],[REVESTIMIENTO INTERIOR ZONA SECA]])</f>
        <v>0</v>
      </c>
      <c r="CK668" s="3">
        <f>+IF(AVANCE[[#This Row],[REVESTIMIENTO INTERIOR ZONAS HUMEDAS]]=AX$2,100%,AVANCE[[#This Row],[REVESTIMIENTO INTERIOR ZONAS HUMEDAS]])</f>
        <v>0</v>
      </c>
      <c r="CL668" s="3">
        <f>+IF(AVANCE[[#This Row],[MEMBRANA CIELO]]=AY$2,100%,AVANCE[[#This Row],[MEMBRANA CIELO]])</f>
        <v>0</v>
      </c>
      <c r="CM668" s="3">
        <f>+IF(AVANCE[[#This Row],[LIMPIEZA FINAL]]=AZ$2,100%,AVANCE[[#This Row],[LIMPIEZA FINAL]])</f>
        <v>0</v>
      </c>
      <c r="CN668" s="3">
        <f>+IF(AVANCE[[#This Row],[PUERTAS DORMITORIO]]=BA$2,100%,AVANCE[[#This Row],[PUERTAS DORMITORIO]])</f>
        <v>0</v>
      </c>
      <c r="CO668" s="3">
        <f>+IF(AVANCE[[#This Row],[REVESTIMIENTO INTERIOR BANO]]=BB$2,100%,AVANCE[[#This Row],[REVESTIMIENTO INTERIOR BANO]])</f>
        <v>0</v>
      </c>
      <c r="CP668" s="3">
        <f>+IF(AVANCE[[#This Row],[MUEBLE LAVAPLATOS]]=BC$2,100%,AVANCE[[#This Row],[MUEBLE LAVAPLATOS]])</f>
        <v>0</v>
      </c>
      <c r="CQ668" s="3">
        <f>+IF(AVANCE[[#This Row],[IMPERMEABILIZACION BANO - COCINA LOGIA]]=BD$2,100%,AVANCE[[#This Row],[IMPERMEABILIZACION BANO - COCINA LOGIA]])</f>
        <v>0</v>
      </c>
      <c r="CR668" s="40">
        <f ca="1">+IF(AVANCE[[#This Row],[ESTADO MODULO]]="PENDIENTE",(TODAY()-AVANCE[[#This Row],[FECHA TERMINO  PLANIFICADO]]),0)</f>
        <v>0</v>
      </c>
      <c r="CS668" s="42" t="str" cm="1">
        <f t="array" ref="CS668">_xlfn.TEXTJOIN(" | ",TRUE,IF(SUMPRODUCT((BF668:CQ668&lt;1)*(PARTIDAS!$I$2:$AT$2="OBRA GRUESA"))&gt;0,"OBRA GRUESA: "&amp;_xlfn.TEXTJOIN(", ",TRUE,IF((BF668:CQ668&lt;1)*(PARTIDAS!$I$2:$AT$2="OBRA GRUESA"),PARTIDAS!$I$1:$AT$1,"")),""),IF(SUMPRODUCT((BF668:CQ668&lt;1)*(PARTIDAS!$I$2:$AT$2="SANITARIOS"))&gt;0,"SANITARIOS: "&amp;_xlfn.TEXTJOIN(", ",TRUE,IF((BF668:CQ668&lt;1)*(PARTIDAS!$I$2:$AT$2="SANITARIOS"),PARTIDAS!$I$1:$AT$1,"")),""),IF(SUMPRODUCT((BF668:CQ668&lt;1)*(PARTIDAS!$I$2:$AT$2="ELÉCTRICO"))&gt;0,"ELÉCTRICO: "&amp;_xlfn.TEXTJOIN(", ",TRUE,IF((BF668:CQ668&lt;1)*(PARTIDAS!$I$2:$AT$2="ELÉCTRICO"),PARTIDAS!$I$1:$AT$1,"")),""),IF(SUMPRODUCT((BF668:CQ668&lt;1)*(PARTIDAS!$I$2:$AT$2="TERMINACIONES"))&gt;0,"TERMINACIONES: "&amp;_xlfn.TEXTJOIN(", ",TRUE,IF((BF668:CQ668&lt;1)*(PARTIDAS!$I$2:$AT$2="TERMINACIONES"),PARTIDAS!$I$1:$AT$1,"")),""))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8" s="45" t="str" cm="1">
        <f t="array" ref="CT668">_xlfn.TEXTJOIN(", ",TRUE,IF(SUMPRODUCT((BF668:CQ668&lt;1)*(PARTIDAS!$I$2:$AT$2="OBRA GRUESA"))&gt;0,"OBRA GRUESA",""),IF(SUMPRODUCT((BF668:CQ668&lt;1)*(PARTIDAS!$I$2:$AT$2="SANITARIOS"))&gt;0,"SANITARIOS",""),IF(SUMPRODUCT((BF668:CQ668&lt;1)*(PARTIDAS!$I$2:$AT$2="ELÉCTRICO"))&gt;0,"ELÉCTRICO",""),IF(SUMPRODUCT((BF668:CQ668&lt;1)*(PARTIDAS!$I$2:$AT$2="TERMINACIONES"))&gt;0,"TERMINACIONES",""))</f>
        <v>OBRA GRUESA, SANITARIOS, ELÉCTRICO, TERMINACIONES</v>
      </c>
      <c r="CU668" s="46" cm="1">
        <f t="array" ref="CU668">SUMPRODUCT(--(BF668:CQ668&lt;1))</f>
        <v>38</v>
      </c>
    </row>
    <row r="669" spans="1:99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46181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 s="3" t="str">
        <f>+IF(AVANCE[[#This Row],[% AVANCE]]=100%,"MODULO TERMINADO",IF(AVANCE[[#This Row],[FECHA INICIO REAL]]="","MODULO NO INICIADO","PENDIENTE"))</f>
        <v>MODULO NO INICIADO</v>
      </c>
      <c r="BF669" s="3">
        <f>+IF(AVANCE[[#This Row],[VENTANAS]]=8.10810810810811%,100%,AVANCE[[#This Row],[VENTANAS]])</f>
        <v>0</v>
      </c>
      <c r="BG669" s="3">
        <f>+IF(AVANCE[[#This Row],[PISO]]=N$2,100%,AVANCE[[#This Row],[PISO]])</f>
        <v>0</v>
      </c>
      <c r="BH669" s="3">
        <f>+IF(AVANCE[[#This Row],[TABIQUES]]=O$2,100%,AVANCE[[#This Row],[TABIQUES]])</f>
        <v>0</v>
      </c>
      <c r="BI669" s="3">
        <f>+IF(AVANCE[[#This Row],[MUROS]]=P$2,100%,AVANCE[[#This Row],[MUROS]])</f>
        <v>0</v>
      </c>
      <c r="BJ669" s="3">
        <f>+IF(AVANCE[[#This Row],[CIELO]]=Q$2,100%,AVANCE[[#This Row],[CIELO]])</f>
        <v>0</v>
      </c>
      <c r="BK669" s="3">
        <f>+IF(AVANCE[[#This Row],[BALCÓN]]=R$2,100%,AVANCE[[#This Row],[BALCÓN]])</f>
        <v>0</v>
      </c>
      <c r="BL669" s="3">
        <f>+IF(AVANCE[[#This Row],[RED ALCANTARILLADO]]=U$2,100%,AVANCE[[#This Row],[RED ALCANTARILLADO]])</f>
        <v>0</v>
      </c>
      <c r="BM669" s="3">
        <f>+IF(AVANCE[[#This Row],[RED DE AGUA]]=V$2,100%,AVANCE[[#This Row],[RED DE AGUA]])</f>
        <v>0</v>
      </c>
      <c r="BN669" s="3">
        <f>+IF(AVANCE[[#This Row],[VENTILACIONES]]=W$2,100%,AVANCE[[#This Row],[VENTILACIONES]])</f>
        <v>0</v>
      </c>
      <c r="BO669" s="3">
        <f>+IF(AVANCE[[#This Row],[TINA]]=X$2,100%,AVANCE[[#This Row],[TINA]])</f>
        <v>0</v>
      </c>
      <c r="BP669" s="3">
        <f>+IF(AVANCE[[#This Row],[WC]]=Y$2,100%,AVANCE[[#This Row],[WC]])</f>
        <v>0</v>
      </c>
      <c r="BQ669" s="3">
        <f>+IF(AVANCE[[#This Row],[LAVAMANOS / LAVAPLATOS / LAVADERO]]=Z$2,100%,AVANCE[[#This Row],[LAVAMANOS / LAVAPLATOS / LAVADERO]])</f>
        <v>0</v>
      </c>
      <c r="BR669" s="3">
        <f>+IF(AVANCE[[#This Row],[CANALIZACIÓN]]=AC$2,100%,AVANCE[[#This Row],[CANALIZACIÓN]])</f>
        <v>0</v>
      </c>
      <c r="BS669" s="3">
        <f>+IF(AVANCE[[#This Row],[CABLEADO]]=AD$2,100%,AVANCE[[#This Row],[CABLEADO]])</f>
        <v>0</v>
      </c>
      <c r="BT669" s="3">
        <f>+IF(AVANCE[[#This Row],[ARTEFACTOS]]=AE$2,100%,AVANCE[[#This Row],[ARTEFACTOS]])</f>
        <v>0</v>
      </c>
      <c r="BU669" s="3">
        <f>+IF(AVANCE[[#This Row],[TABLERO]]=AF$2,100%,AVANCE[[#This Row],[TABLERO]])</f>
        <v>0</v>
      </c>
      <c r="BV669" s="3">
        <f>+IF(AVANCE[[#This Row],[CAJA PAU]]=AG$2,100%,AVANCE[[#This Row],[CAJA PAU]])</f>
        <v>0</v>
      </c>
      <c r="BW669" s="3">
        <f>+IF(AVANCE[[#This Row],[INSTALACION VINILICO]]=AJ$2,100%,AVANCE[[#This Row],[INSTALACION VINILICO]])</f>
        <v>0</v>
      </c>
      <c r="BX669" s="3">
        <f>+IF(AVANCE[[#This Row],[OSB CUBIERTA]]=AK$2,100%,AVANCE[[#This Row],[OSB CUBIERTA]])</f>
        <v>0</v>
      </c>
      <c r="BY669" s="3">
        <f>+IF(AVANCE[[#This Row],[BARANDA BALCON]]=AL$2,100%,AVANCE[[#This Row],[BARANDA BALCON]])</f>
        <v>0</v>
      </c>
      <c r="BZ669" s="3">
        <f>+IF(AVANCE[[#This Row],[OSB EXTERIOR]]=AM$2,100%,AVANCE[[#This Row],[OSB EXTERIOR]])</f>
        <v>0</v>
      </c>
      <c r="CA669" s="3">
        <f>+IF(AVANCE[[#This Row],[SMART PANEL]]=AN$2,100%,AVANCE[[#This Row],[SMART PANEL]])</f>
        <v>0</v>
      </c>
      <c r="CB669" s="3">
        <f>+IF(AVANCE[[#This Row],[PINTURA EXTERIOR]]=AO$2,100%,AVANCE[[#This Row],[PINTURA EXTERIOR]])</f>
        <v>0</v>
      </c>
      <c r="CC669" s="3">
        <f>+IF(AVANCE[[#This Row],[ZOCALOS LOGIA]]=AP$2,100%,AVANCE[[#This Row],[ZOCALOS LOGIA]])</f>
        <v>0</v>
      </c>
      <c r="CD669" s="3">
        <f>+IF(AVANCE[[#This Row],[MOLDURAS]]=AQ$2,100%,AVANCE[[#This Row],[MOLDURAS]])</f>
        <v>0</v>
      </c>
      <c r="CE669" s="3">
        <f>+IF(AVANCE[[#This Row],[PILASTREO]]=AR$2,100%,AVANCE[[#This Row],[PILASTREO]])</f>
        <v>0</v>
      </c>
      <c r="CF669" s="3">
        <f>+IF(AVANCE[[#This Row],[CELOSIAS]]=AS$2,100%,AVANCE[[#This Row],[CELOSIAS]])</f>
        <v>0</v>
      </c>
      <c r="CG669" s="3">
        <f>+IF(AVANCE[[#This Row],[VENTANAS]]=AT$2,100%,AVANCE[[#This Row],[VENTANAS]])</f>
        <v>0</v>
      </c>
      <c r="CH669" s="3">
        <f>+IF(AVANCE[[#This Row],[PUERTAS ACCESO - LOGIA - BANO]]=AU$2,100%,AVANCE[[#This Row],[PUERTAS ACCESO - LOGIA - BANO]])</f>
        <v>0</v>
      </c>
      <c r="CI669" s="3">
        <f>+IF(AVANCE[[#This Row],[CERRADURAS]]=AV$2,100%,AVANCE[[#This Row],[CERRADURAS]])</f>
        <v>0</v>
      </c>
      <c r="CJ669" s="3">
        <f>+IF(AVANCE[[#This Row],[REVESTIMIENTO INTERIOR ZONA SECA]]=AW$2,100%,AVANCE[[#This Row],[REVESTIMIENTO INTERIOR ZONA SECA]])</f>
        <v>0</v>
      </c>
      <c r="CK669" s="3">
        <f>+IF(AVANCE[[#This Row],[REVESTIMIENTO INTERIOR ZONAS HUMEDAS]]=AX$2,100%,AVANCE[[#This Row],[REVESTIMIENTO INTERIOR ZONAS HUMEDAS]])</f>
        <v>0</v>
      </c>
      <c r="CL669" s="3">
        <f>+IF(AVANCE[[#This Row],[MEMBRANA CIELO]]=AY$2,100%,AVANCE[[#This Row],[MEMBRANA CIELO]])</f>
        <v>0</v>
      </c>
      <c r="CM669" s="3">
        <f>+IF(AVANCE[[#This Row],[LIMPIEZA FINAL]]=AZ$2,100%,AVANCE[[#This Row],[LIMPIEZA FINAL]])</f>
        <v>0</v>
      </c>
      <c r="CN669" s="3">
        <f>+IF(AVANCE[[#This Row],[PUERTAS DORMITORIO]]=BA$2,100%,AVANCE[[#This Row],[PUERTAS DORMITORIO]])</f>
        <v>0</v>
      </c>
      <c r="CO669" s="3">
        <f>+IF(AVANCE[[#This Row],[REVESTIMIENTO INTERIOR BANO]]=BB$2,100%,AVANCE[[#This Row],[REVESTIMIENTO INTERIOR BANO]])</f>
        <v>0</v>
      </c>
      <c r="CP669" s="3">
        <f>+IF(AVANCE[[#This Row],[MUEBLE LAVAPLATOS]]=BC$2,100%,AVANCE[[#This Row],[MUEBLE LAVAPLATOS]])</f>
        <v>0</v>
      </c>
      <c r="CQ669" s="3">
        <f>+IF(AVANCE[[#This Row],[IMPERMEABILIZACION BANO - COCINA LOGIA]]=BD$2,100%,AVANCE[[#This Row],[IMPERMEABILIZACION BANO - COCINA LOGIA]])</f>
        <v>0</v>
      </c>
      <c r="CR669" s="40">
        <f ca="1">+IF(AVANCE[[#This Row],[ESTADO MODULO]]="PENDIENTE",(TODAY()-AVANCE[[#This Row],[FECHA TERMINO  PLANIFICADO]]),0)</f>
        <v>0</v>
      </c>
      <c r="CS669" s="42" t="str" cm="1">
        <f t="array" ref="CS669">_xlfn.TEXTJOIN(" | ",TRUE,IF(SUMPRODUCT((BF669:CQ669&lt;1)*(PARTIDAS!$I$2:$AT$2="OBRA GRUESA"))&gt;0,"OBRA GRUESA: "&amp;_xlfn.TEXTJOIN(", ",TRUE,IF((BF669:CQ669&lt;1)*(PARTIDAS!$I$2:$AT$2="OBRA GRUESA"),PARTIDAS!$I$1:$AT$1,"")),""),IF(SUMPRODUCT((BF669:CQ669&lt;1)*(PARTIDAS!$I$2:$AT$2="SANITARIOS"))&gt;0,"SANITARIOS: "&amp;_xlfn.TEXTJOIN(", ",TRUE,IF((BF669:CQ669&lt;1)*(PARTIDAS!$I$2:$AT$2="SANITARIOS"),PARTIDAS!$I$1:$AT$1,"")),""),IF(SUMPRODUCT((BF669:CQ669&lt;1)*(PARTIDAS!$I$2:$AT$2="ELÉCTRICO"))&gt;0,"ELÉCTRICO: "&amp;_xlfn.TEXTJOIN(", ",TRUE,IF((BF669:CQ669&lt;1)*(PARTIDAS!$I$2:$AT$2="ELÉCTRICO"),PARTIDAS!$I$1:$AT$1,"")),""),IF(SUMPRODUCT((BF669:CQ669&lt;1)*(PARTIDAS!$I$2:$AT$2="TERMINACIONES"))&gt;0,"TERMINACIONES: "&amp;_xlfn.TEXTJOIN(", ",TRUE,IF((BF669:CQ669&lt;1)*(PARTIDAS!$I$2:$AT$2="TERMINACIONES"),PARTIDAS!$I$1:$AT$1,"")),""))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69" s="45" t="str" cm="1">
        <f t="array" ref="CT669">_xlfn.TEXTJOIN(", ",TRUE,IF(SUMPRODUCT((BF669:CQ669&lt;1)*(PARTIDAS!$I$2:$AT$2="OBRA GRUESA"))&gt;0,"OBRA GRUESA",""),IF(SUMPRODUCT((BF669:CQ669&lt;1)*(PARTIDAS!$I$2:$AT$2="SANITARIOS"))&gt;0,"SANITARIOS",""),IF(SUMPRODUCT((BF669:CQ669&lt;1)*(PARTIDAS!$I$2:$AT$2="ELÉCTRICO"))&gt;0,"ELÉCTRICO",""),IF(SUMPRODUCT((BF669:CQ669&lt;1)*(PARTIDAS!$I$2:$AT$2="TERMINACIONES"))&gt;0,"TERMINACIONES",""))</f>
        <v>OBRA GRUESA, SANITARIOS, ELÉCTRICO, TERMINACIONES</v>
      </c>
      <c r="CU669" s="46" cm="1">
        <f t="array" ref="CU669">SUMPRODUCT(--(BF669:CQ669&lt;1))</f>
        <v>38</v>
      </c>
    </row>
    <row r="670" spans="1:99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46181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 s="3" t="str">
        <f>+IF(AVANCE[[#This Row],[% AVANCE]]=100%,"MODULO TERMINADO",IF(AVANCE[[#This Row],[FECHA INICIO REAL]]="","MODULO NO INICIADO","PENDIENTE"))</f>
        <v>MODULO NO INICIADO</v>
      </c>
      <c r="BF670" s="3">
        <f>+IF(AVANCE[[#This Row],[VENTANAS]]=8.10810810810811%,100%,AVANCE[[#This Row],[VENTANAS]])</f>
        <v>0</v>
      </c>
      <c r="BG670" s="3">
        <f>+IF(AVANCE[[#This Row],[PISO]]=N$2,100%,AVANCE[[#This Row],[PISO]])</f>
        <v>0</v>
      </c>
      <c r="BH670" s="3">
        <f>+IF(AVANCE[[#This Row],[TABIQUES]]=O$2,100%,AVANCE[[#This Row],[TABIQUES]])</f>
        <v>0</v>
      </c>
      <c r="BI670" s="3">
        <f>+IF(AVANCE[[#This Row],[MUROS]]=P$2,100%,AVANCE[[#This Row],[MUROS]])</f>
        <v>0</v>
      </c>
      <c r="BJ670" s="3">
        <f>+IF(AVANCE[[#This Row],[CIELO]]=Q$2,100%,AVANCE[[#This Row],[CIELO]])</f>
        <v>0</v>
      </c>
      <c r="BK670" s="3">
        <f>+IF(AVANCE[[#This Row],[BALCÓN]]=R$2,100%,AVANCE[[#This Row],[BALCÓN]])</f>
        <v>0</v>
      </c>
      <c r="BL670" s="3">
        <f>+IF(AVANCE[[#This Row],[RED ALCANTARILLADO]]=U$2,100%,AVANCE[[#This Row],[RED ALCANTARILLADO]])</f>
        <v>0</v>
      </c>
      <c r="BM670" s="3">
        <f>+IF(AVANCE[[#This Row],[RED DE AGUA]]=V$2,100%,AVANCE[[#This Row],[RED DE AGUA]])</f>
        <v>0</v>
      </c>
      <c r="BN670" s="3">
        <f>+IF(AVANCE[[#This Row],[VENTILACIONES]]=W$2,100%,AVANCE[[#This Row],[VENTILACIONES]])</f>
        <v>0</v>
      </c>
      <c r="BO670" s="3">
        <f>+IF(AVANCE[[#This Row],[TINA]]=X$2,100%,AVANCE[[#This Row],[TINA]])</f>
        <v>0</v>
      </c>
      <c r="BP670" s="3">
        <f>+IF(AVANCE[[#This Row],[WC]]=Y$2,100%,AVANCE[[#This Row],[WC]])</f>
        <v>0</v>
      </c>
      <c r="BQ670" s="3">
        <f>+IF(AVANCE[[#This Row],[LAVAMANOS / LAVAPLATOS / LAVADERO]]=Z$2,100%,AVANCE[[#This Row],[LAVAMANOS / LAVAPLATOS / LAVADERO]])</f>
        <v>0</v>
      </c>
      <c r="BR670" s="3">
        <f>+IF(AVANCE[[#This Row],[CANALIZACIÓN]]=AC$2,100%,AVANCE[[#This Row],[CANALIZACIÓN]])</f>
        <v>0</v>
      </c>
      <c r="BS670" s="3">
        <f>+IF(AVANCE[[#This Row],[CABLEADO]]=AD$2,100%,AVANCE[[#This Row],[CABLEADO]])</f>
        <v>0</v>
      </c>
      <c r="BT670" s="3">
        <f>+IF(AVANCE[[#This Row],[ARTEFACTOS]]=AE$2,100%,AVANCE[[#This Row],[ARTEFACTOS]])</f>
        <v>0</v>
      </c>
      <c r="BU670" s="3">
        <f>+IF(AVANCE[[#This Row],[TABLERO]]=AF$2,100%,AVANCE[[#This Row],[TABLERO]])</f>
        <v>0</v>
      </c>
      <c r="BV670" s="3">
        <f>+IF(AVANCE[[#This Row],[CAJA PAU]]=AG$2,100%,AVANCE[[#This Row],[CAJA PAU]])</f>
        <v>0</v>
      </c>
      <c r="BW670" s="3">
        <f>+IF(AVANCE[[#This Row],[INSTALACION VINILICO]]=AJ$2,100%,AVANCE[[#This Row],[INSTALACION VINILICO]])</f>
        <v>0</v>
      </c>
      <c r="BX670" s="3">
        <f>+IF(AVANCE[[#This Row],[OSB CUBIERTA]]=AK$2,100%,AVANCE[[#This Row],[OSB CUBIERTA]])</f>
        <v>0</v>
      </c>
      <c r="BY670" s="3">
        <f>+IF(AVANCE[[#This Row],[BARANDA BALCON]]=AL$2,100%,AVANCE[[#This Row],[BARANDA BALCON]])</f>
        <v>0</v>
      </c>
      <c r="BZ670" s="3">
        <f>+IF(AVANCE[[#This Row],[OSB EXTERIOR]]=AM$2,100%,AVANCE[[#This Row],[OSB EXTERIOR]])</f>
        <v>0</v>
      </c>
      <c r="CA670" s="3">
        <f>+IF(AVANCE[[#This Row],[SMART PANEL]]=AN$2,100%,AVANCE[[#This Row],[SMART PANEL]])</f>
        <v>0</v>
      </c>
      <c r="CB670" s="3">
        <f>+IF(AVANCE[[#This Row],[PINTURA EXTERIOR]]=AO$2,100%,AVANCE[[#This Row],[PINTURA EXTERIOR]])</f>
        <v>0</v>
      </c>
      <c r="CC670" s="3">
        <f>+IF(AVANCE[[#This Row],[ZOCALOS LOGIA]]=AP$2,100%,AVANCE[[#This Row],[ZOCALOS LOGIA]])</f>
        <v>0</v>
      </c>
      <c r="CD670" s="3">
        <f>+IF(AVANCE[[#This Row],[MOLDURAS]]=AQ$2,100%,AVANCE[[#This Row],[MOLDURAS]])</f>
        <v>0</v>
      </c>
      <c r="CE670" s="3">
        <f>+IF(AVANCE[[#This Row],[PILASTREO]]=AR$2,100%,AVANCE[[#This Row],[PILASTREO]])</f>
        <v>0</v>
      </c>
      <c r="CF670" s="3">
        <f>+IF(AVANCE[[#This Row],[CELOSIAS]]=AS$2,100%,AVANCE[[#This Row],[CELOSIAS]])</f>
        <v>0</v>
      </c>
      <c r="CG670" s="3">
        <f>+IF(AVANCE[[#This Row],[VENTANAS]]=AT$2,100%,AVANCE[[#This Row],[VENTANAS]])</f>
        <v>0</v>
      </c>
      <c r="CH670" s="3">
        <f>+IF(AVANCE[[#This Row],[PUERTAS ACCESO - LOGIA - BANO]]=AU$2,100%,AVANCE[[#This Row],[PUERTAS ACCESO - LOGIA - BANO]])</f>
        <v>0</v>
      </c>
      <c r="CI670" s="3">
        <f>+IF(AVANCE[[#This Row],[CERRADURAS]]=AV$2,100%,AVANCE[[#This Row],[CERRADURAS]])</f>
        <v>0</v>
      </c>
      <c r="CJ670" s="3">
        <f>+IF(AVANCE[[#This Row],[REVESTIMIENTO INTERIOR ZONA SECA]]=AW$2,100%,AVANCE[[#This Row],[REVESTIMIENTO INTERIOR ZONA SECA]])</f>
        <v>0</v>
      </c>
      <c r="CK670" s="3">
        <f>+IF(AVANCE[[#This Row],[REVESTIMIENTO INTERIOR ZONAS HUMEDAS]]=AX$2,100%,AVANCE[[#This Row],[REVESTIMIENTO INTERIOR ZONAS HUMEDAS]])</f>
        <v>0</v>
      </c>
      <c r="CL670" s="3">
        <f>+IF(AVANCE[[#This Row],[MEMBRANA CIELO]]=AY$2,100%,AVANCE[[#This Row],[MEMBRANA CIELO]])</f>
        <v>0</v>
      </c>
      <c r="CM670" s="3">
        <f>+IF(AVANCE[[#This Row],[LIMPIEZA FINAL]]=AZ$2,100%,AVANCE[[#This Row],[LIMPIEZA FINAL]])</f>
        <v>0</v>
      </c>
      <c r="CN670" s="3">
        <f>+IF(AVANCE[[#This Row],[PUERTAS DORMITORIO]]=BA$2,100%,AVANCE[[#This Row],[PUERTAS DORMITORIO]])</f>
        <v>0</v>
      </c>
      <c r="CO670" s="3">
        <f>+IF(AVANCE[[#This Row],[REVESTIMIENTO INTERIOR BANO]]=BB$2,100%,AVANCE[[#This Row],[REVESTIMIENTO INTERIOR BANO]])</f>
        <v>0</v>
      </c>
      <c r="CP670" s="3">
        <f>+IF(AVANCE[[#This Row],[MUEBLE LAVAPLATOS]]=BC$2,100%,AVANCE[[#This Row],[MUEBLE LAVAPLATOS]])</f>
        <v>0</v>
      </c>
      <c r="CQ670" s="3">
        <f>+IF(AVANCE[[#This Row],[IMPERMEABILIZACION BANO - COCINA LOGIA]]=BD$2,100%,AVANCE[[#This Row],[IMPERMEABILIZACION BANO - COCINA LOGIA]])</f>
        <v>0</v>
      </c>
      <c r="CR670" s="40">
        <f ca="1">+IF(AVANCE[[#This Row],[ESTADO MODULO]]="PENDIENTE",(TODAY()-AVANCE[[#This Row],[FECHA TERMINO  PLANIFICADO]]),0)</f>
        <v>0</v>
      </c>
      <c r="CS670" s="42" t="str" cm="1">
        <f t="array" ref="CS670">_xlfn.TEXTJOIN(" | ",TRUE,IF(SUMPRODUCT((BF670:CQ670&lt;1)*(PARTIDAS!$I$2:$AT$2="OBRA GRUESA"))&gt;0,"OBRA GRUESA: "&amp;_xlfn.TEXTJOIN(", ",TRUE,IF((BF670:CQ670&lt;1)*(PARTIDAS!$I$2:$AT$2="OBRA GRUESA"),PARTIDAS!$I$1:$AT$1,"")),""),IF(SUMPRODUCT((BF670:CQ670&lt;1)*(PARTIDAS!$I$2:$AT$2="SANITARIOS"))&gt;0,"SANITARIOS: "&amp;_xlfn.TEXTJOIN(", ",TRUE,IF((BF670:CQ670&lt;1)*(PARTIDAS!$I$2:$AT$2="SANITARIOS"),PARTIDAS!$I$1:$AT$1,"")),""),IF(SUMPRODUCT((BF670:CQ670&lt;1)*(PARTIDAS!$I$2:$AT$2="ELÉCTRICO"))&gt;0,"ELÉCTRICO: "&amp;_xlfn.TEXTJOIN(", ",TRUE,IF((BF670:CQ670&lt;1)*(PARTIDAS!$I$2:$AT$2="ELÉCTRICO"),PARTIDAS!$I$1:$AT$1,"")),""),IF(SUMPRODUCT((BF670:CQ670&lt;1)*(PARTIDAS!$I$2:$AT$2="TERMINACIONES"))&gt;0,"TERMINACIONES: "&amp;_xlfn.TEXTJOIN(", ",TRUE,IF((BF670:CQ670&lt;1)*(PARTIDAS!$I$2:$AT$2="TERMINACIONES"),PARTIDAS!$I$1:$AT$1,"")),""))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0" s="45" t="str" cm="1">
        <f t="array" ref="CT670">_xlfn.TEXTJOIN(", ",TRUE,IF(SUMPRODUCT((BF670:CQ670&lt;1)*(PARTIDAS!$I$2:$AT$2="OBRA GRUESA"))&gt;0,"OBRA GRUESA",""),IF(SUMPRODUCT((BF670:CQ670&lt;1)*(PARTIDAS!$I$2:$AT$2="SANITARIOS"))&gt;0,"SANITARIOS",""),IF(SUMPRODUCT((BF670:CQ670&lt;1)*(PARTIDAS!$I$2:$AT$2="ELÉCTRICO"))&gt;0,"ELÉCTRICO",""),IF(SUMPRODUCT((BF670:CQ670&lt;1)*(PARTIDAS!$I$2:$AT$2="TERMINACIONES"))&gt;0,"TERMINACIONES",""))</f>
        <v>OBRA GRUESA, SANITARIOS, ELÉCTRICO, TERMINACIONES</v>
      </c>
      <c r="CU670" s="46" cm="1">
        <f t="array" ref="CU670">SUMPRODUCT(--(BF670:CQ670&lt;1))</f>
        <v>38</v>
      </c>
    </row>
    <row r="671" spans="1:99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46181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 s="3" t="str">
        <f>+IF(AVANCE[[#This Row],[% AVANCE]]=100%,"MODULO TERMINADO",IF(AVANCE[[#This Row],[FECHA INICIO REAL]]="","MODULO NO INICIADO","PENDIENTE"))</f>
        <v>MODULO NO INICIADO</v>
      </c>
      <c r="BF671" s="3">
        <f>+IF(AVANCE[[#This Row],[VENTANAS]]=8.10810810810811%,100%,AVANCE[[#This Row],[VENTANAS]])</f>
        <v>0</v>
      </c>
      <c r="BG671" s="3">
        <f>+IF(AVANCE[[#This Row],[PISO]]=N$2,100%,AVANCE[[#This Row],[PISO]])</f>
        <v>0</v>
      </c>
      <c r="BH671" s="3">
        <f>+IF(AVANCE[[#This Row],[TABIQUES]]=O$2,100%,AVANCE[[#This Row],[TABIQUES]])</f>
        <v>0</v>
      </c>
      <c r="BI671" s="3">
        <f>+IF(AVANCE[[#This Row],[MUROS]]=P$2,100%,AVANCE[[#This Row],[MUROS]])</f>
        <v>0</v>
      </c>
      <c r="BJ671" s="3">
        <f>+IF(AVANCE[[#This Row],[CIELO]]=Q$2,100%,AVANCE[[#This Row],[CIELO]])</f>
        <v>0</v>
      </c>
      <c r="BK671" s="3">
        <f>+IF(AVANCE[[#This Row],[BALCÓN]]=R$2,100%,AVANCE[[#This Row],[BALCÓN]])</f>
        <v>0</v>
      </c>
      <c r="BL671" s="3">
        <f>+IF(AVANCE[[#This Row],[RED ALCANTARILLADO]]=U$2,100%,AVANCE[[#This Row],[RED ALCANTARILLADO]])</f>
        <v>0</v>
      </c>
      <c r="BM671" s="3">
        <f>+IF(AVANCE[[#This Row],[RED DE AGUA]]=V$2,100%,AVANCE[[#This Row],[RED DE AGUA]])</f>
        <v>0</v>
      </c>
      <c r="BN671" s="3">
        <f>+IF(AVANCE[[#This Row],[VENTILACIONES]]=W$2,100%,AVANCE[[#This Row],[VENTILACIONES]])</f>
        <v>0</v>
      </c>
      <c r="BO671" s="3">
        <f>+IF(AVANCE[[#This Row],[TINA]]=X$2,100%,AVANCE[[#This Row],[TINA]])</f>
        <v>0</v>
      </c>
      <c r="BP671" s="3">
        <f>+IF(AVANCE[[#This Row],[WC]]=Y$2,100%,AVANCE[[#This Row],[WC]])</f>
        <v>0</v>
      </c>
      <c r="BQ671" s="3">
        <f>+IF(AVANCE[[#This Row],[LAVAMANOS / LAVAPLATOS / LAVADERO]]=Z$2,100%,AVANCE[[#This Row],[LAVAMANOS / LAVAPLATOS / LAVADERO]])</f>
        <v>0</v>
      </c>
      <c r="BR671" s="3">
        <f>+IF(AVANCE[[#This Row],[CANALIZACIÓN]]=AC$2,100%,AVANCE[[#This Row],[CANALIZACIÓN]])</f>
        <v>0</v>
      </c>
      <c r="BS671" s="3">
        <f>+IF(AVANCE[[#This Row],[CABLEADO]]=AD$2,100%,AVANCE[[#This Row],[CABLEADO]])</f>
        <v>0</v>
      </c>
      <c r="BT671" s="3">
        <f>+IF(AVANCE[[#This Row],[ARTEFACTOS]]=AE$2,100%,AVANCE[[#This Row],[ARTEFACTOS]])</f>
        <v>0</v>
      </c>
      <c r="BU671" s="3">
        <f>+IF(AVANCE[[#This Row],[TABLERO]]=AF$2,100%,AVANCE[[#This Row],[TABLERO]])</f>
        <v>0</v>
      </c>
      <c r="BV671" s="3">
        <f>+IF(AVANCE[[#This Row],[CAJA PAU]]=AG$2,100%,AVANCE[[#This Row],[CAJA PAU]])</f>
        <v>0</v>
      </c>
      <c r="BW671" s="3">
        <f>+IF(AVANCE[[#This Row],[INSTALACION VINILICO]]=AJ$2,100%,AVANCE[[#This Row],[INSTALACION VINILICO]])</f>
        <v>0</v>
      </c>
      <c r="BX671" s="3">
        <f>+IF(AVANCE[[#This Row],[OSB CUBIERTA]]=AK$2,100%,AVANCE[[#This Row],[OSB CUBIERTA]])</f>
        <v>0</v>
      </c>
      <c r="BY671" s="3">
        <f>+IF(AVANCE[[#This Row],[BARANDA BALCON]]=AL$2,100%,AVANCE[[#This Row],[BARANDA BALCON]])</f>
        <v>0</v>
      </c>
      <c r="BZ671" s="3">
        <f>+IF(AVANCE[[#This Row],[OSB EXTERIOR]]=AM$2,100%,AVANCE[[#This Row],[OSB EXTERIOR]])</f>
        <v>0</v>
      </c>
      <c r="CA671" s="3">
        <f>+IF(AVANCE[[#This Row],[SMART PANEL]]=AN$2,100%,AVANCE[[#This Row],[SMART PANEL]])</f>
        <v>0</v>
      </c>
      <c r="CB671" s="3">
        <f>+IF(AVANCE[[#This Row],[PINTURA EXTERIOR]]=AO$2,100%,AVANCE[[#This Row],[PINTURA EXTERIOR]])</f>
        <v>0</v>
      </c>
      <c r="CC671" s="3">
        <f>+IF(AVANCE[[#This Row],[ZOCALOS LOGIA]]=AP$2,100%,AVANCE[[#This Row],[ZOCALOS LOGIA]])</f>
        <v>0</v>
      </c>
      <c r="CD671" s="3">
        <f>+IF(AVANCE[[#This Row],[MOLDURAS]]=AQ$2,100%,AVANCE[[#This Row],[MOLDURAS]])</f>
        <v>0</v>
      </c>
      <c r="CE671" s="3">
        <f>+IF(AVANCE[[#This Row],[PILASTREO]]=AR$2,100%,AVANCE[[#This Row],[PILASTREO]])</f>
        <v>0</v>
      </c>
      <c r="CF671" s="3">
        <f>+IF(AVANCE[[#This Row],[CELOSIAS]]=AS$2,100%,AVANCE[[#This Row],[CELOSIAS]])</f>
        <v>0</v>
      </c>
      <c r="CG671" s="3">
        <f>+IF(AVANCE[[#This Row],[VENTANAS]]=AT$2,100%,AVANCE[[#This Row],[VENTANAS]])</f>
        <v>0</v>
      </c>
      <c r="CH671" s="3">
        <f>+IF(AVANCE[[#This Row],[PUERTAS ACCESO - LOGIA - BANO]]=AU$2,100%,AVANCE[[#This Row],[PUERTAS ACCESO - LOGIA - BANO]])</f>
        <v>0</v>
      </c>
      <c r="CI671" s="3">
        <f>+IF(AVANCE[[#This Row],[CERRADURAS]]=AV$2,100%,AVANCE[[#This Row],[CERRADURAS]])</f>
        <v>0</v>
      </c>
      <c r="CJ671" s="3">
        <f>+IF(AVANCE[[#This Row],[REVESTIMIENTO INTERIOR ZONA SECA]]=AW$2,100%,AVANCE[[#This Row],[REVESTIMIENTO INTERIOR ZONA SECA]])</f>
        <v>0</v>
      </c>
      <c r="CK671" s="3">
        <f>+IF(AVANCE[[#This Row],[REVESTIMIENTO INTERIOR ZONAS HUMEDAS]]=AX$2,100%,AVANCE[[#This Row],[REVESTIMIENTO INTERIOR ZONAS HUMEDAS]])</f>
        <v>0</v>
      </c>
      <c r="CL671" s="3">
        <f>+IF(AVANCE[[#This Row],[MEMBRANA CIELO]]=AY$2,100%,AVANCE[[#This Row],[MEMBRANA CIELO]])</f>
        <v>0</v>
      </c>
      <c r="CM671" s="3">
        <f>+IF(AVANCE[[#This Row],[LIMPIEZA FINAL]]=AZ$2,100%,AVANCE[[#This Row],[LIMPIEZA FINAL]])</f>
        <v>0</v>
      </c>
      <c r="CN671" s="3">
        <f>+IF(AVANCE[[#This Row],[PUERTAS DORMITORIO]]=BA$2,100%,AVANCE[[#This Row],[PUERTAS DORMITORIO]])</f>
        <v>0</v>
      </c>
      <c r="CO671" s="3">
        <f>+IF(AVANCE[[#This Row],[REVESTIMIENTO INTERIOR BANO]]=BB$2,100%,AVANCE[[#This Row],[REVESTIMIENTO INTERIOR BANO]])</f>
        <v>0</v>
      </c>
      <c r="CP671" s="3">
        <f>+IF(AVANCE[[#This Row],[MUEBLE LAVAPLATOS]]=BC$2,100%,AVANCE[[#This Row],[MUEBLE LAVAPLATOS]])</f>
        <v>0</v>
      </c>
      <c r="CQ671" s="3">
        <f>+IF(AVANCE[[#This Row],[IMPERMEABILIZACION BANO - COCINA LOGIA]]=BD$2,100%,AVANCE[[#This Row],[IMPERMEABILIZACION BANO - COCINA LOGIA]])</f>
        <v>0</v>
      </c>
      <c r="CR671" s="40">
        <f ca="1">+IF(AVANCE[[#This Row],[ESTADO MODULO]]="PENDIENTE",(TODAY()-AVANCE[[#This Row],[FECHA TERMINO  PLANIFICADO]]),0)</f>
        <v>0</v>
      </c>
      <c r="CS671" s="42" t="str" cm="1">
        <f t="array" ref="CS671">_xlfn.TEXTJOIN(" | ",TRUE,IF(SUMPRODUCT((BF671:CQ671&lt;1)*(PARTIDAS!$I$2:$AT$2="OBRA GRUESA"))&gt;0,"OBRA GRUESA: "&amp;_xlfn.TEXTJOIN(", ",TRUE,IF((BF671:CQ671&lt;1)*(PARTIDAS!$I$2:$AT$2="OBRA GRUESA"),PARTIDAS!$I$1:$AT$1,"")),""),IF(SUMPRODUCT((BF671:CQ671&lt;1)*(PARTIDAS!$I$2:$AT$2="SANITARIOS"))&gt;0,"SANITARIOS: "&amp;_xlfn.TEXTJOIN(", ",TRUE,IF((BF671:CQ671&lt;1)*(PARTIDAS!$I$2:$AT$2="SANITARIOS"),PARTIDAS!$I$1:$AT$1,"")),""),IF(SUMPRODUCT((BF671:CQ671&lt;1)*(PARTIDAS!$I$2:$AT$2="ELÉCTRICO"))&gt;0,"ELÉCTRICO: "&amp;_xlfn.TEXTJOIN(", ",TRUE,IF((BF671:CQ671&lt;1)*(PARTIDAS!$I$2:$AT$2="ELÉCTRICO"),PARTIDAS!$I$1:$AT$1,"")),""),IF(SUMPRODUCT((BF671:CQ671&lt;1)*(PARTIDAS!$I$2:$AT$2="TERMINACIONES"))&gt;0,"TERMINACIONES: "&amp;_xlfn.TEXTJOIN(", ",TRUE,IF((BF671:CQ671&lt;1)*(PARTIDAS!$I$2:$AT$2="TERMINACIONES"),PARTIDAS!$I$1:$AT$1,"")),""))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1" s="45" t="str" cm="1">
        <f t="array" ref="CT671">_xlfn.TEXTJOIN(", ",TRUE,IF(SUMPRODUCT((BF671:CQ671&lt;1)*(PARTIDAS!$I$2:$AT$2="OBRA GRUESA"))&gt;0,"OBRA GRUESA",""),IF(SUMPRODUCT((BF671:CQ671&lt;1)*(PARTIDAS!$I$2:$AT$2="SANITARIOS"))&gt;0,"SANITARIOS",""),IF(SUMPRODUCT((BF671:CQ671&lt;1)*(PARTIDAS!$I$2:$AT$2="ELÉCTRICO"))&gt;0,"ELÉCTRICO",""),IF(SUMPRODUCT((BF671:CQ671&lt;1)*(PARTIDAS!$I$2:$AT$2="TERMINACIONES"))&gt;0,"TERMINACIONES",""))</f>
        <v>OBRA GRUESA, SANITARIOS, ELÉCTRICO, TERMINACIONES</v>
      </c>
      <c r="CU671" s="46" cm="1">
        <f t="array" ref="CU671">SUMPRODUCT(--(BF671:CQ671&lt;1))</f>
        <v>38</v>
      </c>
    </row>
    <row r="672" spans="1:99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46181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 s="3" t="str">
        <f>+IF(AVANCE[[#This Row],[% AVANCE]]=100%,"MODULO TERMINADO",IF(AVANCE[[#This Row],[FECHA INICIO REAL]]="","MODULO NO INICIADO","PENDIENTE"))</f>
        <v>MODULO NO INICIADO</v>
      </c>
      <c r="BF672" s="3">
        <f>+IF(AVANCE[[#This Row],[VENTANAS]]=8.10810810810811%,100%,AVANCE[[#This Row],[VENTANAS]])</f>
        <v>0</v>
      </c>
      <c r="BG672" s="3">
        <f>+IF(AVANCE[[#This Row],[PISO]]=N$2,100%,AVANCE[[#This Row],[PISO]])</f>
        <v>0</v>
      </c>
      <c r="BH672" s="3">
        <f>+IF(AVANCE[[#This Row],[TABIQUES]]=O$2,100%,AVANCE[[#This Row],[TABIQUES]])</f>
        <v>0</v>
      </c>
      <c r="BI672" s="3">
        <f>+IF(AVANCE[[#This Row],[MUROS]]=P$2,100%,AVANCE[[#This Row],[MUROS]])</f>
        <v>0</v>
      </c>
      <c r="BJ672" s="3">
        <f>+IF(AVANCE[[#This Row],[CIELO]]=Q$2,100%,AVANCE[[#This Row],[CIELO]])</f>
        <v>0</v>
      </c>
      <c r="BK672" s="3">
        <f>+IF(AVANCE[[#This Row],[BALCÓN]]=R$2,100%,AVANCE[[#This Row],[BALCÓN]])</f>
        <v>0</v>
      </c>
      <c r="BL672" s="3">
        <f>+IF(AVANCE[[#This Row],[RED ALCANTARILLADO]]=U$2,100%,AVANCE[[#This Row],[RED ALCANTARILLADO]])</f>
        <v>0</v>
      </c>
      <c r="BM672" s="3">
        <f>+IF(AVANCE[[#This Row],[RED DE AGUA]]=V$2,100%,AVANCE[[#This Row],[RED DE AGUA]])</f>
        <v>0</v>
      </c>
      <c r="BN672" s="3">
        <f>+IF(AVANCE[[#This Row],[VENTILACIONES]]=W$2,100%,AVANCE[[#This Row],[VENTILACIONES]])</f>
        <v>0</v>
      </c>
      <c r="BO672" s="3">
        <f>+IF(AVANCE[[#This Row],[TINA]]=X$2,100%,AVANCE[[#This Row],[TINA]])</f>
        <v>0</v>
      </c>
      <c r="BP672" s="3">
        <f>+IF(AVANCE[[#This Row],[WC]]=Y$2,100%,AVANCE[[#This Row],[WC]])</f>
        <v>0</v>
      </c>
      <c r="BQ672" s="3">
        <f>+IF(AVANCE[[#This Row],[LAVAMANOS / LAVAPLATOS / LAVADERO]]=Z$2,100%,AVANCE[[#This Row],[LAVAMANOS / LAVAPLATOS / LAVADERO]])</f>
        <v>0</v>
      </c>
      <c r="BR672" s="3">
        <f>+IF(AVANCE[[#This Row],[CANALIZACIÓN]]=AC$2,100%,AVANCE[[#This Row],[CANALIZACIÓN]])</f>
        <v>0</v>
      </c>
      <c r="BS672" s="3">
        <f>+IF(AVANCE[[#This Row],[CABLEADO]]=AD$2,100%,AVANCE[[#This Row],[CABLEADO]])</f>
        <v>0</v>
      </c>
      <c r="BT672" s="3">
        <f>+IF(AVANCE[[#This Row],[ARTEFACTOS]]=AE$2,100%,AVANCE[[#This Row],[ARTEFACTOS]])</f>
        <v>0</v>
      </c>
      <c r="BU672" s="3">
        <f>+IF(AVANCE[[#This Row],[TABLERO]]=AF$2,100%,AVANCE[[#This Row],[TABLERO]])</f>
        <v>0</v>
      </c>
      <c r="BV672" s="3">
        <f>+IF(AVANCE[[#This Row],[CAJA PAU]]=AG$2,100%,AVANCE[[#This Row],[CAJA PAU]])</f>
        <v>0</v>
      </c>
      <c r="BW672" s="3">
        <f>+IF(AVANCE[[#This Row],[INSTALACION VINILICO]]=AJ$2,100%,AVANCE[[#This Row],[INSTALACION VINILICO]])</f>
        <v>0</v>
      </c>
      <c r="BX672" s="3">
        <f>+IF(AVANCE[[#This Row],[OSB CUBIERTA]]=AK$2,100%,AVANCE[[#This Row],[OSB CUBIERTA]])</f>
        <v>0</v>
      </c>
      <c r="BY672" s="3">
        <f>+IF(AVANCE[[#This Row],[BARANDA BALCON]]=AL$2,100%,AVANCE[[#This Row],[BARANDA BALCON]])</f>
        <v>0</v>
      </c>
      <c r="BZ672" s="3">
        <f>+IF(AVANCE[[#This Row],[OSB EXTERIOR]]=AM$2,100%,AVANCE[[#This Row],[OSB EXTERIOR]])</f>
        <v>0</v>
      </c>
      <c r="CA672" s="3">
        <f>+IF(AVANCE[[#This Row],[SMART PANEL]]=AN$2,100%,AVANCE[[#This Row],[SMART PANEL]])</f>
        <v>0</v>
      </c>
      <c r="CB672" s="3">
        <f>+IF(AVANCE[[#This Row],[PINTURA EXTERIOR]]=AO$2,100%,AVANCE[[#This Row],[PINTURA EXTERIOR]])</f>
        <v>0</v>
      </c>
      <c r="CC672" s="3">
        <f>+IF(AVANCE[[#This Row],[ZOCALOS LOGIA]]=AP$2,100%,AVANCE[[#This Row],[ZOCALOS LOGIA]])</f>
        <v>0</v>
      </c>
      <c r="CD672" s="3">
        <f>+IF(AVANCE[[#This Row],[MOLDURAS]]=AQ$2,100%,AVANCE[[#This Row],[MOLDURAS]])</f>
        <v>0</v>
      </c>
      <c r="CE672" s="3">
        <f>+IF(AVANCE[[#This Row],[PILASTREO]]=AR$2,100%,AVANCE[[#This Row],[PILASTREO]])</f>
        <v>0</v>
      </c>
      <c r="CF672" s="3">
        <f>+IF(AVANCE[[#This Row],[CELOSIAS]]=AS$2,100%,AVANCE[[#This Row],[CELOSIAS]])</f>
        <v>0</v>
      </c>
      <c r="CG672" s="3">
        <f>+IF(AVANCE[[#This Row],[VENTANAS]]=AT$2,100%,AVANCE[[#This Row],[VENTANAS]])</f>
        <v>0</v>
      </c>
      <c r="CH672" s="3">
        <f>+IF(AVANCE[[#This Row],[PUERTAS ACCESO - LOGIA - BANO]]=AU$2,100%,AVANCE[[#This Row],[PUERTAS ACCESO - LOGIA - BANO]])</f>
        <v>0</v>
      </c>
      <c r="CI672" s="3">
        <f>+IF(AVANCE[[#This Row],[CERRADURAS]]=AV$2,100%,AVANCE[[#This Row],[CERRADURAS]])</f>
        <v>0</v>
      </c>
      <c r="CJ672" s="3">
        <f>+IF(AVANCE[[#This Row],[REVESTIMIENTO INTERIOR ZONA SECA]]=AW$2,100%,AVANCE[[#This Row],[REVESTIMIENTO INTERIOR ZONA SECA]])</f>
        <v>0</v>
      </c>
      <c r="CK672" s="3">
        <f>+IF(AVANCE[[#This Row],[REVESTIMIENTO INTERIOR ZONAS HUMEDAS]]=AX$2,100%,AVANCE[[#This Row],[REVESTIMIENTO INTERIOR ZONAS HUMEDAS]])</f>
        <v>0</v>
      </c>
      <c r="CL672" s="3">
        <f>+IF(AVANCE[[#This Row],[MEMBRANA CIELO]]=AY$2,100%,AVANCE[[#This Row],[MEMBRANA CIELO]])</f>
        <v>0</v>
      </c>
      <c r="CM672" s="3">
        <f>+IF(AVANCE[[#This Row],[LIMPIEZA FINAL]]=AZ$2,100%,AVANCE[[#This Row],[LIMPIEZA FINAL]])</f>
        <v>0</v>
      </c>
      <c r="CN672" s="3">
        <f>+IF(AVANCE[[#This Row],[PUERTAS DORMITORIO]]=BA$2,100%,AVANCE[[#This Row],[PUERTAS DORMITORIO]])</f>
        <v>0</v>
      </c>
      <c r="CO672" s="3">
        <f>+IF(AVANCE[[#This Row],[REVESTIMIENTO INTERIOR BANO]]=BB$2,100%,AVANCE[[#This Row],[REVESTIMIENTO INTERIOR BANO]])</f>
        <v>0</v>
      </c>
      <c r="CP672" s="3">
        <f>+IF(AVANCE[[#This Row],[MUEBLE LAVAPLATOS]]=BC$2,100%,AVANCE[[#This Row],[MUEBLE LAVAPLATOS]])</f>
        <v>0</v>
      </c>
      <c r="CQ672" s="3">
        <f>+IF(AVANCE[[#This Row],[IMPERMEABILIZACION BANO - COCINA LOGIA]]=BD$2,100%,AVANCE[[#This Row],[IMPERMEABILIZACION BANO - COCINA LOGIA]])</f>
        <v>0</v>
      </c>
      <c r="CR672" s="40">
        <f ca="1">+IF(AVANCE[[#This Row],[ESTADO MODULO]]="PENDIENTE",(TODAY()-AVANCE[[#This Row],[FECHA TERMINO  PLANIFICADO]]),0)</f>
        <v>0</v>
      </c>
      <c r="CS672" s="42" t="str" cm="1">
        <f t="array" ref="CS672">_xlfn.TEXTJOIN(" | ",TRUE,IF(SUMPRODUCT((BF672:CQ672&lt;1)*(PARTIDAS!$I$2:$AT$2="OBRA GRUESA"))&gt;0,"OBRA GRUESA: "&amp;_xlfn.TEXTJOIN(", ",TRUE,IF((BF672:CQ672&lt;1)*(PARTIDAS!$I$2:$AT$2="OBRA GRUESA"),PARTIDAS!$I$1:$AT$1,"")),""),IF(SUMPRODUCT((BF672:CQ672&lt;1)*(PARTIDAS!$I$2:$AT$2="SANITARIOS"))&gt;0,"SANITARIOS: "&amp;_xlfn.TEXTJOIN(", ",TRUE,IF((BF672:CQ672&lt;1)*(PARTIDAS!$I$2:$AT$2="SANITARIOS"),PARTIDAS!$I$1:$AT$1,"")),""),IF(SUMPRODUCT((BF672:CQ672&lt;1)*(PARTIDAS!$I$2:$AT$2="ELÉCTRICO"))&gt;0,"ELÉCTRICO: "&amp;_xlfn.TEXTJOIN(", ",TRUE,IF((BF672:CQ672&lt;1)*(PARTIDAS!$I$2:$AT$2="ELÉCTRICO"),PARTIDAS!$I$1:$AT$1,"")),""),IF(SUMPRODUCT((BF672:CQ672&lt;1)*(PARTIDAS!$I$2:$AT$2="TERMINACIONES"))&gt;0,"TERMINACIONES: "&amp;_xlfn.TEXTJOIN(", ",TRUE,IF((BF672:CQ672&lt;1)*(PARTIDAS!$I$2:$AT$2="TERMINACIONES"),PARTIDAS!$I$1:$AT$1,"")),""))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2" s="45" t="str" cm="1">
        <f t="array" ref="CT672">_xlfn.TEXTJOIN(", ",TRUE,IF(SUMPRODUCT((BF672:CQ672&lt;1)*(PARTIDAS!$I$2:$AT$2="OBRA GRUESA"))&gt;0,"OBRA GRUESA",""),IF(SUMPRODUCT((BF672:CQ672&lt;1)*(PARTIDAS!$I$2:$AT$2="SANITARIOS"))&gt;0,"SANITARIOS",""),IF(SUMPRODUCT((BF672:CQ672&lt;1)*(PARTIDAS!$I$2:$AT$2="ELÉCTRICO"))&gt;0,"ELÉCTRICO",""),IF(SUMPRODUCT((BF672:CQ672&lt;1)*(PARTIDAS!$I$2:$AT$2="TERMINACIONES"))&gt;0,"TERMINACIONES",""))</f>
        <v>OBRA GRUESA, SANITARIOS, ELÉCTRICO, TERMINACIONES</v>
      </c>
      <c r="CU672" s="46" cm="1">
        <f t="array" ref="CU672">SUMPRODUCT(--(BF672:CQ672&lt;1))</f>
        <v>38</v>
      </c>
    </row>
    <row r="673" spans="1:99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46181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 s="3" t="str">
        <f>+IF(AVANCE[[#This Row],[% AVANCE]]=100%,"MODULO TERMINADO",IF(AVANCE[[#This Row],[FECHA INICIO REAL]]="","MODULO NO INICIADO","PENDIENTE"))</f>
        <v>MODULO NO INICIADO</v>
      </c>
      <c r="BF673" s="3">
        <f>+IF(AVANCE[[#This Row],[VENTANAS]]=8.10810810810811%,100%,AVANCE[[#This Row],[VENTANAS]])</f>
        <v>0</v>
      </c>
      <c r="BG673" s="3">
        <f>+IF(AVANCE[[#This Row],[PISO]]=N$2,100%,AVANCE[[#This Row],[PISO]])</f>
        <v>0</v>
      </c>
      <c r="BH673" s="3">
        <f>+IF(AVANCE[[#This Row],[TABIQUES]]=O$2,100%,AVANCE[[#This Row],[TABIQUES]])</f>
        <v>0</v>
      </c>
      <c r="BI673" s="3">
        <f>+IF(AVANCE[[#This Row],[MUROS]]=P$2,100%,AVANCE[[#This Row],[MUROS]])</f>
        <v>0</v>
      </c>
      <c r="BJ673" s="3">
        <f>+IF(AVANCE[[#This Row],[CIELO]]=Q$2,100%,AVANCE[[#This Row],[CIELO]])</f>
        <v>0</v>
      </c>
      <c r="BK673" s="3">
        <f>+IF(AVANCE[[#This Row],[BALCÓN]]=R$2,100%,AVANCE[[#This Row],[BALCÓN]])</f>
        <v>0</v>
      </c>
      <c r="BL673" s="3">
        <f>+IF(AVANCE[[#This Row],[RED ALCANTARILLADO]]=U$2,100%,AVANCE[[#This Row],[RED ALCANTARILLADO]])</f>
        <v>0</v>
      </c>
      <c r="BM673" s="3">
        <f>+IF(AVANCE[[#This Row],[RED DE AGUA]]=V$2,100%,AVANCE[[#This Row],[RED DE AGUA]])</f>
        <v>0</v>
      </c>
      <c r="BN673" s="3">
        <f>+IF(AVANCE[[#This Row],[VENTILACIONES]]=W$2,100%,AVANCE[[#This Row],[VENTILACIONES]])</f>
        <v>0</v>
      </c>
      <c r="BO673" s="3">
        <f>+IF(AVANCE[[#This Row],[TINA]]=X$2,100%,AVANCE[[#This Row],[TINA]])</f>
        <v>0</v>
      </c>
      <c r="BP673" s="3">
        <f>+IF(AVANCE[[#This Row],[WC]]=Y$2,100%,AVANCE[[#This Row],[WC]])</f>
        <v>0</v>
      </c>
      <c r="BQ673" s="3">
        <f>+IF(AVANCE[[#This Row],[LAVAMANOS / LAVAPLATOS / LAVADERO]]=Z$2,100%,AVANCE[[#This Row],[LAVAMANOS / LAVAPLATOS / LAVADERO]])</f>
        <v>0</v>
      </c>
      <c r="BR673" s="3">
        <f>+IF(AVANCE[[#This Row],[CANALIZACIÓN]]=AC$2,100%,AVANCE[[#This Row],[CANALIZACIÓN]])</f>
        <v>0</v>
      </c>
      <c r="BS673" s="3">
        <f>+IF(AVANCE[[#This Row],[CABLEADO]]=AD$2,100%,AVANCE[[#This Row],[CABLEADO]])</f>
        <v>0</v>
      </c>
      <c r="BT673" s="3">
        <f>+IF(AVANCE[[#This Row],[ARTEFACTOS]]=AE$2,100%,AVANCE[[#This Row],[ARTEFACTOS]])</f>
        <v>0</v>
      </c>
      <c r="BU673" s="3">
        <f>+IF(AVANCE[[#This Row],[TABLERO]]=AF$2,100%,AVANCE[[#This Row],[TABLERO]])</f>
        <v>0</v>
      </c>
      <c r="BV673" s="3">
        <f>+IF(AVANCE[[#This Row],[CAJA PAU]]=AG$2,100%,AVANCE[[#This Row],[CAJA PAU]])</f>
        <v>0</v>
      </c>
      <c r="BW673" s="3">
        <f>+IF(AVANCE[[#This Row],[INSTALACION VINILICO]]=AJ$2,100%,AVANCE[[#This Row],[INSTALACION VINILICO]])</f>
        <v>0</v>
      </c>
      <c r="BX673" s="3">
        <f>+IF(AVANCE[[#This Row],[OSB CUBIERTA]]=AK$2,100%,AVANCE[[#This Row],[OSB CUBIERTA]])</f>
        <v>0</v>
      </c>
      <c r="BY673" s="3">
        <f>+IF(AVANCE[[#This Row],[BARANDA BALCON]]=AL$2,100%,AVANCE[[#This Row],[BARANDA BALCON]])</f>
        <v>0</v>
      </c>
      <c r="BZ673" s="3">
        <f>+IF(AVANCE[[#This Row],[OSB EXTERIOR]]=AM$2,100%,AVANCE[[#This Row],[OSB EXTERIOR]])</f>
        <v>0</v>
      </c>
      <c r="CA673" s="3">
        <f>+IF(AVANCE[[#This Row],[SMART PANEL]]=AN$2,100%,AVANCE[[#This Row],[SMART PANEL]])</f>
        <v>0</v>
      </c>
      <c r="CB673" s="3">
        <f>+IF(AVANCE[[#This Row],[PINTURA EXTERIOR]]=AO$2,100%,AVANCE[[#This Row],[PINTURA EXTERIOR]])</f>
        <v>0</v>
      </c>
      <c r="CC673" s="3">
        <f>+IF(AVANCE[[#This Row],[ZOCALOS LOGIA]]=AP$2,100%,AVANCE[[#This Row],[ZOCALOS LOGIA]])</f>
        <v>0</v>
      </c>
      <c r="CD673" s="3">
        <f>+IF(AVANCE[[#This Row],[MOLDURAS]]=AQ$2,100%,AVANCE[[#This Row],[MOLDURAS]])</f>
        <v>0</v>
      </c>
      <c r="CE673" s="3">
        <f>+IF(AVANCE[[#This Row],[PILASTREO]]=AR$2,100%,AVANCE[[#This Row],[PILASTREO]])</f>
        <v>0</v>
      </c>
      <c r="CF673" s="3">
        <f>+IF(AVANCE[[#This Row],[CELOSIAS]]=AS$2,100%,AVANCE[[#This Row],[CELOSIAS]])</f>
        <v>0</v>
      </c>
      <c r="CG673" s="3">
        <f>+IF(AVANCE[[#This Row],[VENTANAS]]=AT$2,100%,AVANCE[[#This Row],[VENTANAS]])</f>
        <v>0</v>
      </c>
      <c r="CH673" s="3">
        <f>+IF(AVANCE[[#This Row],[PUERTAS ACCESO - LOGIA - BANO]]=AU$2,100%,AVANCE[[#This Row],[PUERTAS ACCESO - LOGIA - BANO]])</f>
        <v>0</v>
      </c>
      <c r="CI673" s="3">
        <f>+IF(AVANCE[[#This Row],[CERRADURAS]]=AV$2,100%,AVANCE[[#This Row],[CERRADURAS]])</f>
        <v>0</v>
      </c>
      <c r="CJ673" s="3">
        <f>+IF(AVANCE[[#This Row],[REVESTIMIENTO INTERIOR ZONA SECA]]=AW$2,100%,AVANCE[[#This Row],[REVESTIMIENTO INTERIOR ZONA SECA]])</f>
        <v>0</v>
      </c>
      <c r="CK673" s="3">
        <f>+IF(AVANCE[[#This Row],[REVESTIMIENTO INTERIOR ZONAS HUMEDAS]]=AX$2,100%,AVANCE[[#This Row],[REVESTIMIENTO INTERIOR ZONAS HUMEDAS]])</f>
        <v>0</v>
      </c>
      <c r="CL673" s="3">
        <f>+IF(AVANCE[[#This Row],[MEMBRANA CIELO]]=AY$2,100%,AVANCE[[#This Row],[MEMBRANA CIELO]])</f>
        <v>0</v>
      </c>
      <c r="CM673" s="3">
        <f>+IF(AVANCE[[#This Row],[LIMPIEZA FINAL]]=AZ$2,100%,AVANCE[[#This Row],[LIMPIEZA FINAL]])</f>
        <v>0</v>
      </c>
      <c r="CN673" s="3">
        <f>+IF(AVANCE[[#This Row],[PUERTAS DORMITORIO]]=BA$2,100%,AVANCE[[#This Row],[PUERTAS DORMITORIO]])</f>
        <v>0</v>
      </c>
      <c r="CO673" s="3">
        <f>+IF(AVANCE[[#This Row],[REVESTIMIENTO INTERIOR BANO]]=BB$2,100%,AVANCE[[#This Row],[REVESTIMIENTO INTERIOR BANO]])</f>
        <v>0</v>
      </c>
      <c r="CP673" s="3">
        <f>+IF(AVANCE[[#This Row],[MUEBLE LAVAPLATOS]]=BC$2,100%,AVANCE[[#This Row],[MUEBLE LAVAPLATOS]])</f>
        <v>0</v>
      </c>
      <c r="CQ673" s="3">
        <f>+IF(AVANCE[[#This Row],[IMPERMEABILIZACION BANO - COCINA LOGIA]]=BD$2,100%,AVANCE[[#This Row],[IMPERMEABILIZACION BANO - COCINA LOGIA]])</f>
        <v>0</v>
      </c>
      <c r="CR673" s="40">
        <f ca="1">+IF(AVANCE[[#This Row],[ESTADO MODULO]]="PENDIENTE",(TODAY()-AVANCE[[#This Row],[FECHA TERMINO  PLANIFICADO]]),0)</f>
        <v>0</v>
      </c>
      <c r="CS673" s="42" t="str" cm="1">
        <f t="array" ref="CS673">_xlfn.TEXTJOIN(" | ",TRUE,IF(SUMPRODUCT((BF673:CQ673&lt;1)*(PARTIDAS!$I$2:$AT$2="OBRA GRUESA"))&gt;0,"OBRA GRUESA: "&amp;_xlfn.TEXTJOIN(", ",TRUE,IF((BF673:CQ673&lt;1)*(PARTIDAS!$I$2:$AT$2="OBRA GRUESA"),PARTIDAS!$I$1:$AT$1,"")),""),IF(SUMPRODUCT((BF673:CQ673&lt;1)*(PARTIDAS!$I$2:$AT$2="SANITARIOS"))&gt;0,"SANITARIOS: "&amp;_xlfn.TEXTJOIN(", ",TRUE,IF((BF673:CQ673&lt;1)*(PARTIDAS!$I$2:$AT$2="SANITARIOS"),PARTIDAS!$I$1:$AT$1,"")),""),IF(SUMPRODUCT((BF673:CQ673&lt;1)*(PARTIDAS!$I$2:$AT$2="ELÉCTRICO"))&gt;0,"ELÉCTRICO: "&amp;_xlfn.TEXTJOIN(", ",TRUE,IF((BF673:CQ673&lt;1)*(PARTIDAS!$I$2:$AT$2="ELÉCTRICO"),PARTIDAS!$I$1:$AT$1,"")),""),IF(SUMPRODUCT((BF673:CQ673&lt;1)*(PARTIDAS!$I$2:$AT$2="TERMINACIONES"))&gt;0,"TERMINACIONES: "&amp;_xlfn.TEXTJOIN(", ",TRUE,IF((BF673:CQ673&lt;1)*(PARTIDAS!$I$2:$AT$2="TERMINACIONES"),PARTIDAS!$I$1:$AT$1,"")),""))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3" s="45" t="str" cm="1">
        <f t="array" ref="CT673">_xlfn.TEXTJOIN(", ",TRUE,IF(SUMPRODUCT((BF673:CQ673&lt;1)*(PARTIDAS!$I$2:$AT$2="OBRA GRUESA"))&gt;0,"OBRA GRUESA",""),IF(SUMPRODUCT((BF673:CQ673&lt;1)*(PARTIDAS!$I$2:$AT$2="SANITARIOS"))&gt;0,"SANITARIOS",""),IF(SUMPRODUCT((BF673:CQ673&lt;1)*(PARTIDAS!$I$2:$AT$2="ELÉCTRICO"))&gt;0,"ELÉCTRICO",""),IF(SUMPRODUCT((BF673:CQ673&lt;1)*(PARTIDAS!$I$2:$AT$2="TERMINACIONES"))&gt;0,"TERMINACIONES",""))</f>
        <v>OBRA GRUESA, SANITARIOS, ELÉCTRICO, TERMINACIONES</v>
      </c>
      <c r="CU673" s="46" cm="1">
        <f t="array" ref="CU673">SUMPRODUCT(--(BF673:CQ673&lt;1))</f>
        <v>38</v>
      </c>
    </row>
    <row r="674" spans="1:99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46181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 s="3" t="str">
        <f>+IF(AVANCE[[#This Row],[% AVANCE]]=100%,"MODULO TERMINADO",IF(AVANCE[[#This Row],[FECHA INICIO REAL]]="","MODULO NO INICIADO","PENDIENTE"))</f>
        <v>MODULO NO INICIADO</v>
      </c>
      <c r="BF674" s="3">
        <f>+IF(AVANCE[[#This Row],[VENTANAS]]=8.10810810810811%,100%,AVANCE[[#This Row],[VENTANAS]])</f>
        <v>0</v>
      </c>
      <c r="BG674" s="3">
        <f>+IF(AVANCE[[#This Row],[PISO]]=N$2,100%,AVANCE[[#This Row],[PISO]])</f>
        <v>0</v>
      </c>
      <c r="BH674" s="3">
        <f>+IF(AVANCE[[#This Row],[TABIQUES]]=O$2,100%,AVANCE[[#This Row],[TABIQUES]])</f>
        <v>0</v>
      </c>
      <c r="BI674" s="3">
        <f>+IF(AVANCE[[#This Row],[MUROS]]=P$2,100%,AVANCE[[#This Row],[MUROS]])</f>
        <v>0</v>
      </c>
      <c r="BJ674" s="3">
        <f>+IF(AVANCE[[#This Row],[CIELO]]=Q$2,100%,AVANCE[[#This Row],[CIELO]])</f>
        <v>0</v>
      </c>
      <c r="BK674" s="3">
        <f>+IF(AVANCE[[#This Row],[BALCÓN]]=R$2,100%,AVANCE[[#This Row],[BALCÓN]])</f>
        <v>0</v>
      </c>
      <c r="BL674" s="3">
        <f>+IF(AVANCE[[#This Row],[RED ALCANTARILLADO]]=U$2,100%,AVANCE[[#This Row],[RED ALCANTARILLADO]])</f>
        <v>0</v>
      </c>
      <c r="BM674" s="3">
        <f>+IF(AVANCE[[#This Row],[RED DE AGUA]]=V$2,100%,AVANCE[[#This Row],[RED DE AGUA]])</f>
        <v>0</v>
      </c>
      <c r="BN674" s="3">
        <f>+IF(AVANCE[[#This Row],[VENTILACIONES]]=W$2,100%,AVANCE[[#This Row],[VENTILACIONES]])</f>
        <v>0</v>
      </c>
      <c r="BO674" s="3">
        <f>+IF(AVANCE[[#This Row],[TINA]]=X$2,100%,AVANCE[[#This Row],[TINA]])</f>
        <v>0</v>
      </c>
      <c r="BP674" s="3">
        <f>+IF(AVANCE[[#This Row],[WC]]=Y$2,100%,AVANCE[[#This Row],[WC]])</f>
        <v>0</v>
      </c>
      <c r="BQ674" s="3">
        <f>+IF(AVANCE[[#This Row],[LAVAMANOS / LAVAPLATOS / LAVADERO]]=Z$2,100%,AVANCE[[#This Row],[LAVAMANOS / LAVAPLATOS / LAVADERO]])</f>
        <v>0</v>
      </c>
      <c r="BR674" s="3">
        <f>+IF(AVANCE[[#This Row],[CANALIZACIÓN]]=AC$2,100%,AVANCE[[#This Row],[CANALIZACIÓN]])</f>
        <v>0</v>
      </c>
      <c r="BS674" s="3">
        <f>+IF(AVANCE[[#This Row],[CABLEADO]]=AD$2,100%,AVANCE[[#This Row],[CABLEADO]])</f>
        <v>0</v>
      </c>
      <c r="BT674" s="3">
        <f>+IF(AVANCE[[#This Row],[ARTEFACTOS]]=AE$2,100%,AVANCE[[#This Row],[ARTEFACTOS]])</f>
        <v>0</v>
      </c>
      <c r="BU674" s="3">
        <f>+IF(AVANCE[[#This Row],[TABLERO]]=AF$2,100%,AVANCE[[#This Row],[TABLERO]])</f>
        <v>0</v>
      </c>
      <c r="BV674" s="3">
        <f>+IF(AVANCE[[#This Row],[CAJA PAU]]=AG$2,100%,AVANCE[[#This Row],[CAJA PAU]])</f>
        <v>0</v>
      </c>
      <c r="BW674" s="3">
        <f>+IF(AVANCE[[#This Row],[INSTALACION VINILICO]]=AJ$2,100%,AVANCE[[#This Row],[INSTALACION VINILICO]])</f>
        <v>0</v>
      </c>
      <c r="BX674" s="3">
        <f>+IF(AVANCE[[#This Row],[OSB CUBIERTA]]=AK$2,100%,AVANCE[[#This Row],[OSB CUBIERTA]])</f>
        <v>0</v>
      </c>
      <c r="BY674" s="3">
        <f>+IF(AVANCE[[#This Row],[BARANDA BALCON]]=AL$2,100%,AVANCE[[#This Row],[BARANDA BALCON]])</f>
        <v>0</v>
      </c>
      <c r="BZ674" s="3">
        <f>+IF(AVANCE[[#This Row],[OSB EXTERIOR]]=AM$2,100%,AVANCE[[#This Row],[OSB EXTERIOR]])</f>
        <v>0</v>
      </c>
      <c r="CA674" s="3">
        <f>+IF(AVANCE[[#This Row],[SMART PANEL]]=AN$2,100%,AVANCE[[#This Row],[SMART PANEL]])</f>
        <v>0</v>
      </c>
      <c r="CB674" s="3">
        <f>+IF(AVANCE[[#This Row],[PINTURA EXTERIOR]]=AO$2,100%,AVANCE[[#This Row],[PINTURA EXTERIOR]])</f>
        <v>0</v>
      </c>
      <c r="CC674" s="3">
        <f>+IF(AVANCE[[#This Row],[ZOCALOS LOGIA]]=AP$2,100%,AVANCE[[#This Row],[ZOCALOS LOGIA]])</f>
        <v>0</v>
      </c>
      <c r="CD674" s="3">
        <f>+IF(AVANCE[[#This Row],[MOLDURAS]]=AQ$2,100%,AVANCE[[#This Row],[MOLDURAS]])</f>
        <v>0</v>
      </c>
      <c r="CE674" s="3">
        <f>+IF(AVANCE[[#This Row],[PILASTREO]]=AR$2,100%,AVANCE[[#This Row],[PILASTREO]])</f>
        <v>0</v>
      </c>
      <c r="CF674" s="3">
        <f>+IF(AVANCE[[#This Row],[CELOSIAS]]=AS$2,100%,AVANCE[[#This Row],[CELOSIAS]])</f>
        <v>0</v>
      </c>
      <c r="CG674" s="3">
        <f>+IF(AVANCE[[#This Row],[VENTANAS]]=AT$2,100%,AVANCE[[#This Row],[VENTANAS]])</f>
        <v>0</v>
      </c>
      <c r="CH674" s="3">
        <f>+IF(AVANCE[[#This Row],[PUERTAS ACCESO - LOGIA - BANO]]=AU$2,100%,AVANCE[[#This Row],[PUERTAS ACCESO - LOGIA - BANO]])</f>
        <v>0</v>
      </c>
      <c r="CI674" s="3">
        <f>+IF(AVANCE[[#This Row],[CERRADURAS]]=AV$2,100%,AVANCE[[#This Row],[CERRADURAS]])</f>
        <v>0</v>
      </c>
      <c r="CJ674" s="3">
        <f>+IF(AVANCE[[#This Row],[REVESTIMIENTO INTERIOR ZONA SECA]]=AW$2,100%,AVANCE[[#This Row],[REVESTIMIENTO INTERIOR ZONA SECA]])</f>
        <v>0</v>
      </c>
      <c r="CK674" s="3">
        <f>+IF(AVANCE[[#This Row],[REVESTIMIENTO INTERIOR ZONAS HUMEDAS]]=AX$2,100%,AVANCE[[#This Row],[REVESTIMIENTO INTERIOR ZONAS HUMEDAS]])</f>
        <v>0</v>
      </c>
      <c r="CL674" s="3">
        <f>+IF(AVANCE[[#This Row],[MEMBRANA CIELO]]=AY$2,100%,AVANCE[[#This Row],[MEMBRANA CIELO]])</f>
        <v>0</v>
      </c>
      <c r="CM674" s="3">
        <f>+IF(AVANCE[[#This Row],[LIMPIEZA FINAL]]=AZ$2,100%,AVANCE[[#This Row],[LIMPIEZA FINAL]])</f>
        <v>0</v>
      </c>
      <c r="CN674" s="3">
        <f>+IF(AVANCE[[#This Row],[PUERTAS DORMITORIO]]=BA$2,100%,AVANCE[[#This Row],[PUERTAS DORMITORIO]])</f>
        <v>0</v>
      </c>
      <c r="CO674" s="3">
        <f>+IF(AVANCE[[#This Row],[REVESTIMIENTO INTERIOR BANO]]=BB$2,100%,AVANCE[[#This Row],[REVESTIMIENTO INTERIOR BANO]])</f>
        <v>0</v>
      </c>
      <c r="CP674" s="3">
        <f>+IF(AVANCE[[#This Row],[MUEBLE LAVAPLATOS]]=BC$2,100%,AVANCE[[#This Row],[MUEBLE LAVAPLATOS]])</f>
        <v>0</v>
      </c>
      <c r="CQ674" s="3">
        <f>+IF(AVANCE[[#This Row],[IMPERMEABILIZACION BANO - COCINA LOGIA]]=BD$2,100%,AVANCE[[#This Row],[IMPERMEABILIZACION BANO - COCINA LOGIA]])</f>
        <v>0</v>
      </c>
      <c r="CR674" s="40">
        <f ca="1">+IF(AVANCE[[#This Row],[ESTADO MODULO]]="PENDIENTE",(TODAY()-AVANCE[[#This Row],[FECHA TERMINO  PLANIFICADO]]),0)</f>
        <v>0</v>
      </c>
      <c r="CS674" s="42" t="str" cm="1">
        <f t="array" ref="CS674">_xlfn.TEXTJOIN(" | ",TRUE,IF(SUMPRODUCT((BF674:CQ674&lt;1)*(PARTIDAS!$I$2:$AT$2="OBRA GRUESA"))&gt;0,"OBRA GRUESA: "&amp;_xlfn.TEXTJOIN(", ",TRUE,IF((BF674:CQ674&lt;1)*(PARTIDAS!$I$2:$AT$2="OBRA GRUESA"),PARTIDAS!$I$1:$AT$1,"")),""),IF(SUMPRODUCT((BF674:CQ674&lt;1)*(PARTIDAS!$I$2:$AT$2="SANITARIOS"))&gt;0,"SANITARIOS: "&amp;_xlfn.TEXTJOIN(", ",TRUE,IF((BF674:CQ674&lt;1)*(PARTIDAS!$I$2:$AT$2="SANITARIOS"),PARTIDAS!$I$1:$AT$1,"")),""),IF(SUMPRODUCT((BF674:CQ674&lt;1)*(PARTIDAS!$I$2:$AT$2="ELÉCTRICO"))&gt;0,"ELÉCTRICO: "&amp;_xlfn.TEXTJOIN(", ",TRUE,IF((BF674:CQ674&lt;1)*(PARTIDAS!$I$2:$AT$2="ELÉCTRICO"),PARTIDAS!$I$1:$AT$1,"")),""),IF(SUMPRODUCT((BF674:CQ674&lt;1)*(PARTIDAS!$I$2:$AT$2="TERMINACIONES"))&gt;0,"TERMINACIONES: "&amp;_xlfn.TEXTJOIN(", ",TRUE,IF((BF674:CQ674&lt;1)*(PARTIDAS!$I$2:$AT$2="TERMINACIONES"),PARTIDAS!$I$1:$AT$1,"")),""))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4" s="45" t="str" cm="1">
        <f t="array" ref="CT674">_xlfn.TEXTJOIN(", ",TRUE,IF(SUMPRODUCT((BF674:CQ674&lt;1)*(PARTIDAS!$I$2:$AT$2="OBRA GRUESA"))&gt;0,"OBRA GRUESA",""),IF(SUMPRODUCT((BF674:CQ674&lt;1)*(PARTIDAS!$I$2:$AT$2="SANITARIOS"))&gt;0,"SANITARIOS",""),IF(SUMPRODUCT((BF674:CQ674&lt;1)*(PARTIDAS!$I$2:$AT$2="ELÉCTRICO"))&gt;0,"ELÉCTRICO",""),IF(SUMPRODUCT((BF674:CQ674&lt;1)*(PARTIDAS!$I$2:$AT$2="TERMINACIONES"))&gt;0,"TERMINACIONES",""))</f>
        <v>OBRA GRUESA, SANITARIOS, ELÉCTRICO, TERMINACIONES</v>
      </c>
      <c r="CU674" s="46" cm="1">
        <f t="array" ref="CU674">SUMPRODUCT(--(BF674:CQ674&lt;1))</f>
        <v>38</v>
      </c>
    </row>
    <row r="675" spans="1:99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46181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 s="3" t="str">
        <f>+IF(AVANCE[[#This Row],[% AVANCE]]=100%,"MODULO TERMINADO",IF(AVANCE[[#This Row],[FECHA INICIO REAL]]="","MODULO NO INICIADO","PENDIENTE"))</f>
        <v>MODULO NO INICIADO</v>
      </c>
      <c r="BF675" s="3">
        <f>+IF(AVANCE[[#This Row],[VENTANAS]]=8.10810810810811%,100%,AVANCE[[#This Row],[VENTANAS]])</f>
        <v>0</v>
      </c>
      <c r="BG675" s="3">
        <f>+IF(AVANCE[[#This Row],[PISO]]=N$2,100%,AVANCE[[#This Row],[PISO]])</f>
        <v>0</v>
      </c>
      <c r="BH675" s="3">
        <f>+IF(AVANCE[[#This Row],[TABIQUES]]=O$2,100%,AVANCE[[#This Row],[TABIQUES]])</f>
        <v>0</v>
      </c>
      <c r="BI675" s="3">
        <f>+IF(AVANCE[[#This Row],[MUROS]]=P$2,100%,AVANCE[[#This Row],[MUROS]])</f>
        <v>0</v>
      </c>
      <c r="BJ675" s="3">
        <f>+IF(AVANCE[[#This Row],[CIELO]]=Q$2,100%,AVANCE[[#This Row],[CIELO]])</f>
        <v>0</v>
      </c>
      <c r="BK675" s="3">
        <f>+IF(AVANCE[[#This Row],[BALCÓN]]=R$2,100%,AVANCE[[#This Row],[BALCÓN]])</f>
        <v>0</v>
      </c>
      <c r="BL675" s="3">
        <f>+IF(AVANCE[[#This Row],[RED ALCANTARILLADO]]=U$2,100%,AVANCE[[#This Row],[RED ALCANTARILLADO]])</f>
        <v>0</v>
      </c>
      <c r="BM675" s="3">
        <f>+IF(AVANCE[[#This Row],[RED DE AGUA]]=V$2,100%,AVANCE[[#This Row],[RED DE AGUA]])</f>
        <v>0</v>
      </c>
      <c r="BN675" s="3">
        <f>+IF(AVANCE[[#This Row],[VENTILACIONES]]=W$2,100%,AVANCE[[#This Row],[VENTILACIONES]])</f>
        <v>0</v>
      </c>
      <c r="BO675" s="3">
        <f>+IF(AVANCE[[#This Row],[TINA]]=X$2,100%,AVANCE[[#This Row],[TINA]])</f>
        <v>0</v>
      </c>
      <c r="BP675" s="3">
        <f>+IF(AVANCE[[#This Row],[WC]]=Y$2,100%,AVANCE[[#This Row],[WC]])</f>
        <v>0</v>
      </c>
      <c r="BQ675" s="3">
        <f>+IF(AVANCE[[#This Row],[LAVAMANOS / LAVAPLATOS / LAVADERO]]=Z$2,100%,AVANCE[[#This Row],[LAVAMANOS / LAVAPLATOS / LAVADERO]])</f>
        <v>0</v>
      </c>
      <c r="BR675" s="3">
        <f>+IF(AVANCE[[#This Row],[CANALIZACIÓN]]=AC$2,100%,AVANCE[[#This Row],[CANALIZACIÓN]])</f>
        <v>0</v>
      </c>
      <c r="BS675" s="3">
        <f>+IF(AVANCE[[#This Row],[CABLEADO]]=AD$2,100%,AVANCE[[#This Row],[CABLEADO]])</f>
        <v>0</v>
      </c>
      <c r="BT675" s="3">
        <f>+IF(AVANCE[[#This Row],[ARTEFACTOS]]=AE$2,100%,AVANCE[[#This Row],[ARTEFACTOS]])</f>
        <v>0</v>
      </c>
      <c r="BU675" s="3">
        <f>+IF(AVANCE[[#This Row],[TABLERO]]=AF$2,100%,AVANCE[[#This Row],[TABLERO]])</f>
        <v>0</v>
      </c>
      <c r="BV675" s="3">
        <f>+IF(AVANCE[[#This Row],[CAJA PAU]]=AG$2,100%,AVANCE[[#This Row],[CAJA PAU]])</f>
        <v>0</v>
      </c>
      <c r="BW675" s="3">
        <f>+IF(AVANCE[[#This Row],[INSTALACION VINILICO]]=AJ$2,100%,AVANCE[[#This Row],[INSTALACION VINILICO]])</f>
        <v>0</v>
      </c>
      <c r="BX675" s="3">
        <f>+IF(AVANCE[[#This Row],[OSB CUBIERTA]]=AK$2,100%,AVANCE[[#This Row],[OSB CUBIERTA]])</f>
        <v>0</v>
      </c>
      <c r="BY675" s="3">
        <f>+IF(AVANCE[[#This Row],[BARANDA BALCON]]=AL$2,100%,AVANCE[[#This Row],[BARANDA BALCON]])</f>
        <v>0</v>
      </c>
      <c r="BZ675" s="3">
        <f>+IF(AVANCE[[#This Row],[OSB EXTERIOR]]=AM$2,100%,AVANCE[[#This Row],[OSB EXTERIOR]])</f>
        <v>0</v>
      </c>
      <c r="CA675" s="3">
        <f>+IF(AVANCE[[#This Row],[SMART PANEL]]=AN$2,100%,AVANCE[[#This Row],[SMART PANEL]])</f>
        <v>0</v>
      </c>
      <c r="CB675" s="3">
        <f>+IF(AVANCE[[#This Row],[PINTURA EXTERIOR]]=AO$2,100%,AVANCE[[#This Row],[PINTURA EXTERIOR]])</f>
        <v>0</v>
      </c>
      <c r="CC675" s="3">
        <f>+IF(AVANCE[[#This Row],[ZOCALOS LOGIA]]=AP$2,100%,AVANCE[[#This Row],[ZOCALOS LOGIA]])</f>
        <v>0</v>
      </c>
      <c r="CD675" s="3">
        <f>+IF(AVANCE[[#This Row],[MOLDURAS]]=AQ$2,100%,AVANCE[[#This Row],[MOLDURAS]])</f>
        <v>0</v>
      </c>
      <c r="CE675" s="3">
        <f>+IF(AVANCE[[#This Row],[PILASTREO]]=AR$2,100%,AVANCE[[#This Row],[PILASTREO]])</f>
        <v>0</v>
      </c>
      <c r="CF675" s="3">
        <f>+IF(AVANCE[[#This Row],[CELOSIAS]]=AS$2,100%,AVANCE[[#This Row],[CELOSIAS]])</f>
        <v>0</v>
      </c>
      <c r="CG675" s="3">
        <f>+IF(AVANCE[[#This Row],[VENTANAS]]=AT$2,100%,AVANCE[[#This Row],[VENTANAS]])</f>
        <v>0</v>
      </c>
      <c r="CH675" s="3">
        <f>+IF(AVANCE[[#This Row],[PUERTAS ACCESO - LOGIA - BANO]]=AU$2,100%,AVANCE[[#This Row],[PUERTAS ACCESO - LOGIA - BANO]])</f>
        <v>0</v>
      </c>
      <c r="CI675" s="3">
        <f>+IF(AVANCE[[#This Row],[CERRADURAS]]=AV$2,100%,AVANCE[[#This Row],[CERRADURAS]])</f>
        <v>0</v>
      </c>
      <c r="CJ675" s="3">
        <f>+IF(AVANCE[[#This Row],[REVESTIMIENTO INTERIOR ZONA SECA]]=AW$2,100%,AVANCE[[#This Row],[REVESTIMIENTO INTERIOR ZONA SECA]])</f>
        <v>0</v>
      </c>
      <c r="CK675" s="3">
        <f>+IF(AVANCE[[#This Row],[REVESTIMIENTO INTERIOR ZONAS HUMEDAS]]=AX$2,100%,AVANCE[[#This Row],[REVESTIMIENTO INTERIOR ZONAS HUMEDAS]])</f>
        <v>0</v>
      </c>
      <c r="CL675" s="3">
        <f>+IF(AVANCE[[#This Row],[MEMBRANA CIELO]]=AY$2,100%,AVANCE[[#This Row],[MEMBRANA CIELO]])</f>
        <v>0</v>
      </c>
      <c r="CM675" s="3">
        <f>+IF(AVANCE[[#This Row],[LIMPIEZA FINAL]]=AZ$2,100%,AVANCE[[#This Row],[LIMPIEZA FINAL]])</f>
        <v>0</v>
      </c>
      <c r="CN675" s="3">
        <f>+IF(AVANCE[[#This Row],[PUERTAS DORMITORIO]]=BA$2,100%,AVANCE[[#This Row],[PUERTAS DORMITORIO]])</f>
        <v>0</v>
      </c>
      <c r="CO675" s="3">
        <f>+IF(AVANCE[[#This Row],[REVESTIMIENTO INTERIOR BANO]]=BB$2,100%,AVANCE[[#This Row],[REVESTIMIENTO INTERIOR BANO]])</f>
        <v>0</v>
      </c>
      <c r="CP675" s="3">
        <f>+IF(AVANCE[[#This Row],[MUEBLE LAVAPLATOS]]=BC$2,100%,AVANCE[[#This Row],[MUEBLE LAVAPLATOS]])</f>
        <v>0</v>
      </c>
      <c r="CQ675" s="3">
        <f>+IF(AVANCE[[#This Row],[IMPERMEABILIZACION BANO - COCINA LOGIA]]=BD$2,100%,AVANCE[[#This Row],[IMPERMEABILIZACION BANO - COCINA LOGIA]])</f>
        <v>0</v>
      </c>
      <c r="CR675" s="40">
        <f ca="1">+IF(AVANCE[[#This Row],[ESTADO MODULO]]="PENDIENTE",(TODAY()-AVANCE[[#This Row],[FECHA TERMINO  PLANIFICADO]]),0)</f>
        <v>0</v>
      </c>
      <c r="CS675" s="42" t="str" cm="1">
        <f t="array" ref="CS675">_xlfn.TEXTJOIN(" | ",TRUE,IF(SUMPRODUCT((BF675:CQ675&lt;1)*(PARTIDAS!$I$2:$AT$2="OBRA GRUESA"))&gt;0,"OBRA GRUESA: "&amp;_xlfn.TEXTJOIN(", ",TRUE,IF((BF675:CQ675&lt;1)*(PARTIDAS!$I$2:$AT$2="OBRA GRUESA"),PARTIDAS!$I$1:$AT$1,"")),""),IF(SUMPRODUCT((BF675:CQ675&lt;1)*(PARTIDAS!$I$2:$AT$2="SANITARIOS"))&gt;0,"SANITARIOS: "&amp;_xlfn.TEXTJOIN(", ",TRUE,IF((BF675:CQ675&lt;1)*(PARTIDAS!$I$2:$AT$2="SANITARIOS"),PARTIDAS!$I$1:$AT$1,"")),""),IF(SUMPRODUCT((BF675:CQ675&lt;1)*(PARTIDAS!$I$2:$AT$2="ELÉCTRICO"))&gt;0,"ELÉCTRICO: "&amp;_xlfn.TEXTJOIN(", ",TRUE,IF((BF675:CQ675&lt;1)*(PARTIDAS!$I$2:$AT$2="ELÉCTRICO"),PARTIDAS!$I$1:$AT$1,"")),""),IF(SUMPRODUCT((BF675:CQ675&lt;1)*(PARTIDAS!$I$2:$AT$2="TERMINACIONES"))&gt;0,"TERMINACIONES: "&amp;_xlfn.TEXTJOIN(", ",TRUE,IF((BF675:CQ675&lt;1)*(PARTIDAS!$I$2:$AT$2="TERMINACIONES"),PARTIDAS!$I$1:$AT$1,"")),""))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5" s="45" t="str" cm="1">
        <f t="array" ref="CT675">_xlfn.TEXTJOIN(", ",TRUE,IF(SUMPRODUCT((BF675:CQ675&lt;1)*(PARTIDAS!$I$2:$AT$2="OBRA GRUESA"))&gt;0,"OBRA GRUESA",""),IF(SUMPRODUCT((BF675:CQ675&lt;1)*(PARTIDAS!$I$2:$AT$2="SANITARIOS"))&gt;0,"SANITARIOS",""),IF(SUMPRODUCT((BF675:CQ675&lt;1)*(PARTIDAS!$I$2:$AT$2="ELÉCTRICO"))&gt;0,"ELÉCTRICO",""),IF(SUMPRODUCT((BF675:CQ675&lt;1)*(PARTIDAS!$I$2:$AT$2="TERMINACIONES"))&gt;0,"TERMINACIONES",""))</f>
        <v>OBRA GRUESA, SANITARIOS, ELÉCTRICO, TERMINACIONES</v>
      </c>
      <c r="CU675" s="46" cm="1">
        <f t="array" ref="CU675">SUMPRODUCT(--(BF675:CQ675&lt;1))</f>
        <v>38</v>
      </c>
    </row>
    <row r="676" spans="1:99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46181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 s="3" t="str">
        <f>+IF(AVANCE[[#This Row],[% AVANCE]]=100%,"MODULO TERMINADO",IF(AVANCE[[#This Row],[FECHA INICIO REAL]]="","MODULO NO INICIADO","PENDIENTE"))</f>
        <v>MODULO NO INICIADO</v>
      </c>
      <c r="BF676" s="3">
        <f>+IF(AVANCE[[#This Row],[VENTANAS]]=8.10810810810811%,100%,AVANCE[[#This Row],[VENTANAS]])</f>
        <v>0</v>
      </c>
      <c r="BG676" s="3">
        <f>+IF(AVANCE[[#This Row],[PISO]]=N$2,100%,AVANCE[[#This Row],[PISO]])</f>
        <v>0</v>
      </c>
      <c r="BH676" s="3">
        <f>+IF(AVANCE[[#This Row],[TABIQUES]]=O$2,100%,AVANCE[[#This Row],[TABIQUES]])</f>
        <v>0</v>
      </c>
      <c r="BI676" s="3">
        <f>+IF(AVANCE[[#This Row],[MUROS]]=P$2,100%,AVANCE[[#This Row],[MUROS]])</f>
        <v>0</v>
      </c>
      <c r="BJ676" s="3">
        <f>+IF(AVANCE[[#This Row],[CIELO]]=Q$2,100%,AVANCE[[#This Row],[CIELO]])</f>
        <v>0</v>
      </c>
      <c r="BK676" s="3">
        <f>+IF(AVANCE[[#This Row],[BALCÓN]]=R$2,100%,AVANCE[[#This Row],[BALCÓN]])</f>
        <v>0</v>
      </c>
      <c r="BL676" s="3">
        <f>+IF(AVANCE[[#This Row],[RED ALCANTARILLADO]]=U$2,100%,AVANCE[[#This Row],[RED ALCANTARILLADO]])</f>
        <v>0</v>
      </c>
      <c r="BM676" s="3">
        <f>+IF(AVANCE[[#This Row],[RED DE AGUA]]=V$2,100%,AVANCE[[#This Row],[RED DE AGUA]])</f>
        <v>0</v>
      </c>
      <c r="BN676" s="3">
        <f>+IF(AVANCE[[#This Row],[VENTILACIONES]]=W$2,100%,AVANCE[[#This Row],[VENTILACIONES]])</f>
        <v>0</v>
      </c>
      <c r="BO676" s="3">
        <f>+IF(AVANCE[[#This Row],[TINA]]=X$2,100%,AVANCE[[#This Row],[TINA]])</f>
        <v>0</v>
      </c>
      <c r="BP676" s="3">
        <f>+IF(AVANCE[[#This Row],[WC]]=Y$2,100%,AVANCE[[#This Row],[WC]])</f>
        <v>0</v>
      </c>
      <c r="BQ676" s="3">
        <f>+IF(AVANCE[[#This Row],[LAVAMANOS / LAVAPLATOS / LAVADERO]]=Z$2,100%,AVANCE[[#This Row],[LAVAMANOS / LAVAPLATOS / LAVADERO]])</f>
        <v>0</v>
      </c>
      <c r="BR676" s="3">
        <f>+IF(AVANCE[[#This Row],[CANALIZACIÓN]]=AC$2,100%,AVANCE[[#This Row],[CANALIZACIÓN]])</f>
        <v>0</v>
      </c>
      <c r="BS676" s="3">
        <f>+IF(AVANCE[[#This Row],[CABLEADO]]=AD$2,100%,AVANCE[[#This Row],[CABLEADO]])</f>
        <v>0</v>
      </c>
      <c r="BT676" s="3">
        <f>+IF(AVANCE[[#This Row],[ARTEFACTOS]]=AE$2,100%,AVANCE[[#This Row],[ARTEFACTOS]])</f>
        <v>0</v>
      </c>
      <c r="BU676" s="3">
        <f>+IF(AVANCE[[#This Row],[TABLERO]]=AF$2,100%,AVANCE[[#This Row],[TABLERO]])</f>
        <v>0</v>
      </c>
      <c r="BV676" s="3">
        <f>+IF(AVANCE[[#This Row],[CAJA PAU]]=AG$2,100%,AVANCE[[#This Row],[CAJA PAU]])</f>
        <v>0</v>
      </c>
      <c r="BW676" s="3">
        <f>+IF(AVANCE[[#This Row],[INSTALACION VINILICO]]=AJ$2,100%,AVANCE[[#This Row],[INSTALACION VINILICO]])</f>
        <v>0</v>
      </c>
      <c r="BX676" s="3">
        <f>+IF(AVANCE[[#This Row],[OSB CUBIERTA]]=AK$2,100%,AVANCE[[#This Row],[OSB CUBIERTA]])</f>
        <v>0</v>
      </c>
      <c r="BY676" s="3">
        <f>+IF(AVANCE[[#This Row],[BARANDA BALCON]]=AL$2,100%,AVANCE[[#This Row],[BARANDA BALCON]])</f>
        <v>0</v>
      </c>
      <c r="BZ676" s="3">
        <f>+IF(AVANCE[[#This Row],[OSB EXTERIOR]]=AM$2,100%,AVANCE[[#This Row],[OSB EXTERIOR]])</f>
        <v>0</v>
      </c>
      <c r="CA676" s="3">
        <f>+IF(AVANCE[[#This Row],[SMART PANEL]]=AN$2,100%,AVANCE[[#This Row],[SMART PANEL]])</f>
        <v>0</v>
      </c>
      <c r="CB676" s="3">
        <f>+IF(AVANCE[[#This Row],[PINTURA EXTERIOR]]=AO$2,100%,AVANCE[[#This Row],[PINTURA EXTERIOR]])</f>
        <v>0</v>
      </c>
      <c r="CC676" s="3">
        <f>+IF(AVANCE[[#This Row],[ZOCALOS LOGIA]]=AP$2,100%,AVANCE[[#This Row],[ZOCALOS LOGIA]])</f>
        <v>0</v>
      </c>
      <c r="CD676" s="3">
        <f>+IF(AVANCE[[#This Row],[MOLDURAS]]=AQ$2,100%,AVANCE[[#This Row],[MOLDURAS]])</f>
        <v>0</v>
      </c>
      <c r="CE676" s="3">
        <f>+IF(AVANCE[[#This Row],[PILASTREO]]=AR$2,100%,AVANCE[[#This Row],[PILASTREO]])</f>
        <v>0</v>
      </c>
      <c r="CF676" s="3">
        <f>+IF(AVANCE[[#This Row],[CELOSIAS]]=AS$2,100%,AVANCE[[#This Row],[CELOSIAS]])</f>
        <v>0</v>
      </c>
      <c r="CG676" s="3">
        <f>+IF(AVANCE[[#This Row],[VENTANAS]]=AT$2,100%,AVANCE[[#This Row],[VENTANAS]])</f>
        <v>0</v>
      </c>
      <c r="CH676" s="3">
        <f>+IF(AVANCE[[#This Row],[PUERTAS ACCESO - LOGIA - BANO]]=AU$2,100%,AVANCE[[#This Row],[PUERTAS ACCESO - LOGIA - BANO]])</f>
        <v>0</v>
      </c>
      <c r="CI676" s="3">
        <f>+IF(AVANCE[[#This Row],[CERRADURAS]]=AV$2,100%,AVANCE[[#This Row],[CERRADURAS]])</f>
        <v>0</v>
      </c>
      <c r="CJ676" s="3">
        <f>+IF(AVANCE[[#This Row],[REVESTIMIENTO INTERIOR ZONA SECA]]=AW$2,100%,AVANCE[[#This Row],[REVESTIMIENTO INTERIOR ZONA SECA]])</f>
        <v>0</v>
      </c>
      <c r="CK676" s="3">
        <f>+IF(AVANCE[[#This Row],[REVESTIMIENTO INTERIOR ZONAS HUMEDAS]]=AX$2,100%,AVANCE[[#This Row],[REVESTIMIENTO INTERIOR ZONAS HUMEDAS]])</f>
        <v>0</v>
      </c>
      <c r="CL676" s="3">
        <f>+IF(AVANCE[[#This Row],[MEMBRANA CIELO]]=AY$2,100%,AVANCE[[#This Row],[MEMBRANA CIELO]])</f>
        <v>0</v>
      </c>
      <c r="CM676" s="3">
        <f>+IF(AVANCE[[#This Row],[LIMPIEZA FINAL]]=AZ$2,100%,AVANCE[[#This Row],[LIMPIEZA FINAL]])</f>
        <v>0</v>
      </c>
      <c r="CN676" s="3">
        <f>+IF(AVANCE[[#This Row],[PUERTAS DORMITORIO]]=BA$2,100%,AVANCE[[#This Row],[PUERTAS DORMITORIO]])</f>
        <v>0</v>
      </c>
      <c r="CO676" s="3">
        <f>+IF(AVANCE[[#This Row],[REVESTIMIENTO INTERIOR BANO]]=BB$2,100%,AVANCE[[#This Row],[REVESTIMIENTO INTERIOR BANO]])</f>
        <v>0</v>
      </c>
      <c r="CP676" s="3">
        <f>+IF(AVANCE[[#This Row],[MUEBLE LAVAPLATOS]]=BC$2,100%,AVANCE[[#This Row],[MUEBLE LAVAPLATOS]])</f>
        <v>0</v>
      </c>
      <c r="CQ676" s="3">
        <f>+IF(AVANCE[[#This Row],[IMPERMEABILIZACION BANO - COCINA LOGIA]]=BD$2,100%,AVANCE[[#This Row],[IMPERMEABILIZACION BANO - COCINA LOGIA]])</f>
        <v>0</v>
      </c>
      <c r="CR676" s="40">
        <f ca="1">+IF(AVANCE[[#This Row],[ESTADO MODULO]]="PENDIENTE",(TODAY()-AVANCE[[#This Row],[FECHA TERMINO  PLANIFICADO]]),0)</f>
        <v>0</v>
      </c>
      <c r="CS676" s="42" t="str" cm="1">
        <f t="array" ref="CS676">_xlfn.TEXTJOIN(" | ",TRUE,IF(SUMPRODUCT((BF676:CQ676&lt;1)*(PARTIDAS!$I$2:$AT$2="OBRA GRUESA"))&gt;0,"OBRA GRUESA: "&amp;_xlfn.TEXTJOIN(", ",TRUE,IF((BF676:CQ676&lt;1)*(PARTIDAS!$I$2:$AT$2="OBRA GRUESA"),PARTIDAS!$I$1:$AT$1,"")),""),IF(SUMPRODUCT((BF676:CQ676&lt;1)*(PARTIDAS!$I$2:$AT$2="SANITARIOS"))&gt;0,"SANITARIOS: "&amp;_xlfn.TEXTJOIN(", ",TRUE,IF((BF676:CQ676&lt;1)*(PARTIDAS!$I$2:$AT$2="SANITARIOS"),PARTIDAS!$I$1:$AT$1,"")),""),IF(SUMPRODUCT((BF676:CQ676&lt;1)*(PARTIDAS!$I$2:$AT$2="ELÉCTRICO"))&gt;0,"ELÉCTRICO: "&amp;_xlfn.TEXTJOIN(", ",TRUE,IF((BF676:CQ676&lt;1)*(PARTIDAS!$I$2:$AT$2="ELÉCTRICO"),PARTIDAS!$I$1:$AT$1,"")),""),IF(SUMPRODUCT((BF676:CQ676&lt;1)*(PARTIDAS!$I$2:$AT$2="TERMINACIONES"))&gt;0,"TERMINACIONES: "&amp;_xlfn.TEXTJOIN(", ",TRUE,IF((BF676:CQ676&lt;1)*(PARTIDAS!$I$2:$AT$2="TERMINACIONES"),PARTIDAS!$I$1:$AT$1,"")),""))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6" s="45" t="str" cm="1">
        <f t="array" ref="CT676">_xlfn.TEXTJOIN(", ",TRUE,IF(SUMPRODUCT((BF676:CQ676&lt;1)*(PARTIDAS!$I$2:$AT$2="OBRA GRUESA"))&gt;0,"OBRA GRUESA",""),IF(SUMPRODUCT((BF676:CQ676&lt;1)*(PARTIDAS!$I$2:$AT$2="SANITARIOS"))&gt;0,"SANITARIOS",""),IF(SUMPRODUCT((BF676:CQ676&lt;1)*(PARTIDAS!$I$2:$AT$2="ELÉCTRICO"))&gt;0,"ELÉCTRICO",""),IF(SUMPRODUCT((BF676:CQ676&lt;1)*(PARTIDAS!$I$2:$AT$2="TERMINACIONES"))&gt;0,"TERMINACIONES",""))</f>
        <v>OBRA GRUESA, SANITARIOS, ELÉCTRICO, TERMINACIONES</v>
      </c>
      <c r="CU676" s="46" cm="1">
        <f t="array" ref="CU676">SUMPRODUCT(--(BF676:CQ676&lt;1))</f>
        <v>38</v>
      </c>
    </row>
    <row r="677" spans="1:99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46181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 s="3" t="str">
        <f>+IF(AVANCE[[#This Row],[% AVANCE]]=100%,"MODULO TERMINADO",IF(AVANCE[[#This Row],[FECHA INICIO REAL]]="","MODULO NO INICIADO","PENDIENTE"))</f>
        <v>MODULO NO INICIADO</v>
      </c>
      <c r="BF677" s="3">
        <f>+IF(AVANCE[[#This Row],[VENTANAS]]=8.10810810810811%,100%,AVANCE[[#This Row],[VENTANAS]])</f>
        <v>0</v>
      </c>
      <c r="BG677" s="3">
        <f>+IF(AVANCE[[#This Row],[PISO]]=N$2,100%,AVANCE[[#This Row],[PISO]])</f>
        <v>0</v>
      </c>
      <c r="BH677" s="3">
        <f>+IF(AVANCE[[#This Row],[TABIQUES]]=O$2,100%,AVANCE[[#This Row],[TABIQUES]])</f>
        <v>0</v>
      </c>
      <c r="BI677" s="3">
        <f>+IF(AVANCE[[#This Row],[MUROS]]=P$2,100%,AVANCE[[#This Row],[MUROS]])</f>
        <v>0</v>
      </c>
      <c r="BJ677" s="3">
        <f>+IF(AVANCE[[#This Row],[CIELO]]=Q$2,100%,AVANCE[[#This Row],[CIELO]])</f>
        <v>0</v>
      </c>
      <c r="BK677" s="3">
        <f>+IF(AVANCE[[#This Row],[BALCÓN]]=R$2,100%,AVANCE[[#This Row],[BALCÓN]])</f>
        <v>0</v>
      </c>
      <c r="BL677" s="3">
        <f>+IF(AVANCE[[#This Row],[RED ALCANTARILLADO]]=U$2,100%,AVANCE[[#This Row],[RED ALCANTARILLADO]])</f>
        <v>0</v>
      </c>
      <c r="BM677" s="3">
        <f>+IF(AVANCE[[#This Row],[RED DE AGUA]]=V$2,100%,AVANCE[[#This Row],[RED DE AGUA]])</f>
        <v>0</v>
      </c>
      <c r="BN677" s="3">
        <f>+IF(AVANCE[[#This Row],[VENTILACIONES]]=W$2,100%,AVANCE[[#This Row],[VENTILACIONES]])</f>
        <v>0</v>
      </c>
      <c r="BO677" s="3">
        <f>+IF(AVANCE[[#This Row],[TINA]]=X$2,100%,AVANCE[[#This Row],[TINA]])</f>
        <v>0</v>
      </c>
      <c r="BP677" s="3">
        <f>+IF(AVANCE[[#This Row],[WC]]=Y$2,100%,AVANCE[[#This Row],[WC]])</f>
        <v>0</v>
      </c>
      <c r="BQ677" s="3">
        <f>+IF(AVANCE[[#This Row],[LAVAMANOS / LAVAPLATOS / LAVADERO]]=Z$2,100%,AVANCE[[#This Row],[LAVAMANOS / LAVAPLATOS / LAVADERO]])</f>
        <v>0</v>
      </c>
      <c r="BR677" s="3">
        <f>+IF(AVANCE[[#This Row],[CANALIZACIÓN]]=AC$2,100%,AVANCE[[#This Row],[CANALIZACIÓN]])</f>
        <v>0</v>
      </c>
      <c r="BS677" s="3">
        <f>+IF(AVANCE[[#This Row],[CABLEADO]]=AD$2,100%,AVANCE[[#This Row],[CABLEADO]])</f>
        <v>0</v>
      </c>
      <c r="BT677" s="3">
        <f>+IF(AVANCE[[#This Row],[ARTEFACTOS]]=AE$2,100%,AVANCE[[#This Row],[ARTEFACTOS]])</f>
        <v>0</v>
      </c>
      <c r="BU677" s="3">
        <f>+IF(AVANCE[[#This Row],[TABLERO]]=AF$2,100%,AVANCE[[#This Row],[TABLERO]])</f>
        <v>0</v>
      </c>
      <c r="BV677" s="3">
        <f>+IF(AVANCE[[#This Row],[CAJA PAU]]=AG$2,100%,AVANCE[[#This Row],[CAJA PAU]])</f>
        <v>0</v>
      </c>
      <c r="BW677" s="3">
        <f>+IF(AVANCE[[#This Row],[INSTALACION VINILICO]]=AJ$2,100%,AVANCE[[#This Row],[INSTALACION VINILICO]])</f>
        <v>0</v>
      </c>
      <c r="BX677" s="3">
        <f>+IF(AVANCE[[#This Row],[OSB CUBIERTA]]=AK$2,100%,AVANCE[[#This Row],[OSB CUBIERTA]])</f>
        <v>0</v>
      </c>
      <c r="BY677" s="3">
        <f>+IF(AVANCE[[#This Row],[BARANDA BALCON]]=AL$2,100%,AVANCE[[#This Row],[BARANDA BALCON]])</f>
        <v>0</v>
      </c>
      <c r="BZ677" s="3">
        <f>+IF(AVANCE[[#This Row],[OSB EXTERIOR]]=AM$2,100%,AVANCE[[#This Row],[OSB EXTERIOR]])</f>
        <v>0</v>
      </c>
      <c r="CA677" s="3">
        <f>+IF(AVANCE[[#This Row],[SMART PANEL]]=AN$2,100%,AVANCE[[#This Row],[SMART PANEL]])</f>
        <v>0</v>
      </c>
      <c r="CB677" s="3">
        <f>+IF(AVANCE[[#This Row],[PINTURA EXTERIOR]]=AO$2,100%,AVANCE[[#This Row],[PINTURA EXTERIOR]])</f>
        <v>0</v>
      </c>
      <c r="CC677" s="3">
        <f>+IF(AVANCE[[#This Row],[ZOCALOS LOGIA]]=AP$2,100%,AVANCE[[#This Row],[ZOCALOS LOGIA]])</f>
        <v>0</v>
      </c>
      <c r="CD677" s="3">
        <f>+IF(AVANCE[[#This Row],[MOLDURAS]]=AQ$2,100%,AVANCE[[#This Row],[MOLDURAS]])</f>
        <v>0</v>
      </c>
      <c r="CE677" s="3">
        <f>+IF(AVANCE[[#This Row],[PILASTREO]]=AR$2,100%,AVANCE[[#This Row],[PILASTREO]])</f>
        <v>0</v>
      </c>
      <c r="CF677" s="3">
        <f>+IF(AVANCE[[#This Row],[CELOSIAS]]=AS$2,100%,AVANCE[[#This Row],[CELOSIAS]])</f>
        <v>0</v>
      </c>
      <c r="CG677" s="3">
        <f>+IF(AVANCE[[#This Row],[VENTANAS]]=AT$2,100%,AVANCE[[#This Row],[VENTANAS]])</f>
        <v>0</v>
      </c>
      <c r="CH677" s="3">
        <f>+IF(AVANCE[[#This Row],[PUERTAS ACCESO - LOGIA - BANO]]=AU$2,100%,AVANCE[[#This Row],[PUERTAS ACCESO - LOGIA - BANO]])</f>
        <v>0</v>
      </c>
      <c r="CI677" s="3">
        <f>+IF(AVANCE[[#This Row],[CERRADURAS]]=AV$2,100%,AVANCE[[#This Row],[CERRADURAS]])</f>
        <v>0</v>
      </c>
      <c r="CJ677" s="3">
        <f>+IF(AVANCE[[#This Row],[REVESTIMIENTO INTERIOR ZONA SECA]]=AW$2,100%,AVANCE[[#This Row],[REVESTIMIENTO INTERIOR ZONA SECA]])</f>
        <v>0</v>
      </c>
      <c r="CK677" s="3">
        <f>+IF(AVANCE[[#This Row],[REVESTIMIENTO INTERIOR ZONAS HUMEDAS]]=AX$2,100%,AVANCE[[#This Row],[REVESTIMIENTO INTERIOR ZONAS HUMEDAS]])</f>
        <v>0</v>
      </c>
      <c r="CL677" s="3">
        <f>+IF(AVANCE[[#This Row],[MEMBRANA CIELO]]=AY$2,100%,AVANCE[[#This Row],[MEMBRANA CIELO]])</f>
        <v>0</v>
      </c>
      <c r="CM677" s="3">
        <f>+IF(AVANCE[[#This Row],[LIMPIEZA FINAL]]=AZ$2,100%,AVANCE[[#This Row],[LIMPIEZA FINAL]])</f>
        <v>0</v>
      </c>
      <c r="CN677" s="3">
        <f>+IF(AVANCE[[#This Row],[PUERTAS DORMITORIO]]=BA$2,100%,AVANCE[[#This Row],[PUERTAS DORMITORIO]])</f>
        <v>0</v>
      </c>
      <c r="CO677" s="3">
        <f>+IF(AVANCE[[#This Row],[REVESTIMIENTO INTERIOR BANO]]=BB$2,100%,AVANCE[[#This Row],[REVESTIMIENTO INTERIOR BANO]])</f>
        <v>0</v>
      </c>
      <c r="CP677" s="3">
        <f>+IF(AVANCE[[#This Row],[MUEBLE LAVAPLATOS]]=BC$2,100%,AVANCE[[#This Row],[MUEBLE LAVAPLATOS]])</f>
        <v>0</v>
      </c>
      <c r="CQ677" s="3">
        <f>+IF(AVANCE[[#This Row],[IMPERMEABILIZACION BANO - COCINA LOGIA]]=BD$2,100%,AVANCE[[#This Row],[IMPERMEABILIZACION BANO - COCINA LOGIA]])</f>
        <v>0</v>
      </c>
      <c r="CR677" s="40">
        <f ca="1">+IF(AVANCE[[#This Row],[ESTADO MODULO]]="PENDIENTE",(TODAY()-AVANCE[[#This Row],[FECHA TERMINO  PLANIFICADO]]),0)</f>
        <v>0</v>
      </c>
      <c r="CS677" s="42" t="str" cm="1">
        <f t="array" ref="CS677">_xlfn.TEXTJOIN(" | ",TRUE,IF(SUMPRODUCT((BF677:CQ677&lt;1)*(PARTIDAS!$I$2:$AT$2="OBRA GRUESA"))&gt;0,"OBRA GRUESA: "&amp;_xlfn.TEXTJOIN(", ",TRUE,IF((BF677:CQ677&lt;1)*(PARTIDAS!$I$2:$AT$2="OBRA GRUESA"),PARTIDAS!$I$1:$AT$1,"")),""),IF(SUMPRODUCT((BF677:CQ677&lt;1)*(PARTIDAS!$I$2:$AT$2="SANITARIOS"))&gt;0,"SANITARIOS: "&amp;_xlfn.TEXTJOIN(", ",TRUE,IF((BF677:CQ677&lt;1)*(PARTIDAS!$I$2:$AT$2="SANITARIOS"),PARTIDAS!$I$1:$AT$1,"")),""),IF(SUMPRODUCT((BF677:CQ677&lt;1)*(PARTIDAS!$I$2:$AT$2="ELÉCTRICO"))&gt;0,"ELÉCTRICO: "&amp;_xlfn.TEXTJOIN(", ",TRUE,IF((BF677:CQ677&lt;1)*(PARTIDAS!$I$2:$AT$2="ELÉCTRICO"),PARTIDAS!$I$1:$AT$1,"")),""),IF(SUMPRODUCT((BF677:CQ677&lt;1)*(PARTIDAS!$I$2:$AT$2="TERMINACIONES"))&gt;0,"TERMINACIONES: "&amp;_xlfn.TEXTJOIN(", ",TRUE,IF((BF677:CQ677&lt;1)*(PARTIDAS!$I$2:$AT$2="TERMINACIONES"),PARTIDAS!$I$1:$AT$1,"")),""))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7" s="45" t="str" cm="1">
        <f t="array" ref="CT677">_xlfn.TEXTJOIN(", ",TRUE,IF(SUMPRODUCT((BF677:CQ677&lt;1)*(PARTIDAS!$I$2:$AT$2="OBRA GRUESA"))&gt;0,"OBRA GRUESA",""),IF(SUMPRODUCT((BF677:CQ677&lt;1)*(PARTIDAS!$I$2:$AT$2="SANITARIOS"))&gt;0,"SANITARIOS",""),IF(SUMPRODUCT((BF677:CQ677&lt;1)*(PARTIDAS!$I$2:$AT$2="ELÉCTRICO"))&gt;0,"ELÉCTRICO",""),IF(SUMPRODUCT((BF677:CQ677&lt;1)*(PARTIDAS!$I$2:$AT$2="TERMINACIONES"))&gt;0,"TERMINACIONES",""))</f>
        <v>OBRA GRUESA, SANITARIOS, ELÉCTRICO, TERMINACIONES</v>
      </c>
      <c r="CU677" s="46" cm="1">
        <f t="array" ref="CU677">SUMPRODUCT(--(BF677:CQ677&lt;1))</f>
        <v>38</v>
      </c>
    </row>
    <row r="678" spans="1:99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46181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 s="3" t="str">
        <f>+IF(AVANCE[[#This Row],[% AVANCE]]=100%,"MODULO TERMINADO",IF(AVANCE[[#This Row],[FECHA INICIO REAL]]="","MODULO NO INICIADO","PENDIENTE"))</f>
        <v>MODULO NO INICIADO</v>
      </c>
      <c r="BF678" s="3">
        <f>+IF(AVANCE[[#This Row],[VENTANAS]]=8.10810810810811%,100%,AVANCE[[#This Row],[VENTANAS]])</f>
        <v>0</v>
      </c>
      <c r="BG678" s="3">
        <f>+IF(AVANCE[[#This Row],[PISO]]=N$2,100%,AVANCE[[#This Row],[PISO]])</f>
        <v>0</v>
      </c>
      <c r="BH678" s="3">
        <f>+IF(AVANCE[[#This Row],[TABIQUES]]=O$2,100%,AVANCE[[#This Row],[TABIQUES]])</f>
        <v>0</v>
      </c>
      <c r="BI678" s="3">
        <f>+IF(AVANCE[[#This Row],[MUROS]]=P$2,100%,AVANCE[[#This Row],[MUROS]])</f>
        <v>0</v>
      </c>
      <c r="BJ678" s="3">
        <f>+IF(AVANCE[[#This Row],[CIELO]]=Q$2,100%,AVANCE[[#This Row],[CIELO]])</f>
        <v>0</v>
      </c>
      <c r="BK678" s="3">
        <f>+IF(AVANCE[[#This Row],[BALCÓN]]=R$2,100%,AVANCE[[#This Row],[BALCÓN]])</f>
        <v>0</v>
      </c>
      <c r="BL678" s="3">
        <f>+IF(AVANCE[[#This Row],[RED ALCANTARILLADO]]=U$2,100%,AVANCE[[#This Row],[RED ALCANTARILLADO]])</f>
        <v>0</v>
      </c>
      <c r="BM678" s="3">
        <f>+IF(AVANCE[[#This Row],[RED DE AGUA]]=V$2,100%,AVANCE[[#This Row],[RED DE AGUA]])</f>
        <v>0</v>
      </c>
      <c r="BN678" s="3">
        <f>+IF(AVANCE[[#This Row],[VENTILACIONES]]=W$2,100%,AVANCE[[#This Row],[VENTILACIONES]])</f>
        <v>0</v>
      </c>
      <c r="BO678" s="3">
        <f>+IF(AVANCE[[#This Row],[TINA]]=X$2,100%,AVANCE[[#This Row],[TINA]])</f>
        <v>0</v>
      </c>
      <c r="BP678" s="3">
        <f>+IF(AVANCE[[#This Row],[WC]]=Y$2,100%,AVANCE[[#This Row],[WC]])</f>
        <v>0</v>
      </c>
      <c r="BQ678" s="3">
        <f>+IF(AVANCE[[#This Row],[LAVAMANOS / LAVAPLATOS / LAVADERO]]=Z$2,100%,AVANCE[[#This Row],[LAVAMANOS / LAVAPLATOS / LAVADERO]])</f>
        <v>0</v>
      </c>
      <c r="BR678" s="3">
        <f>+IF(AVANCE[[#This Row],[CANALIZACIÓN]]=AC$2,100%,AVANCE[[#This Row],[CANALIZACIÓN]])</f>
        <v>0</v>
      </c>
      <c r="BS678" s="3">
        <f>+IF(AVANCE[[#This Row],[CABLEADO]]=AD$2,100%,AVANCE[[#This Row],[CABLEADO]])</f>
        <v>0</v>
      </c>
      <c r="BT678" s="3">
        <f>+IF(AVANCE[[#This Row],[ARTEFACTOS]]=AE$2,100%,AVANCE[[#This Row],[ARTEFACTOS]])</f>
        <v>0</v>
      </c>
      <c r="BU678" s="3">
        <f>+IF(AVANCE[[#This Row],[TABLERO]]=AF$2,100%,AVANCE[[#This Row],[TABLERO]])</f>
        <v>0</v>
      </c>
      <c r="BV678" s="3">
        <f>+IF(AVANCE[[#This Row],[CAJA PAU]]=AG$2,100%,AVANCE[[#This Row],[CAJA PAU]])</f>
        <v>0</v>
      </c>
      <c r="BW678" s="3">
        <f>+IF(AVANCE[[#This Row],[INSTALACION VINILICO]]=AJ$2,100%,AVANCE[[#This Row],[INSTALACION VINILICO]])</f>
        <v>0</v>
      </c>
      <c r="BX678" s="3">
        <f>+IF(AVANCE[[#This Row],[OSB CUBIERTA]]=AK$2,100%,AVANCE[[#This Row],[OSB CUBIERTA]])</f>
        <v>0</v>
      </c>
      <c r="BY678" s="3">
        <f>+IF(AVANCE[[#This Row],[BARANDA BALCON]]=AL$2,100%,AVANCE[[#This Row],[BARANDA BALCON]])</f>
        <v>0</v>
      </c>
      <c r="BZ678" s="3">
        <f>+IF(AVANCE[[#This Row],[OSB EXTERIOR]]=AM$2,100%,AVANCE[[#This Row],[OSB EXTERIOR]])</f>
        <v>0</v>
      </c>
      <c r="CA678" s="3">
        <f>+IF(AVANCE[[#This Row],[SMART PANEL]]=AN$2,100%,AVANCE[[#This Row],[SMART PANEL]])</f>
        <v>0</v>
      </c>
      <c r="CB678" s="3">
        <f>+IF(AVANCE[[#This Row],[PINTURA EXTERIOR]]=AO$2,100%,AVANCE[[#This Row],[PINTURA EXTERIOR]])</f>
        <v>0</v>
      </c>
      <c r="CC678" s="3">
        <f>+IF(AVANCE[[#This Row],[ZOCALOS LOGIA]]=AP$2,100%,AVANCE[[#This Row],[ZOCALOS LOGIA]])</f>
        <v>0</v>
      </c>
      <c r="CD678" s="3">
        <f>+IF(AVANCE[[#This Row],[MOLDURAS]]=AQ$2,100%,AVANCE[[#This Row],[MOLDURAS]])</f>
        <v>0</v>
      </c>
      <c r="CE678" s="3">
        <f>+IF(AVANCE[[#This Row],[PILASTREO]]=AR$2,100%,AVANCE[[#This Row],[PILASTREO]])</f>
        <v>0</v>
      </c>
      <c r="CF678" s="3">
        <f>+IF(AVANCE[[#This Row],[CELOSIAS]]=AS$2,100%,AVANCE[[#This Row],[CELOSIAS]])</f>
        <v>0</v>
      </c>
      <c r="CG678" s="3">
        <f>+IF(AVANCE[[#This Row],[VENTANAS]]=AT$2,100%,AVANCE[[#This Row],[VENTANAS]])</f>
        <v>0</v>
      </c>
      <c r="CH678" s="3">
        <f>+IF(AVANCE[[#This Row],[PUERTAS ACCESO - LOGIA - BANO]]=AU$2,100%,AVANCE[[#This Row],[PUERTAS ACCESO - LOGIA - BANO]])</f>
        <v>0</v>
      </c>
      <c r="CI678" s="3">
        <f>+IF(AVANCE[[#This Row],[CERRADURAS]]=AV$2,100%,AVANCE[[#This Row],[CERRADURAS]])</f>
        <v>0</v>
      </c>
      <c r="CJ678" s="3">
        <f>+IF(AVANCE[[#This Row],[REVESTIMIENTO INTERIOR ZONA SECA]]=AW$2,100%,AVANCE[[#This Row],[REVESTIMIENTO INTERIOR ZONA SECA]])</f>
        <v>0</v>
      </c>
      <c r="CK678" s="3">
        <f>+IF(AVANCE[[#This Row],[REVESTIMIENTO INTERIOR ZONAS HUMEDAS]]=AX$2,100%,AVANCE[[#This Row],[REVESTIMIENTO INTERIOR ZONAS HUMEDAS]])</f>
        <v>0</v>
      </c>
      <c r="CL678" s="3">
        <f>+IF(AVANCE[[#This Row],[MEMBRANA CIELO]]=AY$2,100%,AVANCE[[#This Row],[MEMBRANA CIELO]])</f>
        <v>0</v>
      </c>
      <c r="CM678" s="3">
        <f>+IF(AVANCE[[#This Row],[LIMPIEZA FINAL]]=AZ$2,100%,AVANCE[[#This Row],[LIMPIEZA FINAL]])</f>
        <v>0</v>
      </c>
      <c r="CN678" s="3">
        <f>+IF(AVANCE[[#This Row],[PUERTAS DORMITORIO]]=BA$2,100%,AVANCE[[#This Row],[PUERTAS DORMITORIO]])</f>
        <v>0</v>
      </c>
      <c r="CO678" s="3">
        <f>+IF(AVANCE[[#This Row],[REVESTIMIENTO INTERIOR BANO]]=BB$2,100%,AVANCE[[#This Row],[REVESTIMIENTO INTERIOR BANO]])</f>
        <v>0</v>
      </c>
      <c r="CP678" s="3">
        <f>+IF(AVANCE[[#This Row],[MUEBLE LAVAPLATOS]]=BC$2,100%,AVANCE[[#This Row],[MUEBLE LAVAPLATOS]])</f>
        <v>0</v>
      </c>
      <c r="CQ678" s="3">
        <f>+IF(AVANCE[[#This Row],[IMPERMEABILIZACION BANO - COCINA LOGIA]]=BD$2,100%,AVANCE[[#This Row],[IMPERMEABILIZACION BANO - COCINA LOGIA]])</f>
        <v>0</v>
      </c>
      <c r="CR678" s="40">
        <f ca="1">+IF(AVANCE[[#This Row],[ESTADO MODULO]]="PENDIENTE",(TODAY()-AVANCE[[#This Row],[FECHA TERMINO  PLANIFICADO]]),0)</f>
        <v>0</v>
      </c>
      <c r="CS678" s="42" t="str" cm="1">
        <f t="array" ref="CS678">_xlfn.TEXTJOIN(" | ",TRUE,IF(SUMPRODUCT((BF678:CQ678&lt;1)*(PARTIDAS!$I$2:$AT$2="OBRA GRUESA"))&gt;0,"OBRA GRUESA: "&amp;_xlfn.TEXTJOIN(", ",TRUE,IF((BF678:CQ678&lt;1)*(PARTIDAS!$I$2:$AT$2="OBRA GRUESA"),PARTIDAS!$I$1:$AT$1,"")),""),IF(SUMPRODUCT((BF678:CQ678&lt;1)*(PARTIDAS!$I$2:$AT$2="SANITARIOS"))&gt;0,"SANITARIOS: "&amp;_xlfn.TEXTJOIN(", ",TRUE,IF((BF678:CQ678&lt;1)*(PARTIDAS!$I$2:$AT$2="SANITARIOS"),PARTIDAS!$I$1:$AT$1,"")),""),IF(SUMPRODUCT((BF678:CQ678&lt;1)*(PARTIDAS!$I$2:$AT$2="ELÉCTRICO"))&gt;0,"ELÉCTRICO: "&amp;_xlfn.TEXTJOIN(", ",TRUE,IF((BF678:CQ678&lt;1)*(PARTIDAS!$I$2:$AT$2="ELÉCTRICO"),PARTIDAS!$I$1:$AT$1,"")),""),IF(SUMPRODUCT((BF678:CQ678&lt;1)*(PARTIDAS!$I$2:$AT$2="TERMINACIONES"))&gt;0,"TERMINACIONES: "&amp;_xlfn.TEXTJOIN(", ",TRUE,IF((BF678:CQ678&lt;1)*(PARTIDAS!$I$2:$AT$2="TERMINACIONES"),PARTIDAS!$I$1:$AT$1,"")),""))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8" s="45" t="str" cm="1">
        <f t="array" ref="CT678">_xlfn.TEXTJOIN(", ",TRUE,IF(SUMPRODUCT((BF678:CQ678&lt;1)*(PARTIDAS!$I$2:$AT$2="OBRA GRUESA"))&gt;0,"OBRA GRUESA",""),IF(SUMPRODUCT((BF678:CQ678&lt;1)*(PARTIDAS!$I$2:$AT$2="SANITARIOS"))&gt;0,"SANITARIOS",""),IF(SUMPRODUCT((BF678:CQ678&lt;1)*(PARTIDAS!$I$2:$AT$2="ELÉCTRICO"))&gt;0,"ELÉCTRICO",""),IF(SUMPRODUCT((BF678:CQ678&lt;1)*(PARTIDAS!$I$2:$AT$2="TERMINACIONES"))&gt;0,"TERMINACIONES",""))</f>
        <v>OBRA GRUESA, SANITARIOS, ELÉCTRICO, TERMINACIONES</v>
      </c>
      <c r="CU678" s="46" cm="1">
        <f t="array" ref="CU678">SUMPRODUCT(--(BF678:CQ678&lt;1))</f>
        <v>38</v>
      </c>
    </row>
    <row r="679" spans="1:99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46181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 s="3" t="str">
        <f>+IF(AVANCE[[#This Row],[% AVANCE]]=100%,"MODULO TERMINADO",IF(AVANCE[[#This Row],[FECHA INICIO REAL]]="","MODULO NO INICIADO","PENDIENTE"))</f>
        <v>MODULO NO INICIADO</v>
      </c>
      <c r="BF679" s="3">
        <f>+IF(AVANCE[[#This Row],[VENTANAS]]=8.10810810810811%,100%,AVANCE[[#This Row],[VENTANAS]])</f>
        <v>0</v>
      </c>
      <c r="BG679" s="3">
        <f>+IF(AVANCE[[#This Row],[PISO]]=N$2,100%,AVANCE[[#This Row],[PISO]])</f>
        <v>0</v>
      </c>
      <c r="BH679" s="3">
        <f>+IF(AVANCE[[#This Row],[TABIQUES]]=O$2,100%,AVANCE[[#This Row],[TABIQUES]])</f>
        <v>0</v>
      </c>
      <c r="BI679" s="3">
        <f>+IF(AVANCE[[#This Row],[MUROS]]=P$2,100%,AVANCE[[#This Row],[MUROS]])</f>
        <v>0</v>
      </c>
      <c r="BJ679" s="3">
        <f>+IF(AVANCE[[#This Row],[CIELO]]=Q$2,100%,AVANCE[[#This Row],[CIELO]])</f>
        <v>0</v>
      </c>
      <c r="BK679" s="3">
        <f>+IF(AVANCE[[#This Row],[BALCÓN]]=R$2,100%,AVANCE[[#This Row],[BALCÓN]])</f>
        <v>0</v>
      </c>
      <c r="BL679" s="3">
        <f>+IF(AVANCE[[#This Row],[RED ALCANTARILLADO]]=U$2,100%,AVANCE[[#This Row],[RED ALCANTARILLADO]])</f>
        <v>0</v>
      </c>
      <c r="BM679" s="3">
        <f>+IF(AVANCE[[#This Row],[RED DE AGUA]]=V$2,100%,AVANCE[[#This Row],[RED DE AGUA]])</f>
        <v>0</v>
      </c>
      <c r="BN679" s="3">
        <f>+IF(AVANCE[[#This Row],[VENTILACIONES]]=W$2,100%,AVANCE[[#This Row],[VENTILACIONES]])</f>
        <v>0</v>
      </c>
      <c r="BO679" s="3">
        <f>+IF(AVANCE[[#This Row],[TINA]]=X$2,100%,AVANCE[[#This Row],[TINA]])</f>
        <v>0</v>
      </c>
      <c r="BP679" s="3">
        <f>+IF(AVANCE[[#This Row],[WC]]=Y$2,100%,AVANCE[[#This Row],[WC]])</f>
        <v>0</v>
      </c>
      <c r="BQ679" s="3">
        <f>+IF(AVANCE[[#This Row],[LAVAMANOS / LAVAPLATOS / LAVADERO]]=Z$2,100%,AVANCE[[#This Row],[LAVAMANOS / LAVAPLATOS / LAVADERO]])</f>
        <v>0</v>
      </c>
      <c r="BR679" s="3">
        <f>+IF(AVANCE[[#This Row],[CANALIZACIÓN]]=AC$2,100%,AVANCE[[#This Row],[CANALIZACIÓN]])</f>
        <v>0</v>
      </c>
      <c r="BS679" s="3">
        <f>+IF(AVANCE[[#This Row],[CABLEADO]]=AD$2,100%,AVANCE[[#This Row],[CABLEADO]])</f>
        <v>0</v>
      </c>
      <c r="BT679" s="3">
        <f>+IF(AVANCE[[#This Row],[ARTEFACTOS]]=AE$2,100%,AVANCE[[#This Row],[ARTEFACTOS]])</f>
        <v>0</v>
      </c>
      <c r="BU679" s="3">
        <f>+IF(AVANCE[[#This Row],[TABLERO]]=AF$2,100%,AVANCE[[#This Row],[TABLERO]])</f>
        <v>0</v>
      </c>
      <c r="BV679" s="3">
        <f>+IF(AVANCE[[#This Row],[CAJA PAU]]=AG$2,100%,AVANCE[[#This Row],[CAJA PAU]])</f>
        <v>0</v>
      </c>
      <c r="BW679" s="3">
        <f>+IF(AVANCE[[#This Row],[INSTALACION VINILICO]]=AJ$2,100%,AVANCE[[#This Row],[INSTALACION VINILICO]])</f>
        <v>0</v>
      </c>
      <c r="BX679" s="3">
        <f>+IF(AVANCE[[#This Row],[OSB CUBIERTA]]=AK$2,100%,AVANCE[[#This Row],[OSB CUBIERTA]])</f>
        <v>0</v>
      </c>
      <c r="BY679" s="3">
        <f>+IF(AVANCE[[#This Row],[BARANDA BALCON]]=AL$2,100%,AVANCE[[#This Row],[BARANDA BALCON]])</f>
        <v>0</v>
      </c>
      <c r="BZ679" s="3">
        <f>+IF(AVANCE[[#This Row],[OSB EXTERIOR]]=AM$2,100%,AVANCE[[#This Row],[OSB EXTERIOR]])</f>
        <v>0</v>
      </c>
      <c r="CA679" s="3">
        <f>+IF(AVANCE[[#This Row],[SMART PANEL]]=AN$2,100%,AVANCE[[#This Row],[SMART PANEL]])</f>
        <v>0</v>
      </c>
      <c r="CB679" s="3">
        <f>+IF(AVANCE[[#This Row],[PINTURA EXTERIOR]]=AO$2,100%,AVANCE[[#This Row],[PINTURA EXTERIOR]])</f>
        <v>0</v>
      </c>
      <c r="CC679" s="3">
        <f>+IF(AVANCE[[#This Row],[ZOCALOS LOGIA]]=AP$2,100%,AVANCE[[#This Row],[ZOCALOS LOGIA]])</f>
        <v>0</v>
      </c>
      <c r="CD679" s="3">
        <f>+IF(AVANCE[[#This Row],[MOLDURAS]]=AQ$2,100%,AVANCE[[#This Row],[MOLDURAS]])</f>
        <v>0</v>
      </c>
      <c r="CE679" s="3">
        <f>+IF(AVANCE[[#This Row],[PILASTREO]]=AR$2,100%,AVANCE[[#This Row],[PILASTREO]])</f>
        <v>0</v>
      </c>
      <c r="CF679" s="3">
        <f>+IF(AVANCE[[#This Row],[CELOSIAS]]=AS$2,100%,AVANCE[[#This Row],[CELOSIAS]])</f>
        <v>0</v>
      </c>
      <c r="CG679" s="3">
        <f>+IF(AVANCE[[#This Row],[VENTANAS]]=AT$2,100%,AVANCE[[#This Row],[VENTANAS]])</f>
        <v>0</v>
      </c>
      <c r="CH679" s="3">
        <f>+IF(AVANCE[[#This Row],[PUERTAS ACCESO - LOGIA - BANO]]=AU$2,100%,AVANCE[[#This Row],[PUERTAS ACCESO - LOGIA - BANO]])</f>
        <v>0</v>
      </c>
      <c r="CI679" s="3">
        <f>+IF(AVANCE[[#This Row],[CERRADURAS]]=AV$2,100%,AVANCE[[#This Row],[CERRADURAS]])</f>
        <v>0</v>
      </c>
      <c r="CJ679" s="3">
        <f>+IF(AVANCE[[#This Row],[REVESTIMIENTO INTERIOR ZONA SECA]]=AW$2,100%,AVANCE[[#This Row],[REVESTIMIENTO INTERIOR ZONA SECA]])</f>
        <v>0</v>
      </c>
      <c r="CK679" s="3">
        <f>+IF(AVANCE[[#This Row],[REVESTIMIENTO INTERIOR ZONAS HUMEDAS]]=AX$2,100%,AVANCE[[#This Row],[REVESTIMIENTO INTERIOR ZONAS HUMEDAS]])</f>
        <v>0</v>
      </c>
      <c r="CL679" s="3">
        <f>+IF(AVANCE[[#This Row],[MEMBRANA CIELO]]=AY$2,100%,AVANCE[[#This Row],[MEMBRANA CIELO]])</f>
        <v>0</v>
      </c>
      <c r="CM679" s="3">
        <f>+IF(AVANCE[[#This Row],[LIMPIEZA FINAL]]=AZ$2,100%,AVANCE[[#This Row],[LIMPIEZA FINAL]])</f>
        <v>0</v>
      </c>
      <c r="CN679" s="3">
        <f>+IF(AVANCE[[#This Row],[PUERTAS DORMITORIO]]=BA$2,100%,AVANCE[[#This Row],[PUERTAS DORMITORIO]])</f>
        <v>0</v>
      </c>
      <c r="CO679" s="3">
        <f>+IF(AVANCE[[#This Row],[REVESTIMIENTO INTERIOR BANO]]=BB$2,100%,AVANCE[[#This Row],[REVESTIMIENTO INTERIOR BANO]])</f>
        <v>0</v>
      </c>
      <c r="CP679" s="3">
        <f>+IF(AVANCE[[#This Row],[MUEBLE LAVAPLATOS]]=BC$2,100%,AVANCE[[#This Row],[MUEBLE LAVAPLATOS]])</f>
        <v>0</v>
      </c>
      <c r="CQ679" s="3">
        <f>+IF(AVANCE[[#This Row],[IMPERMEABILIZACION BANO - COCINA LOGIA]]=BD$2,100%,AVANCE[[#This Row],[IMPERMEABILIZACION BANO - COCINA LOGIA]])</f>
        <v>0</v>
      </c>
      <c r="CR679" s="40">
        <f ca="1">+IF(AVANCE[[#This Row],[ESTADO MODULO]]="PENDIENTE",(TODAY()-AVANCE[[#This Row],[FECHA TERMINO  PLANIFICADO]]),0)</f>
        <v>0</v>
      </c>
      <c r="CS679" s="42" t="str" cm="1">
        <f t="array" ref="CS679">_xlfn.TEXTJOIN(" | ",TRUE,IF(SUMPRODUCT((BF679:CQ679&lt;1)*(PARTIDAS!$I$2:$AT$2="OBRA GRUESA"))&gt;0,"OBRA GRUESA: "&amp;_xlfn.TEXTJOIN(", ",TRUE,IF((BF679:CQ679&lt;1)*(PARTIDAS!$I$2:$AT$2="OBRA GRUESA"),PARTIDAS!$I$1:$AT$1,"")),""),IF(SUMPRODUCT((BF679:CQ679&lt;1)*(PARTIDAS!$I$2:$AT$2="SANITARIOS"))&gt;0,"SANITARIOS: "&amp;_xlfn.TEXTJOIN(", ",TRUE,IF((BF679:CQ679&lt;1)*(PARTIDAS!$I$2:$AT$2="SANITARIOS"),PARTIDAS!$I$1:$AT$1,"")),""),IF(SUMPRODUCT((BF679:CQ679&lt;1)*(PARTIDAS!$I$2:$AT$2="ELÉCTRICO"))&gt;0,"ELÉCTRICO: "&amp;_xlfn.TEXTJOIN(", ",TRUE,IF((BF679:CQ679&lt;1)*(PARTIDAS!$I$2:$AT$2="ELÉCTRICO"),PARTIDAS!$I$1:$AT$1,"")),""),IF(SUMPRODUCT((BF679:CQ679&lt;1)*(PARTIDAS!$I$2:$AT$2="TERMINACIONES"))&gt;0,"TERMINACIONES: "&amp;_xlfn.TEXTJOIN(", ",TRUE,IF((BF679:CQ679&lt;1)*(PARTIDAS!$I$2:$AT$2="TERMINACIONES"),PARTIDAS!$I$1:$AT$1,"")),""))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79" s="45" t="str" cm="1">
        <f t="array" ref="CT679">_xlfn.TEXTJOIN(", ",TRUE,IF(SUMPRODUCT((BF679:CQ679&lt;1)*(PARTIDAS!$I$2:$AT$2="OBRA GRUESA"))&gt;0,"OBRA GRUESA",""),IF(SUMPRODUCT((BF679:CQ679&lt;1)*(PARTIDAS!$I$2:$AT$2="SANITARIOS"))&gt;0,"SANITARIOS",""),IF(SUMPRODUCT((BF679:CQ679&lt;1)*(PARTIDAS!$I$2:$AT$2="ELÉCTRICO"))&gt;0,"ELÉCTRICO",""),IF(SUMPRODUCT((BF679:CQ679&lt;1)*(PARTIDAS!$I$2:$AT$2="TERMINACIONES"))&gt;0,"TERMINACIONES",""))</f>
        <v>OBRA GRUESA, SANITARIOS, ELÉCTRICO, TERMINACIONES</v>
      </c>
      <c r="CU679" s="46" cm="1">
        <f t="array" ref="CU679">SUMPRODUCT(--(BF679:CQ679&lt;1))</f>
        <v>38</v>
      </c>
    </row>
    <row r="680" spans="1:99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46181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 s="3" t="str">
        <f>+IF(AVANCE[[#This Row],[% AVANCE]]=100%,"MODULO TERMINADO",IF(AVANCE[[#This Row],[FECHA INICIO REAL]]="","MODULO NO INICIADO","PENDIENTE"))</f>
        <v>MODULO NO INICIADO</v>
      </c>
      <c r="BF680" s="3">
        <f>+IF(AVANCE[[#This Row],[VENTANAS]]=8.10810810810811%,100%,AVANCE[[#This Row],[VENTANAS]])</f>
        <v>0</v>
      </c>
      <c r="BG680" s="3">
        <f>+IF(AVANCE[[#This Row],[PISO]]=N$2,100%,AVANCE[[#This Row],[PISO]])</f>
        <v>0</v>
      </c>
      <c r="BH680" s="3">
        <f>+IF(AVANCE[[#This Row],[TABIQUES]]=O$2,100%,AVANCE[[#This Row],[TABIQUES]])</f>
        <v>0</v>
      </c>
      <c r="BI680" s="3">
        <f>+IF(AVANCE[[#This Row],[MUROS]]=P$2,100%,AVANCE[[#This Row],[MUROS]])</f>
        <v>0</v>
      </c>
      <c r="BJ680" s="3">
        <f>+IF(AVANCE[[#This Row],[CIELO]]=Q$2,100%,AVANCE[[#This Row],[CIELO]])</f>
        <v>0</v>
      </c>
      <c r="BK680" s="3">
        <f>+IF(AVANCE[[#This Row],[BALCÓN]]=R$2,100%,AVANCE[[#This Row],[BALCÓN]])</f>
        <v>0</v>
      </c>
      <c r="BL680" s="3">
        <f>+IF(AVANCE[[#This Row],[RED ALCANTARILLADO]]=U$2,100%,AVANCE[[#This Row],[RED ALCANTARILLADO]])</f>
        <v>0</v>
      </c>
      <c r="BM680" s="3">
        <f>+IF(AVANCE[[#This Row],[RED DE AGUA]]=V$2,100%,AVANCE[[#This Row],[RED DE AGUA]])</f>
        <v>0</v>
      </c>
      <c r="BN680" s="3">
        <f>+IF(AVANCE[[#This Row],[VENTILACIONES]]=W$2,100%,AVANCE[[#This Row],[VENTILACIONES]])</f>
        <v>0</v>
      </c>
      <c r="BO680" s="3">
        <f>+IF(AVANCE[[#This Row],[TINA]]=X$2,100%,AVANCE[[#This Row],[TINA]])</f>
        <v>0</v>
      </c>
      <c r="BP680" s="3">
        <f>+IF(AVANCE[[#This Row],[WC]]=Y$2,100%,AVANCE[[#This Row],[WC]])</f>
        <v>0</v>
      </c>
      <c r="BQ680" s="3">
        <f>+IF(AVANCE[[#This Row],[LAVAMANOS / LAVAPLATOS / LAVADERO]]=Z$2,100%,AVANCE[[#This Row],[LAVAMANOS / LAVAPLATOS / LAVADERO]])</f>
        <v>0</v>
      </c>
      <c r="BR680" s="3">
        <f>+IF(AVANCE[[#This Row],[CANALIZACIÓN]]=AC$2,100%,AVANCE[[#This Row],[CANALIZACIÓN]])</f>
        <v>0</v>
      </c>
      <c r="BS680" s="3">
        <f>+IF(AVANCE[[#This Row],[CABLEADO]]=AD$2,100%,AVANCE[[#This Row],[CABLEADO]])</f>
        <v>0</v>
      </c>
      <c r="BT680" s="3">
        <f>+IF(AVANCE[[#This Row],[ARTEFACTOS]]=AE$2,100%,AVANCE[[#This Row],[ARTEFACTOS]])</f>
        <v>0</v>
      </c>
      <c r="BU680" s="3">
        <f>+IF(AVANCE[[#This Row],[TABLERO]]=AF$2,100%,AVANCE[[#This Row],[TABLERO]])</f>
        <v>0</v>
      </c>
      <c r="BV680" s="3">
        <f>+IF(AVANCE[[#This Row],[CAJA PAU]]=AG$2,100%,AVANCE[[#This Row],[CAJA PAU]])</f>
        <v>0</v>
      </c>
      <c r="BW680" s="3">
        <f>+IF(AVANCE[[#This Row],[INSTALACION VINILICO]]=AJ$2,100%,AVANCE[[#This Row],[INSTALACION VINILICO]])</f>
        <v>0</v>
      </c>
      <c r="BX680" s="3">
        <f>+IF(AVANCE[[#This Row],[OSB CUBIERTA]]=AK$2,100%,AVANCE[[#This Row],[OSB CUBIERTA]])</f>
        <v>0</v>
      </c>
      <c r="BY680" s="3">
        <f>+IF(AVANCE[[#This Row],[BARANDA BALCON]]=AL$2,100%,AVANCE[[#This Row],[BARANDA BALCON]])</f>
        <v>0</v>
      </c>
      <c r="BZ680" s="3">
        <f>+IF(AVANCE[[#This Row],[OSB EXTERIOR]]=AM$2,100%,AVANCE[[#This Row],[OSB EXTERIOR]])</f>
        <v>0</v>
      </c>
      <c r="CA680" s="3">
        <f>+IF(AVANCE[[#This Row],[SMART PANEL]]=AN$2,100%,AVANCE[[#This Row],[SMART PANEL]])</f>
        <v>0</v>
      </c>
      <c r="CB680" s="3">
        <f>+IF(AVANCE[[#This Row],[PINTURA EXTERIOR]]=AO$2,100%,AVANCE[[#This Row],[PINTURA EXTERIOR]])</f>
        <v>0</v>
      </c>
      <c r="CC680" s="3">
        <f>+IF(AVANCE[[#This Row],[ZOCALOS LOGIA]]=AP$2,100%,AVANCE[[#This Row],[ZOCALOS LOGIA]])</f>
        <v>0</v>
      </c>
      <c r="CD680" s="3">
        <f>+IF(AVANCE[[#This Row],[MOLDURAS]]=AQ$2,100%,AVANCE[[#This Row],[MOLDURAS]])</f>
        <v>0</v>
      </c>
      <c r="CE680" s="3">
        <f>+IF(AVANCE[[#This Row],[PILASTREO]]=AR$2,100%,AVANCE[[#This Row],[PILASTREO]])</f>
        <v>0</v>
      </c>
      <c r="CF680" s="3">
        <f>+IF(AVANCE[[#This Row],[CELOSIAS]]=AS$2,100%,AVANCE[[#This Row],[CELOSIAS]])</f>
        <v>0</v>
      </c>
      <c r="CG680" s="3">
        <f>+IF(AVANCE[[#This Row],[VENTANAS]]=AT$2,100%,AVANCE[[#This Row],[VENTANAS]])</f>
        <v>0</v>
      </c>
      <c r="CH680" s="3">
        <f>+IF(AVANCE[[#This Row],[PUERTAS ACCESO - LOGIA - BANO]]=AU$2,100%,AVANCE[[#This Row],[PUERTAS ACCESO - LOGIA - BANO]])</f>
        <v>0</v>
      </c>
      <c r="CI680" s="3">
        <f>+IF(AVANCE[[#This Row],[CERRADURAS]]=AV$2,100%,AVANCE[[#This Row],[CERRADURAS]])</f>
        <v>0</v>
      </c>
      <c r="CJ680" s="3">
        <f>+IF(AVANCE[[#This Row],[REVESTIMIENTO INTERIOR ZONA SECA]]=AW$2,100%,AVANCE[[#This Row],[REVESTIMIENTO INTERIOR ZONA SECA]])</f>
        <v>0</v>
      </c>
      <c r="CK680" s="3">
        <f>+IF(AVANCE[[#This Row],[REVESTIMIENTO INTERIOR ZONAS HUMEDAS]]=AX$2,100%,AVANCE[[#This Row],[REVESTIMIENTO INTERIOR ZONAS HUMEDAS]])</f>
        <v>0</v>
      </c>
      <c r="CL680" s="3">
        <f>+IF(AVANCE[[#This Row],[MEMBRANA CIELO]]=AY$2,100%,AVANCE[[#This Row],[MEMBRANA CIELO]])</f>
        <v>0</v>
      </c>
      <c r="CM680" s="3">
        <f>+IF(AVANCE[[#This Row],[LIMPIEZA FINAL]]=AZ$2,100%,AVANCE[[#This Row],[LIMPIEZA FINAL]])</f>
        <v>0</v>
      </c>
      <c r="CN680" s="3">
        <f>+IF(AVANCE[[#This Row],[PUERTAS DORMITORIO]]=BA$2,100%,AVANCE[[#This Row],[PUERTAS DORMITORIO]])</f>
        <v>0</v>
      </c>
      <c r="CO680" s="3">
        <f>+IF(AVANCE[[#This Row],[REVESTIMIENTO INTERIOR BANO]]=BB$2,100%,AVANCE[[#This Row],[REVESTIMIENTO INTERIOR BANO]])</f>
        <v>0</v>
      </c>
      <c r="CP680" s="3">
        <f>+IF(AVANCE[[#This Row],[MUEBLE LAVAPLATOS]]=BC$2,100%,AVANCE[[#This Row],[MUEBLE LAVAPLATOS]])</f>
        <v>0</v>
      </c>
      <c r="CQ680" s="3">
        <f>+IF(AVANCE[[#This Row],[IMPERMEABILIZACION BANO - COCINA LOGIA]]=BD$2,100%,AVANCE[[#This Row],[IMPERMEABILIZACION BANO - COCINA LOGIA]])</f>
        <v>0</v>
      </c>
      <c r="CR680" s="40">
        <f ca="1">+IF(AVANCE[[#This Row],[ESTADO MODULO]]="PENDIENTE",(TODAY()-AVANCE[[#This Row],[FECHA TERMINO  PLANIFICADO]]),0)</f>
        <v>0</v>
      </c>
      <c r="CS680" s="42" t="str" cm="1">
        <f t="array" ref="CS680">_xlfn.TEXTJOIN(" | ",TRUE,IF(SUMPRODUCT((BF680:CQ680&lt;1)*(PARTIDAS!$I$2:$AT$2="OBRA GRUESA"))&gt;0,"OBRA GRUESA: "&amp;_xlfn.TEXTJOIN(", ",TRUE,IF((BF680:CQ680&lt;1)*(PARTIDAS!$I$2:$AT$2="OBRA GRUESA"),PARTIDAS!$I$1:$AT$1,"")),""),IF(SUMPRODUCT((BF680:CQ680&lt;1)*(PARTIDAS!$I$2:$AT$2="SANITARIOS"))&gt;0,"SANITARIOS: "&amp;_xlfn.TEXTJOIN(", ",TRUE,IF((BF680:CQ680&lt;1)*(PARTIDAS!$I$2:$AT$2="SANITARIOS"),PARTIDAS!$I$1:$AT$1,"")),""),IF(SUMPRODUCT((BF680:CQ680&lt;1)*(PARTIDAS!$I$2:$AT$2="ELÉCTRICO"))&gt;0,"ELÉCTRICO: "&amp;_xlfn.TEXTJOIN(", ",TRUE,IF((BF680:CQ680&lt;1)*(PARTIDAS!$I$2:$AT$2="ELÉCTRICO"),PARTIDAS!$I$1:$AT$1,"")),""),IF(SUMPRODUCT((BF680:CQ680&lt;1)*(PARTIDAS!$I$2:$AT$2="TERMINACIONES"))&gt;0,"TERMINACIONES: "&amp;_xlfn.TEXTJOIN(", ",TRUE,IF((BF680:CQ680&lt;1)*(PARTIDAS!$I$2:$AT$2="TERMINACIONES"),PARTIDAS!$I$1:$AT$1,"")),""))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0" s="45" t="str" cm="1">
        <f t="array" ref="CT680">_xlfn.TEXTJOIN(", ",TRUE,IF(SUMPRODUCT((BF680:CQ680&lt;1)*(PARTIDAS!$I$2:$AT$2="OBRA GRUESA"))&gt;0,"OBRA GRUESA",""),IF(SUMPRODUCT((BF680:CQ680&lt;1)*(PARTIDAS!$I$2:$AT$2="SANITARIOS"))&gt;0,"SANITARIOS",""),IF(SUMPRODUCT((BF680:CQ680&lt;1)*(PARTIDAS!$I$2:$AT$2="ELÉCTRICO"))&gt;0,"ELÉCTRICO",""),IF(SUMPRODUCT((BF680:CQ680&lt;1)*(PARTIDAS!$I$2:$AT$2="TERMINACIONES"))&gt;0,"TERMINACIONES",""))</f>
        <v>OBRA GRUESA, SANITARIOS, ELÉCTRICO, TERMINACIONES</v>
      </c>
      <c r="CU680" s="46" cm="1">
        <f t="array" ref="CU680">SUMPRODUCT(--(BF680:CQ680&lt;1))</f>
        <v>38</v>
      </c>
    </row>
    <row r="681" spans="1:99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46181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 s="3" t="str">
        <f>+IF(AVANCE[[#This Row],[% AVANCE]]=100%,"MODULO TERMINADO",IF(AVANCE[[#This Row],[FECHA INICIO REAL]]="","MODULO NO INICIADO","PENDIENTE"))</f>
        <v>MODULO NO INICIADO</v>
      </c>
      <c r="BF681" s="3">
        <f>+IF(AVANCE[[#This Row],[VENTANAS]]=8.10810810810811%,100%,AVANCE[[#This Row],[VENTANAS]])</f>
        <v>0</v>
      </c>
      <c r="BG681" s="3">
        <f>+IF(AVANCE[[#This Row],[PISO]]=N$2,100%,AVANCE[[#This Row],[PISO]])</f>
        <v>0</v>
      </c>
      <c r="BH681" s="3">
        <f>+IF(AVANCE[[#This Row],[TABIQUES]]=O$2,100%,AVANCE[[#This Row],[TABIQUES]])</f>
        <v>0</v>
      </c>
      <c r="BI681" s="3">
        <f>+IF(AVANCE[[#This Row],[MUROS]]=P$2,100%,AVANCE[[#This Row],[MUROS]])</f>
        <v>0</v>
      </c>
      <c r="BJ681" s="3">
        <f>+IF(AVANCE[[#This Row],[CIELO]]=Q$2,100%,AVANCE[[#This Row],[CIELO]])</f>
        <v>0</v>
      </c>
      <c r="BK681" s="3">
        <f>+IF(AVANCE[[#This Row],[BALCÓN]]=R$2,100%,AVANCE[[#This Row],[BALCÓN]])</f>
        <v>0</v>
      </c>
      <c r="BL681" s="3">
        <f>+IF(AVANCE[[#This Row],[RED ALCANTARILLADO]]=U$2,100%,AVANCE[[#This Row],[RED ALCANTARILLADO]])</f>
        <v>0</v>
      </c>
      <c r="BM681" s="3">
        <f>+IF(AVANCE[[#This Row],[RED DE AGUA]]=V$2,100%,AVANCE[[#This Row],[RED DE AGUA]])</f>
        <v>0</v>
      </c>
      <c r="BN681" s="3">
        <f>+IF(AVANCE[[#This Row],[VENTILACIONES]]=W$2,100%,AVANCE[[#This Row],[VENTILACIONES]])</f>
        <v>0</v>
      </c>
      <c r="BO681" s="3">
        <f>+IF(AVANCE[[#This Row],[TINA]]=X$2,100%,AVANCE[[#This Row],[TINA]])</f>
        <v>0</v>
      </c>
      <c r="BP681" s="3">
        <f>+IF(AVANCE[[#This Row],[WC]]=Y$2,100%,AVANCE[[#This Row],[WC]])</f>
        <v>0</v>
      </c>
      <c r="BQ681" s="3">
        <f>+IF(AVANCE[[#This Row],[LAVAMANOS / LAVAPLATOS / LAVADERO]]=Z$2,100%,AVANCE[[#This Row],[LAVAMANOS / LAVAPLATOS / LAVADERO]])</f>
        <v>0</v>
      </c>
      <c r="BR681" s="3">
        <f>+IF(AVANCE[[#This Row],[CANALIZACIÓN]]=AC$2,100%,AVANCE[[#This Row],[CANALIZACIÓN]])</f>
        <v>0</v>
      </c>
      <c r="BS681" s="3">
        <f>+IF(AVANCE[[#This Row],[CABLEADO]]=AD$2,100%,AVANCE[[#This Row],[CABLEADO]])</f>
        <v>0</v>
      </c>
      <c r="BT681" s="3">
        <f>+IF(AVANCE[[#This Row],[ARTEFACTOS]]=AE$2,100%,AVANCE[[#This Row],[ARTEFACTOS]])</f>
        <v>0</v>
      </c>
      <c r="BU681" s="3">
        <f>+IF(AVANCE[[#This Row],[TABLERO]]=AF$2,100%,AVANCE[[#This Row],[TABLERO]])</f>
        <v>0</v>
      </c>
      <c r="BV681" s="3">
        <f>+IF(AVANCE[[#This Row],[CAJA PAU]]=AG$2,100%,AVANCE[[#This Row],[CAJA PAU]])</f>
        <v>0</v>
      </c>
      <c r="BW681" s="3">
        <f>+IF(AVANCE[[#This Row],[INSTALACION VINILICO]]=AJ$2,100%,AVANCE[[#This Row],[INSTALACION VINILICO]])</f>
        <v>0</v>
      </c>
      <c r="BX681" s="3">
        <f>+IF(AVANCE[[#This Row],[OSB CUBIERTA]]=AK$2,100%,AVANCE[[#This Row],[OSB CUBIERTA]])</f>
        <v>0</v>
      </c>
      <c r="BY681" s="3">
        <f>+IF(AVANCE[[#This Row],[BARANDA BALCON]]=AL$2,100%,AVANCE[[#This Row],[BARANDA BALCON]])</f>
        <v>0</v>
      </c>
      <c r="BZ681" s="3">
        <f>+IF(AVANCE[[#This Row],[OSB EXTERIOR]]=AM$2,100%,AVANCE[[#This Row],[OSB EXTERIOR]])</f>
        <v>0</v>
      </c>
      <c r="CA681" s="3">
        <f>+IF(AVANCE[[#This Row],[SMART PANEL]]=AN$2,100%,AVANCE[[#This Row],[SMART PANEL]])</f>
        <v>0</v>
      </c>
      <c r="CB681" s="3">
        <f>+IF(AVANCE[[#This Row],[PINTURA EXTERIOR]]=AO$2,100%,AVANCE[[#This Row],[PINTURA EXTERIOR]])</f>
        <v>0</v>
      </c>
      <c r="CC681" s="3">
        <f>+IF(AVANCE[[#This Row],[ZOCALOS LOGIA]]=AP$2,100%,AVANCE[[#This Row],[ZOCALOS LOGIA]])</f>
        <v>0</v>
      </c>
      <c r="CD681" s="3">
        <f>+IF(AVANCE[[#This Row],[MOLDURAS]]=AQ$2,100%,AVANCE[[#This Row],[MOLDURAS]])</f>
        <v>0</v>
      </c>
      <c r="CE681" s="3">
        <f>+IF(AVANCE[[#This Row],[PILASTREO]]=AR$2,100%,AVANCE[[#This Row],[PILASTREO]])</f>
        <v>0</v>
      </c>
      <c r="CF681" s="3">
        <f>+IF(AVANCE[[#This Row],[CELOSIAS]]=AS$2,100%,AVANCE[[#This Row],[CELOSIAS]])</f>
        <v>0</v>
      </c>
      <c r="CG681" s="3">
        <f>+IF(AVANCE[[#This Row],[VENTANAS]]=AT$2,100%,AVANCE[[#This Row],[VENTANAS]])</f>
        <v>0</v>
      </c>
      <c r="CH681" s="3">
        <f>+IF(AVANCE[[#This Row],[PUERTAS ACCESO - LOGIA - BANO]]=AU$2,100%,AVANCE[[#This Row],[PUERTAS ACCESO - LOGIA - BANO]])</f>
        <v>0</v>
      </c>
      <c r="CI681" s="3">
        <f>+IF(AVANCE[[#This Row],[CERRADURAS]]=AV$2,100%,AVANCE[[#This Row],[CERRADURAS]])</f>
        <v>0</v>
      </c>
      <c r="CJ681" s="3">
        <f>+IF(AVANCE[[#This Row],[REVESTIMIENTO INTERIOR ZONA SECA]]=AW$2,100%,AVANCE[[#This Row],[REVESTIMIENTO INTERIOR ZONA SECA]])</f>
        <v>0</v>
      </c>
      <c r="CK681" s="3">
        <f>+IF(AVANCE[[#This Row],[REVESTIMIENTO INTERIOR ZONAS HUMEDAS]]=AX$2,100%,AVANCE[[#This Row],[REVESTIMIENTO INTERIOR ZONAS HUMEDAS]])</f>
        <v>0</v>
      </c>
      <c r="CL681" s="3">
        <f>+IF(AVANCE[[#This Row],[MEMBRANA CIELO]]=AY$2,100%,AVANCE[[#This Row],[MEMBRANA CIELO]])</f>
        <v>0</v>
      </c>
      <c r="CM681" s="3">
        <f>+IF(AVANCE[[#This Row],[LIMPIEZA FINAL]]=AZ$2,100%,AVANCE[[#This Row],[LIMPIEZA FINAL]])</f>
        <v>0</v>
      </c>
      <c r="CN681" s="3">
        <f>+IF(AVANCE[[#This Row],[PUERTAS DORMITORIO]]=BA$2,100%,AVANCE[[#This Row],[PUERTAS DORMITORIO]])</f>
        <v>0</v>
      </c>
      <c r="CO681" s="3">
        <f>+IF(AVANCE[[#This Row],[REVESTIMIENTO INTERIOR BANO]]=BB$2,100%,AVANCE[[#This Row],[REVESTIMIENTO INTERIOR BANO]])</f>
        <v>0</v>
      </c>
      <c r="CP681" s="3">
        <f>+IF(AVANCE[[#This Row],[MUEBLE LAVAPLATOS]]=BC$2,100%,AVANCE[[#This Row],[MUEBLE LAVAPLATOS]])</f>
        <v>0</v>
      </c>
      <c r="CQ681" s="3">
        <f>+IF(AVANCE[[#This Row],[IMPERMEABILIZACION BANO - COCINA LOGIA]]=BD$2,100%,AVANCE[[#This Row],[IMPERMEABILIZACION BANO - COCINA LOGIA]])</f>
        <v>0</v>
      </c>
      <c r="CR681" s="40">
        <f ca="1">+IF(AVANCE[[#This Row],[ESTADO MODULO]]="PENDIENTE",(TODAY()-AVANCE[[#This Row],[FECHA TERMINO  PLANIFICADO]]),0)</f>
        <v>0</v>
      </c>
      <c r="CS681" s="42" t="str" cm="1">
        <f t="array" ref="CS681">_xlfn.TEXTJOIN(" | ",TRUE,IF(SUMPRODUCT((BF681:CQ681&lt;1)*(PARTIDAS!$I$2:$AT$2="OBRA GRUESA"))&gt;0,"OBRA GRUESA: "&amp;_xlfn.TEXTJOIN(", ",TRUE,IF((BF681:CQ681&lt;1)*(PARTIDAS!$I$2:$AT$2="OBRA GRUESA"),PARTIDAS!$I$1:$AT$1,"")),""),IF(SUMPRODUCT((BF681:CQ681&lt;1)*(PARTIDAS!$I$2:$AT$2="SANITARIOS"))&gt;0,"SANITARIOS: "&amp;_xlfn.TEXTJOIN(", ",TRUE,IF((BF681:CQ681&lt;1)*(PARTIDAS!$I$2:$AT$2="SANITARIOS"),PARTIDAS!$I$1:$AT$1,"")),""),IF(SUMPRODUCT((BF681:CQ681&lt;1)*(PARTIDAS!$I$2:$AT$2="ELÉCTRICO"))&gt;0,"ELÉCTRICO: "&amp;_xlfn.TEXTJOIN(", ",TRUE,IF((BF681:CQ681&lt;1)*(PARTIDAS!$I$2:$AT$2="ELÉCTRICO"),PARTIDAS!$I$1:$AT$1,"")),""),IF(SUMPRODUCT((BF681:CQ681&lt;1)*(PARTIDAS!$I$2:$AT$2="TERMINACIONES"))&gt;0,"TERMINACIONES: "&amp;_xlfn.TEXTJOIN(", ",TRUE,IF((BF681:CQ681&lt;1)*(PARTIDAS!$I$2:$AT$2="TERMINACIONES"),PARTIDAS!$I$1:$AT$1,"")),""))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1" s="45" t="str" cm="1">
        <f t="array" ref="CT681">_xlfn.TEXTJOIN(", ",TRUE,IF(SUMPRODUCT((BF681:CQ681&lt;1)*(PARTIDAS!$I$2:$AT$2="OBRA GRUESA"))&gt;0,"OBRA GRUESA",""),IF(SUMPRODUCT((BF681:CQ681&lt;1)*(PARTIDAS!$I$2:$AT$2="SANITARIOS"))&gt;0,"SANITARIOS",""),IF(SUMPRODUCT((BF681:CQ681&lt;1)*(PARTIDAS!$I$2:$AT$2="ELÉCTRICO"))&gt;0,"ELÉCTRICO",""),IF(SUMPRODUCT((BF681:CQ681&lt;1)*(PARTIDAS!$I$2:$AT$2="TERMINACIONES"))&gt;0,"TERMINACIONES",""))</f>
        <v>OBRA GRUESA, SANITARIOS, ELÉCTRICO, TERMINACIONES</v>
      </c>
      <c r="CU681" s="46" cm="1">
        <f t="array" ref="CU681">SUMPRODUCT(--(BF681:CQ681&lt;1))</f>
        <v>38</v>
      </c>
    </row>
    <row r="682" spans="1:99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46181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 s="3" t="str">
        <f>+IF(AVANCE[[#This Row],[% AVANCE]]=100%,"MODULO TERMINADO",IF(AVANCE[[#This Row],[FECHA INICIO REAL]]="","MODULO NO INICIADO","PENDIENTE"))</f>
        <v>MODULO NO INICIADO</v>
      </c>
      <c r="BF682" s="3">
        <f>+IF(AVANCE[[#This Row],[VENTANAS]]=8.10810810810811%,100%,AVANCE[[#This Row],[VENTANAS]])</f>
        <v>0</v>
      </c>
      <c r="BG682" s="3">
        <f>+IF(AVANCE[[#This Row],[PISO]]=N$2,100%,AVANCE[[#This Row],[PISO]])</f>
        <v>0</v>
      </c>
      <c r="BH682" s="3">
        <f>+IF(AVANCE[[#This Row],[TABIQUES]]=O$2,100%,AVANCE[[#This Row],[TABIQUES]])</f>
        <v>0</v>
      </c>
      <c r="BI682" s="3">
        <f>+IF(AVANCE[[#This Row],[MUROS]]=P$2,100%,AVANCE[[#This Row],[MUROS]])</f>
        <v>0</v>
      </c>
      <c r="BJ682" s="3">
        <f>+IF(AVANCE[[#This Row],[CIELO]]=Q$2,100%,AVANCE[[#This Row],[CIELO]])</f>
        <v>0</v>
      </c>
      <c r="BK682" s="3">
        <f>+IF(AVANCE[[#This Row],[BALCÓN]]=R$2,100%,AVANCE[[#This Row],[BALCÓN]])</f>
        <v>0</v>
      </c>
      <c r="BL682" s="3">
        <f>+IF(AVANCE[[#This Row],[RED ALCANTARILLADO]]=U$2,100%,AVANCE[[#This Row],[RED ALCANTARILLADO]])</f>
        <v>0</v>
      </c>
      <c r="BM682" s="3">
        <f>+IF(AVANCE[[#This Row],[RED DE AGUA]]=V$2,100%,AVANCE[[#This Row],[RED DE AGUA]])</f>
        <v>0</v>
      </c>
      <c r="BN682" s="3">
        <f>+IF(AVANCE[[#This Row],[VENTILACIONES]]=W$2,100%,AVANCE[[#This Row],[VENTILACIONES]])</f>
        <v>0</v>
      </c>
      <c r="BO682" s="3">
        <f>+IF(AVANCE[[#This Row],[TINA]]=X$2,100%,AVANCE[[#This Row],[TINA]])</f>
        <v>0</v>
      </c>
      <c r="BP682" s="3">
        <f>+IF(AVANCE[[#This Row],[WC]]=Y$2,100%,AVANCE[[#This Row],[WC]])</f>
        <v>0</v>
      </c>
      <c r="BQ682" s="3">
        <f>+IF(AVANCE[[#This Row],[LAVAMANOS / LAVAPLATOS / LAVADERO]]=Z$2,100%,AVANCE[[#This Row],[LAVAMANOS / LAVAPLATOS / LAVADERO]])</f>
        <v>0</v>
      </c>
      <c r="BR682" s="3">
        <f>+IF(AVANCE[[#This Row],[CANALIZACIÓN]]=AC$2,100%,AVANCE[[#This Row],[CANALIZACIÓN]])</f>
        <v>0</v>
      </c>
      <c r="BS682" s="3">
        <f>+IF(AVANCE[[#This Row],[CABLEADO]]=AD$2,100%,AVANCE[[#This Row],[CABLEADO]])</f>
        <v>0</v>
      </c>
      <c r="BT682" s="3">
        <f>+IF(AVANCE[[#This Row],[ARTEFACTOS]]=AE$2,100%,AVANCE[[#This Row],[ARTEFACTOS]])</f>
        <v>0</v>
      </c>
      <c r="BU682" s="3">
        <f>+IF(AVANCE[[#This Row],[TABLERO]]=AF$2,100%,AVANCE[[#This Row],[TABLERO]])</f>
        <v>0</v>
      </c>
      <c r="BV682" s="3">
        <f>+IF(AVANCE[[#This Row],[CAJA PAU]]=AG$2,100%,AVANCE[[#This Row],[CAJA PAU]])</f>
        <v>0</v>
      </c>
      <c r="BW682" s="3">
        <f>+IF(AVANCE[[#This Row],[INSTALACION VINILICO]]=AJ$2,100%,AVANCE[[#This Row],[INSTALACION VINILICO]])</f>
        <v>0</v>
      </c>
      <c r="BX682" s="3">
        <f>+IF(AVANCE[[#This Row],[OSB CUBIERTA]]=AK$2,100%,AVANCE[[#This Row],[OSB CUBIERTA]])</f>
        <v>0</v>
      </c>
      <c r="BY682" s="3">
        <f>+IF(AVANCE[[#This Row],[BARANDA BALCON]]=AL$2,100%,AVANCE[[#This Row],[BARANDA BALCON]])</f>
        <v>0</v>
      </c>
      <c r="BZ682" s="3">
        <f>+IF(AVANCE[[#This Row],[OSB EXTERIOR]]=AM$2,100%,AVANCE[[#This Row],[OSB EXTERIOR]])</f>
        <v>0</v>
      </c>
      <c r="CA682" s="3">
        <f>+IF(AVANCE[[#This Row],[SMART PANEL]]=AN$2,100%,AVANCE[[#This Row],[SMART PANEL]])</f>
        <v>0</v>
      </c>
      <c r="CB682" s="3">
        <f>+IF(AVANCE[[#This Row],[PINTURA EXTERIOR]]=AO$2,100%,AVANCE[[#This Row],[PINTURA EXTERIOR]])</f>
        <v>0</v>
      </c>
      <c r="CC682" s="3">
        <f>+IF(AVANCE[[#This Row],[ZOCALOS LOGIA]]=AP$2,100%,AVANCE[[#This Row],[ZOCALOS LOGIA]])</f>
        <v>0</v>
      </c>
      <c r="CD682" s="3">
        <f>+IF(AVANCE[[#This Row],[MOLDURAS]]=AQ$2,100%,AVANCE[[#This Row],[MOLDURAS]])</f>
        <v>0</v>
      </c>
      <c r="CE682" s="3">
        <f>+IF(AVANCE[[#This Row],[PILASTREO]]=AR$2,100%,AVANCE[[#This Row],[PILASTREO]])</f>
        <v>0</v>
      </c>
      <c r="CF682" s="3">
        <f>+IF(AVANCE[[#This Row],[CELOSIAS]]=AS$2,100%,AVANCE[[#This Row],[CELOSIAS]])</f>
        <v>0</v>
      </c>
      <c r="CG682" s="3">
        <f>+IF(AVANCE[[#This Row],[VENTANAS]]=AT$2,100%,AVANCE[[#This Row],[VENTANAS]])</f>
        <v>0</v>
      </c>
      <c r="CH682" s="3">
        <f>+IF(AVANCE[[#This Row],[PUERTAS ACCESO - LOGIA - BANO]]=AU$2,100%,AVANCE[[#This Row],[PUERTAS ACCESO - LOGIA - BANO]])</f>
        <v>0</v>
      </c>
      <c r="CI682" s="3">
        <f>+IF(AVANCE[[#This Row],[CERRADURAS]]=AV$2,100%,AVANCE[[#This Row],[CERRADURAS]])</f>
        <v>0</v>
      </c>
      <c r="CJ682" s="3">
        <f>+IF(AVANCE[[#This Row],[REVESTIMIENTO INTERIOR ZONA SECA]]=AW$2,100%,AVANCE[[#This Row],[REVESTIMIENTO INTERIOR ZONA SECA]])</f>
        <v>0</v>
      </c>
      <c r="CK682" s="3">
        <f>+IF(AVANCE[[#This Row],[REVESTIMIENTO INTERIOR ZONAS HUMEDAS]]=AX$2,100%,AVANCE[[#This Row],[REVESTIMIENTO INTERIOR ZONAS HUMEDAS]])</f>
        <v>0</v>
      </c>
      <c r="CL682" s="3">
        <f>+IF(AVANCE[[#This Row],[MEMBRANA CIELO]]=AY$2,100%,AVANCE[[#This Row],[MEMBRANA CIELO]])</f>
        <v>0</v>
      </c>
      <c r="CM682" s="3">
        <f>+IF(AVANCE[[#This Row],[LIMPIEZA FINAL]]=AZ$2,100%,AVANCE[[#This Row],[LIMPIEZA FINAL]])</f>
        <v>0</v>
      </c>
      <c r="CN682" s="3">
        <f>+IF(AVANCE[[#This Row],[PUERTAS DORMITORIO]]=BA$2,100%,AVANCE[[#This Row],[PUERTAS DORMITORIO]])</f>
        <v>0</v>
      </c>
      <c r="CO682" s="3">
        <f>+IF(AVANCE[[#This Row],[REVESTIMIENTO INTERIOR BANO]]=BB$2,100%,AVANCE[[#This Row],[REVESTIMIENTO INTERIOR BANO]])</f>
        <v>0</v>
      </c>
      <c r="CP682" s="3">
        <f>+IF(AVANCE[[#This Row],[MUEBLE LAVAPLATOS]]=BC$2,100%,AVANCE[[#This Row],[MUEBLE LAVAPLATOS]])</f>
        <v>0</v>
      </c>
      <c r="CQ682" s="3">
        <f>+IF(AVANCE[[#This Row],[IMPERMEABILIZACION BANO - COCINA LOGIA]]=BD$2,100%,AVANCE[[#This Row],[IMPERMEABILIZACION BANO - COCINA LOGIA]])</f>
        <v>0</v>
      </c>
      <c r="CR682" s="40">
        <f ca="1">+IF(AVANCE[[#This Row],[ESTADO MODULO]]="PENDIENTE",(TODAY()-AVANCE[[#This Row],[FECHA TERMINO  PLANIFICADO]]),0)</f>
        <v>0</v>
      </c>
      <c r="CS682" s="42" t="str" cm="1">
        <f t="array" ref="CS682">_xlfn.TEXTJOIN(" | ",TRUE,IF(SUMPRODUCT((BF682:CQ682&lt;1)*(PARTIDAS!$I$2:$AT$2="OBRA GRUESA"))&gt;0,"OBRA GRUESA: "&amp;_xlfn.TEXTJOIN(", ",TRUE,IF((BF682:CQ682&lt;1)*(PARTIDAS!$I$2:$AT$2="OBRA GRUESA"),PARTIDAS!$I$1:$AT$1,"")),""),IF(SUMPRODUCT((BF682:CQ682&lt;1)*(PARTIDAS!$I$2:$AT$2="SANITARIOS"))&gt;0,"SANITARIOS: "&amp;_xlfn.TEXTJOIN(", ",TRUE,IF((BF682:CQ682&lt;1)*(PARTIDAS!$I$2:$AT$2="SANITARIOS"),PARTIDAS!$I$1:$AT$1,"")),""),IF(SUMPRODUCT((BF682:CQ682&lt;1)*(PARTIDAS!$I$2:$AT$2="ELÉCTRICO"))&gt;0,"ELÉCTRICO: "&amp;_xlfn.TEXTJOIN(", ",TRUE,IF((BF682:CQ682&lt;1)*(PARTIDAS!$I$2:$AT$2="ELÉCTRICO"),PARTIDAS!$I$1:$AT$1,"")),""),IF(SUMPRODUCT((BF682:CQ682&lt;1)*(PARTIDAS!$I$2:$AT$2="TERMINACIONES"))&gt;0,"TERMINACIONES: "&amp;_xlfn.TEXTJOIN(", ",TRUE,IF((BF682:CQ682&lt;1)*(PARTIDAS!$I$2:$AT$2="TERMINACIONES"),PARTIDAS!$I$1:$AT$1,"")),""))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2" s="45" t="str" cm="1">
        <f t="array" ref="CT682">_xlfn.TEXTJOIN(", ",TRUE,IF(SUMPRODUCT((BF682:CQ682&lt;1)*(PARTIDAS!$I$2:$AT$2="OBRA GRUESA"))&gt;0,"OBRA GRUESA",""),IF(SUMPRODUCT((BF682:CQ682&lt;1)*(PARTIDAS!$I$2:$AT$2="SANITARIOS"))&gt;0,"SANITARIOS",""),IF(SUMPRODUCT((BF682:CQ682&lt;1)*(PARTIDAS!$I$2:$AT$2="ELÉCTRICO"))&gt;0,"ELÉCTRICO",""),IF(SUMPRODUCT((BF682:CQ682&lt;1)*(PARTIDAS!$I$2:$AT$2="TERMINACIONES"))&gt;0,"TERMINACIONES",""))</f>
        <v>OBRA GRUESA, SANITARIOS, ELÉCTRICO, TERMINACIONES</v>
      </c>
      <c r="CU682" s="46" cm="1">
        <f t="array" ref="CU682">SUMPRODUCT(--(BF682:CQ682&lt;1))</f>
        <v>38</v>
      </c>
    </row>
    <row r="683" spans="1:99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46181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 s="3" t="str">
        <f>+IF(AVANCE[[#This Row],[% AVANCE]]=100%,"MODULO TERMINADO",IF(AVANCE[[#This Row],[FECHA INICIO REAL]]="","MODULO NO INICIADO","PENDIENTE"))</f>
        <v>MODULO NO INICIADO</v>
      </c>
      <c r="BF683" s="3">
        <f>+IF(AVANCE[[#This Row],[VENTANAS]]=8.10810810810811%,100%,AVANCE[[#This Row],[VENTANAS]])</f>
        <v>0</v>
      </c>
      <c r="BG683" s="3">
        <f>+IF(AVANCE[[#This Row],[PISO]]=N$2,100%,AVANCE[[#This Row],[PISO]])</f>
        <v>0</v>
      </c>
      <c r="BH683" s="3">
        <f>+IF(AVANCE[[#This Row],[TABIQUES]]=O$2,100%,AVANCE[[#This Row],[TABIQUES]])</f>
        <v>0</v>
      </c>
      <c r="BI683" s="3">
        <f>+IF(AVANCE[[#This Row],[MUROS]]=P$2,100%,AVANCE[[#This Row],[MUROS]])</f>
        <v>0</v>
      </c>
      <c r="BJ683" s="3">
        <f>+IF(AVANCE[[#This Row],[CIELO]]=Q$2,100%,AVANCE[[#This Row],[CIELO]])</f>
        <v>0</v>
      </c>
      <c r="BK683" s="3">
        <f>+IF(AVANCE[[#This Row],[BALCÓN]]=R$2,100%,AVANCE[[#This Row],[BALCÓN]])</f>
        <v>0</v>
      </c>
      <c r="BL683" s="3">
        <f>+IF(AVANCE[[#This Row],[RED ALCANTARILLADO]]=U$2,100%,AVANCE[[#This Row],[RED ALCANTARILLADO]])</f>
        <v>0</v>
      </c>
      <c r="BM683" s="3">
        <f>+IF(AVANCE[[#This Row],[RED DE AGUA]]=V$2,100%,AVANCE[[#This Row],[RED DE AGUA]])</f>
        <v>0</v>
      </c>
      <c r="BN683" s="3">
        <f>+IF(AVANCE[[#This Row],[VENTILACIONES]]=W$2,100%,AVANCE[[#This Row],[VENTILACIONES]])</f>
        <v>0</v>
      </c>
      <c r="BO683" s="3">
        <f>+IF(AVANCE[[#This Row],[TINA]]=X$2,100%,AVANCE[[#This Row],[TINA]])</f>
        <v>0</v>
      </c>
      <c r="BP683" s="3">
        <f>+IF(AVANCE[[#This Row],[WC]]=Y$2,100%,AVANCE[[#This Row],[WC]])</f>
        <v>0</v>
      </c>
      <c r="BQ683" s="3">
        <f>+IF(AVANCE[[#This Row],[LAVAMANOS / LAVAPLATOS / LAVADERO]]=Z$2,100%,AVANCE[[#This Row],[LAVAMANOS / LAVAPLATOS / LAVADERO]])</f>
        <v>0</v>
      </c>
      <c r="BR683" s="3">
        <f>+IF(AVANCE[[#This Row],[CANALIZACIÓN]]=AC$2,100%,AVANCE[[#This Row],[CANALIZACIÓN]])</f>
        <v>0</v>
      </c>
      <c r="BS683" s="3">
        <f>+IF(AVANCE[[#This Row],[CABLEADO]]=AD$2,100%,AVANCE[[#This Row],[CABLEADO]])</f>
        <v>0</v>
      </c>
      <c r="BT683" s="3">
        <f>+IF(AVANCE[[#This Row],[ARTEFACTOS]]=AE$2,100%,AVANCE[[#This Row],[ARTEFACTOS]])</f>
        <v>0</v>
      </c>
      <c r="BU683" s="3">
        <f>+IF(AVANCE[[#This Row],[TABLERO]]=AF$2,100%,AVANCE[[#This Row],[TABLERO]])</f>
        <v>0</v>
      </c>
      <c r="BV683" s="3">
        <f>+IF(AVANCE[[#This Row],[CAJA PAU]]=AG$2,100%,AVANCE[[#This Row],[CAJA PAU]])</f>
        <v>0</v>
      </c>
      <c r="BW683" s="3">
        <f>+IF(AVANCE[[#This Row],[INSTALACION VINILICO]]=AJ$2,100%,AVANCE[[#This Row],[INSTALACION VINILICO]])</f>
        <v>0</v>
      </c>
      <c r="BX683" s="3">
        <f>+IF(AVANCE[[#This Row],[OSB CUBIERTA]]=AK$2,100%,AVANCE[[#This Row],[OSB CUBIERTA]])</f>
        <v>0</v>
      </c>
      <c r="BY683" s="3">
        <f>+IF(AVANCE[[#This Row],[BARANDA BALCON]]=AL$2,100%,AVANCE[[#This Row],[BARANDA BALCON]])</f>
        <v>0</v>
      </c>
      <c r="BZ683" s="3">
        <f>+IF(AVANCE[[#This Row],[OSB EXTERIOR]]=AM$2,100%,AVANCE[[#This Row],[OSB EXTERIOR]])</f>
        <v>0</v>
      </c>
      <c r="CA683" s="3">
        <f>+IF(AVANCE[[#This Row],[SMART PANEL]]=AN$2,100%,AVANCE[[#This Row],[SMART PANEL]])</f>
        <v>0</v>
      </c>
      <c r="CB683" s="3">
        <f>+IF(AVANCE[[#This Row],[PINTURA EXTERIOR]]=AO$2,100%,AVANCE[[#This Row],[PINTURA EXTERIOR]])</f>
        <v>0</v>
      </c>
      <c r="CC683" s="3">
        <f>+IF(AVANCE[[#This Row],[ZOCALOS LOGIA]]=AP$2,100%,AVANCE[[#This Row],[ZOCALOS LOGIA]])</f>
        <v>0</v>
      </c>
      <c r="CD683" s="3">
        <f>+IF(AVANCE[[#This Row],[MOLDURAS]]=AQ$2,100%,AVANCE[[#This Row],[MOLDURAS]])</f>
        <v>0</v>
      </c>
      <c r="CE683" s="3">
        <f>+IF(AVANCE[[#This Row],[PILASTREO]]=AR$2,100%,AVANCE[[#This Row],[PILASTREO]])</f>
        <v>0</v>
      </c>
      <c r="CF683" s="3">
        <f>+IF(AVANCE[[#This Row],[CELOSIAS]]=AS$2,100%,AVANCE[[#This Row],[CELOSIAS]])</f>
        <v>0</v>
      </c>
      <c r="CG683" s="3">
        <f>+IF(AVANCE[[#This Row],[VENTANAS]]=AT$2,100%,AVANCE[[#This Row],[VENTANAS]])</f>
        <v>0</v>
      </c>
      <c r="CH683" s="3">
        <f>+IF(AVANCE[[#This Row],[PUERTAS ACCESO - LOGIA - BANO]]=AU$2,100%,AVANCE[[#This Row],[PUERTAS ACCESO - LOGIA - BANO]])</f>
        <v>0</v>
      </c>
      <c r="CI683" s="3">
        <f>+IF(AVANCE[[#This Row],[CERRADURAS]]=AV$2,100%,AVANCE[[#This Row],[CERRADURAS]])</f>
        <v>0</v>
      </c>
      <c r="CJ683" s="3">
        <f>+IF(AVANCE[[#This Row],[REVESTIMIENTO INTERIOR ZONA SECA]]=AW$2,100%,AVANCE[[#This Row],[REVESTIMIENTO INTERIOR ZONA SECA]])</f>
        <v>0</v>
      </c>
      <c r="CK683" s="3">
        <f>+IF(AVANCE[[#This Row],[REVESTIMIENTO INTERIOR ZONAS HUMEDAS]]=AX$2,100%,AVANCE[[#This Row],[REVESTIMIENTO INTERIOR ZONAS HUMEDAS]])</f>
        <v>0</v>
      </c>
      <c r="CL683" s="3">
        <f>+IF(AVANCE[[#This Row],[MEMBRANA CIELO]]=AY$2,100%,AVANCE[[#This Row],[MEMBRANA CIELO]])</f>
        <v>0</v>
      </c>
      <c r="CM683" s="3">
        <f>+IF(AVANCE[[#This Row],[LIMPIEZA FINAL]]=AZ$2,100%,AVANCE[[#This Row],[LIMPIEZA FINAL]])</f>
        <v>0</v>
      </c>
      <c r="CN683" s="3">
        <f>+IF(AVANCE[[#This Row],[PUERTAS DORMITORIO]]=BA$2,100%,AVANCE[[#This Row],[PUERTAS DORMITORIO]])</f>
        <v>0</v>
      </c>
      <c r="CO683" s="3">
        <f>+IF(AVANCE[[#This Row],[REVESTIMIENTO INTERIOR BANO]]=BB$2,100%,AVANCE[[#This Row],[REVESTIMIENTO INTERIOR BANO]])</f>
        <v>0</v>
      </c>
      <c r="CP683" s="3">
        <f>+IF(AVANCE[[#This Row],[MUEBLE LAVAPLATOS]]=BC$2,100%,AVANCE[[#This Row],[MUEBLE LAVAPLATOS]])</f>
        <v>0</v>
      </c>
      <c r="CQ683" s="3">
        <f>+IF(AVANCE[[#This Row],[IMPERMEABILIZACION BANO - COCINA LOGIA]]=BD$2,100%,AVANCE[[#This Row],[IMPERMEABILIZACION BANO - COCINA LOGIA]])</f>
        <v>0</v>
      </c>
      <c r="CR683" s="40">
        <f ca="1">+IF(AVANCE[[#This Row],[ESTADO MODULO]]="PENDIENTE",(TODAY()-AVANCE[[#This Row],[FECHA TERMINO  PLANIFICADO]]),0)</f>
        <v>0</v>
      </c>
      <c r="CS683" s="42" t="str" cm="1">
        <f t="array" ref="CS683">_xlfn.TEXTJOIN(" | ",TRUE,IF(SUMPRODUCT((BF683:CQ683&lt;1)*(PARTIDAS!$I$2:$AT$2="OBRA GRUESA"))&gt;0,"OBRA GRUESA: "&amp;_xlfn.TEXTJOIN(", ",TRUE,IF((BF683:CQ683&lt;1)*(PARTIDAS!$I$2:$AT$2="OBRA GRUESA"),PARTIDAS!$I$1:$AT$1,"")),""),IF(SUMPRODUCT((BF683:CQ683&lt;1)*(PARTIDAS!$I$2:$AT$2="SANITARIOS"))&gt;0,"SANITARIOS: "&amp;_xlfn.TEXTJOIN(", ",TRUE,IF((BF683:CQ683&lt;1)*(PARTIDAS!$I$2:$AT$2="SANITARIOS"),PARTIDAS!$I$1:$AT$1,"")),""),IF(SUMPRODUCT((BF683:CQ683&lt;1)*(PARTIDAS!$I$2:$AT$2="ELÉCTRICO"))&gt;0,"ELÉCTRICO: "&amp;_xlfn.TEXTJOIN(", ",TRUE,IF((BF683:CQ683&lt;1)*(PARTIDAS!$I$2:$AT$2="ELÉCTRICO"),PARTIDAS!$I$1:$AT$1,"")),""),IF(SUMPRODUCT((BF683:CQ683&lt;1)*(PARTIDAS!$I$2:$AT$2="TERMINACIONES"))&gt;0,"TERMINACIONES: "&amp;_xlfn.TEXTJOIN(", ",TRUE,IF((BF683:CQ683&lt;1)*(PARTIDAS!$I$2:$AT$2="TERMINACIONES"),PARTIDAS!$I$1:$AT$1,"")),""))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3" s="45" t="str" cm="1">
        <f t="array" ref="CT683">_xlfn.TEXTJOIN(", ",TRUE,IF(SUMPRODUCT((BF683:CQ683&lt;1)*(PARTIDAS!$I$2:$AT$2="OBRA GRUESA"))&gt;0,"OBRA GRUESA",""),IF(SUMPRODUCT((BF683:CQ683&lt;1)*(PARTIDAS!$I$2:$AT$2="SANITARIOS"))&gt;0,"SANITARIOS",""),IF(SUMPRODUCT((BF683:CQ683&lt;1)*(PARTIDAS!$I$2:$AT$2="ELÉCTRICO"))&gt;0,"ELÉCTRICO",""),IF(SUMPRODUCT((BF683:CQ683&lt;1)*(PARTIDAS!$I$2:$AT$2="TERMINACIONES"))&gt;0,"TERMINACIONES",""))</f>
        <v>OBRA GRUESA, SANITARIOS, ELÉCTRICO, TERMINACIONES</v>
      </c>
      <c r="CU683" s="46" cm="1">
        <f t="array" ref="CU683">SUMPRODUCT(--(BF683:CQ683&lt;1))</f>
        <v>38</v>
      </c>
    </row>
    <row r="684" spans="1:99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46181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 s="3" t="str">
        <f>+IF(AVANCE[[#This Row],[% AVANCE]]=100%,"MODULO TERMINADO",IF(AVANCE[[#This Row],[FECHA INICIO REAL]]="","MODULO NO INICIADO","PENDIENTE"))</f>
        <v>MODULO NO INICIADO</v>
      </c>
      <c r="BF684" s="3">
        <f>+IF(AVANCE[[#This Row],[VENTANAS]]=8.10810810810811%,100%,AVANCE[[#This Row],[VENTANAS]])</f>
        <v>0</v>
      </c>
      <c r="BG684" s="3">
        <f>+IF(AVANCE[[#This Row],[PISO]]=N$2,100%,AVANCE[[#This Row],[PISO]])</f>
        <v>0</v>
      </c>
      <c r="BH684" s="3">
        <f>+IF(AVANCE[[#This Row],[TABIQUES]]=O$2,100%,AVANCE[[#This Row],[TABIQUES]])</f>
        <v>0</v>
      </c>
      <c r="BI684" s="3">
        <f>+IF(AVANCE[[#This Row],[MUROS]]=P$2,100%,AVANCE[[#This Row],[MUROS]])</f>
        <v>0</v>
      </c>
      <c r="BJ684" s="3">
        <f>+IF(AVANCE[[#This Row],[CIELO]]=Q$2,100%,AVANCE[[#This Row],[CIELO]])</f>
        <v>0</v>
      </c>
      <c r="BK684" s="3">
        <f>+IF(AVANCE[[#This Row],[BALCÓN]]=R$2,100%,AVANCE[[#This Row],[BALCÓN]])</f>
        <v>0</v>
      </c>
      <c r="BL684" s="3">
        <f>+IF(AVANCE[[#This Row],[RED ALCANTARILLADO]]=U$2,100%,AVANCE[[#This Row],[RED ALCANTARILLADO]])</f>
        <v>0</v>
      </c>
      <c r="BM684" s="3">
        <f>+IF(AVANCE[[#This Row],[RED DE AGUA]]=V$2,100%,AVANCE[[#This Row],[RED DE AGUA]])</f>
        <v>0</v>
      </c>
      <c r="BN684" s="3">
        <f>+IF(AVANCE[[#This Row],[VENTILACIONES]]=W$2,100%,AVANCE[[#This Row],[VENTILACIONES]])</f>
        <v>0</v>
      </c>
      <c r="BO684" s="3">
        <f>+IF(AVANCE[[#This Row],[TINA]]=X$2,100%,AVANCE[[#This Row],[TINA]])</f>
        <v>0</v>
      </c>
      <c r="BP684" s="3">
        <f>+IF(AVANCE[[#This Row],[WC]]=Y$2,100%,AVANCE[[#This Row],[WC]])</f>
        <v>0</v>
      </c>
      <c r="BQ684" s="3">
        <f>+IF(AVANCE[[#This Row],[LAVAMANOS / LAVAPLATOS / LAVADERO]]=Z$2,100%,AVANCE[[#This Row],[LAVAMANOS / LAVAPLATOS / LAVADERO]])</f>
        <v>0</v>
      </c>
      <c r="BR684" s="3">
        <f>+IF(AVANCE[[#This Row],[CANALIZACIÓN]]=AC$2,100%,AVANCE[[#This Row],[CANALIZACIÓN]])</f>
        <v>0</v>
      </c>
      <c r="BS684" s="3">
        <f>+IF(AVANCE[[#This Row],[CABLEADO]]=AD$2,100%,AVANCE[[#This Row],[CABLEADO]])</f>
        <v>0</v>
      </c>
      <c r="BT684" s="3">
        <f>+IF(AVANCE[[#This Row],[ARTEFACTOS]]=AE$2,100%,AVANCE[[#This Row],[ARTEFACTOS]])</f>
        <v>0</v>
      </c>
      <c r="BU684" s="3">
        <f>+IF(AVANCE[[#This Row],[TABLERO]]=AF$2,100%,AVANCE[[#This Row],[TABLERO]])</f>
        <v>0</v>
      </c>
      <c r="BV684" s="3">
        <f>+IF(AVANCE[[#This Row],[CAJA PAU]]=AG$2,100%,AVANCE[[#This Row],[CAJA PAU]])</f>
        <v>0</v>
      </c>
      <c r="BW684" s="3">
        <f>+IF(AVANCE[[#This Row],[INSTALACION VINILICO]]=AJ$2,100%,AVANCE[[#This Row],[INSTALACION VINILICO]])</f>
        <v>0</v>
      </c>
      <c r="BX684" s="3">
        <f>+IF(AVANCE[[#This Row],[OSB CUBIERTA]]=AK$2,100%,AVANCE[[#This Row],[OSB CUBIERTA]])</f>
        <v>0</v>
      </c>
      <c r="BY684" s="3">
        <f>+IF(AVANCE[[#This Row],[BARANDA BALCON]]=AL$2,100%,AVANCE[[#This Row],[BARANDA BALCON]])</f>
        <v>0</v>
      </c>
      <c r="BZ684" s="3">
        <f>+IF(AVANCE[[#This Row],[OSB EXTERIOR]]=AM$2,100%,AVANCE[[#This Row],[OSB EXTERIOR]])</f>
        <v>0</v>
      </c>
      <c r="CA684" s="3">
        <f>+IF(AVANCE[[#This Row],[SMART PANEL]]=AN$2,100%,AVANCE[[#This Row],[SMART PANEL]])</f>
        <v>0</v>
      </c>
      <c r="CB684" s="3">
        <f>+IF(AVANCE[[#This Row],[PINTURA EXTERIOR]]=AO$2,100%,AVANCE[[#This Row],[PINTURA EXTERIOR]])</f>
        <v>0</v>
      </c>
      <c r="CC684" s="3">
        <f>+IF(AVANCE[[#This Row],[ZOCALOS LOGIA]]=AP$2,100%,AVANCE[[#This Row],[ZOCALOS LOGIA]])</f>
        <v>0</v>
      </c>
      <c r="CD684" s="3">
        <f>+IF(AVANCE[[#This Row],[MOLDURAS]]=AQ$2,100%,AVANCE[[#This Row],[MOLDURAS]])</f>
        <v>0</v>
      </c>
      <c r="CE684" s="3">
        <f>+IF(AVANCE[[#This Row],[PILASTREO]]=AR$2,100%,AVANCE[[#This Row],[PILASTREO]])</f>
        <v>0</v>
      </c>
      <c r="CF684" s="3">
        <f>+IF(AVANCE[[#This Row],[CELOSIAS]]=AS$2,100%,AVANCE[[#This Row],[CELOSIAS]])</f>
        <v>0</v>
      </c>
      <c r="CG684" s="3">
        <f>+IF(AVANCE[[#This Row],[VENTANAS]]=AT$2,100%,AVANCE[[#This Row],[VENTANAS]])</f>
        <v>0</v>
      </c>
      <c r="CH684" s="3">
        <f>+IF(AVANCE[[#This Row],[PUERTAS ACCESO - LOGIA - BANO]]=AU$2,100%,AVANCE[[#This Row],[PUERTAS ACCESO - LOGIA - BANO]])</f>
        <v>0</v>
      </c>
      <c r="CI684" s="3">
        <f>+IF(AVANCE[[#This Row],[CERRADURAS]]=AV$2,100%,AVANCE[[#This Row],[CERRADURAS]])</f>
        <v>0</v>
      </c>
      <c r="CJ684" s="3">
        <f>+IF(AVANCE[[#This Row],[REVESTIMIENTO INTERIOR ZONA SECA]]=AW$2,100%,AVANCE[[#This Row],[REVESTIMIENTO INTERIOR ZONA SECA]])</f>
        <v>0</v>
      </c>
      <c r="CK684" s="3">
        <f>+IF(AVANCE[[#This Row],[REVESTIMIENTO INTERIOR ZONAS HUMEDAS]]=AX$2,100%,AVANCE[[#This Row],[REVESTIMIENTO INTERIOR ZONAS HUMEDAS]])</f>
        <v>0</v>
      </c>
      <c r="CL684" s="3">
        <f>+IF(AVANCE[[#This Row],[MEMBRANA CIELO]]=AY$2,100%,AVANCE[[#This Row],[MEMBRANA CIELO]])</f>
        <v>0</v>
      </c>
      <c r="CM684" s="3">
        <f>+IF(AVANCE[[#This Row],[LIMPIEZA FINAL]]=AZ$2,100%,AVANCE[[#This Row],[LIMPIEZA FINAL]])</f>
        <v>0</v>
      </c>
      <c r="CN684" s="3">
        <f>+IF(AVANCE[[#This Row],[PUERTAS DORMITORIO]]=BA$2,100%,AVANCE[[#This Row],[PUERTAS DORMITORIO]])</f>
        <v>0</v>
      </c>
      <c r="CO684" s="3">
        <f>+IF(AVANCE[[#This Row],[REVESTIMIENTO INTERIOR BANO]]=BB$2,100%,AVANCE[[#This Row],[REVESTIMIENTO INTERIOR BANO]])</f>
        <v>0</v>
      </c>
      <c r="CP684" s="3">
        <f>+IF(AVANCE[[#This Row],[MUEBLE LAVAPLATOS]]=BC$2,100%,AVANCE[[#This Row],[MUEBLE LAVAPLATOS]])</f>
        <v>0</v>
      </c>
      <c r="CQ684" s="3">
        <f>+IF(AVANCE[[#This Row],[IMPERMEABILIZACION BANO - COCINA LOGIA]]=BD$2,100%,AVANCE[[#This Row],[IMPERMEABILIZACION BANO - COCINA LOGIA]])</f>
        <v>0</v>
      </c>
      <c r="CR684" s="40">
        <f ca="1">+IF(AVANCE[[#This Row],[ESTADO MODULO]]="PENDIENTE",(TODAY()-AVANCE[[#This Row],[FECHA TERMINO  PLANIFICADO]]),0)</f>
        <v>0</v>
      </c>
      <c r="CS684" s="42" t="str" cm="1">
        <f t="array" ref="CS684">_xlfn.TEXTJOIN(" | ",TRUE,IF(SUMPRODUCT((BF684:CQ684&lt;1)*(PARTIDAS!$I$2:$AT$2="OBRA GRUESA"))&gt;0,"OBRA GRUESA: "&amp;_xlfn.TEXTJOIN(", ",TRUE,IF((BF684:CQ684&lt;1)*(PARTIDAS!$I$2:$AT$2="OBRA GRUESA"),PARTIDAS!$I$1:$AT$1,"")),""),IF(SUMPRODUCT((BF684:CQ684&lt;1)*(PARTIDAS!$I$2:$AT$2="SANITARIOS"))&gt;0,"SANITARIOS: "&amp;_xlfn.TEXTJOIN(", ",TRUE,IF((BF684:CQ684&lt;1)*(PARTIDAS!$I$2:$AT$2="SANITARIOS"),PARTIDAS!$I$1:$AT$1,"")),""),IF(SUMPRODUCT((BF684:CQ684&lt;1)*(PARTIDAS!$I$2:$AT$2="ELÉCTRICO"))&gt;0,"ELÉCTRICO: "&amp;_xlfn.TEXTJOIN(", ",TRUE,IF((BF684:CQ684&lt;1)*(PARTIDAS!$I$2:$AT$2="ELÉCTRICO"),PARTIDAS!$I$1:$AT$1,"")),""),IF(SUMPRODUCT((BF684:CQ684&lt;1)*(PARTIDAS!$I$2:$AT$2="TERMINACIONES"))&gt;0,"TERMINACIONES: "&amp;_xlfn.TEXTJOIN(", ",TRUE,IF((BF684:CQ684&lt;1)*(PARTIDAS!$I$2:$AT$2="TERMINACIONES"),PARTIDAS!$I$1:$AT$1,"")),""))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4" s="45" t="str" cm="1">
        <f t="array" ref="CT684">_xlfn.TEXTJOIN(", ",TRUE,IF(SUMPRODUCT((BF684:CQ684&lt;1)*(PARTIDAS!$I$2:$AT$2="OBRA GRUESA"))&gt;0,"OBRA GRUESA",""),IF(SUMPRODUCT((BF684:CQ684&lt;1)*(PARTIDAS!$I$2:$AT$2="SANITARIOS"))&gt;0,"SANITARIOS",""),IF(SUMPRODUCT((BF684:CQ684&lt;1)*(PARTIDAS!$I$2:$AT$2="ELÉCTRICO"))&gt;0,"ELÉCTRICO",""),IF(SUMPRODUCT((BF684:CQ684&lt;1)*(PARTIDAS!$I$2:$AT$2="TERMINACIONES"))&gt;0,"TERMINACIONES",""))</f>
        <v>OBRA GRUESA, SANITARIOS, ELÉCTRICO, TERMINACIONES</v>
      </c>
      <c r="CU684" s="46" cm="1">
        <f t="array" ref="CU684">SUMPRODUCT(--(BF684:CQ684&lt;1))</f>
        <v>38</v>
      </c>
    </row>
    <row r="685" spans="1:99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46181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 s="3" t="str">
        <f>+IF(AVANCE[[#This Row],[% AVANCE]]=100%,"MODULO TERMINADO",IF(AVANCE[[#This Row],[FECHA INICIO REAL]]="","MODULO NO INICIADO","PENDIENTE"))</f>
        <v>MODULO NO INICIADO</v>
      </c>
      <c r="BF685" s="3">
        <f>+IF(AVANCE[[#This Row],[VENTANAS]]=8.10810810810811%,100%,AVANCE[[#This Row],[VENTANAS]])</f>
        <v>0</v>
      </c>
      <c r="BG685" s="3">
        <f>+IF(AVANCE[[#This Row],[PISO]]=N$2,100%,AVANCE[[#This Row],[PISO]])</f>
        <v>0</v>
      </c>
      <c r="BH685" s="3">
        <f>+IF(AVANCE[[#This Row],[TABIQUES]]=O$2,100%,AVANCE[[#This Row],[TABIQUES]])</f>
        <v>0</v>
      </c>
      <c r="BI685" s="3">
        <f>+IF(AVANCE[[#This Row],[MUROS]]=P$2,100%,AVANCE[[#This Row],[MUROS]])</f>
        <v>0</v>
      </c>
      <c r="BJ685" s="3">
        <f>+IF(AVANCE[[#This Row],[CIELO]]=Q$2,100%,AVANCE[[#This Row],[CIELO]])</f>
        <v>0</v>
      </c>
      <c r="BK685" s="3">
        <f>+IF(AVANCE[[#This Row],[BALCÓN]]=R$2,100%,AVANCE[[#This Row],[BALCÓN]])</f>
        <v>0</v>
      </c>
      <c r="BL685" s="3">
        <f>+IF(AVANCE[[#This Row],[RED ALCANTARILLADO]]=U$2,100%,AVANCE[[#This Row],[RED ALCANTARILLADO]])</f>
        <v>0</v>
      </c>
      <c r="BM685" s="3">
        <f>+IF(AVANCE[[#This Row],[RED DE AGUA]]=V$2,100%,AVANCE[[#This Row],[RED DE AGUA]])</f>
        <v>0</v>
      </c>
      <c r="BN685" s="3">
        <f>+IF(AVANCE[[#This Row],[VENTILACIONES]]=W$2,100%,AVANCE[[#This Row],[VENTILACIONES]])</f>
        <v>0</v>
      </c>
      <c r="BO685" s="3">
        <f>+IF(AVANCE[[#This Row],[TINA]]=X$2,100%,AVANCE[[#This Row],[TINA]])</f>
        <v>0</v>
      </c>
      <c r="BP685" s="3">
        <f>+IF(AVANCE[[#This Row],[WC]]=Y$2,100%,AVANCE[[#This Row],[WC]])</f>
        <v>0</v>
      </c>
      <c r="BQ685" s="3">
        <f>+IF(AVANCE[[#This Row],[LAVAMANOS / LAVAPLATOS / LAVADERO]]=Z$2,100%,AVANCE[[#This Row],[LAVAMANOS / LAVAPLATOS / LAVADERO]])</f>
        <v>0</v>
      </c>
      <c r="BR685" s="3">
        <f>+IF(AVANCE[[#This Row],[CANALIZACIÓN]]=AC$2,100%,AVANCE[[#This Row],[CANALIZACIÓN]])</f>
        <v>0</v>
      </c>
      <c r="BS685" s="3">
        <f>+IF(AVANCE[[#This Row],[CABLEADO]]=AD$2,100%,AVANCE[[#This Row],[CABLEADO]])</f>
        <v>0</v>
      </c>
      <c r="BT685" s="3">
        <f>+IF(AVANCE[[#This Row],[ARTEFACTOS]]=AE$2,100%,AVANCE[[#This Row],[ARTEFACTOS]])</f>
        <v>0</v>
      </c>
      <c r="BU685" s="3">
        <f>+IF(AVANCE[[#This Row],[TABLERO]]=AF$2,100%,AVANCE[[#This Row],[TABLERO]])</f>
        <v>0</v>
      </c>
      <c r="BV685" s="3">
        <f>+IF(AVANCE[[#This Row],[CAJA PAU]]=AG$2,100%,AVANCE[[#This Row],[CAJA PAU]])</f>
        <v>0</v>
      </c>
      <c r="BW685" s="3">
        <f>+IF(AVANCE[[#This Row],[INSTALACION VINILICO]]=AJ$2,100%,AVANCE[[#This Row],[INSTALACION VINILICO]])</f>
        <v>0</v>
      </c>
      <c r="BX685" s="3">
        <f>+IF(AVANCE[[#This Row],[OSB CUBIERTA]]=AK$2,100%,AVANCE[[#This Row],[OSB CUBIERTA]])</f>
        <v>0</v>
      </c>
      <c r="BY685" s="3">
        <f>+IF(AVANCE[[#This Row],[BARANDA BALCON]]=AL$2,100%,AVANCE[[#This Row],[BARANDA BALCON]])</f>
        <v>0</v>
      </c>
      <c r="BZ685" s="3">
        <f>+IF(AVANCE[[#This Row],[OSB EXTERIOR]]=AM$2,100%,AVANCE[[#This Row],[OSB EXTERIOR]])</f>
        <v>0</v>
      </c>
      <c r="CA685" s="3">
        <f>+IF(AVANCE[[#This Row],[SMART PANEL]]=AN$2,100%,AVANCE[[#This Row],[SMART PANEL]])</f>
        <v>0</v>
      </c>
      <c r="CB685" s="3">
        <f>+IF(AVANCE[[#This Row],[PINTURA EXTERIOR]]=AO$2,100%,AVANCE[[#This Row],[PINTURA EXTERIOR]])</f>
        <v>0</v>
      </c>
      <c r="CC685" s="3">
        <f>+IF(AVANCE[[#This Row],[ZOCALOS LOGIA]]=AP$2,100%,AVANCE[[#This Row],[ZOCALOS LOGIA]])</f>
        <v>0</v>
      </c>
      <c r="CD685" s="3">
        <f>+IF(AVANCE[[#This Row],[MOLDURAS]]=AQ$2,100%,AVANCE[[#This Row],[MOLDURAS]])</f>
        <v>0</v>
      </c>
      <c r="CE685" s="3">
        <f>+IF(AVANCE[[#This Row],[PILASTREO]]=AR$2,100%,AVANCE[[#This Row],[PILASTREO]])</f>
        <v>0</v>
      </c>
      <c r="CF685" s="3">
        <f>+IF(AVANCE[[#This Row],[CELOSIAS]]=AS$2,100%,AVANCE[[#This Row],[CELOSIAS]])</f>
        <v>0</v>
      </c>
      <c r="CG685" s="3">
        <f>+IF(AVANCE[[#This Row],[VENTANAS]]=AT$2,100%,AVANCE[[#This Row],[VENTANAS]])</f>
        <v>0</v>
      </c>
      <c r="CH685" s="3">
        <f>+IF(AVANCE[[#This Row],[PUERTAS ACCESO - LOGIA - BANO]]=AU$2,100%,AVANCE[[#This Row],[PUERTAS ACCESO - LOGIA - BANO]])</f>
        <v>0</v>
      </c>
      <c r="CI685" s="3">
        <f>+IF(AVANCE[[#This Row],[CERRADURAS]]=AV$2,100%,AVANCE[[#This Row],[CERRADURAS]])</f>
        <v>0</v>
      </c>
      <c r="CJ685" s="3">
        <f>+IF(AVANCE[[#This Row],[REVESTIMIENTO INTERIOR ZONA SECA]]=AW$2,100%,AVANCE[[#This Row],[REVESTIMIENTO INTERIOR ZONA SECA]])</f>
        <v>0</v>
      </c>
      <c r="CK685" s="3">
        <f>+IF(AVANCE[[#This Row],[REVESTIMIENTO INTERIOR ZONAS HUMEDAS]]=AX$2,100%,AVANCE[[#This Row],[REVESTIMIENTO INTERIOR ZONAS HUMEDAS]])</f>
        <v>0</v>
      </c>
      <c r="CL685" s="3">
        <f>+IF(AVANCE[[#This Row],[MEMBRANA CIELO]]=AY$2,100%,AVANCE[[#This Row],[MEMBRANA CIELO]])</f>
        <v>0</v>
      </c>
      <c r="CM685" s="3">
        <f>+IF(AVANCE[[#This Row],[LIMPIEZA FINAL]]=AZ$2,100%,AVANCE[[#This Row],[LIMPIEZA FINAL]])</f>
        <v>0</v>
      </c>
      <c r="CN685" s="3">
        <f>+IF(AVANCE[[#This Row],[PUERTAS DORMITORIO]]=BA$2,100%,AVANCE[[#This Row],[PUERTAS DORMITORIO]])</f>
        <v>0</v>
      </c>
      <c r="CO685" s="3">
        <f>+IF(AVANCE[[#This Row],[REVESTIMIENTO INTERIOR BANO]]=BB$2,100%,AVANCE[[#This Row],[REVESTIMIENTO INTERIOR BANO]])</f>
        <v>0</v>
      </c>
      <c r="CP685" s="3">
        <f>+IF(AVANCE[[#This Row],[MUEBLE LAVAPLATOS]]=BC$2,100%,AVANCE[[#This Row],[MUEBLE LAVAPLATOS]])</f>
        <v>0</v>
      </c>
      <c r="CQ685" s="3">
        <f>+IF(AVANCE[[#This Row],[IMPERMEABILIZACION BANO - COCINA LOGIA]]=BD$2,100%,AVANCE[[#This Row],[IMPERMEABILIZACION BANO - COCINA LOGIA]])</f>
        <v>0</v>
      </c>
      <c r="CR685" s="40">
        <f ca="1">+IF(AVANCE[[#This Row],[ESTADO MODULO]]="PENDIENTE",(TODAY()-AVANCE[[#This Row],[FECHA TERMINO  PLANIFICADO]]),0)</f>
        <v>0</v>
      </c>
      <c r="CS685" s="42" t="str" cm="1">
        <f t="array" ref="CS685">_xlfn.TEXTJOIN(" | ",TRUE,IF(SUMPRODUCT((BF685:CQ685&lt;1)*(PARTIDAS!$I$2:$AT$2="OBRA GRUESA"))&gt;0,"OBRA GRUESA: "&amp;_xlfn.TEXTJOIN(", ",TRUE,IF((BF685:CQ685&lt;1)*(PARTIDAS!$I$2:$AT$2="OBRA GRUESA"),PARTIDAS!$I$1:$AT$1,"")),""),IF(SUMPRODUCT((BF685:CQ685&lt;1)*(PARTIDAS!$I$2:$AT$2="SANITARIOS"))&gt;0,"SANITARIOS: "&amp;_xlfn.TEXTJOIN(", ",TRUE,IF((BF685:CQ685&lt;1)*(PARTIDAS!$I$2:$AT$2="SANITARIOS"),PARTIDAS!$I$1:$AT$1,"")),""),IF(SUMPRODUCT((BF685:CQ685&lt;1)*(PARTIDAS!$I$2:$AT$2="ELÉCTRICO"))&gt;0,"ELÉCTRICO: "&amp;_xlfn.TEXTJOIN(", ",TRUE,IF((BF685:CQ685&lt;1)*(PARTIDAS!$I$2:$AT$2="ELÉCTRICO"),PARTIDAS!$I$1:$AT$1,"")),""),IF(SUMPRODUCT((BF685:CQ685&lt;1)*(PARTIDAS!$I$2:$AT$2="TERMINACIONES"))&gt;0,"TERMINACIONES: "&amp;_xlfn.TEXTJOIN(", ",TRUE,IF((BF685:CQ685&lt;1)*(PARTIDAS!$I$2:$AT$2="TERMINACIONES"),PARTIDAS!$I$1:$AT$1,"")),""))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5" s="45" t="str" cm="1">
        <f t="array" ref="CT685">_xlfn.TEXTJOIN(", ",TRUE,IF(SUMPRODUCT((BF685:CQ685&lt;1)*(PARTIDAS!$I$2:$AT$2="OBRA GRUESA"))&gt;0,"OBRA GRUESA",""),IF(SUMPRODUCT((BF685:CQ685&lt;1)*(PARTIDAS!$I$2:$AT$2="SANITARIOS"))&gt;0,"SANITARIOS",""),IF(SUMPRODUCT((BF685:CQ685&lt;1)*(PARTIDAS!$I$2:$AT$2="ELÉCTRICO"))&gt;0,"ELÉCTRICO",""),IF(SUMPRODUCT((BF685:CQ685&lt;1)*(PARTIDAS!$I$2:$AT$2="TERMINACIONES"))&gt;0,"TERMINACIONES",""))</f>
        <v>OBRA GRUESA, SANITARIOS, ELÉCTRICO, TERMINACIONES</v>
      </c>
      <c r="CU685" s="46" cm="1">
        <f t="array" ref="CU685">SUMPRODUCT(--(BF685:CQ685&lt;1))</f>
        <v>38</v>
      </c>
    </row>
    <row r="686" spans="1:99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46181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 s="3" t="str">
        <f>+IF(AVANCE[[#This Row],[% AVANCE]]=100%,"MODULO TERMINADO",IF(AVANCE[[#This Row],[FECHA INICIO REAL]]="","MODULO NO INICIADO","PENDIENTE"))</f>
        <v>MODULO NO INICIADO</v>
      </c>
      <c r="BF686" s="3">
        <f>+IF(AVANCE[[#This Row],[VENTANAS]]=8.10810810810811%,100%,AVANCE[[#This Row],[VENTANAS]])</f>
        <v>0</v>
      </c>
      <c r="BG686" s="3">
        <f>+IF(AVANCE[[#This Row],[PISO]]=N$2,100%,AVANCE[[#This Row],[PISO]])</f>
        <v>0</v>
      </c>
      <c r="BH686" s="3">
        <f>+IF(AVANCE[[#This Row],[TABIQUES]]=O$2,100%,AVANCE[[#This Row],[TABIQUES]])</f>
        <v>0</v>
      </c>
      <c r="BI686" s="3">
        <f>+IF(AVANCE[[#This Row],[MUROS]]=P$2,100%,AVANCE[[#This Row],[MUROS]])</f>
        <v>0</v>
      </c>
      <c r="BJ686" s="3">
        <f>+IF(AVANCE[[#This Row],[CIELO]]=Q$2,100%,AVANCE[[#This Row],[CIELO]])</f>
        <v>0</v>
      </c>
      <c r="BK686" s="3">
        <f>+IF(AVANCE[[#This Row],[BALCÓN]]=R$2,100%,AVANCE[[#This Row],[BALCÓN]])</f>
        <v>0</v>
      </c>
      <c r="BL686" s="3">
        <f>+IF(AVANCE[[#This Row],[RED ALCANTARILLADO]]=U$2,100%,AVANCE[[#This Row],[RED ALCANTARILLADO]])</f>
        <v>0</v>
      </c>
      <c r="BM686" s="3">
        <f>+IF(AVANCE[[#This Row],[RED DE AGUA]]=V$2,100%,AVANCE[[#This Row],[RED DE AGUA]])</f>
        <v>0</v>
      </c>
      <c r="BN686" s="3">
        <f>+IF(AVANCE[[#This Row],[VENTILACIONES]]=W$2,100%,AVANCE[[#This Row],[VENTILACIONES]])</f>
        <v>0</v>
      </c>
      <c r="BO686" s="3">
        <f>+IF(AVANCE[[#This Row],[TINA]]=X$2,100%,AVANCE[[#This Row],[TINA]])</f>
        <v>0</v>
      </c>
      <c r="BP686" s="3">
        <f>+IF(AVANCE[[#This Row],[WC]]=Y$2,100%,AVANCE[[#This Row],[WC]])</f>
        <v>0</v>
      </c>
      <c r="BQ686" s="3">
        <f>+IF(AVANCE[[#This Row],[LAVAMANOS / LAVAPLATOS / LAVADERO]]=Z$2,100%,AVANCE[[#This Row],[LAVAMANOS / LAVAPLATOS / LAVADERO]])</f>
        <v>0</v>
      </c>
      <c r="BR686" s="3">
        <f>+IF(AVANCE[[#This Row],[CANALIZACIÓN]]=AC$2,100%,AVANCE[[#This Row],[CANALIZACIÓN]])</f>
        <v>0</v>
      </c>
      <c r="BS686" s="3">
        <f>+IF(AVANCE[[#This Row],[CABLEADO]]=AD$2,100%,AVANCE[[#This Row],[CABLEADO]])</f>
        <v>0</v>
      </c>
      <c r="BT686" s="3">
        <f>+IF(AVANCE[[#This Row],[ARTEFACTOS]]=AE$2,100%,AVANCE[[#This Row],[ARTEFACTOS]])</f>
        <v>0</v>
      </c>
      <c r="BU686" s="3">
        <f>+IF(AVANCE[[#This Row],[TABLERO]]=AF$2,100%,AVANCE[[#This Row],[TABLERO]])</f>
        <v>0</v>
      </c>
      <c r="BV686" s="3">
        <f>+IF(AVANCE[[#This Row],[CAJA PAU]]=AG$2,100%,AVANCE[[#This Row],[CAJA PAU]])</f>
        <v>0</v>
      </c>
      <c r="BW686" s="3">
        <f>+IF(AVANCE[[#This Row],[INSTALACION VINILICO]]=AJ$2,100%,AVANCE[[#This Row],[INSTALACION VINILICO]])</f>
        <v>0</v>
      </c>
      <c r="BX686" s="3">
        <f>+IF(AVANCE[[#This Row],[OSB CUBIERTA]]=AK$2,100%,AVANCE[[#This Row],[OSB CUBIERTA]])</f>
        <v>0</v>
      </c>
      <c r="BY686" s="3">
        <f>+IF(AVANCE[[#This Row],[BARANDA BALCON]]=AL$2,100%,AVANCE[[#This Row],[BARANDA BALCON]])</f>
        <v>0</v>
      </c>
      <c r="BZ686" s="3">
        <f>+IF(AVANCE[[#This Row],[OSB EXTERIOR]]=AM$2,100%,AVANCE[[#This Row],[OSB EXTERIOR]])</f>
        <v>0</v>
      </c>
      <c r="CA686" s="3">
        <f>+IF(AVANCE[[#This Row],[SMART PANEL]]=AN$2,100%,AVANCE[[#This Row],[SMART PANEL]])</f>
        <v>0</v>
      </c>
      <c r="CB686" s="3">
        <f>+IF(AVANCE[[#This Row],[PINTURA EXTERIOR]]=AO$2,100%,AVANCE[[#This Row],[PINTURA EXTERIOR]])</f>
        <v>0</v>
      </c>
      <c r="CC686" s="3">
        <f>+IF(AVANCE[[#This Row],[ZOCALOS LOGIA]]=AP$2,100%,AVANCE[[#This Row],[ZOCALOS LOGIA]])</f>
        <v>0</v>
      </c>
      <c r="CD686" s="3">
        <f>+IF(AVANCE[[#This Row],[MOLDURAS]]=AQ$2,100%,AVANCE[[#This Row],[MOLDURAS]])</f>
        <v>0</v>
      </c>
      <c r="CE686" s="3">
        <f>+IF(AVANCE[[#This Row],[PILASTREO]]=AR$2,100%,AVANCE[[#This Row],[PILASTREO]])</f>
        <v>0</v>
      </c>
      <c r="CF686" s="3">
        <f>+IF(AVANCE[[#This Row],[CELOSIAS]]=AS$2,100%,AVANCE[[#This Row],[CELOSIAS]])</f>
        <v>0</v>
      </c>
      <c r="CG686" s="3">
        <f>+IF(AVANCE[[#This Row],[VENTANAS]]=AT$2,100%,AVANCE[[#This Row],[VENTANAS]])</f>
        <v>0</v>
      </c>
      <c r="CH686" s="3">
        <f>+IF(AVANCE[[#This Row],[PUERTAS ACCESO - LOGIA - BANO]]=AU$2,100%,AVANCE[[#This Row],[PUERTAS ACCESO - LOGIA - BANO]])</f>
        <v>0</v>
      </c>
      <c r="CI686" s="3">
        <f>+IF(AVANCE[[#This Row],[CERRADURAS]]=AV$2,100%,AVANCE[[#This Row],[CERRADURAS]])</f>
        <v>0</v>
      </c>
      <c r="CJ686" s="3">
        <f>+IF(AVANCE[[#This Row],[REVESTIMIENTO INTERIOR ZONA SECA]]=AW$2,100%,AVANCE[[#This Row],[REVESTIMIENTO INTERIOR ZONA SECA]])</f>
        <v>0</v>
      </c>
      <c r="CK686" s="3">
        <f>+IF(AVANCE[[#This Row],[REVESTIMIENTO INTERIOR ZONAS HUMEDAS]]=AX$2,100%,AVANCE[[#This Row],[REVESTIMIENTO INTERIOR ZONAS HUMEDAS]])</f>
        <v>0</v>
      </c>
      <c r="CL686" s="3">
        <f>+IF(AVANCE[[#This Row],[MEMBRANA CIELO]]=AY$2,100%,AVANCE[[#This Row],[MEMBRANA CIELO]])</f>
        <v>0</v>
      </c>
      <c r="CM686" s="3">
        <f>+IF(AVANCE[[#This Row],[LIMPIEZA FINAL]]=AZ$2,100%,AVANCE[[#This Row],[LIMPIEZA FINAL]])</f>
        <v>0</v>
      </c>
      <c r="CN686" s="3">
        <f>+IF(AVANCE[[#This Row],[PUERTAS DORMITORIO]]=BA$2,100%,AVANCE[[#This Row],[PUERTAS DORMITORIO]])</f>
        <v>0</v>
      </c>
      <c r="CO686" s="3">
        <f>+IF(AVANCE[[#This Row],[REVESTIMIENTO INTERIOR BANO]]=BB$2,100%,AVANCE[[#This Row],[REVESTIMIENTO INTERIOR BANO]])</f>
        <v>0</v>
      </c>
      <c r="CP686" s="3">
        <f>+IF(AVANCE[[#This Row],[MUEBLE LAVAPLATOS]]=BC$2,100%,AVANCE[[#This Row],[MUEBLE LAVAPLATOS]])</f>
        <v>0</v>
      </c>
      <c r="CQ686" s="3">
        <f>+IF(AVANCE[[#This Row],[IMPERMEABILIZACION BANO - COCINA LOGIA]]=BD$2,100%,AVANCE[[#This Row],[IMPERMEABILIZACION BANO - COCINA LOGIA]])</f>
        <v>0</v>
      </c>
      <c r="CR686" s="40">
        <f ca="1">+IF(AVANCE[[#This Row],[ESTADO MODULO]]="PENDIENTE",(TODAY()-AVANCE[[#This Row],[FECHA TERMINO  PLANIFICADO]]),0)</f>
        <v>0</v>
      </c>
      <c r="CS686" s="42" t="str" cm="1">
        <f t="array" ref="CS686">_xlfn.TEXTJOIN(" | ",TRUE,IF(SUMPRODUCT((BF686:CQ686&lt;1)*(PARTIDAS!$I$2:$AT$2="OBRA GRUESA"))&gt;0,"OBRA GRUESA: "&amp;_xlfn.TEXTJOIN(", ",TRUE,IF((BF686:CQ686&lt;1)*(PARTIDAS!$I$2:$AT$2="OBRA GRUESA"),PARTIDAS!$I$1:$AT$1,"")),""),IF(SUMPRODUCT((BF686:CQ686&lt;1)*(PARTIDAS!$I$2:$AT$2="SANITARIOS"))&gt;0,"SANITARIOS: "&amp;_xlfn.TEXTJOIN(", ",TRUE,IF((BF686:CQ686&lt;1)*(PARTIDAS!$I$2:$AT$2="SANITARIOS"),PARTIDAS!$I$1:$AT$1,"")),""),IF(SUMPRODUCT((BF686:CQ686&lt;1)*(PARTIDAS!$I$2:$AT$2="ELÉCTRICO"))&gt;0,"ELÉCTRICO: "&amp;_xlfn.TEXTJOIN(", ",TRUE,IF((BF686:CQ686&lt;1)*(PARTIDAS!$I$2:$AT$2="ELÉCTRICO"),PARTIDAS!$I$1:$AT$1,"")),""),IF(SUMPRODUCT((BF686:CQ686&lt;1)*(PARTIDAS!$I$2:$AT$2="TERMINACIONES"))&gt;0,"TERMINACIONES: "&amp;_xlfn.TEXTJOIN(", ",TRUE,IF((BF686:CQ686&lt;1)*(PARTIDAS!$I$2:$AT$2="TERMINACIONES"),PARTIDAS!$I$1:$AT$1,"")),""))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6" s="45" t="str" cm="1">
        <f t="array" ref="CT686">_xlfn.TEXTJOIN(", ",TRUE,IF(SUMPRODUCT((BF686:CQ686&lt;1)*(PARTIDAS!$I$2:$AT$2="OBRA GRUESA"))&gt;0,"OBRA GRUESA",""),IF(SUMPRODUCT((BF686:CQ686&lt;1)*(PARTIDAS!$I$2:$AT$2="SANITARIOS"))&gt;0,"SANITARIOS",""),IF(SUMPRODUCT((BF686:CQ686&lt;1)*(PARTIDAS!$I$2:$AT$2="ELÉCTRICO"))&gt;0,"ELÉCTRICO",""),IF(SUMPRODUCT((BF686:CQ686&lt;1)*(PARTIDAS!$I$2:$AT$2="TERMINACIONES"))&gt;0,"TERMINACIONES",""))</f>
        <v>OBRA GRUESA, SANITARIOS, ELÉCTRICO, TERMINACIONES</v>
      </c>
      <c r="CU686" s="46" cm="1">
        <f t="array" ref="CU686">SUMPRODUCT(--(BF686:CQ686&lt;1))</f>
        <v>38</v>
      </c>
    </row>
    <row r="687" spans="1:99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46181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 s="3" t="str">
        <f>+IF(AVANCE[[#This Row],[% AVANCE]]=100%,"MODULO TERMINADO",IF(AVANCE[[#This Row],[FECHA INICIO REAL]]="","MODULO NO INICIADO","PENDIENTE"))</f>
        <v>MODULO NO INICIADO</v>
      </c>
      <c r="BF687" s="3">
        <f>+IF(AVANCE[[#This Row],[VENTANAS]]=8.10810810810811%,100%,AVANCE[[#This Row],[VENTANAS]])</f>
        <v>0</v>
      </c>
      <c r="BG687" s="3">
        <f>+IF(AVANCE[[#This Row],[PISO]]=N$2,100%,AVANCE[[#This Row],[PISO]])</f>
        <v>0</v>
      </c>
      <c r="BH687" s="3">
        <f>+IF(AVANCE[[#This Row],[TABIQUES]]=O$2,100%,AVANCE[[#This Row],[TABIQUES]])</f>
        <v>0</v>
      </c>
      <c r="BI687" s="3">
        <f>+IF(AVANCE[[#This Row],[MUROS]]=P$2,100%,AVANCE[[#This Row],[MUROS]])</f>
        <v>0</v>
      </c>
      <c r="BJ687" s="3">
        <f>+IF(AVANCE[[#This Row],[CIELO]]=Q$2,100%,AVANCE[[#This Row],[CIELO]])</f>
        <v>0</v>
      </c>
      <c r="BK687" s="3">
        <f>+IF(AVANCE[[#This Row],[BALCÓN]]=R$2,100%,AVANCE[[#This Row],[BALCÓN]])</f>
        <v>0</v>
      </c>
      <c r="BL687" s="3">
        <f>+IF(AVANCE[[#This Row],[RED ALCANTARILLADO]]=U$2,100%,AVANCE[[#This Row],[RED ALCANTARILLADO]])</f>
        <v>0</v>
      </c>
      <c r="BM687" s="3">
        <f>+IF(AVANCE[[#This Row],[RED DE AGUA]]=V$2,100%,AVANCE[[#This Row],[RED DE AGUA]])</f>
        <v>0</v>
      </c>
      <c r="BN687" s="3">
        <f>+IF(AVANCE[[#This Row],[VENTILACIONES]]=W$2,100%,AVANCE[[#This Row],[VENTILACIONES]])</f>
        <v>0</v>
      </c>
      <c r="BO687" s="3">
        <f>+IF(AVANCE[[#This Row],[TINA]]=X$2,100%,AVANCE[[#This Row],[TINA]])</f>
        <v>0</v>
      </c>
      <c r="BP687" s="3">
        <f>+IF(AVANCE[[#This Row],[WC]]=Y$2,100%,AVANCE[[#This Row],[WC]])</f>
        <v>0</v>
      </c>
      <c r="BQ687" s="3">
        <f>+IF(AVANCE[[#This Row],[LAVAMANOS / LAVAPLATOS / LAVADERO]]=Z$2,100%,AVANCE[[#This Row],[LAVAMANOS / LAVAPLATOS / LAVADERO]])</f>
        <v>0</v>
      </c>
      <c r="BR687" s="3">
        <f>+IF(AVANCE[[#This Row],[CANALIZACIÓN]]=AC$2,100%,AVANCE[[#This Row],[CANALIZACIÓN]])</f>
        <v>0</v>
      </c>
      <c r="BS687" s="3">
        <f>+IF(AVANCE[[#This Row],[CABLEADO]]=AD$2,100%,AVANCE[[#This Row],[CABLEADO]])</f>
        <v>0</v>
      </c>
      <c r="BT687" s="3">
        <f>+IF(AVANCE[[#This Row],[ARTEFACTOS]]=AE$2,100%,AVANCE[[#This Row],[ARTEFACTOS]])</f>
        <v>0</v>
      </c>
      <c r="BU687" s="3">
        <f>+IF(AVANCE[[#This Row],[TABLERO]]=AF$2,100%,AVANCE[[#This Row],[TABLERO]])</f>
        <v>0</v>
      </c>
      <c r="BV687" s="3">
        <f>+IF(AVANCE[[#This Row],[CAJA PAU]]=AG$2,100%,AVANCE[[#This Row],[CAJA PAU]])</f>
        <v>0</v>
      </c>
      <c r="BW687" s="3">
        <f>+IF(AVANCE[[#This Row],[INSTALACION VINILICO]]=AJ$2,100%,AVANCE[[#This Row],[INSTALACION VINILICO]])</f>
        <v>0</v>
      </c>
      <c r="BX687" s="3">
        <f>+IF(AVANCE[[#This Row],[OSB CUBIERTA]]=AK$2,100%,AVANCE[[#This Row],[OSB CUBIERTA]])</f>
        <v>0</v>
      </c>
      <c r="BY687" s="3">
        <f>+IF(AVANCE[[#This Row],[BARANDA BALCON]]=AL$2,100%,AVANCE[[#This Row],[BARANDA BALCON]])</f>
        <v>0</v>
      </c>
      <c r="BZ687" s="3">
        <f>+IF(AVANCE[[#This Row],[OSB EXTERIOR]]=AM$2,100%,AVANCE[[#This Row],[OSB EXTERIOR]])</f>
        <v>0</v>
      </c>
      <c r="CA687" s="3">
        <f>+IF(AVANCE[[#This Row],[SMART PANEL]]=AN$2,100%,AVANCE[[#This Row],[SMART PANEL]])</f>
        <v>0</v>
      </c>
      <c r="CB687" s="3">
        <f>+IF(AVANCE[[#This Row],[PINTURA EXTERIOR]]=AO$2,100%,AVANCE[[#This Row],[PINTURA EXTERIOR]])</f>
        <v>0</v>
      </c>
      <c r="CC687" s="3">
        <f>+IF(AVANCE[[#This Row],[ZOCALOS LOGIA]]=AP$2,100%,AVANCE[[#This Row],[ZOCALOS LOGIA]])</f>
        <v>0</v>
      </c>
      <c r="CD687" s="3">
        <f>+IF(AVANCE[[#This Row],[MOLDURAS]]=AQ$2,100%,AVANCE[[#This Row],[MOLDURAS]])</f>
        <v>0</v>
      </c>
      <c r="CE687" s="3">
        <f>+IF(AVANCE[[#This Row],[PILASTREO]]=AR$2,100%,AVANCE[[#This Row],[PILASTREO]])</f>
        <v>0</v>
      </c>
      <c r="CF687" s="3">
        <f>+IF(AVANCE[[#This Row],[CELOSIAS]]=AS$2,100%,AVANCE[[#This Row],[CELOSIAS]])</f>
        <v>0</v>
      </c>
      <c r="CG687" s="3">
        <f>+IF(AVANCE[[#This Row],[VENTANAS]]=AT$2,100%,AVANCE[[#This Row],[VENTANAS]])</f>
        <v>0</v>
      </c>
      <c r="CH687" s="3">
        <f>+IF(AVANCE[[#This Row],[PUERTAS ACCESO - LOGIA - BANO]]=AU$2,100%,AVANCE[[#This Row],[PUERTAS ACCESO - LOGIA - BANO]])</f>
        <v>0</v>
      </c>
      <c r="CI687" s="3">
        <f>+IF(AVANCE[[#This Row],[CERRADURAS]]=AV$2,100%,AVANCE[[#This Row],[CERRADURAS]])</f>
        <v>0</v>
      </c>
      <c r="CJ687" s="3">
        <f>+IF(AVANCE[[#This Row],[REVESTIMIENTO INTERIOR ZONA SECA]]=AW$2,100%,AVANCE[[#This Row],[REVESTIMIENTO INTERIOR ZONA SECA]])</f>
        <v>0</v>
      </c>
      <c r="CK687" s="3">
        <f>+IF(AVANCE[[#This Row],[REVESTIMIENTO INTERIOR ZONAS HUMEDAS]]=AX$2,100%,AVANCE[[#This Row],[REVESTIMIENTO INTERIOR ZONAS HUMEDAS]])</f>
        <v>0</v>
      </c>
      <c r="CL687" s="3">
        <f>+IF(AVANCE[[#This Row],[MEMBRANA CIELO]]=AY$2,100%,AVANCE[[#This Row],[MEMBRANA CIELO]])</f>
        <v>0</v>
      </c>
      <c r="CM687" s="3">
        <f>+IF(AVANCE[[#This Row],[LIMPIEZA FINAL]]=AZ$2,100%,AVANCE[[#This Row],[LIMPIEZA FINAL]])</f>
        <v>0</v>
      </c>
      <c r="CN687" s="3">
        <f>+IF(AVANCE[[#This Row],[PUERTAS DORMITORIO]]=BA$2,100%,AVANCE[[#This Row],[PUERTAS DORMITORIO]])</f>
        <v>0</v>
      </c>
      <c r="CO687" s="3">
        <f>+IF(AVANCE[[#This Row],[REVESTIMIENTO INTERIOR BANO]]=BB$2,100%,AVANCE[[#This Row],[REVESTIMIENTO INTERIOR BANO]])</f>
        <v>0</v>
      </c>
      <c r="CP687" s="3">
        <f>+IF(AVANCE[[#This Row],[MUEBLE LAVAPLATOS]]=BC$2,100%,AVANCE[[#This Row],[MUEBLE LAVAPLATOS]])</f>
        <v>0</v>
      </c>
      <c r="CQ687" s="3">
        <f>+IF(AVANCE[[#This Row],[IMPERMEABILIZACION BANO - COCINA LOGIA]]=BD$2,100%,AVANCE[[#This Row],[IMPERMEABILIZACION BANO - COCINA LOGIA]])</f>
        <v>0</v>
      </c>
      <c r="CR687" s="40">
        <f ca="1">+IF(AVANCE[[#This Row],[ESTADO MODULO]]="PENDIENTE",(TODAY()-AVANCE[[#This Row],[FECHA TERMINO  PLANIFICADO]]),0)</f>
        <v>0</v>
      </c>
      <c r="CS687" s="42" t="str" cm="1">
        <f t="array" ref="CS687">_xlfn.TEXTJOIN(" | ",TRUE,IF(SUMPRODUCT((BF687:CQ687&lt;1)*(PARTIDAS!$I$2:$AT$2="OBRA GRUESA"))&gt;0,"OBRA GRUESA: "&amp;_xlfn.TEXTJOIN(", ",TRUE,IF((BF687:CQ687&lt;1)*(PARTIDAS!$I$2:$AT$2="OBRA GRUESA"),PARTIDAS!$I$1:$AT$1,"")),""),IF(SUMPRODUCT((BF687:CQ687&lt;1)*(PARTIDAS!$I$2:$AT$2="SANITARIOS"))&gt;0,"SANITARIOS: "&amp;_xlfn.TEXTJOIN(", ",TRUE,IF((BF687:CQ687&lt;1)*(PARTIDAS!$I$2:$AT$2="SANITARIOS"),PARTIDAS!$I$1:$AT$1,"")),""),IF(SUMPRODUCT((BF687:CQ687&lt;1)*(PARTIDAS!$I$2:$AT$2="ELÉCTRICO"))&gt;0,"ELÉCTRICO: "&amp;_xlfn.TEXTJOIN(", ",TRUE,IF((BF687:CQ687&lt;1)*(PARTIDAS!$I$2:$AT$2="ELÉCTRICO"),PARTIDAS!$I$1:$AT$1,"")),""),IF(SUMPRODUCT((BF687:CQ687&lt;1)*(PARTIDAS!$I$2:$AT$2="TERMINACIONES"))&gt;0,"TERMINACIONES: "&amp;_xlfn.TEXTJOIN(", ",TRUE,IF((BF687:CQ687&lt;1)*(PARTIDAS!$I$2:$AT$2="TERMINACIONES"),PARTIDAS!$I$1:$AT$1,"")),""))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7" s="45" t="str" cm="1">
        <f t="array" ref="CT687">_xlfn.TEXTJOIN(", ",TRUE,IF(SUMPRODUCT((BF687:CQ687&lt;1)*(PARTIDAS!$I$2:$AT$2="OBRA GRUESA"))&gt;0,"OBRA GRUESA",""),IF(SUMPRODUCT((BF687:CQ687&lt;1)*(PARTIDAS!$I$2:$AT$2="SANITARIOS"))&gt;0,"SANITARIOS",""),IF(SUMPRODUCT((BF687:CQ687&lt;1)*(PARTIDAS!$I$2:$AT$2="ELÉCTRICO"))&gt;0,"ELÉCTRICO",""),IF(SUMPRODUCT((BF687:CQ687&lt;1)*(PARTIDAS!$I$2:$AT$2="TERMINACIONES"))&gt;0,"TERMINACIONES",""))</f>
        <v>OBRA GRUESA, SANITARIOS, ELÉCTRICO, TERMINACIONES</v>
      </c>
      <c r="CU687" s="46" cm="1">
        <f t="array" ref="CU687">SUMPRODUCT(--(BF687:CQ687&lt;1))</f>
        <v>38</v>
      </c>
    </row>
    <row r="688" spans="1:99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46181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 s="3" t="str">
        <f>+IF(AVANCE[[#This Row],[% AVANCE]]=100%,"MODULO TERMINADO",IF(AVANCE[[#This Row],[FECHA INICIO REAL]]="","MODULO NO INICIADO","PENDIENTE"))</f>
        <v>MODULO NO INICIADO</v>
      </c>
      <c r="BF688" s="3">
        <f>+IF(AVANCE[[#This Row],[VENTANAS]]=8.10810810810811%,100%,AVANCE[[#This Row],[VENTANAS]])</f>
        <v>0</v>
      </c>
      <c r="BG688" s="3">
        <f>+IF(AVANCE[[#This Row],[PISO]]=N$2,100%,AVANCE[[#This Row],[PISO]])</f>
        <v>0</v>
      </c>
      <c r="BH688" s="3">
        <f>+IF(AVANCE[[#This Row],[TABIQUES]]=O$2,100%,AVANCE[[#This Row],[TABIQUES]])</f>
        <v>0</v>
      </c>
      <c r="BI688" s="3">
        <f>+IF(AVANCE[[#This Row],[MUROS]]=P$2,100%,AVANCE[[#This Row],[MUROS]])</f>
        <v>0</v>
      </c>
      <c r="BJ688" s="3">
        <f>+IF(AVANCE[[#This Row],[CIELO]]=Q$2,100%,AVANCE[[#This Row],[CIELO]])</f>
        <v>0</v>
      </c>
      <c r="BK688" s="3">
        <f>+IF(AVANCE[[#This Row],[BALCÓN]]=R$2,100%,AVANCE[[#This Row],[BALCÓN]])</f>
        <v>0</v>
      </c>
      <c r="BL688" s="3">
        <f>+IF(AVANCE[[#This Row],[RED ALCANTARILLADO]]=U$2,100%,AVANCE[[#This Row],[RED ALCANTARILLADO]])</f>
        <v>0</v>
      </c>
      <c r="BM688" s="3">
        <f>+IF(AVANCE[[#This Row],[RED DE AGUA]]=V$2,100%,AVANCE[[#This Row],[RED DE AGUA]])</f>
        <v>0</v>
      </c>
      <c r="BN688" s="3">
        <f>+IF(AVANCE[[#This Row],[VENTILACIONES]]=W$2,100%,AVANCE[[#This Row],[VENTILACIONES]])</f>
        <v>0</v>
      </c>
      <c r="BO688" s="3">
        <f>+IF(AVANCE[[#This Row],[TINA]]=X$2,100%,AVANCE[[#This Row],[TINA]])</f>
        <v>0</v>
      </c>
      <c r="BP688" s="3">
        <f>+IF(AVANCE[[#This Row],[WC]]=Y$2,100%,AVANCE[[#This Row],[WC]])</f>
        <v>0</v>
      </c>
      <c r="BQ688" s="3">
        <f>+IF(AVANCE[[#This Row],[LAVAMANOS / LAVAPLATOS / LAVADERO]]=Z$2,100%,AVANCE[[#This Row],[LAVAMANOS / LAVAPLATOS / LAVADERO]])</f>
        <v>0</v>
      </c>
      <c r="BR688" s="3">
        <f>+IF(AVANCE[[#This Row],[CANALIZACIÓN]]=AC$2,100%,AVANCE[[#This Row],[CANALIZACIÓN]])</f>
        <v>0</v>
      </c>
      <c r="BS688" s="3">
        <f>+IF(AVANCE[[#This Row],[CABLEADO]]=AD$2,100%,AVANCE[[#This Row],[CABLEADO]])</f>
        <v>0</v>
      </c>
      <c r="BT688" s="3">
        <f>+IF(AVANCE[[#This Row],[ARTEFACTOS]]=AE$2,100%,AVANCE[[#This Row],[ARTEFACTOS]])</f>
        <v>0</v>
      </c>
      <c r="BU688" s="3">
        <f>+IF(AVANCE[[#This Row],[TABLERO]]=AF$2,100%,AVANCE[[#This Row],[TABLERO]])</f>
        <v>0</v>
      </c>
      <c r="BV688" s="3">
        <f>+IF(AVANCE[[#This Row],[CAJA PAU]]=AG$2,100%,AVANCE[[#This Row],[CAJA PAU]])</f>
        <v>0</v>
      </c>
      <c r="BW688" s="3">
        <f>+IF(AVANCE[[#This Row],[INSTALACION VINILICO]]=AJ$2,100%,AVANCE[[#This Row],[INSTALACION VINILICO]])</f>
        <v>0</v>
      </c>
      <c r="BX688" s="3">
        <f>+IF(AVANCE[[#This Row],[OSB CUBIERTA]]=AK$2,100%,AVANCE[[#This Row],[OSB CUBIERTA]])</f>
        <v>0</v>
      </c>
      <c r="BY688" s="3">
        <f>+IF(AVANCE[[#This Row],[BARANDA BALCON]]=AL$2,100%,AVANCE[[#This Row],[BARANDA BALCON]])</f>
        <v>0</v>
      </c>
      <c r="BZ688" s="3">
        <f>+IF(AVANCE[[#This Row],[OSB EXTERIOR]]=AM$2,100%,AVANCE[[#This Row],[OSB EXTERIOR]])</f>
        <v>0</v>
      </c>
      <c r="CA688" s="3">
        <f>+IF(AVANCE[[#This Row],[SMART PANEL]]=AN$2,100%,AVANCE[[#This Row],[SMART PANEL]])</f>
        <v>0</v>
      </c>
      <c r="CB688" s="3">
        <f>+IF(AVANCE[[#This Row],[PINTURA EXTERIOR]]=AO$2,100%,AVANCE[[#This Row],[PINTURA EXTERIOR]])</f>
        <v>0</v>
      </c>
      <c r="CC688" s="3">
        <f>+IF(AVANCE[[#This Row],[ZOCALOS LOGIA]]=AP$2,100%,AVANCE[[#This Row],[ZOCALOS LOGIA]])</f>
        <v>0</v>
      </c>
      <c r="CD688" s="3">
        <f>+IF(AVANCE[[#This Row],[MOLDURAS]]=AQ$2,100%,AVANCE[[#This Row],[MOLDURAS]])</f>
        <v>0</v>
      </c>
      <c r="CE688" s="3">
        <f>+IF(AVANCE[[#This Row],[PILASTREO]]=AR$2,100%,AVANCE[[#This Row],[PILASTREO]])</f>
        <v>0</v>
      </c>
      <c r="CF688" s="3">
        <f>+IF(AVANCE[[#This Row],[CELOSIAS]]=AS$2,100%,AVANCE[[#This Row],[CELOSIAS]])</f>
        <v>0</v>
      </c>
      <c r="CG688" s="3">
        <f>+IF(AVANCE[[#This Row],[VENTANAS]]=AT$2,100%,AVANCE[[#This Row],[VENTANAS]])</f>
        <v>0</v>
      </c>
      <c r="CH688" s="3">
        <f>+IF(AVANCE[[#This Row],[PUERTAS ACCESO - LOGIA - BANO]]=AU$2,100%,AVANCE[[#This Row],[PUERTAS ACCESO - LOGIA - BANO]])</f>
        <v>0</v>
      </c>
      <c r="CI688" s="3">
        <f>+IF(AVANCE[[#This Row],[CERRADURAS]]=AV$2,100%,AVANCE[[#This Row],[CERRADURAS]])</f>
        <v>0</v>
      </c>
      <c r="CJ688" s="3">
        <f>+IF(AVANCE[[#This Row],[REVESTIMIENTO INTERIOR ZONA SECA]]=AW$2,100%,AVANCE[[#This Row],[REVESTIMIENTO INTERIOR ZONA SECA]])</f>
        <v>0</v>
      </c>
      <c r="CK688" s="3">
        <f>+IF(AVANCE[[#This Row],[REVESTIMIENTO INTERIOR ZONAS HUMEDAS]]=AX$2,100%,AVANCE[[#This Row],[REVESTIMIENTO INTERIOR ZONAS HUMEDAS]])</f>
        <v>0</v>
      </c>
      <c r="CL688" s="3">
        <f>+IF(AVANCE[[#This Row],[MEMBRANA CIELO]]=AY$2,100%,AVANCE[[#This Row],[MEMBRANA CIELO]])</f>
        <v>0</v>
      </c>
      <c r="CM688" s="3">
        <f>+IF(AVANCE[[#This Row],[LIMPIEZA FINAL]]=AZ$2,100%,AVANCE[[#This Row],[LIMPIEZA FINAL]])</f>
        <v>0</v>
      </c>
      <c r="CN688" s="3">
        <f>+IF(AVANCE[[#This Row],[PUERTAS DORMITORIO]]=BA$2,100%,AVANCE[[#This Row],[PUERTAS DORMITORIO]])</f>
        <v>0</v>
      </c>
      <c r="CO688" s="3">
        <f>+IF(AVANCE[[#This Row],[REVESTIMIENTO INTERIOR BANO]]=BB$2,100%,AVANCE[[#This Row],[REVESTIMIENTO INTERIOR BANO]])</f>
        <v>0</v>
      </c>
      <c r="CP688" s="3">
        <f>+IF(AVANCE[[#This Row],[MUEBLE LAVAPLATOS]]=BC$2,100%,AVANCE[[#This Row],[MUEBLE LAVAPLATOS]])</f>
        <v>0</v>
      </c>
      <c r="CQ688" s="3">
        <f>+IF(AVANCE[[#This Row],[IMPERMEABILIZACION BANO - COCINA LOGIA]]=BD$2,100%,AVANCE[[#This Row],[IMPERMEABILIZACION BANO - COCINA LOGIA]])</f>
        <v>0</v>
      </c>
      <c r="CR688" s="40">
        <f ca="1">+IF(AVANCE[[#This Row],[ESTADO MODULO]]="PENDIENTE",(TODAY()-AVANCE[[#This Row],[FECHA TERMINO  PLANIFICADO]]),0)</f>
        <v>0</v>
      </c>
      <c r="CS688" s="42" t="str" cm="1">
        <f t="array" ref="CS688">_xlfn.TEXTJOIN(" | ",TRUE,IF(SUMPRODUCT((BF688:CQ688&lt;1)*(PARTIDAS!$I$2:$AT$2="OBRA GRUESA"))&gt;0,"OBRA GRUESA: "&amp;_xlfn.TEXTJOIN(", ",TRUE,IF((BF688:CQ688&lt;1)*(PARTIDAS!$I$2:$AT$2="OBRA GRUESA"),PARTIDAS!$I$1:$AT$1,"")),""),IF(SUMPRODUCT((BF688:CQ688&lt;1)*(PARTIDAS!$I$2:$AT$2="SANITARIOS"))&gt;0,"SANITARIOS: "&amp;_xlfn.TEXTJOIN(", ",TRUE,IF((BF688:CQ688&lt;1)*(PARTIDAS!$I$2:$AT$2="SANITARIOS"),PARTIDAS!$I$1:$AT$1,"")),""),IF(SUMPRODUCT((BF688:CQ688&lt;1)*(PARTIDAS!$I$2:$AT$2="ELÉCTRICO"))&gt;0,"ELÉCTRICO: "&amp;_xlfn.TEXTJOIN(", ",TRUE,IF((BF688:CQ688&lt;1)*(PARTIDAS!$I$2:$AT$2="ELÉCTRICO"),PARTIDAS!$I$1:$AT$1,"")),""),IF(SUMPRODUCT((BF688:CQ688&lt;1)*(PARTIDAS!$I$2:$AT$2="TERMINACIONES"))&gt;0,"TERMINACIONES: "&amp;_xlfn.TEXTJOIN(", ",TRUE,IF((BF688:CQ688&lt;1)*(PARTIDAS!$I$2:$AT$2="TERMINACIONES"),PARTIDAS!$I$1:$AT$1,"")),""))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8" s="45" t="str" cm="1">
        <f t="array" ref="CT688">_xlfn.TEXTJOIN(", ",TRUE,IF(SUMPRODUCT((BF688:CQ688&lt;1)*(PARTIDAS!$I$2:$AT$2="OBRA GRUESA"))&gt;0,"OBRA GRUESA",""),IF(SUMPRODUCT((BF688:CQ688&lt;1)*(PARTIDAS!$I$2:$AT$2="SANITARIOS"))&gt;0,"SANITARIOS",""),IF(SUMPRODUCT((BF688:CQ688&lt;1)*(PARTIDAS!$I$2:$AT$2="ELÉCTRICO"))&gt;0,"ELÉCTRICO",""),IF(SUMPRODUCT((BF688:CQ688&lt;1)*(PARTIDAS!$I$2:$AT$2="TERMINACIONES"))&gt;0,"TERMINACIONES",""))</f>
        <v>OBRA GRUESA, SANITARIOS, ELÉCTRICO, TERMINACIONES</v>
      </c>
      <c r="CU688" s="46" cm="1">
        <f t="array" ref="CU688">SUMPRODUCT(--(BF688:CQ688&lt;1))</f>
        <v>38</v>
      </c>
    </row>
    <row r="689" spans="1:99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46181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 s="3" t="str">
        <f>+IF(AVANCE[[#This Row],[% AVANCE]]=100%,"MODULO TERMINADO",IF(AVANCE[[#This Row],[FECHA INICIO REAL]]="","MODULO NO INICIADO","PENDIENTE"))</f>
        <v>MODULO NO INICIADO</v>
      </c>
      <c r="BF689" s="3">
        <f>+IF(AVANCE[[#This Row],[VENTANAS]]=8.10810810810811%,100%,AVANCE[[#This Row],[VENTANAS]])</f>
        <v>0</v>
      </c>
      <c r="BG689" s="3">
        <f>+IF(AVANCE[[#This Row],[PISO]]=N$2,100%,AVANCE[[#This Row],[PISO]])</f>
        <v>0</v>
      </c>
      <c r="BH689" s="3">
        <f>+IF(AVANCE[[#This Row],[TABIQUES]]=O$2,100%,AVANCE[[#This Row],[TABIQUES]])</f>
        <v>0</v>
      </c>
      <c r="BI689" s="3">
        <f>+IF(AVANCE[[#This Row],[MUROS]]=P$2,100%,AVANCE[[#This Row],[MUROS]])</f>
        <v>0</v>
      </c>
      <c r="BJ689" s="3">
        <f>+IF(AVANCE[[#This Row],[CIELO]]=Q$2,100%,AVANCE[[#This Row],[CIELO]])</f>
        <v>0</v>
      </c>
      <c r="BK689" s="3">
        <f>+IF(AVANCE[[#This Row],[BALCÓN]]=R$2,100%,AVANCE[[#This Row],[BALCÓN]])</f>
        <v>0</v>
      </c>
      <c r="BL689" s="3">
        <f>+IF(AVANCE[[#This Row],[RED ALCANTARILLADO]]=U$2,100%,AVANCE[[#This Row],[RED ALCANTARILLADO]])</f>
        <v>0</v>
      </c>
      <c r="BM689" s="3">
        <f>+IF(AVANCE[[#This Row],[RED DE AGUA]]=V$2,100%,AVANCE[[#This Row],[RED DE AGUA]])</f>
        <v>0</v>
      </c>
      <c r="BN689" s="3">
        <f>+IF(AVANCE[[#This Row],[VENTILACIONES]]=W$2,100%,AVANCE[[#This Row],[VENTILACIONES]])</f>
        <v>0</v>
      </c>
      <c r="BO689" s="3">
        <f>+IF(AVANCE[[#This Row],[TINA]]=X$2,100%,AVANCE[[#This Row],[TINA]])</f>
        <v>0</v>
      </c>
      <c r="BP689" s="3">
        <f>+IF(AVANCE[[#This Row],[WC]]=Y$2,100%,AVANCE[[#This Row],[WC]])</f>
        <v>0</v>
      </c>
      <c r="BQ689" s="3">
        <f>+IF(AVANCE[[#This Row],[LAVAMANOS / LAVAPLATOS / LAVADERO]]=Z$2,100%,AVANCE[[#This Row],[LAVAMANOS / LAVAPLATOS / LAVADERO]])</f>
        <v>0</v>
      </c>
      <c r="BR689" s="3">
        <f>+IF(AVANCE[[#This Row],[CANALIZACIÓN]]=AC$2,100%,AVANCE[[#This Row],[CANALIZACIÓN]])</f>
        <v>0</v>
      </c>
      <c r="BS689" s="3">
        <f>+IF(AVANCE[[#This Row],[CABLEADO]]=AD$2,100%,AVANCE[[#This Row],[CABLEADO]])</f>
        <v>0</v>
      </c>
      <c r="BT689" s="3">
        <f>+IF(AVANCE[[#This Row],[ARTEFACTOS]]=AE$2,100%,AVANCE[[#This Row],[ARTEFACTOS]])</f>
        <v>0</v>
      </c>
      <c r="BU689" s="3">
        <f>+IF(AVANCE[[#This Row],[TABLERO]]=AF$2,100%,AVANCE[[#This Row],[TABLERO]])</f>
        <v>0</v>
      </c>
      <c r="BV689" s="3">
        <f>+IF(AVANCE[[#This Row],[CAJA PAU]]=AG$2,100%,AVANCE[[#This Row],[CAJA PAU]])</f>
        <v>0</v>
      </c>
      <c r="BW689" s="3">
        <f>+IF(AVANCE[[#This Row],[INSTALACION VINILICO]]=AJ$2,100%,AVANCE[[#This Row],[INSTALACION VINILICO]])</f>
        <v>0</v>
      </c>
      <c r="BX689" s="3">
        <f>+IF(AVANCE[[#This Row],[OSB CUBIERTA]]=AK$2,100%,AVANCE[[#This Row],[OSB CUBIERTA]])</f>
        <v>0</v>
      </c>
      <c r="BY689" s="3">
        <f>+IF(AVANCE[[#This Row],[BARANDA BALCON]]=AL$2,100%,AVANCE[[#This Row],[BARANDA BALCON]])</f>
        <v>0</v>
      </c>
      <c r="BZ689" s="3">
        <f>+IF(AVANCE[[#This Row],[OSB EXTERIOR]]=AM$2,100%,AVANCE[[#This Row],[OSB EXTERIOR]])</f>
        <v>0</v>
      </c>
      <c r="CA689" s="3">
        <f>+IF(AVANCE[[#This Row],[SMART PANEL]]=AN$2,100%,AVANCE[[#This Row],[SMART PANEL]])</f>
        <v>0</v>
      </c>
      <c r="CB689" s="3">
        <f>+IF(AVANCE[[#This Row],[PINTURA EXTERIOR]]=AO$2,100%,AVANCE[[#This Row],[PINTURA EXTERIOR]])</f>
        <v>0</v>
      </c>
      <c r="CC689" s="3">
        <f>+IF(AVANCE[[#This Row],[ZOCALOS LOGIA]]=AP$2,100%,AVANCE[[#This Row],[ZOCALOS LOGIA]])</f>
        <v>0</v>
      </c>
      <c r="CD689" s="3">
        <f>+IF(AVANCE[[#This Row],[MOLDURAS]]=AQ$2,100%,AVANCE[[#This Row],[MOLDURAS]])</f>
        <v>0</v>
      </c>
      <c r="CE689" s="3">
        <f>+IF(AVANCE[[#This Row],[PILASTREO]]=AR$2,100%,AVANCE[[#This Row],[PILASTREO]])</f>
        <v>0</v>
      </c>
      <c r="CF689" s="3">
        <f>+IF(AVANCE[[#This Row],[CELOSIAS]]=AS$2,100%,AVANCE[[#This Row],[CELOSIAS]])</f>
        <v>0</v>
      </c>
      <c r="CG689" s="3">
        <f>+IF(AVANCE[[#This Row],[VENTANAS]]=AT$2,100%,AVANCE[[#This Row],[VENTANAS]])</f>
        <v>0</v>
      </c>
      <c r="CH689" s="3">
        <f>+IF(AVANCE[[#This Row],[PUERTAS ACCESO - LOGIA - BANO]]=AU$2,100%,AVANCE[[#This Row],[PUERTAS ACCESO - LOGIA - BANO]])</f>
        <v>0</v>
      </c>
      <c r="CI689" s="3">
        <f>+IF(AVANCE[[#This Row],[CERRADURAS]]=AV$2,100%,AVANCE[[#This Row],[CERRADURAS]])</f>
        <v>0</v>
      </c>
      <c r="CJ689" s="3">
        <f>+IF(AVANCE[[#This Row],[REVESTIMIENTO INTERIOR ZONA SECA]]=AW$2,100%,AVANCE[[#This Row],[REVESTIMIENTO INTERIOR ZONA SECA]])</f>
        <v>0</v>
      </c>
      <c r="CK689" s="3">
        <f>+IF(AVANCE[[#This Row],[REVESTIMIENTO INTERIOR ZONAS HUMEDAS]]=AX$2,100%,AVANCE[[#This Row],[REVESTIMIENTO INTERIOR ZONAS HUMEDAS]])</f>
        <v>0</v>
      </c>
      <c r="CL689" s="3">
        <f>+IF(AVANCE[[#This Row],[MEMBRANA CIELO]]=AY$2,100%,AVANCE[[#This Row],[MEMBRANA CIELO]])</f>
        <v>0</v>
      </c>
      <c r="CM689" s="3">
        <f>+IF(AVANCE[[#This Row],[LIMPIEZA FINAL]]=AZ$2,100%,AVANCE[[#This Row],[LIMPIEZA FINAL]])</f>
        <v>0</v>
      </c>
      <c r="CN689" s="3">
        <f>+IF(AVANCE[[#This Row],[PUERTAS DORMITORIO]]=BA$2,100%,AVANCE[[#This Row],[PUERTAS DORMITORIO]])</f>
        <v>0</v>
      </c>
      <c r="CO689" s="3">
        <f>+IF(AVANCE[[#This Row],[REVESTIMIENTO INTERIOR BANO]]=BB$2,100%,AVANCE[[#This Row],[REVESTIMIENTO INTERIOR BANO]])</f>
        <v>0</v>
      </c>
      <c r="CP689" s="3">
        <f>+IF(AVANCE[[#This Row],[MUEBLE LAVAPLATOS]]=BC$2,100%,AVANCE[[#This Row],[MUEBLE LAVAPLATOS]])</f>
        <v>0</v>
      </c>
      <c r="CQ689" s="3">
        <f>+IF(AVANCE[[#This Row],[IMPERMEABILIZACION BANO - COCINA LOGIA]]=BD$2,100%,AVANCE[[#This Row],[IMPERMEABILIZACION BANO - COCINA LOGIA]])</f>
        <v>0</v>
      </c>
      <c r="CR689" s="40">
        <f ca="1">+IF(AVANCE[[#This Row],[ESTADO MODULO]]="PENDIENTE",(TODAY()-AVANCE[[#This Row],[FECHA TERMINO  PLANIFICADO]]),0)</f>
        <v>0</v>
      </c>
      <c r="CS689" s="42" t="str" cm="1">
        <f t="array" ref="CS689">_xlfn.TEXTJOIN(" | ",TRUE,IF(SUMPRODUCT((BF689:CQ689&lt;1)*(PARTIDAS!$I$2:$AT$2="OBRA GRUESA"))&gt;0,"OBRA GRUESA: "&amp;_xlfn.TEXTJOIN(", ",TRUE,IF((BF689:CQ689&lt;1)*(PARTIDAS!$I$2:$AT$2="OBRA GRUESA"),PARTIDAS!$I$1:$AT$1,"")),""),IF(SUMPRODUCT((BF689:CQ689&lt;1)*(PARTIDAS!$I$2:$AT$2="SANITARIOS"))&gt;0,"SANITARIOS: "&amp;_xlfn.TEXTJOIN(", ",TRUE,IF((BF689:CQ689&lt;1)*(PARTIDAS!$I$2:$AT$2="SANITARIOS"),PARTIDAS!$I$1:$AT$1,"")),""),IF(SUMPRODUCT((BF689:CQ689&lt;1)*(PARTIDAS!$I$2:$AT$2="ELÉCTRICO"))&gt;0,"ELÉCTRICO: "&amp;_xlfn.TEXTJOIN(", ",TRUE,IF((BF689:CQ689&lt;1)*(PARTIDAS!$I$2:$AT$2="ELÉCTRICO"),PARTIDAS!$I$1:$AT$1,"")),""),IF(SUMPRODUCT((BF689:CQ689&lt;1)*(PARTIDAS!$I$2:$AT$2="TERMINACIONES"))&gt;0,"TERMINACIONES: "&amp;_xlfn.TEXTJOIN(", ",TRUE,IF((BF689:CQ689&lt;1)*(PARTIDAS!$I$2:$AT$2="TERMINACIONES"),PARTIDAS!$I$1:$AT$1,"")),""))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89" s="45" t="str" cm="1">
        <f t="array" ref="CT689">_xlfn.TEXTJOIN(", ",TRUE,IF(SUMPRODUCT((BF689:CQ689&lt;1)*(PARTIDAS!$I$2:$AT$2="OBRA GRUESA"))&gt;0,"OBRA GRUESA",""),IF(SUMPRODUCT((BF689:CQ689&lt;1)*(PARTIDAS!$I$2:$AT$2="SANITARIOS"))&gt;0,"SANITARIOS",""),IF(SUMPRODUCT((BF689:CQ689&lt;1)*(PARTIDAS!$I$2:$AT$2="ELÉCTRICO"))&gt;0,"ELÉCTRICO",""),IF(SUMPRODUCT((BF689:CQ689&lt;1)*(PARTIDAS!$I$2:$AT$2="TERMINACIONES"))&gt;0,"TERMINACIONES",""))</f>
        <v>OBRA GRUESA, SANITARIOS, ELÉCTRICO, TERMINACIONES</v>
      </c>
      <c r="CU689" s="46" cm="1">
        <f t="array" ref="CU689">SUMPRODUCT(--(BF689:CQ689&lt;1))</f>
        <v>38</v>
      </c>
    </row>
    <row r="690" spans="1:99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46181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 s="3" t="str">
        <f>+IF(AVANCE[[#This Row],[% AVANCE]]=100%,"MODULO TERMINADO",IF(AVANCE[[#This Row],[FECHA INICIO REAL]]="","MODULO NO INICIADO","PENDIENTE"))</f>
        <v>MODULO NO INICIADO</v>
      </c>
      <c r="BF690" s="3">
        <f>+IF(AVANCE[[#This Row],[VENTANAS]]=8.10810810810811%,100%,AVANCE[[#This Row],[VENTANAS]])</f>
        <v>0</v>
      </c>
      <c r="BG690" s="3">
        <f>+IF(AVANCE[[#This Row],[PISO]]=N$2,100%,AVANCE[[#This Row],[PISO]])</f>
        <v>0</v>
      </c>
      <c r="BH690" s="3">
        <f>+IF(AVANCE[[#This Row],[TABIQUES]]=O$2,100%,AVANCE[[#This Row],[TABIQUES]])</f>
        <v>0</v>
      </c>
      <c r="BI690" s="3">
        <f>+IF(AVANCE[[#This Row],[MUROS]]=P$2,100%,AVANCE[[#This Row],[MUROS]])</f>
        <v>0</v>
      </c>
      <c r="BJ690" s="3">
        <f>+IF(AVANCE[[#This Row],[CIELO]]=Q$2,100%,AVANCE[[#This Row],[CIELO]])</f>
        <v>0</v>
      </c>
      <c r="BK690" s="3">
        <f>+IF(AVANCE[[#This Row],[BALCÓN]]=R$2,100%,AVANCE[[#This Row],[BALCÓN]])</f>
        <v>0</v>
      </c>
      <c r="BL690" s="3">
        <f>+IF(AVANCE[[#This Row],[RED ALCANTARILLADO]]=U$2,100%,AVANCE[[#This Row],[RED ALCANTARILLADO]])</f>
        <v>0</v>
      </c>
      <c r="BM690" s="3">
        <f>+IF(AVANCE[[#This Row],[RED DE AGUA]]=V$2,100%,AVANCE[[#This Row],[RED DE AGUA]])</f>
        <v>0</v>
      </c>
      <c r="BN690" s="3">
        <f>+IF(AVANCE[[#This Row],[VENTILACIONES]]=W$2,100%,AVANCE[[#This Row],[VENTILACIONES]])</f>
        <v>0</v>
      </c>
      <c r="BO690" s="3">
        <f>+IF(AVANCE[[#This Row],[TINA]]=X$2,100%,AVANCE[[#This Row],[TINA]])</f>
        <v>0</v>
      </c>
      <c r="BP690" s="3">
        <f>+IF(AVANCE[[#This Row],[WC]]=Y$2,100%,AVANCE[[#This Row],[WC]])</f>
        <v>0</v>
      </c>
      <c r="BQ690" s="3">
        <f>+IF(AVANCE[[#This Row],[LAVAMANOS / LAVAPLATOS / LAVADERO]]=Z$2,100%,AVANCE[[#This Row],[LAVAMANOS / LAVAPLATOS / LAVADERO]])</f>
        <v>0</v>
      </c>
      <c r="BR690" s="3">
        <f>+IF(AVANCE[[#This Row],[CANALIZACIÓN]]=AC$2,100%,AVANCE[[#This Row],[CANALIZACIÓN]])</f>
        <v>0</v>
      </c>
      <c r="BS690" s="3">
        <f>+IF(AVANCE[[#This Row],[CABLEADO]]=AD$2,100%,AVANCE[[#This Row],[CABLEADO]])</f>
        <v>0</v>
      </c>
      <c r="BT690" s="3">
        <f>+IF(AVANCE[[#This Row],[ARTEFACTOS]]=AE$2,100%,AVANCE[[#This Row],[ARTEFACTOS]])</f>
        <v>0</v>
      </c>
      <c r="BU690" s="3">
        <f>+IF(AVANCE[[#This Row],[TABLERO]]=AF$2,100%,AVANCE[[#This Row],[TABLERO]])</f>
        <v>0</v>
      </c>
      <c r="BV690" s="3">
        <f>+IF(AVANCE[[#This Row],[CAJA PAU]]=AG$2,100%,AVANCE[[#This Row],[CAJA PAU]])</f>
        <v>0</v>
      </c>
      <c r="BW690" s="3">
        <f>+IF(AVANCE[[#This Row],[INSTALACION VINILICO]]=AJ$2,100%,AVANCE[[#This Row],[INSTALACION VINILICO]])</f>
        <v>0</v>
      </c>
      <c r="BX690" s="3">
        <f>+IF(AVANCE[[#This Row],[OSB CUBIERTA]]=AK$2,100%,AVANCE[[#This Row],[OSB CUBIERTA]])</f>
        <v>0</v>
      </c>
      <c r="BY690" s="3">
        <f>+IF(AVANCE[[#This Row],[BARANDA BALCON]]=AL$2,100%,AVANCE[[#This Row],[BARANDA BALCON]])</f>
        <v>0</v>
      </c>
      <c r="BZ690" s="3">
        <f>+IF(AVANCE[[#This Row],[OSB EXTERIOR]]=AM$2,100%,AVANCE[[#This Row],[OSB EXTERIOR]])</f>
        <v>0</v>
      </c>
      <c r="CA690" s="3">
        <f>+IF(AVANCE[[#This Row],[SMART PANEL]]=AN$2,100%,AVANCE[[#This Row],[SMART PANEL]])</f>
        <v>0</v>
      </c>
      <c r="CB690" s="3">
        <f>+IF(AVANCE[[#This Row],[PINTURA EXTERIOR]]=AO$2,100%,AVANCE[[#This Row],[PINTURA EXTERIOR]])</f>
        <v>0</v>
      </c>
      <c r="CC690" s="3">
        <f>+IF(AVANCE[[#This Row],[ZOCALOS LOGIA]]=AP$2,100%,AVANCE[[#This Row],[ZOCALOS LOGIA]])</f>
        <v>0</v>
      </c>
      <c r="CD690" s="3">
        <f>+IF(AVANCE[[#This Row],[MOLDURAS]]=AQ$2,100%,AVANCE[[#This Row],[MOLDURAS]])</f>
        <v>0</v>
      </c>
      <c r="CE690" s="3">
        <f>+IF(AVANCE[[#This Row],[PILASTREO]]=AR$2,100%,AVANCE[[#This Row],[PILASTREO]])</f>
        <v>0</v>
      </c>
      <c r="CF690" s="3">
        <f>+IF(AVANCE[[#This Row],[CELOSIAS]]=AS$2,100%,AVANCE[[#This Row],[CELOSIAS]])</f>
        <v>0</v>
      </c>
      <c r="CG690" s="3">
        <f>+IF(AVANCE[[#This Row],[VENTANAS]]=AT$2,100%,AVANCE[[#This Row],[VENTANAS]])</f>
        <v>0</v>
      </c>
      <c r="CH690" s="3">
        <f>+IF(AVANCE[[#This Row],[PUERTAS ACCESO - LOGIA - BANO]]=AU$2,100%,AVANCE[[#This Row],[PUERTAS ACCESO - LOGIA - BANO]])</f>
        <v>0</v>
      </c>
      <c r="CI690" s="3">
        <f>+IF(AVANCE[[#This Row],[CERRADURAS]]=AV$2,100%,AVANCE[[#This Row],[CERRADURAS]])</f>
        <v>0</v>
      </c>
      <c r="CJ690" s="3">
        <f>+IF(AVANCE[[#This Row],[REVESTIMIENTO INTERIOR ZONA SECA]]=AW$2,100%,AVANCE[[#This Row],[REVESTIMIENTO INTERIOR ZONA SECA]])</f>
        <v>0</v>
      </c>
      <c r="CK690" s="3">
        <f>+IF(AVANCE[[#This Row],[REVESTIMIENTO INTERIOR ZONAS HUMEDAS]]=AX$2,100%,AVANCE[[#This Row],[REVESTIMIENTO INTERIOR ZONAS HUMEDAS]])</f>
        <v>0</v>
      </c>
      <c r="CL690" s="3">
        <f>+IF(AVANCE[[#This Row],[MEMBRANA CIELO]]=AY$2,100%,AVANCE[[#This Row],[MEMBRANA CIELO]])</f>
        <v>0</v>
      </c>
      <c r="CM690" s="3">
        <f>+IF(AVANCE[[#This Row],[LIMPIEZA FINAL]]=AZ$2,100%,AVANCE[[#This Row],[LIMPIEZA FINAL]])</f>
        <v>0</v>
      </c>
      <c r="CN690" s="3">
        <f>+IF(AVANCE[[#This Row],[PUERTAS DORMITORIO]]=BA$2,100%,AVANCE[[#This Row],[PUERTAS DORMITORIO]])</f>
        <v>0</v>
      </c>
      <c r="CO690" s="3">
        <f>+IF(AVANCE[[#This Row],[REVESTIMIENTO INTERIOR BANO]]=BB$2,100%,AVANCE[[#This Row],[REVESTIMIENTO INTERIOR BANO]])</f>
        <v>0</v>
      </c>
      <c r="CP690" s="3">
        <f>+IF(AVANCE[[#This Row],[MUEBLE LAVAPLATOS]]=BC$2,100%,AVANCE[[#This Row],[MUEBLE LAVAPLATOS]])</f>
        <v>0</v>
      </c>
      <c r="CQ690" s="3">
        <f>+IF(AVANCE[[#This Row],[IMPERMEABILIZACION BANO - COCINA LOGIA]]=BD$2,100%,AVANCE[[#This Row],[IMPERMEABILIZACION BANO - COCINA LOGIA]])</f>
        <v>0</v>
      </c>
      <c r="CR690" s="40">
        <f ca="1">+IF(AVANCE[[#This Row],[ESTADO MODULO]]="PENDIENTE",(TODAY()-AVANCE[[#This Row],[FECHA TERMINO  PLANIFICADO]]),0)</f>
        <v>0</v>
      </c>
      <c r="CS690" s="42" t="str" cm="1">
        <f t="array" ref="CS690">_xlfn.TEXTJOIN(" | ",TRUE,IF(SUMPRODUCT((BF690:CQ690&lt;1)*(PARTIDAS!$I$2:$AT$2="OBRA GRUESA"))&gt;0,"OBRA GRUESA: "&amp;_xlfn.TEXTJOIN(", ",TRUE,IF((BF690:CQ690&lt;1)*(PARTIDAS!$I$2:$AT$2="OBRA GRUESA"),PARTIDAS!$I$1:$AT$1,"")),""),IF(SUMPRODUCT((BF690:CQ690&lt;1)*(PARTIDAS!$I$2:$AT$2="SANITARIOS"))&gt;0,"SANITARIOS: "&amp;_xlfn.TEXTJOIN(", ",TRUE,IF((BF690:CQ690&lt;1)*(PARTIDAS!$I$2:$AT$2="SANITARIOS"),PARTIDAS!$I$1:$AT$1,"")),""),IF(SUMPRODUCT((BF690:CQ690&lt;1)*(PARTIDAS!$I$2:$AT$2="ELÉCTRICO"))&gt;0,"ELÉCTRICO: "&amp;_xlfn.TEXTJOIN(", ",TRUE,IF((BF690:CQ690&lt;1)*(PARTIDAS!$I$2:$AT$2="ELÉCTRICO"),PARTIDAS!$I$1:$AT$1,"")),""),IF(SUMPRODUCT((BF690:CQ690&lt;1)*(PARTIDAS!$I$2:$AT$2="TERMINACIONES"))&gt;0,"TERMINACIONES: "&amp;_xlfn.TEXTJOIN(", ",TRUE,IF((BF690:CQ690&lt;1)*(PARTIDAS!$I$2:$AT$2="TERMINACIONES"),PARTIDAS!$I$1:$AT$1,"")),""))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0" s="45" t="str" cm="1">
        <f t="array" ref="CT690">_xlfn.TEXTJOIN(", ",TRUE,IF(SUMPRODUCT((BF690:CQ690&lt;1)*(PARTIDAS!$I$2:$AT$2="OBRA GRUESA"))&gt;0,"OBRA GRUESA",""),IF(SUMPRODUCT((BF690:CQ690&lt;1)*(PARTIDAS!$I$2:$AT$2="SANITARIOS"))&gt;0,"SANITARIOS",""),IF(SUMPRODUCT((BF690:CQ690&lt;1)*(PARTIDAS!$I$2:$AT$2="ELÉCTRICO"))&gt;0,"ELÉCTRICO",""),IF(SUMPRODUCT((BF690:CQ690&lt;1)*(PARTIDAS!$I$2:$AT$2="TERMINACIONES"))&gt;0,"TERMINACIONES",""))</f>
        <v>OBRA GRUESA, SANITARIOS, ELÉCTRICO, TERMINACIONES</v>
      </c>
      <c r="CU690" s="46" cm="1">
        <f t="array" ref="CU690">SUMPRODUCT(--(BF690:CQ690&lt;1))</f>
        <v>38</v>
      </c>
    </row>
    <row r="691" spans="1:99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46181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 s="3" t="str">
        <f>+IF(AVANCE[[#This Row],[% AVANCE]]=100%,"MODULO TERMINADO",IF(AVANCE[[#This Row],[FECHA INICIO REAL]]="","MODULO NO INICIADO","PENDIENTE"))</f>
        <v>MODULO NO INICIADO</v>
      </c>
      <c r="BF691" s="3">
        <f>+IF(AVANCE[[#This Row],[VENTANAS]]=8.10810810810811%,100%,AVANCE[[#This Row],[VENTANAS]])</f>
        <v>0</v>
      </c>
      <c r="BG691" s="3">
        <f>+IF(AVANCE[[#This Row],[PISO]]=N$2,100%,AVANCE[[#This Row],[PISO]])</f>
        <v>0</v>
      </c>
      <c r="BH691" s="3">
        <f>+IF(AVANCE[[#This Row],[TABIQUES]]=O$2,100%,AVANCE[[#This Row],[TABIQUES]])</f>
        <v>0</v>
      </c>
      <c r="BI691" s="3">
        <f>+IF(AVANCE[[#This Row],[MUROS]]=P$2,100%,AVANCE[[#This Row],[MUROS]])</f>
        <v>0</v>
      </c>
      <c r="BJ691" s="3">
        <f>+IF(AVANCE[[#This Row],[CIELO]]=Q$2,100%,AVANCE[[#This Row],[CIELO]])</f>
        <v>0</v>
      </c>
      <c r="BK691" s="3">
        <f>+IF(AVANCE[[#This Row],[BALCÓN]]=R$2,100%,AVANCE[[#This Row],[BALCÓN]])</f>
        <v>0</v>
      </c>
      <c r="BL691" s="3">
        <f>+IF(AVANCE[[#This Row],[RED ALCANTARILLADO]]=U$2,100%,AVANCE[[#This Row],[RED ALCANTARILLADO]])</f>
        <v>0</v>
      </c>
      <c r="BM691" s="3">
        <f>+IF(AVANCE[[#This Row],[RED DE AGUA]]=V$2,100%,AVANCE[[#This Row],[RED DE AGUA]])</f>
        <v>0</v>
      </c>
      <c r="BN691" s="3">
        <f>+IF(AVANCE[[#This Row],[VENTILACIONES]]=W$2,100%,AVANCE[[#This Row],[VENTILACIONES]])</f>
        <v>0</v>
      </c>
      <c r="BO691" s="3">
        <f>+IF(AVANCE[[#This Row],[TINA]]=X$2,100%,AVANCE[[#This Row],[TINA]])</f>
        <v>0</v>
      </c>
      <c r="BP691" s="3">
        <f>+IF(AVANCE[[#This Row],[WC]]=Y$2,100%,AVANCE[[#This Row],[WC]])</f>
        <v>0</v>
      </c>
      <c r="BQ691" s="3">
        <f>+IF(AVANCE[[#This Row],[LAVAMANOS / LAVAPLATOS / LAVADERO]]=Z$2,100%,AVANCE[[#This Row],[LAVAMANOS / LAVAPLATOS / LAVADERO]])</f>
        <v>0</v>
      </c>
      <c r="BR691" s="3">
        <f>+IF(AVANCE[[#This Row],[CANALIZACIÓN]]=AC$2,100%,AVANCE[[#This Row],[CANALIZACIÓN]])</f>
        <v>0</v>
      </c>
      <c r="BS691" s="3">
        <f>+IF(AVANCE[[#This Row],[CABLEADO]]=AD$2,100%,AVANCE[[#This Row],[CABLEADO]])</f>
        <v>0</v>
      </c>
      <c r="BT691" s="3">
        <f>+IF(AVANCE[[#This Row],[ARTEFACTOS]]=AE$2,100%,AVANCE[[#This Row],[ARTEFACTOS]])</f>
        <v>0</v>
      </c>
      <c r="BU691" s="3">
        <f>+IF(AVANCE[[#This Row],[TABLERO]]=AF$2,100%,AVANCE[[#This Row],[TABLERO]])</f>
        <v>0</v>
      </c>
      <c r="BV691" s="3">
        <f>+IF(AVANCE[[#This Row],[CAJA PAU]]=AG$2,100%,AVANCE[[#This Row],[CAJA PAU]])</f>
        <v>0</v>
      </c>
      <c r="BW691" s="3">
        <f>+IF(AVANCE[[#This Row],[INSTALACION VINILICO]]=AJ$2,100%,AVANCE[[#This Row],[INSTALACION VINILICO]])</f>
        <v>0</v>
      </c>
      <c r="BX691" s="3">
        <f>+IF(AVANCE[[#This Row],[OSB CUBIERTA]]=AK$2,100%,AVANCE[[#This Row],[OSB CUBIERTA]])</f>
        <v>0</v>
      </c>
      <c r="BY691" s="3">
        <f>+IF(AVANCE[[#This Row],[BARANDA BALCON]]=AL$2,100%,AVANCE[[#This Row],[BARANDA BALCON]])</f>
        <v>0</v>
      </c>
      <c r="BZ691" s="3">
        <f>+IF(AVANCE[[#This Row],[OSB EXTERIOR]]=AM$2,100%,AVANCE[[#This Row],[OSB EXTERIOR]])</f>
        <v>0</v>
      </c>
      <c r="CA691" s="3">
        <f>+IF(AVANCE[[#This Row],[SMART PANEL]]=AN$2,100%,AVANCE[[#This Row],[SMART PANEL]])</f>
        <v>0</v>
      </c>
      <c r="CB691" s="3">
        <f>+IF(AVANCE[[#This Row],[PINTURA EXTERIOR]]=AO$2,100%,AVANCE[[#This Row],[PINTURA EXTERIOR]])</f>
        <v>0</v>
      </c>
      <c r="CC691" s="3">
        <f>+IF(AVANCE[[#This Row],[ZOCALOS LOGIA]]=AP$2,100%,AVANCE[[#This Row],[ZOCALOS LOGIA]])</f>
        <v>0</v>
      </c>
      <c r="CD691" s="3">
        <f>+IF(AVANCE[[#This Row],[MOLDURAS]]=AQ$2,100%,AVANCE[[#This Row],[MOLDURAS]])</f>
        <v>0</v>
      </c>
      <c r="CE691" s="3">
        <f>+IF(AVANCE[[#This Row],[PILASTREO]]=AR$2,100%,AVANCE[[#This Row],[PILASTREO]])</f>
        <v>0</v>
      </c>
      <c r="CF691" s="3">
        <f>+IF(AVANCE[[#This Row],[CELOSIAS]]=AS$2,100%,AVANCE[[#This Row],[CELOSIAS]])</f>
        <v>0</v>
      </c>
      <c r="CG691" s="3">
        <f>+IF(AVANCE[[#This Row],[VENTANAS]]=AT$2,100%,AVANCE[[#This Row],[VENTANAS]])</f>
        <v>0</v>
      </c>
      <c r="CH691" s="3">
        <f>+IF(AVANCE[[#This Row],[PUERTAS ACCESO - LOGIA - BANO]]=AU$2,100%,AVANCE[[#This Row],[PUERTAS ACCESO - LOGIA - BANO]])</f>
        <v>0</v>
      </c>
      <c r="CI691" s="3">
        <f>+IF(AVANCE[[#This Row],[CERRADURAS]]=AV$2,100%,AVANCE[[#This Row],[CERRADURAS]])</f>
        <v>0</v>
      </c>
      <c r="CJ691" s="3">
        <f>+IF(AVANCE[[#This Row],[REVESTIMIENTO INTERIOR ZONA SECA]]=AW$2,100%,AVANCE[[#This Row],[REVESTIMIENTO INTERIOR ZONA SECA]])</f>
        <v>0</v>
      </c>
      <c r="CK691" s="3">
        <f>+IF(AVANCE[[#This Row],[REVESTIMIENTO INTERIOR ZONAS HUMEDAS]]=AX$2,100%,AVANCE[[#This Row],[REVESTIMIENTO INTERIOR ZONAS HUMEDAS]])</f>
        <v>0</v>
      </c>
      <c r="CL691" s="3">
        <f>+IF(AVANCE[[#This Row],[MEMBRANA CIELO]]=AY$2,100%,AVANCE[[#This Row],[MEMBRANA CIELO]])</f>
        <v>0</v>
      </c>
      <c r="CM691" s="3">
        <f>+IF(AVANCE[[#This Row],[LIMPIEZA FINAL]]=AZ$2,100%,AVANCE[[#This Row],[LIMPIEZA FINAL]])</f>
        <v>0</v>
      </c>
      <c r="CN691" s="3">
        <f>+IF(AVANCE[[#This Row],[PUERTAS DORMITORIO]]=BA$2,100%,AVANCE[[#This Row],[PUERTAS DORMITORIO]])</f>
        <v>0</v>
      </c>
      <c r="CO691" s="3">
        <f>+IF(AVANCE[[#This Row],[REVESTIMIENTO INTERIOR BANO]]=BB$2,100%,AVANCE[[#This Row],[REVESTIMIENTO INTERIOR BANO]])</f>
        <v>0</v>
      </c>
      <c r="CP691" s="3">
        <f>+IF(AVANCE[[#This Row],[MUEBLE LAVAPLATOS]]=BC$2,100%,AVANCE[[#This Row],[MUEBLE LAVAPLATOS]])</f>
        <v>0</v>
      </c>
      <c r="CQ691" s="3">
        <f>+IF(AVANCE[[#This Row],[IMPERMEABILIZACION BANO - COCINA LOGIA]]=BD$2,100%,AVANCE[[#This Row],[IMPERMEABILIZACION BANO - COCINA LOGIA]])</f>
        <v>0</v>
      </c>
      <c r="CR691" s="40">
        <f ca="1">+IF(AVANCE[[#This Row],[ESTADO MODULO]]="PENDIENTE",(TODAY()-AVANCE[[#This Row],[FECHA TERMINO  PLANIFICADO]]),0)</f>
        <v>0</v>
      </c>
      <c r="CS691" s="42" t="str" cm="1">
        <f t="array" ref="CS691">_xlfn.TEXTJOIN(" | ",TRUE,IF(SUMPRODUCT((BF691:CQ691&lt;1)*(PARTIDAS!$I$2:$AT$2="OBRA GRUESA"))&gt;0,"OBRA GRUESA: "&amp;_xlfn.TEXTJOIN(", ",TRUE,IF((BF691:CQ691&lt;1)*(PARTIDAS!$I$2:$AT$2="OBRA GRUESA"),PARTIDAS!$I$1:$AT$1,"")),""),IF(SUMPRODUCT((BF691:CQ691&lt;1)*(PARTIDAS!$I$2:$AT$2="SANITARIOS"))&gt;0,"SANITARIOS: "&amp;_xlfn.TEXTJOIN(", ",TRUE,IF((BF691:CQ691&lt;1)*(PARTIDAS!$I$2:$AT$2="SANITARIOS"),PARTIDAS!$I$1:$AT$1,"")),""),IF(SUMPRODUCT((BF691:CQ691&lt;1)*(PARTIDAS!$I$2:$AT$2="ELÉCTRICO"))&gt;0,"ELÉCTRICO: "&amp;_xlfn.TEXTJOIN(", ",TRUE,IF((BF691:CQ691&lt;1)*(PARTIDAS!$I$2:$AT$2="ELÉCTRICO"),PARTIDAS!$I$1:$AT$1,"")),""),IF(SUMPRODUCT((BF691:CQ691&lt;1)*(PARTIDAS!$I$2:$AT$2="TERMINACIONES"))&gt;0,"TERMINACIONES: "&amp;_xlfn.TEXTJOIN(", ",TRUE,IF((BF691:CQ691&lt;1)*(PARTIDAS!$I$2:$AT$2="TERMINACIONES"),PARTIDAS!$I$1:$AT$1,"")),""))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1" s="45" t="str" cm="1">
        <f t="array" ref="CT691">_xlfn.TEXTJOIN(", ",TRUE,IF(SUMPRODUCT((BF691:CQ691&lt;1)*(PARTIDAS!$I$2:$AT$2="OBRA GRUESA"))&gt;0,"OBRA GRUESA",""),IF(SUMPRODUCT((BF691:CQ691&lt;1)*(PARTIDAS!$I$2:$AT$2="SANITARIOS"))&gt;0,"SANITARIOS",""),IF(SUMPRODUCT((BF691:CQ691&lt;1)*(PARTIDAS!$I$2:$AT$2="ELÉCTRICO"))&gt;0,"ELÉCTRICO",""),IF(SUMPRODUCT((BF691:CQ691&lt;1)*(PARTIDAS!$I$2:$AT$2="TERMINACIONES"))&gt;0,"TERMINACIONES",""))</f>
        <v>OBRA GRUESA, SANITARIOS, ELÉCTRICO, TERMINACIONES</v>
      </c>
      <c r="CU691" s="46" cm="1">
        <f t="array" ref="CU691">SUMPRODUCT(--(BF691:CQ691&lt;1))</f>
        <v>38</v>
      </c>
    </row>
    <row r="692" spans="1:99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46181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 s="3" t="str">
        <f>+IF(AVANCE[[#This Row],[% AVANCE]]=100%,"MODULO TERMINADO",IF(AVANCE[[#This Row],[FECHA INICIO REAL]]="","MODULO NO INICIADO","PENDIENTE"))</f>
        <v>MODULO NO INICIADO</v>
      </c>
      <c r="BF692" s="3">
        <f>+IF(AVANCE[[#This Row],[VENTANAS]]=8.10810810810811%,100%,AVANCE[[#This Row],[VENTANAS]])</f>
        <v>0</v>
      </c>
      <c r="BG692" s="3">
        <f>+IF(AVANCE[[#This Row],[PISO]]=N$2,100%,AVANCE[[#This Row],[PISO]])</f>
        <v>0</v>
      </c>
      <c r="BH692" s="3">
        <f>+IF(AVANCE[[#This Row],[TABIQUES]]=O$2,100%,AVANCE[[#This Row],[TABIQUES]])</f>
        <v>0</v>
      </c>
      <c r="BI692" s="3">
        <f>+IF(AVANCE[[#This Row],[MUROS]]=P$2,100%,AVANCE[[#This Row],[MUROS]])</f>
        <v>0</v>
      </c>
      <c r="BJ692" s="3">
        <f>+IF(AVANCE[[#This Row],[CIELO]]=Q$2,100%,AVANCE[[#This Row],[CIELO]])</f>
        <v>0</v>
      </c>
      <c r="BK692" s="3">
        <f>+IF(AVANCE[[#This Row],[BALCÓN]]=R$2,100%,AVANCE[[#This Row],[BALCÓN]])</f>
        <v>0</v>
      </c>
      <c r="BL692" s="3">
        <f>+IF(AVANCE[[#This Row],[RED ALCANTARILLADO]]=U$2,100%,AVANCE[[#This Row],[RED ALCANTARILLADO]])</f>
        <v>0</v>
      </c>
      <c r="BM692" s="3">
        <f>+IF(AVANCE[[#This Row],[RED DE AGUA]]=V$2,100%,AVANCE[[#This Row],[RED DE AGUA]])</f>
        <v>0</v>
      </c>
      <c r="BN692" s="3">
        <f>+IF(AVANCE[[#This Row],[VENTILACIONES]]=W$2,100%,AVANCE[[#This Row],[VENTILACIONES]])</f>
        <v>0</v>
      </c>
      <c r="BO692" s="3">
        <f>+IF(AVANCE[[#This Row],[TINA]]=X$2,100%,AVANCE[[#This Row],[TINA]])</f>
        <v>0</v>
      </c>
      <c r="BP692" s="3">
        <f>+IF(AVANCE[[#This Row],[WC]]=Y$2,100%,AVANCE[[#This Row],[WC]])</f>
        <v>0</v>
      </c>
      <c r="BQ692" s="3">
        <f>+IF(AVANCE[[#This Row],[LAVAMANOS / LAVAPLATOS / LAVADERO]]=Z$2,100%,AVANCE[[#This Row],[LAVAMANOS / LAVAPLATOS / LAVADERO]])</f>
        <v>0</v>
      </c>
      <c r="BR692" s="3">
        <f>+IF(AVANCE[[#This Row],[CANALIZACIÓN]]=AC$2,100%,AVANCE[[#This Row],[CANALIZACIÓN]])</f>
        <v>0</v>
      </c>
      <c r="BS692" s="3">
        <f>+IF(AVANCE[[#This Row],[CABLEADO]]=AD$2,100%,AVANCE[[#This Row],[CABLEADO]])</f>
        <v>0</v>
      </c>
      <c r="BT692" s="3">
        <f>+IF(AVANCE[[#This Row],[ARTEFACTOS]]=AE$2,100%,AVANCE[[#This Row],[ARTEFACTOS]])</f>
        <v>0</v>
      </c>
      <c r="BU692" s="3">
        <f>+IF(AVANCE[[#This Row],[TABLERO]]=AF$2,100%,AVANCE[[#This Row],[TABLERO]])</f>
        <v>0</v>
      </c>
      <c r="BV692" s="3">
        <f>+IF(AVANCE[[#This Row],[CAJA PAU]]=AG$2,100%,AVANCE[[#This Row],[CAJA PAU]])</f>
        <v>0</v>
      </c>
      <c r="BW692" s="3">
        <f>+IF(AVANCE[[#This Row],[INSTALACION VINILICO]]=AJ$2,100%,AVANCE[[#This Row],[INSTALACION VINILICO]])</f>
        <v>0</v>
      </c>
      <c r="BX692" s="3">
        <f>+IF(AVANCE[[#This Row],[OSB CUBIERTA]]=AK$2,100%,AVANCE[[#This Row],[OSB CUBIERTA]])</f>
        <v>0</v>
      </c>
      <c r="BY692" s="3">
        <f>+IF(AVANCE[[#This Row],[BARANDA BALCON]]=AL$2,100%,AVANCE[[#This Row],[BARANDA BALCON]])</f>
        <v>0</v>
      </c>
      <c r="BZ692" s="3">
        <f>+IF(AVANCE[[#This Row],[OSB EXTERIOR]]=AM$2,100%,AVANCE[[#This Row],[OSB EXTERIOR]])</f>
        <v>0</v>
      </c>
      <c r="CA692" s="3">
        <f>+IF(AVANCE[[#This Row],[SMART PANEL]]=AN$2,100%,AVANCE[[#This Row],[SMART PANEL]])</f>
        <v>0</v>
      </c>
      <c r="CB692" s="3">
        <f>+IF(AVANCE[[#This Row],[PINTURA EXTERIOR]]=AO$2,100%,AVANCE[[#This Row],[PINTURA EXTERIOR]])</f>
        <v>0</v>
      </c>
      <c r="CC692" s="3">
        <f>+IF(AVANCE[[#This Row],[ZOCALOS LOGIA]]=AP$2,100%,AVANCE[[#This Row],[ZOCALOS LOGIA]])</f>
        <v>0</v>
      </c>
      <c r="CD692" s="3">
        <f>+IF(AVANCE[[#This Row],[MOLDURAS]]=AQ$2,100%,AVANCE[[#This Row],[MOLDURAS]])</f>
        <v>0</v>
      </c>
      <c r="CE692" s="3">
        <f>+IF(AVANCE[[#This Row],[PILASTREO]]=AR$2,100%,AVANCE[[#This Row],[PILASTREO]])</f>
        <v>0</v>
      </c>
      <c r="CF692" s="3">
        <f>+IF(AVANCE[[#This Row],[CELOSIAS]]=AS$2,100%,AVANCE[[#This Row],[CELOSIAS]])</f>
        <v>0</v>
      </c>
      <c r="CG692" s="3">
        <f>+IF(AVANCE[[#This Row],[VENTANAS]]=AT$2,100%,AVANCE[[#This Row],[VENTANAS]])</f>
        <v>0</v>
      </c>
      <c r="CH692" s="3">
        <f>+IF(AVANCE[[#This Row],[PUERTAS ACCESO - LOGIA - BANO]]=AU$2,100%,AVANCE[[#This Row],[PUERTAS ACCESO - LOGIA - BANO]])</f>
        <v>0</v>
      </c>
      <c r="CI692" s="3">
        <f>+IF(AVANCE[[#This Row],[CERRADURAS]]=AV$2,100%,AVANCE[[#This Row],[CERRADURAS]])</f>
        <v>0</v>
      </c>
      <c r="CJ692" s="3">
        <f>+IF(AVANCE[[#This Row],[REVESTIMIENTO INTERIOR ZONA SECA]]=AW$2,100%,AVANCE[[#This Row],[REVESTIMIENTO INTERIOR ZONA SECA]])</f>
        <v>0</v>
      </c>
      <c r="CK692" s="3">
        <f>+IF(AVANCE[[#This Row],[REVESTIMIENTO INTERIOR ZONAS HUMEDAS]]=AX$2,100%,AVANCE[[#This Row],[REVESTIMIENTO INTERIOR ZONAS HUMEDAS]])</f>
        <v>0</v>
      </c>
      <c r="CL692" s="3">
        <f>+IF(AVANCE[[#This Row],[MEMBRANA CIELO]]=AY$2,100%,AVANCE[[#This Row],[MEMBRANA CIELO]])</f>
        <v>0</v>
      </c>
      <c r="CM692" s="3">
        <f>+IF(AVANCE[[#This Row],[LIMPIEZA FINAL]]=AZ$2,100%,AVANCE[[#This Row],[LIMPIEZA FINAL]])</f>
        <v>0</v>
      </c>
      <c r="CN692" s="3">
        <f>+IF(AVANCE[[#This Row],[PUERTAS DORMITORIO]]=BA$2,100%,AVANCE[[#This Row],[PUERTAS DORMITORIO]])</f>
        <v>0</v>
      </c>
      <c r="CO692" s="3">
        <f>+IF(AVANCE[[#This Row],[REVESTIMIENTO INTERIOR BANO]]=BB$2,100%,AVANCE[[#This Row],[REVESTIMIENTO INTERIOR BANO]])</f>
        <v>0</v>
      </c>
      <c r="CP692" s="3">
        <f>+IF(AVANCE[[#This Row],[MUEBLE LAVAPLATOS]]=BC$2,100%,AVANCE[[#This Row],[MUEBLE LAVAPLATOS]])</f>
        <v>0</v>
      </c>
      <c r="CQ692" s="3">
        <f>+IF(AVANCE[[#This Row],[IMPERMEABILIZACION BANO - COCINA LOGIA]]=BD$2,100%,AVANCE[[#This Row],[IMPERMEABILIZACION BANO - COCINA LOGIA]])</f>
        <v>0</v>
      </c>
      <c r="CR692" s="40">
        <f ca="1">+IF(AVANCE[[#This Row],[ESTADO MODULO]]="PENDIENTE",(TODAY()-AVANCE[[#This Row],[FECHA TERMINO  PLANIFICADO]]),0)</f>
        <v>0</v>
      </c>
      <c r="CS692" s="42" t="str" cm="1">
        <f t="array" ref="CS692">_xlfn.TEXTJOIN(" | ",TRUE,IF(SUMPRODUCT((BF692:CQ692&lt;1)*(PARTIDAS!$I$2:$AT$2="OBRA GRUESA"))&gt;0,"OBRA GRUESA: "&amp;_xlfn.TEXTJOIN(", ",TRUE,IF((BF692:CQ692&lt;1)*(PARTIDAS!$I$2:$AT$2="OBRA GRUESA"),PARTIDAS!$I$1:$AT$1,"")),""),IF(SUMPRODUCT((BF692:CQ692&lt;1)*(PARTIDAS!$I$2:$AT$2="SANITARIOS"))&gt;0,"SANITARIOS: "&amp;_xlfn.TEXTJOIN(", ",TRUE,IF((BF692:CQ692&lt;1)*(PARTIDAS!$I$2:$AT$2="SANITARIOS"),PARTIDAS!$I$1:$AT$1,"")),""),IF(SUMPRODUCT((BF692:CQ692&lt;1)*(PARTIDAS!$I$2:$AT$2="ELÉCTRICO"))&gt;0,"ELÉCTRICO: "&amp;_xlfn.TEXTJOIN(", ",TRUE,IF((BF692:CQ692&lt;1)*(PARTIDAS!$I$2:$AT$2="ELÉCTRICO"),PARTIDAS!$I$1:$AT$1,"")),""),IF(SUMPRODUCT((BF692:CQ692&lt;1)*(PARTIDAS!$I$2:$AT$2="TERMINACIONES"))&gt;0,"TERMINACIONES: "&amp;_xlfn.TEXTJOIN(", ",TRUE,IF((BF692:CQ692&lt;1)*(PARTIDAS!$I$2:$AT$2="TERMINACIONES"),PARTIDAS!$I$1:$AT$1,"")),""))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2" s="45" t="str" cm="1">
        <f t="array" ref="CT692">_xlfn.TEXTJOIN(", ",TRUE,IF(SUMPRODUCT((BF692:CQ692&lt;1)*(PARTIDAS!$I$2:$AT$2="OBRA GRUESA"))&gt;0,"OBRA GRUESA",""),IF(SUMPRODUCT((BF692:CQ692&lt;1)*(PARTIDAS!$I$2:$AT$2="SANITARIOS"))&gt;0,"SANITARIOS",""),IF(SUMPRODUCT((BF692:CQ692&lt;1)*(PARTIDAS!$I$2:$AT$2="ELÉCTRICO"))&gt;0,"ELÉCTRICO",""),IF(SUMPRODUCT((BF692:CQ692&lt;1)*(PARTIDAS!$I$2:$AT$2="TERMINACIONES"))&gt;0,"TERMINACIONES",""))</f>
        <v>OBRA GRUESA, SANITARIOS, ELÉCTRICO, TERMINACIONES</v>
      </c>
      <c r="CU692" s="46" cm="1">
        <f t="array" ref="CU692">SUMPRODUCT(--(BF692:CQ692&lt;1))</f>
        <v>38</v>
      </c>
    </row>
    <row r="693" spans="1:99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46181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 s="3" t="str">
        <f>+IF(AVANCE[[#This Row],[% AVANCE]]=100%,"MODULO TERMINADO",IF(AVANCE[[#This Row],[FECHA INICIO REAL]]="","MODULO NO INICIADO","PENDIENTE"))</f>
        <v>MODULO NO INICIADO</v>
      </c>
      <c r="BF693" s="3">
        <f>+IF(AVANCE[[#This Row],[VENTANAS]]=8.10810810810811%,100%,AVANCE[[#This Row],[VENTANAS]])</f>
        <v>0</v>
      </c>
      <c r="BG693" s="3">
        <f>+IF(AVANCE[[#This Row],[PISO]]=N$2,100%,AVANCE[[#This Row],[PISO]])</f>
        <v>0</v>
      </c>
      <c r="BH693" s="3">
        <f>+IF(AVANCE[[#This Row],[TABIQUES]]=O$2,100%,AVANCE[[#This Row],[TABIQUES]])</f>
        <v>0</v>
      </c>
      <c r="BI693" s="3">
        <f>+IF(AVANCE[[#This Row],[MUROS]]=P$2,100%,AVANCE[[#This Row],[MUROS]])</f>
        <v>0</v>
      </c>
      <c r="BJ693" s="3">
        <f>+IF(AVANCE[[#This Row],[CIELO]]=Q$2,100%,AVANCE[[#This Row],[CIELO]])</f>
        <v>0</v>
      </c>
      <c r="BK693" s="3">
        <f>+IF(AVANCE[[#This Row],[BALCÓN]]=R$2,100%,AVANCE[[#This Row],[BALCÓN]])</f>
        <v>0</v>
      </c>
      <c r="BL693" s="3">
        <f>+IF(AVANCE[[#This Row],[RED ALCANTARILLADO]]=U$2,100%,AVANCE[[#This Row],[RED ALCANTARILLADO]])</f>
        <v>0</v>
      </c>
      <c r="BM693" s="3">
        <f>+IF(AVANCE[[#This Row],[RED DE AGUA]]=V$2,100%,AVANCE[[#This Row],[RED DE AGUA]])</f>
        <v>0</v>
      </c>
      <c r="BN693" s="3">
        <f>+IF(AVANCE[[#This Row],[VENTILACIONES]]=W$2,100%,AVANCE[[#This Row],[VENTILACIONES]])</f>
        <v>0</v>
      </c>
      <c r="BO693" s="3">
        <f>+IF(AVANCE[[#This Row],[TINA]]=X$2,100%,AVANCE[[#This Row],[TINA]])</f>
        <v>0</v>
      </c>
      <c r="BP693" s="3">
        <f>+IF(AVANCE[[#This Row],[WC]]=Y$2,100%,AVANCE[[#This Row],[WC]])</f>
        <v>0</v>
      </c>
      <c r="BQ693" s="3">
        <f>+IF(AVANCE[[#This Row],[LAVAMANOS / LAVAPLATOS / LAVADERO]]=Z$2,100%,AVANCE[[#This Row],[LAVAMANOS / LAVAPLATOS / LAVADERO]])</f>
        <v>0</v>
      </c>
      <c r="BR693" s="3">
        <f>+IF(AVANCE[[#This Row],[CANALIZACIÓN]]=AC$2,100%,AVANCE[[#This Row],[CANALIZACIÓN]])</f>
        <v>0</v>
      </c>
      <c r="BS693" s="3">
        <f>+IF(AVANCE[[#This Row],[CABLEADO]]=AD$2,100%,AVANCE[[#This Row],[CABLEADO]])</f>
        <v>0</v>
      </c>
      <c r="BT693" s="3">
        <f>+IF(AVANCE[[#This Row],[ARTEFACTOS]]=AE$2,100%,AVANCE[[#This Row],[ARTEFACTOS]])</f>
        <v>0</v>
      </c>
      <c r="BU693" s="3">
        <f>+IF(AVANCE[[#This Row],[TABLERO]]=AF$2,100%,AVANCE[[#This Row],[TABLERO]])</f>
        <v>0</v>
      </c>
      <c r="BV693" s="3">
        <f>+IF(AVANCE[[#This Row],[CAJA PAU]]=AG$2,100%,AVANCE[[#This Row],[CAJA PAU]])</f>
        <v>0</v>
      </c>
      <c r="BW693" s="3">
        <f>+IF(AVANCE[[#This Row],[INSTALACION VINILICO]]=AJ$2,100%,AVANCE[[#This Row],[INSTALACION VINILICO]])</f>
        <v>0</v>
      </c>
      <c r="BX693" s="3">
        <f>+IF(AVANCE[[#This Row],[OSB CUBIERTA]]=AK$2,100%,AVANCE[[#This Row],[OSB CUBIERTA]])</f>
        <v>0</v>
      </c>
      <c r="BY693" s="3">
        <f>+IF(AVANCE[[#This Row],[BARANDA BALCON]]=AL$2,100%,AVANCE[[#This Row],[BARANDA BALCON]])</f>
        <v>0</v>
      </c>
      <c r="BZ693" s="3">
        <f>+IF(AVANCE[[#This Row],[OSB EXTERIOR]]=AM$2,100%,AVANCE[[#This Row],[OSB EXTERIOR]])</f>
        <v>0</v>
      </c>
      <c r="CA693" s="3">
        <f>+IF(AVANCE[[#This Row],[SMART PANEL]]=AN$2,100%,AVANCE[[#This Row],[SMART PANEL]])</f>
        <v>0</v>
      </c>
      <c r="CB693" s="3">
        <f>+IF(AVANCE[[#This Row],[PINTURA EXTERIOR]]=AO$2,100%,AVANCE[[#This Row],[PINTURA EXTERIOR]])</f>
        <v>0</v>
      </c>
      <c r="CC693" s="3">
        <f>+IF(AVANCE[[#This Row],[ZOCALOS LOGIA]]=AP$2,100%,AVANCE[[#This Row],[ZOCALOS LOGIA]])</f>
        <v>0</v>
      </c>
      <c r="CD693" s="3">
        <f>+IF(AVANCE[[#This Row],[MOLDURAS]]=AQ$2,100%,AVANCE[[#This Row],[MOLDURAS]])</f>
        <v>0</v>
      </c>
      <c r="CE693" s="3">
        <f>+IF(AVANCE[[#This Row],[PILASTREO]]=AR$2,100%,AVANCE[[#This Row],[PILASTREO]])</f>
        <v>0</v>
      </c>
      <c r="CF693" s="3">
        <f>+IF(AVANCE[[#This Row],[CELOSIAS]]=AS$2,100%,AVANCE[[#This Row],[CELOSIAS]])</f>
        <v>0</v>
      </c>
      <c r="CG693" s="3">
        <f>+IF(AVANCE[[#This Row],[VENTANAS]]=AT$2,100%,AVANCE[[#This Row],[VENTANAS]])</f>
        <v>0</v>
      </c>
      <c r="CH693" s="3">
        <f>+IF(AVANCE[[#This Row],[PUERTAS ACCESO - LOGIA - BANO]]=AU$2,100%,AVANCE[[#This Row],[PUERTAS ACCESO - LOGIA - BANO]])</f>
        <v>0</v>
      </c>
      <c r="CI693" s="3">
        <f>+IF(AVANCE[[#This Row],[CERRADURAS]]=AV$2,100%,AVANCE[[#This Row],[CERRADURAS]])</f>
        <v>0</v>
      </c>
      <c r="CJ693" s="3">
        <f>+IF(AVANCE[[#This Row],[REVESTIMIENTO INTERIOR ZONA SECA]]=AW$2,100%,AVANCE[[#This Row],[REVESTIMIENTO INTERIOR ZONA SECA]])</f>
        <v>0</v>
      </c>
      <c r="CK693" s="3">
        <f>+IF(AVANCE[[#This Row],[REVESTIMIENTO INTERIOR ZONAS HUMEDAS]]=AX$2,100%,AVANCE[[#This Row],[REVESTIMIENTO INTERIOR ZONAS HUMEDAS]])</f>
        <v>0</v>
      </c>
      <c r="CL693" s="3">
        <f>+IF(AVANCE[[#This Row],[MEMBRANA CIELO]]=AY$2,100%,AVANCE[[#This Row],[MEMBRANA CIELO]])</f>
        <v>0</v>
      </c>
      <c r="CM693" s="3">
        <f>+IF(AVANCE[[#This Row],[LIMPIEZA FINAL]]=AZ$2,100%,AVANCE[[#This Row],[LIMPIEZA FINAL]])</f>
        <v>0</v>
      </c>
      <c r="CN693" s="3">
        <f>+IF(AVANCE[[#This Row],[PUERTAS DORMITORIO]]=BA$2,100%,AVANCE[[#This Row],[PUERTAS DORMITORIO]])</f>
        <v>0</v>
      </c>
      <c r="CO693" s="3">
        <f>+IF(AVANCE[[#This Row],[REVESTIMIENTO INTERIOR BANO]]=BB$2,100%,AVANCE[[#This Row],[REVESTIMIENTO INTERIOR BANO]])</f>
        <v>0</v>
      </c>
      <c r="CP693" s="3">
        <f>+IF(AVANCE[[#This Row],[MUEBLE LAVAPLATOS]]=BC$2,100%,AVANCE[[#This Row],[MUEBLE LAVAPLATOS]])</f>
        <v>0</v>
      </c>
      <c r="CQ693" s="3">
        <f>+IF(AVANCE[[#This Row],[IMPERMEABILIZACION BANO - COCINA LOGIA]]=BD$2,100%,AVANCE[[#This Row],[IMPERMEABILIZACION BANO - COCINA LOGIA]])</f>
        <v>0</v>
      </c>
      <c r="CR693" s="40">
        <f ca="1">+IF(AVANCE[[#This Row],[ESTADO MODULO]]="PENDIENTE",(TODAY()-AVANCE[[#This Row],[FECHA TERMINO  PLANIFICADO]]),0)</f>
        <v>0</v>
      </c>
      <c r="CS693" s="42" t="str" cm="1">
        <f t="array" ref="CS693">_xlfn.TEXTJOIN(" | ",TRUE,IF(SUMPRODUCT((BF693:CQ693&lt;1)*(PARTIDAS!$I$2:$AT$2="OBRA GRUESA"))&gt;0,"OBRA GRUESA: "&amp;_xlfn.TEXTJOIN(", ",TRUE,IF((BF693:CQ693&lt;1)*(PARTIDAS!$I$2:$AT$2="OBRA GRUESA"),PARTIDAS!$I$1:$AT$1,"")),""),IF(SUMPRODUCT((BF693:CQ693&lt;1)*(PARTIDAS!$I$2:$AT$2="SANITARIOS"))&gt;0,"SANITARIOS: "&amp;_xlfn.TEXTJOIN(", ",TRUE,IF((BF693:CQ693&lt;1)*(PARTIDAS!$I$2:$AT$2="SANITARIOS"),PARTIDAS!$I$1:$AT$1,"")),""),IF(SUMPRODUCT((BF693:CQ693&lt;1)*(PARTIDAS!$I$2:$AT$2="ELÉCTRICO"))&gt;0,"ELÉCTRICO: "&amp;_xlfn.TEXTJOIN(", ",TRUE,IF((BF693:CQ693&lt;1)*(PARTIDAS!$I$2:$AT$2="ELÉCTRICO"),PARTIDAS!$I$1:$AT$1,"")),""),IF(SUMPRODUCT((BF693:CQ693&lt;1)*(PARTIDAS!$I$2:$AT$2="TERMINACIONES"))&gt;0,"TERMINACIONES: "&amp;_xlfn.TEXTJOIN(", ",TRUE,IF((BF693:CQ693&lt;1)*(PARTIDAS!$I$2:$AT$2="TERMINACIONES"),PARTIDAS!$I$1:$AT$1,"")),""))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3" s="45" t="str" cm="1">
        <f t="array" ref="CT693">_xlfn.TEXTJOIN(", ",TRUE,IF(SUMPRODUCT((BF693:CQ693&lt;1)*(PARTIDAS!$I$2:$AT$2="OBRA GRUESA"))&gt;0,"OBRA GRUESA",""),IF(SUMPRODUCT((BF693:CQ693&lt;1)*(PARTIDAS!$I$2:$AT$2="SANITARIOS"))&gt;0,"SANITARIOS",""),IF(SUMPRODUCT((BF693:CQ693&lt;1)*(PARTIDAS!$I$2:$AT$2="ELÉCTRICO"))&gt;0,"ELÉCTRICO",""),IF(SUMPRODUCT((BF693:CQ693&lt;1)*(PARTIDAS!$I$2:$AT$2="TERMINACIONES"))&gt;0,"TERMINACIONES",""))</f>
        <v>OBRA GRUESA, SANITARIOS, ELÉCTRICO, TERMINACIONES</v>
      </c>
      <c r="CU693" s="46" cm="1">
        <f t="array" ref="CU693">SUMPRODUCT(--(BF693:CQ693&lt;1))</f>
        <v>38</v>
      </c>
    </row>
    <row r="694" spans="1:99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46181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 s="3" t="str">
        <f>+IF(AVANCE[[#This Row],[% AVANCE]]=100%,"MODULO TERMINADO",IF(AVANCE[[#This Row],[FECHA INICIO REAL]]="","MODULO NO INICIADO","PENDIENTE"))</f>
        <v>MODULO NO INICIADO</v>
      </c>
      <c r="BF694" s="3">
        <f>+IF(AVANCE[[#This Row],[VENTANAS]]=8.10810810810811%,100%,AVANCE[[#This Row],[VENTANAS]])</f>
        <v>0</v>
      </c>
      <c r="BG694" s="3">
        <f>+IF(AVANCE[[#This Row],[PISO]]=N$2,100%,AVANCE[[#This Row],[PISO]])</f>
        <v>0</v>
      </c>
      <c r="BH694" s="3">
        <f>+IF(AVANCE[[#This Row],[TABIQUES]]=O$2,100%,AVANCE[[#This Row],[TABIQUES]])</f>
        <v>0</v>
      </c>
      <c r="BI694" s="3">
        <f>+IF(AVANCE[[#This Row],[MUROS]]=P$2,100%,AVANCE[[#This Row],[MUROS]])</f>
        <v>0</v>
      </c>
      <c r="BJ694" s="3">
        <f>+IF(AVANCE[[#This Row],[CIELO]]=Q$2,100%,AVANCE[[#This Row],[CIELO]])</f>
        <v>0</v>
      </c>
      <c r="BK694" s="3">
        <f>+IF(AVANCE[[#This Row],[BALCÓN]]=R$2,100%,AVANCE[[#This Row],[BALCÓN]])</f>
        <v>0</v>
      </c>
      <c r="BL694" s="3">
        <f>+IF(AVANCE[[#This Row],[RED ALCANTARILLADO]]=U$2,100%,AVANCE[[#This Row],[RED ALCANTARILLADO]])</f>
        <v>0</v>
      </c>
      <c r="BM694" s="3">
        <f>+IF(AVANCE[[#This Row],[RED DE AGUA]]=V$2,100%,AVANCE[[#This Row],[RED DE AGUA]])</f>
        <v>0</v>
      </c>
      <c r="BN694" s="3">
        <f>+IF(AVANCE[[#This Row],[VENTILACIONES]]=W$2,100%,AVANCE[[#This Row],[VENTILACIONES]])</f>
        <v>0</v>
      </c>
      <c r="BO694" s="3">
        <f>+IF(AVANCE[[#This Row],[TINA]]=X$2,100%,AVANCE[[#This Row],[TINA]])</f>
        <v>0</v>
      </c>
      <c r="BP694" s="3">
        <f>+IF(AVANCE[[#This Row],[WC]]=Y$2,100%,AVANCE[[#This Row],[WC]])</f>
        <v>0</v>
      </c>
      <c r="BQ694" s="3">
        <f>+IF(AVANCE[[#This Row],[LAVAMANOS / LAVAPLATOS / LAVADERO]]=Z$2,100%,AVANCE[[#This Row],[LAVAMANOS / LAVAPLATOS / LAVADERO]])</f>
        <v>0</v>
      </c>
      <c r="BR694" s="3">
        <f>+IF(AVANCE[[#This Row],[CANALIZACIÓN]]=AC$2,100%,AVANCE[[#This Row],[CANALIZACIÓN]])</f>
        <v>0</v>
      </c>
      <c r="BS694" s="3">
        <f>+IF(AVANCE[[#This Row],[CABLEADO]]=AD$2,100%,AVANCE[[#This Row],[CABLEADO]])</f>
        <v>0</v>
      </c>
      <c r="BT694" s="3">
        <f>+IF(AVANCE[[#This Row],[ARTEFACTOS]]=AE$2,100%,AVANCE[[#This Row],[ARTEFACTOS]])</f>
        <v>0</v>
      </c>
      <c r="BU694" s="3">
        <f>+IF(AVANCE[[#This Row],[TABLERO]]=AF$2,100%,AVANCE[[#This Row],[TABLERO]])</f>
        <v>0</v>
      </c>
      <c r="BV694" s="3">
        <f>+IF(AVANCE[[#This Row],[CAJA PAU]]=AG$2,100%,AVANCE[[#This Row],[CAJA PAU]])</f>
        <v>0</v>
      </c>
      <c r="BW694" s="3">
        <f>+IF(AVANCE[[#This Row],[INSTALACION VINILICO]]=AJ$2,100%,AVANCE[[#This Row],[INSTALACION VINILICO]])</f>
        <v>0</v>
      </c>
      <c r="BX694" s="3">
        <f>+IF(AVANCE[[#This Row],[OSB CUBIERTA]]=AK$2,100%,AVANCE[[#This Row],[OSB CUBIERTA]])</f>
        <v>0</v>
      </c>
      <c r="BY694" s="3">
        <f>+IF(AVANCE[[#This Row],[BARANDA BALCON]]=AL$2,100%,AVANCE[[#This Row],[BARANDA BALCON]])</f>
        <v>0</v>
      </c>
      <c r="BZ694" s="3">
        <f>+IF(AVANCE[[#This Row],[OSB EXTERIOR]]=AM$2,100%,AVANCE[[#This Row],[OSB EXTERIOR]])</f>
        <v>0</v>
      </c>
      <c r="CA694" s="3">
        <f>+IF(AVANCE[[#This Row],[SMART PANEL]]=AN$2,100%,AVANCE[[#This Row],[SMART PANEL]])</f>
        <v>0</v>
      </c>
      <c r="CB694" s="3">
        <f>+IF(AVANCE[[#This Row],[PINTURA EXTERIOR]]=AO$2,100%,AVANCE[[#This Row],[PINTURA EXTERIOR]])</f>
        <v>0</v>
      </c>
      <c r="CC694" s="3">
        <f>+IF(AVANCE[[#This Row],[ZOCALOS LOGIA]]=AP$2,100%,AVANCE[[#This Row],[ZOCALOS LOGIA]])</f>
        <v>0</v>
      </c>
      <c r="CD694" s="3">
        <f>+IF(AVANCE[[#This Row],[MOLDURAS]]=AQ$2,100%,AVANCE[[#This Row],[MOLDURAS]])</f>
        <v>0</v>
      </c>
      <c r="CE694" s="3">
        <f>+IF(AVANCE[[#This Row],[PILASTREO]]=AR$2,100%,AVANCE[[#This Row],[PILASTREO]])</f>
        <v>0</v>
      </c>
      <c r="CF694" s="3">
        <f>+IF(AVANCE[[#This Row],[CELOSIAS]]=AS$2,100%,AVANCE[[#This Row],[CELOSIAS]])</f>
        <v>0</v>
      </c>
      <c r="CG694" s="3">
        <f>+IF(AVANCE[[#This Row],[VENTANAS]]=AT$2,100%,AVANCE[[#This Row],[VENTANAS]])</f>
        <v>0</v>
      </c>
      <c r="CH694" s="3">
        <f>+IF(AVANCE[[#This Row],[PUERTAS ACCESO - LOGIA - BANO]]=AU$2,100%,AVANCE[[#This Row],[PUERTAS ACCESO - LOGIA - BANO]])</f>
        <v>0</v>
      </c>
      <c r="CI694" s="3">
        <f>+IF(AVANCE[[#This Row],[CERRADURAS]]=AV$2,100%,AVANCE[[#This Row],[CERRADURAS]])</f>
        <v>0</v>
      </c>
      <c r="CJ694" s="3">
        <f>+IF(AVANCE[[#This Row],[REVESTIMIENTO INTERIOR ZONA SECA]]=AW$2,100%,AVANCE[[#This Row],[REVESTIMIENTO INTERIOR ZONA SECA]])</f>
        <v>0</v>
      </c>
      <c r="CK694" s="3">
        <f>+IF(AVANCE[[#This Row],[REVESTIMIENTO INTERIOR ZONAS HUMEDAS]]=AX$2,100%,AVANCE[[#This Row],[REVESTIMIENTO INTERIOR ZONAS HUMEDAS]])</f>
        <v>0</v>
      </c>
      <c r="CL694" s="3">
        <f>+IF(AVANCE[[#This Row],[MEMBRANA CIELO]]=AY$2,100%,AVANCE[[#This Row],[MEMBRANA CIELO]])</f>
        <v>0</v>
      </c>
      <c r="CM694" s="3">
        <f>+IF(AVANCE[[#This Row],[LIMPIEZA FINAL]]=AZ$2,100%,AVANCE[[#This Row],[LIMPIEZA FINAL]])</f>
        <v>0</v>
      </c>
      <c r="CN694" s="3">
        <f>+IF(AVANCE[[#This Row],[PUERTAS DORMITORIO]]=BA$2,100%,AVANCE[[#This Row],[PUERTAS DORMITORIO]])</f>
        <v>0</v>
      </c>
      <c r="CO694" s="3">
        <f>+IF(AVANCE[[#This Row],[REVESTIMIENTO INTERIOR BANO]]=BB$2,100%,AVANCE[[#This Row],[REVESTIMIENTO INTERIOR BANO]])</f>
        <v>0</v>
      </c>
      <c r="CP694" s="3">
        <f>+IF(AVANCE[[#This Row],[MUEBLE LAVAPLATOS]]=BC$2,100%,AVANCE[[#This Row],[MUEBLE LAVAPLATOS]])</f>
        <v>0</v>
      </c>
      <c r="CQ694" s="3">
        <f>+IF(AVANCE[[#This Row],[IMPERMEABILIZACION BANO - COCINA LOGIA]]=BD$2,100%,AVANCE[[#This Row],[IMPERMEABILIZACION BANO - COCINA LOGIA]])</f>
        <v>0</v>
      </c>
      <c r="CR694" s="40">
        <f ca="1">+IF(AVANCE[[#This Row],[ESTADO MODULO]]="PENDIENTE",(TODAY()-AVANCE[[#This Row],[FECHA TERMINO  PLANIFICADO]]),0)</f>
        <v>0</v>
      </c>
      <c r="CS694" s="42" t="str" cm="1">
        <f t="array" ref="CS694">_xlfn.TEXTJOIN(" | ",TRUE,IF(SUMPRODUCT((BF694:CQ694&lt;1)*(PARTIDAS!$I$2:$AT$2="OBRA GRUESA"))&gt;0,"OBRA GRUESA: "&amp;_xlfn.TEXTJOIN(", ",TRUE,IF((BF694:CQ694&lt;1)*(PARTIDAS!$I$2:$AT$2="OBRA GRUESA"),PARTIDAS!$I$1:$AT$1,"")),""),IF(SUMPRODUCT((BF694:CQ694&lt;1)*(PARTIDAS!$I$2:$AT$2="SANITARIOS"))&gt;0,"SANITARIOS: "&amp;_xlfn.TEXTJOIN(", ",TRUE,IF((BF694:CQ694&lt;1)*(PARTIDAS!$I$2:$AT$2="SANITARIOS"),PARTIDAS!$I$1:$AT$1,"")),""),IF(SUMPRODUCT((BF694:CQ694&lt;1)*(PARTIDAS!$I$2:$AT$2="ELÉCTRICO"))&gt;0,"ELÉCTRICO: "&amp;_xlfn.TEXTJOIN(", ",TRUE,IF((BF694:CQ694&lt;1)*(PARTIDAS!$I$2:$AT$2="ELÉCTRICO"),PARTIDAS!$I$1:$AT$1,"")),""),IF(SUMPRODUCT((BF694:CQ694&lt;1)*(PARTIDAS!$I$2:$AT$2="TERMINACIONES"))&gt;0,"TERMINACIONES: "&amp;_xlfn.TEXTJOIN(", ",TRUE,IF((BF694:CQ694&lt;1)*(PARTIDAS!$I$2:$AT$2="TERMINACIONES"),PARTIDAS!$I$1:$AT$1,"")),""))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4" s="45" t="str" cm="1">
        <f t="array" ref="CT694">_xlfn.TEXTJOIN(", ",TRUE,IF(SUMPRODUCT((BF694:CQ694&lt;1)*(PARTIDAS!$I$2:$AT$2="OBRA GRUESA"))&gt;0,"OBRA GRUESA",""),IF(SUMPRODUCT((BF694:CQ694&lt;1)*(PARTIDAS!$I$2:$AT$2="SANITARIOS"))&gt;0,"SANITARIOS",""),IF(SUMPRODUCT((BF694:CQ694&lt;1)*(PARTIDAS!$I$2:$AT$2="ELÉCTRICO"))&gt;0,"ELÉCTRICO",""),IF(SUMPRODUCT((BF694:CQ694&lt;1)*(PARTIDAS!$I$2:$AT$2="TERMINACIONES"))&gt;0,"TERMINACIONES",""))</f>
        <v>OBRA GRUESA, SANITARIOS, ELÉCTRICO, TERMINACIONES</v>
      </c>
      <c r="CU694" s="46" cm="1">
        <f t="array" ref="CU694">SUMPRODUCT(--(BF694:CQ694&lt;1))</f>
        <v>38</v>
      </c>
    </row>
    <row r="695" spans="1:99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46181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 s="3" t="str">
        <f>+IF(AVANCE[[#This Row],[% AVANCE]]=100%,"MODULO TERMINADO",IF(AVANCE[[#This Row],[FECHA INICIO REAL]]="","MODULO NO INICIADO","PENDIENTE"))</f>
        <v>MODULO NO INICIADO</v>
      </c>
      <c r="BF695" s="3">
        <f>+IF(AVANCE[[#This Row],[VENTANAS]]=8.10810810810811%,100%,AVANCE[[#This Row],[VENTANAS]])</f>
        <v>0</v>
      </c>
      <c r="BG695" s="3">
        <f>+IF(AVANCE[[#This Row],[PISO]]=N$2,100%,AVANCE[[#This Row],[PISO]])</f>
        <v>0</v>
      </c>
      <c r="BH695" s="3">
        <f>+IF(AVANCE[[#This Row],[TABIQUES]]=O$2,100%,AVANCE[[#This Row],[TABIQUES]])</f>
        <v>0</v>
      </c>
      <c r="BI695" s="3">
        <f>+IF(AVANCE[[#This Row],[MUROS]]=P$2,100%,AVANCE[[#This Row],[MUROS]])</f>
        <v>0</v>
      </c>
      <c r="BJ695" s="3">
        <f>+IF(AVANCE[[#This Row],[CIELO]]=Q$2,100%,AVANCE[[#This Row],[CIELO]])</f>
        <v>0</v>
      </c>
      <c r="BK695" s="3">
        <f>+IF(AVANCE[[#This Row],[BALCÓN]]=R$2,100%,AVANCE[[#This Row],[BALCÓN]])</f>
        <v>0</v>
      </c>
      <c r="BL695" s="3">
        <f>+IF(AVANCE[[#This Row],[RED ALCANTARILLADO]]=U$2,100%,AVANCE[[#This Row],[RED ALCANTARILLADO]])</f>
        <v>0</v>
      </c>
      <c r="BM695" s="3">
        <f>+IF(AVANCE[[#This Row],[RED DE AGUA]]=V$2,100%,AVANCE[[#This Row],[RED DE AGUA]])</f>
        <v>0</v>
      </c>
      <c r="BN695" s="3">
        <f>+IF(AVANCE[[#This Row],[VENTILACIONES]]=W$2,100%,AVANCE[[#This Row],[VENTILACIONES]])</f>
        <v>0</v>
      </c>
      <c r="BO695" s="3">
        <f>+IF(AVANCE[[#This Row],[TINA]]=X$2,100%,AVANCE[[#This Row],[TINA]])</f>
        <v>0</v>
      </c>
      <c r="BP695" s="3">
        <f>+IF(AVANCE[[#This Row],[WC]]=Y$2,100%,AVANCE[[#This Row],[WC]])</f>
        <v>0</v>
      </c>
      <c r="BQ695" s="3">
        <f>+IF(AVANCE[[#This Row],[LAVAMANOS / LAVAPLATOS / LAVADERO]]=Z$2,100%,AVANCE[[#This Row],[LAVAMANOS / LAVAPLATOS / LAVADERO]])</f>
        <v>0</v>
      </c>
      <c r="BR695" s="3">
        <f>+IF(AVANCE[[#This Row],[CANALIZACIÓN]]=AC$2,100%,AVANCE[[#This Row],[CANALIZACIÓN]])</f>
        <v>0</v>
      </c>
      <c r="BS695" s="3">
        <f>+IF(AVANCE[[#This Row],[CABLEADO]]=AD$2,100%,AVANCE[[#This Row],[CABLEADO]])</f>
        <v>0</v>
      </c>
      <c r="BT695" s="3">
        <f>+IF(AVANCE[[#This Row],[ARTEFACTOS]]=AE$2,100%,AVANCE[[#This Row],[ARTEFACTOS]])</f>
        <v>0</v>
      </c>
      <c r="BU695" s="3">
        <f>+IF(AVANCE[[#This Row],[TABLERO]]=AF$2,100%,AVANCE[[#This Row],[TABLERO]])</f>
        <v>0</v>
      </c>
      <c r="BV695" s="3">
        <f>+IF(AVANCE[[#This Row],[CAJA PAU]]=AG$2,100%,AVANCE[[#This Row],[CAJA PAU]])</f>
        <v>0</v>
      </c>
      <c r="BW695" s="3">
        <f>+IF(AVANCE[[#This Row],[INSTALACION VINILICO]]=AJ$2,100%,AVANCE[[#This Row],[INSTALACION VINILICO]])</f>
        <v>0</v>
      </c>
      <c r="BX695" s="3">
        <f>+IF(AVANCE[[#This Row],[OSB CUBIERTA]]=AK$2,100%,AVANCE[[#This Row],[OSB CUBIERTA]])</f>
        <v>0</v>
      </c>
      <c r="BY695" s="3">
        <f>+IF(AVANCE[[#This Row],[BARANDA BALCON]]=AL$2,100%,AVANCE[[#This Row],[BARANDA BALCON]])</f>
        <v>0</v>
      </c>
      <c r="BZ695" s="3">
        <f>+IF(AVANCE[[#This Row],[OSB EXTERIOR]]=AM$2,100%,AVANCE[[#This Row],[OSB EXTERIOR]])</f>
        <v>0</v>
      </c>
      <c r="CA695" s="3">
        <f>+IF(AVANCE[[#This Row],[SMART PANEL]]=AN$2,100%,AVANCE[[#This Row],[SMART PANEL]])</f>
        <v>0</v>
      </c>
      <c r="CB695" s="3">
        <f>+IF(AVANCE[[#This Row],[PINTURA EXTERIOR]]=AO$2,100%,AVANCE[[#This Row],[PINTURA EXTERIOR]])</f>
        <v>0</v>
      </c>
      <c r="CC695" s="3">
        <f>+IF(AVANCE[[#This Row],[ZOCALOS LOGIA]]=AP$2,100%,AVANCE[[#This Row],[ZOCALOS LOGIA]])</f>
        <v>0</v>
      </c>
      <c r="CD695" s="3">
        <f>+IF(AVANCE[[#This Row],[MOLDURAS]]=AQ$2,100%,AVANCE[[#This Row],[MOLDURAS]])</f>
        <v>0</v>
      </c>
      <c r="CE695" s="3">
        <f>+IF(AVANCE[[#This Row],[PILASTREO]]=AR$2,100%,AVANCE[[#This Row],[PILASTREO]])</f>
        <v>0</v>
      </c>
      <c r="CF695" s="3">
        <f>+IF(AVANCE[[#This Row],[CELOSIAS]]=AS$2,100%,AVANCE[[#This Row],[CELOSIAS]])</f>
        <v>0</v>
      </c>
      <c r="CG695" s="3">
        <f>+IF(AVANCE[[#This Row],[VENTANAS]]=AT$2,100%,AVANCE[[#This Row],[VENTANAS]])</f>
        <v>0</v>
      </c>
      <c r="CH695" s="3">
        <f>+IF(AVANCE[[#This Row],[PUERTAS ACCESO - LOGIA - BANO]]=AU$2,100%,AVANCE[[#This Row],[PUERTAS ACCESO - LOGIA - BANO]])</f>
        <v>0</v>
      </c>
      <c r="CI695" s="3">
        <f>+IF(AVANCE[[#This Row],[CERRADURAS]]=AV$2,100%,AVANCE[[#This Row],[CERRADURAS]])</f>
        <v>0</v>
      </c>
      <c r="CJ695" s="3">
        <f>+IF(AVANCE[[#This Row],[REVESTIMIENTO INTERIOR ZONA SECA]]=AW$2,100%,AVANCE[[#This Row],[REVESTIMIENTO INTERIOR ZONA SECA]])</f>
        <v>0</v>
      </c>
      <c r="CK695" s="3">
        <f>+IF(AVANCE[[#This Row],[REVESTIMIENTO INTERIOR ZONAS HUMEDAS]]=AX$2,100%,AVANCE[[#This Row],[REVESTIMIENTO INTERIOR ZONAS HUMEDAS]])</f>
        <v>0</v>
      </c>
      <c r="CL695" s="3">
        <f>+IF(AVANCE[[#This Row],[MEMBRANA CIELO]]=AY$2,100%,AVANCE[[#This Row],[MEMBRANA CIELO]])</f>
        <v>0</v>
      </c>
      <c r="CM695" s="3">
        <f>+IF(AVANCE[[#This Row],[LIMPIEZA FINAL]]=AZ$2,100%,AVANCE[[#This Row],[LIMPIEZA FINAL]])</f>
        <v>0</v>
      </c>
      <c r="CN695" s="3">
        <f>+IF(AVANCE[[#This Row],[PUERTAS DORMITORIO]]=BA$2,100%,AVANCE[[#This Row],[PUERTAS DORMITORIO]])</f>
        <v>0</v>
      </c>
      <c r="CO695" s="3">
        <f>+IF(AVANCE[[#This Row],[REVESTIMIENTO INTERIOR BANO]]=BB$2,100%,AVANCE[[#This Row],[REVESTIMIENTO INTERIOR BANO]])</f>
        <v>0</v>
      </c>
      <c r="CP695" s="3">
        <f>+IF(AVANCE[[#This Row],[MUEBLE LAVAPLATOS]]=BC$2,100%,AVANCE[[#This Row],[MUEBLE LAVAPLATOS]])</f>
        <v>0</v>
      </c>
      <c r="CQ695" s="3">
        <f>+IF(AVANCE[[#This Row],[IMPERMEABILIZACION BANO - COCINA LOGIA]]=BD$2,100%,AVANCE[[#This Row],[IMPERMEABILIZACION BANO - COCINA LOGIA]])</f>
        <v>0</v>
      </c>
      <c r="CR695" s="40">
        <f ca="1">+IF(AVANCE[[#This Row],[ESTADO MODULO]]="PENDIENTE",(TODAY()-AVANCE[[#This Row],[FECHA TERMINO  PLANIFICADO]]),0)</f>
        <v>0</v>
      </c>
      <c r="CS695" s="42" t="str" cm="1">
        <f t="array" ref="CS695">_xlfn.TEXTJOIN(" | ",TRUE,IF(SUMPRODUCT((BF695:CQ695&lt;1)*(PARTIDAS!$I$2:$AT$2="OBRA GRUESA"))&gt;0,"OBRA GRUESA: "&amp;_xlfn.TEXTJOIN(", ",TRUE,IF((BF695:CQ695&lt;1)*(PARTIDAS!$I$2:$AT$2="OBRA GRUESA"),PARTIDAS!$I$1:$AT$1,"")),""),IF(SUMPRODUCT((BF695:CQ695&lt;1)*(PARTIDAS!$I$2:$AT$2="SANITARIOS"))&gt;0,"SANITARIOS: "&amp;_xlfn.TEXTJOIN(", ",TRUE,IF((BF695:CQ695&lt;1)*(PARTIDAS!$I$2:$AT$2="SANITARIOS"),PARTIDAS!$I$1:$AT$1,"")),""),IF(SUMPRODUCT((BF695:CQ695&lt;1)*(PARTIDAS!$I$2:$AT$2="ELÉCTRICO"))&gt;0,"ELÉCTRICO: "&amp;_xlfn.TEXTJOIN(", ",TRUE,IF((BF695:CQ695&lt;1)*(PARTIDAS!$I$2:$AT$2="ELÉCTRICO"),PARTIDAS!$I$1:$AT$1,"")),""),IF(SUMPRODUCT((BF695:CQ695&lt;1)*(PARTIDAS!$I$2:$AT$2="TERMINACIONES"))&gt;0,"TERMINACIONES: "&amp;_xlfn.TEXTJOIN(", ",TRUE,IF((BF695:CQ695&lt;1)*(PARTIDAS!$I$2:$AT$2="TERMINACIONES"),PARTIDAS!$I$1:$AT$1,"")),""))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5" s="45" t="str" cm="1">
        <f t="array" ref="CT695">_xlfn.TEXTJOIN(", ",TRUE,IF(SUMPRODUCT((BF695:CQ695&lt;1)*(PARTIDAS!$I$2:$AT$2="OBRA GRUESA"))&gt;0,"OBRA GRUESA",""),IF(SUMPRODUCT((BF695:CQ695&lt;1)*(PARTIDAS!$I$2:$AT$2="SANITARIOS"))&gt;0,"SANITARIOS",""),IF(SUMPRODUCT((BF695:CQ695&lt;1)*(PARTIDAS!$I$2:$AT$2="ELÉCTRICO"))&gt;0,"ELÉCTRICO",""),IF(SUMPRODUCT((BF695:CQ695&lt;1)*(PARTIDAS!$I$2:$AT$2="TERMINACIONES"))&gt;0,"TERMINACIONES",""))</f>
        <v>OBRA GRUESA, SANITARIOS, ELÉCTRICO, TERMINACIONES</v>
      </c>
      <c r="CU695" s="46" cm="1">
        <f t="array" ref="CU695">SUMPRODUCT(--(BF695:CQ695&lt;1))</f>
        <v>38</v>
      </c>
    </row>
    <row r="696" spans="1:99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46181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 s="3" t="str">
        <f>+IF(AVANCE[[#This Row],[% AVANCE]]=100%,"MODULO TERMINADO",IF(AVANCE[[#This Row],[FECHA INICIO REAL]]="","MODULO NO INICIADO","PENDIENTE"))</f>
        <v>MODULO NO INICIADO</v>
      </c>
      <c r="BF696" s="3">
        <f>+IF(AVANCE[[#This Row],[VENTANAS]]=8.10810810810811%,100%,AVANCE[[#This Row],[VENTANAS]])</f>
        <v>0</v>
      </c>
      <c r="BG696" s="3">
        <f>+IF(AVANCE[[#This Row],[PISO]]=N$2,100%,AVANCE[[#This Row],[PISO]])</f>
        <v>0</v>
      </c>
      <c r="BH696" s="3">
        <f>+IF(AVANCE[[#This Row],[TABIQUES]]=O$2,100%,AVANCE[[#This Row],[TABIQUES]])</f>
        <v>0</v>
      </c>
      <c r="BI696" s="3">
        <f>+IF(AVANCE[[#This Row],[MUROS]]=P$2,100%,AVANCE[[#This Row],[MUROS]])</f>
        <v>0</v>
      </c>
      <c r="BJ696" s="3">
        <f>+IF(AVANCE[[#This Row],[CIELO]]=Q$2,100%,AVANCE[[#This Row],[CIELO]])</f>
        <v>0</v>
      </c>
      <c r="BK696" s="3">
        <f>+IF(AVANCE[[#This Row],[BALCÓN]]=R$2,100%,AVANCE[[#This Row],[BALCÓN]])</f>
        <v>0</v>
      </c>
      <c r="BL696" s="3">
        <f>+IF(AVANCE[[#This Row],[RED ALCANTARILLADO]]=U$2,100%,AVANCE[[#This Row],[RED ALCANTARILLADO]])</f>
        <v>0</v>
      </c>
      <c r="BM696" s="3">
        <f>+IF(AVANCE[[#This Row],[RED DE AGUA]]=V$2,100%,AVANCE[[#This Row],[RED DE AGUA]])</f>
        <v>0</v>
      </c>
      <c r="BN696" s="3">
        <f>+IF(AVANCE[[#This Row],[VENTILACIONES]]=W$2,100%,AVANCE[[#This Row],[VENTILACIONES]])</f>
        <v>0</v>
      </c>
      <c r="BO696" s="3">
        <f>+IF(AVANCE[[#This Row],[TINA]]=X$2,100%,AVANCE[[#This Row],[TINA]])</f>
        <v>0</v>
      </c>
      <c r="BP696" s="3">
        <f>+IF(AVANCE[[#This Row],[WC]]=Y$2,100%,AVANCE[[#This Row],[WC]])</f>
        <v>0</v>
      </c>
      <c r="BQ696" s="3">
        <f>+IF(AVANCE[[#This Row],[LAVAMANOS / LAVAPLATOS / LAVADERO]]=Z$2,100%,AVANCE[[#This Row],[LAVAMANOS / LAVAPLATOS / LAVADERO]])</f>
        <v>0</v>
      </c>
      <c r="BR696" s="3">
        <f>+IF(AVANCE[[#This Row],[CANALIZACIÓN]]=AC$2,100%,AVANCE[[#This Row],[CANALIZACIÓN]])</f>
        <v>0</v>
      </c>
      <c r="BS696" s="3">
        <f>+IF(AVANCE[[#This Row],[CABLEADO]]=AD$2,100%,AVANCE[[#This Row],[CABLEADO]])</f>
        <v>0</v>
      </c>
      <c r="BT696" s="3">
        <f>+IF(AVANCE[[#This Row],[ARTEFACTOS]]=AE$2,100%,AVANCE[[#This Row],[ARTEFACTOS]])</f>
        <v>0</v>
      </c>
      <c r="BU696" s="3">
        <f>+IF(AVANCE[[#This Row],[TABLERO]]=AF$2,100%,AVANCE[[#This Row],[TABLERO]])</f>
        <v>0</v>
      </c>
      <c r="BV696" s="3">
        <f>+IF(AVANCE[[#This Row],[CAJA PAU]]=AG$2,100%,AVANCE[[#This Row],[CAJA PAU]])</f>
        <v>0</v>
      </c>
      <c r="BW696" s="3">
        <f>+IF(AVANCE[[#This Row],[INSTALACION VINILICO]]=AJ$2,100%,AVANCE[[#This Row],[INSTALACION VINILICO]])</f>
        <v>0</v>
      </c>
      <c r="BX696" s="3">
        <f>+IF(AVANCE[[#This Row],[OSB CUBIERTA]]=AK$2,100%,AVANCE[[#This Row],[OSB CUBIERTA]])</f>
        <v>0</v>
      </c>
      <c r="BY696" s="3">
        <f>+IF(AVANCE[[#This Row],[BARANDA BALCON]]=AL$2,100%,AVANCE[[#This Row],[BARANDA BALCON]])</f>
        <v>0</v>
      </c>
      <c r="BZ696" s="3">
        <f>+IF(AVANCE[[#This Row],[OSB EXTERIOR]]=AM$2,100%,AVANCE[[#This Row],[OSB EXTERIOR]])</f>
        <v>0</v>
      </c>
      <c r="CA696" s="3">
        <f>+IF(AVANCE[[#This Row],[SMART PANEL]]=AN$2,100%,AVANCE[[#This Row],[SMART PANEL]])</f>
        <v>0</v>
      </c>
      <c r="CB696" s="3">
        <f>+IF(AVANCE[[#This Row],[PINTURA EXTERIOR]]=AO$2,100%,AVANCE[[#This Row],[PINTURA EXTERIOR]])</f>
        <v>0</v>
      </c>
      <c r="CC696" s="3">
        <f>+IF(AVANCE[[#This Row],[ZOCALOS LOGIA]]=AP$2,100%,AVANCE[[#This Row],[ZOCALOS LOGIA]])</f>
        <v>0</v>
      </c>
      <c r="CD696" s="3">
        <f>+IF(AVANCE[[#This Row],[MOLDURAS]]=AQ$2,100%,AVANCE[[#This Row],[MOLDURAS]])</f>
        <v>0</v>
      </c>
      <c r="CE696" s="3">
        <f>+IF(AVANCE[[#This Row],[PILASTREO]]=AR$2,100%,AVANCE[[#This Row],[PILASTREO]])</f>
        <v>0</v>
      </c>
      <c r="CF696" s="3">
        <f>+IF(AVANCE[[#This Row],[CELOSIAS]]=AS$2,100%,AVANCE[[#This Row],[CELOSIAS]])</f>
        <v>0</v>
      </c>
      <c r="CG696" s="3">
        <f>+IF(AVANCE[[#This Row],[VENTANAS]]=AT$2,100%,AVANCE[[#This Row],[VENTANAS]])</f>
        <v>0</v>
      </c>
      <c r="CH696" s="3">
        <f>+IF(AVANCE[[#This Row],[PUERTAS ACCESO - LOGIA - BANO]]=AU$2,100%,AVANCE[[#This Row],[PUERTAS ACCESO - LOGIA - BANO]])</f>
        <v>0</v>
      </c>
      <c r="CI696" s="3">
        <f>+IF(AVANCE[[#This Row],[CERRADURAS]]=AV$2,100%,AVANCE[[#This Row],[CERRADURAS]])</f>
        <v>0</v>
      </c>
      <c r="CJ696" s="3">
        <f>+IF(AVANCE[[#This Row],[REVESTIMIENTO INTERIOR ZONA SECA]]=AW$2,100%,AVANCE[[#This Row],[REVESTIMIENTO INTERIOR ZONA SECA]])</f>
        <v>0</v>
      </c>
      <c r="CK696" s="3">
        <f>+IF(AVANCE[[#This Row],[REVESTIMIENTO INTERIOR ZONAS HUMEDAS]]=AX$2,100%,AVANCE[[#This Row],[REVESTIMIENTO INTERIOR ZONAS HUMEDAS]])</f>
        <v>0</v>
      </c>
      <c r="CL696" s="3">
        <f>+IF(AVANCE[[#This Row],[MEMBRANA CIELO]]=AY$2,100%,AVANCE[[#This Row],[MEMBRANA CIELO]])</f>
        <v>0</v>
      </c>
      <c r="CM696" s="3">
        <f>+IF(AVANCE[[#This Row],[LIMPIEZA FINAL]]=AZ$2,100%,AVANCE[[#This Row],[LIMPIEZA FINAL]])</f>
        <v>0</v>
      </c>
      <c r="CN696" s="3">
        <f>+IF(AVANCE[[#This Row],[PUERTAS DORMITORIO]]=BA$2,100%,AVANCE[[#This Row],[PUERTAS DORMITORIO]])</f>
        <v>0</v>
      </c>
      <c r="CO696" s="3">
        <f>+IF(AVANCE[[#This Row],[REVESTIMIENTO INTERIOR BANO]]=BB$2,100%,AVANCE[[#This Row],[REVESTIMIENTO INTERIOR BANO]])</f>
        <v>0</v>
      </c>
      <c r="CP696" s="3">
        <f>+IF(AVANCE[[#This Row],[MUEBLE LAVAPLATOS]]=BC$2,100%,AVANCE[[#This Row],[MUEBLE LAVAPLATOS]])</f>
        <v>0</v>
      </c>
      <c r="CQ696" s="3">
        <f>+IF(AVANCE[[#This Row],[IMPERMEABILIZACION BANO - COCINA LOGIA]]=BD$2,100%,AVANCE[[#This Row],[IMPERMEABILIZACION BANO - COCINA LOGIA]])</f>
        <v>0</v>
      </c>
      <c r="CR696" s="40">
        <f ca="1">+IF(AVANCE[[#This Row],[ESTADO MODULO]]="PENDIENTE",(TODAY()-AVANCE[[#This Row],[FECHA TERMINO  PLANIFICADO]]),0)</f>
        <v>0</v>
      </c>
      <c r="CS696" s="42" t="str" cm="1">
        <f t="array" ref="CS696">_xlfn.TEXTJOIN(" | ",TRUE,IF(SUMPRODUCT((BF696:CQ696&lt;1)*(PARTIDAS!$I$2:$AT$2="OBRA GRUESA"))&gt;0,"OBRA GRUESA: "&amp;_xlfn.TEXTJOIN(", ",TRUE,IF((BF696:CQ696&lt;1)*(PARTIDAS!$I$2:$AT$2="OBRA GRUESA"),PARTIDAS!$I$1:$AT$1,"")),""),IF(SUMPRODUCT((BF696:CQ696&lt;1)*(PARTIDAS!$I$2:$AT$2="SANITARIOS"))&gt;0,"SANITARIOS: "&amp;_xlfn.TEXTJOIN(", ",TRUE,IF((BF696:CQ696&lt;1)*(PARTIDAS!$I$2:$AT$2="SANITARIOS"),PARTIDAS!$I$1:$AT$1,"")),""),IF(SUMPRODUCT((BF696:CQ696&lt;1)*(PARTIDAS!$I$2:$AT$2="ELÉCTRICO"))&gt;0,"ELÉCTRICO: "&amp;_xlfn.TEXTJOIN(", ",TRUE,IF((BF696:CQ696&lt;1)*(PARTIDAS!$I$2:$AT$2="ELÉCTRICO"),PARTIDAS!$I$1:$AT$1,"")),""),IF(SUMPRODUCT((BF696:CQ696&lt;1)*(PARTIDAS!$I$2:$AT$2="TERMINACIONES"))&gt;0,"TERMINACIONES: "&amp;_xlfn.TEXTJOIN(", ",TRUE,IF((BF696:CQ696&lt;1)*(PARTIDAS!$I$2:$AT$2="TERMINACIONES"),PARTIDAS!$I$1:$AT$1,"")),""))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6" s="45" t="str" cm="1">
        <f t="array" ref="CT696">_xlfn.TEXTJOIN(", ",TRUE,IF(SUMPRODUCT((BF696:CQ696&lt;1)*(PARTIDAS!$I$2:$AT$2="OBRA GRUESA"))&gt;0,"OBRA GRUESA",""),IF(SUMPRODUCT((BF696:CQ696&lt;1)*(PARTIDAS!$I$2:$AT$2="SANITARIOS"))&gt;0,"SANITARIOS",""),IF(SUMPRODUCT((BF696:CQ696&lt;1)*(PARTIDAS!$I$2:$AT$2="ELÉCTRICO"))&gt;0,"ELÉCTRICO",""),IF(SUMPRODUCT((BF696:CQ696&lt;1)*(PARTIDAS!$I$2:$AT$2="TERMINACIONES"))&gt;0,"TERMINACIONES",""))</f>
        <v>OBRA GRUESA, SANITARIOS, ELÉCTRICO, TERMINACIONES</v>
      </c>
      <c r="CU696" s="46" cm="1">
        <f t="array" ref="CU696">SUMPRODUCT(--(BF696:CQ696&lt;1))</f>
        <v>38</v>
      </c>
    </row>
    <row r="697" spans="1:99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46181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 s="3" t="str">
        <f>+IF(AVANCE[[#This Row],[% AVANCE]]=100%,"MODULO TERMINADO",IF(AVANCE[[#This Row],[FECHA INICIO REAL]]="","MODULO NO INICIADO","PENDIENTE"))</f>
        <v>MODULO NO INICIADO</v>
      </c>
      <c r="BF697" s="3">
        <f>+IF(AVANCE[[#This Row],[VENTANAS]]=8.10810810810811%,100%,AVANCE[[#This Row],[VENTANAS]])</f>
        <v>0</v>
      </c>
      <c r="BG697" s="3">
        <f>+IF(AVANCE[[#This Row],[PISO]]=N$2,100%,AVANCE[[#This Row],[PISO]])</f>
        <v>0</v>
      </c>
      <c r="BH697" s="3">
        <f>+IF(AVANCE[[#This Row],[TABIQUES]]=O$2,100%,AVANCE[[#This Row],[TABIQUES]])</f>
        <v>0</v>
      </c>
      <c r="BI697" s="3">
        <f>+IF(AVANCE[[#This Row],[MUROS]]=P$2,100%,AVANCE[[#This Row],[MUROS]])</f>
        <v>0</v>
      </c>
      <c r="BJ697" s="3">
        <f>+IF(AVANCE[[#This Row],[CIELO]]=Q$2,100%,AVANCE[[#This Row],[CIELO]])</f>
        <v>0</v>
      </c>
      <c r="BK697" s="3">
        <f>+IF(AVANCE[[#This Row],[BALCÓN]]=R$2,100%,AVANCE[[#This Row],[BALCÓN]])</f>
        <v>0</v>
      </c>
      <c r="BL697" s="3">
        <f>+IF(AVANCE[[#This Row],[RED ALCANTARILLADO]]=U$2,100%,AVANCE[[#This Row],[RED ALCANTARILLADO]])</f>
        <v>0</v>
      </c>
      <c r="BM697" s="3">
        <f>+IF(AVANCE[[#This Row],[RED DE AGUA]]=V$2,100%,AVANCE[[#This Row],[RED DE AGUA]])</f>
        <v>0</v>
      </c>
      <c r="BN697" s="3">
        <f>+IF(AVANCE[[#This Row],[VENTILACIONES]]=W$2,100%,AVANCE[[#This Row],[VENTILACIONES]])</f>
        <v>0</v>
      </c>
      <c r="BO697" s="3">
        <f>+IF(AVANCE[[#This Row],[TINA]]=X$2,100%,AVANCE[[#This Row],[TINA]])</f>
        <v>0</v>
      </c>
      <c r="BP697" s="3">
        <f>+IF(AVANCE[[#This Row],[WC]]=Y$2,100%,AVANCE[[#This Row],[WC]])</f>
        <v>0</v>
      </c>
      <c r="BQ697" s="3">
        <f>+IF(AVANCE[[#This Row],[LAVAMANOS / LAVAPLATOS / LAVADERO]]=Z$2,100%,AVANCE[[#This Row],[LAVAMANOS / LAVAPLATOS / LAVADERO]])</f>
        <v>0</v>
      </c>
      <c r="BR697" s="3">
        <f>+IF(AVANCE[[#This Row],[CANALIZACIÓN]]=AC$2,100%,AVANCE[[#This Row],[CANALIZACIÓN]])</f>
        <v>0</v>
      </c>
      <c r="BS697" s="3">
        <f>+IF(AVANCE[[#This Row],[CABLEADO]]=AD$2,100%,AVANCE[[#This Row],[CABLEADO]])</f>
        <v>0</v>
      </c>
      <c r="BT697" s="3">
        <f>+IF(AVANCE[[#This Row],[ARTEFACTOS]]=AE$2,100%,AVANCE[[#This Row],[ARTEFACTOS]])</f>
        <v>0</v>
      </c>
      <c r="BU697" s="3">
        <f>+IF(AVANCE[[#This Row],[TABLERO]]=AF$2,100%,AVANCE[[#This Row],[TABLERO]])</f>
        <v>0</v>
      </c>
      <c r="BV697" s="3">
        <f>+IF(AVANCE[[#This Row],[CAJA PAU]]=AG$2,100%,AVANCE[[#This Row],[CAJA PAU]])</f>
        <v>0</v>
      </c>
      <c r="BW697" s="3">
        <f>+IF(AVANCE[[#This Row],[INSTALACION VINILICO]]=AJ$2,100%,AVANCE[[#This Row],[INSTALACION VINILICO]])</f>
        <v>0</v>
      </c>
      <c r="BX697" s="3">
        <f>+IF(AVANCE[[#This Row],[OSB CUBIERTA]]=AK$2,100%,AVANCE[[#This Row],[OSB CUBIERTA]])</f>
        <v>0</v>
      </c>
      <c r="BY697" s="3">
        <f>+IF(AVANCE[[#This Row],[BARANDA BALCON]]=AL$2,100%,AVANCE[[#This Row],[BARANDA BALCON]])</f>
        <v>0</v>
      </c>
      <c r="BZ697" s="3">
        <f>+IF(AVANCE[[#This Row],[OSB EXTERIOR]]=AM$2,100%,AVANCE[[#This Row],[OSB EXTERIOR]])</f>
        <v>0</v>
      </c>
      <c r="CA697" s="3">
        <f>+IF(AVANCE[[#This Row],[SMART PANEL]]=AN$2,100%,AVANCE[[#This Row],[SMART PANEL]])</f>
        <v>0</v>
      </c>
      <c r="CB697" s="3">
        <f>+IF(AVANCE[[#This Row],[PINTURA EXTERIOR]]=AO$2,100%,AVANCE[[#This Row],[PINTURA EXTERIOR]])</f>
        <v>0</v>
      </c>
      <c r="CC697" s="3">
        <f>+IF(AVANCE[[#This Row],[ZOCALOS LOGIA]]=AP$2,100%,AVANCE[[#This Row],[ZOCALOS LOGIA]])</f>
        <v>0</v>
      </c>
      <c r="CD697" s="3">
        <f>+IF(AVANCE[[#This Row],[MOLDURAS]]=AQ$2,100%,AVANCE[[#This Row],[MOLDURAS]])</f>
        <v>0</v>
      </c>
      <c r="CE697" s="3">
        <f>+IF(AVANCE[[#This Row],[PILASTREO]]=AR$2,100%,AVANCE[[#This Row],[PILASTREO]])</f>
        <v>0</v>
      </c>
      <c r="CF697" s="3">
        <f>+IF(AVANCE[[#This Row],[CELOSIAS]]=AS$2,100%,AVANCE[[#This Row],[CELOSIAS]])</f>
        <v>0</v>
      </c>
      <c r="CG697" s="3">
        <f>+IF(AVANCE[[#This Row],[VENTANAS]]=AT$2,100%,AVANCE[[#This Row],[VENTANAS]])</f>
        <v>0</v>
      </c>
      <c r="CH697" s="3">
        <f>+IF(AVANCE[[#This Row],[PUERTAS ACCESO - LOGIA - BANO]]=AU$2,100%,AVANCE[[#This Row],[PUERTAS ACCESO - LOGIA - BANO]])</f>
        <v>0</v>
      </c>
      <c r="CI697" s="3">
        <f>+IF(AVANCE[[#This Row],[CERRADURAS]]=AV$2,100%,AVANCE[[#This Row],[CERRADURAS]])</f>
        <v>0</v>
      </c>
      <c r="CJ697" s="3">
        <f>+IF(AVANCE[[#This Row],[REVESTIMIENTO INTERIOR ZONA SECA]]=AW$2,100%,AVANCE[[#This Row],[REVESTIMIENTO INTERIOR ZONA SECA]])</f>
        <v>0</v>
      </c>
      <c r="CK697" s="3">
        <f>+IF(AVANCE[[#This Row],[REVESTIMIENTO INTERIOR ZONAS HUMEDAS]]=AX$2,100%,AVANCE[[#This Row],[REVESTIMIENTO INTERIOR ZONAS HUMEDAS]])</f>
        <v>0</v>
      </c>
      <c r="CL697" s="3">
        <f>+IF(AVANCE[[#This Row],[MEMBRANA CIELO]]=AY$2,100%,AVANCE[[#This Row],[MEMBRANA CIELO]])</f>
        <v>0</v>
      </c>
      <c r="CM697" s="3">
        <f>+IF(AVANCE[[#This Row],[LIMPIEZA FINAL]]=AZ$2,100%,AVANCE[[#This Row],[LIMPIEZA FINAL]])</f>
        <v>0</v>
      </c>
      <c r="CN697" s="3">
        <f>+IF(AVANCE[[#This Row],[PUERTAS DORMITORIO]]=BA$2,100%,AVANCE[[#This Row],[PUERTAS DORMITORIO]])</f>
        <v>0</v>
      </c>
      <c r="CO697" s="3">
        <f>+IF(AVANCE[[#This Row],[REVESTIMIENTO INTERIOR BANO]]=BB$2,100%,AVANCE[[#This Row],[REVESTIMIENTO INTERIOR BANO]])</f>
        <v>0</v>
      </c>
      <c r="CP697" s="3">
        <f>+IF(AVANCE[[#This Row],[MUEBLE LAVAPLATOS]]=BC$2,100%,AVANCE[[#This Row],[MUEBLE LAVAPLATOS]])</f>
        <v>0</v>
      </c>
      <c r="CQ697" s="3">
        <f>+IF(AVANCE[[#This Row],[IMPERMEABILIZACION BANO - COCINA LOGIA]]=BD$2,100%,AVANCE[[#This Row],[IMPERMEABILIZACION BANO - COCINA LOGIA]])</f>
        <v>0</v>
      </c>
      <c r="CR697" s="40">
        <f ca="1">+IF(AVANCE[[#This Row],[ESTADO MODULO]]="PENDIENTE",(TODAY()-AVANCE[[#This Row],[FECHA TERMINO  PLANIFICADO]]),0)</f>
        <v>0</v>
      </c>
      <c r="CS697" s="42" t="str" cm="1">
        <f t="array" ref="CS697">_xlfn.TEXTJOIN(" | ",TRUE,IF(SUMPRODUCT((BF697:CQ697&lt;1)*(PARTIDAS!$I$2:$AT$2="OBRA GRUESA"))&gt;0,"OBRA GRUESA: "&amp;_xlfn.TEXTJOIN(", ",TRUE,IF((BF697:CQ697&lt;1)*(PARTIDAS!$I$2:$AT$2="OBRA GRUESA"),PARTIDAS!$I$1:$AT$1,"")),""),IF(SUMPRODUCT((BF697:CQ697&lt;1)*(PARTIDAS!$I$2:$AT$2="SANITARIOS"))&gt;0,"SANITARIOS: "&amp;_xlfn.TEXTJOIN(", ",TRUE,IF((BF697:CQ697&lt;1)*(PARTIDAS!$I$2:$AT$2="SANITARIOS"),PARTIDAS!$I$1:$AT$1,"")),""),IF(SUMPRODUCT((BF697:CQ697&lt;1)*(PARTIDAS!$I$2:$AT$2="ELÉCTRICO"))&gt;0,"ELÉCTRICO: "&amp;_xlfn.TEXTJOIN(", ",TRUE,IF((BF697:CQ697&lt;1)*(PARTIDAS!$I$2:$AT$2="ELÉCTRICO"),PARTIDAS!$I$1:$AT$1,"")),""),IF(SUMPRODUCT((BF697:CQ697&lt;1)*(PARTIDAS!$I$2:$AT$2="TERMINACIONES"))&gt;0,"TERMINACIONES: "&amp;_xlfn.TEXTJOIN(", ",TRUE,IF((BF697:CQ697&lt;1)*(PARTIDAS!$I$2:$AT$2="TERMINACIONES"),PARTIDAS!$I$1:$AT$1,"")),""))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7" s="45" t="str" cm="1">
        <f t="array" ref="CT697">_xlfn.TEXTJOIN(", ",TRUE,IF(SUMPRODUCT((BF697:CQ697&lt;1)*(PARTIDAS!$I$2:$AT$2="OBRA GRUESA"))&gt;0,"OBRA GRUESA",""),IF(SUMPRODUCT((BF697:CQ697&lt;1)*(PARTIDAS!$I$2:$AT$2="SANITARIOS"))&gt;0,"SANITARIOS",""),IF(SUMPRODUCT((BF697:CQ697&lt;1)*(PARTIDAS!$I$2:$AT$2="ELÉCTRICO"))&gt;0,"ELÉCTRICO",""),IF(SUMPRODUCT((BF697:CQ697&lt;1)*(PARTIDAS!$I$2:$AT$2="TERMINACIONES"))&gt;0,"TERMINACIONES",""))</f>
        <v>OBRA GRUESA, SANITARIOS, ELÉCTRICO, TERMINACIONES</v>
      </c>
      <c r="CU697" s="46" cm="1">
        <f t="array" ref="CU697">SUMPRODUCT(--(BF697:CQ697&lt;1))</f>
        <v>38</v>
      </c>
    </row>
    <row r="698" spans="1:99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46181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 s="3" t="str">
        <f>+IF(AVANCE[[#This Row],[% AVANCE]]=100%,"MODULO TERMINADO",IF(AVANCE[[#This Row],[FECHA INICIO REAL]]="","MODULO NO INICIADO","PENDIENTE"))</f>
        <v>MODULO NO INICIADO</v>
      </c>
      <c r="BF698" s="3">
        <f>+IF(AVANCE[[#This Row],[VENTANAS]]=8.10810810810811%,100%,AVANCE[[#This Row],[VENTANAS]])</f>
        <v>0</v>
      </c>
      <c r="BG698" s="3">
        <f>+IF(AVANCE[[#This Row],[PISO]]=N$2,100%,AVANCE[[#This Row],[PISO]])</f>
        <v>0</v>
      </c>
      <c r="BH698" s="3">
        <f>+IF(AVANCE[[#This Row],[TABIQUES]]=O$2,100%,AVANCE[[#This Row],[TABIQUES]])</f>
        <v>0</v>
      </c>
      <c r="BI698" s="3">
        <f>+IF(AVANCE[[#This Row],[MUROS]]=P$2,100%,AVANCE[[#This Row],[MUROS]])</f>
        <v>0</v>
      </c>
      <c r="BJ698" s="3">
        <f>+IF(AVANCE[[#This Row],[CIELO]]=Q$2,100%,AVANCE[[#This Row],[CIELO]])</f>
        <v>0</v>
      </c>
      <c r="BK698" s="3">
        <f>+IF(AVANCE[[#This Row],[BALCÓN]]=R$2,100%,AVANCE[[#This Row],[BALCÓN]])</f>
        <v>0</v>
      </c>
      <c r="BL698" s="3">
        <f>+IF(AVANCE[[#This Row],[RED ALCANTARILLADO]]=U$2,100%,AVANCE[[#This Row],[RED ALCANTARILLADO]])</f>
        <v>0</v>
      </c>
      <c r="BM698" s="3">
        <f>+IF(AVANCE[[#This Row],[RED DE AGUA]]=V$2,100%,AVANCE[[#This Row],[RED DE AGUA]])</f>
        <v>0</v>
      </c>
      <c r="BN698" s="3">
        <f>+IF(AVANCE[[#This Row],[VENTILACIONES]]=W$2,100%,AVANCE[[#This Row],[VENTILACIONES]])</f>
        <v>0</v>
      </c>
      <c r="BO698" s="3">
        <f>+IF(AVANCE[[#This Row],[TINA]]=X$2,100%,AVANCE[[#This Row],[TINA]])</f>
        <v>0</v>
      </c>
      <c r="BP698" s="3">
        <f>+IF(AVANCE[[#This Row],[WC]]=Y$2,100%,AVANCE[[#This Row],[WC]])</f>
        <v>0</v>
      </c>
      <c r="BQ698" s="3">
        <f>+IF(AVANCE[[#This Row],[LAVAMANOS / LAVAPLATOS / LAVADERO]]=Z$2,100%,AVANCE[[#This Row],[LAVAMANOS / LAVAPLATOS / LAVADERO]])</f>
        <v>0</v>
      </c>
      <c r="BR698" s="3">
        <f>+IF(AVANCE[[#This Row],[CANALIZACIÓN]]=AC$2,100%,AVANCE[[#This Row],[CANALIZACIÓN]])</f>
        <v>0</v>
      </c>
      <c r="BS698" s="3">
        <f>+IF(AVANCE[[#This Row],[CABLEADO]]=AD$2,100%,AVANCE[[#This Row],[CABLEADO]])</f>
        <v>0</v>
      </c>
      <c r="BT698" s="3">
        <f>+IF(AVANCE[[#This Row],[ARTEFACTOS]]=AE$2,100%,AVANCE[[#This Row],[ARTEFACTOS]])</f>
        <v>0</v>
      </c>
      <c r="BU698" s="3">
        <f>+IF(AVANCE[[#This Row],[TABLERO]]=AF$2,100%,AVANCE[[#This Row],[TABLERO]])</f>
        <v>0</v>
      </c>
      <c r="BV698" s="3">
        <f>+IF(AVANCE[[#This Row],[CAJA PAU]]=AG$2,100%,AVANCE[[#This Row],[CAJA PAU]])</f>
        <v>0</v>
      </c>
      <c r="BW698" s="3">
        <f>+IF(AVANCE[[#This Row],[INSTALACION VINILICO]]=AJ$2,100%,AVANCE[[#This Row],[INSTALACION VINILICO]])</f>
        <v>0</v>
      </c>
      <c r="BX698" s="3">
        <f>+IF(AVANCE[[#This Row],[OSB CUBIERTA]]=AK$2,100%,AVANCE[[#This Row],[OSB CUBIERTA]])</f>
        <v>0</v>
      </c>
      <c r="BY698" s="3">
        <f>+IF(AVANCE[[#This Row],[BARANDA BALCON]]=AL$2,100%,AVANCE[[#This Row],[BARANDA BALCON]])</f>
        <v>0</v>
      </c>
      <c r="BZ698" s="3">
        <f>+IF(AVANCE[[#This Row],[OSB EXTERIOR]]=AM$2,100%,AVANCE[[#This Row],[OSB EXTERIOR]])</f>
        <v>0</v>
      </c>
      <c r="CA698" s="3">
        <f>+IF(AVANCE[[#This Row],[SMART PANEL]]=AN$2,100%,AVANCE[[#This Row],[SMART PANEL]])</f>
        <v>0</v>
      </c>
      <c r="CB698" s="3">
        <f>+IF(AVANCE[[#This Row],[PINTURA EXTERIOR]]=AO$2,100%,AVANCE[[#This Row],[PINTURA EXTERIOR]])</f>
        <v>0</v>
      </c>
      <c r="CC698" s="3">
        <f>+IF(AVANCE[[#This Row],[ZOCALOS LOGIA]]=AP$2,100%,AVANCE[[#This Row],[ZOCALOS LOGIA]])</f>
        <v>0</v>
      </c>
      <c r="CD698" s="3">
        <f>+IF(AVANCE[[#This Row],[MOLDURAS]]=AQ$2,100%,AVANCE[[#This Row],[MOLDURAS]])</f>
        <v>0</v>
      </c>
      <c r="CE698" s="3">
        <f>+IF(AVANCE[[#This Row],[PILASTREO]]=AR$2,100%,AVANCE[[#This Row],[PILASTREO]])</f>
        <v>0</v>
      </c>
      <c r="CF698" s="3">
        <f>+IF(AVANCE[[#This Row],[CELOSIAS]]=AS$2,100%,AVANCE[[#This Row],[CELOSIAS]])</f>
        <v>0</v>
      </c>
      <c r="CG698" s="3">
        <f>+IF(AVANCE[[#This Row],[VENTANAS]]=AT$2,100%,AVANCE[[#This Row],[VENTANAS]])</f>
        <v>0</v>
      </c>
      <c r="CH698" s="3">
        <f>+IF(AVANCE[[#This Row],[PUERTAS ACCESO - LOGIA - BANO]]=AU$2,100%,AVANCE[[#This Row],[PUERTAS ACCESO - LOGIA - BANO]])</f>
        <v>0</v>
      </c>
      <c r="CI698" s="3">
        <f>+IF(AVANCE[[#This Row],[CERRADURAS]]=AV$2,100%,AVANCE[[#This Row],[CERRADURAS]])</f>
        <v>0</v>
      </c>
      <c r="CJ698" s="3">
        <f>+IF(AVANCE[[#This Row],[REVESTIMIENTO INTERIOR ZONA SECA]]=AW$2,100%,AVANCE[[#This Row],[REVESTIMIENTO INTERIOR ZONA SECA]])</f>
        <v>0</v>
      </c>
      <c r="CK698" s="3">
        <f>+IF(AVANCE[[#This Row],[REVESTIMIENTO INTERIOR ZONAS HUMEDAS]]=AX$2,100%,AVANCE[[#This Row],[REVESTIMIENTO INTERIOR ZONAS HUMEDAS]])</f>
        <v>0</v>
      </c>
      <c r="CL698" s="3">
        <f>+IF(AVANCE[[#This Row],[MEMBRANA CIELO]]=AY$2,100%,AVANCE[[#This Row],[MEMBRANA CIELO]])</f>
        <v>0</v>
      </c>
      <c r="CM698" s="3">
        <f>+IF(AVANCE[[#This Row],[LIMPIEZA FINAL]]=AZ$2,100%,AVANCE[[#This Row],[LIMPIEZA FINAL]])</f>
        <v>0</v>
      </c>
      <c r="CN698" s="3">
        <f>+IF(AVANCE[[#This Row],[PUERTAS DORMITORIO]]=BA$2,100%,AVANCE[[#This Row],[PUERTAS DORMITORIO]])</f>
        <v>0</v>
      </c>
      <c r="CO698" s="3">
        <f>+IF(AVANCE[[#This Row],[REVESTIMIENTO INTERIOR BANO]]=BB$2,100%,AVANCE[[#This Row],[REVESTIMIENTO INTERIOR BANO]])</f>
        <v>0</v>
      </c>
      <c r="CP698" s="3">
        <f>+IF(AVANCE[[#This Row],[MUEBLE LAVAPLATOS]]=BC$2,100%,AVANCE[[#This Row],[MUEBLE LAVAPLATOS]])</f>
        <v>0</v>
      </c>
      <c r="CQ698" s="3">
        <f>+IF(AVANCE[[#This Row],[IMPERMEABILIZACION BANO - COCINA LOGIA]]=BD$2,100%,AVANCE[[#This Row],[IMPERMEABILIZACION BANO - COCINA LOGIA]])</f>
        <v>0</v>
      </c>
      <c r="CR698" s="40">
        <f ca="1">+IF(AVANCE[[#This Row],[ESTADO MODULO]]="PENDIENTE",(TODAY()-AVANCE[[#This Row],[FECHA TERMINO  PLANIFICADO]]),0)</f>
        <v>0</v>
      </c>
      <c r="CS698" s="42" t="str" cm="1">
        <f t="array" ref="CS698">_xlfn.TEXTJOIN(" | ",TRUE,IF(SUMPRODUCT((BF698:CQ698&lt;1)*(PARTIDAS!$I$2:$AT$2="OBRA GRUESA"))&gt;0,"OBRA GRUESA: "&amp;_xlfn.TEXTJOIN(", ",TRUE,IF((BF698:CQ698&lt;1)*(PARTIDAS!$I$2:$AT$2="OBRA GRUESA"),PARTIDAS!$I$1:$AT$1,"")),""),IF(SUMPRODUCT((BF698:CQ698&lt;1)*(PARTIDAS!$I$2:$AT$2="SANITARIOS"))&gt;0,"SANITARIOS: "&amp;_xlfn.TEXTJOIN(", ",TRUE,IF((BF698:CQ698&lt;1)*(PARTIDAS!$I$2:$AT$2="SANITARIOS"),PARTIDAS!$I$1:$AT$1,"")),""),IF(SUMPRODUCT((BF698:CQ698&lt;1)*(PARTIDAS!$I$2:$AT$2="ELÉCTRICO"))&gt;0,"ELÉCTRICO: "&amp;_xlfn.TEXTJOIN(", ",TRUE,IF((BF698:CQ698&lt;1)*(PARTIDAS!$I$2:$AT$2="ELÉCTRICO"),PARTIDAS!$I$1:$AT$1,"")),""),IF(SUMPRODUCT((BF698:CQ698&lt;1)*(PARTIDAS!$I$2:$AT$2="TERMINACIONES"))&gt;0,"TERMINACIONES: "&amp;_xlfn.TEXTJOIN(", ",TRUE,IF((BF698:CQ698&lt;1)*(PARTIDAS!$I$2:$AT$2="TERMINACIONES"),PARTIDAS!$I$1:$AT$1,"")),""))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8" s="45" t="str" cm="1">
        <f t="array" ref="CT698">_xlfn.TEXTJOIN(", ",TRUE,IF(SUMPRODUCT((BF698:CQ698&lt;1)*(PARTIDAS!$I$2:$AT$2="OBRA GRUESA"))&gt;0,"OBRA GRUESA",""),IF(SUMPRODUCT((BF698:CQ698&lt;1)*(PARTIDAS!$I$2:$AT$2="SANITARIOS"))&gt;0,"SANITARIOS",""),IF(SUMPRODUCT((BF698:CQ698&lt;1)*(PARTIDAS!$I$2:$AT$2="ELÉCTRICO"))&gt;0,"ELÉCTRICO",""),IF(SUMPRODUCT((BF698:CQ698&lt;1)*(PARTIDAS!$I$2:$AT$2="TERMINACIONES"))&gt;0,"TERMINACIONES",""))</f>
        <v>OBRA GRUESA, SANITARIOS, ELÉCTRICO, TERMINACIONES</v>
      </c>
      <c r="CU698" s="46" cm="1">
        <f t="array" ref="CU698">SUMPRODUCT(--(BF698:CQ698&lt;1))</f>
        <v>38</v>
      </c>
    </row>
    <row r="699" spans="1:99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46181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 s="3" t="str">
        <f>+IF(AVANCE[[#This Row],[% AVANCE]]=100%,"MODULO TERMINADO",IF(AVANCE[[#This Row],[FECHA INICIO REAL]]="","MODULO NO INICIADO","PENDIENTE"))</f>
        <v>MODULO NO INICIADO</v>
      </c>
      <c r="BF699" s="3">
        <f>+IF(AVANCE[[#This Row],[VENTANAS]]=8.10810810810811%,100%,AVANCE[[#This Row],[VENTANAS]])</f>
        <v>0</v>
      </c>
      <c r="BG699" s="3">
        <f>+IF(AVANCE[[#This Row],[PISO]]=N$2,100%,AVANCE[[#This Row],[PISO]])</f>
        <v>0</v>
      </c>
      <c r="BH699" s="3">
        <f>+IF(AVANCE[[#This Row],[TABIQUES]]=O$2,100%,AVANCE[[#This Row],[TABIQUES]])</f>
        <v>0</v>
      </c>
      <c r="BI699" s="3">
        <f>+IF(AVANCE[[#This Row],[MUROS]]=P$2,100%,AVANCE[[#This Row],[MUROS]])</f>
        <v>0</v>
      </c>
      <c r="BJ699" s="3">
        <f>+IF(AVANCE[[#This Row],[CIELO]]=Q$2,100%,AVANCE[[#This Row],[CIELO]])</f>
        <v>0</v>
      </c>
      <c r="BK699" s="3">
        <f>+IF(AVANCE[[#This Row],[BALCÓN]]=R$2,100%,AVANCE[[#This Row],[BALCÓN]])</f>
        <v>0</v>
      </c>
      <c r="BL699" s="3">
        <f>+IF(AVANCE[[#This Row],[RED ALCANTARILLADO]]=U$2,100%,AVANCE[[#This Row],[RED ALCANTARILLADO]])</f>
        <v>0</v>
      </c>
      <c r="BM699" s="3">
        <f>+IF(AVANCE[[#This Row],[RED DE AGUA]]=V$2,100%,AVANCE[[#This Row],[RED DE AGUA]])</f>
        <v>0</v>
      </c>
      <c r="BN699" s="3">
        <f>+IF(AVANCE[[#This Row],[VENTILACIONES]]=W$2,100%,AVANCE[[#This Row],[VENTILACIONES]])</f>
        <v>0</v>
      </c>
      <c r="BO699" s="3">
        <f>+IF(AVANCE[[#This Row],[TINA]]=X$2,100%,AVANCE[[#This Row],[TINA]])</f>
        <v>0</v>
      </c>
      <c r="BP699" s="3">
        <f>+IF(AVANCE[[#This Row],[WC]]=Y$2,100%,AVANCE[[#This Row],[WC]])</f>
        <v>0</v>
      </c>
      <c r="BQ699" s="3">
        <f>+IF(AVANCE[[#This Row],[LAVAMANOS / LAVAPLATOS / LAVADERO]]=Z$2,100%,AVANCE[[#This Row],[LAVAMANOS / LAVAPLATOS / LAVADERO]])</f>
        <v>0</v>
      </c>
      <c r="BR699" s="3">
        <f>+IF(AVANCE[[#This Row],[CANALIZACIÓN]]=AC$2,100%,AVANCE[[#This Row],[CANALIZACIÓN]])</f>
        <v>0</v>
      </c>
      <c r="BS699" s="3">
        <f>+IF(AVANCE[[#This Row],[CABLEADO]]=AD$2,100%,AVANCE[[#This Row],[CABLEADO]])</f>
        <v>0</v>
      </c>
      <c r="BT699" s="3">
        <f>+IF(AVANCE[[#This Row],[ARTEFACTOS]]=AE$2,100%,AVANCE[[#This Row],[ARTEFACTOS]])</f>
        <v>0</v>
      </c>
      <c r="BU699" s="3">
        <f>+IF(AVANCE[[#This Row],[TABLERO]]=AF$2,100%,AVANCE[[#This Row],[TABLERO]])</f>
        <v>0</v>
      </c>
      <c r="BV699" s="3">
        <f>+IF(AVANCE[[#This Row],[CAJA PAU]]=AG$2,100%,AVANCE[[#This Row],[CAJA PAU]])</f>
        <v>0</v>
      </c>
      <c r="BW699" s="3">
        <f>+IF(AVANCE[[#This Row],[INSTALACION VINILICO]]=AJ$2,100%,AVANCE[[#This Row],[INSTALACION VINILICO]])</f>
        <v>0</v>
      </c>
      <c r="BX699" s="3">
        <f>+IF(AVANCE[[#This Row],[OSB CUBIERTA]]=AK$2,100%,AVANCE[[#This Row],[OSB CUBIERTA]])</f>
        <v>0</v>
      </c>
      <c r="BY699" s="3">
        <f>+IF(AVANCE[[#This Row],[BARANDA BALCON]]=AL$2,100%,AVANCE[[#This Row],[BARANDA BALCON]])</f>
        <v>0</v>
      </c>
      <c r="BZ699" s="3">
        <f>+IF(AVANCE[[#This Row],[OSB EXTERIOR]]=AM$2,100%,AVANCE[[#This Row],[OSB EXTERIOR]])</f>
        <v>0</v>
      </c>
      <c r="CA699" s="3">
        <f>+IF(AVANCE[[#This Row],[SMART PANEL]]=AN$2,100%,AVANCE[[#This Row],[SMART PANEL]])</f>
        <v>0</v>
      </c>
      <c r="CB699" s="3">
        <f>+IF(AVANCE[[#This Row],[PINTURA EXTERIOR]]=AO$2,100%,AVANCE[[#This Row],[PINTURA EXTERIOR]])</f>
        <v>0</v>
      </c>
      <c r="CC699" s="3">
        <f>+IF(AVANCE[[#This Row],[ZOCALOS LOGIA]]=AP$2,100%,AVANCE[[#This Row],[ZOCALOS LOGIA]])</f>
        <v>0</v>
      </c>
      <c r="CD699" s="3">
        <f>+IF(AVANCE[[#This Row],[MOLDURAS]]=AQ$2,100%,AVANCE[[#This Row],[MOLDURAS]])</f>
        <v>0</v>
      </c>
      <c r="CE699" s="3">
        <f>+IF(AVANCE[[#This Row],[PILASTREO]]=AR$2,100%,AVANCE[[#This Row],[PILASTREO]])</f>
        <v>0</v>
      </c>
      <c r="CF699" s="3">
        <f>+IF(AVANCE[[#This Row],[CELOSIAS]]=AS$2,100%,AVANCE[[#This Row],[CELOSIAS]])</f>
        <v>0</v>
      </c>
      <c r="CG699" s="3">
        <f>+IF(AVANCE[[#This Row],[VENTANAS]]=AT$2,100%,AVANCE[[#This Row],[VENTANAS]])</f>
        <v>0</v>
      </c>
      <c r="CH699" s="3">
        <f>+IF(AVANCE[[#This Row],[PUERTAS ACCESO - LOGIA - BANO]]=AU$2,100%,AVANCE[[#This Row],[PUERTAS ACCESO - LOGIA - BANO]])</f>
        <v>0</v>
      </c>
      <c r="CI699" s="3">
        <f>+IF(AVANCE[[#This Row],[CERRADURAS]]=AV$2,100%,AVANCE[[#This Row],[CERRADURAS]])</f>
        <v>0</v>
      </c>
      <c r="CJ699" s="3">
        <f>+IF(AVANCE[[#This Row],[REVESTIMIENTO INTERIOR ZONA SECA]]=AW$2,100%,AVANCE[[#This Row],[REVESTIMIENTO INTERIOR ZONA SECA]])</f>
        <v>0</v>
      </c>
      <c r="CK699" s="3">
        <f>+IF(AVANCE[[#This Row],[REVESTIMIENTO INTERIOR ZONAS HUMEDAS]]=AX$2,100%,AVANCE[[#This Row],[REVESTIMIENTO INTERIOR ZONAS HUMEDAS]])</f>
        <v>0</v>
      </c>
      <c r="CL699" s="3">
        <f>+IF(AVANCE[[#This Row],[MEMBRANA CIELO]]=AY$2,100%,AVANCE[[#This Row],[MEMBRANA CIELO]])</f>
        <v>0</v>
      </c>
      <c r="CM699" s="3">
        <f>+IF(AVANCE[[#This Row],[LIMPIEZA FINAL]]=AZ$2,100%,AVANCE[[#This Row],[LIMPIEZA FINAL]])</f>
        <v>0</v>
      </c>
      <c r="CN699" s="3">
        <f>+IF(AVANCE[[#This Row],[PUERTAS DORMITORIO]]=BA$2,100%,AVANCE[[#This Row],[PUERTAS DORMITORIO]])</f>
        <v>0</v>
      </c>
      <c r="CO699" s="3">
        <f>+IF(AVANCE[[#This Row],[REVESTIMIENTO INTERIOR BANO]]=BB$2,100%,AVANCE[[#This Row],[REVESTIMIENTO INTERIOR BANO]])</f>
        <v>0</v>
      </c>
      <c r="CP699" s="3">
        <f>+IF(AVANCE[[#This Row],[MUEBLE LAVAPLATOS]]=BC$2,100%,AVANCE[[#This Row],[MUEBLE LAVAPLATOS]])</f>
        <v>0</v>
      </c>
      <c r="CQ699" s="3">
        <f>+IF(AVANCE[[#This Row],[IMPERMEABILIZACION BANO - COCINA LOGIA]]=BD$2,100%,AVANCE[[#This Row],[IMPERMEABILIZACION BANO - COCINA LOGIA]])</f>
        <v>0</v>
      </c>
      <c r="CR699" s="40">
        <f ca="1">+IF(AVANCE[[#This Row],[ESTADO MODULO]]="PENDIENTE",(TODAY()-AVANCE[[#This Row],[FECHA TERMINO  PLANIFICADO]]),0)</f>
        <v>0</v>
      </c>
      <c r="CS699" s="42" t="str" cm="1">
        <f t="array" ref="CS699">_xlfn.TEXTJOIN(" | ",TRUE,IF(SUMPRODUCT((BF699:CQ699&lt;1)*(PARTIDAS!$I$2:$AT$2="OBRA GRUESA"))&gt;0,"OBRA GRUESA: "&amp;_xlfn.TEXTJOIN(", ",TRUE,IF((BF699:CQ699&lt;1)*(PARTIDAS!$I$2:$AT$2="OBRA GRUESA"),PARTIDAS!$I$1:$AT$1,"")),""),IF(SUMPRODUCT((BF699:CQ699&lt;1)*(PARTIDAS!$I$2:$AT$2="SANITARIOS"))&gt;0,"SANITARIOS: "&amp;_xlfn.TEXTJOIN(", ",TRUE,IF((BF699:CQ699&lt;1)*(PARTIDAS!$I$2:$AT$2="SANITARIOS"),PARTIDAS!$I$1:$AT$1,"")),""),IF(SUMPRODUCT((BF699:CQ699&lt;1)*(PARTIDAS!$I$2:$AT$2="ELÉCTRICO"))&gt;0,"ELÉCTRICO: "&amp;_xlfn.TEXTJOIN(", ",TRUE,IF((BF699:CQ699&lt;1)*(PARTIDAS!$I$2:$AT$2="ELÉCTRICO"),PARTIDAS!$I$1:$AT$1,"")),""),IF(SUMPRODUCT((BF699:CQ699&lt;1)*(PARTIDAS!$I$2:$AT$2="TERMINACIONES"))&gt;0,"TERMINACIONES: "&amp;_xlfn.TEXTJOIN(", ",TRUE,IF((BF699:CQ699&lt;1)*(PARTIDAS!$I$2:$AT$2="TERMINACIONES"),PARTIDAS!$I$1:$AT$1,"")),""))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699" s="45" t="str" cm="1">
        <f t="array" ref="CT699">_xlfn.TEXTJOIN(", ",TRUE,IF(SUMPRODUCT((BF699:CQ699&lt;1)*(PARTIDAS!$I$2:$AT$2="OBRA GRUESA"))&gt;0,"OBRA GRUESA",""),IF(SUMPRODUCT((BF699:CQ699&lt;1)*(PARTIDAS!$I$2:$AT$2="SANITARIOS"))&gt;0,"SANITARIOS",""),IF(SUMPRODUCT((BF699:CQ699&lt;1)*(PARTIDAS!$I$2:$AT$2="ELÉCTRICO"))&gt;0,"ELÉCTRICO",""),IF(SUMPRODUCT((BF699:CQ699&lt;1)*(PARTIDAS!$I$2:$AT$2="TERMINACIONES"))&gt;0,"TERMINACIONES",""))</f>
        <v>OBRA GRUESA, SANITARIOS, ELÉCTRICO, TERMINACIONES</v>
      </c>
      <c r="CU699" s="46" cm="1">
        <f t="array" ref="CU699">SUMPRODUCT(--(BF699:CQ699&lt;1))</f>
        <v>38</v>
      </c>
    </row>
    <row r="700" spans="1:99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46181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 s="3" t="str">
        <f>+IF(AVANCE[[#This Row],[% AVANCE]]=100%,"MODULO TERMINADO",IF(AVANCE[[#This Row],[FECHA INICIO REAL]]="","MODULO NO INICIADO","PENDIENTE"))</f>
        <v>MODULO NO INICIADO</v>
      </c>
      <c r="BF700" s="3">
        <f>+IF(AVANCE[[#This Row],[VENTANAS]]=8.10810810810811%,100%,AVANCE[[#This Row],[VENTANAS]])</f>
        <v>0</v>
      </c>
      <c r="BG700" s="3">
        <f>+IF(AVANCE[[#This Row],[PISO]]=N$2,100%,AVANCE[[#This Row],[PISO]])</f>
        <v>0</v>
      </c>
      <c r="BH700" s="3">
        <f>+IF(AVANCE[[#This Row],[TABIQUES]]=O$2,100%,AVANCE[[#This Row],[TABIQUES]])</f>
        <v>0</v>
      </c>
      <c r="BI700" s="3">
        <f>+IF(AVANCE[[#This Row],[MUROS]]=P$2,100%,AVANCE[[#This Row],[MUROS]])</f>
        <v>0</v>
      </c>
      <c r="BJ700" s="3">
        <f>+IF(AVANCE[[#This Row],[CIELO]]=Q$2,100%,AVANCE[[#This Row],[CIELO]])</f>
        <v>0</v>
      </c>
      <c r="BK700" s="3">
        <f>+IF(AVANCE[[#This Row],[BALCÓN]]=R$2,100%,AVANCE[[#This Row],[BALCÓN]])</f>
        <v>0</v>
      </c>
      <c r="BL700" s="3">
        <f>+IF(AVANCE[[#This Row],[RED ALCANTARILLADO]]=U$2,100%,AVANCE[[#This Row],[RED ALCANTARILLADO]])</f>
        <v>0</v>
      </c>
      <c r="BM700" s="3">
        <f>+IF(AVANCE[[#This Row],[RED DE AGUA]]=V$2,100%,AVANCE[[#This Row],[RED DE AGUA]])</f>
        <v>0</v>
      </c>
      <c r="BN700" s="3">
        <f>+IF(AVANCE[[#This Row],[VENTILACIONES]]=W$2,100%,AVANCE[[#This Row],[VENTILACIONES]])</f>
        <v>0</v>
      </c>
      <c r="BO700" s="3">
        <f>+IF(AVANCE[[#This Row],[TINA]]=X$2,100%,AVANCE[[#This Row],[TINA]])</f>
        <v>0</v>
      </c>
      <c r="BP700" s="3">
        <f>+IF(AVANCE[[#This Row],[WC]]=Y$2,100%,AVANCE[[#This Row],[WC]])</f>
        <v>0</v>
      </c>
      <c r="BQ700" s="3">
        <f>+IF(AVANCE[[#This Row],[LAVAMANOS / LAVAPLATOS / LAVADERO]]=Z$2,100%,AVANCE[[#This Row],[LAVAMANOS / LAVAPLATOS / LAVADERO]])</f>
        <v>0</v>
      </c>
      <c r="BR700" s="3">
        <f>+IF(AVANCE[[#This Row],[CANALIZACIÓN]]=AC$2,100%,AVANCE[[#This Row],[CANALIZACIÓN]])</f>
        <v>0</v>
      </c>
      <c r="BS700" s="3">
        <f>+IF(AVANCE[[#This Row],[CABLEADO]]=AD$2,100%,AVANCE[[#This Row],[CABLEADO]])</f>
        <v>0</v>
      </c>
      <c r="BT700" s="3">
        <f>+IF(AVANCE[[#This Row],[ARTEFACTOS]]=AE$2,100%,AVANCE[[#This Row],[ARTEFACTOS]])</f>
        <v>0</v>
      </c>
      <c r="BU700" s="3">
        <f>+IF(AVANCE[[#This Row],[TABLERO]]=AF$2,100%,AVANCE[[#This Row],[TABLERO]])</f>
        <v>0</v>
      </c>
      <c r="BV700" s="3">
        <f>+IF(AVANCE[[#This Row],[CAJA PAU]]=AG$2,100%,AVANCE[[#This Row],[CAJA PAU]])</f>
        <v>0</v>
      </c>
      <c r="BW700" s="3">
        <f>+IF(AVANCE[[#This Row],[INSTALACION VINILICO]]=AJ$2,100%,AVANCE[[#This Row],[INSTALACION VINILICO]])</f>
        <v>0</v>
      </c>
      <c r="BX700" s="3">
        <f>+IF(AVANCE[[#This Row],[OSB CUBIERTA]]=AK$2,100%,AVANCE[[#This Row],[OSB CUBIERTA]])</f>
        <v>0</v>
      </c>
      <c r="BY700" s="3">
        <f>+IF(AVANCE[[#This Row],[BARANDA BALCON]]=AL$2,100%,AVANCE[[#This Row],[BARANDA BALCON]])</f>
        <v>0</v>
      </c>
      <c r="BZ700" s="3">
        <f>+IF(AVANCE[[#This Row],[OSB EXTERIOR]]=AM$2,100%,AVANCE[[#This Row],[OSB EXTERIOR]])</f>
        <v>0</v>
      </c>
      <c r="CA700" s="3">
        <f>+IF(AVANCE[[#This Row],[SMART PANEL]]=AN$2,100%,AVANCE[[#This Row],[SMART PANEL]])</f>
        <v>0</v>
      </c>
      <c r="CB700" s="3">
        <f>+IF(AVANCE[[#This Row],[PINTURA EXTERIOR]]=AO$2,100%,AVANCE[[#This Row],[PINTURA EXTERIOR]])</f>
        <v>0</v>
      </c>
      <c r="CC700" s="3">
        <f>+IF(AVANCE[[#This Row],[ZOCALOS LOGIA]]=AP$2,100%,AVANCE[[#This Row],[ZOCALOS LOGIA]])</f>
        <v>0</v>
      </c>
      <c r="CD700" s="3">
        <f>+IF(AVANCE[[#This Row],[MOLDURAS]]=AQ$2,100%,AVANCE[[#This Row],[MOLDURAS]])</f>
        <v>0</v>
      </c>
      <c r="CE700" s="3">
        <f>+IF(AVANCE[[#This Row],[PILASTREO]]=AR$2,100%,AVANCE[[#This Row],[PILASTREO]])</f>
        <v>0</v>
      </c>
      <c r="CF700" s="3">
        <f>+IF(AVANCE[[#This Row],[CELOSIAS]]=AS$2,100%,AVANCE[[#This Row],[CELOSIAS]])</f>
        <v>0</v>
      </c>
      <c r="CG700" s="3">
        <f>+IF(AVANCE[[#This Row],[VENTANAS]]=AT$2,100%,AVANCE[[#This Row],[VENTANAS]])</f>
        <v>0</v>
      </c>
      <c r="CH700" s="3">
        <f>+IF(AVANCE[[#This Row],[PUERTAS ACCESO - LOGIA - BANO]]=AU$2,100%,AVANCE[[#This Row],[PUERTAS ACCESO - LOGIA - BANO]])</f>
        <v>0</v>
      </c>
      <c r="CI700" s="3">
        <f>+IF(AVANCE[[#This Row],[CERRADURAS]]=AV$2,100%,AVANCE[[#This Row],[CERRADURAS]])</f>
        <v>0</v>
      </c>
      <c r="CJ700" s="3">
        <f>+IF(AVANCE[[#This Row],[REVESTIMIENTO INTERIOR ZONA SECA]]=AW$2,100%,AVANCE[[#This Row],[REVESTIMIENTO INTERIOR ZONA SECA]])</f>
        <v>0</v>
      </c>
      <c r="CK700" s="3">
        <f>+IF(AVANCE[[#This Row],[REVESTIMIENTO INTERIOR ZONAS HUMEDAS]]=AX$2,100%,AVANCE[[#This Row],[REVESTIMIENTO INTERIOR ZONAS HUMEDAS]])</f>
        <v>0</v>
      </c>
      <c r="CL700" s="3">
        <f>+IF(AVANCE[[#This Row],[MEMBRANA CIELO]]=AY$2,100%,AVANCE[[#This Row],[MEMBRANA CIELO]])</f>
        <v>0</v>
      </c>
      <c r="CM700" s="3">
        <f>+IF(AVANCE[[#This Row],[LIMPIEZA FINAL]]=AZ$2,100%,AVANCE[[#This Row],[LIMPIEZA FINAL]])</f>
        <v>0</v>
      </c>
      <c r="CN700" s="3">
        <f>+IF(AVANCE[[#This Row],[PUERTAS DORMITORIO]]=BA$2,100%,AVANCE[[#This Row],[PUERTAS DORMITORIO]])</f>
        <v>0</v>
      </c>
      <c r="CO700" s="3">
        <f>+IF(AVANCE[[#This Row],[REVESTIMIENTO INTERIOR BANO]]=BB$2,100%,AVANCE[[#This Row],[REVESTIMIENTO INTERIOR BANO]])</f>
        <v>0</v>
      </c>
      <c r="CP700" s="3">
        <f>+IF(AVANCE[[#This Row],[MUEBLE LAVAPLATOS]]=BC$2,100%,AVANCE[[#This Row],[MUEBLE LAVAPLATOS]])</f>
        <v>0</v>
      </c>
      <c r="CQ700" s="3">
        <f>+IF(AVANCE[[#This Row],[IMPERMEABILIZACION BANO - COCINA LOGIA]]=BD$2,100%,AVANCE[[#This Row],[IMPERMEABILIZACION BANO - COCINA LOGIA]])</f>
        <v>0</v>
      </c>
      <c r="CR700" s="40">
        <f ca="1">+IF(AVANCE[[#This Row],[ESTADO MODULO]]="PENDIENTE",(TODAY()-AVANCE[[#This Row],[FECHA TERMINO  PLANIFICADO]]),0)</f>
        <v>0</v>
      </c>
      <c r="CS700" s="42" t="str" cm="1">
        <f t="array" ref="CS700">_xlfn.TEXTJOIN(" | ",TRUE,IF(SUMPRODUCT((BF700:CQ700&lt;1)*(PARTIDAS!$I$2:$AT$2="OBRA GRUESA"))&gt;0,"OBRA GRUESA: "&amp;_xlfn.TEXTJOIN(", ",TRUE,IF((BF700:CQ700&lt;1)*(PARTIDAS!$I$2:$AT$2="OBRA GRUESA"),PARTIDAS!$I$1:$AT$1,"")),""),IF(SUMPRODUCT((BF700:CQ700&lt;1)*(PARTIDAS!$I$2:$AT$2="SANITARIOS"))&gt;0,"SANITARIOS: "&amp;_xlfn.TEXTJOIN(", ",TRUE,IF((BF700:CQ700&lt;1)*(PARTIDAS!$I$2:$AT$2="SANITARIOS"),PARTIDAS!$I$1:$AT$1,"")),""),IF(SUMPRODUCT((BF700:CQ700&lt;1)*(PARTIDAS!$I$2:$AT$2="ELÉCTRICO"))&gt;0,"ELÉCTRICO: "&amp;_xlfn.TEXTJOIN(", ",TRUE,IF((BF700:CQ700&lt;1)*(PARTIDAS!$I$2:$AT$2="ELÉCTRICO"),PARTIDAS!$I$1:$AT$1,"")),""),IF(SUMPRODUCT((BF700:CQ700&lt;1)*(PARTIDAS!$I$2:$AT$2="TERMINACIONES"))&gt;0,"TERMINACIONES: "&amp;_xlfn.TEXTJOIN(", ",TRUE,IF((BF700:CQ700&lt;1)*(PARTIDAS!$I$2:$AT$2="TERMINACIONES"),PARTIDAS!$I$1:$AT$1,"")),""))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700" s="45" t="str" cm="1">
        <f t="array" ref="CT700">_xlfn.TEXTJOIN(", ",TRUE,IF(SUMPRODUCT((BF700:CQ700&lt;1)*(PARTIDAS!$I$2:$AT$2="OBRA GRUESA"))&gt;0,"OBRA GRUESA",""),IF(SUMPRODUCT((BF700:CQ700&lt;1)*(PARTIDAS!$I$2:$AT$2="SANITARIOS"))&gt;0,"SANITARIOS",""),IF(SUMPRODUCT((BF700:CQ700&lt;1)*(PARTIDAS!$I$2:$AT$2="ELÉCTRICO"))&gt;0,"ELÉCTRICO",""),IF(SUMPRODUCT((BF700:CQ700&lt;1)*(PARTIDAS!$I$2:$AT$2="TERMINACIONES"))&gt;0,"TERMINACIONES",""))</f>
        <v>OBRA GRUESA, SANITARIOS, ELÉCTRICO, TERMINACIONES</v>
      </c>
      <c r="CU700" s="46" cm="1">
        <f t="array" ref="CU700">SUMPRODUCT(--(BF700:CQ700&lt;1))</f>
        <v>38</v>
      </c>
    </row>
    <row r="701" spans="1:99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46181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 s="3" t="str">
        <f>+IF(AVANCE[[#This Row],[% AVANCE]]=100%,"MODULO TERMINADO",IF(AVANCE[[#This Row],[FECHA INICIO REAL]]="","MODULO NO INICIADO","PENDIENTE"))</f>
        <v>MODULO NO INICIADO</v>
      </c>
      <c r="BF701" s="3">
        <f>+IF(AVANCE[[#This Row],[VENTANAS]]=8.10810810810811%,100%,AVANCE[[#This Row],[VENTANAS]])</f>
        <v>0</v>
      </c>
      <c r="BG701" s="3">
        <f>+IF(AVANCE[[#This Row],[PISO]]=N$2,100%,AVANCE[[#This Row],[PISO]])</f>
        <v>0</v>
      </c>
      <c r="BH701" s="3">
        <f>+IF(AVANCE[[#This Row],[TABIQUES]]=O$2,100%,AVANCE[[#This Row],[TABIQUES]])</f>
        <v>0</v>
      </c>
      <c r="BI701" s="3">
        <f>+IF(AVANCE[[#This Row],[MUROS]]=P$2,100%,AVANCE[[#This Row],[MUROS]])</f>
        <v>0</v>
      </c>
      <c r="BJ701" s="3">
        <f>+IF(AVANCE[[#This Row],[CIELO]]=Q$2,100%,AVANCE[[#This Row],[CIELO]])</f>
        <v>0</v>
      </c>
      <c r="BK701" s="3">
        <f>+IF(AVANCE[[#This Row],[BALCÓN]]=R$2,100%,AVANCE[[#This Row],[BALCÓN]])</f>
        <v>0</v>
      </c>
      <c r="BL701" s="3">
        <f>+IF(AVANCE[[#This Row],[RED ALCANTARILLADO]]=U$2,100%,AVANCE[[#This Row],[RED ALCANTARILLADO]])</f>
        <v>0</v>
      </c>
      <c r="BM701" s="3">
        <f>+IF(AVANCE[[#This Row],[RED DE AGUA]]=V$2,100%,AVANCE[[#This Row],[RED DE AGUA]])</f>
        <v>0</v>
      </c>
      <c r="BN701" s="3">
        <f>+IF(AVANCE[[#This Row],[VENTILACIONES]]=W$2,100%,AVANCE[[#This Row],[VENTILACIONES]])</f>
        <v>0</v>
      </c>
      <c r="BO701" s="3">
        <f>+IF(AVANCE[[#This Row],[TINA]]=X$2,100%,AVANCE[[#This Row],[TINA]])</f>
        <v>0</v>
      </c>
      <c r="BP701" s="3">
        <f>+IF(AVANCE[[#This Row],[WC]]=Y$2,100%,AVANCE[[#This Row],[WC]])</f>
        <v>0</v>
      </c>
      <c r="BQ701" s="3">
        <f>+IF(AVANCE[[#This Row],[LAVAMANOS / LAVAPLATOS / LAVADERO]]=Z$2,100%,AVANCE[[#This Row],[LAVAMANOS / LAVAPLATOS / LAVADERO]])</f>
        <v>0</v>
      </c>
      <c r="BR701" s="3">
        <f>+IF(AVANCE[[#This Row],[CANALIZACIÓN]]=AC$2,100%,AVANCE[[#This Row],[CANALIZACIÓN]])</f>
        <v>0</v>
      </c>
      <c r="BS701" s="3">
        <f>+IF(AVANCE[[#This Row],[CABLEADO]]=AD$2,100%,AVANCE[[#This Row],[CABLEADO]])</f>
        <v>0</v>
      </c>
      <c r="BT701" s="3">
        <f>+IF(AVANCE[[#This Row],[ARTEFACTOS]]=AE$2,100%,AVANCE[[#This Row],[ARTEFACTOS]])</f>
        <v>0</v>
      </c>
      <c r="BU701" s="3">
        <f>+IF(AVANCE[[#This Row],[TABLERO]]=AF$2,100%,AVANCE[[#This Row],[TABLERO]])</f>
        <v>0</v>
      </c>
      <c r="BV701" s="3">
        <f>+IF(AVANCE[[#This Row],[CAJA PAU]]=AG$2,100%,AVANCE[[#This Row],[CAJA PAU]])</f>
        <v>0</v>
      </c>
      <c r="BW701" s="3">
        <f>+IF(AVANCE[[#This Row],[INSTALACION VINILICO]]=AJ$2,100%,AVANCE[[#This Row],[INSTALACION VINILICO]])</f>
        <v>0</v>
      </c>
      <c r="BX701" s="3">
        <f>+IF(AVANCE[[#This Row],[OSB CUBIERTA]]=AK$2,100%,AVANCE[[#This Row],[OSB CUBIERTA]])</f>
        <v>0</v>
      </c>
      <c r="BY701" s="3">
        <f>+IF(AVANCE[[#This Row],[BARANDA BALCON]]=AL$2,100%,AVANCE[[#This Row],[BARANDA BALCON]])</f>
        <v>0</v>
      </c>
      <c r="BZ701" s="3">
        <f>+IF(AVANCE[[#This Row],[OSB EXTERIOR]]=AM$2,100%,AVANCE[[#This Row],[OSB EXTERIOR]])</f>
        <v>0</v>
      </c>
      <c r="CA701" s="3">
        <f>+IF(AVANCE[[#This Row],[SMART PANEL]]=AN$2,100%,AVANCE[[#This Row],[SMART PANEL]])</f>
        <v>0</v>
      </c>
      <c r="CB701" s="3">
        <f>+IF(AVANCE[[#This Row],[PINTURA EXTERIOR]]=AO$2,100%,AVANCE[[#This Row],[PINTURA EXTERIOR]])</f>
        <v>0</v>
      </c>
      <c r="CC701" s="3">
        <f>+IF(AVANCE[[#This Row],[ZOCALOS LOGIA]]=AP$2,100%,AVANCE[[#This Row],[ZOCALOS LOGIA]])</f>
        <v>0</v>
      </c>
      <c r="CD701" s="3">
        <f>+IF(AVANCE[[#This Row],[MOLDURAS]]=AQ$2,100%,AVANCE[[#This Row],[MOLDURAS]])</f>
        <v>0</v>
      </c>
      <c r="CE701" s="3">
        <f>+IF(AVANCE[[#This Row],[PILASTREO]]=AR$2,100%,AVANCE[[#This Row],[PILASTREO]])</f>
        <v>0</v>
      </c>
      <c r="CF701" s="3">
        <f>+IF(AVANCE[[#This Row],[CELOSIAS]]=AS$2,100%,AVANCE[[#This Row],[CELOSIAS]])</f>
        <v>0</v>
      </c>
      <c r="CG701" s="3">
        <f>+IF(AVANCE[[#This Row],[VENTANAS]]=AT$2,100%,AVANCE[[#This Row],[VENTANAS]])</f>
        <v>0</v>
      </c>
      <c r="CH701" s="3">
        <f>+IF(AVANCE[[#This Row],[PUERTAS ACCESO - LOGIA - BANO]]=AU$2,100%,AVANCE[[#This Row],[PUERTAS ACCESO - LOGIA - BANO]])</f>
        <v>0</v>
      </c>
      <c r="CI701" s="3">
        <f>+IF(AVANCE[[#This Row],[CERRADURAS]]=AV$2,100%,AVANCE[[#This Row],[CERRADURAS]])</f>
        <v>0</v>
      </c>
      <c r="CJ701" s="3">
        <f>+IF(AVANCE[[#This Row],[REVESTIMIENTO INTERIOR ZONA SECA]]=AW$2,100%,AVANCE[[#This Row],[REVESTIMIENTO INTERIOR ZONA SECA]])</f>
        <v>0</v>
      </c>
      <c r="CK701" s="3">
        <f>+IF(AVANCE[[#This Row],[REVESTIMIENTO INTERIOR ZONAS HUMEDAS]]=AX$2,100%,AVANCE[[#This Row],[REVESTIMIENTO INTERIOR ZONAS HUMEDAS]])</f>
        <v>0</v>
      </c>
      <c r="CL701" s="3">
        <f>+IF(AVANCE[[#This Row],[MEMBRANA CIELO]]=AY$2,100%,AVANCE[[#This Row],[MEMBRANA CIELO]])</f>
        <v>0</v>
      </c>
      <c r="CM701" s="3">
        <f>+IF(AVANCE[[#This Row],[LIMPIEZA FINAL]]=AZ$2,100%,AVANCE[[#This Row],[LIMPIEZA FINAL]])</f>
        <v>0</v>
      </c>
      <c r="CN701" s="3">
        <f>+IF(AVANCE[[#This Row],[PUERTAS DORMITORIO]]=BA$2,100%,AVANCE[[#This Row],[PUERTAS DORMITORIO]])</f>
        <v>0</v>
      </c>
      <c r="CO701" s="3">
        <f>+IF(AVANCE[[#This Row],[REVESTIMIENTO INTERIOR BANO]]=BB$2,100%,AVANCE[[#This Row],[REVESTIMIENTO INTERIOR BANO]])</f>
        <v>0</v>
      </c>
      <c r="CP701" s="3">
        <f>+IF(AVANCE[[#This Row],[MUEBLE LAVAPLATOS]]=BC$2,100%,AVANCE[[#This Row],[MUEBLE LAVAPLATOS]])</f>
        <v>0</v>
      </c>
      <c r="CQ701" s="3">
        <f>+IF(AVANCE[[#This Row],[IMPERMEABILIZACION BANO - COCINA LOGIA]]=BD$2,100%,AVANCE[[#This Row],[IMPERMEABILIZACION BANO - COCINA LOGIA]])</f>
        <v>0</v>
      </c>
      <c r="CR701" s="40">
        <f ca="1">+IF(AVANCE[[#This Row],[ESTADO MODULO]]="PENDIENTE",(TODAY()-AVANCE[[#This Row],[FECHA TERMINO  PLANIFICADO]]),0)</f>
        <v>0</v>
      </c>
      <c r="CS701" s="42" t="str" cm="1">
        <f t="array" ref="CS701">_xlfn.TEXTJOIN(" | ",TRUE,IF(SUMPRODUCT((BF701:CQ701&lt;1)*(PARTIDAS!$I$2:$AT$2="OBRA GRUESA"))&gt;0,"OBRA GRUESA: "&amp;_xlfn.TEXTJOIN(", ",TRUE,IF((BF701:CQ701&lt;1)*(PARTIDAS!$I$2:$AT$2="OBRA GRUESA"),PARTIDAS!$I$1:$AT$1,"")),""),IF(SUMPRODUCT((BF701:CQ701&lt;1)*(PARTIDAS!$I$2:$AT$2="SANITARIOS"))&gt;0,"SANITARIOS: "&amp;_xlfn.TEXTJOIN(", ",TRUE,IF((BF701:CQ701&lt;1)*(PARTIDAS!$I$2:$AT$2="SANITARIOS"),PARTIDAS!$I$1:$AT$1,"")),""),IF(SUMPRODUCT((BF701:CQ701&lt;1)*(PARTIDAS!$I$2:$AT$2="ELÉCTRICO"))&gt;0,"ELÉCTRICO: "&amp;_xlfn.TEXTJOIN(", ",TRUE,IF((BF701:CQ701&lt;1)*(PARTIDAS!$I$2:$AT$2="ELÉCTRICO"),PARTIDAS!$I$1:$AT$1,"")),""),IF(SUMPRODUCT((BF701:CQ701&lt;1)*(PARTIDAS!$I$2:$AT$2="TERMINACIONES"))&gt;0,"TERMINACIONES: "&amp;_xlfn.TEXTJOIN(", ",TRUE,IF((BF701:CQ701&lt;1)*(PARTIDAS!$I$2:$AT$2="TERMINACIONES"),PARTIDAS!$I$1:$AT$1,"")),""))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701" s="45" t="str" cm="1">
        <f t="array" ref="CT701">_xlfn.TEXTJOIN(", ",TRUE,IF(SUMPRODUCT((BF701:CQ701&lt;1)*(PARTIDAS!$I$2:$AT$2="OBRA GRUESA"))&gt;0,"OBRA GRUESA",""),IF(SUMPRODUCT((BF701:CQ701&lt;1)*(PARTIDAS!$I$2:$AT$2="SANITARIOS"))&gt;0,"SANITARIOS",""),IF(SUMPRODUCT((BF701:CQ701&lt;1)*(PARTIDAS!$I$2:$AT$2="ELÉCTRICO"))&gt;0,"ELÉCTRICO",""),IF(SUMPRODUCT((BF701:CQ701&lt;1)*(PARTIDAS!$I$2:$AT$2="TERMINACIONES"))&gt;0,"TERMINACIONES",""))</f>
        <v>OBRA GRUESA, SANITARIOS, ELÉCTRICO, TERMINACIONES</v>
      </c>
      <c r="CU701" s="46" cm="1">
        <f t="array" ref="CU701">SUMPRODUCT(--(BF701:CQ701&lt;1))</f>
        <v>38</v>
      </c>
    </row>
    <row r="702" spans="1:99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46181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 s="3" t="str">
        <f>+IF(AVANCE[[#This Row],[% AVANCE]]=100%,"MODULO TERMINADO",IF(AVANCE[[#This Row],[FECHA INICIO REAL]]="","MODULO NO INICIADO","PENDIENTE"))</f>
        <v>MODULO NO INICIADO</v>
      </c>
      <c r="BF702" s="3">
        <f>+IF(AVANCE[[#This Row],[VENTANAS]]=8.10810810810811%,100%,AVANCE[[#This Row],[VENTANAS]])</f>
        <v>0</v>
      </c>
      <c r="BG702" s="3">
        <f>+IF(AVANCE[[#This Row],[PISO]]=N$2,100%,AVANCE[[#This Row],[PISO]])</f>
        <v>0</v>
      </c>
      <c r="BH702" s="3">
        <f>+IF(AVANCE[[#This Row],[TABIQUES]]=O$2,100%,AVANCE[[#This Row],[TABIQUES]])</f>
        <v>0</v>
      </c>
      <c r="BI702" s="3">
        <f>+IF(AVANCE[[#This Row],[MUROS]]=P$2,100%,AVANCE[[#This Row],[MUROS]])</f>
        <v>0</v>
      </c>
      <c r="BJ702" s="3">
        <f>+IF(AVANCE[[#This Row],[CIELO]]=Q$2,100%,AVANCE[[#This Row],[CIELO]])</f>
        <v>0</v>
      </c>
      <c r="BK702" s="3">
        <f>+IF(AVANCE[[#This Row],[BALCÓN]]=R$2,100%,AVANCE[[#This Row],[BALCÓN]])</f>
        <v>0</v>
      </c>
      <c r="BL702" s="3">
        <f>+IF(AVANCE[[#This Row],[RED ALCANTARILLADO]]=U$2,100%,AVANCE[[#This Row],[RED ALCANTARILLADO]])</f>
        <v>0</v>
      </c>
      <c r="BM702" s="3">
        <f>+IF(AVANCE[[#This Row],[RED DE AGUA]]=V$2,100%,AVANCE[[#This Row],[RED DE AGUA]])</f>
        <v>0</v>
      </c>
      <c r="BN702" s="3">
        <f>+IF(AVANCE[[#This Row],[VENTILACIONES]]=W$2,100%,AVANCE[[#This Row],[VENTILACIONES]])</f>
        <v>0</v>
      </c>
      <c r="BO702" s="3">
        <f>+IF(AVANCE[[#This Row],[TINA]]=X$2,100%,AVANCE[[#This Row],[TINA]])</f>
        <v>0</v>
      </c>
      <c r="BP702" s="3">
        <f>+IF(AVANCE[[#This Row],[WC]]=Y$2,100%,AVANCE[[#This Row],[WC]])</f>
        <v>0</v>
      </c>
      <c r="BQ702" s="3">
        <f>+IF(AVANCE[[#This Row],[LAVAMANOS / LAVAPLATOS / LAVADERO]]=Z$2,100%,AVANCE[[#This Row],[LAVAMANOS / LAVAPLATOS / LAVADERO]])</f>
        <v>0</v>
      </c>
      <c r="BR702" s="3">
        <f>+IF(AVANCE[[#This Row],[CANALIZACIÓN]]=AC$2,100%,AVANCE[[#This Row],[CANALIZACIÓN]])</f>
        <v>0</v>
      </c>
      <c r="BS702" s="3">
        <f>+IF(AVANCE[[#This Row],[CABLEADO]]=AD$2,100%,AVANCE[[#This Row],[CABLEADO]])</f>
        <v>0</v>
      </c>
      <c r="BT702" s="3">
        <f>+IF(AVANCE[[#This Row],[ARTEFACTOS]]=AE$2,100%,AVANCE[[#This Row],[ARTEFACTOS]])</f>
        <v>0</v>
      </c>
      <c r="BU702" s="3">
        <f>+IF(AVANCE[[#This Row],[TABLERO]]=AF$2,100%,AVANCE[[#This Row],[TABLERO]])</f>
        <v>0</v>
      </c>
      <c r="BV702" s="3">
        <f>+IF(AVANCE[[#This Row],[CAJA PAU]]=AG$2,100%,AVANCE[[#This Row],[CAJA PAU]])</f>
        <v>0</v>
      </c>
      <c r="BW702" s="3">
        <f>+IF(AVANCE[[#This Row],[INSTALACION VINILICO]]=AJ$2,100%,AVANCE[[#This Row],[INSTALACION VINILICO]])</f>
        <v>0</v>
      </c>
      <c r="BX702" s="3">
        <f>+IF(AVANCE[[#This Row],[OSB CUBIERTA]]=AK$2,100%,AVANCE[[#This Row],[OSB CUBIERTA]])</f>
        <v>0</v>
      </c>
      <c r="BY702" s="3">
        <f>+IF(AVANCE[[#This Row],[BARANDA BALCON]]=AL$2,100%,AVANCE[[#This Row],[BARANDA BALCON]])</f>
        <v>0</v>
      </c>
      <c r="BZ702" s="3">
        <f>+IF(AVANCE[[#This Row],[OSB EXTERIOR]]=AM$2,100%,AVANCE[[#This Row],[OSB EXTERIOR]])</f>
        <v>0</v>
      </c>
      <c r="CA702" s="3">
        <f>+IF(AVANCE[[#This Row],[SMART PANEL]]=AN$2,100%,AVANCE[[#This Row],[SMART PANEL]])</f>
        <v>0</v>
      </c>
      <c r="CB702" s="3">
        <f>+IF(AVANCE[[#This Row],[PINTURA EXTERIOR]]=AO$2,100%,AVANCE[[#This Row],[PINTURA EXTERIOR]])</f>
        <v>0</v>
      </c>
      <c r="CC702" s="3">
        <f>+IF(AVANCE[[#This Row],[ZOCALOS LOGIA]]=AP$2,100%,AVANCE[[#This Row],[ZOCALOS LOGIA]])</f>
        <v>0</v>
      </c>
      <c r="CD702" s="3">
        <f>+IF(AVANCE[[#This Row],[MOLDURAS]]=AQ$2,100%,AVANCE[[#This Row],[MOLDURAS]])</f>
        <v>0</v>
      </c>
      <c r="CE702" s="3">
        <f>+IF(AVANCE[[#This Row],[PILASTREO]]=AR$2,100%,AVANCE[[#This Row],[PILASTREO]])</f>
        <v>0</v>
      </c>
      <c r="CF702" s="3">
        <f>+IF(AVANCE[[#This Row],[CELOSIAS]]=AS$2,100%,AVANCE[[#This Row],[CELOSIAS]])</f>
        <v>0</v>
      </c>
      <c r="CG702" s="3">
        <f>+IF(AVANCE[[#This Row],[VENTANAS]]=AT$2,100%,AVANCE[[#This Row],[VENTANAS]])</f>
        <v>0</v>
      </c>
      <c r="CH702" s="3">
        <f>+IF(AVANCE[[#This Row],[PUERTAS ACCESO - LOGIA - BANO]]=AU$2,100%,AVANCE[[#This Row],[PUERTAS ACCESO - LOGIA - BANO]])</f>
        <v>0</v>
      </c>
      <c r="CI702" s="3">
        <f>+IF(AVANCE[[#This Row],[CERRADURAS]]=AV$2,100%,AVANCE[[#This Row],[CERRADURAS]])</f>
        <v>0</v>
      </c>
      <c r="CJ702" s="3">
        <f>+IF(AVANCE[[#This Row],[REVESTIMIENTO INTERIOR ZONA SECA]]=AW$2,100%,AVANCE[[#This Row],[REVESTIMIENTO INTERIOR ZONA SECA]])</f>
        <v>0</v>
      </c>
      <c r="CK702" s="3">
        <f>+IF(AVANCE[[#This Row],[REVESTIMIENTO INTERIOR ZONAS HUMEDAS]]=AX$2,100%,AVANCE[[#This Row],[REVESTIMIENTO INTERIOR ZONAS HUMEDAS]])</f>
        <v>0</v>
      </c>
      <c r="CL702" s="3">
        <f>+IF(AVANCE[[#This Row],[MEMBRANA CIELO]]=AY$2,100%,AVANCE[[#This Row],[MEMBRANA CIELO]])</f>
        <v>0</v>
      </c>
      <c r="CM702" s="3">
        <f>+IF(AVANCE[[#This Row],[LIMPIEZA FINAL]]=AZ$2,100%,AVANCE[[#This Row],[LIMPIEZA FINAL]])</f>
        <v>0</v>
      </c>
      <c r="CN702" s="3">
        <f>+IF(AVANCE[[#This Row],[PUERTAS DORMITORIO]]=BA$2,100%,AVANCE[[#This Row],[PUERTAS DORMITORIO]])</f>
        <v>0</v>
      </c>
      <c r="CO702" s="3">
        <f>+IF(AVANCE[[#This Row],[REVESTIMIENTO INTERIOR BANO]]=BB$2,100%,AVANCE[[#This Row],[REVESTIMIENTO INTERIOR BANO]])</f>
        <v>0</v>
      </c>
      <c r="CP702" s="3">
        <f>+IF(AVANCE[[#This Row],[MUEBLE LAVAPLATOS]]=BC$2,100%,AVANCE[[#This Row],[MUEBLE LAVAPLATOS]])</f>
        <v>0</v>
      </c>
      <c r="CQ702" s="3">
        <f>+IF(AVANCE[[#This Row],[IMPERMEABILIZACION BANO - COCINA LOGIA]]=BD$2,100%,AVANCE[[#This Row],[IMPERMEABILIZACION BANO - COCINA LOGIA]])</f>
        <v>0</v>
      </c>
      <c r="CR702" s="40">
        <f ca="1">+IF(AVANCE[[#This Row],[ESTADO MODULO]]="PENDIENTE",(TODAY()-AVANCE[[#This Row],[FECHA TERMINO  PLANIFICADO]]),0)</f>
        <v>0</v>
      </c>
      <c r="CS702" s="42" t="str" cm="1">
        <f t="array" ref="CS702">_xlfn.TEXTJOIN(" | ",TRUE,IF(SUMPRODUCT((BF702:CQ702&lt;1)*(PARTIDAS!$I$2:$AT$2="OBRA GRUESA"))&gt;0,"OBRA GRUESA: "&amp;_xlfn.TEXTJOIN(", ",TRUE,IF((BF702:CQ702&lt;1)*(PARTIDAS!$I$2:$AT$2="OBRA GRUESA"),PARTIDAS!$I$1:$AT$1,"")),""),IF(SUMPRODUCT((BF702:CQ702&lt;1)*(PARTIDAS!$I$2:$AT$2="SANITARIOS"))&gt;0,"SANITARIOS: "&amp;_xlfn.TEXTJOIN(", ",TRUE,IF((BF702:CQ702&lt;1)*(PARTIDAS!$I$2:$AT$2="SANITARIOS"),PARTIDAS!$I$1:$AT$1,"")),""),IF(SUMPRODUCT((BF702:CQ702&lt;1)*(PARTIDAS!$I$2:$AT$2="ELÉCTRICO"))&gt;0,"ELÉCTRICO: "&amp;_xlfn.TEXTJOIN(", ",TRUE,IF((BF702:CQ702&lt;1)*(PARTIDAS!$I$2:$AT$2="ELÉCTRICO"),PARTIDAS!$I$1:$AT$1,"")),""),IF(SUMPRODUCT((BF702:CQ702&lt;1)*(PARTIDAS!$I$2:$AT$2="TERMINACIONES"))&gt;0,"TERMINACIONES: "&amp;_xlfn.TEXTJOIN(", ",TRUE,IF((BF702:CQ702&lt;1)*(PARTIDAS!$I$2:$AT$2="TERMINACIONES"),PARTIDAS!$I$1:$AT$1,"")),""))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702" s="45" t="str" cm="1">
        <f t="array" ref="CT702">_xlfn.TEXTJOIN(", ",TRUE,IF(SUMPRODUCT((BF702:CQ702&lt;1)*(PARTIDAS!$I$2:$AT$2="OBRA GRUESA"))&gt;0,"OBRA GRUESA",""),IF(SUMPRODUCT((BF702:CQ702&lt;1)*(PARTIDAS!$I$2:$AT$2="SANITARIOS"))&gt;0,"SANITARIOS",""),IF(SUMPRODUCT((BF702:CQ702&lt;1)*(PARTIDAS!$I$2:$AT$2="ELÉCTRICO"))&gt;0,"ELÉCTRICO",""),IF(SUMPRODUCT((BF702:CQ702&lt;1)*(PARTIDAS!$I$2:$AT$2="TERMINACIONES"))&gt;0,"TERMINACIONES",""))</f>
        <v>OBRA GRUESA, SANITARIOS, ELÉCTRICO, TERMINACIONES</v>
      </c>
      <c r="CU702" s="46" cm="1">
        <f t="array" ref="CU702">SUMPRODUCT(--(BF702:CQ702&lt;1))</f>
        <v>38</v>
      </c>
    </row>
    <row r="703" spans="1:99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46181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 s="3" t="str">
        <f>+IF(AVANCE[[#This Row],[% AVANCE]]=100%,"MODULO TERMINADO",IF(AVANCE[[#This Row],[FECHA INICIO REAL]]="","MODULO NO INICIADO","PENDIENTE"))</f>
        <v>MODULO NO INICIADO</v>
      </c>
      <c r="BF703" s="3">
        <f>+IF(AVANCE[[#This Row],[VENTANAS]]=8.10810810810811%,100%,AVANCE[[#This Row],[VENTANAS]])</f>
        <v>0</v>
      </c>
      <c r="BG703" s="3">
        <f>+IF(AVANCE[[#This Row],[PISO]]=N$2,100%,AVANCE[[#This Row],[PISO]])</f>
        <v>0</v>
      </c>
      <c r="BH703" s="3">
        <f>+IF(AVANCE[[#This Row],[TABIQUES]]=O$2,100%,AVANCE[[#This Row],[TABIQUES]])</f>
        <v>0</v>
      </c>
      <c r="BI703" s="3">
        <f>+IF(AVANCE[[#This Row],[MUROS]]=P$2,100%,AVANCE[[#This Row],[MUROS]])</f>
        <v>0</v>
      </c>
      <c r="BJ703" s="3">
        <f>+IF(AVANCE[[#This Row],[CIELO]]=Q$2,100%,AVANCE[[#This Row],[CIELO]])</f>
        <v>0</v>
      </c>
      <c r="BK703" s="3">
        <f>+IF(AVANCE[[#This Row],[BALCÓN]]=R$2,100%,AVANCE[[#This Row],[BALCÓN]])</f>
        <v>0</v>
      </c>
      <c r="BL703" s="3">
        <f>+IF(AVANCE[[#This Row],[RED ALCANTARILLADO]]=U$2,100%,AVANCE[[#This Row],[RED ALCANTARILLADO]])</f>
        <v>0</v>
      </c>
      <c r="BM703" s="3">
        <f>+IF(AVANCE[[#This Row],[RED DE AGUA]]=V$2,100%,AVANCE[[#This Row],[RED DE AGUA]])</f>
        <v>0</v>
      </c>
      <c r="BN703" s="3">
        <f>+IF(AVANCE[[#This Row],[VENTILACIONES]]=W$2,100%,AVANCE[[#This Row],[VENTILACIONES]])</f>
        <v>0</v>
      </c>
      <c r="BO703" s="3">
        <f>+IF(AVANCE[[#This Row],[TINA]]=X$2,100%,AVANCE[[#This Row],[TINA]])</f>
        <v>0</v>
      </c>
      <c r="BP703" s="3">
        <f>+IF(AVANCE[[#This Row],[WC]]=Y$2,100%,AVANCE[[#This Row],[WC]])</f>
        <v>0</v>
      </c>
      <c r="BQ703" s="3">
        <f>+IF(AVANCE[[#This Row],[LAVAMANOS / LAVAPLATOS / LAVADERO]]=Z$2,100%,AVANCE[[#This Row],[LAVAMANOS / LAVAPLATOS / LAVADERO]])</f>
        <v>0</v>
      </c>
      <c r="BR703" s="3">
        <f>+IF(AVANCE[[#This Row],[CANALIZACIÓN]]=AC$2,100%,AVANCE[[#This Row],[CANALIZACIÓN]])</f>
        <v>0</v>
      </c>
      <c r="BS703" s="3">
        <f>+IF(AVANCE[[#This Row],[CABLEADO]]=AD$2,100%,AVANCE[[#This Row],[CABLEADO]])</f>
        <v>0</v>
      </c>
      <c r="BT703" s="3">
        <f>+IF(AVANCE[[#This Row],[ARTEFACTOS]]=AE$2,100%,AVANCE[[#This Row],[ARTEFACTOS]])</f>
        <v>0</v>
      </c>
      <c r="BU703" s="3">
        <f>+IF(AVANCE[[#This Row],[TABLERO]]=AF$2,100%,AVANCE[[#This Row],[TABLERO]])</f>
        <v>0</v>
      </c>
      <c r="BV703" s="3">
        <f>+IF(AVANCE[[#This Row],[CAJA PAU]]=AG$2,100%,AVANCE[[#This Row],[CAJA PAU]])</f>
        <v>0</v>
      </c>
      <c r="BW703" s="3">
        <f>+IF(AVANCE[[#This Row],[INSTALACION VINILICO]]=AJ$2,100%,AVANCE[[#This Row],[INSTALACION VINILICO]])</f>
        <v>0</v>
      </c>
      <c r="BX703" s="3">
        <f>+IF(AVANCE[[#This Row],[OSB CUBIERTA]]=AK$2,100%,AVANCE[[#This Row],[OSB CUBIERTA]])</f>
        <v>0</v>
      </c>
      <c r="BY703" s="3">
        <f>+IF(AVANCE[[#This Row],[BARANDA BALCON]]=AL$2,100%,AVANCE[[#This Row],[BARANDA BALCON]])</f>
        <v>0</v>
      </c>
      <c r="BZ703" s="3">
        <f>+IF(AVANCE[[#This Row],[OSB EXTERIOR]]=AM$2,100%,AVANCE[[#This Row],[OSB EXTERIOR]])</f>
        <v>0</v>
      </c>
      <c r="CA703" s="3">
        <f>+IF(AVANCE[[#This Row],[SMART PANEL]]=AN$2,100%,AVANCE[[#This Row],[SMART PANEL]])</f>
        <v>0</v>
      </c>
      <c r="CB703" s="3">
        <f>+IF(AVANCE[[#This Row],[PINTURA EXTERIOR]]=AO$2,100%,AVANCE[[#This Row],[PINTURA EXTERIOR]])</f>
        <v>0</v>
      </c>
      <c r="CC703" s="3">
        <f>+IF(AVANCE[[#This Row],[ZOCALOS LOGIA]]=AP$2,100%,AVANCE[[#This Row],[ZOCALOS LOGIA]])</f>
        <v>0</v>
      </c>
      <c r="CD703" s="3">
        <f>+IF(AVANCE[[#This Row],[MOLDURAS]]=AQ$2,100%,AVANCE[[#This Row],[MOLDURAS]])</f>
        <v>0</v>
      </c>
      <c r="CE703" s="3">
        <f>+IF(AVANCE[[#This Row],[PILASTREO]]=AR$2,100%,AVANCE[[#This Row],[PILASTREO]])</f>
        <v>0</v>
      </c>
      <c r="CF703" s="3">
        <f>+IF(AVANCE[[#This Row],[CELOSIAS]]=AS$2,100%,AVANCE[[#This Row],[CELOSIAS]])</f>
        <v>0</v>
      </c>
      <c r="CG703" s="3">
        <f>+IF(AVANCE[[#This Row],[VENTANAS]]=AT$2,100%,AVANCE[[#This Row],[VENTANAS]])</f>
        <v>0</v>
      </c>
      <c r="CH703" s="3">
        <f>+IF(AVANCE[[#This Row],[PUERTAS ACCESO - LOGIA - BANO]]=AU$2,100%,AVANCE[[#This Row],[PUERTAS ACCESO - LOGIA - BANO]])</f>
        <v>0</v>
      </c>
      <c r="CI703" s="3">
        <f>+IF(AVANCE[[#This Row],[CERRADURAS]]=AV$2,100%,AVANCE[[#This Row],[CERRADURAS]])</f>
        <v>0</v>
      </c>
      <c r="CJ703" s="3">
        <f>+IF(AVANCE[[#This Row],[REVESTIMIENTO INTERIOR ZONA SECA]]=AW$2,100%,AVANCE[[#This Row],[REVESTIMIENTO INTERIOR ZONA SECA]])</f>
        <v>0</v>
      </c>
      <c r="CK703" s="3">
        <f>+IF(AVANCE[[#This Row],[REVESTIMIENTO INTERIOR ZONAS HUMEDAS]]=AX$2,100%,AVANCE[[#This Row],[REVESTIMIENTO INTERIOR ZONAS HUMEDAS]])</f>
        <v>0</v>
      </c>
      <c r="CL703" s="3">
        <f>+IF(AVANCE[[#This Row],[MEMBRANA CIELO]]=AY$2,100%,AVANCE[[#This Row],[MEMBRANA CIELO]])</f>
        <v>0</v>
      </c>
      <c r="CM703" s="3">
        <f>+IF(AVANCE[[#This Row],[LIMPIEZA FINAL]]=AZ$2,100%,AVANCE[[#This Row],[LIMPIEZA FINAL]])</f>
        <v>0</v>
      </c>
      <c r="CN703" s="3">
        <f>+IF(AVANCE[[#This Row],[PUERTAS DORMITORIO]]=BA$2,100%,AVANCE[[#This Row],[PUERTAS DORMITORIO]])</f>
        <v>0</v>
      </c>
      <c r="CO703" s="3">
        <f>+IF(AVANCE[[#This Row],[REVESTIMIENTO INTERIOR BANO]]=BB$2,100%,AVANCE[[#This Row],[REVESTIMIENTO INTERIOR BANO]])</f>
        <v>0</v>
      </c>
      <c r="CP703" s="3">
        <f>+IF(AVANCE[[#This Row],[MUEBLE LAVAPLATOS]]=BC$2,100%,AVANCE[[#This Row],[MUEBLE LAVAPLATOS]])</f>
        <v>0</v>
      </c>
      <c r="CQ703" s="3">
        <f>+IF(AVANCE[[#This Row],[IMPERMEABILIZACION BANO - COCINA LOGIA]]=BD$2,100%,AVANCE[[#This Row],[IMPERMEABILIZACION BANO - COCINA LOGIA]])</f>
        <v>0</v>
      </c>
      <c r="CR703" s="40">
        <f ca="1">+IF(AVANCE[[#This Row],[ESTADO MODULO]]="PENDIENTE",(TODAY()-AVANCE[[#This Row],[FECHA TERMINO  PLANIFICADO]]),0)</f>
        <v>0</v>
      </c>
      <c r="CS703" s="42" t="str" cm="1">
        <f t="array" ref="CS703">_xlfn.TEXTJOIN(" | ",TRUE,IF(SUMPRODUCT((BF703:CQ703&lt;1)*(PARTIDAS!$I$2:$AT$2="OBRA GRUESA"))&gt;0,"OBRA GRUESA: "&amp;_xlfn.TEXTJOIN(", ",TRUE,IF((BF703:CQ703&lt;1)*(PARTIDAS!$I$2:$AT$2="OBRA GRUESA"),PARTIDAS!$I$1:$AT$1,"")),""),IF(SUMPRODUCT((BF703:CQ703&lt;1)*(PARTIDAS!$I$2:$AT$2="SANITARIOS"))&gt;0,"SANITARIOS: "&amp;_xlfn.TEXTJOIN(", ",TRUE,IF((BF703:CQ703&lt;1)*(PARTIDAS!$I$2:$AT$2="SANITARIOS"),PARTIDAS!$I$1:$AT$1,"")),""),IF(SUMPRODUCT((BF703:CQ703&lt;1)*(PARTIDAS!$I$2:$AT$2="ELÉCTRICO"))&gt;0,"ELÉCTRICO: "&amp;_xlfn.TEXTJOIN(", ",TRUE,IF((BF703:CQ703&lt;1)*(PARTIDAS!$I$2:$AT$2="ELÉCTRICO"),PARTIDAS!$I$1:$AT$1,"")),""),IF(SUMPRODUCT((BF703:CQ703&lt;1)*(PARTIDAS!$I$2:$AT$2="TERMINACIONES"))&gt;0,"TERMINACIONES: "&amp;_xlfn.TEXTJOIN(", ",TRUE,IF((BF703:CQ703&lt;1)*(PARTIDAS!$I$2:$AT$2="TERMINACIONES"),PARTIDAS!$I$1:$AT$1,"")),""))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703" s="45" t="str" cm="1">
        <f t="array" ref="CT703">_xlfn.TEXTJOIN(", ",TRUE,IF(SUMPRODUCT((BF703:CQ703&lt;1)*(PARTIDAS!$I$2:$AT$2="OBRA GRUESA"))&gt;0,"OBRA GRUESA",""),IF(SUMPRODUCT((BF703:CQ703&lt;1)*(PARTIDAS!$I$2:$AT$2="SANITARIOS"))&gt;0,"SANITARIOS",""),IF(SUMPRODUCT((BF703:CQ703&lt;1)*(PARTIDAS!$I$2:$AT$2="ELÉCTRICO"))&gt;0,"ELÉCTRICO",""),IF(SUMPRODUCT((BF703:CQ703&lt;1)*(PARTIDAS!$I$2:$AT$2="TERMINACIONES"))&gt;0,"TERMINACIONES",""))</f>
        <v>OBRA GRUESA, SANITARIOS, ELÉCTRICO, TERMINACIONES</v>
      </c>
      <c r="CU703" s="46" cm="1">
        <f t="array" ref="CU703">SUMPRODUCT(--(BF703:CQ703&lt;1))</f>
        <v>38</v>
      </c>
    </row>
    <row r="704" spans="1:99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46181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 s="3" t="str">
        <f>+IF(AVANCE[[#This Row],[% AVANCE]]=100%,"MODULO TERMINADO",IF(AVANCE[[#This Row],[FECHA INICIO REAL]]="","MODULO NO INICIADO","PENDIENTE"))</f>
        <v>MODULO NO INICIADO</v>
      </c>
      <c r="BF704" s="3">
        <f>+IF(AVANCE[[#This Row],[VENTANAS]]=8.10810810810811%,100%,AVANCE[[#This Row],[VENTANAS]])</f>
        <v>0</v>
      </c>
      <c r="BG704" s="3">
        <f>+IF(AVANCE[[#This Row],[PISO]]=N$2,100%,AVANCE[[#This Row],[PISO]])</f>
        <v>0</v>
      </c>
      <c r="BH704" s="3">
        <f>+IF(AVANCE[[#This Row],[TABIQUES]]=O$2,100%,AVANCE[[#This Row],[TABIQUES]])</f>
        <v>0</v>
      </c>
      <c r="BI704" s="3">
        <f>+IF(AVANCE[[#This Row],[MUROS]]=P$2,100%,AVANCE[[#This Row],[MUROS]])</f>
        <v>0</v>
      </c>
      <c r="BJ704" s="3">
        <f>+IF(AVANCE[[#This Row],[CIELO]]=Q$2,100%,AVANCE[[#This Row],[CIELO]])</f>
        <v>0</v>
      </c>
      <c r="BK704" s="3">
        <f>+IF(AVANCE[[#This Row],[BALCÓN]]=R$2,100%,AVANCE[[#This Row],[BALCÓN]])</f>
        <v>0</v>
      </c>
      <c r="BL704" s="3">
        <f>+IF(AVANCE[[#This Row],[RED ALCANTARILLADO]]=U$2,100%,AVANCE[[#This Row],[RED ALCANTARILLADO]])</f>
        <v>0</v>
      </c>
      <c r="BM704" s="3">
        <f>+IF(AVANCE[[#This Row],[RED DE AGUA]]=V$2,100%,AVANCE[[#This Row],[RED DE AGUA]])</f>
        <v>0</v>
      </c>
      <c r="BN704" s="3">
        <f>+IF(AVANCE[[#This Row],[VENTILACIONES]]=W$2,100%,AVANCE[[#This Row],[VENTILACIONES]])</f>
        <v>0</v>
      </c>
      <c r="BO704" s="3">
        <f>+IF(AVANCE[[#This Row],[TINA]]=X$2,100%,AVANCE[[#This Row],[TINA]])</f>
        <v>0</v>
      </c>
      <c r="BP704" s="3">
        <f>+IF(AVANCE[[#This Row],[WC]]=Y$2,100%,AVANCE[[#This Row],[WC]])</f>
        <v>0</v>
      </c>
      <c r="BQ704" s="3">
        <f>+IF(AVANCE[[#This Row],[LAVAMANOS / LAVAPLATOS / LAVADERO]]=Z$2,100%,AVANCE[[#This Row],[LAVAMANOS / LAVAPLATOS / LAVADERO]])</f>
        <v>0</v>
      </c>
      <c r="BR704" s="3">
        <f>+IF(AVANCE[[#This Row],[CANALIZACIÓN]]=AC$2,100%,AVANCE[[#This Row],[CANALIZACIÓN]])</f>
        <v>0</v>
      </c>
      <c r="BS704" s="3">
        <f>+IF(AVANCE[[#This Row],[CABLEADO]]=AD$2,100%,AVANCE[[#This Row],[CABLEADO]])</f>
        <v>0</v>
      </c>
      <c r="BT704" s="3">
        <f>+IF(AVANCE[[#This Row],[ARTEFACTOS]]=AE$2,100%,AVANCE[[#This Row],[ARTEFACTOS]])</f>
        <v>0</v>
      </c>
      <c r="BU704" s="3">
        <f>+IF(AVANCE[[#This Row],[TABLERO]]=AF$2,100%,AVANCE[[#This Row],[TABLERO]])</f>
        <v>0</v>
      </c>
      <c r="BV704" s="3">
        <f>+IF(AVANCE[[#This Row],[CAJA PAU]]=AG$2,100%,AVANCE[[#This Row],[CAJA PAU]])</f>
        <v>0</v>
      </c>
      <c r="BW704" s="3">
        <f>+IF(AVANCE[[#This Row],[INSTALACION VINILICO]]=AJ$2,100%,AVANCE[[#This Row],[INSTALACION VINILICO]])</f>
        <v>0</v>
      </c>
      <c r="BX704" s="3">
        <f>+IF(AVANCE[[#This Row],[OSB CUBIERTA]]=AK$2,100%,AVANCE[[#This Row],[OSB CUBIERTA]])</f>
        <v>0</v>
      </c>
      <c r="BY704" s="3">
        <f>+IF(AVANCE[[#This Row],[BARANDA BALCON]]=AL$2,100%,AVANCE[[#This Row],[BARANDA BALCON]])</f>
        <v>0</v>
      </c>
      <c r="BZ704" s="3">
        <f>+IF(AVANCE[[#This Row],[OSB EXTERIOR]]=AM$2,100%,AVANCE[[#This Row],[OSB EXTERIOR]])</f>
        <v>0</v>
      </c>
      <c r="CA704" s="3">
        <f>+IF(AVANCE[[#This Row],[SMART PANEL]]=AN$2,100%,AVANCE[[#This Row],[SMART PANEL]])</f>
        <v>0</v>
      </c>
      <c r="CB704" s="3">
        <f>+IF(AVANCE[[#This Row],[PINTURA EXTERIOR]]=AO$2,100%,AVANCE[[#This Row],[PINTURA EXTERIOR]])</f>
        <v>0</v>
      </c>
      <c r="CC704" s="3">
        <f>+IF(AVANCE[[#This Row],[ZOCALOS LOGIA]]=AP$2,100%,AVANCE[[#This Row],[ZOCALOS LOGIA]])</f>
        <v>0</v>
      </c>
      <c r="CD704" s="3">
        <f>+IF(AVANCE[[#This Row],[MOLDURAS]]=AQ$2,100%,AVANCE[[#This Row],[MOLDURAS]])</f>
        <v>0</v>
      </c>
      <c r="CE704" s="3">
        <f>+IF(AVANCE[[#This Row],[PILASTREO]]=AR$2,100%,AVANCE[[#This Row],[PILASTREO]])</f>
        <v>0</v>
      </c>
      <c r="CF704" s="3">
        <f>+IF(AVANCE[[#This Row],[CELOSIAS]]=AS$2,100%,AVANCE[[#This Row],[CELOSIAS]])</f>
        <v>0</v>
      </c>
      <c r="CG704" s="3">
        <f>+IF(AVANCE[[#This Row],[VENTANAS]]=AT$2,100%,AVANCE[[#This Row],[VENTANAS]])</f>
        <v>0</v>
      </c>
      <c r="CH704" s="3">
        <f>+IF(AVANCE[[#This Row],[PUERTAS ACCESO - LOGIA - BANO]]=AU$2,100%,AVANCE[[#This Row],[PUERTAS ACCESO - LOGIA - BANO]])</f>
        <v>0</v>
      </c>
      <c r="CI704" s="3">
        <f>+IF(AVANCE[[#This Row],[CERRADURAS]]=AV$2,100%,AVANCE[[#This Row],[CERRADURAS]])</f>
        <v>0</v>
      </c>
      <c r="CJ704" s="3">
        <f>+IF(AVANCE[[#This Row],[REVESTIMIENTO INTERIOR ZONA SECA]]=AW$2,100%,AVANCE[[#This Row],[REVESTIMIENTO INTERIOR ZONA SECA]])</f>
        <v>0</v>
      </c>
      <c r="CK704" s="3">
        <f>+IF(AVANCE[[#This Row],[REVESTIMIENTO INTERIOR ZONAS HUMEDAS]]=AX$2,100%,AVANCE[[#This Row],[REVESTIMIENTO INTERIOR ZONAS HUMEDAS]])</f>
        <v>0</v>
      </c>
      <c r="CL704" s="3">
        <f>+IF(AVANCE[[#This Row],[MEMBRANA CIELO]]=AY$2,100%,AVANCE[[#This Row],[MEMBRANA CIELO]])</f>
        <v>0</v>
      </c>
      <c r="CM704" s="3">
        <f>+IF(AVANCE[[#This Row],[LIMPIEZA FINAL]]=AZ$2,100%,AVANCE[[#This Row],[LIMPIEZA FINAL]])</f>
        <v>0</v>
      </c>
      <c r="CN704" s="3">
        <f>+IF(AVANCE[[#This Row],[PUERTAS DORMITORIO]]=BA$2,100%,AVANCE[[#This Row],[PUERTAS DORMITORIO]])</f>
        <v>0</v>
      </c>
      <c r="CO704" s="3">
        <f>+IF(AVANCE[[#This Row],[REVESTIMIENTO INTERIOR BANO]]=BB$2,100%,AVANCE[[#This Row],[REVESTIMIENTO INTERIOR BANO]])</f>
        <v>0</v>
      </c>
      <c r="CP704" s="3">
        <f>+IF(AVANCE[[#This Row],[MUEBLE LAVAPLATOS]]=BC$2,100%,AVANCE[[#This Row],[MUEBLE LAVAPLATOS]])</f>
        <v>0</v>
      </c>
      <c r="CQ704" s="3">
        <f>+IF(AVANCE[[#This Row],[IMPERMEABILIZACION BANO - COCINA LOGIA]]=BD$2,100%,AVANCE[[#This Row],[IMPERMEABILIZACION BANO - COCINA LOGIA]])</f>
        <v>0</v>
      </c>
      <c r="CR704" s="40">
        <f ca="1">+IF(AVANCE[[#This Row],[ESTADO MODULO]]="PENDIENTE",(TODAY()-AVANCE[[#This Row],[FECHA TERMINO  PLANIFICADO]]),0)</f>
        <v>0</v>
      </c>
      <c r="CS704" s="42" t="str" cm="1">
        <f t="array" ref="CS704">_xlfn.TEXTJOIN(" | ",TRUE,IF(SUMPRODUCT((BF704:CQ704&lt;1)*(PARTIDAS!$I$2:$AT$2="OBRA GRUESA"))&gt;0,"OBRA GRUESA: "&amp;_xlfn.TEXTJOIN(", ",TRUE,IF((BF704:CQ704&lt;1)*(PARTIDAS!$I$2:$AT$2="OBRA GRUESA"),PARTIDAS!$I$1:$AT$1,"")),""),IF(SUMPRODUCT((BF704:CQ704&lt;1)*(PARTIDAS!$I$2:$AT$2="SANITARIOS"))&gt;0,"SANITARIOS: "&amp;_xlfn.TEXTJOIN(", ",TRUE,IF((BF704:CQ704&lt;1)*(PARTIDAS!$I$2:$AT$2="SANITARIOS"),PARTIDAS!$I$1:$AT$1,"")),""),IF(SUMPRODUCT((BF704:CQ704&lt;1)*(PARTIDAS!$I$2:$AT$2="ELÉCTRICO"))&gt;0,"ELÉCTRICO: "&amp;_xlfn.TEXTJOIN(", ",TRUE,IF((BF704:CQ704&lt;1)*(PARTIDAS!$I$2:$AT$2="ELÉCTRICO"),PARTIDAS!$I$1:$AT$1,"")),""),IF(SUMPRODUCT((BF704:CQ704&lt;1)*(PARTIDAS!$I$2:$AT$2="TERMINACIONES"))&gt;0,"TERMINACIONES: "&amp;_xlfn.TEXTJOIN(", ",TRUE,IF((BF704:CQ704&lt;1)*(PARTIDAS!$I$2:$AT$2="TERMINACIONES"),PARTIDAS!$I$1:$AT$1,"")),""))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704" s="45" t="str" cm="1">
        <f t="array" ref="CT704">_xlfn.TEXTJOIN(", ",TRUE,IF(SUMPRODUCT((BF704:CQ704&lt;1)*(PARTIDAS!$I$2:$AT$2="OBRA GRUESA"))&gt;0,"OBRA GRUESA",""),IF(SUMPRODUCT((BF704:CQ704&lt;1)*(PARTIDAS!$I$2:$AT$2="SANITARIOS"))&gt;0,"SANITARIOS",""),IF(SUMPRODUCT((BF704:CQ704&lt;1)*(PARTIDAS!$I$2:$AT$2="ELÉCTRICO"))&gt;0,"ELÉCTRICO",""),IF(SUMPRODUCT((BF704:CQ704&lt;1)*(PARTIDAS!$I$2:$AT$2="TERMINACIONES"))&gt;0,"TERMINACIONES",""))</f>
        <v>OBRA GRUESA, SANITARIOS, ELÉCTRICO, TERMINACIONES</v>
      </c>
      <c r="CU704" s="46" cm="1">
        <f t="array" ref="CU704">SUMPRODUCT(--(BF704:CQ704&lt;1))</f>
        <v>38</v>
      </c>
    </row>
    <row r="705" spans="1:99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46181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 s="3" t="str">
        <f>+IF(AVANCE[[#This Row],[% AVANCE]]=100%,"MODULO TERMINADO",IF(AVANCE[[#This Row],[FECHA INICIO REAL]]="","MODULO NO INICIADO","PENDIENTE"))</f>
        <v>MODULO NO INICIADO</v>
      </c>
      <c r="BF705" s="3">
        <f>+IF(AVANCE[[#This Row],[VENTANAS]]=8.10810810810811%,100%,AVANCE[[#This Row],[VENTANAS]])</f>
        <v>0</v>
      </c>
      <c r="BG705" s="3">
        <f>+IF(AVANCE[[#This Row],[PISO]]=N$2,100%,AVANCE[[#This Row],[PISO]])</f>
        <v>0</v>
      </c>
      <c r="BH705" s="3">
        <f>+IF(AVANCE[[#This Row],[TABIQUES]]=O$2,100%,AVANCE[[#This Row],[TABIQUES]])</f>
        <v>0</v>
      </c>
      <c r="BI705" s="3">
        <f>+IF(AVANCE[[#This Row],[MUROS]]=P$2,100%,AVANCE[[#This Row],[MUROS]])</f>
        <v>0</v>
      </c>
      <c r="BJ705" s="3">
        <f>+IF(AVANCE[[#This Row],[CIELO]]=Q$2,100%,AVANCE[[#This Row],[CIELO]])</f>
        <v>0</v>
      </c>
      <c r="BK705" s="3">
        <f>+IF(AVANCE[[#This Row],[BALCÓN]]=R$2,100%,AVANCE[[#This Row],[BALCÓN]])</f>
        <v>0</v>
      </c>
      <c r="BL705" s="3">
        <f>+IF(AVANCE[[#This Row],[RED ALCANTARILLADO]]=U$2,100%,AVANCE[[#This Row],[RED ALCANTARILLADO]])</f>
        <v>0</v>
      </c>
      <c r="BM705" s="3">
        <f>+IF(AVANCE[[#This Row],[RED DE AGUA]]=V$2,100%,AVANCE[[#This Row],[RED DE AGUA]])</f>
        <v>0</v>
      </c>
      <c r="BN705" s="3">
        <f>+IF(AVANCE[[#This Row],[VENTILACIONES]]=W$2,100%,AVANCE[[#This Row],[VENTILACIONES]])</f>
        <v>0</v>
      </c>
      <c r="BO705" s="3">
        <f>+IF(AVANCE[[#This Row],[TINA]]=X$2,100%,AVANCE[[#This Row],[TINA]])</f>
        <v>0</v>
      </c>
      <c r="BP705" s="3">
        <f>+IF(AVANCE[[#This Row],[WC]]=Y$2,100%,AVANCE[[#This Row],[WC]])</f>
        <v>0</v>
      </c>
      <c r="BQ705" s="3">
        <f>+IF(AVANCE[[#This Row],[LAVAMANOS / LAVAPLATOS / LAVADERO]]=Z$2,100%,AVANCE[[#This Row],[LAVAMANOS / LAVAPLATOS / LAVADERO]])</f>
        <v>0</v>
      </c>
      <c r="BR705" s="3">
        <f>+IF(AVANCE[[#This Row],[CANALIZACIÓN]]=AC$2,100%,AVANCE[[#This Row],[CANALIZACIÓN]])</f>
        <v>0</v>
      </c>
      <c r="BS705" s="3">
        <f>+IF(AVANCE[[#This Row],[CABLEADO]]=AD$2,100%,AVANCE[[#This Row],[CABLEADO]])</f>
        <v>0</v>
      </c>
      <c r="BT705" s="3">
        <f>+IF(AVANCE[[#This Row],[ARTEFACTOS]]=AE$2,100%,AVANCE[[#This Row],[ARTEFACTOS]])</f>
        <v>0</v>
      </c>
      <c r="BU705" s="3">
        <f>+IF(AVANCE[[#This Row],[TABLERO]]=AF$2,100%,AVANCE[[#This Row],[TABLERO]])</f>
        <v>0</v>
      </c>
      <c r="BV705" s="3">
        <f>+IF(AVANCE[[#This Row],[CAJA PAU]]=AG$2,100%,AVANCE[[#This Row],[CAJA PAU]])</f>
        <v>0</v>
      </c>
      <c r="BW705" s="3">
        <f>+IF(AVANCE[[#This Row],[INSTALACION VINILICO]]=AJ$2,100%,AVANCE[[#This Row],[INSTALACION VINILICO]])</f>
        <v>0</v>
      </c>
      <c r="BX705" s="3">
        <f>+IF(AVANCE[[#This Row],[OSB CUBIERTA]]=AK$2,100%,AVANCE[[#This Row],[OSB CUBIERTA]])</f>
        <v>0</v>
      </c>
      <c r="BY705" s="3">
        <f>+IF(AVANCE[[#This Row],[BARANDA BALCON]]=AL$2,100%,AVANCE[[#This Row],[BARANDA BALCON]])</f>
        <v>0</v>
      </c>
      <c r="BZ705" s="3">
        <f>+IF(AVANCE[[#This Row],[OSB EXTERIOR]]=AM$2,100%,AVANCE[[#This Row],[OSB EXTERIOR]])</f>
        <v>0</v>
      </c>
      <c r="CA705" s="3">
        <f>+IF(AVANCE[[#This Row],[SMART PANEL]]=AN$2,100%,AVANCE[[#This Row],[SMART PANEL]])</f>
        <v>0</v>
      </c>
      <c r="CB705" s="3">
        <f>+IF(AVANCE[[#This Row],[PINTURA EXTERIOR]]=AO$2,100%,AVANCE[[#This Row],[PINTURA EXTERIOR]])</f>
        <v>0</v>
      </c>
      <c r="CC705" s="3">
        <f>+IF(AVANCE[[#This Row],[ZOCALOS LOGIA]]=AP$2,100%,AVANCE[[#This Row],[ZOCALOS LOGIA]])</f>
        <v>0</v>
      </c>
      <c r="CD705" s="3">
        <f>+IF(AVANCE[[#This Row],[MOLDURAS]]=AQ$2,100%,AVANCE[[#This Row],[MOLDURAS]])</f>
        <v>0</v>
      </c>
      <c r="CE705" s="3">
        <f>+IF(AVANCE[[#This Row],[PILASTREO]]=AR$2,100%,AVANCE[[#This Row],[PILASTREO]])</f>
        <v>0</v>
      </c>
      <c r="CF705" s="3">
        <f>+IF(AVANCE[[#This Row],[CELOSIAS]]=AS$2,100%,AVANCE[[#This Row],[CELOSIAS]])</f>
        <v>0</v>
      </c>
      <c r="CG705" s="3">
        <f>+IF(AVANCE[[#This Row],[VENTANAS]]=AT$2,100%,AVANCE[[#This Row],[VENTANAS]])</f>
        <v>0</v>
      </c>
      <c r="CH705" s="3">
        <f>+IF(AVANCE[[#This Row],[PUERTAS ACCESO - LOGIA - BANO]]=AU$2,100%,AVANCE[[#This Row],[PUERTAS ACCESO - LOGIA - BANO]])</f>
        <v>0</v>
      </c>
      <c r="CI705" s="3">
        <f>+IF(AVANCE[[#This Row],[CERRADURAS]]=AV$2,100%,AVANCE[[#This Row],[CERRADURAS]])</f>
        <v>0</v>
      </c>
      <c r="CJ705" s="3">
        <f>+IF(AVANCE[[#This Row],[REVESTIMIENTO INTERIOR ZONA SECA]]=AW$2,100%,AVANCE[[#This Row],[REVESTIMIENTO INTERIOR ZONA SECA]])</f>
        <v>0</v>
      </c>
      <c r="CK705" s="3">
        <f>+IF(AVANCE[[#This Row],[REVESTIMIENTO INTERIOR ZONAS HUMEDAS]]=AX$2,100%,AVANCE[[#This Row],[REVESTIMIENTO INTERIOR ZONAS HUMEDAS]])</f>
        <v>0</v>
      </c>
      <c r="CL705" s="3">
        <f>+IF(AVANCE[[#This Row],[MEMBRANA CIELO]]=AY$2,100%,AVANCE[[#This Row],[MEMBRANA CIELO]])</f>
        <v>0</v>
      </c>
      <c r="CM705" s="3">
        <f>+IF(AVANCE[[#This Row],[LIMPIEZA FINAL]]=AZ$2,100%,AVANCE[[#This Row],[LIMPIEZA FINAL]])</f>
        <v>0</v>
      </c>
      <c r="CN705" s="3">
        <f>+IF(AVANCE[[#This Row],[PUERTAS DORMITORIO]]=BA$2,100%,AVANCE[[#This Row],[PUERTAS DORMITORIO]])</f>
        <v>0</v>
      </c>
      <c r="CO705" s="3">
        <f>+IF(AVANCE[[#This Row],[REVESTIMIENTO INTERIOR BANO]]=BB$2,100%,AVANCE[[#This Row],[REVESTIMIENTO INTERIOR BANO]])</f>
        <v>0</v>
      </c>
      <c r="CP705" s="3">
        <f>+IF(AVANCE[[#This Row],[MUEBLE LAVAPLATOS]]=BC$2,100%,AVANCE[[#This Row],[MUEBLE LAVAPLATOS]])</f>
        <v>0</v>
      </c>
      <c r="CQ705" s="3">
        <f>+IF(AVANCE[[#This Row],[IMPERMEABILIZACION BANO - COCINA LOGIA]]=BD$2,100%,AVANCE[[#This Row],[IMPERMEABILIZACION BANO - COCINA LOGIA]])</f>
        <v>0</v>
      </c>
      <c r="CR705" s="40">
        <f ca="1">+IF(AVANCE[[#This Row],[ESTADO MODULO]]="PENDIENTE",(TODAY()-AVANCE[[#This Row],[FECHA TERMINO  PLANIFICADO]]),0)</f>
        <v>0</v>
      </c>
      <c r="CS705" s="42" t="str" cm="1">
        <f t="array" ref="CS705">_xlfn.TEXTJOIN(" | ",TRUE,IF(SUMPRODUCT((BF705:CQ705&lt;1)*(PARTIDAS!$I$2:$AT$2="OBRA GRUESA"))&gt;0,"OBRA GRUESA: "&amp;_xlfn.TEXTJOIN(", ",TRUE,IF((BF705:CQ705&lt;1)*(PARTIDAS!$I$2:$AT$2="OBRA GRUESA"),PARTIDAS!$I$1:$AT$1,"")),""),IF(SUMPRODUCT((BF705:CQ705&lt;1)*(PARTIDAS!$I$2:$AT$2="SANITARIOS"))&gt;0,"SANITARIOS: "&amp;_xlfn.TEXTJOIN(", ",TRUE,IF((BF705:CQ705&lt;1)*(PARTIDAS!$I$2:$AT$2="SANITARIOS"),PARTIDAS!$I$1:$AT$1,"")),""),IF(SUMPRODUCT((BF705:CQ705&lt;1)*(PARTIDAS!$I$2:$AT$2="ELÉCTRICO"))&gt;0,"ELÉCTRICO: "&amp;_xlfn.TEXTJOIN(", ",TRUE,IF((BF705:CQ705&lt;1)*(PARTIDAS!$I$2:$AT$2="ELÉCTRICO"),PARTIDAS!$I$1:$AT$1,"")),""),IF(SUMPRODUCT((BF705:CQ705&lt;1)*(PARTIDAS!$I$2:$AT$2="TERMINACIONES"))&gt;0,"TERMINACIONES: "&amp;_xlfn.TEXTJOIN(", ",TRUE,IF((BF705:CQ705&lt;1)*(PARTIDAS!$I$2:$AT$2="TERMINACIONES"),PARTIDAS!$I$1:$AT$1,"")),""))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T705" s="45" t="str" cm="1">
        <f t="array" ref="CT705">_xlfn.TEXTJOIN(", ",TRUE,IF(SUMPRODUCT((BF705:CQ705&lt;1)*(PARTIDAS!$I$2:$AT$2="OBRA GRUESA"))&gt;0,"OBRA GRUESA",""),IF(SUMPRODUCT((BF705:CQ705&lt;1)*(PARTIDAS!$I$2:$AT$2="SANITARIOS"))&gt;0,"SANITARIOS",""),IF(SUMPRODUCT((BF705:CQ705&lt;1)*(PARTIDAS!$I$2:$AT$2="ELÉCTRICO"))&gt;0,"ELÉCTRICO",""),IF(SUMPRODUCT((BF705:CQ705&lt;1)*(PARTIDAS!$I$2:$AT$2="TERMINACIONES"))&gt;0,"TERMINACIONES",""))</f>
        <v>OBRA GRUESA, SANITARIOS, ELÉCTRICO, TERMINACIONES</v>
      </c>
      <c r="CU705" s="46" cm="1">
        <f t="array" ref="CU705">SUMPRODUCT(--(BF705:CQ705&lt;1))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7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6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8" t="s">
        <v>914</v>
      </c>
      <c r="G2" s="52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8" t="s">
        <v>914</v>
      </c>
      <c r="G3" s="52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8" t="s">
        <v>914</v>
      </c>
      <c r="G4" s="52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8" t="s">
        <v>914</v>
      </c>
      <c r="G5" s="52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9" t="s">
        <v>914</v>
      </c>
      <c r="G6" s="53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50" t="s">
        <v>914</v>
      </c>
      <c r="G7" s="54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50" t="s">
        <v>914</v>
      </c>
      <c r="G8" s="54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51" t="s">
        <v>914</v>
      </c>
      <c r="G9" s="55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51" t="s">
        <v>914</v>
      </c>
      <c r="G10" s="55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51" t="s">
        <v>914</v>
      </c>
      <c r="G11" s="55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51" t="s">
        <v>914</v>
      </c>
      <c r="G12" s="55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51" t="s">
        <v>914</v>
      </c>
      <c r="G13" s="55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51" t="s">
        <v>914</v>
      </c>
      <c r="G14" s="55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51" t="s">
        <v>914</v>
      </c>
      <c r="G15" s="55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51" t="s">
        <v>914</v>
      </c>
      <c r="G16" s="55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51" t="s">
        <v>914</v>
      </c>
      <c r="G17" s="55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51" t="s">
        <v>914</v>
      </c>
      <c r="G18" s="55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51" t="s">
        <v>914</v>
      </c>
      <c r="G19" s="55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51" t="s">
        <v>914</v>
      </c>
      <c r="G20" s="55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51" t="s">
        <v>914</v>
      </c>
      <c r="G21" s="55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51" t="s">
        <v>914</v>
      </c>
      <c r="G22" s="55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8" t="s">
        <v>916</v>
      </c>
      <c r="G23" s="52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9" t="s">
        <v>916</v>
      </c>
      <c r="G24" s="53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9" t="s">
        <v>916</v>
      </c>
      <c r="G25" s="53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9" t="s">
        <v>916</v>
      </c>
      <c r="G26" s="53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9" t="s">
        <v>916</v>
      </c>
      <c r="G27" s="53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50" t="s">
        <v>916</v>
      </c>
      <c r="G28" s="54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51" t="s">
        <v>916</v>
      </c>
      <c r="G29" s="55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51" t="s">
        <v>916</v>
      </c>
      <c r="G30" s="55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51" t="s">
        <v>916</v>
      </c>
      <c r="G31" s="55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50" t="s">
        <v>915</v>
      </c>
      <c r="G32" s="54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50" t="s">
        <v>915</v>
      </c>
      <c r="G33" s="54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50" t="s">
        <v>915</v>
      </c>
      <c r="G34" s="54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51" t="s">
        <v>915</v>
      </c>
      <c r="G35" s="55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51" t="s">
        <v>917</v>
      </c>
      <c r="G36" s="55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51" t="s">
        <v>917</v>
      </c>
      <c r="G37" s="55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51" t="s">
        <v>917</v>
      </c>
      <c r="G38" s="55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5" t="s">
        <v>922</v>
      </c>
      <c r="B1" s="76"/>
      <c r="C1" s="76"/>
      <c r="D1" s="76"/>
      <c r="E1" s="76"/>
      <c r="F1" s="76"/>
      <c r="G1" s="76"/>
      <c r="H1" s="77" t="s">
        <v>923</v>
      </c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</row>
    <row r="2" spans="1:29" x14ac:dyDescent="0.25">
      <c r="A2" s="78" t="s">
        <v>924</v>
      </c>
      <c r="B2" s="76"/>
      <c r="C2" s="76"/>
      <c r="D2" s="76"/>
      <c r="E2" s="76"/>
      <c r="F2" s="76"/>
      <c r="G2" s="76"/>
    </row>
    <row r="4" spans="1:29" x14ac:dyDescent="0.25">
      <c r="A4" s="65" t="s">
        <v>918</v>
      </c>
      <c r="B4" s="65" t="s">
        <v>784</v>
      </c>
      <c r="C4" s="65" t="s">
        <v>920</v>
      </c>
      <c r="D4" s="65" t="s">
        <v>919</v>
      </c>
      <c r="E4" s="65" t="s">
        <v>925</v>
      </c>
      <c r="F4" s="65" t="s">
        <v>926</v>
      </c>
      <c r="G4" s="65" t="s">
        <v>927</v>
      </c>
      <c r="H4" s="65">
        <v>1</v>
      </c>
      <c r="I4" s="65">
        <v>2</v>
      </c>
      <c r="J4" s="65">
        <v>3</v>
      </c>
      <c r="K4" s="65">
        <v>4</v>
      </c>
      <c r="L4" s="65">
        <v>5</v>
      </c>
      <c r="M4" s="65">
        <v>6</v>
      </c>
      <c r="N4" s="65">
        <v>7</v>
      </c>
      <c r="O4" s="65">
        <v>8</v>
      </c>
      <c r="P4" s="65">
        <v>9</v>
      </c>
      <c r="Q4" s="65">
        <v>10</v>
      </c>
      <c r="R4" s="65">
        <v>11</v>
      </c>
      <c r="S4" s="65">
        <v>12</v>
      </c>
      <c r="T4" s="65">
        <v>13</v>
      </c>
      <c r="U4" s="65">
        <v>14</v>
      </c>
      <c r="V4" s="65">
        <v>15</v>
      </c>
      <c r="W4" s="65">
        <v>16</v>
      </c>
      <c r="X4" s="65">
        <v>17</v>
      </c>
      <c r="Y4" s="65">
        <v>18</v>
      </c>
      <c r="Z4" s="65">
        <v>19</v>
      </c>
      <c r="AA4" s="65">
        <v>20</v>
      </c>
      <c r="AB4" s="65">
        <v>21</v>
      </c>
      <c r="AC4" s="65">
        <v>22</v>
      </c>
    </row>
    <row r="5" spans="1:29" x14ac:dyDescent="0.25">
      <c r="A5" s="58">
        <v>1</v>
      </c>
      <c r="B5" s="59" t="s">
        <v>789</v>
      </c>
      <c r="C5" s="66" t="s">
        <v>12</v>
      </c>
      <c r="D5" s="58" t="s">
        <v>914</v>
      </c>
      <c r="E5" s="58">
        <v>1</v>
      </c>
      <c r="F5" s="58">
        <v>1</v>
      </c>
      <c r="G5" s="58">
        <v>1</v>
      </c>
      <c r="H5" s="67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</row>
    <row r="6" spans="1:29" x14ac:dyDescent="0.25">
      <c r="A6" s="58">
        <v>2</v>
      </c>
      <c r="B6" s="59" t="s">
        <v>791</v>
      </c>
      <c r="C6" s="66" t="s">
        <v>12</v>
      </c>
      <c r="D6" s="58" t="s">
        <v>914</v>
      </c>
      <c r="E6" s="58">
        <v>1</v>
      </c>
      <c r="F6" s="58">
        <v>2</v>
      </c>
      <c r="G6" s="58">
        <v>2</v>
      </c>
      <c r="H6" s="68"/>
      <c r="I6" s="67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</row>
    <row r="7" spans="1:29" x14ac:dyDescent="0.25">
      <c r="A7" s="58">
        <v>3</v>
      </c>
      <c r="B7" s="59" t="s">
        <v>792</v>
      </c>
      <c r="C7" s="66" t="s">
        <v>12</v>
      </c>
      <c r="D7" s="58" t="s">
        <v>914</v>
      </c>
      <c r="E7" s="58">
        <v>1</v>
      </c>
      <c r="F7" s="58">
        <v>3</v>
      </c>
      <c r="G7" s="58">
        <v>3</v>
      </c>
      <c r="H7" s="68"/>
      <c r="I7" s="68"/>
      <c r="J7" s="67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</row>
    <row r="8" spans="1:29" x14ac:dyDescent="0.25">
      <c r="A8" s="58">
        <v>4</v>
      </c>
      <c r="B8" s="59" t="s">
        <v>790</v>
      </c>
      <c r="C8" s="66" t="s">
        <v>12</v>
      </c>
      <c r="D8" s="58" t="s">
        <v>914</v>
      </c>
      <c r="E8" s="58">
        <v>1</v>
      </c>
      <c r="F8" s="58">
        <v>4</v>
      </c>
      <c r="G8" s="58">
        <v>4</v>
      </c>
      <c r="H8" s="68"/>
      <c r="I8" s="68"/>
      <c r="J8" s="68"/>
      <c r="K8" s="67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</row>
    <row r="9" spans="1:29" x14ac:dyDescent="0.25">
      <c r="A9" s="58">
        <v>5</v>
      </c>
      <c r="B9" s="59" t="s">
        <v>21</v>
      </c>
      <c r="C9" s="69" t="s">
        <v>799</v>
      </c>
      <c r="D9" s="58" t="s">
        <v>914</v>
      </c>
      <c r="E9" s="58">
        <v>3</v>
      </c>
      <c r="F9" s="58">
        <v>4</v>
      </c>
      <c r="G9" s="58">
        <v>6</v>
      </c>
      <c r="H9" s="68"/>
      <c r="I9" s="68"/>
      <c r="J9" s="68"/>
      <c r="K9" s="70"/>
      <c r="L9" s="70"/>
      <c r="M9" s="70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</row>
    <row r="10" spans="1:29" x14ac:dyDescent="0.25">
      <c r="A10" s="58">
        <v>6</v>
      </c>
      <c r="B10" s="59" t="s">
        <v>20</v>
      </c>
      <c r="C10" s="69" t="s">
        <v>799</v>
      </c>
      <c r="D10" s="58" t="s">
        <v>914</v>
      </c>
      <c r="E10" s="58">
        <v>3</v>
      </c>
      <c r="F10" s="58">
        <v>4</v>
      </c>
      <c r="G10" s="58">
        <v>6</v>
      </c>
      <c r="H10" s="68"/>
      <c r="I10" s="68"/>
      <c r="J10" s="68"/>
      <c r="K10" s="70"/>
      <c r="L10" s="70"/>
      <c r="M10" s="70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</row>
    <row r="11" spans="1:29" x14ac:dyDescent="0.25">
      <c r="A11" s="58">
        <v>7</v>
      </c>
      <c r="B11" s="59" t="s">
        <v>794</v>
      </c>
      <c r="C11" s="71" t="s">
        <v>27</v>
      </c>
      <c r="D11" s="58" t="s">
        <v>914</v>
      </c>
      <c r="E11" s="58">
        <v>1</v>
      </c>
      <c r="F11" s="58">
        <v>5</v>
      </c>
      <c r="G11" s="58">
        <v>5</v>
      </c>
      <c r="H11" s="68"/>
      <c r="I11" s="68"/>
      <c r="J11" s="68"/>
      <c r="K11" s="68"/>
      <c r="L11" s="72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</row>
    <row r="12" spans="1:29" x14ac:dyDescent="0.25">
      <c r="A12" s="58">
        <v>8</v>
      </c>
      <c r="B12" s="59" t="s">
        <v>36</v>
      </c>
      <c r="C12" s="73" t="s">
        <v>34</v>
      </c>
      <c r="D12" s="58" t="s">
        <v>914</v>
      </c>
      <c r="E12" s="58">
        <v>1</v>
      </c>
      <c r="F12" s="58">
        <v>5</v>
      </c>
      <c r="G12" s="58">
        <v>5</v>
      </c>
      <c r="H12" s="68"/>
      <c r="I12" s="68"/>
      <c r="J12" s="68"/>
      <c r="K12" s="68"/>
      <c r="L12" s="74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</row>
    <row r="13" spans="1:29" x14ac:dyDescent="0.25">
      <c r="A13" s="58">
        <v>9</v>
      </c>
      <c r="B13" s="59" t="s">
        <v>38</v>
      </c>
      <c r="C13" s="73" t="s">
        <v>34</v>
      </c>
      <c r="D13" s="58" t="s">
        <v>917</v>
      </c>
      <c r="E13" s="58">
        <v>1</v>
      </c>
      <c r="F13" s="58">
        <v>5</v>
      </c>
      <c r="G13" s="58">
        <v>5</v>
      </c>
      <c r="H13" s="68"/>
      <c r="I13" s="68"/>
      <c r="J13" s="68"/>
      <c r="K13" s="68"/>
      <c r="L13" s="74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</row>
    <row r="14" spans="1:29" x14ac:dyDescent="0.25">
      <c r="A14" s="58">
        <v>10</v>
      </c>
      <c r="B14" s="59" t="s">
        <v>795</v>
      </c>
      <c r="C14" s="71" t="s">
        <v>27</v>
      </c>
      <c r="D14" s="58" t="s">
        <v>916</v>
      </c>
      <c r="E14" s="58">
        <v>2</v>
      </c>
      <c r="F14" s="58">
        <v>6</v>
      </c>
      <c r="G14" s="58">
        <v>7</v>
      </c>
      <c r="H14" s="68"/>
      <c r="I14" s="68"/>
      <c r="J14" s="68"/>
      <c r="K14" s="68"/>
      <c r="L14" s="68"/>
      <c r="M14" s="72"/>
      <c r="N14" s="72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</row>
    <row r="15" spans="1:29" x14ac:dyDescent="0.25">
      <c r="A15" s="58">
        <v>11</v>
      </c>
      <c r="B15" s="59" t="s">
        <v>50</v>
      </c>
      <c r="C15" s="73" t="s">
        <v>34</v>
      </c>
      <c r="D15" s="58" t="s">
        <v>914</v>
      </c>
      <c r="E15" s="58">
        <v>1</v>
      </c>
      <c r="F15" s="58">
        <v>6</v>
      </c>
      <c r="G15" s="58">
        <v>6</v>
      </c>
      <c r="H15" s="68"/>
      <c r="I15" s="68"/>
      <c r="J15" s="68"/>
      <c r="K15" s="68"/>
      <c r="L15" s="68"/>
      <c r="M15" s="74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</row>
    <row r="16" spans="1:29" x14ac:dyDescent="0.25">
      <c r="A16" s="58">
        <v>12</v>
      </c>
      <c r="B16" s="59" t="s">
        <v>39</v>
      </c>
      <c r="C16" s="73" t="s">
        <v>34</v>
      </c>
      <c r="D16" s="58" t="s">
        <v>917</v>
      </c>
      <c r="E16" s="58">
        <v>4</v>
      </c>
      <c r="F16" s="58">
        <v>6</v>
      </c>
      <c r="G16" s="58">
        <v>9</v>
      </c>
      <c r="H16" s="68"/>
      <c r="I16" s="68"/>
      <c r="J16" s="68"/>
      <c r="K16" s="68"/>
      <c r="L16" s="68"/>
      <c r="M16" s="74"/>
      <c r="N16" s="74"/>
      <c r="O16" s="74"/>
      <c r="P16" s="74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</row>
    <row r="17" spans="1:29" x14ac:dyDescent="0.25">
      <c r="A17" s="58">
        <v>13</v>
      </c>
      <c r="B17" s="59" t="s">
        <v>800</v>
      </c>
      <c r="C17" s="69" t="s">
        <v>799</v>
      </c>
      <c r="D17" s="58" t="s">
        <v>916</v>
      </c>
      <c r="E17" s="58">
        <v>2</v>
      </c>
      <c r="F17" s="58">
        <v>7</v>
      </c>
      <c r="G17" s="58">
        <v>8</v>
      </c>
      <c r="H17" s="68"/>
      <c r="I17" s="68"/>
      <c r="J17" s="68"/>
      <c r="K17" s="68"/>
      <c r="L17" s="68"/>
      <c r="M17" s="68"/>
      <c r="N17" s="70"/>
      <c r="O17" s="70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</row>
    <row r="18" spans="1:29" x14ac:dyDescent="0.25">
      <c r="A18" s="58">
        <v>14</v>
      </c>
      <c r="B18" s="59" t="s">
        <v>793</v>
      </c>
      <c r="C18" s="66" t="s">
        <v>12</v>
      </c>
      <c r="D18" s="58" t="s">
        <v>916</v>
      </c>
      <c r="E18" s="58">
        <v>3</v>
      </c>
      <c r="F18" s="58">
        <v>8</v>
      </c>
      <c r="G18" s="58">
        <v>10</v>
      </c>
      <c r="H18" s="68"/>
      <c r="I18" s="68"/>
      <c r="J18" s="68"/>
      <c r="K18" s="68"/>
      <c r="L18" s="68"/>
      <c r="M18" s="68"/>
      <c r="N18" s="68"/>
      <c r="O18" s="67"/>
      <c r="P18" s="67"/>
      <c r="Q18" s="67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</row>
    <row r="19" spans="1:29" x14ac:dyDescent="0.25">
      <c r="A19" s="58">
        <v>15</v>
      </c>
      <c r="B19" s="59" t="s">
        <v>801</v>
      </c>
      <c r="C19" s="73" t="s">
        <v>34</v>
      </c>
      <c r="D19" s="58" t="s">
        <v>914</v>
      </c>
      <c r="E19" s="58">
        <v>2</v>
      </c>
      <c r="F19" s="58">
        <v>8</v>
      </c>
      <c r="G19" s="58">
        <v>9</v>
      </c>
      <c r="H19" s="68"/>
      <c r="I19" s="68"/>
      <c r="J19" s="68"/>
      <c r="K19" s="68"/>
      <c r="L19" s="68"/>
      <c r="M19" s="68"/>
      <c r="N19" s="68"/>
      <c r="O19" s="74"/>
      <c r="P19" s="74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</row>
    <row r="20" spans="1:29" x14ac:dyDescent="0.25">
      <c r="A20" s="58">
        <v>16</v>
      </c>
      <c r="B20" s="59" t="s">
        <v>807</v>
      </c>
      <c r="C20" s="73" t="s">
        <v>34</v>
      </c>
      <c r="D20" s="58" t="s">
        <v>917</v>
      </c>
      <c r="E20" s="58">
        <v>2</v>
      </c>
      <c r="F20" s="58">
        <v>10</v>
      </c>
      <c r="G20" s="58">
        <v>11</v>
      </c>
      <c r="H20" s="68"/>
      <c r="I20" s="68"/>
      <c r="J20" s="68"/>
      <c r="K20" s="68"/>
      <c r="L20" s="68"/>
      <c r="M20" s="68"/>
      <c r="N20" s="68"/>
      <c r="O20" s="68"/>
      <c r="P20" s="68"/>
      <c r="Q20" s="74"/>
      <c r="R20" s="74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</row>
    <row r="21" spans="1:29" x14ac:dyDescent="0.25">
      <c r="A21" s="58">
        <v>17</v>
      </c>
      <c r="B21" s="59" t="s">
        <v>803</v>
      </c>
      <c r="C21" s="73" t="s">
        <v>34</v>
      </c>
      <c r="D21" s="58" t="s">
        <v>914</v>
      </c>
      <c r="E21" s="58">
        <v>2</v>
      </c>
      <c r="F21" s="58">
        <v>10</v>
      </c>
      <c r="G21" s="58">
        <v>11</v>
      </c>
      <c r="H21" s="68"/>
      <c r="I21" s="68"/>
      <c r="J21" s="68"/>
      <c r="K21" s="68"/>
      <c r="L21" s="68"/>
      <c r="M21" s="68"/>
      <c r="N21" s="68"/>
      <c r="O21" s="68"/>
      <c r="P21" s="68"/>
      <c r="Q21" s="74"/>
      <c r="R21" s="74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</row>
    <row r="22" spans="1:29" x14ac:dyDescent="0.25">
      <c r="A22" s="58">
        <v>18</v>
      </c>
      <c r="B22" s="59" t="s">
        <v>802</v>
      </c>
      <c r="C22" s="73" t="s">
        <v>34</v>
      </c>
      <c r="D22" s="58" t="s">
        <v>914</v>
      </c>
      <c r="E22" s="58">
        <v>2</v>
      </c>
      <c r="F22" s="58">
        <v>10</v>
      </c>
      <c r="G22" s="58">
        <v>11</v>
      </c>
      <c r="H22" s="68"/>
      <c r="I22" s="68"/>
      <c r="J22" s="68"/>
      <c r="K22" s="68"/>
      <c r="L22" s="68"/>
      <c r="M22" s="68"/>
      <c r="N22" s="68"/>
      <c r="O22" s="68"/>
      <c r="P22" s="68"/>
      <c r="Q22" s="74"/>
      <c r="R22" s="74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</row>
    <row r="23" spans="1:29" x14ac:dyDescent="0.25">
      <c r="A23" s="58">
        <v>19</v>
      </c>
      <c r="B23" s="59" t="s">
        <v>815</v>
      </c>
      <c r="C23" s="73" t="s">
        <v>34</v>
      </c>
      <c r="D23" s="58" t="s">
        <v>916</v>
      </c>
      <c r="E23" s="58">
        <v>1</v>
      </c>
      <c r="F23" s="58">
        <v>11</v>
      </c>
      <c r="G23" s="58">
        <v>11</v>
      </c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74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</row>
    <row r="24" spans="1:29" x14ac:dyDescent="0.25">
      <c r="A24" s="58">
        <v>20</v>
      </c>
      <c r="B24" s="59" t="s">
        <v>804</v>
      </c>
      <c r="C24" s="73" t="s">
        <v>34</v>
      </c>
      <c r="D24" s="58" t="s">
        <v>914</v>
      </c>
      <c r="E24" s="58">
        <v>3</v>
      </c>
      <c r="F24" s="58">
        <v>12</v>
      </c>
      <c r="G24" s="58">
        <v>14</v>
      </c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74"/>
      <c r="T24" s="74"/>
      <c r="U24" s="74"/>
      <c r="V24" s="68"/>
      <c r="W24" s="68"/>
      <c r="X24" s="68"/>
      <c r="Y24" s="68"/>
      <c r="Z24" s="68"/>
      <c r="AA24" s="68"/>
      <c r="AB24" s="68"/>
      <c r="AC24" s="68"/>
    </row>
    <row r="25" spans="1:29" x14ac:dyDescent="0.25">
      <c r="A25" s="58">
        <v>21</v>
      </c>
      <c r="B25" s="59" t="s">
        <v>816</v>
      </c>
      <c r="C25" s="73" t="s">
        <v>34</v>
      </c>
      <c r="D25" s="58" t="s">
        <v>916</v>
      </c>
      <c r="E25" s="58">
        <v>2</v>
      </c>
      <c r="F25" s="58">
        <v>13</v>
      </c>
      <c r="G25" s="58">
        <v>14</v>
      </c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74"/>
      <c r="U25" s="74"/>
      <c r="V25" s="68"/>
      <c r="W25" s="68"/>
      <c r="X25" s="68"/>
      <c r="Y25" s="68"/>
      <c r="Z25" s="68"/>
      <c r="AA25" s="68"/>
      <c r="AB25" s="68"/>
      <c r="AC25" s="68"/>
    </row>
    <row r="26" spans="1:29" x14ac:dyDescent="0.25">
      <c r="A26" s="58">
        <v>22</v>
      </c>
      <c r="B26" s="59" t="s">
        <v>805</v>
      </c>
      <c r="C26" s="73" t="s">
        <v>34</v>
      </c>
      <c r="D26" s="58" t="s">
        <v>914</v>
      </c>
      <c r="E26" s="58">
        <v>2</v>
      </c>
      <c r="F26" s="58">
        <v>15</v>
      </c>
      <c r="G26" s="58">
        <v>16</v>
      </c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74"/>
      <c r="W26" s="74"/>
      <c r="X26" s="68"/>
      <c r="Y26" s="68"/>
      <c r="Z26" s="68"/>
      <c r="AA26" s="68"/>
      <c r="AB26" s="68"/>
      <c r="AC26" s="68"/>
    </row>
    <row r="27" spans="1:29" x14ac:dyDescent="0.25">
      <c r="A27" s="58">
        <v>23</v>
      </c>
      <c r="B27" s="59" t="s">
        <v>811</v>
      </c>
      <c r="C27" s="73" t="s">
        <v>34</v>
      </c>
      <c r="D27" s="58" t="s">
        <v>914</v>
      </c>
      <c r="E27" s="58">
        <v>3</v>
      </c>
      <c r="F27" s="58">
        <v>15</v>
      </c>
      <c r="G27" s="58">
        <v>17</v>
      </c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74"/>
      <c r="W27" s="74"/>
      <c r="X27" s="74"/>
      <c r="Y27" s="68"/>
      <c r="Z27" s="68"/>
      <c r="AA27" s="68"/>
      <c r="AB27" s="68"/>
      <c r="AC27" s="68"/>
    </row>
    <row r="28" spans="1:29" x14ac:dyDescent="0.25">
      <c r="A28" s="58">
        <v>24</v>
      </c>
      <c r="B28" s="59" t="s">
        <v>814</v>
      </c>
      <c r="C28" s="73" t="s">
        <v>34</v>
      </c>
      <c r="D28" s="58" t="s">
        <v>916</v>
      </c>
      <c r="E28" s="58">
        <v>1</v>
      </c>
      <c r="F28" s="58">
        <v>15</v>
      </c>
      <c r="G28" s="58">
        <v>15</v>
      </c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74"/>
      <c r="W28" s="68"/>
      <c r="X28" s="68"/>
      <c r="Y28" s="68"/>
      <c r="Z28" s="68"/>
      <c r="AA28" s="68"/>
      <c r="AB28" s="68"/>
      <c r="AC28" s="68"/>
    </row>
    <row r="29" spans="1:29" x14ac:dyDescent="0.25">
      <c r="A29" s="58">
        <v>25</v>
      </c>
      <c r="B29" s="59" t="s">
        <v>796</v>
      </c>
      <c r="C29" s="71" t="s">
        <v>27</v>
      </c>
      <c r="D29" s="58" t="s">
        <v>916</v>
      </c>
      <c r="E29" s="58">
        <v>1</v>
      </c>
      <c r="F29" s="58">
        <v>17</v>
      </c>
      <c r="G29" s="58">
        <v>17</v>
      </c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72"/>
      <c r="Y29" s="68"/>
      <c r="Z29" s="68"/>
      <c r="AA29" s="68"/>
      <c r="AB29" s="68"/>
      <c r="AC29" s="68"/>
    </row>
    <row r="30" spans="1:29" x14ac:dyDescent="0.25">
      <c r="A30" s="58">
        <v>26</v>
      </c>
      <c r="B30" s="59" t="s">
        <v>23</v>
      </c>
      <c r="C30" s="69" t="s">
        <v>799</v>
      </c>
      <c r="D30" s="58" t="s">
        <v>915</v>
      </c>
      <c r="E30" s="58">
        <v>1</v>
      </c>
      <c r="F30" s="58">
        <v>17</v>
      </c>
      <c r="G30" s="58">
        <v>17</v>
      </c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70"/>
      <c r="Y30" s="68"/>
      <c r="Z30" s="68"/>
      <c r="AA30" s="68"/>
      <c r="AB30" s="68"/>
      <c r="AC30" s="68"/>
    </row>
    <row r="31" spans="1:29" x14ac:dyDescent="0.25">
      <c r="A31" s="58">
        <v>27</v>
      </c>
      <c r="B31" s="59" t="s">
        <v>797</v>
      </c>
      <c r="C31" s="71" t="s">
        <v>27</v>
      </c>
      <c r="D31" s="58" t="s">
        <v>916</v>
      </c>
      <c r="E31" s="58">
        <v>3</v>
      </c>
      <c r="F31" s="58">
        <v>18</v>
      </c>
      <c r="G31" s="58">
        <v>20</v>
      </c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72"/>
      <c r="Z31" s="72"/>
      <c r="AA31" s="72"/>
      <c r="AB31" s="68"/>
      <c r="AC31" s="68"/>
    </row>
    <row r="32" spans="1:29" x14ac:dyDescent="0.25">
      <c r="A32" s="58">
        <v>28</v>
      </c>
      <c r="B32" s="59" t="s">
        <v>798</v>
      </c>
      <c r="C32" s="71" t="s">
        <v>27</v>
      </c>
      <c r="D32" s="58" t="s">
        <v>916</v>
      </c>
      <c r="E32" s="58">
        <v>1</v>
      </c>
      <c r="F32" s="58">
        <v>18</v>
      </c>
      <c r="G32" s="58">
        <v>18</v>
      </c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72"/>
      <c r="Z32" s="68"/>
      <c r="AA32" s="68"/>
      <c r="AB32" s="68"/>
      <c r="AC32" s="68"/>
    </row>
    <row r="33" spans="1:29" x14ac:dyDescent="0.25">
      <c r="A33" s="58">
        <v>29</v>
      </c>
      <c r="B33" s="59" t="s">
        <v>24</v>
      </c>
      <c r="C33" s="69" t="s">
        <v>799</v>
      </c>
      <c r="D33" s="58" t="s">
        <v>915</v>
      </c>
      <c r="E33" s="58">
        <v>1</v>
      </c>
      <c r="F33" s="58">
        <v>18</v>
      </c>
      <c r="G33" s="58">
        <v>18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70"/>
      <c r="Z33" s="68"/>
      <c r="AA33" s="68"/>
      <c r="AB33" s="68"/>
      <c r="AC33" s="68"/>
    </row>
    <row r="34" spans="1:29" x14ac:dyDescent="0.25">
      <c r="A34" s="58">
        <v>30</v>
      </c>
      <c r="B34" s="59" t="s">
        <v>808</v>
      </c>
      <c r="C34" s="73" t="s">
        <v>34</v>
      </c>
      <c r="D34" s="58" t="s">
        <v>914</v>
      </c>
      <c r="E34" s="58">
        <v>1</v>
      </c>
      <c r="F34" s="58">
        <v>18</v>
      </c>
      <c r="G34" s="58">
        <v>18</v>
      </c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74"/>
      <c r="Z34" s="68"/>
      <c r="AA34" s="68"/>
      <c r="AB34" s="68"/>
      <c r="AC34" s="68"/>
    </row>
    <row r="35" spans="1:29" x14ac:dyDescent="0.25">
      <c r="A35" s="58">
        <v>31</v>
      </c>
      <c r="B35" s="59" t="s">
        <v>25</v>
      </c>
      <c r="C35" s="69" t="s">
        <v>799</v>
      </c>
      <c r="D35" s="58" t="s">
        <v>915</v>
      </c>
      <c r="E35" s="58">
        <v>2</v>
      </c>
      <c r="F35" s="58">
        <v>19</v>
      </c>
      <c r="G35" s="58">
        <v>20</v>
      </c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70"/>
      <c r="AA35" s="70"/>
      <c r="AB35" s="68"/>
      <c r="AC35" s="68"/>
    </row>
    <row r="36" spans="1:29" x14ac:dyDescent="0.25">
      <c r="A36" s="58">
        <v>32</v>
      </c>
      <c r="B36" s="59" t="s">
        <v>806</v>
      </c>
      <c r="C36" s="73" t="s">
        <v>34</v>
      </c>
      <c r="D36" s="58" t="s">
        <v>915</v>
      </c>
      <c r="E36" s="58">
        <v>1</v>
      </c>
      <c r="F36" s="58">
        <v>19</v>
      </c>
      <c r="G36" s="58">
        <v>19</v>
      </c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74"/>
      <c r="AA36" s="68"/>
      <c r="AB36" s="68"/>
      <c r="AC36" s="68"/>
    </row>
    <row r="37" spans="1:29" x14ac:dyDescent="0.25">
      <c r="A37" s="58">
        <v>33</v>
      </c>
      <c r="B37" s="59" t="s">
        <v>921</v>
      </c>
      <c r="C37" s="73" t="s">
        <v>34</v>
      </c>
      <c r="D37" s="58" t="s">
        <v>914</v>
      </c>
      <c r="E37" s="58">
        <v>1</v>
      </c>
      <c r="F37" s="58">
        <v>19</v>
      </c>
      <c r="G37" s="58">
        <v>19</v>
      </c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74"/>
      <c r="AA37" s="68"/>
      <c r="AB37" s="68"/>
      <c r="AC37" s="68"/>
    </row>
    <row r="38" spans="1:29" x14ac:dyDescent="0.25">
      <c r="A38" s="58">
        <v>34</v>
      </c>
      <c r="B38" s="59" t="s">
        <v>813</v>
      </c>
      <c r="C38" s="73" t="s">
        <v>34</v>
      </c>
      <c r="D38" s="58" t="s">
        <v>914</v>
      </c>
      <c r="E38" s="58">
        <v>1</v>
      </c>
      <c r="F38" s="58">
        <v>19</v>
      </c>
      <c r="G38" s="58">
        <v>19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74"/>
      <c r="AA38" s="68"/>
      <c r="AB38" s="68"/>
      <c r="AC38" s="68"/>
    </row>
    <row r="39" spans="1:29" x14ac:dyDescent="0.25">
      <c r="A39" s="58">
        <v>35</v>
      </c>
      <c r="B39" s="59" t="s">
        <v>810</v>
      </c>
      <c r="C39" s="73" t="s">
        <v>34</v>
      </c>
      <c r="D39" s="58" t="s">
        <v>914</v>
      </c>
      <c r="E39" s="58">
        <v>1</v>
      </c>
      <c r="F39" s="58">
        <v>20</v>
      </c>
      <c r="G39" s="58">
        <v>20</v>
      </c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74"/>
      <c r="AB39" s="68"/>
      <c r="AC39" s="68"/>
    </row>
    <row r="40" spans="1:29" x14ac:dyDescent="0.25">
      <c r="A40" s="58">
        <v>36</v>
      </c>
      <c r="B40" s="59" t="s">
        <v>812</v>
      </c>
      <c r="C40" s="73" t="s">
        <v>34</v>
      </c>
      <c r="D40" s="58" t="s">
        <v>914</v>
      </c>
      <c r="E40" s="58">
        <v>1</v>
      </c>
      <c r="F40" s="58">
        <v>20</v>
      </c>
      <c r="G40" s="58">
        <v>20</v>
      </c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74"/>
      <c r="AB40" s="68"/>
      <c r="AC40" s="68"/>
    </row>
    <row r="41" spans="1:29" x14ac:dyDescent="0.25">
      <c r="A41" s="58">
        <v>37</v>
      </c>
      <c r="B41" s="59" t="s">
        <v>817</v>
      </c>
      <c r="C41" s="73" t="s">
        <v>34</v>
      </c>
      <c r="D41" s="58" t="s">
        <v>914</v>
      </c>
      <c r="E41" s="58">
        <v>2</v>
      </c>
      <c r="F41" s="58">
        <v>21</v>
      </c>
      <c r="G41" s="58">
        <v>22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74"/>
      <c r="AC41" s="74"/>
    </row>
    <row r="43" spans="1:29" x14ac:dyDescent="0.25">
      <c r="A43" s="79" t="s">
        <v>928</v>
      </c>
      <c r="B43" s="76"/>
      <c r="C43" s="76"/>
      <c r="D43" s="76"/>
      <c r="E43" s="76"/>
      <c r="F43" s="76"/>
      <c r="G43" s="60">
        <f>MAX(G5:G41)</f>
        <v>22</v>
      </c>
    </row>
    <row r="45" spans="1:29" x14ac:dyDescent="0.25">
      <c r="A45" s="34" t="s">
        <v>929</v>
      </c>
      <c r="B45" s="61"/>
      <c r="C45" s="34" t="s">
        <v>12</v>
      </c>
      <c r="D45" s="62"/>
      <c r="E45" s="34" t="s">
        <v>799</v>
      </c>
      <c r="F45" s="63"/>
      <c r="G45" s="34" t="s">
        <v>27</v>
      </c>
      <c r="H45" s="64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20" activePane="bottomLeft" state="frozen"/>
      <selection activeCell="A8" sqref="A8"/>
      <selection pane="bottomLeft" activeCell="A11" sqref="A11:XFD11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56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80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81</v>
      </c>
      <c r="E14" s="35">
        <v>1</v>
      </c>
      <c r="F14" s="35">
        <v>1</v>
      </c>
      <c r="G14" s="35">
        <v>1</v>
      </c>
      <c r="H14" s="35">
        <v>1</v>
      </c>
      <c r="I14" s="35">
        <v>0.9459459459459455</v>
      </c>
      <c r="J14" s="39">
        <v>0.97999999999999976</v>
      </c>
    </row>
    <row r="15" spans="2:10" x14ac:dyDescent="0.25">
      <c r="D15" t="s">
        <v>88</v>
      </c>
      <c r="E15" s="35">
        <v>1</v>
      </c>
      <c r="F15" s="35">
        <v>1</v>
      </c>
      <c r="G15" s="35">
        <v>1</v>
      </c>
      <c r="H15" s="35">
        <v>1</v>
      </c>
      <c r="I15" s="35">
        <v>0.82432432432432401</v>
      </c>
      <c r="J15" s="39">
        <v>0.93499999999999983</v>
      </c>
    </row>
    <row r="16" spans="2:10" x14ac:dyDescent="0.25">
      <c r="D16" t="s">
        <v>89</v>
      </c>
      <c r="E16" s="35">
        <v>1</v>
      </c>
      <c r="F16" s="35">
        <v>1</v>
      </c>
      <c r="G16" s="35">
        <v>1</v>
      </c>
      <c r="H16" s="35">
        <v>1</v>
      </c>
      <c r="I16" s="35">
        <v>0.91891891891891853</v>
      </c>
      <c r="J16" s="39">
        <v>0.96999999999999986</v>
      </c>
    </row>
    <row r="17" spans="2:10" x14ac:dyDescent="0.25">
      <c r="C17" t="s">
        <v>58</v>
      </c>
      <c r="E17" s="35"/>
      <c r="F17" s="35"/>
      <c r="G17" s="35"/>
      <c r="H17" s="35"/>
      <c r="I17" s="35"/>
      <c r="J17" s="39"/>
    </row>
    <row r="18" spans="2:10" x14ac:dyDescent="0.25">
      <c r="D18" t="s">
        <v>74</v>
      </c>
      <c r="E18" s="35">
        <v>1</v>
      </c>
      <c r="F18" s="35">
        <v>1</v>
      </c>
      <c r="G18" s="35">
        <v>1</v>
      </c>
      <c r="H18" s="35">
        <v>1</v>
      </c>
      <c r="I18" s="35">
        <v>0.95945945945945899</v>
      </c>
      <c r="J18" s="39">
        <v>0.98499999999999988</v>
      </c>
    </row>
    <row r="19" spans="2:10" x14ac:dyDescent="0.25">
      <c r="D19" t="s">
        <v>82</v>
      </c>
      <c r="E19" s="35">
        <v>1</v>
      </c>
      <c r="F19" s="35">
        <v>1</v>
      </c>
      <c r="G19" s="35">
        <v>1</v>
      </c>
      <c r="H19" s="35">
        <v>1</v>
      </c>
      <c r="I19" s="35">
        <v>0.95945945945945899</v>
      </c>
      <c r="J19" s="39">
        <v>0.98499999999999988</v>
      </c>
    </row>
    <row r="20" spans="2:10" x14ac:dyDescent="0.25">
      <c r="B20" t="s">
        <v>91</v>
      </c>
      <c r="E20" s="35"/>
      <c r="F20" s="35"/>
      <c r="G20" s="35"/>
      <c r="H20" s="35"/>
      <c r="I20" s="35"/>
      <c r="J20" s="39"/>
    </row>
    <row r="21" spans="2:10" x14ac:dyDescent="0.25">
      <c r="C21" t="s">
        <v>60</v>
      </c>
      <c r="E21" s="35"/>
      <c r="F21" s="35"/>
      <c r="G21" s="35"/>
      <c r="H21" s="35"/>
      <c r="I21" s="35"/>
      <c r="J21" s="39"/>
    </row>
    <row r="22" spans="2:10" x14ac:dyDescent="0.25">
      <c r="D22" t="s">
        <v>93</v>
      </c>
      <c r="E22" s="35">
        <v>1</v>
      </c>
      <c r="F22" s="35">
        <v>0.66666666666666674</v>
      </c>
      <c r="G22" s="35">
        <v>1</v>
      </c>
      <c r="H22" s="35">
        <v>1</v>
      </c>
      <c r="I22" s="35">
        <v>0.91891891891891853</v>
      </c>
      <c r="J22" s="39">
        <v>0.93999999999999984</v>
      </c>
    </row>
    <row r="23" spans="2:10" x14ac:dyDescent="0.25">
      <c r="D23" t="s">
        <v>94</v>
      </c>
      <c r="E23" s="35">
        <v>1</v>
      </c>
      <c r="F23" s="35">
        <v>1</v>
      </c>
      <c r="G23" s="35">
        <v>1</v>
      </c>
      <c r="H23" s="35">
        <v>1</v>
      </c>
      <c r="I23" s="35">
        <v>0.93243243243243201</v>
      </c>
      <c r="J23" s="39">
        <v>0.97499999999999987</v>
      </c>
    </row>
    <row r="24" spans="2:10" x14ac:dyDescent="0.25">
      <c r="D24" t="s">
        <v>97</v>
      </c>
      <c r="E24" s="35">
        <v>1</v>
      </c>
      <c r="F24" s="35">
        <v>0.88888888888888895</v>
      </c>
      <c r="G24" s="35">
        <v>0.90909090909090917</v>
      </c>
      <c r="H24" s="35">
        <v>1</v>
      </c>
      <c r="I24" s="35">
        <v>0.93243243243243201</v>
      </c>
      <c r="J24" s="39">
        <v>0.95499999999999985</v>
      </c>
    </row>
    <row r="25" spans="2:10" x14ac:dyDescent="0.25">
      <c r="D25" t="s">
        <v>98</v>
      </c>
      <c r="E25" s="35">
        <v>1</v>
      </c>
      <c r="F25" s="35">
        <v>0.88888888888888895</v>
      </c>
      <c r="G25" s="35">
        <v>0.27272727272727271</v>
      </c>
      <c r="H25" s="35">
        <v>1</v>
      </c>
      <c r="I25" s="35">
        <v>0.63513513513513487</v>
      </c>
      <c r="J25" s="39">
        <v>0.77499999999999991</v>
      </c>
    </row>
    <row r="26" spans="2:10" x14ac:dyDescent="0.25">
      <c r="D26" t="s">
        <v>101</v>
      </c>
      <c r="E26" s="35">
        <v>1</v>
      </c>
      <c r="F26" s="35">
        <v>0.77777777777777779</v>
      </c>
      <c r="G26" s="35">
        <v>0.27272727272727271</v>
      </c>
      <c r="H26" s="35">
        <v>0</v>
      </c>
      <c r="I26" s="35">
        <v>0.4864864864864864</v>
      </c>
      <c r="J26" s="39">
        <v>0.71</v>
      </c>
    </row>
    <row r="27" spans="2:10" x14ac:dyDescent="0.25">
      <c r="D27" t="s">
        <v>102</v>
      </c>
      <c r="E27" s="35">
        <v>1</v>
      </c>
      <c r="F27" s="35">
        <v>0.55555555555555558</v>
      </c>
      <c r="G27" s="35">
        <v>0.54545454545454541</v>
      </c>
      <c r="H27" s="35">
        <v>1</v>
      </c>
      <c r="I27" s="35">
        <v>0.64864864864864835</v>
      </c>
      <c r="J27" s="39">
        <v>0.77999999999999992</v>
      </c>
    </row>
    <row r="28" spans="2:10" x14ac:dyDescent="0.25">
      <c r="D28" t="s">
        <v>105</v>
      </c>
      <c r="E28" s="35">
        <v>1</v>
      </c>
      <c r="F28" s="35">
        <v>0.88888888888888895</v>
      </c>
      <c r="G28" s="35">
        <v>0.54545454545454541</v>
      </c>
      <c r="H28" s="35">
        <v>1</v>
      </c>
      <c r="I28" s="35">
        <v>0.7162162162162159</v>
      </c>
      <c r="J28" s="39">
        <v>0.83499999999999996</v>
      </c>
    </row>
    <row r="29" spans="2:10" x14ac:dyDescent="0.25">
      <c r="D29" t="s">
        <v>106</v>
      </c>
      <c r="E29" s="35">
        <v>1</v>
      </c>
      <c r="F29" s="35">
        <v>0.44444444444444442</v>
      </c>
      <c r="G29" s="35">
        <v>0.54545454545454541</v>
      </c>
      <c r="H29" s="35">
        <v>1</v>
      </c>
      <c r="I29" s="35">
        <v>0.62162162162162138</v>
      </c>
      <c r="J29" s="39">
        <v>0.7599999999999999</v>
      </c>
    </row>
    <row r="30" spans="2:10" x14ac:dyDescent="0.25">
      <c r="D30" t="s">
        <v>109</v>
      </c>
      <c r="E30" s="35">
        <v>0.90697674418604646</v>
      </c>
      <c r="F30" s="35">
        <v>0.88888888888888895</v>
      </c>
      <c r="G30" s="35">
        <v>0.27272727272727271</v>
      </c>
      <c r="H30" s="35">
        <v>1</v>
      </c>
      <c r="I30" s="35">
        <v>0.64864864864864835</v>
      </c>
      <c r="J30" s="39">
        <v>0.73999999999999988</v>
      </c>
    </row>
    <row r="31" spans="2:10" x14ac:dyDescent="0.25">
      <c r="D31" t="s">
        <v>110</v>
      </c>
      <c r="E31" s="35">
        <v>1</v>
      </c>
      <c r="F31" s="35">
        <v>0.88888888888888895</v>
      </c>
      <c r="G31" s="35">
        <v>0.54545454545454541</v>
      </c>
      <c r="H31" s="35">
        <v>1</v>
      </c>
      <c r="I31" s="35">
        <v>0.79729729729729693</v>
      </c>
      <c r="J31" s="39">
        <v>0.86499999999999999</v>
      </c>
    </row>
    <row r="32" spans="2:10" x14ac:dyDescent="0.25">
      <c r="D32" t="s">
        <v>113</v>
      </c>
      <c r="E32" s="35">
        <v>1</v>
      </c>
      <c r="F32" s="35">
        <v>0.44444444444444442</v>
      </c>
      <c r="G32" s="35">
        <v>0.27272727272727271</v>
      </c>
      <c r="H32" s="35">
        <v>1</v>
      </c>
      <c r="I32" s="35">
        <v>0.63513513513513498</v>
      </c>
      <c r="J32" s="39">
        <v>0.73499999999999988</v>
      </c>
    </row>
    <row r="33" spans="3:10" x14ac:dyDescent="0.25">
      <c r="D33" t="s">
        <v>114</v>
      </c>
      <c r="E33" s="35">
        <v>1</v>
      </c>
      <c r="F33" s="35">
        <v>0.55555555555555558</v>
      </c>
      <c r="G33" s="35">
        <v>0.54545454545454541</v>
      </c>
      <c r="H33" s="35">
        <v>1</v>
      </c>
      <c r="I33" s="35">
        <v>0.70270270270270241</v>
      </c>
      <c r="J33" s="39">
        <v>0.79999999999999993</v>
      </c>
    </row>
    <row r="34" spans="3:10" x14ac:dyDescent="0.25">
      <c r="D34" t="s">
        <v>117</v>
      </c>
      <c r="E34" s="35">
        <v>1</v>
      </c>
      <c r="F34" s="35">
        <v>0.44444444444444442</v>
      </c>
      <c r="G34" s="35">
        <v>0.27272727272727271</v>
      </c>
      <c r="H34" s="35">
        <v>0</v>
      </c>
      <c r="I34" s="35">
        <v>0.43243243243243235</v>
      </c>
      <c r="J34" s="39">
        <v>0.65999999999999992</v>
      </c>
    </row>
    <row r="35" spans="3:10" x14ac:dyDescent="0.25">
      <c r="D35" t="s">
        <v>118</v>
      </c>
      <c r="E35" s="35">
        <v>1</v>
      </c>
      <c r="F35" s="35">
        <v>0.88888888888888895</v>
      </c>
      <c r="G35" s="35">
        <v>0.27272727272727271</v>
      </c>
      <c r="H35" s="35">
        <v>1</v>
      </c>
      <c r="I35" s="35">
        <v>0.56756756756756732</v>
      </c>
      <c r="J35" s="39">
        <v>0.75</v>
      </c>
    </row>
    <row r="36" spans="3:10" x14ac:dyDescent="0.25">
      <c r="D36" t="s">
        <v>121</v>
      </c>
      <c r="E36" s="35">
        <v>0.90697674418604646</v>
      </c>
      <c r="F36" s="35">
        <v>0.44444444444444442</v>
      </c>
      <c r="G36" s="35">
        <v>0.27272727272727271</v>
      </c>
      <c r="H36" s="35">
        <v>0</v>
      </c>
      <c r="I36" s="35">
        <v>0.35135135135135126</v>
      </c>
      <c r="J36" s="39">
        <v>0.59</v>
      </c>
    </row>
    <row r="37" spans="3:10" x14ac:dyDescent="0.25">
      <c r="D37" t="s">
        <v>122</v>
      </c>
      <c r="E37" s="35">
        <v>1</v>
      </c>
      <c r="F37" s="35">
        <v>0.55555555555555558</v>
      </c>
      <c r="G37" s="35">
        <v>0.27272727272727271</v>
      </c>
      <c r="H37" s="35">
        <v>0</v>
      </c>
      <c r="I37" s="35">
        <v>0.4864864864864864</v>
      </c>
      <c r="J37" s="39">
        <v>0.69</v>
      </c>
    </row>
    <row r="38" spans="3:10" x14ac:dyDescent="0.25">
      <c r="C38" t="s">
        <v>58</v>
      </c>
      <c r="E38" s="35"/>
      <c r="F38" s="35"/>
      <c r="G38" s="35"/>
      <c r="H38" s="35"/>
      <c r="I38" s="35"/>
      <c r="J38" s="39"/>
    </row>
    <row r="39" spans="3:10" x14ac:dyDescent="0.25">
      <c r="D39" t="s">
        <v>92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0.91891891891891853</v>
      </c>
      <c r="J39" s="39">
        <v>0.95999999999999985</v>
      </c>
    </row>
    <row r="40" spans="3:10" x14ac:dyDescent="0.25">
      <c r="D40" t="s">
        <v>95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0.9459459459459455</v>
      </c>
      <c r="J40" s="39">
        <v>0.96999999999999975</v>
      </c>
    </row>
    <row r="41" spans="3:10" x14ac:dyDescent="0.25">
      <c r="D41" t="s">
        <v>96</v>
      </c>
      <c r="E41" s="35">
        <v>1</v>
      </c>
      <c r="F41" s="35">
        <v>1</v>
      </c>
      <c r="G41" s="35">
        <v>1</v>
      </c>
      <c r="H41" s="35">
        <v>1</v>
      </c>
      <c r="I41" s="35">
        <v>0.89189189189189155</v>
      </c>
      <c r="J41" s="39">
        <v>0.95999999999999985</v>
      </c>
    </row>
    <row r="42" spans="3:10" x14ac:dyDescent="0.25">
      <c r="D42" t="s">
        <v>99</v>
      </c>
      <c r="E42" s="35">
        <v>1</v>
      </c>
      <c r="F42" s="35">
        <v>1</v>
      </c>
      <c r="G42" s="35">
        <v>0.90909090909090917</v>
      </c>
      <c r="H42" s="35">
        <v>1</v>
      </c>
      <c r="I42" s="35">
        <v>0.95945945945945899</v>
      </c>
      <c r="J42" s="39">
        <v>0.97499999999999987</v>
      </c>
    </row>
    <row r="43" spans="3:10" x14ac:dyDescent="0.25">
      <c r="D43" t="s">
        <v>100</v>
      </c>
      <c r="E43" s="35">
        <v>1</v>
      </c>
      <c r="F43" s="35">
        <v>1</v>
      </c>
      <c r="G43" s="35">
        <v>0.90909090909090917</v>
      </c>
      <c r="H43" s="35">
        <v>1</v>
      </c>
      <c r="I43" s="35">
        <v>0.95945945945945899</v>
      </c>
      <c r="J43" s="39">
        <v>0.97499999999999987</v>
      </c>
    </row>
    <row r="44" spans="3:10" x14ac:dyDescent="0.25">
      <c r="D44" t="s">
        <v>103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0.9459459459459455</v>
      </c>
      <c r="J44" s="39">
        <v>0.96999999999999975</v>
      </c>
    </row>
    <row r="45" spans="3:10" x14ac:dyDescent="0.25">
      <c r="D45" t="s">
        <v>104</v>
      </c>
      <c r="E45" s="35">
        <v>1</v>
      </c>
      <c r="F45" s="35">
        <v>1</v>
      </c>
      <c r="G45" s="35">
        <v>0.90909090909090917</v>
      </c>
      <c r="H45" s="35">
        <v>1</v>
      </c>
      <c r="I45" s="35">
        <v>0.91891891891891853</v>
      </c>
      <c r="J45" s="39">
        <v>0.95999999999999985</v>
      </c>
    </row>
    <row r="46" spans="3:10" x14ac:dyDescent="0.25">
      <c r="D46" t="s">
        <v>107</v>
      </c>
      <c r="E46" s="35">
        <v>1</v>
      </c>
      <c r="F46" s="35">
        <v>1</v>
      </c>
      <c r="G46" s="35">
        <v>0.90909090909090917</v>
      </c>
      <c r="H46" s="35">
        <v>1</v>
      </c>
      <c r="I46" s="35">
        <v>0.90540540540540504</v>
      </c>
      <c r="J46" s="39">
        <v>0.95499999999999985</v>
      </c>
    </row>
    <row r="47" spans="3:10" x14ac:dyDescent="0.25">
      <c r="D47" t="s">
        <v>108</v>
      </c>
      <c r="E47" s="35">
        <v>1</v>
      </c>
      <c r="F47" s="35">
        <v>1</v>
      </c>
      <c r="G47" s="35">
        <v>0.63636363636363635</v>
      </c>
      <c r="H47" s="35">
        <v>1</v>
      </c>
      <c r="I47" s="35">
        <v>0.79729729729729704</v>
      </c>
      <c r="J47" s="39">
        <v>0.88499999999999979</v>
      </c>
    </row>
    <row r="48" spans="3:10" x14ac:dyDescent="0.25">
      <c r="D48" t="s">
        <v>111</v>
      </c>
      <c r="E48" s="35">
        <v>1</v>
      </c>
      <c r="F48" s="35">
        <v>1</v>
      </c>
      <c r="G48" s="35">
        <v>0.90909090909090917</v>
      </c>
      <c r="H48" s="35">
        <v>1</v>
      </c>
      <c r="I48" s="35">
        <v>0.90540540540540504</v>
      </c>
      <c r="J48" s="39">
        <v>0.95499999999999985</v>
      </c>
    </row>
    <row r="49" spans="4:10" x14ac:dyDescent="0.25">
      <c r="D49" t="s">
        <v>112</v>
      </c>
      <c r="E49" s="35">
        <v>1</v>
      </c>
      <c r="F49" s="35">
        <v>1</v>
      </c>
      <c r="G49" s="35">
        <v>0.90909090909090917</v>
      </c>
      <c r="H49" s="35">
        <v>1</v>
      </c>
      <c r="I49" s="35">
        <v>0.89189189189189155</v>
      </c>
      <c r="J49" s="39">
        <v>0.94999999999999984</v>
      </c>
    </row>
    <row r="50" spans="4:10" x14ac:dyDescent="0.25">
      <c r="D50" t="s">
        <v>115</v>
      </c>
      <c r="E50" s="35">
        <v>1</v>
      </c>
      <c r="F50" s="35">
        <v>1</v>
      </c>
      <c r="G50" s="35">
        <v>0.90909090909090917</v>
      </c>
      <c r="H50" s="35">
        <v>1</v>
      </c>
      <c r="I50" s="35">
        <v>0.95945945945945899</v>
      </c>
      <c r="J50" s="39">
        <v>0.97499999999999987</v>
      </c>
    </row>
    <row r="51" spans="4:10" x14ac:dyDescent="0.25">
      <c r="D51" t="s">
        <v>116</v>
      </c>
      <c r="E51" s="35">
        <v>1</v>
      </c>
      <c r="F51" s="35">
        <v>1</v>
      </c>
      <c r="G51" s="35">
        <v>0.90909090909090917</v>
      </c>
      <c r="H51" s="35">
        <v>1</v>
      </c>
      <c r="I51" s="35">
        <v>0.86486486486486458</v>
      </c>
      <c r="J51" s="39">
        <v>0.94</v>
      </c>
    </row>
    <row r="52" spans="4:10" x14ac:dyDescent="0.25">
      <c r="D52" t="s">
        <v>119</v>
      </c>
      <c r="E52" s="35">
        <v>1</v>
      </c>
      <c r="F52" s="35">
        <v>1</v>
      </c>
      <c r="G52" s="35">
        <v>0.90909090909090917</v>
      </c>
      <c r="H52" s="35">
        <v>1</v>
      </c>
      <c r="I52" s="35">
        <v>0.81081081081081052</v>
      </c>
      <c r="J52" s="39">
        <v>0.91999999999999993</v>
      </c>
    </row>
    <row r="53" spans="4:10" x14ac:dyDescent="0.25">
      <c r="D53" t="s">
        <v>120</v>
      </c>
      <c r="E53" s="35">
        <v>1</v>
      </c>
      <c r="F53" s="35">
        <v>1</v>
      </c>
      <c r="G53" s="35">
        <v>0.90909090909090917</v>
      </c>
      <c r="H53" s="35">
        <v>1</v>
      </c>
      <c r="I53" s="35">
        <v>0.81081081081081052</v>
      </c>
      <c r="J53" s="39">
        <v>0.91999999999999993</v>
      </c>
    </row>
    <row r="54" spans="4:10" x14ac:dyDescent="0.25">
      <c r="D54" t="s">
        <v>123</v>
      </c>
      <c r="E54" s="35">
        <v>1</v>
      </c>
      <c r="F54" s="35">
        <v>1</v>
      </c>
      <c r="G54" s="35">
        <v>0.90909090909090917</v>
      </c>
      <c r="H54" s="35">
        <v>1</v>
      </c>
      <c r="I54" s="35">
        <v>0.86486486486486458</v>
      </c>
      <c r="J54" s="39">
        <v>0.94</v>
      </c>
    </row>
    <row r="86" spans="6:12" x14ac:dyDescent="0.25">
      <c r="F86" s="43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93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94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97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98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102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106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109</v>
      </c>
      <c r="G20" s="35">
        <v>1</v>
      </c>
      <c r="H20" s="35">
        <v>1</v>
      </c>
      <c r="I20" s="35">
        <v>1</v>
      </c>
      <c r="J20" s="35">
        <v>1</v>
      </c>
      <c r="K20" s="35">
        <v>0</v>
      </c>
      <c r="L20" s="35">
        <v>0.90697674418604646</v>
      </c>
      <c r="M20"/>
    </row>
    <row r="21" spans="5:13" x14ac:dyDescent="0.25">
      <c r="F21" t="s">
        <v>110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113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114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117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118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121</v>
      </c>
      <c r="G26" s="35">
        <v>1</v>
      </c>
      <c r="H26" s="35">
        <v>1</v>
      </c>
      <c r="I26" s="35">
        <v>1</v>
      </c>
      <c r="J26" s="35">
        <v>1</v>
      </c>
      <c r="K26" s="35">
        <v>0</v>
      </c>
      <c r="L26" s="35">
        <v>0.90697674418604646</v>
      </c>
      <c r="M26"/>
    </row>
    <row r="27" spans="5:13" x14ac:dyDescent="0.25">
      <c r="F27" t="s">
        <v>122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92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95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99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103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108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119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123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D45" t="s">
        <v>124</v>
      </c>
      <c r="G45" s="35"/>
      <c r="H45" s="35"/>
      <c r="I45" s="35"/>
      <c r="J45" s="35"/>
      <c r="K45" s="35"/>
      <c r="L45" s="35"/>
      <c r="M45"/>
    </row>
    <row r="46" spans="4:13" x14ac:dyDescent="0.25">
      <c r="E46" t="s">
        <v>60</v>
      </c>
      <c r="G46" s="35"/>
      <c r="H46" s="35"/>
      <c r="I46" s="35"/>
      <c r="J46" s="35"/>
      <c r="K46" s="35"/>
      <c r="L46" s="35"/>
      <c r="M46"/>
    </row>
    <row r="47" spans="4:13" x14ac:dyDescent="0.25">
      <c r="F47" t="s">
        <v>126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127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130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131</v>
      </c>
      <c r="G50" s="35">
        <v>1</v>
      </c>
      <c r="H50" s="35">
        <v>1</v>
      </c>
      <c r="I50" s="35">
        <v>1</v>
      </c>
      <c r="J50" s="35">
        <v>1</v>
      </c>
      <c r="K50" s="35">
        <v>0</v>
      </c>
      <c r="L50" s="35">
        <v>0.90697674418604646</v>
      </c>
      <c r="M50"/>
    </row>
    <row r="51" spans="5:13" x14ac:dyDescent="0.25">
      <c r="F51" t="s">
        <v>134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F52" t="s">
        <v>135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F53" t="s">
        <v>138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139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142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143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146</v>
      </c>
      <c r="G57" s="35">
        <v>1</v>
      </c>
      <c r="H57" s="35">
        <v>1</v>
      </c>
      <c r="I57" s="35">
        <v>1</v>
      </c>
      <c r="J57" s="35">
        <v>1</v>
      </c>
      <c r="K57" s="35">
        <v>0</v>
      </c>
      <c r="L57" s="35">
        <v>0.90697674418604646</v>
      </c>
      <c r="M57" s="35"/>
    </row>
    <row r="58" spans="5:13" x14ac:dyDescent="0.25">
      <c r="F58" t="s">
        <v>147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150</v>
      </c>
      <c r="G59" s="35">
        <v>1</v>
      </c>
      <c r="H59" s="35">
        <v>0</v>
      </c>
      <c r="I59" s="35">
        <v>0</v>
      </c>
      <c r="J59" s="35">
        <v>0</v>
      </c>
      <c r="K59" s="35">
        <v>0</v>
      </c>
      <c r="L59" s="35">
        <v>0.27906976744186046</v>
      </c>
      <c r="M59" s="35"/>
    </row>
    <row r="60" spans="5:13" x14ac:dyDescent="0.25">
      <c r="F60" t="s">
        <v>155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5:13" x14ac:dyDescent="0.25">
      <c r="E61" t="s">
        <v>58</v>
      </c>
      <c r="G61" s="35"/>
      <c r="H61" s="35"/>
      <c r="I61" s="35"/>
      <c r="J61" s="35"/>
      <c r="K61" s="35"/>
      <c r="L61" s="35"/>
      <c r="M61" s="35"/>
    </row>
    <row r="62" spans="5:13" x14ac:dyDescent="0.25">
      <c r="F62" t="s">
        <v>125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128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129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132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133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136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6:13" x14ac:dyDescent="0.25">
      <c r="F68" t="s">
        <v>137</v>
      </c>
      <c r="G68" s="35">
        <v>1</v>
      </c>
      <c r="H68" s="35">
        <v>1</v>
      </c>
      <c r="I68" s="35">
        <v>1</v>
      </c>
      <c r="J68" s="35">
        <v>1</v>
      </c>
      <c r="K68" s="35">
        <v>0</v>
      </c>
      <c r="L68" s="35">
        <v>0.90697674418604646</v>
      </c>
      <c r="M68" s="35"/>
    </row>
    <row r="69" spans="6:13" x14ac:dyDescent="0.25">
      <c r="F69" t="s">
        <v>140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6:13" x14ac:dyDescent="0.25">
      <c r="F70" t="s">
        <v>141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6:13" x14ac:dyDescent="0.25">
      <c r="F71" t="s">
        <v>144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6:13" x14ac:dyDescent="0.25">
      <c r="F72" t="s">
        <v>145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6:13" x14ac:dyDescent="0.25">
      <c r="F73" t="s">
        <v>148</v>
      </c>
      <c r="G73" s="35">
        <v>1</v>
      </c>
      <c r="H73" s="35">
        <v>1</v>
      </c>
      <c r="I73" s="35">
        <v>1</v>
      </c>
      <c r="J73" s="35">
        <v>1</v>
      </c>
      <c r="K73" s="35">
        <v>1</v>
      </c>
      <c r="L73" s="35">
        <v>1</v>
      </c>
      <c r="M73" s="35"/>
    </row>
    <row r="74" spans="6:13" x14ac:dyDescent="0.25">
      <c r="F74" t="s">
        <v>149</v>
      </c>
      <c r="G74" s="35">
        <v>1</v>
      </c>
      <c r="H74" s="35">
        <v>0</v>
      </c>
      <c r="I74" s="35">
        <v>0</v>
      </c>
      <c r="J74" s="35">
        <v>0</v>
      </c>
      <c r="K74" s="35">
        <v>0</v>
      </c>
      <c r="L74" s="35">
        <v>0.27906976744186046</v>
      </c>
      <c r="M74" s="35"/>
    </row>
    <row r="75" spans="6:13" x14ac:dyDescent="0.25">
      <c r="F75" t="s">
        <v>156</v>
      </c>
      <c r="G75" s="35">
        <v>1</v>
      </c>
      <c r="H75" s="35">
        <v>0</v>
      </c>
      <c r="I75" s="35">
        <v>0</v>
      </c>
      <c r="J75" s="35">
        <v>0</v>
      </c>
      <c r="K75" s="35">
        <v>0</v>
      </c>
      <c r="L75" s="35">
        <v>0.27906976744186046</v>
      </c>
      <c r="M75" s="35"/>
    </row>
    <row r="76" spans="6:13" x14ac:dyDescent="0.25">
      <c r="G76" s="36"/>
      <c r="H76" s="35"/>
      <c r="I76" s="35"/>
      <c r="J76" s="35"/>
      <c r="K76" s="35"/>
      <c r="L76" s="35"/>
      <c r="M76" s="35"/>
    </row>
    <row r="77" spans="6:13" x14ac:dyDescent="0.25">
      <c r="G77" s="36"/>
      <c r="H77" s="35"/>
      <c r="I77" s="35"/>
      <c r="J77" s="35"/>
      <c r="K77" s="35"/>
      <c r="L77" s="35"/>
      <c r="M77" s="35"/>
    </row>
    <row r="78" spans="6:13" x14ac:dyDescent="0.25">
      <c r="G78" s="36"/>
      <c r="H78" s="35"/>
      <c r="I78" s="35"/>
      <c r="J78" s="35"/>
      <c r="K78" s="35"/>
      <c r="L78" s="35"/>
      <c r="M78" s="35"/>
    </row>
    <row r="79" spans="6:13" x14ac:dyDescent="0.25">
      <c r="G79" s="36"/>
      <c r="H79" s="35"/>
      <c r="I79" s="35"/>
      <c r="J79" s="35"/>
      <c r="K79" s="35"/>
      <c r="L79" s="35"/>
      <c r="M79" s="35"/>
    </row>
    <row r="80" spans="6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3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80"/>
      <c r="E10" s="47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97</v>
      </c>
      <c r="D11" s="80">
        <v>3</v>
      </c>
      <c r="E11" s="47">
        <v>21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s="36" t="s">
        <v>98</v>
      </c>
      <c r="D12" s="80">
        <v>5</v>
      </c>
      <c r="E12" s="47">
        <v>20</v>
      </c>
      <c r="F12" s="35">
        <v>1</v>
      </c>
      <c r="G12" s="35">
        <v>1</v>
      </c>
      <c r="H12" s="35">
        <v>0</v>
      </c>
      <c r="I12" s="35">
        <v>1</v>
      </c>
      <c r="J12" s="35">
        <v>1</v>
      </c>
      <c r="K12" s="35">
        <v>1</v>
      </c>
    </row>
    <row r="13" spans="2:12" x14ac:dyDescent="0.25">
      <c r="B13" s="36"/>
      <c r="C13" s="36" t="s">
        <v>102</v>
      </c>
      <c r="D13" s="80">
        <v>3</v>
      </c>
      <c r="E13" s="47">
        <v>17</v>
      </c>
      <c r="F13" s="35">
        <v>1</v>
      </c>
      <c r="G13" s="35">
        <v>1</v>
      </c>
      <c r="H13" s="35">
        <v>0</v>
      </c>
      <c r="I13" s="35">
        <v>1</v>
      </c>
      <c r="J13" s="35">
        <v>0</v>
      </c>
      <c r="K13" s="35">
        <v>0</v>
      </c>
    </row>
    <row r="14" spans="2:12" x14ac:dyDescent="0.25">
      <c r="B14" s="36"/>
      <c r="C14" s="36" t="s">
        <v>106</v>
      </c>
      <c r="D14" s="80">
        <v>3</v>
      </c>
      <c r="E14" s="47">
        <v>13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B15" s="36"/>
      <c r="C15" s="36" t="s">
        <v>113</v>
      </c>
      <c r="D15" s="80">
        <v>5</v>
      </c>
      <c r="E15" s="47">
        <v>10</v>
      </c>
      <c r="F15" s="35">
        <v>1</v>
      </c>
      <c r="G15" s="35">
        <v>1</v>
      </c>
      <c r="H15" s="35">
        <v>0</v>
      </c>
      <c r="I15" s="35">
        <v>0</v>
      </c>
      <c r="J15" s="35">
        <v>0</v>
      </c>
      <c r="K15" s="35">
        <v>0</v>
      </c>
    </row>
    <row r="16" spans="2:12" x14ac:dyDescent="0.25">
      <c r="B16" s="36"/>
      <c r="C16" s="36" t="s">
        <v>114</v>
      </c>
      <c r="D16" s="80">
        <v>4</v>
      </c>
      <c r="E16" s="47">
        <v>7</v>
      </c>
      <c r="F16" s="35">
        <v>1</v>
      </c>
      <c r="G16" s="35">
        <v>1</v>
      </c>
      <c r="H16" s="35">
        <v>0</v>
      </c>
      <c r="I16" s="35">
        <v>1</v>
      </c>
      <c r="J16" s="35">
        <v>0</v>
      </c>
      <c r="K16" s="35">
        <v>0</v>
      </c>
    </row>
    <row r="17" spans="2:11" x14ac:dyDescent="0.25">
      <c r="B17" s="36"/>
      <c r="C17" s="36" t="s">
        <v>117</v>
      </c>
      <c r="D17" s="80">
        <v>7</v>
      </c>
      <c r="E17" s="47">
        <v>-2</v>
      </c>
      <c r="F17" s="35">
        <v>1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2:11" x14ac:dyDescent="0.25">
      <c r="B18" s="36"/>
      <c r="C18" s="36" t="s">
        <v>118</v>
      </c>
      <c r="D18" s="80">
        <v>5</v>
      </c>
      <c r="E18" s="47">
        <v>-3</v>
      </c>
      <c r="F18" s="35">
        <v>1</v>
      </c>
      <c r="G18" s="35">
        <v>1</v>
      </c>
      <c r="H18" s="35">
        <v>0</v>
      </c>
      <c r="I18" s="35">
        <v>1</v>
      </c>
      <c r="J18" s="35">
        <v>1</v>
      </c>
      <c r="K18" s="35">
        <v>1</v>
      </c>
    </row>
    <row r="19" spans="2:11" x14ac:dyDescent="0.25">
      <c r="B19" s="36"/>
      <c r="C19" s="36" t="s">
        <v>121</v>
      </c>
      <c r="D19" s="80">
        <v>10</v>
      </c>
      <c r="E19" s="47">
        <v>-4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  <c r="K19" s="35">
        <v>0</v>
      </c>
    </row>
    <row r="20" spans="2:11" x14ac:dyDescent="0.25">
      <c r="B20" s="36"/>
      <c r="C20" s="36" t="s">
        <v>122</v>
      </c>
      <c r="D20" s="80">
        <v>4</v>
      </c>
      <c r="E20" s="47">
        <v>-5</v>
      </c>
      <c r="F20" s="35">
        <v>1</v>
      </c>
      <c r="G20" s="35">
        <v>1</v>
      </c>
      <c r="H20" s="35">
        <v>0</v>
      </c>
      <c r="I20" s="35">
        <v>1</v>
      </c>
      <c r="J20" s="35">
        <v>0</v>
      </c>
      <c r="K20" s="35">
        <v>0</v>
      </c>
    </row>
    <row r="21" spans="2:11" x14ac:dyDescent="0.25">
      <c r="B21" s="36" t="s">
        <v>124</v>
      </c>
      <c r="D21" s="80"/>
      <c r="E21" s="47"/>
      <c r="F21" s="35"/>
      <c r="G21" s="35"/>
      <c r="H21" s="35"/>
      <c r="I21" s="35"/>
      <c r="J21" s="35"/>
      <c r="K21" s="35"/>
    </row>
    <row r="22" spans="2:11" x14ac:dyDescent="0.25">
      <c r="B22" s="36"/>
      <c r="C22" s="36" t="s">
        <v>126</v>
      </c>
      <c r="D22" s="80">
        <v>3</v>
      </c>
      <c r="E22" s="47">
        <v>-5</v>
      </c>
      <c r="F22" s="35">
        <v>1</v>
      </c>
      <c r="G22" s="35">
        <v>1</v>
      </c>
      <c r="H22" s="35">
        <v>0</v>
      </c>
      <c r="I22" s="35">
        <v>0</v>
      </c>
      <c r="J22" s="35">
        <v>0</v>
      </c>
      <c r="K22" s="35">
        <v>0</v>
      </c>
    </row>
    <row r="23" spans="2:11" x14ac:dyDescent="0.25">
      <c r="B23" s="36"/>
      <c r="C23" s="36" t="s">
        <v>134</v>
      </c>
      <c r="D23" s="80">
        <v>4</v>
      </c>
      <c r="E23" s="47">
        <v>-11</v>
      </c>
      <c r="F23" s="35">
        <v>1</v>
      </c>
      <c r="G23" s="35">
        <v>1</v>
      </c>
      <c r="H23" s="35">
        <v>0</v>
      </c>
      <c r="I23" s="35">
        <v>0</v>
      </c>
      <c r="J23" s="35">
        <v>0</v>
      </c>
      <c r="K23" s="35">
        <v>0</v>
      </c>
    </row>
  </sheetData>
  <conditionalFormatting pivot="1" sqref="F10:K23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25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97</v>
      </c>
      <c r="E13" s="35">
        <v>1</v>
      </c>
      <c r="F13" s="35">
        <v>1</v>
      </c>
      <c r="G13" s="35">
        <v>0</v>
      </c>
      <c r="H13" s="35">
        <v>1</v>
      </c>
      <c r="I13" s="35">
        <v>1</v>
      </c>
      <c r="J13" s="35">
        <v>0.90909090909090917</v>
      </c>
    </row>
    <row r="14" spans="2:10" x14ac:dyDescent="0.25">
      <c r="D14" t="s">
        <v>98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102</v>
      </c>
      <c r="E15" s="35">
        <v>1</v>
      </c>
      <c r="F15" s="35">
        <v>1</v>
      </c>
      <c r="G15" s="35">
        <v>0</v>
      </c>
      <c r="H15" s="35">
        <v>0</v>
      </c>
      <c r="I15" s="35">
        <v>0</v>
      </c>
      <c r="J15" s="35">
        <v>0.54545454545454541</v>
      </c>
    </row>
    <row r="16" spans="2:10" x14ac:dyDescent="0.25">
      <c r="D16" t="s">
        <v>106</v>
      </c>
      <c r="E16" s="35">
        <v>1</v>
      </c>
      <c r="F16" s="35">
        <v>1</v>
      </c>
      <c r="G16" s="35">
        <v>0</v>
      </c>
      <c r="H16" s="35">
        <v>0</v>
      </c>
      <c r="I16" s="35">
        <v>0</v>
      </c>
      <c r="J16" s="35">
        <v>0.54545454545454541</v>
      </c>
    </row>
    <row r="17" spans="3:10" x14ac:dyDescent="0.25">
      <c r="D17" t="s">
        <v>113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D18" t="s">
        <v>114</v>
      </c>
      <c r="E18" s="35">
        <v>1</v>
      </c>
      <c r="F18" s="35">
        <v>1</v>
      </c>
      <c r="G18" s="35">
        <v>0</v>
      </c>
      <c r="H18" s="35">
        <v>0</v>
      </c>
      <c r="I18" s="35">
        <v>0</v>
      </c>
      <c r="J18" s="35">
        <v>0.54545454545454541</v>
      </c>
    </row>
    <row r="19" spans="3:10" x14ac:dyDescent="0.25">
      <c r="C19" t="s">
        <v>58</v>
      </c>
      <c r="E19" s="35"/>
      <c r="F19" s="35"/>
      <c r="G19" s="35"/>
      <c r="H19" s="35"/>
      <c r="I19" s="35"/>
      <c r="J19" s="35"/>
    </row>
    <row r="20" spans="3:10" x14ac:dyDescent="0.25">
      <c r="D20" t="s">
        <v>95</v>
      </c>
      <c r="E20" s="35">
        <v>1</v>
      </c>
      <c r="F20" s="35">
        <v>1</v>
      </c>
      <c r="G20" s="35">
        <v>0</v>
      </c>
      <c r="H20" s="35">
        <v>1</v>
      </c>
      <c r="I20" s="35">
        <v>1</v>
      </c>
      <c r="J20" s="35">
        <v>0.90909090909090917</v>
      </c>
    </row>
    <row r="21" spans="3:10" x14ac:dyDescent="0.25">
      <c r="D21" t="s">
        <v>99</v>
      </c>
      <c r="E21" s="35">
        <v>1</v>
      </c>
      <c r="F21" s="35">
        <v>1</v>
      </c>
      <c r="G21" s="35">
        <v>0</v>
      </c>
      <c r="H21" s="35">
        <v>1</v>
      </c>
      <c r="I21" s="35">
        <v>1</v>
      </c>
      <c r="J21" s="35">
        <v>0.90909090909090917</v>
      </c>
    </row>
    <row r="22" spans="3:10" x14ac:dyDescent="0.25">
      <c r="D22" t="s">
        <v>103</v>
      </c>
      <c r="E22" s="35">
        <v>1</v>
      </c>
      <c r="F22" s="35">
        <v>1</v>
      </c>
      <c r="G22" s="35">
        <v>0</v>
      </c>
      <c r="H22" s="35">
        <v>1</v>
      </c>
      <c r="I22" s="35">
        <v>1</v>
      </c>
      <c r="J22" s="35">
        <v>0.90909090909090917</v>
      </c>
    </row>
    <row r="23" spans="3:10" x14ac:dyDescent="0.25">
      <c r="D23" t="s">
        <v>107</v>
      </c>
      <c r="E23" s="35">
        <v>1</v>
      </c>
      <c r="F23" s="35">
        <v>1</v>
      </c>
      <c r="G23" s="35">
        <v>0</v>
      </c>
      <c r="H23" s="35">
        <v>1</v>
      </c>
      <c r="I23" s="35">
        <v>1</v>
      </c>
      <c r="J23" s="35">
        <v>0.90909090909090917</v>
      </c>
    </row>
    <row r="24" spans="3:10" x14ac:dyDescent="0.25">
      <c r="D24" t="s">
        <v>112</v>
      </c>
      <c r="E24" s="35">
        <v>1</v>
      </c>
      <c r="F24" s="35">
        <v>1</v>
      </c>
      <c r="G24" s="35">
        <v>0</v>
      </c>
      <c r="H24" s="35">
        <v>1</v>
      </c>
      <c r="I24" s="35">
        <v>1</v>
      </c>
      <c r="J24" s="35">
        <v>0.90909090909090917</v>
      </c>
    </row>
    <row r="25" spans="3:10" x14ac:dyDescent="0.25">
      <c r="D25" t="s">
        <v>115</v>
      </c>
      <c r="E25" s="35">
        <v>1</v>
      </c>
      <c r="F25" s="35">
        <v>1</v>
      </c>
      <c r="G25" s="35">
        <v>0</v>
      </c>
      <c r="H25" s="35">
        <v>1</v>
      </c>
      <c r="I25" s="35">
        <v>1</v>
      </c>
      <c r="J25" s="35">
        <v>0.90909090909090917</v>
      </c>
    </row>
  </sheetData>
  <conditionalFormatting pivot="1" sqref="E11:J2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abSelected="1" topLeftCell="A4" zoomScaleNormal="100" workbookViewId="0">
      <selection activeCell="D22" sqref="D22:D23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56</v>
      </c>
      <c r="D11"/>
      <c r="E11" s="35"/>
      <c r="F11" s="35"/>
      <c r="G11" s="35"/>
      <c r="H11" s="35"/>
      <c r="I11" s="81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81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80</v>
      </c>
      <c r="E13" s="35">
        <v>1</v>
      </c>
      <c r="F13" s="35">
        <v>1</v>
      </c>
      <c r="G13" s="35">
        <v>1</v>
      </c>
      <c r="H13" s="35">
        <v>1</v>
      </c>
      <c r="I13" s="81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81</v>
      </c>
      <c r="E14" s="35">
        <v>1</v>
      </c>
      <c r="F14" s="35">
        <v>1</v>
      </c>
      <c r="G14" s="35">
        <v>1</v>
      </c>
      <c r="H14" s="35">
        <v>1</v>
      </c>
      <c r="I14" s="81">
        <v>1</v>
      </c>
      <c r="J14" s="35">
        <v>1</v>
      </c>
      <c r="K14" s="35">
        <v>1</v>
      </c>
      <c r="L14" s="35">
        <v>1</v>
      </c>
      <c r="M14" s="35">
        <v>0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0.9459459459459455</v>
      </c>
    </row>
    <row r="15" spans="2:27" x14ac:dyDescent="0.25">
      <c r="B15" t="s">
        <v>91</v>
      </c>
      <c r="D15"/>
      <c r="E15" s="35"/>
      <c r="F15" s="35"/>
      <c r="G15" s="35"/>
      <c r="H15" s="35"/>
      <c r="I15" s="81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C16" t="s">
        <v>60</v>
      </c>
      <c r="D16"/>
      <c r="E16" s="35"/>
      <c r="F16" s="35"/>
      <c r="G16" s="35"/>
      <c r="H16" s="35"/>
      <c r="I16" s="81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2:26" x14ac:dyDescent="0.25">
      <c r="D17" t="s">
        <v>94</v>
      </c>
      <c r="E17" s="35">
        <v>1</v>
      </c>
      <c r="F17" s="35">
        <v>1</v>
      </c>
      <c r="G17" s="35">
        <v>0</v>
      </c>
      <c r="H17" s="35">
        <v>1</v>
      </c>
      <c r="I17" s="81">
        <v>1</v>
      </c>
      <c r="J17" s="35">
        <v>1</v>
      </c>
      <c r="K17" s="35">
        <v>1</v>
      </c>
      <c r="L17" s="35">
        <v>1</v>
      </c>
      <c r="M17" s="35">
        <v>1</v>
      </c>
      <c r="N17" s="35">
        <v>1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0.93243243243243201</v>
      </c>
    </row>
    <row r="18" spans="2:26" x14ac:dyDescent="0.25">
      <c r="D18" t="s">
        <v>97</v>
      </c>
      <c r="E18" s="35">
        <v>1</v>
      </c>
      <c r="F18" s="35">
        <v>1</v>
      </c>
      <c r="G18" s="35">
        <v>0</v>
      </c>
      <c r="H18" s="35">
        <v>1</v>
      </c>
      <c r="I18" s="81">
        <v>1</v>
      </c>
      <c r="J18" s="35">
        <v>1</v>
      </c>
      <c r="K18" s="35">
        <v>1</v>
      </c>
      <c r="L18" s="35">
        <v>1</v>
      </c>
      <c r="M18" s="35">
        <v>1</v>
      </c>
      <c r="N18" s="35">
        <v>1</v>
      </c>
      <c r="O18" s="35">
        <v>1</v>
      </c>
      <c r="P18" s="35">
        <v>1</v>
      </c>
      <c r="Q18" s="35">
        <v>1</v>
      </c>
      <c r="R18" s="35">
        <v>1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0.93243243243243201</v>
      </c>
    </row>
    <row r="19" spans="2:26" x14ac:dyDescent="0.25">
      <c r="D19" t="s">
        <v>98</v>
      </c>
      <c r="E19" s="35">
        <v>1</v>
      </c>
      <c r="F19" s="35">
        <v>1</v>
      </c>
      <c r="G19" s="35">
        <v>0</v>
      </c>
      <c r="H19" s="35">
        <v>1</v>
      </c>
      <c r="I19" s="81">
        <v>1</v>
      </c>
      <c r="J19" s="35">
        <v>1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  <c r="P19" s="35">
        <v>1</v>
      </c>
      <c r="Q19" s="35">
        <v>0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1</v>
      </c>
      <c r="X19" s="35">
        <v>1</v>
      </c>
      <c r="Y19" s="35">
        <v>0</v>
      </c>
      <c r="Z19" s="35">
        <v>0.63513513513513487</v>
      </c>
    </row>
    <row r="20" spans="2:26" x14ac:dyDescent="0.25">
      <c r="D20" t="s">
        <v>102</v>
      </c>
      <c r="E20" s="35">
        <v>1</v>
      </c>
      <c r="F20" s="35">
        <v>1</v>
      </c>
      <c r="G20" s="35">
        <v>0</v>
      </c>
      <c r="H20" s="35">
        <v>1</v>
      </c>
      <c r="I20" s="81">
        <v>1</v>
      </c>
      <c r="J20" s="35">
        <v>1</v>
      </c>
      <c r="K20" s="35">
        <v>1</v>
      </c>
      <c r="L20" s="35">
        <v>0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0.64864864864864835</v>
      </c>
    </row>
    <row r="21" spans="2:26" x14ac:dyDescent="0.25">
      <c r="D21" t="s">
        <v>106</v>
      </c>
      <c r="E21" s="35">
        <v>1</v>
      </c>
      <c r="F21" s="35">
        <v>1</v>
      </c>
      <c r="G21" s="35">
        <v>0</v>
      </c>
      <c r="H21" s="35">
        <v>1</v>
      </c>
      <c r="I21" s="81">
        <v>1</v>
      </c>
      <c r="J21" s="35">
        <v>1</v>
      </c>
      <c r="K21" s="35">
        <v>0</v>
      </c>
      <c r="L21" s="35">
        <v>1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0.62162162162162138</v>
      </c>
    </row>
    <row r="22" spans="2:26" x14ac:dyDescent="0.25">
      <c r="D22" t="s">
        <v>113</v>
      </c>
      <c r="E22" s="35">
        <v>0</v>
      </c>
      <c r="F22" s="35">
        <v>1</v>
      </c>
      <c r="G22" s="35">
        <v>0</v>
      </c>
      <c r="H22" s="35">
        <v>1</v>
      </c>
      <c r="I22" s="81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0.63513513513513498</v>
      </c>
    </row>
    <row r="23" spans="2:26" x14ac:dyDescent="0.25">
      <c r="D23" t="s">
        <v>114</v>
      </c>
      <c r="E23" s="35">
        <v>1</v>
      </c>
      <c r="F23" s="35">
        <v>1</v>
      </c>
      <c r="G23" s="35">
        <v>0</v>
      </c>
      <c r="H23" s="35">
        <v>1</v>
      </c>
      <c r="I23" s="81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0.70270270270270241</v>
      </c>
    </row>
    <row r="24" spans="2:26" x14ac:dyDescent="0.25">
      <c r="C24" t="s">
        <v>58</v>
      </c>
      <c r="D24"/>
      <c r="E24" s="35"/>
      <c r="F24" s="35"/>
      <c r="G24" s="35"/>
      <c r="H24" s="35"/>
      <c r="I24" s="81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2:26" x14ac:dyDescent="0.25">
      <c r="D25" t="s">
        <v>95</v>
      </c>
      <c r="E25" s="35">
        <v>1</v>
      </c>
      <c r="F25" s="35">
        <v>1</v>
      </c>
      <c r="G25" s="35">
        <v>1</v>
      </c>
      <c r="H25" s="35">
        <v>1</v>
      </c>
      <c r="I25" s="81">
        <v>1</v>
      </c>
      <c r="J25" s="35">
        <v>1</v>
      </c>
      <c r="K25" s="35">
        <v>1</v>
      </c>
      <c r="L25" s="35">
        <v>1</v>
      </c>
      <c r="M25" s="35">
        <v>1</v>
      </c>
      <c r="N25" s="35">
        <v>1</v>
      </c>
      <c r="O25" s="35">
        <v>0</v>
      </c>
      <c r="P25" s="35">
        <v>1</v>
      </c>
      <c r="Q25" s="35">
        <v>1</v>
      </c>
      <c r="R25" s="35">
        <v>1</v>
      </c>
      <c r="S25" s="35">
        <v>1</v>
      </c>
      <c r="T25" s="35">
        <v>1</v>
      </c>
      <c r="U25" s="35">
        <v>1</v>
      </c>
      <c r="V25" s="35">
        <v>1</v>
      </c>
      <c r="W25" s="35">
        <v>1</v>
      </c>
      <c r="X25" s="35">
        <v>1</v>
      </c>
      <c r="Y25" s="35">
        <v>0</v>
      </c>
      <c r="Z25" s="35">
        <v>0.9459459459459455</v>
      </c>
    </row>
    <row r="26" spans="2:26" x14ac:dyDescent="0.25">
      <c r="D26" t="s">
        <v>96</v>
      </c>
      <c r="E26" s="35">
        <v>1</v>
      </c>
      <c r="F26" s="35">
        <v>1</v>
      </c>
      <c r="G26" s="35">
        <v>1</v>
      </c>
      <c r="H26" s="35">
        <v>1</v>
      </c>
      <c r="I26" s="81">
        <v>1</v>
      </c>
      <c r="J26" s="35">
        <v>1</v>
      </c>
      <c r="K26" s="35">
        <v>1</v>
      </c>
      <c r="L26" s="35">
        <v>1</v>
      </c>
      <c r="M26" s="35">
        <v>0</v>
      </c>
      <c r="N26" s="35">
        <v>0</v>
      </c>
      <c r="O26" s="35">
        <v>0</v>
      </c>
      <c r="P26" s="35">
        <v>1</v>
      </c>
      <c r="Q26" s="35">
        <v>1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0.89189189189189155</v>
      </c>
    </row>
    <row r="27" spans="2:26" x14ac:dyDescent="0.25">
      <c r="D27" t="s">
        <v>99</v>
      </c>
      <c r="E27" s="35">
        <v>1</v>
      </c>
      <c r="F27" s="35">
        <v>1</v>
      </c>
      <c r="G27" s="35">
        <v>1</v>
      </c>
      <c r="H27" s="35">
        <v>1</v>
      </c>
      <c r="I27" s="81">
        <v>1</v>
      </c>
      <c r="J27" s="35">
        <v>1</v>
      </c>
      <c r="K27" s="35">
        <v>1</v>
      </c>
      <c r="L27" s="35">
        <v>1</v>
      </c>
      <c r="M27" s="35">
        <v>1</v>
      </c>
      <c r="N27" s="35">
        <v>1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0.95945945945945899</v>
      </c>
    </row>
    <row r="28" spans="2:26" x14ac:dyDescent="0.25">
      <c r="D28" t="s">
        <v>103</v>
      </c>
      <c r="E28" s="35">
        <v>1</v>
      </c>
      <c r="F28" s="35">
        <v>1</v>
      </c>
      <c r="G28" s="35">
        <v>1</v>
      </c>
      <c r="H28" s="35">
        <v>1</v>
      </c>
      <c r="I28" s="81">
        <v>1</v>
      </c>
      <c r="J28" s="35">
        <v>1</v>
      </c>
      <c r="K28" s="35">
        <v>1</v>
      </c>
      <c r="L28" s="35">
        <v>1</v>
      </c>
      <c r="M28" s="35">
        <v>0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0.9459459459459455</v>
      </c>
    </row>
    <row r="29" spans="2:26" x14ac:dyDescent="0.25">
      <c r="D29" t="s">
        <v>107</v>
      </c>
      <c r="E29" s="35">
        <v>1</v>
      </c>
      <c r="F29" s="35">
        <v>1</v>
      </c>
      <c r="G29" s="35">
        <v>1</v>
      </c>
      <c r="H29" s="35">
        <v>1</v>
      </c>
      <c r="I29" s="81">
        <v>1</v>
      </c>
      <c r="J29" s="35">
        <v>1</v>
      </c>
      <c r="K29" s="35">
        <v>1</v>
      </c>
      <c r="L29" s="35">
        <v>1</v>
      </c>
      <c r="M29" s="35">
        <v>0</v>
      </c>
      <c r="N29" s="35">
        <v>0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0.90540540540540504</v>
      </c>
    </row>
    <row r="30" spans="2:26" x14ac:dyDescent="0.25">
      <c r="D30" t="s">
        <v>112</v>
      </c>
      <c r="E30" s="35">
        <v>1</v>
      </c>
      <c r="F30" s="35">
        <v>1</v>
      </c>
      <c r="G30" s="35">
        <v>1</v>
      </c>
      <c r="H30" s="35">
        <v>1</v>
      </c>
      <c r="I30" s="81">
        <v>1</v>
      </c>
      <c r="J30" s="35">
        <v>1</v>
      </c>
      <c r="K30" s="35">
        <v>1</v>
      </c>
      <c r="L30" s="35">
        <v>1</v>
      </c>
      <c r="M30" s="35">
        <v>0</v>
      </c>
      <c r="N30" s="35">
        <v>0</v>
      </c>
      <c r="O30" s="35">
        <v>0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0.89189189189189155</v>
      </c>
    </row>
    <row r="31" spans="2:26" x14ac:dyDescent="0.25">
      <c r="D31" t="s">
        <v>115</v>
      </c>
      <c r="E31" s="35">
        <v>1</v>
      </c>
      <c r="F31" s="35">
        <v>1</v>
      </c>
      <c r="G31" s="35">
        <v>1</v>
      </c>
      <c r="H31" s="35">
        <v>1</v>
      </c>
      <c r="I31" s="81">
        <v>1</v>
      </c>
      <c r="J31" s="35">
        <v>1</v>
      </c>
      <c r="K31" s="35">
        <v>1</v>
      </c>
      <c r="L31" s="35">
        <v>1</v>
      </c>
      <c r="M31" s="35">
        <v>1</v>
      </c>
      <c r="N31" s="35">
        <v>1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0.95945945945945899</v>
      </c>
    </row>
    <row r="32" spans="2:26" x14ac:dyDescent="0.25">
      <c r="B32" t="s">
        <v>124</v>
      </c>
      <c r="D32"/>
      <c r="E32" s="35"/>
      <c r="F32" s="35"/>
      <c r="G32" s="35"/>
      <c r="H32" s="35"/>
      <c r="I32" s="81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 spans="3:26" x14ac:dyDescent="0.25">
      <c r="C33" t="s">
        <v>58</v>
      </c>
      <c r="D33"/>
      <c r="E33" s="35"/>
      <c r="F33" s="35"/>
      <c r="G33" s="35"/>
      <c r="H33" s="35"/>
      <c r="I33" s="81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spans="3:26" x14ac:dyDescent="0.25">
      <c r="D34" t="s">
        <v>129</v>
      </c>
      <c r="E34" s="35">
        <v>1</v>
      </c>
      <c r="F34" s="35">
        <v>1</v>
      </c>
      <c r="G34" s="35">
        <v>1</v>
      </c>
      <c r="H34" s="35">
        <v>1</v>
      </c>
      <c r="I34" s="81">
        <v>0</v>
      </c>
      <c r="J34" s="35">
        <v>1</v>
      </c>
      <c r="K34" s="35">
        <v>0</v>
      </c>
      <c r="L34" s="35">
        <v>1</v>
      </c>
      <c r="M34" s="35">
        <v>0</v>
      </c>
      <c r="N34" s="35">
        <v>0</v>
      </c>
      <c r="O34" s="35">
        <v>0</v>
      </c>
      <c r="P34" s="35">
        <v>1</v>
      </c>
      <c r="Q34" s="35">
        <v>0</v>
      </c>
      <c r="R34" s="35">
        <v>1</v>
      </c>
      <c r="S34" s="35">
        <v>1</v>
      </c>
      <c r="T34" s="35">
        <v>1</v>
      </c>
      <c r="U34" s="35">
        <v>0</v>
      </c>
      <c r="V34" s="35">
        <v>1</v>
      </c>
      <c r="W34" s="35">
        <v>1</v>
      </c>
      <c r="X34" s="35">
        <v>1</v>
      </c>
      <c r="Y34" s="35">
        <v>0</v>
      </c>
      <c r="Z34" s="35">
        <v>0.66216216216216184</v>
      </c>
    </row>
    <row r="35" spans="3:26" x14ac:dyDescent="0.25">
      <c r="D35" t="s">
        <v>132</v>
      </c>
      <c r="E35" s="35">
        <v>1</v>
      </c>
      <c r="F35" s="35">
        <v>1</v>
      </c>
      <c r="G35" s="35">
        <v>1</v>
      </c>
      <c r="H35" s="35">
        <v>1</v>
      </c>
      <c r="I35" s="81">
        <v>1</v>
      </c>
      <c r="J35" s="35">
        <v>1</v>
      </c>
      <c r="K35" s="35">
        <v>1</v>
      </c>
      <c r="L35" s="35">
        <v>1</v>
      </c>
      <c r="M35" s="35">
        <v>0</v>
      </c>
      <c r="N35" s="35">
        <v>0</v>
      </c>
      <c r="O35" s="35">
        <v>1</v>
      </c>
      <c r="P35" s="35">
        <v>1</v>
      </c>
      <c r="Q35" s="35">
        <v>0</v>
      </c>
      <c r="R35" s="35">
        <v>1</v>
      </c>
      <c r="S35" s="35">
        <v>1</v>
      </c>
      <c r="T35" s="35">
        <v>1</v>
      </c>
      <c r="U35" s="35">
        <v>0</v>
      </c>
      <c r="V35" s="35">
        <v>1</v>
      </c>
      <c r="W35" s="35">
        <v>1</v>
      </c>
      <c r="X35" s="35">
        <v>1</v>
      </c>
      <c r="Y35" s="35">
        <v>0</v>
      </c>
      <c r="Z35" s="35">
        <v>0.82432432432432401</v>
      </c>
    </row>
    <row r="36" spans="3:26" x14ac:dyDescent="0.25">
      <c r="D36"/>
      <c r="F36"/>
    </row>
    <row r="37" spans="3:26" x14ac:dyDescent="0.25">
      <c r="D37"/>
      <c r="F37"/>
    </row>
    <row r="38" spans="3:26" x14ac:dyDescent="0.25">
      <c r="D38"/>
      <c r="F38"/>
    </row>
    <row r="39" spans="3:26" x14ac:dyDescent="0.25">
      <c r="D39"/>
      <c r="F39"/>
    </row>
    <row r="40" spans="3:26" x14ac:dyDescent="0.25">
      <c r="D40"/>
      <c r="F40"/>
    </row>
    <row r="41" spans="3:26" x14ac:dyDescent="0.25">
      <c r="D41"/>
      <c r="F41"/>
    </row>
    <row r="42" spans="3:26" x14ac:dyDescent="0.25">
      <c r="D42"/>
      <c r="F42"/>
    </row>
    <row r="43" spans="3:26" x14ac:dyDescent="0.25">
      <c r="D43"/>
      <c r="F43"/>
    </row>
    <row r="44" spans="3:26" x14ac:dyDescent="0.25">
      <c r="D44"/>
      <c r="F44"/>
    </row>
    <row r="45" spans="3:26" x14ac:dyDescent="0.25">
      <c r="D45"/>
      <c r="F45"/>
    </row>
    <row r="46" spans="3:26" x14ac:dyDescent="0.25">
      <c r="D46"/>
      <c r="F46"/>
    </row>
    <row r="47" spans="3:26" x14ac:dyDescent="0.25">
      <c r="D47"/>
      <c r="F47"/>
    </row>
    <row r="48" spans="3:2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35 J11:Z35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3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2026-06-08T16:13:50Z</dcterms:modified>
</cp:coreProperties>
</file>